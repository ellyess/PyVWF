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enmark_turbine" sheetId="1" r:id="rId4"/>
    <sheet name="model_byCAP" sheetId="2" r:id="rId5"/>
  </sheets>
</workbook>
</file>

<file path=xl/sharedStrings.xml><?xml version="1.0" encoding="utf-8"?>
<sst xmlns="http://schemas.openxmlformats.org/spreadsheetml/2006/main" uniqueCount="10803">
  <si>
    <t>Turbine identifier (GSRN)</t>
  </si>
  <si>
    <t>Date of original connection to grid</t>
  </si>
  <si>
    <t>Capacity (kW)</t>
  </si>
  <si>
    <t>Rotor diameter (m)</t>
  </si>
  <si>
    <t>Hub height (m)</t>
  </si>
  <si>
    <t>Manufacture</t>
  </si>
  <si>
    <t>Model</t>
  </si>
  <si>
    <t>Local authority no</t>
  </si>
  <si>
    <t>Local authority
name</t>
  </si>
  <si>
    <t>Type of location</t>
  </si>
  <si>
    <t>Cadastral district</t>
  </si>
  <si>
    <t>Cadastral no.</t>
  </si>
  <si>
    <t>X (east) coordinate
UTM 32 Euref89</t>
  </si>
  <si>
    <t>Y (north) coordinate
UTM 32 Euref89</t>
  </si>
  <si>
    <t>Origin of coordinates</t>
  </si>
  <si>
    <t>Distribution company installation number</t>
  </si>
  <si>
    <t>Turbine</t>
  </si>
  <si>
    <t>turb_match</t>
  </si>
  <si>
    <t>570715000002077638</t>
  </si>
  <si>
    <t>SIEMENS</t>
  </si>
  <si>
    <t>Ukendt-Simens</t>
  </si>
  <si>
    <t>Thisted</t>
  </si>
  <si>
    <t>LAND</t>
  </si>
  <si>
    <t>Østerild By, Østerild</t>
  </si>
  <si>
    <t>4u</t>
  </si>
  <si>
    <t>Stamdata</t>
  </si>
  <si>
    <t>SIEMENS Ukendt-Simens</t>
  </si>
  <si>
    <r>
      <rPr>
        <b val="1"/>
        <sz val="12"/>
        <color indexed="8"/>
        <rFont val="Calibri"/>
      </rPr>
      <t>Siemens.SWT.3.0.101</t>
    </r>
  </si>
  <si>
    <t>570715000001661395</t>
  </si>
  <si>
    <t>Siemens Wind Power A/S</t>
  </si>
  <si>
    <t>SG DD-193 / SG 10.0-193DD</t>
  </si>
  <si>
    <t>Østerild by, Østerild</t>
  </si>
  <si>
    <t>4m</t>
  </si>
  <si>
    <t>Siemens Wind Power A/S SG DD-193 / SG 10.0-193DD</t>
  </si>
  <si>
    <t>Siemens.Gamesa.SG.10.0.193</t>
  </si>
  <si>
    <t>570715000001663276</t>
  </si>
  <si>
    <t>MHI Vestas Offshore Wind A/S</t>
  </si>
  <si>
    <t>V164-8.0MW/8.3MW</t>
  </si>
  <si>
    <t>Hjardemål klit, Hjardemål</t>
  </si>
  <si>
    <t>MHI Vestas Offshore Wind A/S V164-8.0MW/8.3MW</t>
  </si>
  <si>
    <t>MHI.Vestas.V164.8400</t>
  </si>
  <si>
    <t>570715000001616975</t>
  </si>
  <si>
    <t>Ukendt</t>
  </si>
  <si>
    <t>Ukendt Ukendt</t>
  </si>
  <si>
    <t>570715000001542588</t>
  </si>
  <si>
    <t>SG 8.0-167 DD</t>
  </si>
  <si>
    <t>Vordingborg</t>
  </si>
  <si>
    <t>HAV</t>
  </si>
  <si>
    <t>Kriegers Flak</t>
  </si>
  <si>
    <t>Hav</t>
  </si>
  <si>
    <t>KFA 01R</t>
  </si>
  <si>
    <t>Siemens Wind Power A/S SG 8.0-167 DD</t>
  </si>
  <si>
    <t>Siemens.Gamesa.SG.8.0.167</t>
  </si>
  <si>
    <t>570715000001542595</t>
  </si>
  <si>
    <t>KFA 02Q</t>
  </si>
  <si>
    <t>570715000001542601</t>
  </si>
  <si>
    <t>KFA 03R</t>
  </si>
  <si>
    <t>570715000001542618</t>
  </si>
  <si>
    <t>KFA 04Q</t>
  </si>
  <si>
    <t>570715000001542625</t>
  </si>
  <si>
    <t>KFA 05R</t>
  </si>
  <si>
    <t>570715000001542632</t>
  </si>
  <si>
    <t>KFA 06Q</t>
  </si>
  <si>
    <t>570715000001542649</t>
  </si>
  <si>
    <t>KFA 07R</t>
  </si>
  <si>
    <t>570715000001542656</t>
  </si>
  <si>
    <t>KFA 08Q</t>
  </si>
  <si>
    <t>570715000001542663</t>
  </si>
  <si>
    <t>KFA 09P</t>
  </si>
  <si>
    <t>570715000001542670</t>
  </si>
  <si>
    <t>KFA 10O</t>
  </si>
  <si>
    <t>570715000001542687</t>
  </si>
  <si>
    <t>KFA 11P</t>
  </si>
  <si>
    <t>570715000001542694</t>
  </si>
  <si>
    <t>KFA 12O</t>
  </si>
  <si>
    <t>570715000001542700</t>
  </si>
  <si>
    <t>KFA 13P</t>
  </si>
  <si>
    <t>570715000001542717</t>
  </si>
  <si>
    <t>KFA 14N</t>
  </si>
  <si>
    <t>570715000001542724</t>
  </si>
  <si>
    <t>KFA 15P</t>
  </si>
  <si>
    <t>570715000001542731</t>
  </si>
  <si>
    <t>KFA 16M</t>
  </si>
  <si>
    <t>570715000001542748</t>
  </si>
  <si>
    <t>KFA 17N</t>
  </si>
  <si>
    <t>570715000001542755</t>
  </si>
  <si>
    <t>KFA 18O</t>
  </si>
  <si>
    <t>570715000001542762</t>
  </si>
  <si>
    <t>KFA 19M</t>
  </si>
  <si>
    <t>570715000001542779</t>
  </si>
  <si>
    <t>KFA 20M</t>
  </si>
  <si>
    <t>570715000001542786</t>
  </si>
  <si>
    <t>KFA 21O</t>
  </si>
  <si>
    <t>570715000001542793</t>
  </si>
  <si>
    <t>KFA 22N</t>
  </si>
  <si>
    <t>570715000001542809</t>
  </si>
  <si>
    <t>KFA 23N</t>
  </si>
  <si>
    <t>570715000001542816</t>
  </si>
  <si>
    <t>KFA 24M</t>
  </si>
  <si>
    <t>570715000001542823</t>
  </si>
  <si>
    <t>KFB 27B</t>
  </si>
  <si>
    <t>570715000001542830</t>
  </si>
  <si>
    <t>KFB 28B</t>
  </si>
  <si>
    <t>570715000001542847</t>
  </si>
  <si>
    <t>KFB 29D</t>
  </si>
  <si>
    <t>570715000001542854</t>
  </si>
  <si>
    <t>KFB 30D</t>
  </si>
  <si>
    <t>570715000001542861</t>
  </si>
  <si>
    <t>KFB 33B</t>
  </si>
  <si>
    <t>570715000001542878</t>
  </si>
  <si>
    <t>KFB 40D</t>
  </si>
  <si>
    <t>570715000001542885</t>
  </si>
  <si>
    <t>KFB 44D</t>
  </si>
  <si>
    <t>570715000001542892</t>
  </si>
  <si>
    <t>KFB 45F</t>
  </si>
  <si>
    <t>570715000001542908</t>
  </si>
  <si>
    <t>KFB 46F</t>
  </si>
  <si>
    <t>570715000001542915</t>
  </si>
  <si>
    <t>KFB 47F</t>
  </si>
  <si>
    <t>570715000001542922</t>
  </si>
  <si>
    <t>KFB 48H</t>
  </si>
  <si>
    <t>570715000001542939</t>
  </si>
  <si>
    <t>KFB 49F</t>
  </si>
  <si>
    <t>570715000001542946</t>
  </si>
  <si>
    <t>KFB 51L</t>
  </si>
  <si>
    <t>570715000001542953</t>
  </si>
  <si>
    <t>KFB 52H</t>
  </si>
  <si>
    <t>570715000001542960</t>
  </si>
  <si>
    <t>KFB 53L</t>
  </si>
  <si>
    <t>570715000001542977</t>
  </si>
  <si>
    <t>KFB 55H</t>
  </si>
  <si>
    <t>570715000001542984</t>
  </si>
  <si>
    <t>KFB 57L</t>
  </si>
  <si>
    <t>570715000001542991</t>
  </si>
  <si>
    <t>KFB 58L</t>
  </si>
  <si>
    <t>570715000001543004</t>
  </si>
  <si>
    <t>KFB 60H</t>
  </si>
  <si>
    <t>570715000001543011</t>
  </si>
  <si>
    <t>KFB 66J</t>
  </si>
  <si>
    <t>570715000001543028</t>
  </si>
  <si>
    <t>KFB 70J</t>
  </si>
  <si>
    <t>570715000001543035</t>
  </si>
  <si>
    <t>KFB 71J</t>
  </si>
  <si>
    <t>570715000001543042</t>
  </si>
  <si>
    <t>KFB 75B</t>
  </si>
  <si>
    <t>570715000001543059</t>
  </si>
  <si>
    <t>KFB 77J</t>
  </si>
  <si>
    <t>570715000001543066</t>
  </si>
  <si>
    <t>KFB 25C</t>
  </si>
  <si>
    <t>570715000001543073</t>
  </si>
  <si>
    <t>KFB 26C</t>
  </si>
  <si>
    <t>570715000001543080</t>
  </si>
  <si>
    <t>KFB 32C</t>
  </si>
  <si>
    <t>570715000001543097</t>
  </si>
  <si>
    <t>KFB 37C</t>
  </si>
  <si>
    <t>570715000001543103</t>
  </si>
  <si>
    <t>KFB 31A</t>
  </si>
  <si>
    <t>570715000001543110</t>
  </si>
  <si>
    <t>KFB 34A</t>
  </si>
  <si>
    <t>570715000001543127</t>
  </si>
  <si>
    <t>KFB 36A</t>
  </si>
  <si>
    <t>570715000001543134</t>
  </si>
  <si>
    <t>KFB 43A</t>
  </si>
  <si>
    <t>570715000001543141</t>
  </si>
  <si>
    <t>KFB 35E</t>
  </si>
  <si>
    <t>570715000001543158</t>
  </si>
  <si>
    <t>KFB 38E</t>
  </si>
  <si>
    <t>570715000001543165</t>
  </si>
  <si>
    <t>KFB 41E</t>
  </si>
  <si>
    <t>570715000001543172</t>
  </si>
  <si>
    <t>KFB 42E</t>
  </si>
  <si>
    <t>570715000001543189</t>
  </si>
  <si>
    <t>KFB 50G</t>
  </si>
  <si>
    <t>570715000001543196</t>
  </si>
  <si>
    <t>KFB 54G</t>
  </si>
  <si>
    <t>570715000001543202</t>
  </si>
  <si>
    <t>KFB 56G</t>
  </si>
  <si>
    <t>570715000001543219</t>
  </si>
  <si>
    <t>KFB 61G</t>
  </si>
  <si>
    <t>570715000001543226</t>
  </si>
  <si>
    <t>KFB 59I</t>
  </si>
  <si>
    <t>570715000001543233</t>
  </si>
  <si>
    <t>KFB 63I</t>
  </si>
  <si>
    <t>570715000001543240</t>
  </si>
  <si>
    <t>KFB 64I</t>
  </si>
  <si>
    <t>570715000001543257</t>
  </si>
  <si>
    <t>KFB 68I</t>
  </si>
  <si>
    <t>570715000001543264</t>
  </si>
  <si>
    <t>KFB 62K</t>
  </si>
  <si>
    <t>570715000001543271</t>
  </si>
  <si>
    <t>KFB 65K</t>
  </si>
  <si>
    <t>570715000001543288</t>
  </si>
  <si>
    <t>KFB 67K</t>
  </si>
  <si>
    <t>570715000001543295</t>
  </si>
  <si>
    <t>KFB 69K</t>
  </si>
  <si>
    <t>571313134499569550</t>
  </si>
  <si>
    <t>Esbjerg</t>
  </si>
  <si>
    <t>Måde Esbjerg Jorder</t>
  </si>
  <si>
    <t>2i</t>
  </si>
  <si>
    <t>571313134499569574</t>
  </si>
  <si>
    <t>4æ</t>
  </si>
  <si>
    <t>570715000001613509</t>
  </si>
  <si>
    <t>Horns Rev</t>
  </si>
  <si>
    <t>WH3 A01</t>
  </si>
  <si>
    <t>570715000001613516</t>
  </si>
  <si>
    <t>WH3 A02</t>
  </si>
  <si>
    <t>570715000001613523</t>
  </si>
  <si>
    <t>WH3 A03</t>
  </si>
  <si>
    <t>570715000001613530</t>
  </si>
  <si>
    <t>WH3 A04</t>
  </si>
  <si>
    <t>570715000001613547</t>
  </si>
  <si>
    <t>WH3 A05</t>
  </si>
  <si>
    <t>570715000001613554</t>
  </si>
  <si>
    <t>WH3 A06</t>
  </si>
  <si>
    <t>570715000001613561</t>
  </si>
  <si>
    <t>WH3 B01</t>
  </si>
  <si>
    <t>570715000001613578</t>
  </si>
  <si>
    <t>WH3 C01</t>
  </si>
  <si>
    <t>570715000001613585</t>
  </si>
  <si>
    <t>WH3 C02</t>
  </si>
  <si>
    <t>570715000001613592</t>
  </si>
  <si>
    <t>WH3 C03</t>
  </si>
  <si>
    <t>570715000001613608</t>
  </si>
  <si>
    <t>WH3 C04</t>
  </si>
  <si>
    <t>570715000001613615</t>
  </si>
  <si>
    <t>WH3 C05</t>
  </si>
  <si>
    <t>570715000001613622</t>
  </si>
  <si>
    <t>WH3 C06</t>
  </si>
  <si>
    <t>570715000001613639</t>
  </si>
  <si>
    <t>WH3 C07</t>
  </si>
  <si>
    <t>570715000001613646</t>
  </si>
  <si>
    <t>WH3 D01</t>
  </si>
  <si>
    <t>570715000001613653</t>
  </si>
  <si>
    <t>WH3 D02</t>
  </si>
  <si>
    <t>570715000001613660</t>
  </si>
  <si>
    <t>WH3 D04</t>
  </si>
  <si>
    <t>570715000001613677</t>
  </si>
  <si>
    <t>WH3 D05</t>
  </si>
  <si>
    <t>570715000001613684</t>
  </si>
  <si>
    <t>WH3 D07</t>
  </si>
  <si>
    <t>570715000001613691</t>
  </si>
  <si>
    <t>WH3 D08</t>
  </si>
  <si>
    <t>570715000001613707</t>
  </si>
  <si>
    <t>WH3 D09</t>
  </si>
  <si>
    <t>570715000001613714</t>
  </si>
  <si>
    <t>WH3 E01</t>
  </si>
  <si>
    <t>570715000001613721</t>
  </si>
  <si>
    <t>WH3 E02</t>
  </si>
  <si>
    <t>570715000001613738</t>
  </si>
  <si>
    <t>WH3 E03</t>
  </si>
  <si>
    <t>570715000001613745</t>
  </si>
  <si>
    <t>WH3 E05</t>
  </si>
  <si>
    <t>570715000001613752</t>
  </si>
  <si>
    <t>WH3 E06</t>
  </si>
  <si>
    <t>570715000001613769</t>
  </si>
  <si>
    <t>WH3 E07</t>
  </si>
  <si>
    <t>570715000001613776</t>
  </si>
  <si>
    <t>WH3 E08</t>
  </si>
  <si>
    <t>570715000001613783</t>
  </si>
  <si>
    <t>WH3 E09</t>
  </si>
  <si>
    <t>570715000001613790</t>
  </si>
  <si>
    <t>WH3 E10</t>
  </si>
  <si>
    <t>570715000001613806</t>
  </si>
  <si>
    <t>WH3 F01</t>
  </si>
  <si>
    <t>570715000001613813</t>
  </si>
  <si>
    <t>WH3 F02</t>
  </si>
  <si>
    <t>570715000001613820</t>
  </si>
  <si>
    <t>WH3 F03</t>
  </si>
  <si>
    <t>570715000001613837</t>
  </si>
  <si>
    <t>WH3 F04</t>
  </si>
  <si>
    <t>570715000001613844</t>
  </si>
  <si>
    <t>WH3 F05</t>
  </si>
  <si>
    <t>570715000001613851</t>
  </si>
  <si>
    <t>WH3 F06</t>
  </si>
  <si>
    <t>570715000001613868</t>
  </si>
  <si>
    <t>WH3 F07</t>
  </si>
  <si>
    <t>570715000001613875</t>
  </si>
  <si>
    <t>WH3 F08</t>
  </si>
  <si>
    <t>570715000001613882</t>
  </si>
  <si>
    <t>WH3 F09</t>
  </si>
  <si>
    <t>570715000001613899</t>
  </si>
  <si>
    <t>WH3 G02</t>
  </si>
  <si>
    <t>570715000001613905</t>
  </si>
  <si>
    <t>WH3 G03</t>
  </si>
  <si>
    <t>570715000001613912</t>
  </si>
  <si>
    <t>WH3 G04</t>
  </si>
  <si>
    <t>570715000001613929</t>
  </si>
  <si>
    <t>WH3 G05</t>
  </si>
  <si>
    <t>570715000001613936</t>
  </si>
  <si>
    <t>WH3 G06</t>
  </si>
  <si>
    <t>570715000001613943</t>
  </si>
  <si>
    <t>WH3 G07</t>
  </si>
  <si>
    <t>570715000001613950</t>
  </si>
  <si>
    <t>WH3 H01</t>
  </si>
  <si>
    <t>570715000001613967</t>
  </si>
  <si>
    <t>WH3 H02</t>
  </si>
  <si>
    <t>570715000001613974</t>
  </si>
  <si>
    <t>WH3 H03</t>
  </si>
  <si>
    <t>570715000001613981</t>
  </si>
  <si>
    <t>WH3 J01</t>
  </si>
  <si>
    <t>571313134402411891</t>
  </si>
  <si>
    <t>Vestas Wind Systems A/S</t>
  </si>
  <si>
    <t>V164-8MW</t>
  </si>
  <si>
    <t>Esbjerg Jorde</t>
  </si>
  <si>
    <t>5k</t>
  </si>
  <si>
    <t>SDFE2018</t>
  </si>
  <si>
    <t>Vestas Wind Systems A/S V164-8MW</t>
  </si>
  <si>
    <t>Vestas.V164.8000</t>
  </si>
  <si>
    <t>571313134402411907</t>
  </si>
  <si>
    <t>570715000001554987</t>
  </si>
  <si>
    <t>SWT 8.0-154</t>
  </si>
  <si>
    <t>Østrild by, Østerild</t>
  </si>
  <si>
    <t>Siemens Wind Power A/S SWT 8.0-154</t>
  </si>
  <si>
    <t>Siemens.SWT.8.0.154</t>
  </si>
  <si>
    <t>571313134701404280</t>
  </si>
  <si>
    <t>SWT-7.0-154</t>
  </si>
  <si>
    <t>Lemvig</t>
  </si>
  <si>
    <t>99999x</t>
  </si>
  <si>
    <t>Siemens Wind Power A/S SWT-7.0-154</t>
  </si>
  <si>
    <t>Siemens.Gamesa.SG.7.0.154</t>
  </si>
  <si>
    <t>571313134702404289</t>
  </si>
  <si>
    <t>99999X</t>
  </si>
  <si>
    <t>571313134703404288</t>
  </si>
  <si>
    <t>571313134704404287</t>
  </si>
  <si>
    <t>570715000001485021</t>
  </si>
  <si>
    <t>Østerild By Østerild</t>
  </si>
  <si>
    <t>571313134700404526</t>
  </si>
  <si>
    <t>Høvsøre Enge, Fjaltring</t>
  </si>
  <si>
    <t>xx</t>
  </si>
  <si>
    <t>571313134808512710</t>
  </si>
  <si>
    <t>SWT-6.0-120</t>
  </si>
  <si>
    <t>Ringkøbing-Skjern</t>
  </si>
  <si>
    <t>Hee, Den nordlige del</t>
  </si>
  <si>
    <t>5f</t>
  </si>
  <si>
    <t>Siemens Wind Power A/S SWT-6.0-120</t>
  </si>
  <si>
    <r>
      <rPr>
        <b val="1"/>
        <sz val="12"/>
        <color indexed="8"/>
        <rFont val="Calibri"/>
      </rPr>
      <t>Siemens.Gamesa.SG.6.0.154</t>
    </r>
  </si>
  <si>
    <t>571313134808513311</t>
  </si>
  <si>
    <t>Sønden Åen, Tim</t>
  </si>
  <si>
    <t>3ø</t>
  </si>
  <si>
    <t>571313134808513410</t>
  </si>
  <si>
    <t>3æ</t>
  </si>
  <si>
    <t>571313134808513519</t>
  </si>
  <si>
    <t>2bi</t>
  </si>
  <si>
    <t>571313134808513618</t>
  </si>
  <si>
    <t>2bl</t>
  </si>
  <si>
    <t>571313134808513717</t>
  </si>
  <si>
    <t>2bk</t>
  </si>
  <si>
    <t>570715000001506887</t>
  </si>
  <si>
    <t>Østrind by</t>
  </si>
  <si>
    <t>10g</t>
  </si>
  <si>
    <t>570715000001663429</t>
  </si>
  <si>
    <t>570715000001663436</t>
  </si>
  <si>
    <t>34g</t>
  </si>
  <si>
    <t>571313134803289907</t>
  </si>
  <si>
    <t>V150-5,6 MW</t>
  </si>
  <si>
    <t>Venner By, Velling</t>
  </si>
  <si>
    <t>1ax</t>
  </si>
  <si>
    <t>Vestas Wind Systems A/S V150-5,6 MW</t>
  </si>
  <si>
    <t>Vestas.V150.4000</t>
  </si>
  <si>
    <t>571313134803289914</t>
  </si>
  <si>
    <t>V162-5,6 MW</t>
  </si>
  <si>
    <t>Vestas Wind Systems A/S V162-5,6 MW</t>
  </si>
  <si>
    <r>
      <rPr>
        <b val="1"/>
        <sz val="12"/>
        <color indexed="8"/>
        <rFont val="Calibri"/>
      </rPr>
      <t>Vestas.V150.4000</t>
    </r>
  </si>
  <si>
    <t>570715000001669469</t>
  </si>
  <si>
    <t>Eget fabrikat</t>
  </si>
  <si>
    <t>Ukendt-Eget fabrikat</t>
  </si>
  <si>
    <t>Brøndby</t>
  </si>
  <si>
    <t>Brøndbyvester By, Brøndbyvester</t>
  </si>
  <si>
    <t>33ez</t>
  </si>
  <si>
    <t>Eget fabrikat Ukendt-Eget fabrikat</t>
  </si>
  <si>
    <r>
      <rPr>
        <b val="1"/>
        <sz val="12"/>
        <color indexed="8"/>
        <rFont val="Calibri"/>
      </rPr>
      <t>Gamesa.G128.5000</t>
    </r>
  </si>
  <si>
    <t>571313134700404458</t>
  </si>
  <si>
    <t>SG4.5-145</t>
  </si>
  <si>
    <t>Rysensten Hgd</t>
  </si>
  <si>
    <t>1u</t>
  </si>
  <si>
    <t>Siemens Wind Power A/S SG4.5-145</t>
  </si>
  <si>
    <t>Siemens.Gamesa.SG.4.5.145</t>
  </si>
  <si>
    <t>570715000002018785</t>
  </si>
  <si>
    <t>Struer</t>
  </si>
  <si>
    <t>Lyngs by, Lyngs</t>
  </si>
  <si>
    <t>14b</t>
  </si>
  <si>
    <t>570715000002018792</t>
  </si>
  <si>
    <t>570715000002018808</t>
  </si>
  <si>
    <t>571313134700404441</t>
  </si>
  <si>
    <t>Den nordlige Del, Bøvling</t>
  </si>
  <si>
    <t>43q</t>
  </si>
  <si>
    <t>571313134499499024</t>
  </si>
  <si>
    <t>SWT-DD-130 Mode 1</t>
  </si>
  <si>
    <t>Vesthimmerlands</t>
  </si>
  <si>
    <t>Thorup By, Aggersborg</t>
  </si>
  <si>
    <t>5b</t>
  </si>
  <si>
    <t>SIEMENS SWT-DD-130 Mode 1</t>
  </si>
  <si>
    <t>Siemens.SWT.4.3.130</t>
  </si>
  <si>
    <t>571313134499499031</t>
  </si>
  <si>
    <t>4a</t>
  </si>
  <si>
    <t>571313134499499048</t>
  </si>
  <si>
    <t>2e</t>
  </si>
  <si>
    <t>571313134499499055</t>
  </si>
  <si>
    <t>Ullerup By, Aggersborg</t>
  </si>
  <si>
    <t>13g</t>
  </si>
  <si>
    <t>571313134499499062</t>
  </si>
  <si>
    <t>12f</t>
  </si>
  <si>
    <t>571313134499499123</t>
  </si>
  <si>
    <t>3e</t>
  </si>
  <si>
    <t>571313134499499130</t>
  </si>
  <si>
    <t>1h</t>
  </si>
  <si>
    <t>571313134499499147</t>
  </si>
  <si>
    <t>12o</t>
  </si>
  <si>
    <t>571313134499499154</t>
  </si>
  <si>
    <t>14f</t>
  </si>
  <si>
    <t>571313134499499079</t>
  </si>
  <si>
    <t>Jammerbugt</t>
  </si>
  <si>
    <t>Gøttrup By, Gøttrup</t>
  </si>
  <si>
    <t>571313134499499086</t>
  </si>
  <si>
    <t>571313134499499093</t>
  </si>
  <si>
    <t>GøttrupBy, Gøttrup</t>
  </si>
  <si>
    <t>47aq</t>
  </si>
  <si>
    <t>571313134499499109</t>
  </si>
  <si>
    <t>47ar</t>
  </si>
  <si>
    <t>571313134499499116</t>
  </si>
  <si>
    <t>47as</t>
  </si>
  <si>
    <t>571313134499499178</t>
  </si>
  <si>
    <t>571313134499499185</t>
  </si>
  <si>
    <t>571313134499499192</t>
  </si>
  <si>
    <t>47at</t>
  </si>
  <si>
    <t>571313134499499208</t>
  </si>
  <si>
    <t>47au</t>
  </si>
  <si>
    <t>571313113162970299</t>
  </si>
  <si>
    <t>V136-4.2 MW</t>
  </si>
  <si>
    <t>Mariagerfjord</t>
  </si>
  <si>
    <t>Veddum by, Skelund 641052</t>
  </si>
  <si>
    <t>15a</t>
  </si>
  <si>
    <t>Vestas Wind Systems A/S V136-4.2 MW</t>
  </si>
  <si>
    <t>Vestas.V136.4000</t>
  </si>
  <si>
    <t>571313113162970336</t>
  </si>
  <si>
    <t>571313113162970367</t>
  </si>
  <si>
    <t>12s</t>
  </si>
  <si>
    <t>571313113162970404</t>
  </si>
  <si>
    <t>19h</t>
  </si>
  <si>
    <t>571313113162970534</t>
  </si>
  <si>
    <t>16q</t>
  </si>
  <si>
    <t>571313113162970565</t>
  </si>
  <si>
    <t>20f</t>
  </si>
  <si>
    <t>571313113162970596</t>
  </si>
  <si>
    <t>571313113162970626</t>
  </si>
  <si>
    <t>33o</t>
  </si>
  <si>
    <t>571313113162970657</t>
  </si>
  <si>
    <t>16b</t>
  </si>
  <si>
    <t>570715000001658999</t>
  </si>
  <si>
    <t>Hjørring</t>
  </si>
  <si>
    <t>Lunden</t>
  </si>
  <si>
    <t>570715000001659156</t>
  </si>
  <si>
    <t>570715000001659224</t>
  </si>
  <si>
    <t>570715000001659231</t>
  </si>
  <si>
    <t>570715000001596703</t>
  </si>
  <si>
    <t>SWT 3.15-109-142</t>
  </si>
  <si>
    <t>Ikast-Brande</t>
  </si>
  <si>
    <t>Skærlund By</t>
  </si>
  <si>
    <t>16f</t>
  </si>
  <si>
    <t>Siemens Wind Power A/S SWT 3.15-109-142</t>
  </si>
  <si>
    <t>Siemens.SWT.4.1.142</t>
  </si>
  <si>
    <t>571313174001651632</t>
  </si>
  <si>
    <t>V117-3.6 MW</t>
  </si>
  <si>
    <t>Lolland</t>
  </si>
  <si>
    <t>Vesternæs by, Kappel</t>
  </si>
  <si>
    <t>20g</t>
  </si>
  <si>
    <t>Vestas Wind Systems A/S V117-3.6 MW</t>
  </si>
  <si>
    <r>
      <rPr>
        <b val="1"/>
        <sz val="12"/>
        <color indexed="8"/>
        <rFont val="Calibri"/>
      </rPr>
      <t>Vestas.V117.4000</t>
    </r>
  </si>
  <si>
    <t>571313174001651649</t>
  </si>
  <si>
    <t>20h</t>
  </si>
  <si>
    <t>571313174001651663</t>
  </si>
  <si>
    <t>16g</t>
  </si>
  <si>
    <t>571313174001651687</t>
  </si>
  <si>
    <t>Gottesgabe Hgd Kappel</t>
  </si>
  <si>
    <t>1q</t>
  </si>
  <si>
    <t>571313174001651694</t>
  </si>
  <si>
    <t>16h</t>
  </si>
  <si>
    <t>571313174001651700</t>
  </si>
  <si>
    <t>50b</t>
  </si>
  <si>
    <t>571313174001696602</t>
  </si>
  <si>
    <t>Købelev Skov</t>
  </si>
  <si>
    <t>1a</t>
  </si>
  <si>
    <t>571313174001696619</t>
  </si>
  <si>
    <t>571313174001696626</t>
  </si>
  <si>
    <t>571313174001696633</t>
  </si>
  <si>
    <t>571313174001696640</t>
  </si>
  <si>
    <t>571313174001696657</t>
  </si>
  <si>
    <t>571313174001696664</t>
  </si>
  <si>
    <t>571313174001696671</t>
  </si>
  <si>
    <t>571313174001696688</t>
  </si>
  <si>
    <t>571313174001698620</t>
  </si>
  <si>
    <t>Alminde by, Landet</t>
  </si>
  <si>
    <t>7a</t>
  </si>
  <si>
    <t>571313174001698637</t>
  </si>
  <si>
    <t>571313174001698644</t>
  </si>
  <si>
    <t>Rødby Fjord, Landet</t>
  </si>
  <si>
    <t>571313174001698651</t>
  </si>
  <si>
    <t>Askø by, Landet</t>
  </si>
  <si>
    <t>3c</t>
  </si>
  <si>
    <t>571313174001698668</t>
  </si>
  <si>
    <t>1d</t>
  </si>
  <si>
    <t>571313174001698675</t>
  </si>
  <si>
    <t>4e</t>
  </si>
  <si>
    <t>571313174001698682</t>
  </si>
  <si>
    <t>5o</t>
  </si>
  <si>
    <t>571313174001698699</t>
  </si>
  <si>
    <t>Opager by, Landet</t>
  </si>
  <si>
    <t>23b</t>
  </si>
  <si>
    <t>571313174001699887</t>
  </si>
  <si>
    <t>V126-3.6 MW</t>
  </si>
  <si>
    <t>Skodsebølle by landet sogn</t>
  </si>
  <si>
    <t>8c</t>
  </si>
  <si>
    <t>Vestas Wind Systems A/S V126-3.6 MW</t>
  </si>
  <si>
    <r>
      <rPr>
        <b val="1"/>
        <sz val="12"/>
        <color indexed="8"/>
        <rFont val="Calibri"/>
      </rPr>
      <t>Vestas.V136.4000</t>
    </r>
  </si>
  <si>
    <t>571313174001699894</t>
  </si>
  <si>
    <t>Skodsebølle by Landet Sogn</t>
  </si>
  <si>
    <t>571313174001699900</t>
  </si>
  <si>
    <t>Øllingsøgård hdg., Græshave</t>
  </si>
  <si>
    <t>2a</t>
  </si>
  <si>
    <t>571313174001657931</t>
  </si>
  <si>
    <t>Næstved</t>
  </si>
  <si>
    <t>Saltø Hgd., Karrebæk</t>
  </si>
  <si>
    <t>571313174001657962</t>
  </si>
  <si>
    <t>571313174001657979</t>
  </si>
  <si>
    <t>3a</t>
  </si>
  <si>
    <t>571313134499093406</t>
  </si>
  <si>
    <t>Tønder</t>
  </si>
  <si>
    <t>Grøngård, Burkal</t>
  </si>
  <si>
    <t>def6af1</t>
  </si>
  <si>
    <t>571313134499093420</t>
  </si>
  <si>
    <t>del2a82</t>
  </si>
  <si>
    <t>sædubje</t>
  </si>
  <si>
    <t>571313134499093444</t>
  </si>
  <si>
    <t>Sæd Ubjerg</t>
  </si>
  <si>
    <t>del3af6</t>
  </si>
  <si>
    <t>571313134499093468</t>
  </si>
  <si>
    <t>def4af6</t>
  </si>
  <si>
    <t>571313134499093482</t>
  </si>
  <si>
    <t>def5af5</t>
  </si>
  <si>
    <t>571313134499093505</t>
  </si>
  <si>
    <t>571313134700404533</t>
  </si>
  <si>
    <t>Herning</t>
  </si>
  <si>
    <t>Lergrav Hdg., Aulum</t>
  </si>
  <si>
    <t>3i</t>
  </si>
  <si>
    <t>571313134700404540</t>
  </si>
  <si>
    <t>Horslund, Vinding</t>
  </si>
  <si>
    <t>1n</t>
  </si>
  <si>
    <t>571313134700404557</t>
  </si>
  <si>
    <t>1o</t>
  </si>
  <si>
    <t>571313135300628398</t>
  </si>
  <si>
    <t>Sønderlandet, Sdr. Felding</t>
  </si>
  <si>
    <t>4b</t>
  </si>
  <si>
    <t>571313135300628411</t>
  </si>
  <si>
    <t>41m</t>
  </si>
  <si>
    <t>571313135300628435</t>
  </si>
  <si>
    <t>43a</t>
  </si>
  <si>
    <t>571313135300628459</t>
  </si>
  <si>
    <t>Sønderlandt, Sdr. Felding</t>
  </si>
  <si>
    <t>43b</t>
  </si>
  <si>
    <t>571313135300628473</t>
  </si>
  <si>
    <t>570715000000091728</t>
  </si>
  <si>
    <t>SWT 3.6-107</t>
  </si>
  <si>
    <t>Holstebro</t>
  </si>
  <si>
    <t>Den nordlig del, Ulfborg</t>
  </si>
  <si>
    <t>102b</t>
  </si>
  <si>
    <t>SIEMENS SWT 3.6-107</t>
  </si>
  <si>
    <t>Siemens.SWT.3.6.107</t>
  </si>
  <si>
    <t>570715000000091735</t>
  </si>
  <si>
    <t>105b</t>
  </si>
  <si>
    <t>570715000000091742</t>
  </si>
  <si>
    <t>106b</t>
  </si>
  <si>
    <t>571313134700404236</t>
  </si>
  <si>
    <t>Sønderhede, Sevel</t>
  </si>
  <si>
    <t>60p</t>
  </si>
  <si>
    <t>571313134700404243</t>
  </si>
  <si>
    <t>Stendis By, Ryde</t>
  </si>
  <si>
    <t>60o</t>
  </si>
  <si>
    <t>571313134700404250</t>
  </si>
  <si>
    <t>59h</t>
  </si>
  <si>
    <t>571313134700404564</t>
  </si>
  <si>
    <t>Solds, Tvis</t>
  </si>
  <si>
    <t>571313134700404571</t>
  </si>
  <si>
    <t>1f</t>
  </si>
  <si>
    <t>571313134700404588</t>
  </si>
  <si>
    <t>571313134700404595</t>
  </si>
  <si>
    <t>2d</t>
  </si>
  <si>
    <t>570715000000087028</t>
  </si>
  <si>
    <t>SWT 3.6</t>
  </si>
  <si>
    <t>Den Nordlig Del, Bøvling</t>
  </si>
  <si>
    <t>69c</t>
  </si>
  <si>
    <t>SIEMENS SWT 3.6</t>
  </si>
  <si>
    <t>570715000000087035</t>
  </si>
  <si>
    <t>69b</t>
  </si>
  <si>
    <t>570715000000087042</t>
  </si>
  <si>
    <t>4d</t>
  </si>
  <si>
    <t>570715000000087066</t>
  </si>
  <si>
    <t>Skalstrup By, Nees</t>
  </si>
  <si>
    <t>5n</t>
  </si>
  <si>
    <t>570715000000087073</t>
  </si>
  <si>
    <t>4ac</t>
  </si>
  <si>
    <t>570715000000087080</t>
  </si>
  <si>
    <t>3z</t>
  </si>
  <si>
    <t>571313134700404373</t>
  </si>
  <si>
    <t>V126-3.45</t>
  </si>
  <si>
    <t>Bækmark Hgd., Flynder</t>
  </si>
  <si>
    <t>25a</t>
  </si>
  <si>
    <t>Vestas Wind Systems A/S V126-3.45</t>
  </si>
  <si>
    <t>571313134700404380</t>
  </si>
  <si>
    <t>28a</t>
  </si>
  <si>
    <t>571313134700404397</t>
  </si>
  <si>
    <t>571313134700404403</t>
  </si>
  <si>
    <t>30d</t>
  </si>
  <si>
    <t>571313134700404410</t>
  </si>
  <si>
    <t>32r</t>
  </si>
  <si>
    <t>570715000000256998</t>
  </si>
  <si>
    <t>SWT 3.6-120</t>
  </si>
  <si>
    <t>Norddjurs</t>
  </si>
  <si>
    <t>Anholt 1</t>
  </si>
  <si>
    <t>hav</t>
  </si>
  <si>
    <t>WAH1 A01</t>
  </si>
  <si>
    <t>SIEMENS SWT 3.6-120</t>
  </si>
  <si>
    <t>Siemens.SWT.3.6.120</t>
  </si>
  <si>
    <t>570715000000257001</t>
  </si>
  <si>
    <t>WAH1 A02</t>
  </si>
  <si>
    <t>570715000000257018</t>
  </si>
  <si>
    <t>WAH1 A03</t>
  </si>
  <si>
    <t>570715000000257025</t>
  </si>
  <si>
    <t>WAH1 A04</t>
  </si>
  <si>
    <t>570715000000257032</t>
  </si>
  <si>
    <t>WAH1 A05</t>
  </si>
  <si>
    <t>570715000000257049</t>
  </si>
  <si>
    <t>WAH1 A06</t>
  </si>
  <si>
    <t>570715000000257056</t>
  </si>
  <si>
    <t>WAH1 A07</t>
  </si>
  <si>
    <t>570715000000257063</t>
  </si>
  <si>
    <t>WAH1 A08</t>
  </si>
  <si>
    <t>570715000000257070</t>
  </si>
  <si>
    <t>WAH1 A09</t>
  </si>
  <si>
    <t>570715000000257087</t>
  </si>
  <si>
    <t>WAH1 A10</t>
  </si>
  <si>
    <t>570715000000257094</t>
  </si>
  <si>
    <t>WAH1 A11</t>
  </si>
  <si>
    <t>570715000000257100</t>
  </si>
  <si>
    <t>WAH1 A12</t>
  </si>
  <si>
    <t>570715000000257117</t>
  </si>
  <si>
    <t>WAH1 A13</t>
  </si>
  <si>
    <t>570715000000257124</t>
  </si>
  <si>
    <t>WAH1 A14</t>
  </si>
  <si>
    <t>570715000000257131</t>
  </si>
  <si>
    <t>WAH1 A15</t>
  </si>
  <si>
    <t>570715000000257148</t>
  </si>
  <si>
    <t>WAH1 A16</t>
  </si>
  <si>
    <t>570715000000257155</t>
  </si>
  <si>
    <t>WAH1 A17</t>
  </si>
  <si>
    <t>570715000000257162</t>
  </si>
  <si>
    <t>WAH1 A18</t>
  </si>
  <si>
    <t>570715000000257179</t>
  </si>
  <si>
    <t>WAH1 A19</t>
  </si>
  <si>
    <t>570715000000257186</t>
  </si>
  <si>
    <t>WAH1 A20</t>
  </si>
  <si>
    <t>570715000000257193</t>
  </si>
  <si>
    <t>WAH1 A22</t>
  </si>
  <si>
    <t>570715000000257209</t>
  </si>
  <si>
    <t>WAH1 A23</t>
  </si>
  <si>
    <t>570715000000257216</t>
  </si>
  <si>
    <t>WAH1 A24</t>
  </si>
  <si>
    <t>570715000000257223</t>
  </si>
  <si>
    <t>WAH1 A25</t>
  </si>
  <si>
    <t>570715000000257230</t>
  </si>
  <si>
    <t>WAH1 A26</t>
  </si>
  <si>
    <t>570715000000257247</t>
  </si>
  <si>
    <t>WAH1 A27</t>
  </si>
  <si>
    <t>570715000000257254</t>
  </si>
  <si>
    <t>WAH1 A28</t>
  </si>
  <si>
    <t>570715000000257261</t>
  </si>
  <si>
    <t>WAH1 A29</t>
  </si>
  <si>
    <t>570715000000257278</t>
  </si>
  <si>
    <t>WAH1 A30</t>
  </si>
  <si>
    <t>570715000000257285</t>
  </si>
  <si>
    <t>WAH1 A31</t>
  </si>
  <si>
    <t>570715000000257292</t>
  </si>
  <si>
    <t>WAH1 B01</t>
  </si>
  <si>
    <t>570715000000257308</t>
  </si>
  <si>
    <t>WAH1 C01</t>
  </si>
  <si>
    <t>570715000000257315</t>
  </si>
  <si>
    <t>WAH1 C02</t>
  </si>
  <si>
    <t>570715000000257322</t>
  </si>
  <si>
    <t>WAH1 C03</t>
  </si>
  <si>
    <t>570715000000257339</t>
  </si>
  <si>
    <t>WAH1 C04</t>
  </si>
  <si>
    <t>570715000000257346</t>
  </si>
  <si>
    <t>WAH1 C05</t>
  </si>
  <si>
    <t>570715000000257353</t>
  </si>
  <si>
    <t>WAH1 C06</t>
  </si>
  <si>
    <t>570715000000257360</t>
  </si>
  <si>
    <t>WAH1 C07</t>
  </si>
  <si>
    <t>570715000000257377</t>
  </si>
  <si>
    <t>WAH1 C09</t>
  </si>
  <si>
    <t>570715000000257384</t>
  </si>
  <si>
    <t>WAH1 C10</t>
  </si>
  <si>
    <t>570715000000257391</t>
  </si>
  <si>
    <t>WAH1 C12</t>
  </si>
  <si>
    <t>570715000000257407</t>
  </si>
  <si>
    <t>WAH1 C31</t>
  </si>
  <si>
    <t>570715000000257414</t>
  </si>
  <si>
    <t>WAH1 D01</t>
  </si>
  <si>
    <t>570715000000257421</t>
  </si>
  <si>
    <t>WAH1 E01</t>
  </si>
  <si>
    <t>570715000000257438</t>
  </si>
  <si>
    <t>WAH1 F01</t>
  </si>
  <si>
    <t>570715000000257445</t>
  </si>
  <si>
    <t>WAH1 F02</t>
  </si>
  <si>
    <t>570715000000257452</t>
  </si>
  <si>
    <t>WAH1 F03</t>
  </si>
  <si>
    <t>570715000000257469</t>
  </si>
  <si>
    <t>WAH1 F04</t>
  </si>
  <si>
    <t>570715000000257476</t>
  </si>
  <si>
    <t>WAH1 F05</t>
  </si>
  <si>
    <t>570715000000257483</t>
  </si>
  <si>
    <t>WAH1 F06</t>
  </si>
  <si>
    <t>570715000000257490</t>
  </si>
  <si>
    <t>WAH1 F07</t>
  </si>
  <si>
    <t>570715000000257506</t>
  </si>
  <si>
    <t>WAH1 F08</t>
  </si>
  <si>
    <t>570715000000257513</t>
  </si>
  <si>
    <t>WAH1 F09</t>
  </si>
  <si>
    <t>570715000000257520</t>
  </si>
  <si>
    <t>WAH1 F10</t>
  </si>
  <si>
    <t>570715000000257537</t>
  </si>
  <si>
    <t>WAH1 F11</t>
  </si>
  <si>
    <t>570715000000257544</t>
  </si>
  <si>
    <t>WAH1 F12</t>
  </si>
  <si>
    <t>570715000000257551</t>
  </si>
  <si>
    <t>WAH1 F13</t>
  </si>
  <si>
    <t>570715000000257568</t>
  </si>
  <si>
    <t>WAH1 F14</t>
  </si>
  <si>
    <t>570715000000257575</t>
  </si>
  <si>
    <t>WAH1 F23</t>
  </si>
  <si>
    <t>570715000000257582</t>
  </si>
  <si>
    <t>WAH1 F24</t>
  </si>
  <si>
    <t>570715000000257599</t>
  </si>
  <si>
    <t>WAH1 F25</t>
  </si>
  <si>
    <t>570715000000257605</t>
  </si>
  <si>
    <t>WAH1 F26</t>
  </si>
  <si>
    <t>570715000000257612</t>
  </si>
  <si>
    <t>WAH1 F27</t>
  </si>
  <si>
    <t>570715000000257629</t>
  </si>
  <si>
    <t>WAH1 F28</t>
  </si>
  <si>
    <t>570715000000257636</t>
  </si>
  <si>
    <t>WAH1 F29</t>
  </si>
  <si>
    <t>570715000000257643</t>
  </si>
  <si>
    <t>WAH1 G01</t>
  </si>
  <si>
    <t>570715000000257650</t>
  </si>
  <si>
    <t>WAH1 H01</t>
  </si>
  <si>
    <t>570715000000257667</t>
  </si>
  <si>
    <t>WAH1 I01</t>
  </si>
  <si>
    <t>570715000000257674</t>
  </si>
  <si>
    <t>WAH1 I02</t>
  </si>
  <si>
    <t>570715000000257681</t>
  </si>
  <si>
    <t>WAH1 I03</t>
  </si>
  <si>
    <t>570715000000257698</t>
  </si>
  <si>
    <t>WAH1 I04</t>
  </si>
  <si>
    <t>570715000000257704</t>
  </si>
  <si>
    <t>WAH1 I05</t>
  </si>
  <si>
    <t>570715000000257711</t>
  </si>
  <si>
    <t>WAH1 I07</t>
  </si>
  <si>
    <t>570715000000257728</t>
  </si>
  <si>
    <t>WAH1 I08</t>
  </si>
  <si>
    <t>570715000000257735</t>
  </si>
  <si>
    <t>WAH1 I10</t>
  </si>
  <si>
    <t>570715000000257742</t>
  </si>
  <si>
    <t>WAH1 I28</t>
  </si>
  <si>
    <t>570715000000257759</t>
  </si>
  <si>
    <t>WAH1 J01</t>
  </si>
  <si>
    <t>570715000000257766</t>
  </si>
  <si>
    <t>WAH1 K01</t>
  </si>
  <si>
    <t>570715000000257773</t>
  </si>
  <si>
    <t>WAH1 L01</t>
  </si>
  <si>
    <t>570715000000257780</t>
  </si>
  <si>
    <t>WAH1 L02</t>
  </si>
  <si>
    <t>570715000000257797</t>
  </si>
  <si>
    <t>WAH1 L03</t>
  </si>
  <si>
    <t>570715000000257803</t>
  </si>
  <si>
    <t>WAH1 L04</t>
  </si>
  <si>
    <t>570715000000257810</t>
  </si>
  <si>
    <t>WAH1 L05</t>
  </si>
  <si>
    <t>570715000000257827</t>
  </si>
  <si>
    <t>WAH1 L06</t>
  </si>
  <si>
    <t>570715000000257834</t>
  </si>
  <si>
    <t>WAH1 M01</t>
  </si>
  <si>
    <t>570715000000257841</t>
  </si>
  <si>
    <t>WAH1 P01</t>
  </si>
  <si>
    <t>570715000000257858</t>
  </si>
  <si>
    <t>WAH1 P02</t>
  </si>
  <si>
    <t>570715000000257865</t>
  </si>
  <si>
    <t>WAH1 P03</t>
  </si>
  <si>
    <t>570715000000257872</t>
  </si>
  <si>
    <t>WAH1 P04</t>
  </si>
  <si>
    <t>570715000000257889</t>
  </si>
  <si>
    <t>WAH1 P05</t>
  </si>
  <si>
    <t>570715000000257896</t>
  </si>
  <si>
    <t>WAH1 P06</t>
  </si>
  <si>
    <t>570715000000257902</t>
  </si>
  <si>
    <t>WAH1 P07</t>
  </si>
  <si>
    <t>570715000000257919</t>
  </si>
  <si>
    <t>WAH1 P08</t>
  </si>
  <si>
    <t>570715000000257926</t>
  </si>
  <si>
    <t>WAH1 P09</t>
  </si>
  <si>
    <t>570715000000257933</t>
  </si>
  <si>
    <t>WAH1 P10</t>
  </si>
  <si>
    <t>570715000000257940</t>
  </si>
  <si>
    <t>WAH1 P11</t>
  </si>
  <si>
    <t>570715000000257957</t>
  </si>
  <si>
    <t>WAH1 P12</t>
  </si>
  <si>
    <t>570715000000257964</t>
  </si>
  <si>
    <t>WAH1 P13</t>
  </si>
  <si>
    <t>570715000000257971</t>
  </si>
  <si>
    <t>WAH1 P15</t>
  </si>
  <si>
    <t>570715000000257988</t>
  </si>
  <si>
    <t>WAH1 P16</t>
  </si>
  <si>
    <t>570715000000257995</t>
  </si>
  <si>
    <t>WAH1 P17</t>
  </si>
  <si>
    <t>570715000000258008</t>
  </si>
  <si>
    <t>WAH1 P19</t>
  </si>
  <si>
    <t>570715000000258015</t>
  </si>
  <si>
    <t>WAH1 P20</t>
  </si>
  <si>
    <t>570715000000258022</t>
  </si>
  <si>
    <t>WAH1 P21</t>
  </si>
  <si>
    <t>570715000000258039</t>
  </si>
  <si>
    <t>WAH1 P22</t>
  </si>
  <si>
    <t>570715000000258046</t>
  </si>
  <si>
    <t>WAH1 P23</t>
  </si>
  <si>
    <t>570715000000258053</t>
  </si>
  <si>
    <t>WAH1 P24</t>
  </si>
  <si>
    <t>570715000000258060</t>
  </si>
  <si>
    <t>WAH1 P25</t>
  </si>
  <si>
    <t>570715000000258077</t>
  </si>
  <si>
    <t>WAH1 P26</t>
  </si>
  <si>
    <t>570715000000258084</t>
  </si>
  <si>
    <t>WAH1 P27</t>
  </si>
  <si>
    <t>570715000000258091</t>
  </si>
  <si>
    <t>WAH1 P28</t>
  </si>
  <si>
    <t>571313113162867506</t>
  </si>
  <si>
    <t>Randers</t>
  </si>
  <si>
    <t>Overgård Hgd., Udbyneder</t>
  </si>
  <si>
    <t>571313113162867520</t>
  </si>
  <si>
    <t>571313113162867537</t>
  </si>
  <si>
    <t>571313113162867544</t>
  </si>
  <si>
    <t>571313113162867551</t>
  </si>
  <si>
    <t>571313113162867568</t>
  </si>
  <si>
    <t>10b</t>
  </si>
  <si>
    <t>571313113162867575</t>
  </si>
  <si>
    <t>17æ</t>
  </si>
  <si>
    <t>571313113162867582</t>
  </si>
  <si>
    <t>7u</t>
  </si>
  <si>
    <t>571313113162867599</t>
  </si>
  <si>
    <t>1e</t>
  </si>
  <si>
    <t>571313113162867605</t>
  </si>
  <si>
    <t>11d</t>
  </si>
  <si>
    <t>571313113162867612</t>
  </si>
  <si>
    <t>571313113162867629</t>
  </si>
  <si>
    <t>571313113162867636</t>
  </si>
  <si>
    <t>8f</t>
  </si>
  <si>
    <t>571313113162867643</t>
  </si>
  <si>
    <t>9d</t>
  </si>
  <si>
    <t>571313113162867650</t>
  </si>
  <si>
    <t>571313113162867667</t>
  </si>
  <si>
    <t>571313113162956590</t>
  </si>
  <si>
    <t>Udbyneder By, Udbyneder</t>
  </si>
  <si>
    <t>7b</t>
  </si>
  <si>
    <t>571313113162956699</t>
  </si>
  <si>
    <t>571313113162956811</t>
  </si>
  <si>
    <t>571313113162956835</t>
  </si>
  <si>
    <t>571313113162956859</t>
  </si>
  <si>
    <t>22ø</t>
  </si>
  <si>
    <t>571313113162956873</t>
  </si>
  <si>
    <t>571313113162956897</t>
  </si>
  <si>
    <t>571313113162956910</t>
  </si>
  <si>
    <t>571313113162956934</t>
  </si>
  <si>
    <t>571313113162956958</t>
  </si>
  <si>
    <t>571313113162980243</t>
  </si>
  <si>
    <t>15k</t>
  </si>
  <si>
    <t>571313113162980427</t>
  </si>
  <si>
    <t>15x</t>
  </si>
  <si>
    <t>571313113162980465</t>
  </si>
  <si>
    <t>10v</t>
  </si>
  <si>
    <t>571313113162980502</t>
  </si>
  <si>
    <t>10h</t>
  </si>
  <si>
    <t>571313113162980533</t>
  </si>
  <si>
    <t>26g</t>
  </si>
  <si>
    <t>571313113162980564</t>
  </si>
  <si>
    <t>14y</t>
  </si>
  <si>
    <t>571313113162980595</t>
  </si>
  <si>
    <t>67i</t>
  </si>
  <si>
    <t>571313113162980625</t>
  </si>
  <si>
    <t>67d</t>
  </si>
  <si>
    <t>571313113162980656</t>
  </si>
  <si>
    <t>29v</t>
  </si>
  <si>
    <t>571313113162142665</t>
  </si>
  <si>
    <t>Silkeborg</t>
  </si>
  <si>
    <t>Mollerup by, Linå</t>
  </si>
  <si>
    <t>571313113162142603</t>
  </si>
  <si>
    <t>Skanderborg</t>
  </si>
  <si>
    <t>Kalbygård HGD, Låsby</t>
  </si>
  <si>
    <t>2ac</t>
  </si>
  <si>
    <t>571313113162142634</t>
  </si>
  <si>
    <t>571313134499093680</t>
  </si>
  <si>
    <t>Bandsbøl By, Hemmet</t>
  </si>
  <si>
    <t>4g</t>
  </si>
  <si>
    <t>571313134499093703</t>
  </si>
  <si>
    <t>12c</t>
  </si>
  <si>
    <t>571313134499093727</t>
  </si>
  <si>
    <t>571313134499093741</t>
  </si>
  <si>
    <t>Nr. Bork By, Nr. Bork</t>
  </si>
  <si>
    <t>20a</t>
  </si>
  <si>
    <t>571313134499093765</t>
  </si>
  <si>
    <t>571313134499093789</t>
  </si>
  <si>
    <t>64a</t>
  </si>
  <si>
    <t>571313134499094502</t>
  </si>
  <si>
    <t>Grimlund Gde., Hoven</t>
  </si>
  <si>
    <t>571313134499094526</t>
  </si>
  <si>
    <t>Grimlund Ge, Hoven</t>
  </si>
  <si>
    <t>571313134499094540</t>
  </si>
  <si>
    <t>571313134499094564</t>
  </si>
  <si>
    <t>571313134499094588</t>
  </si>
  <si>
    <t>571313134499094601</t>
  </si>
  <si>
    <t>571313134499095080</t>
  </si>
  <si>
    <t>Lønborggård Hgd., Lønborg</t>
  </si>
  <si>
    <t>1y</t>
  </si>
  <si>
    <t>571313134499095103</t>
  </si>
  <si>
    <t>571313134499095127</t>
  </si>
  <si>
    <t>571313134499095141</t>
  </si>
  <si>
    <t>571313134499095165</t>
  </si>
  <si>
    <t>Hemmet Præstegård, Hemmet</t>
  </si>
  <si>
    <t>571313134499095196</t>
  </si>
  <si>
    <t>571313134499095219</t>
  </si>
  <si>
    <t>571313134499095233</t>
  </si>
  <si>
    <t>19a</t>
  </si>
  <si>
    <t>571313134499095257</t>
  </si>
  <si>
    <t>4n</t>
  </si>
  <si>
    <t>571313134499095271</t>
  </si>
  <si>
    <t>5c</t>
  </si>
  <si>
    <t>571313134499095295</t>
  </si>
  <si>
    <t>571313134499095318</t>
  </si>
  <si>
    <t>571313134499095332</t>
  </si>
  <si>
    <t>571313134890184260</t>
  </si>
  <si>
    <t>Ø. Lem by, Sdr Lem</t>
  </si>
  <si>
    <t>15l</t>
  </si>
  <si>
    <t>570715000000088643</t>
  </si>
  <si>
    <t>Hvidovre</t>
  </si>
  <si>
    <t>Havmølle</t>
  </si>
  <si>
    <t>570715000000088667</t>
  </si>
  <si>
    <t>570715000000128905</t>
  </si>
  <si>
    <t>havmølle</t>
  </si>
  <si>
    <t>570715000001586537</t>
  </si>
  <si>
    <t>Hansted By, Hansted</t>
  </si>
  <si>
    <t>39a</t>
  </si>
  <si>
    <t>570715000001586711</t>
  </si>
  <si>
    <t>570715000001586728</t>
  </si>
  <si>
    <t>570715000002024939</t>
  </si>
  <si>
    <t>Li.Hillerslev By Hillerslev</t>
  </si>
  <si>
    <t>570715000002024946</t>
  </si>
  <si>
    <t>6Z</t>
  </si>
  <si>
    <t>570715000002024953</t>
  </si>
  <si>
    <t>Oddershedegård, Hillerslev</t>
  </si>
  <si>
    <t>570715000002024960</t>
  </si>
  <si>
    <t>570715000002024977</t>
  </si>
  <si>
    <t>St.Hillerslev By Hillerslev</t>
  </si>
  <si>
    <t>570715000002024984</t>
  </si>
  <si>
    <t>1an</t>
  </si>
  <si>
    <t>570715000002024991</t>
  </si>
  <si>
    <t>570715000002025004</t>
  </si>
  <si>
    <t>570715000000090967</t>
  </si>
  <si>
    <t>Rebild</t>
  </si>
  <si>
    <t>Kgs. Tisted by, Kgs Tisted</t>
  </si>
  <si>
    <t>570715000000091049</t>
  </si>
  <si>
    <t>570715000000091056</t>
  </si>
  <si>
    <t>570715000000132339</t>
  </si>
  <si>
    <t>Brorstrup by, Brorstrup</t>
  </si>
  <si>
    <t>6c</t>
  </si>
  <si>
    <t>570715000000132513</t>
  </si>
  <si>
    <t>571313114900985551</t>
  </si>
  <si>
    <t>Handest By, Glenstrup</t>
  </si>
  <si>
    <t>11i</t>
  </si>
  <si>
    <t>571313114900985575</t>
  </si>
  <si>
    <t>5ao</t>
  </si>
  <si>
    <t>571313114900985605</t>
  </si>
  <si>
    <t>3p</t>
  </si>
  <si>
    <t>571313114900985629</t>
  </si>
  <si>
    <t>571313114900985643</t>
  </si>
  <si>
    <t>4l</t>
  </si>
  <si>
    <t>571313114900985667</t>
  </si>
  <si>
    <t>4i</t>
  </si>
  <si>
    <t>570715000001587947</t>
  </si>
  <si>
    <t>Den nordlig-mellemste Del, Ugilt</t>
  </si>
  <si>
    <t>1s</t>
  </si>
  <si>
    <t>570715000001588074</t>
  </si>
  <si>
    <t>1t</t>
  </si>
  <si>
    <t>570715000001588104</t>
  </si>
  <si>
    <t>570715000001588166</t>
  </si>
  <si>
    <t>1v</t>
  </si>
  <si>
    <t>570715000001588173</t>
  </si>
  <si>
    <t>1x</t>
  </si>
  <si>
    <t>570715000001588180</t>
  </si>
  <si>
    <t>571313174001641220</t>
  </si>
  <si>
    <t>V117-3.45 MW</t>
  </si>
  <si>
    <t>Faxe</t>
  </si>
  <si>
    <t>Turebyholm Hgd., Tureby</t>
  </si>
  <si>
    <t>1aa</t>
  </si>
  <si>
    <t>Vestas Wind Systems A/S V117-3.45 MW</t>
  </si>
  <si>
    <t>571313174001641237</t>
  </si>
  <si>
    <t>571313174001641244</t>
  </si>
  <si>
    <t>571313174001615306</t>
  </si>
  <si>
    <t>Rødby Fjord, Tirsted</t>
  </si>
  <si>
    <t>86a</t>
  </si>
  <si>
    <t>571313174001615313</t>
  </si>
  <si>
    <t>86b</t>
  </si>
  <si>
    <t>571313174001615320</t>
  </si>
  <si>
    <t>571313174001615337</t>
  </si>
  <si>
    <t>571313174001615344</t>
  </si>
  <si>
    <t>571313174001615368</t>
  </si>
  <si>
    <t>73a</t>
  </si>
  <si>
    <t>571313174001615375</t>
  </si>
  <si>
    <t>571313174001615382</t>
  </si>
  <si>
    <t>59a</t>
  </si>
  <si>
    <t>571313174001615399</t>
  </si>
  <si>
    <t>41b</t>
  </si>
  <si>
    <t>571313174001615405</t>
  </si>
  <si>
    <t>571313174001615412</t>
  </si>
  <si>
    <t>571313174001649981</t>
  </si>
  <si>
    <t>Frederiksdal Hgd, Sandby</t>
  </si>
  <si>
    <t>571313174001649998</t>
  </si>
  <si>
    <t>571313174001650000</t>
  </si>
  <si>
    <t>571313174001650024</t>
  </si>
  <si>
    <t>571313174001650031</t>
  </si>
  <si>
    <t>571313174001650055</t>
  </si>
  <si>
    <t>571313174001651656</t>
  </si>
  <si>
    <t>571313153190142459</t>
  </si>
  <si>
    <t>Kerteminde</t>
  </si>
  <si>
    <t>Vigerø-Lindø Inddæmning</t>
  </si>
  <si>
    <t>570715000001529053</t>
  </si>
  <si>
    <t>Varde</t>
  </si>
  <si>
    <t>Rousthøje By, Grimstrup</t>
  </si>
  <si>
    <t>27b</t>
  </si>
  <si>
    <t>570715000001529060</t>
  </si>
  <si>
    <t>28g</t>
  </si>
  <si>
    <t>570715000001529084</t>
  </si>
  <si>
    <t>6t</t>
  </si>
  <si>
    <t>570715000001529091</t>
  </si>
  <si>
    <t>13k</t>
  </si>
  <si>
    <t>570715000001529107</t>
  </si>
  <si>
    <t>Næsbjerg By, Næsbjerg</t>
  </si>
  <si>
    <t>570715000001529114</t>
  </si>
  <si>
    <t>5m</t>
  </si>
  <si>
    <t>570715000001529138</t>
  </si>
  <si>
    <t>5d</t>
  </si>
  <si>
    <t>570715000001529145</t>
  </si>
  <si>
    <t>1k</t>
  </si>
  <si>
    <t>570715000001529251</t>
  </si>
  <si>
    <t>2u</t>
  </si>
  <si>
    <t>570715000001529268</t>
  </si>
  <si>
    <t>3m</t>
  </si>
  <si>
    <t>571313134700402980</t>
  </si>
  <si>
    <t>V112-3.3MW</t>
  </si>
  <si>
    <t>Vemb By, Vemb</t>
  </si>
  <si>
    <t>14æ</t>
  </si>
  <si>
    <t>Vestas Wind Systems A/S V112-3.3MW</t>
  </si>
  <si>
    <t>Vestas.V112.3300</t>
  </si>
  <si>
    <t>571313134700402997</t>
  </si>
  <si>
    <t>14ø</t>
  </si>
  <si>
    <t>571313134700403000</t>
  </si>
  <si>
    <t>14aa</t>
  </si>
  <si>
    <t>571313134700403017</t>
  </si>
  <si>
    <t>22t</t>
  </si>
  <si>
    <t>571313134700403024</t>
  </si>
  <si>
    <t>22u</t>
  </si>
  <si>
    <t>571313134700403031</t>
  </si>
  <si>
    <t>22v</t>
  </si>
  <si>
    <t>571313134700403048</t>
  </si>
  <si>
    <t>18l</t>
  </si>
  <si>
    <t>571313134700403055</t>
  </si>
  <si>
    <t>18m</t>
  </si>
  <si>
    <t>571313134700403062</t>
  </si>
  <si>
    <t>18n</t>
  </si>
  <si>
    <t>571313134700403079</t>
  </si>
  <si>
    <t>Bur By, Bur</t>
  </si>
  <si>
    <t>14n</t>
  </si>
  <si>
    <t>571313134700403086</t>
  </si>
  <si>
    <t>14o</t>
  </si>
  <si>
    <t>571313134700403093</t>
  </si>
  <si>
    <t>14p</t>
  </si>
  <si>
    <t>571313134700404335</t>
  </si>
  <si>
    <t>Den Vestlige Del, Idom</t>
  </si>
  <si>
    <t>571313134700404342</t>
  </si>
  <si>
    <t>V112-3.0MW</t>
  </si>
  <si>
    <t>Stenum Hgd., Råsted</t>
  </si>
  <si>
    <t>Vestas Wind Systems A/S V112-3.0MW</t>
  </si>
  <si>
    <t>Vestas.V112.3000</t>
  </si>
  <si>
    <t>571313134700404359</t>
  </si>
  <si>
    <t>7g</t>
  </si>
  <si>
    <t>571313134700404366</t>
  </si>
  <si>
    <t>570715000001546470</t>
  </si>
  <si>
    <t>Brønderslev</t>
  </si>
  <si>
    <t>Ø. Brønderslev By, Ø. Brønderslev</t>
  </si>
  <si>
    <t>570715000001546524</t>
  </si>
  <si>
    <t>1c</t>
  </si>
  <si>
    <t>570715000001546555</t>
  </si>
  <si>
    <t>69a</t>
  </si>
  <si>
    <t>570715000001589798</t>
  </si>
  <si>
    <t>V112-3,45MW</t>
  </si>
  <si>
    <t>Del 1 af 7a, Asaa BY, Asaa-Melholt</t>
  </si>
  <si>
    <t>Vestas Wind Systems A/S V112-3,45MW</t>
  </si>
  <si>
    <r>
      <rPr>
        <b val="1"/>
        <sz val="12"/>
        <color indexed="8"/>
        <rFont val="Calibri"/>
      </rPr>
      <t>Vestas.V112.3300</t>
    </r>
  </si>
  <si>
    <t>570715000001589828</t>
  </si>
  <si>
    <t>Del nr. 2 af 7a, Asaa By, Asaa-Melholt</t>
  </si>
  <si>
    <t>570715000001589842</t>
  </si>
  <si>
    <t>Del nr. 3 af 7a, Asaa By, Asaa-Melholt</t>
  </si>
  <si>
    <t>570715000001589859</t>
  </si>
  <si>
    <t>Del nr. 4 af 5i, Asaa By, Asaa-Melholt</t>
  </si>
  <si>
    <t>5i</t>
  </si>
  <si>
    <t>570715000001589880</t>
  </si>
  <si>
    <t>Del nr. 5 af 6e, Asaa By, Asaa-Melholt</t>
  </si>
  <si>
    <t>6e</t>
  </si>
  <si>
    <t>570715000001551405</t>
  </si>
  <si>
    <t>Gårestrup BY, Sct Olai</t>
  </si>
  <si>
    <t>570715000001551436</t>
  </si>
  <si>
    <t>570715000001551443</t>
  </si>
  <si>
    <t>570715000001556271</t>
  </si>
  <si>
    <t>Høgsted By, Vrejlev</t>
  </si>
  <si>
    <t>2v</t>
  </si>
  <si>
    <t>570715000001556288</t>
  </si>
  <si>
    <t>2x</t>
  </si>
  <si>
    <t>570715000001556295</t>
  </si>
  <si>
    <t>570715000001556301</t>
  </si>
  <si>
    <t>Guldager By, Vrejlev</t>
  </si>
  <si>
    <t>8af</t>
  </si>
  <si>
    <t>570715000001556318</t>
  </si>
  <si>
    <t>570715000001583017</t>
  </si>
  <si>
    <t>SWT-3.2-113 DD</t>
  </si>
  <si>
    <t>Ålborg</t>
  </si>
  <si>
    <t>Lyngdrup By, Horsens</t>
  </si>
  <si>
    <t>SIEMENS SWT-3.2-113 DD</t>
  </si>
  <si>
    <t>570715000001583024</t>
  </si>
  <si>
    <t>6g</t>
  </si>
  <si>
    <t>570715000001583031</t>
  </si>
  <si>
    <t>6h</t>
  </si>
  <si>
    <t>570715000001583048</t>
  </si>
  <si>
    <t>6i</t>
  </si>
  <si>
    <t>570715000001583055</t>
  </si>
  <si>
    <t>Langholt Hgd., Horsens</t>
  </si>
  <si>
    <t>570715000001583062</t>
  </si>
  <si>
    <t>570715000001583079</t>
  </si>
  <si>
    <t>570715000001583086</t>
  </si>
  <si>
    <t>5p</t>
  </si>
  <si>
    <t>571313174001641251</t>
  </si>
  <si>
    <t>V117-3.3 MW</t>
  </si>
  <si>
    <t>Vestas Wind Systems A/S V117-3.3 MW</t>
  </si>
  <si>
    <t>571313174001641268</t>
  </si>
  <si>
    <t>571313174000817787</t>
  </si>
  <si>
    <t>Maglemer By, Hunseby</t>
  </si>
  <si>
    <t>571313174000817800</t>
  </si>
  <si>
    <t>10a</t>
  </si>
  <si>
    <t>571313174000817817</t>
  </si>
  <si>
    <t>571313174000832711</t>
  </si>
  <si>
    <t>Engelholm Hgd., Snesere</t>
  </si>
  <si>
    <t>1g</t>
  </si>
  <si>
    <t>571313174000832742</t>
  </si>
  <si>
    <t>571313174000832759</t>
  </si>
  <si>
    <t>571313153190142435</t>
  </si>
  <si>
    <t>571313153190142473</t>
  </si>
  <si>
    <t>Vigerø - Lindø Inddæmning</t>
  </si>
  <si>
    <t>571313134700402607</t>
  </si>
  <si>
    <t>Brejnholt Gde, Tvis</t>
  </si>
  <si>
    <t>571313134700402614</t>
  </si>
  <si>
    <t>Gedbo, Tvis</t>
  </si>
  <si>
    <t>571313134700402621</t>
  </si>
  <si>
    <t>571313134700402638</t>
  </si>
  <si>
    <t>571313134700402386</t>
  </si>
  <si>
    <t>Møborg Ejerlav, Møborg</t>
  </si>
  <si>
    <t>571313134700402393</t>
  </si>
  <si>
    <t>571313134700402409</t>
  </si>
  <si>
    <t>10s</t>
  </si>
  <si>
    <t>571313134700402416</t>
  </si>
  <si>
    <t>571313134700402423</t>
  </si>
  <si>
    <t>13c</t>
  </si>
  <si>
    <t>571313134700402669</t>
  </si>
  <si>
    <t>DW/52-521-10</t>
  </si>
  <si>
    <t>Ramme Hovedgård, Ramme</t>
  </si>
  <si>
    <t>7ap</t>
  </si>
  <si>
    <t>Vestas Wind Systems A/S DW/52-521-10</t>
  </si>
  <si>
    <t>571313134700402676</t>
  </si>
  <si>
    <t>571313134700402683</t>
  </si>
  <si>
    <t>7r</t>
  </si>
  <si>
    <t>571313134700402690</t>
  </si>
  <si>
    <t>7f</t>
  </si>
  <si>
    <t>571313134700402706</t>
  </si>
  <si>
    <t>11a</t>
  </si>
  <si>
    <t>571313134700402713</t>
  </si>
  <si>
    <t>21a</t>
  </si>
  <si>
    <t>570715000000976124</t>
  </si>
  <si>
    <t>Ø. Lem By, sdr. Lem</t>
  </si>
  <si>
    <t>15i</t>
  </si>
  <si>
    <t>571313134808514912</t>
  </si>
  <si>
    <t>Degneboligen Ølstrup</t>
  </si>
  <si>
    <t>16o</t>
  </si>
  <si>
    <t>571313134808515018</t>
  </si>
  <si>
    <t>28f</t>
  </si>
  <si>
    <t>571313134808515117</t>
  </si>
  <si>
    <t>15q</t>
  </si>
  <si>
    <t>571313134808515216</t>
  </si>
  <si>
    <t>14t</t>
  </si>
  <si>
    <t>571313134808515315</t>
  </si>
  <si>
    <t>14u</t>
  </si>
  <si>
    <t>571313134808515414</t>
  </si>
  <si>
    <t>14v</t>
  </si>
  <si>
    <t>571313134808515513</t>
  </si>
  <si>
    <t>18ø</t>
  </si>
  <si>
    <t>571313134808515612</t>
  </si>
  <si>
    <t>Den sydlige del, No</t>
  </si>
  <si>
    <t>45t</t>
  </si>
  <si>
    <t>571313134808515711</t>
  </si>
  <si>
    <t>45u</t>
  </si>
  <si>
    <t>571313134808515810</t>
  </si>
  <si>
    <t>64e</t>
  </si>
  <si>
    <t>571313134808515919</t>
  </si>
  <si>
    <t>19ab</t>
  </si>
  <si>
    <t>571313134808516015</t>
  </si>
  <si>
    <t>16p</t>
  </si>
  <si>
    <t>571313134808516114</t>
  </si>
  <si>
    <t>17n</t>
  </si>
  <si>
    <t>571313134808516213</t>
  </si>
  <si>
    <t>17o</t>
  </si>
  <si>
    <t>571313134808516312</t>
  </si>
  <si>
    <t>17p</t>
  </si>
  <si>
    <t>571313134808516411</t>
  </si>
  <si>
    <t>17q</t>
  </si>
  <si>
    <t>571313134808516510</t>
  </si>
  <si>
    <t>19z</t>
  </si>
  <si>
    <t>571313134808516619</t>
  </si>
  <si>
    <t>19æ</t>
  </si>
  <si>
    <t>571313134808516718</t>
  </si>
  <si>
    <t>19ø</t>
  </si>
  <si>
    <t>571313134808516817</t>
  </si>
  <si>
    <t>43m</t>
  </si>
  <si>
    <t>571313134808516916</t>
  </si>
  <si>
    <t>62n</t>
  </si>
  <si>
    <t>571313134808517012</t>
  </si>
  <si>
    <t>62o</t>
  </si>
  <si>
    <t>570715000002056534</t>
  </si>
  <si>
    <t>Ukendt-Vestas-VIND</t>
  </si>
  <si>
    <t>4M</t>
  </si>
  <si>
    <t>Vestas Wind Systems A/S Ukendt-Vestas-VIND</t>
  </si>
  <si>
    <t>570715000001434111</t>
  </si>
  <si>
    <t>Østrup By, Saltum</t>
  </si>
  <si>
    <t>570715000001434128</t>
  </si>
  <si>
    <t>570715000001434135</t>
  </si>
  <si>
    <t>6b</t>
  </si>
  <si>
    <t>570715000001434159</t>
  </si>
  <si>
    <t>9a</t>
  </si>
  <si>
    <t>570715000001434166</t>
  </si>
  <si>
    <t>2c</t>
  </si>
  <si>
    <t>570715000001434173</t>
  </si>
  <si>
    <t>571313174000828837</t>
  </si>
  <si>
    <t>Kalundborg</t>
  </si>
  <si>
    <t>Ågård HGD Gørlev</t>
  </si>
  <si>
    <t>571313174000828844</t>
  </si>
  <si>
    <t>Bakkendrup, Bakkendrup</t>
  </si>
  <si>
    <t>570715000001571960</t>
  </si>
  <si>
    <t>Vejle</t>
  </si>
  <si>
    <t>Gammelby By, Ringive</t>
  </si>
  <si>
    <t>570715000001574909</t>
  </si>
  <si>
    <t>8b</t>
  </si>
  <si>
    <t>570715000001574916</t>
  </si>
  <si>
    <t>570715000001587268</t>
  </si>
  <si>
    <t>SWT-3.2-101 DD</t>
  </si>
  <si>
    <t>Svindbæk By, Thyregod</t>
  </si>
  <si>
    <t>4c</t>
  </si>
  <si>
    <t>Siemens Wind Power A/S SWT-3.2-101 DD</t>
  </si>
  <si>
    <t>570715000001587282</t>
  </si>
  <si>
    <t>Svindbæk by, Thyregod</t>
  </si>
  <si>
    <t>570715000001587299</t>
  </si>
  <si>
    <t>570715000001587305</t>
  </si>
  <si>
    <t>571313114900963559</t>
  </si>
  <si>
    <t>Ørrild By, Fårup</t>
  </si>
  <si>
    <t>571313114900963573</t>
  </si>
  <si>
    <t>4v</t>
  </si>
  <si>
    <t>571313114900963597</t>
  </si>
  <si>
    <t>4x</t>
  </si>
  <si>
    <t>570715000001291974</t>
  </si>
  <si>
    <t>SWT 3.0-101</t>
  </si>
  <si>
    <t>Dørslund By, Brande</t>
  </si>
  <si>
    <t>3y</t>
  </si>
  <si>
    <t>SIEMENS SWT 3.0-101</t>
  </si>
  <si>
    <t>Siemens.SWT.3.0.101</t>
  </si>
  <si>
    <t>570715000001561800</t>
  </si>
  <si>
    <t>Kidmose Gde., Ejstrup</t>
  </si>
  <si>
    <t>2r</t>
  </si>
  <si>
    <t>570715000001561817</t>
  </si>
  <si>
    <t>570715000001587312</t>
  </si>
  <si>
    <t>570715000001587329</t>
  </si>
  <si>
    <t>570715000001587336</t>
  </si>
  <si>
    <t>8g</t>
  </si>
  <si>
    <t>570715000001587343</t>
  </si>
  <si>
    <t>570715000001587350</t>
  </si>
  <si>
    <t>8m</t>
  </si>
  <si>
    <t>570715000001587367</t>
  </si>
  <si>
    <t>8d</t>
  </si>
  <si>
    <t>571313113162128317</t>
  </si>
  <si>
    <t>Skive</t>
  </si>
  <si>
    <t>Nr. Andrup, Krejbjerg</t>
  </si>
  <si>
    <t>1m</t>
  </si>
  <si>
    <t>571313113162128348</t>
  </si>
  <si>
    <t>571313113162128379</t>
  </si>
  <si>
    <t>571313104402924486</t>
  </si>
  <si>
    <t>Volstrup, Rørbæk</t>
  </si>
  <si>
    <t>1ab</t>
  </si>
  <si>
    <t>571313104402924516</t>
  </si>
  <si>
    <t>571313104402924530</t>
  </si>
  <si>
    <t>1ac</t>
  </si>
  <si>
    <t>571313104402924554</t>
  </si>
  <si>
    <t>1ad</t>
  </si>
  <si>
    <t>571313104402924448</t>
  </si>
  <si>
    <t>Døstrup By, Døstrup</t>
  </si>
  <si>
    <t>5t</t>
  </si>
  <si>
    <t>570715000001443687</t>
  </si>
  <si>
    <t>Klim By, Klim</t>
  </si>
  <si>
    <t>33d</t>
  </si>
  <si>
    <t>570715000001443717</t>
  </si>
  <si>
    <t>38a</t>
  </si>
  <si>
    <t>570715000001443724</t>
  </si>
  <si>
    <t>39e</t>
  </si>
  <si>
    <t>570715000001443731</t>
  </si>
  <si>
    <t>40c</t>
  </si>
  <si>
    <t>570715000001443755</t>
  </si>
  <si>
    <t>570715000001443762</t>
  </si>
  <si>
    <t>570715000001443779</t>
  </si>
  <si>
    <t>570715000001443786</t>
  </si>
  <si>
    <t>570715000001443809</t>
  </si>
  <si>
    <t>V. Torup By, Torup</t>
  </si>
  <si>
    <t>3l</t>
  </si>
  <si>
    <t>570715000001443830</t>
  </si>
  <si>
    <t>570715000001443847</t>
  </si>
  <si>
    <t>Ullerup By, V. Torup</t>
  </si>
  <si>
    <t>570715000001443861</t>
  </si>
  <si>
    <t>570715000001443878</t>
  </si>
  <si>
    <t>11c</t>
  </si>
  <si>
    <t>570715000001443885</t>
  </si>
  <si>
    <t>570715000001443892</t>
  </si>
  <si>
    <t>570715000001443908</t>
  </si>
  <si>
    <t>39c</t>
  </si>
  <si>
    <t>570715000001443915</t>
  </si>
  <si>
    <t>570715000001443922</t>
  </si>
  <si>
    <t>570715000001443939</t>
  </si>
  <si>
    <t>570715000001443960</t>
  </si>
  <si>
    <t>570715000001444028</t>
  </si>
  <si>
    <t>570715000001450074</t>
  </si>
  <si>
    <t>570715000000719868</t>
  </si>
  <si>
    <t>Billund</t>
  </si>
  <si>
    <t>Jerrig by, Grindsted</t>
  </si>
  <si>
    <t>2b</t>
  </si>
  <si>
    <t>570715000000721793</t>
  </si>
  <si>
    <t>570715000000722233</t>
  </si>
  <si>
    <t>Jeerrig by</t>
  </si>
  <si>
    <t>2p</t>
  </si>
  <si>
    <t>570715000001262271</t>
  </si>
  <si>
    <t>Urup</t>
  </si>
  <si>
    <t>570715000001262400</t>
  </si>
  <si>
    <t>570715000001262561</t>
  </si>
  <si>
    <t>570715000001262660</t>
  </si>
  <si>
    <t>570715000001262684</t>
  </si>
  <si>
    <t>570715000001264855</t>
  </si>
  <si>
    <t>570715000000477539</t>
  </si>
  <si>
    <t>Helleskov, Vildbjerg</t>
  </si>
  <si>
    <t>17b</t>
  </si>
  <si>
    <t>570715000000478109</t>
  </si>
  <si>
    <t>21b</t>
  </si>
  <si>
    <t>570715000000478475</t>
  </si>
  <si>
    <t>571313134808514110</t>
  </si>
  <si>
    <t>Heden Timring</t>
  </si>
  <si>
    <t>1ks</t>
  </si>
  <si>
    <t>571313134808514219</t>
  </si>
  <si>
    <t>1kl</t>
  </si>
  <si>
    <t>571313134808514318</t>
  </si>
  <si>
    <t>3bk</t>
  </si>
  <si>
    <t>571313134808514417</t>
  </si>
  <si>
    <t>3bl</t>
  </si>
  <si>
    <t>570715000000107573</t>
  </si>
  <si>
    <t>3 MW/112</t>
  </si>
  <si>
    <t>Møborg ejerlaug, Møborg</t>
  </si>
  <si>
    <t>Vestas Wind Systems A/S 3 MW/112</t>
  </si>
  <si>
    <t>570715000000107610</t>
  </si>
  <si>
    <t>bb</t>
  </si>
  <si>
    <t>570715000000107627</t>
  </si>
  <si>
    <t>571313134700402300</t>
  </si>
  <si>
    <t>Ausumgård Hgd., Vejrum</t>
  </si>
  <si>
    <t>571313134700402317</t>
  </si>
  <si>
    <t>571313134700402324</t>
  </si>
  <si>
    <t>571313134700402331</t>
  </si>
  <si>
    <t>570715000000146398</t>
  </si>
  <si>
    <t>Ø.Lem by, Sdr. Lem</t>
  </si>
  <si>
    <t>29f</t>
  </si>
  <si>
    <t>570715000000146411</t>
  </si>
  <si>
    <t>71i</t>
  </si>
  <si>
    <t>570715000000146428</t>
  </si>
  <si>
    <t>24g</t>
  </si>
  <si>
    <t>570715000000146435</t>
  </si>
  <si>
    <t>570715000000146442</t>
  </si>
  <si>
    <t>Holmgård, Sdr. Lem</t>
  </si>
  <si>
    <t>1af</t>
  </si>
  <si>
    <t>570715000000146459</t>
  </si>
  <si>
    <t>16m</t>
  </si>
  <si>
    <t>570715000000146480</t>
  </si>
  <si>
    <t>Den nordlige del, Velling</t>
  </si>
  <si>
    <t>53i</t>
  </si>
  <si>
    <t>570715000000146497</t>
  </si>
  <si>
    <t>53h</t>
  </si>
  <si>
    <t>570715000000148460</t>
  </si>
  <si>
    <t>Hemmet Præstegård</t>
  </si>
  <si>
    <t>570715000000149900</t>
  </si>
  <si>
    <t>18d</t>
  </si>
  <si>
    <t>570715000000149962</t>
  </si>
  <si>
    <t>570715000000149993</t>
  </si>
  <si>
    <t>5e</t>
  </si>
  <si>
    <t>570715000000150128</t>
  </si>
  <si>
    <t>15p</t>
  </si>
  <si>
    <t>570715000000150142</t>
  </si>
  <si>
    <t>570715000000150159</t>
  </si>
  <si>
    <t>570715000000152740</t>
  </si>
  <si>
    <t>Søgård Hgd., Holmsland Klit</t>
  </si>
  <si>
    <t>11q</t>
  </si>
  <si>
    <t>570715000000152757</t>
  </si>
  <si>
    <t>11dd</t>
  </si>
  <si>
    <t>570715000000152764</t>
  </si>
  <si>
    <t>11ef</t>
  </si>
  <si>
    <t>570715000000242113</t>
  </si>
  <si>
    <t>Den østlige del, Nr. Vium</t>
  </si>
  <si>
    <t>570715000000242649</t>
  </si>
  <si>
    <t>Den Østlige det, Nr. Vium</t>
  </si>
  <si>
    <t>570715000000242731</t>
  </si>
  <si>
    <t>Den østlige Del, Nr. Vium</t>
  </si>
  <si>
    <t>570715000000243134</t>
  </si>
  <si>
    <t>3n</t>
  </si>
  <si>
    <t>570715000000243615</t>
  </si>
  <si>
    <t>Den østlie Del, Nr. Vium</t>
  </si>
  <si>
    <t>570715000000244070</t>
  </si>
  <si>
    <t>3q</t>
  </si>
  <si>
    <t>571313113161547355</t>
  </si>
  <si>
    <t>Viborg</t>
  </si>
  <si>
    <t>V. Børsting By, Vroue</t>
  </si>
  <si>
    <t>6y</t>
  </si>
  <si>
    <t>571313113161547386</t>
  </si>
  <si>
    <t>9s</t>
  </si>
  <si>
    <t>570715000000212505</t>
  </si>
  <si>
    <t>Bolle Fjerding, Dronninglund</t>
  </si>
  <si>
    <t>64l</t>
  </si>
  <si>
    <t>570715000000212512</t>
  </si>
  <si>
    <t>42m</t>
  </si>
  <si>
    <t>570715000000212529</t>
  </si>
  <si>
    <t>42n</t>
  </si>
  <si>
    <t>570715000001273956</t>
  </si>
  <si>
    <t>Kraghedens Vestlige Del Ø</t>
  </si>
  <si>
    <t>1al</t>
  </si>
  <si>
    <t>570715000001273994</t>
  </si>
  <si>
    <t>570715000001274052</t>
  </si>
  <si>
    <t>570715000001274076</t>
  </si>
  <si>
    <t>570715000001306876</t>
  </si>
  <si>
    <t>Ørndrup Hovedgård</t>
  </si>
  <si>
    <t>570715000001306951</t>
  </si>
  <si>
    <t>Krogstrup By</t>
  </si>
  <si>
    <t>7h</t>
  </si>
  <si>
    <t>570715000001307002</t>
  </si>
  <si>
    <t>570715000001307026</t>
  </si>
  <si>
    <t>570715000000161001</t>
  </si>
  <si>
    <t>Lerchenborg Hdg., Årby</t>
  </si>
  <si>
    <t>570715000000161018</t>
  </si>
  <si>
    <t>570715000000161025</t>
  </si>
  <si>
    <t>Lerchenborg Hdg.,Årby</t>
  </si>
  <si>
    <t>570715000000161032</t>
  </si>
  <si>
    <t>Lerchenborg Hdg. Årby</t>
  </si>
  <si>
    <t>570715000000161049</t>
  </si>
  <si>
    <t>570715000000161056</t>
  </si>
  <si>
    <t>571313174000602109</t>
  </si>
  <si>
    <t>Kragerupgård Hdg., Ørslev</t>
  </si>
  <si>
    <t>571313174000602116</t>
  </si>
  <si>
    <t>Kragerupgård Hdg, Ørslev</t>
  </si>
  <si>
    <t>571313174000602123</t>
  </si>
  <si>
    <t>571313174000602130</t>
  </si>
  <si>
    <t>571313174000602147</t>
  </si>
  <si>
    <t>571313174000602154</t>
  </si>
  <si>
    <t>570715000000088650</t>
  </si>
  <si>
    <t>V 90 3</t>
  </si>
  <si>
    <t>Slagelse</t>
  </si>
  <si>
    <t>GST, 18-02-2013</t>
  </si>
  <si>
    <t>Vestas Wind Systems A/S V 90 3</t>
  </si>
  <si>
    <t>Vestas.V90.3000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</si>
  <si>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</si>
  <si>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</si>
  <si>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</si>
  <si>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</si>
  <si>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</si>
  <si>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</si>
  <si>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570714700000105845</t>
  </si>
  <si>
    <t>V 90-3 MW</t>
  </si>
  <si>
    <t>Savnsø Vig, Vestenskov</t>
  </si>
  <si>
    <t>1i</t>
  </si>
  <si>
    <t>Vestas Wind Systems A/S V 90-3 MW</t>
  </si>
  <si>
    <t>570714700000105852</t>
  </si>
  <si>
    <t>570714700000105869</t>
  </si>
  <si>
    <t>571313174000787301</t>
  </si>
  <si>
    <t>SWT-3.0-113 DD</t>
  </si>
  <si>
    <t>Utterslev by, Utterslev</t>
  </si>
  <si>
    <t>SIEMENS SWT-3.0-113 DD</t>
  </si>
  <si>
    <t>571313174000787318</t>
  </si>
  <si>
    <t>571313174000787325</t>
  </si>
  <si>
    <t>571313174000787370</t>
  </si>
  <si>
    <t>Tjørneby By, Utterslev</t>
  </si>
  <si>
    <t>571313174000787387</t>
  </si>
  <si>
    <t>Utterslev By, Utterslev</t>
  </si>
  <si>
    <t>571313174000799045</t>
  </si>
  <si>
    <t>Søllestedgård, Søllested</t>
  </si>
  <si>
    <t>571313174000799052</t>
  </si>
  <si>
    <t>571313174000799069</t>
  </si>
  <si>
    <t>570715000000091834</t>
  </si>
  <si>
    <t>Langeland</t>
  </si>
  <si>
    <t>Lejbølle by, Bøstrup</t>
  </si>
  <si>
    <t>570715000000091896</t>
  </si>
  <si>
    <t>13f</t>
  </si>
  <si>
    <t>570715000000103582</t>
  </si>
  <si>
    <t>6q</t>
  </si>
  <si>
    <t>570715000000601309</t>
  </si>
  <si>
    <t>Gilbjerg By, Hejnsvig</t>
  </si>
  <si>
    <t>570715000000601316</t>
  </si>
  <si>
    <t>570715000000601323</t>
  </si>
  <si>
    <t>570715000000601330</t>
  </si>
  <si>
    <t>2o</t>
  </si>
  <si>
    <t>570715000000650505</t>
  </si>
  <si>
    <t>Ovnbøl by, Thorstrup</t>
  </si>
  <si>
    <t>3f</t>
  </si>
  <si>
    <t>570715000000650703</t>
  </si>
  <si>
    <t>570715000000651342</t>
  </si>
  <si>
    <t>570715000000651779</t>
  </si>
  <si>
    <t>570715000000095436</t>
  </si>
  <si>
    <t>Aabenraa</t>
  </si>
  <si>
    <t>Rens Burkal</t>
  </si>
  <si>
    <t>570715000000095443</t>
  </si>
  <si>
    <t>570715000000095450</t>
  </si>
  <si>
    <t>570715000000097461</t>
  </si>
  <si>
    <t>570715000000097478</t>
  </si>
  <si>
    <t>570715000001279507</t>
  </si>
  <si>
    <t>Kibæk By, Assing</t>
  </si>
  <si>
    <t>70bc</t>
  </si>
  <si>
    <t>570715000001282224</t>
  </si>
  <si>
    <t>10az</t>
  </si>
  <si>
    <t>570715000001282231</t>
  </si>
  <si>
    <t>10aæ</t>
  </si>
  <si>
    <t>570715000000087097</t>
  </si>
  <si>
    <t>3 MW</t>
  </si>
  <si>
    <t>Nees By, Nees</t>
  </si>
  <si>
    <t>Vestas Wind Systems A/S 3 MW</t>
  </si>
  <si>
    <t>570715000000087103</t>
  </si>
  <si>
    <t>2af</t>
  </si>
  <si>
    <t>570715000000087110</t>
  </si>
  <si>
    <t>2cz</t>
  </si>
  <si>
    <t>570715000000176180</t>
  </si>
  <si>
    <t>Kvistrup Hgd. Gimsing</t>
  </si>
  <si>
    <t>1r</t>
  </si>
  <si>
    <t>570715000000176517</t>
  </si>
  <si>
    <t>1bk</t>
  </si>
  <si>
    <t>570715000000176524</t>
  </si>
  <si>
    <t>Kvistrup Hgd., Gimsing</t>
  </si>
  <si>
    <t>570715000001291813</t>
  </si>
  <si>
    <t>570715000001291875</t>
  </si>
  <si>
    <t>570715000001291998</t>
  </si>
  <si>
    <t>570715000000086793</t>
  </si>
  <si>
    <t>Kelstrup</t>
  </si>
  <si>
    <t>570715000000087158</t>
  </si>
  <si>
    <t>570715000000087165</t>
  </si>
  <si>
    <t>570715000000090899</t>
  </si>
  <si>
    <t>Søgård hdg., Nysogn</t>
  </si>
  <si>
    <t>98h</t>
  </si>
  <si>
    <t>570715000000090905</t>
  </si>
  <si>
    <t>93e</t>
  </si>
  <si>
    <t>570715000000090912</t>
  </si>
  <si>
    <t>309a</t>
  </si>
  <si>
    <t>570715000000090929</t>
  </si>
  <si>
    <t>Strandgårde Gammelsogn</t>
  </si>
  <si>
    <t>11k</t>
  </si>
  <si>
    <t>570715000000090936</t>
  </si>
  <si>
    <t>14l</t>
  </si>
  <si>
    <t>570715000000095252</t>
  </si>
  <si>
    <t>Bandbøl By, Hemmet</t>
  </si>
  <si>
    <t>5h</t>
  </si>
  <si>
    <t>570715000000095283</t>
  </si>
  <si>
    <t>21f</t>
  </si>
  <si>
    <t>570715000000095290</t>
  </si>
  <si>
    <t>570715000000095306</t>
  </si>
  <si>
    <t>8e</t>
  </si>
  <si>
    <t>570715000000095313</t>
  </si>
  <si>
    <t>16d</t>
  </si>
  <si>
    <t>570715000000095320</t>
  </si>
  <si>
    <t>55a</t>
  </si>
  <si>
    <t>570715000000095337</t>
  </si>
  <si>
    <t>Ådum Kirkeby</t>
  </si>
  <si>
    <t>3b</t>
  </si>
  <si>
    <t>570715000000095344</t>
  </si>
  <si>
    <t>570715000000095368</t>
  </si>
  <si>
    <t>570715000000095375</t>
  </si>
  <si>
    <t>570715000000095382</t>
  </si>
  <si>
    <t>3d</t>
  </si>
  <si>
    <t>570715000000095399</t>
  </si>
  <si>
    <t>570715000000095405</t>
  </si>
  <si>
    <t>8a</t>
  </si>
  <si>
    <t>570715000000095412</t>
  </si>
  <si>
    <t>570715000000106743</t>
  </si>
  <si>
    <t>Barde By, Vorgod</t>
  </si>
  <si>
    <t>6r</t>
  </si>
  <si>
    <t>570715000000106750</t>
  </si>
  <si>
    <t>7t</t>
  </si>
  <si>
    <t>570715000000106774</t>
  </si>
  <si>
    <t>570715000000106842</t>
  </si>
  <si>
    <t>570715000000106859</t>
  </si>
  <si>
    <t>571313134808513816</t>
  </si>
  <si>
    <t>den østlige del, Falster</t>
  </si>
  <si>
    <t>10ai</t>
  </si>
  <si>
    <t>571313134808513915</t>
  </si>
  <si>
    <t>571313134808514011</t>
  </si>
  <si>
    <t>12b</t>
  </si>
  <si>
    <t>571313134808514516</t>
  </si>
  <si>
    <t>Videbæk by, Videbæk</t>
  </si>
  <si>
    <t>1apz</t>
  </si>
  <si>
    <t>571313134808514615</t>
  </si>
  <si>
    <t>1apæ</t>
  </si>
  <si>
    <t>571313134808514714</t>
  </si>
  <si>
    <t>1apø</t>
  </si>
  <si>
    <t>571313134808514813</t>
  </si>
  <si>
    <t>3hh</t>
  </si>
  <si>
    <t>571313134808517418</t>
  </si>
  <si>
    <t>Søgård Hgd., Nysogn</t>
  </si>
  <si>
    <t>155c</t>
  </si>
  <si>
    <t>571313134808517517</t>
  </si>
  <si>
    <t>3cc</t>
  </si>
  <si>
    <t>571313134808517616</t>
  </si>
  <si>
    <t>23s</t>
  </si>
  <si>
    <t>571313134808517715</t>
  </si>
  <si>
    <t>9as</t>
  </si>
  <si>
    <t>571313134808517814</t>
  </si>
  <si>
    <t>9at</t>
  </si>
  <si>
    <t>570715000001408501</t>
  </si>
  <si>
    <t>Morsø</t>
  </si>
  <si>
    <t>Outrup By, Outrup</t>
  </si>
  <si>
    <t>1ar</t>
  </si>
  <si>
    <t>570715000001408518</t>
  </si>
  <si>
    <t>570715000001408525</t>
  </si>
  <si>
    <t>Rakke By, Rakkeby</t>
  </si>
  <si>
    <t>570715000001408532</t>
  </si>
  <si>
    <t>Redsted By, Redstedby</t>
  </si>
  <si>
    <t>4k</t>
  </si>
  <si>
    <t>570715000001408549</t>
  </si>
  <si>
    <t>6ak</t>
  </si>
  <si>
    <t>570715000001408556</t>
  </si>
  <si>
    <t>1am</t>
  </si>
  <si>
    <t>570715000000564864</t>
  </si>
  <si>
    <t>Østergård Hgd., Åsted</t>
  </si>
  <si>
    <t>1aø</t>
  </si>
  <si>
    <t>570715000000565014</t>
  </si>
  <si>
    <t>1ba</t>
  </si>
  <si>
    <t>570715000000565137</t>
  </si>
  <si>
    <t>1bb</t>
  </si>
  <si>
    <t>570715000000565281</t>
  </si>
  <si>
    <t>1bc</t>
  </si>
  <si>
    <t>571313113161548116</t>
  </si>
  <si>
    <t>Jens Jepsen Jørgens, Viumvej 21, 7870 Roslev</t>
  </si>
  <si>
    <t>571313113161548147</t>
  </si>
  <si>
    <t>13b</t>
  </si>
  <si>
    <t>571313113161548178</t>
  </si>
  <si>
    <t>Salling Entreprenørfirma AS Lysenvej 15 7870 Roslev</t>
  </si>
  <si>
    <t>9ø</t>
  </si>
  <si>
    <t>571313113161548208</t>
  </si>
  <si>
    <t>Gert Marcussen Viumvej 17 7870 Roslev</t>
  </si>
  <si>
    <t>9bh</t>
  </si>
  <si>
    <t>571313113161548239</t>
  </si>
  <si>
    <t>Jens Peter Nannerup Sallingsundvej 4 7870 Roslev</t>
  </si>
  <si>
    <t>571313113161556227</t>
  </si>
  <si>
    <t>Ll. Thorum By, Thorum</t>
  </si>
  <si>
    <t>571313113161556258</t>
  </si>
  <si>
    <t>Lindum By, Selde</t>
  </si>
  <si>
    <t>21c</t>
  </si>
  <si>
    <t>571313113161556289</t>
  </si>
  <si>
    <t>21d</t>
  </si>
  <si>
    <t>571313113161556319</t>
  </si>
  <si>
    <t>7m</t>
  </si>
  <si>
    <t>570715000000602795</t>
  </si>
  <si>
    <t>Hejring by, Klejtrup</t>
  </si>
  <si>
    <t>570715000000603372</t>
  </si>
  <si>
    <t>9f</t>
  </si>
  <si>
    <t>571313113161591112</t>
  </si>
  <si>
    <t>Gammelstrup By, Gammelstrup</t>
  </si>
  <si>
    <t>571313113161591143</t>
  </si>
  <si>
    <t>571313113161591174</t>
  </si>
  <si>
    <t>571313103103586443</t>
  </si>
  <si>
    <t>Kvisselholtgård, Dronninglund</t>
  </si>
  <si>
    <t>571313103103586450</t>
  </si>
  <si>
    <t>Voergård Hgd., Voer</t>
  </si>
  <si>
    <t>571313103103586467</t>
  </si>
  <si>
    <t>571313103103586474</t>
  </si>
  <si>
    <t>571313103103586481</t>
  </si>
  <si>
    <t>571313103103586498</t>
  </si>
  <si>
    <t>570715000000057458</t>
  </si>
  <si>
    <t>Frederikshavn</t>
  </si>
  <si>
    <t>Frederikshavn Byggrunde</t>
  </si>
  <si>
    <t>507a</t>
  </si>
  <si>
    <t>570715000000057472</t>
  </si>
  <si>
    <t>maltrev</t>
  </si>
  <si>
    <t>571313103103588461</t>
  </si>
  <si>
    <t>Den Nordøstlige Del, Torslev</t>
  </si>
  <si>
    <t>571313103103588478</t>
  </si>
  <si>
    <t>571313103103588485</t>
  </si>
  <si>
    <t>18a</t>
  </si>
  <si>
    <t>571313103103588492</t>
  </si>
  <si>
    <t>570715000000144219</t>
  </si>
  <si>
    <t>Ll. Restrup Hdg. Hvam</t>
  </si>
  <si>
    <t>1 aæ</t>
  </si>
  <si>
    <t>570715000000144233</t>
  </si>
  <si>
    <t>1 az</t>
  </si>
  <si>
    <t>570715000000144240</t>
  </si>
  <si>
    <t>1 aø</t>
  </si>
  <si>
    <t>570715000000144264</t>
  </si>
  <si>
    <t>1 ba</t>
  </si>
  <si>
    <t>570715000000151040</t>
  </si>
  <si>
    <t>Døstrup by, Døstrup</t>
  </si>
  <si>
    <t>16ø</t>
  </si>
  <si>
    <t>570715000000152030</t>
  </si>
  <si>
    <t>16æ</t>
  </si>
  <si>
    <t>570715000000152078</t>
  </si>
  <si>
    <t>570715000000152092</t>
  </si>
  <si>
    <t>18r</t>
  </si>
  <si>
    <t>570715000000152153</t>
  </si>
  <si>
    <t>18s</t>
  </si>
  <si>
    <t>570715000000603778</t>
  </si>
  <si>
    <t>Snæbum by, Snæbum</t>
  </si>
  <si>
    <t>11m</t>
  </si>
  <si>
    <t>570715000000603976</t>
  </si>
  <si>
    <t>V.Gundestrup, Hvilsom</t>
  </si>
  <si>
    <t>570715000000604058</t>
  </si>
  <si>
    <t>1l</t>
  </si>
  <si>
    <t>570715000000064135</t>
  </si>
  <si>
    <t>NEG Micon</t>
  </si>
  <si>
    <t>NM 80/750</t>
  </si>
  <si>
    <t>Tjæreborg By, Tjæreborg</t>
  </si>
  <si>
    <t>29a</t>
  </si>
  <si>
    <t>NEG Micon NM 80/750</t>
  </si>
  <si>
    <t>NEG.Micon.NM80.2750</t>
  </si>
  <si>
    <t>570715000000064142</t>
  </si>
  <si>
    <t>570715000000064159</t>
  </si>
  <si>
    <t>8eæ</t>
  </si>
  <si>
    <t>570715000000064166</t>
  </si>
  <si>
    <t>37f</t>
  </si>
  <si>
    <t>570715000000057311</t>
  </si>
  <si>
    <t>NM 92/750</t>
  </si>
  <si>
    <t>Klarup by</t>
  </si>
  <si>
    <t>44f</t>
  </si>
  <si>
    <t>NEG Micon NM 92/750</t>
  </si>
  <si>
    <t>570715000000056291</t>
  </si>
  <si>
    <t>NM 80</t>
  </si>
  <si>
    <t>Tjæreborg By</t>
  </si>
  <si>
    <t>3ab</t>
  </si>
  <si>
    <t>NEG Micon NM 80</t>
  </si>
  <si>
    <t>570715000000084607</t>
  </si>
  <si>
    <t>SWT 2.3-93</t>
  </si>
  <si>
    <t>Holbæk</t>
  </si>
  <si>
    <t>Stigs Bjergby, Stigs Bjergby</t>
  </si>
  <si>
    <t>23a</t>
  </si>
  <si>
    <t>SIEMENS SWT 2.3-93</t>
  </si>
  <si>
    <t>Siemens.SWT.2.3.93</t>
  </si>
  <si>
    <t>570715000000084652</t>
  </si>
  <si>
    <t>570715000000125539</t>
  </si>
  <si>
    <t>Lammefjorden, Kundby</t>
  </si>
  <si>
    <t>570715000000125546</t>
  </si>
  <si>
    <t>52d</t>
  </si>
  <si>
    <t>570715000000125591</t>
  </si>
  <si>
    <t>52a</t>
  </si>
  <si>
    <t>570715000000125614</t>
  </si>
  <si>
    <t>Lammefjorden, Gislinge</t>
  </si>
  <si>
    <t>570715000000125621</t>
  </si>
  <si>
    <t>Lammefjorden, Hagested</t>
  </si>
  <si>
    <t>12ai</t>
  </si>
  <si>
    <t>570715000000125638</t>
  </si>
  <si>
    <t>12h</t>
  </si>
  <si>
    <t>570715000000125652</t>
  </si>
  <si>
    <t>570715000000125669</t>
  </si>
  <si>
    <t>570715000000125683</t>
  </si>
  <si>
    <t>12ag</t>
  </si>
  <si>
    <t>570715000000125706</t>
  </si>
  <si>
    <t>1ck</t>
  </si>
  <si>
    <t>571313174000780944</t>
  </si>
  <si>
    <t>Sorø</t>
  </si>
  <si>
    <t>Tjørntved by, Stenlille</t>
  </si>
  <si>
    <t>571313174000780951</t>
  </si>
  <si>
    <t>570715000000084539</t>
  </si>
  <si>
    <t>Rødsand</t>
  </si>
  <si>
    <t>WRD2 I01</t>
  </si>
  <si>
    <t>570715000000089244</t>
  </si>
  <si>
    <t>WRD2 I02</t>
  </si>
  <si>
    <t>570715000000089251</t>
  </si>
  <si>
    <t>WRD2 I03</t>
  </si>
  <si>
    <t>570715000000089329</t>
  </si>
  <si>
    <t>WRD2 I04</t>
  </si>
  <si>
    <t>570715000000089343</t>
  </si>
  <si>
    <t>WRD2 I05</t>
  </si>
  <si>
    <t>570715000000089350</t>
  </si>
  <si>
    <t>WRD2 I06</t>
  </si>
  <si>
    <t>570715000000089367</t>
  </si>
  <si>
    <t>WRD2 I07</t>
  </si>
  <si>
    <t>570715000000089374</t>
  </si>
  <si>
    <t>WRD2 I08</t>
  </si>
  <si>
    <t>570715000000089381</t>
  </si>
  <si>
    <t>WRD2 I09</t>
  </si>
  <si>
    <t>570715000000089398</t>
  </si>
  <si>
    <t>WRD2 I10</t>
  </si>
  <si>
    <t>570715000000089404</t>
  </si>
  <si>
    <t>WRD2 I11</t>
  </si>
  <si>
    <t>570715000000089411</t>
  </si>
  <si>
    <t>WRD2 I12</t>
  </si>
  <si>
    <t>570715000000089428</t>
  </si>
  <si>
    <t>WRD2 I13</t>
  </si>
  <si>
    <t>570715000000089435</t>
  </si>
  <si>
    <t>WRD2 I14</t>
  </si>
  <si>
    <t>570715000000089442</t>
  </si>
  <si>
    <t>WRD2 I15</t>
  </si>
  <si>
    <t>570715000000089459</t>
  </si>
  <si>
    <t>WRD2 I16</t>
  </si>
  <si>
    <t>570715000000089466</t>
  </si>
  <si>
    <t>WRD2 I17</t>
  </si>
  <si>
    <t>570715000000089473</t>
  </si>
  <si>
    <t>WRD2 I18</t>
  </si>
  <si>
    <t>570715000000089480</t>
  </si>
  <si>
    <t>WRD2 J01</t>
  </si>
  <si>
    <t>570715000000089497</t>
  </si>
  <si>
    <t>WRD2 J02</t>
  </si>
  <si>
    <t>570715000000089503</t>
  </si>
  <si>
    <t>WRD2 J03</t>
  </si>
  <si>
    <t>570715000000089510</t>
  </si>
  <si>
    <t>WRD2 J04</t>
  </si>
  <si>
    <t>570715000000089527</t>
  </si>
  <si>
    <t>WRD2 J05</t>
  </si>
  <si>
    <t>570715000000089534</t>
  </si>
  <si>
    <t>WRD2 J06</t>
  </si>
  <si>
    <t>570715000000089541</t>
  </si>
  <si>
    <t>WRD2 J07</t>
  </si>
  <si>
    <t>570715000000089558</t>
  </si>
  <si>
    <t>WRD2 J08</t>
  </si>
  <si>
    <t>570715000000089565</t>
  </si>
  <si>
    <t>WRD2 J09</t>
  </si>
  <si>
    <t>570715000000089572</t>
  </si>
  <si>
    <t>WRD2 J10</t>
  </si>
  <si>
    <t>570715000000089589</t>
  </si>
  <si>
    <t>WRD2 J11</t>
  </si>
  <si>
    <t>570715000000089596</t>
  </si>
  <si>
    <t>WRD2 J12</t>
  </si>
  <si>
    <t>570715000000089602</t>
  </si>
  <si>
    <t>WRD2 J13</t>
  </si>
  <si>
    <t>570715000000089619</t>
  </si>
  <si>
    <t>WRD2 J14</t>
  </si>
  <si>
    <t>570715000000089626</t>
  </si>
  <si>
    <t>WRD2 J15</t>
  </si>
  <si>
    <t>570715000000089633</t>
  </si>
  <si>
    <t>WRD2 J16</t>
  </si>
  <si>
    <t>570715000000089640</t>
  </si>
  <si>
    <t>WRD2 J17</t>
  </si>
  <si>
    <t>570715000000089657</t>
  </si>
  <si>
    <t>WRD2 J18</t>
  </si>
  <si>
    <t>570715000000089664</t>
  </si>
  <si>
    <t>WRD2 K01</t>
  </si>
  <si>
    <t>570715000000089671</t>
  </si>
  <si>
    <t>WRD2 K02</t>
  </si>
  <si>
    <t>570715000000089688</t>
  </si>
  <si>
    <t>WRD2 K03</t>
  </si>
  <si>
    <t>570715000000089695</t>
  </si>
  <si>
    <t>WRD2 K04</t>
  </si>
  <si>
    <t>570715000000089701</t>
  </si>
  <si>
    <t>WRD2 K05</t>
  </si>
  <si>
    <t>570715000000089718</t>
  </si>
  <si>
    <t>WRD2 K06</t>
  </si>
  <si>
    <t>570715000000089725</t>
  </si>
  <si>
    <t>WRD2 K07</t>
  </si>
  <si>
    <t>570715000000089732</t>
  </si>
  <si>
    <t>WRD2 K08</t>
  </si>
  <si>
    <t>570715000000089749</t>
  </si>
  <si>
    <t>WRD2 K09</t>
  </si>
  <si>
    <t>570715000000089756</t>
  </si>
  <si>
    <t>WRD2 K10</t>
  </si>
  <si>
    <t>570715000000089763</t>
  </si>
  <si>
    <t>WRD2 K11</t>
  </si>
  <si>
    <t>570715000000089770</t>
  </si>
  <si>
    <t>WRD2 K12</t>
  </si>
  <si>
    <t>570715000000089787</t>
  </si>
  <si>
    <t>WRD2 K13</t>
  </si>
  <si>
    <t>570715000000089794</t>
  </si>
  <si>
    <t>WRD2 K14</t>
  </si>
  <si>
    <t>570715000000089800</t>
  </si>
  <si>
    <t>WRD2 K15</t>
  </si>
  <si>
    <t>570715000000089817</t>
  </si>
  <si>
    <t>WRD2 K16</t>
  </si>
  <si>
    <t>570715000000089824</t>
  </si>
  <si>
    <t>WRD2 K17</t>
  </si>
  <si>
    <t>570715000000089831</t>
  </si>
  <si>
    <t>WRD2 K18</t>
  </si>
  <si>
    <t>570715000000089848</t>
  </si>
  <si>
    <t>WRD2 L01</t>
  </si>
  <si>
    <t>570715000000089855</t>
  </si>
  <si>
    <t>WRD2 L02</t>
  </si>
  <si>
    <t>570715000000089862</t>
  </si>
  <si>
    <t>WRD2 L03</t>
  </si>
  <si>
    <t>570715000000089879</t>
  </si>
  <si>
    <t>WRD2 L04</t>
  </si>
  <si>
    <t>570715000000089886</t>
  </si>
  <si>
    <t>WRD2 L05</t>
  </si>
  <si>
    <t>570715000000089893</t>
  </si>
  <si>
    <t>WRD2 L06</t>
  </si>
  <si>
    <t>570715000000089909</t>
  </si>
  <si>
    <t>WRD2 L07</t>
  </si>
  <si>
    <t>570715000000089916</t>
  </si>
  <si>
    <t>WRD2 L08</t>
  </si>
  <si>
    <t>570715000000089923</t>
  </si>
  <si>
    <t>WRD2 L09</t>
  </si>
  <si>
    <t>570715000000089930</t>
  </si>
  <si>
    <t>WRD2 L10</t>
  </si>
  <si>
    <t>570715000000089947</t>
  </si>
  <si>
    <t>WRD2 L11</t>
  </si>
  <si>
    <t>570715000000089961</t>
  </si>
  <si>
    <t>WRD2 L12</t>
  </si>
  <si>
    <t>570715000000089978</t>
  </si>
  <si>
    <t>WRD2 L13</t>
  </si>
  <si>
    <t>570715000000089985</t>
  </si>
  <si>
    <t>WRD2 L14</t>
  </si>
  <si>
    <t>570715000000089992</t>
  </si>
  <si>
    <t>WRD2 L15</t>
  </si>
  <si>
    <t>570715000000090004</t>
  </si>
  <si>
    <t>WRD2 L16</t>
  </si>
  <si>
    <t>570715000000090011</t>
  </si>
  <si>
    <t>WRD2 L17</t>
  </si>
  <si>
    <t>570715000000090028</t>
  </si>
  <si>
    <t>WRD2 L18</t>
  </si>
  <si>
    <t>570715000000090035</t>
  </si>
  <si>
    <t>WRD2 M01</t>
  </si>
  <si>
    <t>570715000000090042</t>
  </si>
  <si>
    <t>WRD2 M02</t>
  </si>
  <si>
    <t>570715000000090059</t>
  </si>
  <si>
    <t>WRD2 M03</t>
  </si>
  <si>
    <t>570715000000090066</t>
  </si>
  <si>
    <t>WRD2 M04</t>
  </si>
  <si>
    <t>570715000000090073</t>
  </si>
  <si>
    <t>WRD2 M05</t>
  </si>
  <si>
    <t>570715000000090080</t>
  </si>
  <si>
    <t>WRD2 M06</t>
  </si>
  <si>
    <t>570715000000090097</t>
  </si>
  <si>
    <t>WRD2 M07</t>
  </si>
  <si>
    <t>570715000000090103</t>
  </si>
  <si>
    <t>WRD2 M08</t>
  </si>
  <si>
    <t>570715000000090110</t>
  </si>
  <si>
    <t>WRD2 M09</t>
  </si>
  <si>
    <t>570715000000090127</t>
  </si>
  <si>
    <t>WRD2 M10</t>
  </si>
  <si>
    <t>570715000000090134</t>
  </si>
  <si>
    <t>WRD2 M11</t>
  </si>
  <si>
    <t>570715000000090141</t>
  </si>
  <si>
    <t>WRD2 M12</t>
  </si>
  <si>
    <t>570715000000090158</t>
  </si>
  <si>
    <t>WRD2 M13</t>
  </si>
  <si>
    <t>570715000000090165</t>
  </si>
  <si>
    <t>WRD2 M14</t>
  </si>
  <si>
    <t>570715000000090172</t>
  </si>
  <si>
    <t>WRD2 M15</t>
  </si>
  <si>
    <t>570715000000090189</t>
  </si>
  <si>
    <t>WRD2 M16</t>
  </si>
  <si>
    <t>570715000000090196</t>
  </si>
  <si>
    <t>WRD2 M17</t>
  </si>
  <si>
    <t>570715000000090202</t>
  </si>
  <si>
    <t>WRD2 M18</t>
  </si>
  <si>
    <t>570715000000088810</t>
  </si>
  <si>
    <t>Katrineholm Hovedgård, Krummerup</t>
  </si>
  <si>
    <t>1 H</t>
  </si>
  <si>
    <t>570715000000088827</t>
  </si>
  <si>
    <t>Kyse By, Vallensved</t>
  </si>
  <si>
    <t>570715000000088858</t>
  </si>
  <si>
    <t>570715000000088865</t>
  </si>
  <si>
    <t>570715000000088872</t>
  </si>
  <si>
    <t>570715000000089336</t>
  </si>
  <si>
    <t>570714700000105920</t>
  </si>
  <si>
    <t>BONUS</t>
  </si>
  <si>
    <t>2,3 MW</t>
  </si>
  <si>
    <t>Guldborgsund</t>
  </si>
  <si>
    <t>Uoplyst</t>
  </si>
  <si>
    <t>GST, 15-05-2019</t>
  </si>
  <si>
    <t>BONUS 2,3 MW</t>
  </si>
  <si>
    <t>Bonus.B82.2300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</si>
  <si>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</si>
  <si>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</si>
  <si>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</si>
  <si>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</si>
  <si>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</si>
  <si>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</si>
  <si>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</si>
  <si>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</si>
  <si>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</si>
  <si>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</si>
  <si>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</si>
  <si>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</si>
  <si>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</si>
  <si>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</si>
  <si>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</si>
  <si>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</si>
  <si>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</si>
  <si>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</si>
  <si>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</si>
  <si>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</si>
  <si>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</si>
  <si>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</si>
  <si>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</si>
  <si>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</si>
  <si>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</si>
  <si>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</si>
  <si>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</si>
  <si>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</si>
  <si>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</si>
  <si>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</si>
  <si>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</si>
  <si>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</si>
  <si>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</si>
  <si>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</si>
  <si>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</si>
  <si>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</si>
  <si>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</si>
  <si>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</si>
  <si>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</si>
  <si>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</si>
  <si>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</si>
  <si>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</si>
  <si>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</si>
  <si>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</si>
  <si>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</si>
  <si>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</si>
  <si>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</si>
  <si>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</si>
  <si>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</si>
  <si>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</si>
  <si>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</si>
  <si>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</si>
  <si>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</si>
  <si>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</si>
  <si>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</si>
  <si>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</si>
  <si>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</si>
  <si>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</si>
  <si>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</si>
  <si>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</si>
  <si>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</si>
  <si>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</si>
  <si>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</si>
  <si>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</si>
  <si>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</si>
  <si>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</si>
  <si>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</si>
  <si>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</si>
  <si>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</si>
  <si>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</si>
  <si>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</si>
  <si>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570715000001465047</t>
  </si>
  <si>
    <t>Bornholm</t>
  </si>
  <si>
    <t>Nyker</t>
  </si>
  <si>
    <t>570715000001465054</t>
  </si>
  <si>
    <t>34h</t>
  </si>
  <si>
    <t>570715000001465061</t>
  </si>
  <si>
    <t>Klemensker</t>
  </si>
  <si>
    <t>89h</t>
  </si>
  <si>
    <t>570715000000089152</t>
  </si>
  <si>
    <t>Vigerø-Lindø inddæmning, Munkebo</t>
  </si>
  <si>
    <t>570715000000089169</t>
  </si>
  <si>
    <t>1b</t>
  </si>
  <si>
    <t>570715000000089176</t>
  </si>
  <si>
    <t>570715000000089183</t>
  </si>
  <si>
    <t>570715000000088391</t>
  </si>
  <si>
    <t>Svendborg</t>
  </si>
  <si>
    <t>Vårø By, Bjerreby</t>
  </si>
  <si>
    <t>570715000000088407</t>
  </si>
  <si>
    <t>Hellev By, Bjerreby</t>
  </si>
  <si>
    <t>570715000001338242</t>
  </si>
  <si>
    <t>Filskov By, Filskov</t>
  </si>
  <si>
    <t>570715000001338310</t>
  </si>
  <si>
    <t>5ab</t>
  </si>
  <si>
    <t>570715000001338389</t>
  </si>
  <si>
    <t>570715000001269089</t>
  </si>
  <si>
    <t>Sønderborg</t>
  </si>
  <si>
    <t>Mintebjerg</t>
  </si>
  <si>
    <t>570715000001269140</t>
  </si>
  <si>
    <t>Mintebjerg Hørup</t>
  </si>
  <si>
    <t>570715000000086632</t>
  </si>
  <si>
    <t>WH2 G7</t>
  </si>
  <si>
    <t>570715000000086649</t>
  </si>
  <si>
    <t>WH2 G6</t>
  </si>
  <si>
    <t>570715000000087059</t>
  </si>
  <si>
    <t>WH2 G5</t>
  </si>
  <si>
    <t>570715000000087240</t>
  </si>
  <si>
    <t>WH2 G4</t>
  </si>
  <si>
    <t>570715000000087264</t>
  </si>
  <si>
    <t>WH2 G3</t>
  </si>
  <si>
    <t>570715000000087271</t>
  </si>
  <si>
    <t>WH2 G2</t>
  </si>
  <si>
    <t>570715000000087288</t>
  </si>
  <si>
    <t>WH2 G1</t>
  </si>
  <si>
    <t>570715000000087295</t>
  </si>
  <si>
    <t>WH2 F7</t>
  </si>
  <si>
    <t>570715000000087301</t>
  </si>
  <si>
    <t>WH2 F6</t>
  </si>
  <si>
    <t>570715000000087318</t>
  </si>
  <si>
    <t>WH2 F5</t>
  </si>
  <si>
    <t>570715000000087325</t>
  </si>
  <si>
    <t>WH2 F4</t>
  </si>
  <si>
    <t>570715000000087332</t>
  </si>
  <si>
    <t>WH2 F3</t>
  </si>
  <si>
    <t>570715000000087349</t>
  </si>
  <si>
    <t>WH2 F2</t>
  </si>
  <si>
    <t>570715000000087356</t>
  </si>
  <si>
    <t>WH2 F1</t>
  </si>
  <si>
    <t>570715000000087363</t>
  </si>
  <si>
    <t>WH2 E7</t>
  </si>
  <si>
    <t>570715000000087370</t>
  </si>
  <si>
    <t>WH2 E6</t>
  </si>
  <si>
    <t>570715000000087387</t>
  </si>
  <si>
    <t>WH2 E5</t>
  </si>
  <si>
    <t>570715000000087394</t>
  </si>
  <si>
    <t>WH2 E4</t>
  </si>
  <si>
    <t>570715000000087400</t>
  </si>
  <si>
    <t>WH2 E3</t>
  </si>
  <si>
    <t>570715000000087417</t>
  </si>
  <si>
    <t>WH2 E2</t>
  </si>
  <si>
    <t>570715000000087424</t>
  </si>
  <si>
    <t>WH2 E1</t>
  </si>
  <si>
    <t>570715000000087431</t>
  </si>
  <si>
    <t>WH2 D7</t>
  </si>
  <si>
    <t>570715000000087448</t>
  </si>
  <si>
    <t>WH2 D6</t>
  </si>
  <si>
    <t>570715000000087455</t>
  </si>
  <si>
    <t>WH2 D5</t>
  </si>
  <si>
    <t>570715000000087462</t>
  </si>
  <si>
    <t>WH2 D4</t>
  </si>
  <si>
    <t>570715000000087479</t>
  </si>
  <si>
    <t>WH2 D3</t>
  </si>
  <si>
    <t>570715000000087486</t>
  </si>
  <si>
    <t>WH2 D2</t>
  </si>
  <si>
    <t>570715000000087493</t>
  </si>
  <si>
    <t>WH2 D1</t>
  </si>
  <si>
    <t>570715000000087509</t>
  </si>
  <si>
    <t>WH2 C7</t>
  </si>
  <si>
    <t>570715000000087516</t>
  </si>
  <si>
    <t>WH2 C6</t>
  </si>
  <si>
    <t>570715000000087523</t>
  </si>
  <si>
    <t>WH2 C5</t>
  </si>
  <si>
    <t>570715000000087530</t>
  </si>
  <si>
    <t>WH2 C4</t>
  </si>
  <si>
    <t>570715000000087547</t>
  </si>
  <si>
    <t>WH2 C3</t>
  </si>
  <si>
    <t>570715000000087554</t>
  </si>
  <si>
    <t>WH2 C2</t>
  </si>
  <si>
    <t>570715000000087561</t>
  </si>
  <si>
    <t>WH2 C1</t>
  </si>
  <si>
    <t>570715000000087578</t>
  </si>
  <si>
    <t>WH2 B7</t>
  </si>
  <si>
    <t>570715000000087585</t>
  </si>
  <si>
    <t>WH2 B6</t>
  </si>
  <si>
    <t>570715000000087592</t>
  </si>
  <si>
    <t>WH2 B5</t>
  </si>
  <si>
    <t>570715000000087608</t>
  </si>
  <si>
    <t>WH2 B4</t>
  </si>
  <si>
    <t>570715000000087615</t>
  </si>
  <si>
    <t>WH2 B3</t>
  </si>
  <si>
    <t>570715000000087622</t>
  </si>
  <si>
    <t>WH2 B2</t>
  </si>
  <si>
    <t>570715000000087639</t>
  </si>
  <si>
    <t>WH2 B1</t>
  </si>
  <si>
    <t>570715000000087646</t>
  </si>
  <si>
    <t>WH2 A7</t>
  </si>
  <si>
    <t>570715000000087653</t>
  </si>
  <si>
    <t>WH2 A6</t>
  </si>
  <si>
    <t>570715000000087660</t>
  </si>
  <si>
    <t>WH2 A5</t>
  </si>
  <si>
    <t>570715000000087677</t>
  </si>
  <si>
    <t>WH2 A4</t>
  </si>
  <si>
    <t>570715000000087684</t>
  </si>
  <si>
    <t>WH2 A3</t>
  </si>
  <si>
    <t>570715000000087691</t>
  </si>
  <si>
    <t>WH2 A2</t>
  </si>
  <si>
    <t>570715000000087707</t>
  </si>
  <si>
    <t>WH2 A1</t>
  </si>
  <si>
    <t>570715000000087714</t>
  </si>
  <si>
    <t>WH2 L7</t>
  </si>
  <si>
    <t>570715000000087721</t>
  </si>
  <si>
    <t>WH2 L6</t>
  </si>
  <si>
    <t>570715000000087738</t>
  </si>
  <si>
    <t>WH2 L5</t>
  </si>
  <si>
    <t>570715000000087745</t>
  </si>
  <si>
    <t>WH2 L4</t>
  </si>
  <si>
    <t>570715000000087752</t>
  </si>
  <si>
    <t>WH2 L3</t>
  </si>
  <si>
    <t>570715000000087769</t>
  </si>
  <si>
    <t>WH2 L2</t>
  </si>
  <si>
    <t>570715000000087776</t>
  </si>
  <si>
    <t>WH2 L1</t>
  </si>
  <si>
    <t>570715000000087783</t>
  </si>
  <si>
    <t>WH2 M7</t>
  </si>
  <si>
    <t>570715000000087790</t>
  </si>
  <si>
    <t>WH2 M6</t>
  </si>
  <si>
    <t>570715000000087806</t>
  </si>
  <si>
    <t>WH2 M5</t>
  </si>
  <si>
    <t>570715000000087813</t>
  </si>
  <si>
    <t>WH2 M4</t>
  </si>
  <si>
    <t>570715000000087820</t>
  </si>
  <si>
    <t>WH2 M3</t>
  </si>
  <si>
    <t>570715000000087837</t>
  </si>
  <si>
    <t>WH2 M2</t>
  </si>
  <si>
    <t>570715000000087844</t>
  </si>
  <si>
    <t>WH2 M1</t>
  </si>
  <si>
    <t>570715000000087851</t>
  </si>
  <si>
    <t>WH2 J7</t>
  </si>
  <si>
    <t>570715000000087868</t>
  </si>
  <si>
    <t>WH2 J6</t>
  </si>
  <si>
    <t>570715000000087875</t>
  </si>
  <si>
    <t>WH2 J5</t>
  </si>
  <si>
    <t>570715000000087882</t>
  </si>
  <si>
    <t>WH2 J4</t>
  </si>
  <si>
    <t>570715000000087899</t>
  </si>
  <si>
    <t>WH2 J3</t>
  </si>
  <si>
    <t>570715000000087905</t>
  </si>
  <si>
    <t>WH2 J2</t>
  </si>
  <si>
    <t>570715000000087912</t>
  </si>
  <si>
    <t>WH2 J1</t>
  </si>
  <si>
    <t>570715000000087929</t>
  </si>
  <si>
    <t>WH2 K7</t>
  </si>
  <si>
    <t>570715000000087936</t>
  </si>
  <si>
    <t>WH2 K6</t>
  </si>
  <si>
    <t>570715000000087943</t>
  </si>
  <si>
    <t>WH2 K5</t>
  </si>
  <si>
    <t>570715000000087950</t>
  </si>
  <si>
    <t>WH2 K4</t>
  </si>
  <si>
    <t>570715000000087967</t>
  </si>
  <si>
    <t>WH2 K3</t>
  </si>
  <si>
    <t>570715000000087974</t>
  </si>
  <si>
    <t>WH2 K2</t>
  </si>
  <si>
    <t>570715000000087981</t>
  </si>
  <si>
    <t>WH2 K1</t>
  </si>
  <si>
    <t>570715000000087998</t>
  </si>
  <si>
    <t>WH2 H7</t>
  </si>
  <si>
    <t>570715000000088001</t>
  </si>
  <si>
    <t>WH2 H6</t>
  </si>
  <si>
    <t>570715000000088018</t>
  </si>
  <si>
    <t>WH2 H5</t>
  </si>
  <si>
    <t>570715000000088025</t>
  </si>
  <si>
    <t>WH2 H4</t>
  </si>
  <si>
    <t>570715000000088032</t>
  </si>
  <si>
    <t>WH2 H3</t>
  </si>
  <si>
    <t>570715000000088049</t>
  </si>
  <si>
    <t>WH2 H2</t>
  </si>
  <si>
    <t>570715000000088056</t>
  </si>
  <si>
    <t>WH2 H1</t>
  </si>
  <si>
    <t>570715000000088063</t>
  </si>
  <si>
    <t>WH2 I7</t>
  </si>
  <si>
    <t>570715000000088070</t>
  </si>
  <si>
    <t>WH2 I6</t>
  </si>
  <si>
    <t>570715000000088087</t>
  </si>
  <si>
    <t>WH2 I5</t>
  </si>
  <si>
    <t>570715000000088094</t>
  </si>
  <si>
    <t>WH2 I4</t>
  </si>
  <si>
    <t>570715000000088100</t>
  </si>
  <si>
    <t>WH2 I3</t>
  </si>
  <si>
    <t>570715000000088117</t>
  </si>
  <si>
    <t>WH2 I2</t>
  </si>
  <si>
    <t>570715000000088124</t>
  </si>
  <si>
    <t>WH2 I1</t>
  </si>
  <si>
    <t>570715000000115820</t>
  </si>
  <si>
    <t>Sevelsted Gde., Sahl</t>
  </si>
  <si>
    <t>570715000000115936</t>
  </si>
  <si>
    <t>Sevelsted Gde. Sahl</t>
  </si>
  <si>
    <t>570715000000115950</t>
  </si>
  <si>
    <t>570715000000062599</t>
  </si>
  <si>
    <t>Den nordlige Del, Harboøre</t>
  </si>
  <si>
    <t>54h</t>
  </si>
  <si>
    <t>570715000000062605</t>
  </si>
  <si>
    <t>570715000000062612</t>
  </si>
  <si>
    <t>570715000000062629</t>
  </si>
  <si>
    <t>570715000000084317</t>
  </si>
  <si>
    <t>Sødring By, Sødring</t>
  </si>
  <si>
    <t>570715000000084324</t>
  </si>
  <si>
    <t>570715000000084331</t>
  </si>
  <si>
    <t>6f</t>
  </si>
  <si>
    <t>570715000000084348</t>
  </si>
  <si>
    <t>570715000000084355</t>
  </si>
  <si>
    <t>7e</t>
  </si>
  <si>
    <t>570715000000084362</t>
  </si>
  <si>
    <t>Bjerre By, Udbyneder</t>
  </si>
  <si>
    <t>2l</t>
  </si>
  <si>
    <t>570715000000084386</t>
  </si>
  <si>
    <t>570715000000084393</t>
  </si>
  <si>
    <t>Bjerre By, Udbynder</t>
  </si>
  <si>
    <t>570715000000084409</t>
  </si>
  <si>
    <t>570715000000084416</t>
  </si>
  <si>
    <t>570715000000062926</t>
  </si>
  <si>
    <t>Samsø</t>
  </si>
  <si>
    <t>570715000000062933</t>
  </si>
  <si>
    <t>570715000000062940</t>
  </si>
  <si>
    <t>570715000000062957</t>
  </si>
  <si>
    <t>570715000000062964</t>
  </si>
  <si>
    <t>570715000000062971</t>
  </si>
  <si>
    <t>570715000000062995</t>
  </si>
  <si>
    <t>570715000000063008</t>
  </si>
  <si>
    <t>570715000000063015</t>
  </si>
  <si>
    <t>570715000001592651</t>
  </si>
  <si>
    <t>Offshore</t>
  </si>
  <si>
    <t>570715000000025907</t>
  </si>
  <si>
    <t>2 MW (Prototype)</t>
  </si>
  <si>
    <t>Omvrå by</t>
  </si>
  <si>
    <t>BONUS 2 MW (Prototype)</t>
  </si>
  <si>
    <r>
      <rPr>
        <b val="1"/>
        <sz val="12"/>
        <color indexed="8"/>
        <rFont val="Calibri"/>
      </rPr>
      <t>Bonus.B82.2300</t>
    </r>
  </si>
  <si>
    <t>570715000000083648</t>
  </si>
  <si>
    <t>Den nordlige del, No</t>
  </si>
  <si>
    <t>570715000000083655</t>
  </si>
  <si>
    <t>570715000000083730</t>
  </si>
  <si>
    <t>570715000000057465</t>
  </si>
  <si>
    <t>570715000000057489</t>
  </si>
  <si>
    <t>Nordex</t>
  </si>
  <si>
    <t>N 90/2300</t>
  </si>
  <si>
    <t>Nordex N 90/2300</t>
  </si>
  <si>
    <t>Nordex.N90.2300</t>
  </si>
  <si>
    <t>570715000000086892</t>
  </si>
  <si>
    <t>Tolstrup By, Næsborg</t>
  </si>
  <si>
    <t>43c</t>
  </si>
  <si>
    <t>570715000000086908</t>
  </si>
  <si>
    <t>2k</t>
  </si>
  <si>
    <t>570715000000086915</t>
  </si>
  <si>
    <t>570715000000086922</t>
  </si>
  <si>
    <t>570715000000086939</t>
  </si>
  <si>
    <t>Nørrekær Enge, Næsborg</t>
  </si>
  <si>
    <t>154a</t>
  </si>
  <si>
    <t>570715000000086946</t>
  </si>
  <si>
    <t>151f</t>
  </si>
  <si>
    <t>570715000000086953</t>
  </si>
  <si>
    <t>160d</t>
  </si>
  <si>
    <t>570715000000091087</t>
  </si>
  <si>
    <t>Svoldrup by, Vognsild</t>
  </si>
  <si>
    <t>5a</t>
  </si>
  <si>
    <t>570715000000091094</t>
  </si>
  <si>
    <t>570715000000091100</t>
  </si>
  <si>
    <t>4h</t>
  </si>
  <si>
    <t>570715000000091148</t>
  </si>
  <si>
    <t>570715000000091155</t>
  </si>
  <si>
    <t>12m</t>
  </si>
  <si>
    <t>570715000000091162</t>
  </si>
  <si>
    <t>15c</t>
  </si>
  <si>
    <t>570715000000084591</t>
  </si>
  <si>
    <t>Sdr. Saltum By, Saltum</t>
  </si>
  <si>
    <t>28v</t>
  </si>
  <si>
    <t>570715000000084614</t>
  </si>
  <si>
    <t>28u</t>
  </si>
  <si>
    <t>570715000000090332</t>
  </si>
  <si>
    <t>Øslev By, Kettrup</t>
  </si>
  <si>
    <t>18f</t>
  </si>
  <si>
    <t>570715000000090349</t>
  </si>
  <si>
    <t>18g</t>
  </si>
  <si>
    <t>570715000000090356</t>
  </si>
  <si>
    <t>570715000000090363</t>
  </si>
  <si>
    <t>14e</t>
  </si>
  <si>
    <t>570715000000090370</t>
  </si>
  <si>
    <t>570715000000057328</t>
  </si>
  <si>
    <t>044-435/5</t>
  </si>
  <si>
    <t>570715000000057335</t>
  </si>
  <si>
    <t>044-435/6</t>
  </si>
  <si>
    <t>570715000000086960</t>
  </si>
  <si>
    <t>Nørrekær Enge, Farstrup</t>
  </si>
  <si>
    <t>69p</t>
  </si>
  <si>
    <t>570715000000086977</t>
  </si>
  <si>
    <t>570715000000086984</t>
  </si>
  <si>
    <t>30b</t>
  </si>
  <si>
    <t>570715000000086991</t>
  </si>
  <si>
    <t>39m</t>
  </si>
  <si>
    <t>570715000000087004</t>
  </si>
  <si>
    <t>22a</t>
  </si>
  <si>
    <t>570715000000087011</t>
  </si>
  <si>
    <t>10c</t>
  </si>
  <si>
    <t>570715000000088162</t>
  </si>
  <si>
    <t>Lyngdrup by, Horsens</t>
  </si>
  <si>
    <t>3k</t>
  </si>
  <si>
    <t>570715000000088193</t>
  </si>
  <si>
    <t>570715000000088209</t>
  </si>
  <si>
    <t>570715000000088216</t>
  </si>
  <si>
    <t>570715000000088223</t>
  </si>
  <si>
    <t>570715000000088230</t>
  </si>
  <si>
    <t>570715000000088247</t>
  </si>
  <si>
    <t>4o</t>
  </si>
  <si>
    <t>571313134700403703</t>
  </si>
  <si>
    <t>V100-2.0</t>
  </si>
  <si>
    <t>Hessel, Borbjerg</t>
  </si>
  <si>
    <t>1dc</t>
  </si>
  <si>
    <t>Vestas Wind Systems A/S V100-2.0</t>
  </si>
  <si>
    <t>Vestas.V100.2000</t>
  </si>
  <si>
    <t>571313134700403710</t>
  </si>
  <si>
    <t>1dd</t>
  </si>
  <si>
    <t>571313134700403727</t>
  </si>
  <si>
    <t>1de</t>
  </si>
  <si>
    <t>571313134700403734</t>
  </si>
  <si>
    <t>1df</t>
  </si>
  <si>
    <t>571313134700403741</t>
  </si>
  <si>
    <t>1dg</t>
  </si>
  <si>
    <t>571313134700403758</t>
  </si>
  <si>
    <t>1dh</t>
  </si>
  <si>
    <t>571313134700403765</t>
  </si>
  <si>
    <t>1di</t>
  </si>
  <si>
    <t>571313134700403772</t>
  </si>
  <si>
    <t>1dk</t>
  </si>
  <si>
    <t>571313134700403789</t>
  </si>
  <si>
    <t>1dl</t>
  </si>
  <si>
    <t>571313134700403796</t>
  </si>
  <si>
    <t>1dm</t>
  </si>
  <si>
    <t>571313134700403802</t>
  </si>
  <si>
    <t>1dn</t>
  </si>
  <si>
    <t>571313134700403819</t>
  </si>
  <si>
    <t>1do</t>
  </si>
  <si>
    <t>571313134700403826</t>
  </si>
  <si>
    <t>1dp</t>
  </si>
  <si>
    <t>571313134700403833</t>
  </si>
  <si>
    <t>1dq</t>
  </si>
  <si>
    <t>571313134700403840</t>
  </si>
  <si>
    <t>Den Østlige Del, Borbjerg</t>
  </si>
  <si>
    <t>44q</t>
  </si>
  <si>
    <t>571313134700403857</t>
  </si>
  <si>
    <t>44h</t>
  </si>
  <si>
    <t>571313134700403864</t>
  </si>
  <si>
    <t>44i</t>
  </si>
  <si>
    <t>571313134700403871</t>
  </si>
  <si>
    <t>44k</t>
  </si>
  <si>
    <t>571313134700403888</t>
  </si>
  <si>
    <t>571313134700403895</t>
  </si>
  <si>
    <t>571313134700403901</t>
  </si>
  <si>
    <t>571313134700404144</t>
  </si>
  <si>
    <t>V100-2.2 MW</t>
  </si>
  <si>
    <t>Vestas Wind Systems A/S V100-2.2 MW</t>
  </si>
  <si>
    <r>
      <rPr>
        <b val="1"/>
        <sz val="12"/>
        <color indexed="8"/>
        <rFont val="Calibri"/>
      </rPr>
      <t>Vestas.V100.2000</t>
    </r>
  </si>
  <si>
    <t>571313134700404151</t>
  </si>
  <si>
    <t>571313134700404168</t>
  </si>
  <si>
    <t>571313134700404175</t>
  </si>
  <si>
    <t>571313134700404182</t>
  </si>
  <si>
    <t>Bur by, Bur</t>
  </si>
  <si>
    <t>571313134700404199</t>
  </si>
  <si>
    <t>571313113162149152</t>
  </si>
  <si>
    <t>Odder</t>
  </si>
  <si>
    <t>Trustrup By, Trustrup</t>
  </si>
  <si>
    <t>571313113162149176</t>
  </si>
  <si>
    <t>571313134890188473</t>
  </si>
  <si>
    <t>V120-2.2 MW</t>
  </si>
  <si>
    <t>Vestas Wind Systems A/S V120-2.2 MW</t>
  </si>
  <si>
    <t>570715000002035164</t>
  </si>
  <si>
    <t>ENERCON GmbH</t>
  </si>
  <si>
    <t>E-82 E4</t>
  </si>
  <si>
    <t>ENERCON GmbH E-82 E4</t>
  </si>
  <si>
    <r>
      <rPr>
        <b val="1"/>
        <sz val="12"/>
        <color indexed="8"/>
        <rFont val="Calibri"/>
      </rPr>
      <t>Enercon.E82.3000</t>
    </r>
  </si>
  <si>
    <t>570714700000003226</t>
  </si>
  <si>
    <t>NM 2000</t>
  </si>
  <si>
    <t>1bx</t>
  </si>
  <si>
    <t>026-00688</t>
  </si>
  <si>
    <t>NEG Micon NM 2000</t>
  </si>
  <si>
    <r>
      <rPr>
        <b val="1"/>
        <sz val="12"/>
        <color indexed="8"/>
        <rFont val="Calibri"/>
      </rPr>
      <t>NEG.Micon.NM64c.1500</t>
    </r>
  </si>
  <si>
    <t>570714700000003523</t>
  </si>
  <si>
    <t>1bv</t>
  </si>
  <si>
    <t>026-00689</t>
  </si>
  <si>
    <t>570714700000003530</t>
  </si>
  <si>
    <t>1by</t>
  </si>
  <si>
    <t>026-00693</t>
  </si>
  <si>
    <t>570714700000013034</t>
  </si>
  <si>
    <t>570714700000013041</t>
  </si>
  <si>
    <t>1bt</t>
  </si>
  <si>
    <t>570714700000013058</t>
  </si>
  <si>
    <t>1bu</t>
  </si>
  <si>
    <t>571313174000839574</t>
  </si>
  <si>
    <t>Løgtved by, Viskinge</t>
  </si>
  <si>
    <t>571313174000839604</t>
  </si>
  <si>
    <t>571313174000839611</t>
  </si>
  <si>
    <t>570714700000107016</t>
  </si>
  <si>
    <t>V 80 2</t>
  </si>
  <si>
    <t>Åker</t>
  </si>
  <si>
    <t>61a</t>
  </si>
  <si>
    <t>60007-1</t>
  </si>
  <si>
    <t>Vestas Wind Systems A/S V 80 2</t>
  </si>
  <si>
    <t>Vestas.V80.2000</t>
  </si>
  <si>
    <t>570714700000107023</t>
  </si>
  <si>
    <t>62a</t>
  </si>
  <si>
    <t>60007-2</t>
  </si>
  <si>
    <t>570714700000107030</t>
  </si>
  <si>
    <t>60007-3</t>
  </si>
  <si>
    <t>570715000000060168</t>
  </si>
  <si>
    <t>V 80-2 MW</t>
  </si>
  <si>
    <t>Ærø</t>
  </si>
  <si>
    <t>Risemark</t>
  </si>
  <si>
    <t>26b</t>
  </si>
  <si>
    <t>5333/1</t>
  </si>
  <si>
    <t>Vestas Wind Systems A/S V 80-2 MW</t>
  </si>
  <si>
    <t>570715000000060175</t>
  </si>
  <si>
    <t>28b</t>
  </si>
  <si>
    <t>5333/2</t>
  </si>
  <si>
    <t>570715000000060182</t>
  </si>
  <si>
    <t>31b</t>
  </si>
  <si>
    <t>5333/3</t>
  </si>
  <si>
    <t>570715000000139437</t>
  </si>
  <si>
    <t>Dunkær By</t>
  </si>
  <si>
    <t>570715000000139444</t>
  </si>
  <si>
    <t>570715000000139468</t>
  </si>
  <si>
    <t>571313134402392213</t>
  </si>
  <si>
    <t>V 80-2 MW VCS</t>
  </si>
  <si>
    <t>Trøllund By, Hejnsvig</t>
  </si>
  <si>
    <t>Vestas Wind Systems A/S V 80-2 MW VCS</t>
  </si>
  <si>
    <t>571313134402392220</t>
  </si>
  <si>
    <t>571313134402392268</t>
  </si>
  <si>
    <t>Trøllund By Hejnsvig</t>
  </si>
  <si>
    <t>570715000000035661</t>
  </si>
  <si>
    <t>2bn</t>
  </si>
  <si>
    <t>WTJ</t>
  </si>
  <si>
    <t>570715000000056178</t>
  </si>
  <si>
    <t>570715000000061769</t>
  </si>
  <si>
    <t>V 80</t>
  </si>
  <si>
    <t>WH1101</t>
  </si>
  <si>
    <t>Vestas Wind Systems A/S V 80</t>
  </si>
  <si>
    <t>570715000000061776</t>
  </si>
  <si>
    <t>WH1102</t>
  </si>
  <si>
    <t>570715000000061783</t>
  </si>
  <si>
    <t>WH1103</t>
  </si>
  <si>
    <t>570715000000061790</t>
  </si>
  <si>
    <t>WH1104</t>
  </si>
  <si>
    <t>570715000000061806</t>
  </si>
  <si>
    <t>WH1105</t>
  </si>
  <si>
    <t>570715000000061813</t>
  </si>
  <si>
    <t>WH1106</t>
  </si>
  <si>
    <t>570715000000061820</t>
  </si>
  <si>
    <t>WH1107</t>
  </si>
  <si>
    <t>570715000000061837</t>
  </si>
  <si>
    <t>WH1108</t>
  </si>
  <si>
    <t>570715000000061844</t>
  </si>
  <si>
    <t>WH1111</t>
  </si>
  <si>
    <t>570715000000061851</t>
  </si>
  <si>
    <t>WH1112</t>
  </si>
  <si>
    <t>570715000000061868</t>
  </si>
  <si>
    <t>WH1113</t>
  </si>
  <si>
    <t>570715000000061875</t>
  </si>
  <si>
    <t>WH1114</t>
  </si>
  <si>
    <t>570715000000061882</t>
  </si>
  <si>
    <t>WH1115</t>
  </si>
  <si>
    <t>570715000000061899</t>
  </si>
  <si>
    <t>WH1116</t>
  </si>
  <si>
    <t>570715000000061905</t>
  </si>
  <si>
    <t>WH1117</t>
  </si>
  <si>
    <t>570715000000061912</t>
  </si>
  <si>
    <t>WH1118</t>
  </si>
  <si>
    <t>570715000000061929</t>
  </si>
  <si>
    <t>WH1221</t>
  </si>
  <si>
    <t>570715000000061936</t>
  </si>
  <si>
    <t>WH1222</t>
  </si>
  <si>
    <t>570715000000061943</t>
  </si>
  <si>
    <t>WH1223</t>
  </si>
  <si>
    <t>570715000000061950</t>
  </si>
  <si>
    <t>WH1224</t>
  </si>
  <si>
    <t>570715000000061967</t>
  </si>
  <si>
    <t>WH1225</t>
  </si>
  <si>
    <t>570715000000061974</t>
  </si>
  <si>
    <t>WH1226</t>
  </si>
  <si>
    <t>570715000000061981</t>
  </si>
  <si>
    <t>WH1227</t>
  </si>
  <si>
    <t>570715000000061998</t>
  </si>
  <si>
    <t>WH1228</t>
  </si>
  <si>
    <t>570715000000062001</t>
  </si>
  <si>
    <t>WH1231</t>
  </si>
  <si>
    <t>570715000000062018</t>
  </si>
  <si>
    <t>WH1232</t>
  </si>
  <si>
    <t>570715000000062025</t>
  </si>
  <si>
    <t>WH1233</t>
  </si>
  <si>
    <t>570715000000062032</t>
  </si>
  <si>
    <t>WH1234</t>
  </si>
  <si>
    <t>570715000000062049</t>
  </si>
  <si>
    <t>WH1235</t>
  </si>
  <si>
    <t>570715000000062056</t>
  </si>
  <si>
    <t>WH1236</t>
  </si>
  <si>
    <t>570715000000062063</t>
  </si>
  <si>
    <t>WH1237</t>
  </si>
  <si>
    <t>570715000000062070</t>
  </si>
  <si>
    <t>WH1238</t>
  </si>
  <si>
    <t>570715000000062087</t>
  </si>
  <si>
    <t>WH1341</t>
  </si>
  <si>
    <t>570715000000062094</t>
  </si>
  <si>
    <t>WH1342</t>
  </si>
  <si>
    <t>570715000000062100</t>
  </si>
  <si>
    <t>WH1343</t>
  </si>
  <si>
    <t>570715000000062117</t>
  </si>
  <si>
    <t>WH1344</t>
  </si>
  <si>
    <t>570715000000062124</t>
  </si>
  <si>
    <t>WH1345</t>
  </si>
  <si>
    <t>570715000000062131</t>
  </si>
  <si>
    <t>WH1346</t>
  </si>
  <si>
    <t>570715000000062148</t>
  </si>
  <si>
    <t>WH1347</t>
  </si>
  <si>
    <t>570715000000062155</t>
  </si>
  <si>
    <t>WH1348</t>
  </si>
  <si>
    <t>570715000000062162</t>
  </si>
  <si>
    <t>WH1351</t>
  </si>
  <si>
    <t>570715000000062179</t>
  </si>
  <si>
    <t>WH1352</t>
  </si>
  <si>
    <t>570715000000062186</t>
  </si>
  <si>
    <t>WH1353</t>
  </si>
  <si>
    <t>570715000000062193</t>
  </si>
  <si>
    <t>WH1354</t>
  </si>
  <si>
    <t>570715000000062209</t>
  </si>
  <si>
    <t>WH1355</t>
  </si>
  <si>
    <t>570715000000062216</t>
  </si>
  <si>
    <t>WH1356</t>
  </si>
  <si>
    <t>570715000000062223</t>
  </si>
  <si>
    <t>WH1357</t>
  </si>
  <si>
    <t>570715000000062230</t>
  </si>
  <si>
    <t>WH1358</t>
  </si>
  <si>
    <t>570715000000062247</t>
  </si>
  <si>
    <t>WH1461</t>
  </si>
  <si>
    <t>570715000000062254</t>
  </si>
  <si>
    <t>WH1462</t>
  </si>
  <si>
    <t>570715000000062261</t>
  </si>
  <si>
    <t>WH1463</t>
  </si>
  <si>
    <t>570715000000062278</t>
  </si>
  <si>
    <t>WH1464</t>
  </si>
  <si>
    <t>570715000000062285</t>
  </si>
  <si>
    <t>WH1465</t>
  </si>
  <si>
    <t>570715000000062292</t>
  </si>
  <si>
    <t>WH1466</t>
  </si>
  <si>
    <t>570715000000062308</t>
  </si>
  <si>
    <t>WH1467</t>
  </si>
  <si>
    <t>570715000000062315</t>
  </si>
  <si>
    <t>WH1468</t>
  </si>
  <si>
    <t>570715000000062322</t>
  </si>
  <si>
    <t>WH1471</t>
  </si>
  <si>
    <t>570715000000062339</t>
  </si>
  <si>
    <t>WH1472</t>
  </si>
  <si>
    <t>570715000000062346</t>
  </si>
  <si>
    <t>WH1473</t>
  </si>
  <si>
    <t>570715000000062353</t>
  </si>
  <si>
    <t>WH1474</t>
  </si>
  <si>
    <t>570715000000062360</t>
  </si>
  <si>
    <t>WH1475</t>
  </si>
  <si>
    <t>570715000000062377</t>
  </si>
  <si>
    <t>WH1476</t>
  </si>
  <si>
    <t>570715000000062384</t>
  </si>
  <si>
    <t>WH1477</t>
  </si>
  <si>
    <t>570715000000062391</t>
  </si>
  <si>
    <t>WH1478</t>
  </si>
  <si>
    <t>570715000000062407</t>
  </si>
  <si>
    <t>WH1581</t>
  </si>
  <si>
    <t>570715000000062414</t>
  </si>
  <si>
    <t>WH1582</t>
  </si>
  <si>
    <t>570715000000062421</t>
  </si>
  <si>
    <t>WH1583</t>
  </si>
  <si>
    <t>570715000000062438</t>
  </si>
  <si>
    <t>WH1584</t>
  </si>
  <si>
    <t>570715000000062445</t>
  </si>
  <si>
    <t>WH1585</t>
  </si>
  <si>
    <t>570715000000062452</t>
  </si>
  <si>
    <t>WH1586</t>
  </si>
  <si>
    <t>570715000000062469</t>
  </si>
  <si>
    <t>WH1587</t>
  </si>
  <si>
    <t>570715000000062476</t>
  </si>
  <si>
    <t>WH1588</t>
  </si>
  <si>
    <t>570715000000062483</t>
  </si>
  <si>
    <t>WH1591</t>
  </si>
  <si>
    <t>570715000000062490</t>
  </si>
  <si>
    <t>WH1592</t>
  </si>
  <si>
    <t>570715000000062506</t>
  </si>
  <si>
    <t>WH1593</t>
  </si>
  <si>
    <t>570715000000062513</t>
  </si>
  <si>
    <t>WH1594</t>
  </si>
  <si>
    <t>570715000000062520</t>
  </si>
  <si>
    <t>WH1595</t>
  </si>
  <si>
    <t>570715000000062537</t>
  </si>
  <si>
    <t>WH1596</t>
  </si>
  <si>
    <t>570715000000062544</t>
  </si>
  <si>
    <t>WH1597</t>
  </si>
  <si>
    <t>570715000000062551</t>
  </si>
  <si>
    <t>WH1598</t>
  </si>
  <si>
    <t>570715000000083914</t>
  </si>
  <si>
    <t>Vattenfall</t>
  </si>
  <si>
    <t>570715000000063596</t>
  </si>
  <si>
    <t>NM 72/2000</t>
  </si>
  <si>
    <t>Orten, Varde Jorde</t>
  </si>
  <si>
    <t>NEG Micon NM 72/2000</t>
  </si>
  <si>
    <t>570715000000154713</t>
  </si>
  <si>
    <t>Eggebæk Tinglev</t>
  </si>
  <si>
    <t>570715000000154935</t>
  </si>
  <si>
    <t>570715000000154959</t>
  </si>
  <si>
    <t>570715000000155000</t>
  </si>
  <si>
    <t>570715000000155031</t>
  </si>
  <si>
    <t>570715000000155048</t>
  </si>
  <si>
    <t>570715000000155055</t>
  </si>
  <si>
    <t>570715000000155062</t>
  </si>
  <si>
    <t>571313135300533234</t>
  </si>
  <si>
    <t>Krusbjerg, Sunds</t>
  </si>
  <si>
    <t>571313135300533241</t>
  </si>
  <si>
    <t>571313135300533258</t>
  </si>
  <si>
    <t>4r</t>
  </si>
  <si>
    <t>571313135300533265</t>
  </si>
  <si>
    <t>571313135300533272</t>
  </si>
  <si>
    <t>10x</t>
  </si>
  <si>
    <t>571313139890016184</t>
  </si>
  <si>
    <t>Ejsingkær, Vildbjerg</t>
  </si>
  <si>
    <t>570715000000059537</t>
  </si>
  <si>
    <t>Den nordlige del, Harboøre</t>
  </si>
  <si>
    <t>570715000000059544</t>
  </si>
  <si>
    <t>570715000000062568</t>
  </si>
  <si>
    <t>570715000000062575</t>
  </si>
  <si>
    <t>570715000000083365</t>
  </si>
  <si>
    <t>Ramme Hgd., ramme</t>
  </si>
  <si>
    <t>570715000000120312</t>
  </si>
  <si>
    <t>Ramme Hgd., Ramme</t>
  </si>
  <si>
    <t>570715000000147166</t>
  </si>
  <si>
    <t>Ramme Hgd. Ramme</t>
  </si>
  <si>
    <t>570715000000147319</t>
  </si>
  <si>
    <t>14q</t>
  </si>
  <si>
    <t>570715000000147364</t>
  </si>
  <si>
    <t>15b</t>
  </si>
  <si>
    <t>570715000000147371</t>
  </si>
  <si>
    <t>Ramme Hovedgård. Ramme</t>
  </si>
  <si>
    <t>571313134700403918</t>
  </si>
  <si>
    <t>18y</t>
  </si>
  <si>
    <t>571313134700403925</t>
  </si>
  <si>
    <t>571313134700403932</t>
  </si>
  <si>
    <t>571313134700404328</t>
  </si>
  <si>
    <t>Rysensten Hovedgård, Bøvling</t>
  </si>
  <si>
    <t>570715000002035126</t>
  </si>
  <si>
    <t>570715000002035171</t>
  </si>
  <si>
    <t>570715000001296269</t>
  </si>
  <si>
    <t>V 90 2</t>
  </si>
  <si>
    <t>Ilshøj byØ. Tørslev</t>
  </si>
  <si>
    <t>4z</t>
  </si>
  <si>
    <t>Vestas Wind Systems A/S V 90 2</t>
  </si>
  <si>
    <t>Vestas.V90.2000</t>
  </si>
  <si>
    <t>570715000001296368</t>
  </si>
  <si>
    <t>570715000001296382</t>
  </si>
  <si>
    <t>2q</t>
  </si>
  <si>
    <t>570715000001296443</t>
  </si>
  <si>
    <t>570715000001296511</t>
  </si>
  <si>
    <t>570715000001296559</t>
  </si>
  <si>
    <t>570715000001296696</t>
  </si>
  <si>
    <t>571313114900718289</t>
  </si>
  <si>
    <t>Halund by, Haslund</t>
  </si>
  <si>
    <t>12i</t>
  </si>
  <si>
    <t>571313114900718296</t>
  </si>
  <si>
    <t>12k</t>
  </si>
  <si>
    <t>571313114900721845</t>
  </si>
  <si>
    <t>12l</t>
  </si>
  <si>
    <t>571313114900750500</t>
  </si>
  <si>
    <t>Mostrup Gde., Hald</t>
  </si>
  <si>
    <t>571313114900750524</t>
  </si>
  <si>
    <t>571313114900750548</t>
  </si>
  <si>
    <t>571313114900750562</t>
  </si>
  <si>
    <t>571313114900750586</t>
  </si>
  <si>
    <t>571313114900750609</t>
  </si>
  <si>
    <t>570715000000058752</t>
  </si>
  <si>
    <t>2 MW</t>
  </si>
  <si>
    <t>Brejl By, Ejstrup</t>
  </si>
  <si>
    <t>BONUS 2 MW</t>
  </si>
  <si>
    <t>571313134808517111</t>
  </si>
  <si>
    <t>Sædding by, Sædding</t>
  </si>
  <si>
    <t>8r</t>
  </si>
  <si>
    <t>571313134808517210</t>
  </si>
  <si>
    <t>571313134808517319</t>
  </si>
  <si>
    <t>6bø</t>
  </si>
  <si>
    <t>570714700000003592</t>
  </si>
  <si>
    <t>København</t>
  </si>
  <si>
    <t>KE 558338</t>
  </si>
  <si>
    <t>570714700000003608</t>
  </si>
  <si>
    <t>570714700000003615</t>
  </si>
  <si>
    <t>ke 558338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</si>
  <si>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</si>
  <si>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</si>
  <si>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</si>
  <si>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</si>
  <si>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</si>
  <si>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</si>
  <si>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</si>
  <si>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570714700000013713</t>
  </si>
  <si>
    <t>KE 558335</t>
  </si>
  <si>
    <t>570714700000013720</t>
  </si>
  <si>
    <t>ke 558335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</si>
  <si>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</si>
  <si>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</si>
  <si>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</si>
  <si>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</si>
  <si>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</si>
  <si>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</si>
  <si>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</si>
  <si>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</si>
  <si>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571313161170169150</t>
  </si>
  <si>
    <t>Kbh</t>
  </si>
  <si>
    <t>am</t>
  </si>
  <si>
    <t>571313161170169709</t>
  </si>
  <si>
    <t>571313161170169785</t>
  </si>
  <si>
    <t>570715000000091681</t>
  </si>
  <si>
    <t>Allerød</t>
  </si>
  <si>
    <t>Vassingerød By, Uggeløse</t>
  </si>
  <si>
    <t>3u</t>
  </si>
  <si>
    <t>570715000000083426</t>
  </si>
  <si>
    <t>Gundtoft By, Gettrup</t>
  </si>
  <si>
    <t>13a</t>
  </si>
  <si>
    <t>570715000000083440</t>
  </si>
  <si>
    <t>570715000000083457</t>
  </si>
  <si>
    <t>570715000000083471</t>
  </si>
  <si>
    <t>570715000000083488</t>
  </si>
  <si>
    <t>570715000000083495</t>
  </si>
  <si>
    <t>570715000000084263</t>
  </si>
  <si>
    <t>Trehuse, Frederiks</t>
  </si>
  <si>
    <t>570715000000084270</t>
  </si>
  <si>
    <t>570715000000084782</t>
  </si>
  <si>
    <t>Gørup, Ulbjerg</t>
  </si>
  <si>
    <t>570715000000084799</t>
  </si>
  <si>
    <t>Gørup By, Ulbjerg</t>
  </si>
  <si>
    <t>570715000001350664</t>
  </si>
  <si>
    <t>Stubdrup By, Ø.Brønderslev</t>
  </si>
  <si>
    <t>570715000001350817</t>
  </si>
  <si>
    <t>570715000001350824</t>
  </si>
  <si>
    <t>Ø.Linderup By, Ø.Brønderslev</t>
  </si>
  <si>
    <t>570715000001350855</t>
  </si>
  <si>
    <t>570715000000164392</t>
  </si>
  <si>
    <t>Grønhede, Volstrup</t>
  </si>
  <si>
    <t>570715000000168154</t>
  </si>
  <si>
    <t>570715000001461926</t>
  </si>
  <si>
    <t>570715000001461988</t>
  </si>
  <si>
    <t>570715000000057380</t>
  </si>
  <si>
    <t>Stae Bg, V. Hassing Sogn</t>
  </si>
  <si>
    <t>70096-01</t>
  </si>
  <si>
    <t>570715000000057397</t>
  </si>
  <si>
    <t>Østeeladen, V. Hassing</t>
  </si>
  <si>
    <t>70095-01</t>
  </si>
  <si>
    <t>570715000000057410</t>
  </si>
  <si>
    <t>Østerladen, V. Hassing</t>
  </si>
  <si>
    <t>71101-01</t>
  </si>
  <si>
    <t>570715000000057427</t>
  </si>
  <si>
    <t>Vesterladen, Horsens</t>
  </si>
  <si>
    <t>71102-01/01</t>
  </si>
  <si>
    <t>570715000000057434</t>
  </si>
  <si>
    <t>71102-01/02</t>
  </si>
  <si>
    <t>570715000000057441</t>
  </si>
  <si>
    <t>71102-01/03</t>
  </si>
  <si>
    <t>570715000000087189</t>
  </si>
  <si>
    <t>V 90 1,8</t>
  </si>
  <si>
    <t>Den sydvestlige del, Brejning</t>
  </si>
  <si>
    <t>32d</t>
  </si>
  <si>
    <t>Vestas Wind Systems A/S V 90 1,8</t>
  </si>
  <si>
    <t>Vestas.V90.1800</t>
  </si>
  <si>
    <t>570715000000087196</t>
  </si>
  <si>
    <t>570715000000087202</t>
  </si>
  <si>
    <t>570715000000087219</t>
  </si>
  <si>
    <t>570714700000106989</t>
  </si>
  <si>
    <t>V 66 1,75</t>
  </si>
  <si>
    <t>Rutsker</t>
  </si>
  <si>
    <t>49a</t>
  </si>
  <si>
    <t>60008-1</t>
  </si>
  <si>
    <t>Vestas Wind Systems A/S V 66 1,75</t>
  </si>
  <si>
    <t>Vestas.V66.1750</t>
  </si>
  <si>
    <t>570714700000106996</t>
  </si>
  <si>
    <t>60008-2</t>
  </si>
  <si>
    <t>570714700000107009</t>
  </si>
  <si>
    <t>60008-3</t>
  </si>
  <si>
    <t>571313154314489115</t>
  </si>
  <si>
    <t>Nyborg</t>
  </si>
  <si>
    <t>Øksendrup By</t>
  </si>
  <si>
    <t>12a</t>
  </si>
  <si>
    <t>571313154314521211</t>
  </si>
  <si>
    <t>571313154314521419</t>
  </si>
  <si>
    <t>570715000000059438</t>
  </si>
  <si>
    <t>Vittarp By, Ovtrup</t>
  </si>
  <si>
    <t>570715000000059445</t>
  </si>
  <si>
    <t>Vittarp By, Outrup</t>
  </si>
  <si>
    <t>570715000000063589</t>
  </si>
  <si>
    <t>570715000000070938</t>
  </si>
  <si>
    <t>Votborggård, Tæbring</t>
  </si>
  <si>
    <t>570715000000070945</t>
  </si>
  <si>
    <t>Rakkby by, Rakkeby</t>
  </si>
  <si>
    <t>9x</t>
  </si>
  <si>
    <t>570715000000070952</t>
  </si>
  <si>
    <t>570715000000070969</t>
  </si>
  <si>
    <t>Skarum By, Alsted</t>
  </si>
  <si>
    <t>570715000000070976</t>
  </si>
  <si>
    <t>570715000000057748</t>
  </si>
  <si>
    <t>Krarup by, Hem</t>
  </si>
  <si>
    <t>570715000000063787</t>
  </si>
  <si>
    <t>570715000000063794</t>
  </si>
  <si>
    <t>570715000000059261</t>
  </si>
  <si>
    <t>Gisselbæk by, Hassing</t>
  </si>
  <si>
    <t>570715000000059339</t>
  </si>
  <si>
    <t>570715000000059346</t>
  </si>
  <si>
    <t>570715000000064043</t>
  </si>
  <si>
    <t>Tøttrup By, Hørdum</t>
  </si>
  <si>
    <t>570715000000064050</t>
  </si>
  <si>
    <t>570714700000013638</t>
  </si>
  <si>
    <t>V 66</t>
  </si>
  <si>
    <t>Ringsted</t>
  </si>
  <si>
    <t>Eskildstrup Hvg, Sneslev</t>
  </si>
  <si>
    <t>Vestas Wind Systems A/S V 66</t>
  </si>
  <si>
    <t>Vestas.V66.1650</t>
  </si>
  <si>
    <t>570714700000014246</t>
  </si>
  <si>
    <t>Sandby L.</t>
  </si>
  <si>
    <t>570714700000014253</t>
  </si>
  <si>
    <t>20b</t>
  </si>
  <si>
    <t>570714700000014260</t>
  </si>
  <si>
    <t>570714700000014277</t>
  </si>
  <si>
    <t>570715000000032226</t>
  </si>
  <si>
    <t>V 66 1,65</t>
  </si>
  <si>
    <t>Orten,Varde by</t>
  </si>
  <si>
    <t>Vestas Wind Systems A/S V 66 1,65</t>
  </si>
  <si>
    <t>570715000000032233</t>
  </si>
  <si>
    <t>3ah</t>
  </si>
  <si>
    <t>570715000000032240</t>
  </si>
  <si>
    <t>3ac</t>
  </si>
  <si>
    <t>570715000000024368</t>
  </si>
  <si>
    <t>Kolding</t>
  </si>
  <si>
    <t>Hejls</t>
  </si>
  <si>
    <t>16a</t>
  </si>
  <si>
    <t>570715000000024566</t>
  </si>
  <si>
    <t>Knudsbøl by</t>
  </si>
  <si>
    <t>4a m.fl</t>
  </si>
  <si>
    <t>570715000000024573</t>
  </si>
  <si>
    <t>570715000000024580</t>
  </si>
  <si>
    <t>570715000000039485</t>
  </si>
  <si>
    <t>Den mellemste Del, Sir</t>
  </si>
  <si>
    <t>6a</t>
  </si>
  <si>
    <t>570715000000039492</t>
  </si>
  <si>
    <t>570715000000039508</t>
  </si>
  <si>
    <t>Østergård, Sir</t>
  </si>
  <si>
    <t>570715000000039515</t>
  </si>
  <si>
    <t>570715000000060519</t>
  </si>
  <si>
    <t>NM 64/1500</t>
  </si>
  <si>
    <t>Nordenbro By, Magleby</t>
  </si>
  <si>
    <t>10d</t>
  </si>
  <si>
    <t>NEG Micon NM 64/1500</t>
  </si>
  <si>
    <t>NEG.Micon.NM64c.1500</t>
  </si>
  <si>
    <t>570715000000060526</t>
  </si>
  <si>
    <t>Tryggelevgård, Tryggelev</t>
  </si>
  <si>
    <t>570715000000079610</t>
  </si>
  <si>
    <t>NM 64</t>
  </si>
  <si>
    <t>Hviding Ejerlav, Hviding</t>
  </si>
  <si>
    <t>NEG Micon NM 64</t>
  </si>
  <si>
    <t>570715000000079627</t>
  </si>
  <si>
    <t>570715000000079634</t>
  </si>
  <si>
    <t>570715000000024313</t>
  </si>
  <si>
    <t>NM 1500/64</t>
  </si>
  <si>
    <t>Vejen</t>
  </si>
  <si>
    <t>Kragelund by</t>
  </si>
  <si>
    <t>NEG Micon NM 1500/64</t>
  </si>
  <si>
    <r>
      <rPr>
        <b val="1"/>
        <sz val="12"/>
        <color indexed="8"/>
        <rFont val="Calibri"/>
      </rPr>
      <t>NEG.Micon.M1500.750</t>
    </r>
  </si>
  <si>
    <t>570715000000024542</t>
  </si>
  <si>
    <t>570715000000048388</t>
  </si>
  <si>
    <t>Jyndevad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</si>
  <si>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</si>
  <si>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</si>
  <si>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</si>
  <si>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</si>
  <si>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</si>
  <si>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</si>
  <si>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570715000000048456</t>
  </si>
  <si>
    <t>570715000000057991</t>
  </si>
  <si>
    <t>Hollandsbjerg by, Ørsted</t>
  </si>
  <si>
    <t>570715000000058004</t>
  </si>
  <si>
    <t>17f</t>
  </si>
  <si>
    <t>570715000000058011</t>
  </si>
  <si>
    <t>570715000000058028</t>
  </si>
  <si>
    <t>570715000000064395</t>
  </si>
  <si>
    <t>3s</t>
  </si>
  <si>
    <t>570715000000064401</t>
  </si>
  <si>
    <t>9k</t>
  </si>
  <si>
    <t>570715000000064418</t>
  </si>
  <si>
    <t>570715000000064425</t>
  </si>
  <si>
    <t>570715000000064432</t>
  </si>
  <si>
    <t>13o</t>
  </si>
  <si>
    <t>570715000000064449</t>
  </si>
  <si>
    <t>570715000000064456</t>
  </si>
  <si>
    <t>570715000000059582</t>
  </si>
  <si>
    <t>Bjerregård, Vedersø</t>
  </si>
  <si>
    <t>570715000000059599</t>
  </si>
  <si>
    <t>Hovedejerlavet, Vedersø</t>
  </si>
  <si>
    <t>570715000000059605</t>
  </si>
  <si>
    <t>127e</t>
  </si>
  <si>
    <t>570715000000059612</t>
  </si>
  <si>
    <t>128b</t>
  </si>
  <si>
    <t>570715000000059629</t>
  </si>
  <si>
    <t>120d</t>
  </si>
  <si>
    <t>570715000000059636</t>
  </si>
  <si>
    <t>570715000000059643</t>
  </si>
  <si>
    <t>1p</t>
  </si>
  <si>
    <t>570715000000063930</t>
  </si>
  <si>
    <t>Norden åen, Tim</t>
  </si>
  <si>
    <t>570715000000063947</t>
  </si>
  <si>
    <t>31a</t>
  </si>
  <si>
    <t>570715000000063954</t>
  </si>
  <si>
    <t>57c</t>
  </si>
  <si>
    <t>570715000000079122</t>
  </si>
  <si>
    <t>NM72C/1500/EVOII</t>
  </si>
  <si>
    <t>Vester Brønderslev, Brønderslev Jorder</t>
  </si>
  <si>
    <t>13dp</t>
  </si>
  <si>
    <t>Vestas Wind Systems A/S NM72C/1500/EVOII</t>
  </si>
  <si>
    <r>
      <rPr>
        <b val="1"/>
        <sz val="12"/>
        <color indexed="8"/>
        <rFont val="Calibri"/>
      </rPr>
      <t>Vestas.V66.1650</t>
    </r>
  </si>
  <si>
    <t>570715000000079139</t>
  </si>
  <si>
    <t>570715000000079146</t>
  </si>
  <si>
    <t>570715000000079153</t>
  </si>
  <si>
    <t>54l</t>
  </si>
  <si>
    <t>570715000000079160</t>
  </si>
  <si>
    <t>NM72C</t>
  </si>
  <si>
    <t>16by</t>
  </si>
  <si>
    <t>Vestas Wind Systems A/S NM72C</t>
  </si>
  <si>
    <t>570715000000079177</t>
  </si>
  <si>
    <t>15ad</t>
  </si>
  <si>
    <t>570715000000079184</t>
  </si>
  <si>
    <t>73ad</t>
  </si>
  <si>
    <t>570714700000105678</t>
  </si>
  <si>
    <t>N 60/1300</t>
  </si>
  <si>
    <t>53a</t>
  </si>
  <si>
    <t>60123-1</t>
  </si>
  <si>
    <t>Nordex N 60/1300</t>
  </si>
  <si>
    <t>Nordex.N60.1300</t>
  </si>
  <si>
    <t>570714700000105685</t>
  </si>
  <si>
    <t>44a</t>
  </si>
  <si>
    <t>60123-2</t>
  </si>
  <si>
    <t>570714700000105692</t>
  </si>
  <si>
    <t>60123-3</t>
  </si>
  <si>
    <t>570714700000105760</t>
  </si>
  <si>
    <t>91a</t>
  </si>
  <si>
    <t>60125-1</t>
  </si>
  <si>
    <t>570714700000105777</t>
  </si>
  <si>
    <t>60125-2</t>
  </si>
  <si>
    <t>570714700000105784</t>
  </si>
  <si>
    <t>60125-3</t>
  </si>
  <si>
    <t>570714700000105791</t>
  </si>
  <si>
    <t>60125-4</t>
  </si>
  <si>
    <t>570714700000105807</t>
  </si>
  <si>
    <t>60125-5</t>
  </si>
  <si>
    <t>570715000000060694</t>
  </si>
  <si>
    <t>1,3 MW</t>
  </si>
  <si>
    <t>Assens</t>
  </si>
  <si>
    <t>Assens Markjord</t>
  </si>
  <si>
    <t>162ac</t>
  </si>
  <si>
    <t>BONUS 1,3 MW</t>
  </si>
  <si>
    <t>Bonus.B62.1300</t>
  </si>
  <si>
    <t>570715000000049514</t>
  </si>
  <si>
    <t>Haderslev</t>
  </si>
  <si>
    <t>Marstrup Hoptrup</t>
  </si>
  <si>
    <t>570715000000049521</t>
  </si>
  <si>
    <t>570715000000026096</t>
  </si>
  <si>
    <t>Filskov by</t>
  </si>
  <si>
    <t>570715000000026102</t>
  </si>
  <si>
    <t>570715000000026119</t>
  </si>
  <si>
    <t>Filskov by, Filskov</t>
  </si>
  <si>
    <t>570715000000026126</t>
  </si>
  <si>
    <t>570715000000026133</t>
  </si>
  <si>
    <t>570715000000026140</t>
  </si>
  <si>
    <t>2p m.fl</t>
  </si>
  <si>
    <t>570715000000032219</t>
  </si>
  <si>
    <t>Urup by</t>
  </si>
  <si>
    <t>5l</t>
  </si>
  <si>
    <t>570715000000032318</t>
  </si>
  <si>
    <t>570715000000032325</t>
  </si>
  <si>
    <t>570715000000032332</t>
  </si>
  <si>
    <t>570715000000032349</t>
  </si>
  <si>
    <t>570715000000032356</t>
  </si>
  <si>
    <t>570715000000032363</t>
  </si>
  <si>
    <t>570715000000032448</t>
  </si>
  <si>
    <t>570715000000032455</t>
  </si>
  <si>
    <t>570715000000035548</t>
  </si>
  <si>
    <t>Hinnum by</t>
  </si>
  <si>
    <t>570715000000035555</t>
  </si>
  <si>
    <t>570715000000063718</t>
  </si>
  <si>
    <t>1300 kW</t>
  </si>
  <si>
    <t>Stenderup By, Ansager</t>
  </si>
  <si>
    <t>12as</t>
  </si>
  <si>
    <t>BONUS 1300 kW</t>
  </si>
  <si>
    <t>570715000000063725</t>
  </si>
  <si>
    <t>12ar</t>
  </si>
  <si>
    <t>570715000000045844</t>
  </si>
  <si>
    <t>Branderup</t>
  </si>
  <si>
    <t>570715000000045851</t>
  </si>
  <si>
    <t>570715000000045868</t>
  </si>
  <si>
    <t>Roost</t>
  </si>
  <si>
    <t>570715000000045875</t>
  </si>
  <si>
    <t>570715000000045882</t>
  </si>
  <si>
    <t>570715000000047695</t>
  </si>
  <si>
    <t>Løgumkloster</t>
  </si>
  <si>
    <t>570715000000047978</t>
  </si>
  <si>
    <t>N 60</t>
  </si>
  <si>
    <t>Hyrup</t>
  </si>
  <si>
    <t>Nordex N 60</t>
  </si>
  <si>
    <t>570715000000047985</t>
  </si>
  <si>
    <t>Tirslund</t>
  </si>
  <si>
    <t>570715000000047992</t>
  </si>
  <si>
    <t>Gøtterup</t>
  </si>
  <si>
    <t>570715000000048005</t>
  </si>
  <si>
    <t>570715000000048104</t>
  </si>
  <si>
    <t>Arrild</t>
  </si>
  <si>
    <t>570715000000048111</t>
  </si>
  <si>
    <t>570715000000048166</t>
  </si>
  <si>
    <t>570715000000048210</t>
  </si>
  <si>
    <t>MW 1,3</t>
  </si>
  <si>
    <t>Hviding</t>
  </si>
  <si>
    <t>BONUS MW 1,3</t>
  </si>
  <si>
    <t>570715000000048227</t>
  </si>
  <si>
    <t>570715000000048234</t>
  </si>
  <si>
    <t>570715000000059391</t>
  </si>
  <si>
    <t>1300/250</t>
  </si>
  <si>
    <t>Vilslev</t>
  </si>
  <si>
    <t>32n</t>
  </si>
  <si>
    <t>BONUS 1300/250</t>
  </si>
  <si>
    <t>570715000000059407</t>
  </si>
  <si>
    <t>143a</t>
  </si>
  <si>
    <t>570715000000059414</t>
  </si>
  <si>
    <t>17ah</t>
  </si>
  <si>
    <t>570715000000032172</t>
  </si>
  <si>
    <t>Okslund by</t>
  </si>
  <si>
    <t>5æ</t>
  </si>
  <si>
    <t>570715000000032189</t>
  </si>
  <si>
    <t>570715000000032196</t>
  </si>
  <si>
    <t>5aa</t>
  </si>
  <si>
    <t>570715000000051081</t>
  </si>
  <si>
    <t>Kassø</t>
  </si>
  <si>
    <t>570715000000051104</t>
  </si>
  <si>
    <t>N60/1300</t>
  </si>
  <si>
    <t>BONUS N60/1300</t>
  </si>
  <si>
    <t>570715000000024290</t>
  </si>
  <si>
    <t>570715000000024306</t>
  </si>
  <si>
    <t>570715000000049750</t>
  </si>
  <si>
    <t>Frørup Ejerlav</t>
  </si>
  <si>
    <t>570715000000049767</t>
  </si>
  <si>
    <t>570715000000050909</t>
  </si>
  <si>
    <t>Frørup</t>
  </si>
  <si>
    <t>570715000000051074</t>
  </si>
  <si>
    <t>Hørup</t>
  </si>
  <si>
    <t>570715000000051128</t>
  </si>
  <si>
    <t>Seggelund</t>
  </si>
  <si>
    <t>570715000000051135</t>
  </si>
  <si>
    <t>Højrup, Stepping</t>
  </si>
  <si>
    <t>570715000000056338</t>
  </si>
  <si>
    <t>Frørup Ejerlaug</t>
  </si>
  <si>
    <t>570715000000018572</t>
  </si>
  <si>
    <t>Høstrup</t>
  </si>
  <si>
    <t>570715000000018589</t>
  </si>
  <si>
    <t>570715000000018596</t>
  </si>
  <si>
    <t>570715000000018602</t>
  </si>
  <si>
    <t>570715000000018619</t>
  </si>
  <si>
    <t>570715000000018626</t>
  </si>
  <si>
    <t>Haderis</t>
  </si>
  <si>
    <t>570715000000018633</t>
  </si>
  <si>
    <t>570715000000058127</t>
  </si>
  <si>
    <t>Syddjurs</t>
  </si>
  <si>
    <t>Skovgårde, Ebeltoft jorder</t>
  </si>
  <si>
    <t>2az</t>
  </si>
  <si>
    <t>570715000000058134</t>
  </si>
  <si>
    <t>570715000000058141</t>
  </si>
  <si>
    <t>2ax</t>
  </si>
  <si>
    <t>570715000000062919</t>
  </si>
  <si>
    <t>570715000000025921</t>
  </si>
  <si>
    <t>Uhre by</t>
  </si>
  <si>
    <t>11r</t>
  </si>
  <si>
    <t>570715000000025938</t>
  </si>
  <si>
    <t>570715000000025945</t>
  </si>
  <si>
    <t>10k</t>
  </si>
  <si>
    <t>570715000000058998</t>
  </si>
  <si>
    <t>Vejerslev by</t>
  </si>
  <si>
    <t>570715000000059018</t>
  </si>
  <si>
    <t>Vejerslev By</t>
  </si>
  <si>
    <t>570714700000003400</t>
  </si>
  <si>
    <t>1 MW</t>
  </si>
  <si>
    <t>Birkendegård Hgd., Værslev</t>
  </si>
  <si>
    <t>1bf</t>
  </si>
  <si>
    <t>088-00319</t>
  </si>
  <si>
    <t>BONUS 1 MW</t>
  </si>
  <si>
    <r>
      <rPr>
        <b val="1"/>
        <sz val="12"/>
        <color indexed="8"/>
        <rFont val="Calibri"/>
      </rPr>
      <t>Bonus.B54.1000</t>
    </r>
  </si>
  <si>
    <t>570714700000003417</t>
  </si>
  <si>
    <t>1bg</t>
  </si>
  <si>
    <t>570714700000012655</t>
  </si>
  <si>
    <t>Birkendegaard Hgd., Værslev</t>
  </si>
  <si>
    <t>1bh</t>
  </si>
  <si>
    <t>570714700000013515</t>
  </si>
  <si>
    <t>Sneslev</t>
  </si>
  <si>
    <t>570714700000012723</t>
  </si>
  <si>
    <t>Torpe By, Avnede</t>
  </si>
  <si>
    <t>570714700000012730</t>
  </si>
  <si>
    <t>Lammehave Strand, Avnede</t>
  </si>
  <si>
    <t>5af3l</t>
  </si>
  <si>
    <t>570714700000012747</t>
  </si>
  <si>
    <t>2afl5a</t>
  </si>
  <si>
    <t>570714700000012754</t>
  </si>
  <si>
    <t>2af6c</t>
  </si>
  <si>
    <t>570715000000052774</t>
  </si>
  <si>
    <t>Brudager By, Brudager</t>
  </si>
  <si>
    <t>570715000000052781</t>
  </si>
  <si>
    <t>570715000000051760</t>
  </si>
  <si>
    <t>Lindelse By, Lindelse</t>
  </si>
  <si>
    <t>570715000000051968</t>
  </si>
  <si>
    <t>Søndenbro By, Magleby</t>
  </si>
  <si>
    <t>570715000000051975</t>
  </si>
  <si>
    <t>26a</t>
  </si>
  <si>
    <t>570715000000051982</t>
  </si>
  <si>
    <t>24a</t>
  </si>
  <si>
    <t>570715000000052378</t>
  </si>
  <si>
    <t>MK l</t>
  </si>
  <si>
    <t>Stoense By, Stoense</t>
  </si>
  <si>
    <t>BONUS MK l</t>
  </si>
  <si>
    <t>570715000000060465</t>
  </si>
  <si>
    <t>Kædeby By, Humble</t>
  </si>
  <si>
    <t>570715000000049507</t>
  </si>
  <si>
    <t>Lerte</t>
  </si>
  <si>
    <t>570715000000049569</t>
  </si>
  <si>
    <t>Jegerup</t>
  </si>
  <si>
    <t>570715000000049576</t>
  </si>
  <si>
    <t>570715000000049583</t>
  </si>
  <si>
    <t>570715000000049590</t>
  </si>
  <si>
    <t>570715000000049620</t>
  </si>
  <si>
    <t>Ørsted</t>
  </si>
  <si>
    <t>570715000000050954</t>
  </si>
  <si>
    <t>Kastvrå</t>
  </si>
  <si>
    <t>570715000000050961</t>
  </si>
  <si>
    <t>570715000000050978</t>
  </si>
  <si>
    <t>570715000000050985</t>
  </si>
  <si>
    <t>570715000000050992</t>
  </si>
  <si>
    <t>570715000000032059</t>
  </si>
  <si>
    <t>NM 1000/60</t>
  </si>
  <si>
    <t>Nollund by</t>
  </si>
  <si>
    <t>NEG Micon NM 1000/60</t>
  </si>
  <si>
    <t>NEG.Micon.NM60.1000</t>
  </si>
  <si>
    <t>570715000000032066</t>
  </si>
  <si>
    <t>570715000000032073</t>
  </si>
  <si>
    <t>570715000000032080</t>
  </si>
  <si>
    <t>7i</t>
  </si>
  <si>
    <t>570715000000032097</t>
  </si>
  <si>
    <t>Trøllund by</t>
  </si>
  <si>
    <t>570715000000032103</t>
  </si>
  <si>
    <t>570715000000032110</t>
  </si>
  <si>
    <t>570715000000032127</t>
  </si>
  <si>
    <t>570715000000049675</t>
  </si>
  <si>
    <t>Skelde Ejerlav</t>
  </si>
  <si>
    <t>570715000000049682</t>
  </si>
  <si>
    <t>570715000000047909</t>
  </si>
  <si>
    <t>IMW</t>
  </si>
  <si>
    <t>Nr. Løgum</t>
  </si>
  <si>
    <t>BONUS IMW</t>
  </si>
  <si>
    <t>570715000000034046</t>
  </si>
  <si>
    <t>Tvile By</t>
  </si>
  <si>
    <t>570715000000035074</t>
  </si>
  <si>
    <t>NM 1000/54</t>
  </si>
  <si>
    <t>NEG Micon NM 1000/54</t>
  </si>
  <si>
    <t>570715000000048029</t>
  </si>
  <si>
    <t>Mejlby</t>
  </si>
  <si>
    <t>570715000000051111</t>
  </si>
  <si>
    <t>Svejrup</t>
  </si>
  <si>
    <t>570715000000024511</t>
  </si>
  <si>
    <t>Vonsild by</t>
  </si>
  <si>
    <t>570715000000024528</t>
  </si>
  <si>
    <t>570715000000024535</t>
  </si>
  <si>
    <t>570715000000039102</t>
  </si>
  <si>
    <t>Vognstrup By, Vinding</t>
  </si>
  <si>
    <t>570715000000039119</t>
  </si>
  <si>
    <t>570715000000039126</t>
  </si>
  <si>
    <t>570715000000039133</t>
  </si>
  <si>
    <t>Klejnstrup, Vinding</t>
  </si>
  <si>
    <t>570715000000042256</t>
  </si>
  <si>
    <t>1 MW - 690 V</t>
  </si>
  <si>
    <t>13y</t>
  </si>
  <si>
    <t>BONUS 1 MW - 690 V</t>
  </si>
  <si>
    <t>Bonus.B54.1000</t>
  </si>
  <si>
    <t>570715000000042263</t>
  </si>
  <si>
    <t>10e</t>
  </si>
  <si>
    <t>570715000000042270</t>
  </si>
  <si>
    <t>570715000000043666</t>
  </si>
  <si>
    <t>Heden, Timring</t>
  </si>
  <si>
    <t>4an</t>
  </si>
  <si>
    <t>570715000000043673</t>
  </si>
  <si>
    <t>1cv</t>
  </si>
  <si>
    <t>570715000000043680</t>
  </si>
  <si>
    <t>4al</t>
  </si>
  <si>
    <t>570715000000043710</t>
  </si>
  <si>
    <t>Varhede By, Aulum</t>
  </si>
  <si>
    <t>570715000000043727</t>
  </si>
  <si>
    <t>570715000000043734</t>
  </si>
  <si>
    <t>2g</t>
  </si>
  <si>
    <t>570715000000043758</t>
  </si>
  <si>
    <t>Jersild By, Aulum</t>
  </si>
  <si>
    <t>570715000000043765</t>
  </si>
  <si>
    <t>570715000000044687</t>
  </si>
  <si>
    <t>Skjerk By, Aulum</t>
  </si>
  <si>
    <t>10i</t>
  </si>
  <si>
    <t>570715000000044694</t>
  </si>
  <si>
    <t>570715000000044700</t>
  </si>
  <si>
    <t>12e</t>
  </si>
  <si>
    <t>570715000000044717</t>
  </si>
  <si>
    <t>Rødding By, Vildbjerg</t>
  </si>
  <si>
    <t>570715000000044724</t>
  </si>
  <si>
    <t>570715000000044731</t>
  </si>
  <si>
    <t>570715000000044892</t>
  </si>
  <si>
    <t>570715000000018534</t>
  </si>
  <si>
    <t>NM 60/1000</t>
  </si>
  <si>
    <t>NEG Micon NM 60/1000</t>
  </si>
  <si>
    <t>570715000000018541</t>
  </si>
  <si>
    <t>55h</t>
  </si>
  <si>
    <t>570715000000018558</t>
  </si>
  <si>
    <t>67g</t>
  </si>
  <si>
    <t>570715000000018565</t>
  </si>
  <si>
    <t>65a</t>
  </si>
  <si>
    <t>570715000000039034</t>
  </si>
  <si>
    <t>Den nordvestlige Del, Mejrup</t>
  </si>
  <si>
    <t>22b</t>
  </si>
  <si>
    <t>570715000000039089</t>
  </si>
  <si>
    <t>570715000000039157</t>
  </si>
  <si>
    <t>Den mellemste Del, Borbjerg</t>
  </si>
  <si>
    <t>570715000000039164</t>
  </si>
  <si>
    <t>31m</t>
  </si>
  <si>
    <t>570715000000039331</t>
  </si>
  <si>
    <t>Den mellemste Del, Idom</t>
  </si>
  <si>
    <t>570715000000039348</t>
  </si>
  <si>
    <t>570715000000039355</t>
  </si>
  <si>
    <t>Kærgårdene, Navr</t>
  </si>
  <si>
    <t>570715000000039232</t>
  </si>
  <si>
    <t>Fousing By, Fousing</t>
  </si>
  <si>
    <t>570715000000039249</t>
  </si>
  <si>
    <t>570715000000039256</t>
  </si>
  <si>
    <t>570715000000039263</t>
  </si>
  <si>
    <t>570715000000039270</t>
  </si>
  <si>
    <t>570715000000039287</t>
  </si>
  <si>
    <t>8h</t>
  </si>
  <si>
    <t>570715000000039294</t>
  </si>
  <si>
    <t>16e</t>
  </si>
  <si>
    <t>570715000000039300</t>
  </si>
  <si>
    <t>570715000000039362</t>
  </si>
  <si>
    <t>Østerby, Asp</t>
  </si>
  <si>
    <t>17c</t>
  </si>
  <si>
    <t>570715000000039379</t>
  </si>
  <si>
    <t>570715000000039386</t>
  </si>
  <si>
    <t>570715000000021718</t>
  </si>
  <si>
    <t>1000 kW</t>
  </si>
  <si>
    <t>Permelille by,Kolby</t>
  </si>
  <si>
    <t>BONUS 1000 kW</t>
  </si>
  <si>
    <t>570715000000021725</t>
  </si>
  <si>
    <t>570715000000021732</t>
  </si>
  <si>
    <t>Krogsgårde, Kolby</t>
  </si>
  <si>
    <t>570715000000021756</t>
  </si>
  <si>
    <t>Brundby by, Tranebjerg</t>
  </si>
  <si>
    <t>570715000000021763</t>
  </si>
  <si>
    <t>7ag</t>
  </si>
  <si>
    <t>570715000000021770</t>
  </si>
  <si>
    <t>25h</t>
  </si>
  <si>
    <t>570715000000021787</t>
  </si>
  <si>
    <t>Ørby by,Tranebjerg</t>
  </si>
  <si>
    <t>570715000000021794</t>
  </si>
  <si>
    <t>4f</t>
  </si>
  <si>
    <t>570715000000023002</t>
  </si>
  <si>
    <t>Tannerup by, Onsbjerg</t>
  </si>
  <si>
    <t>570715000000023019</t>
  </si>
  <si>
    <t>570715000000023026</t>
  </si>
  <si>
    <t>570715000000058776</t>
  </si>
  <si>
    <t>Borup by, Brande</t>
  </si>
  <si>
    <t>570715000000025259</t>
  </si>
  <si>
    <t>Hedensted</t>
  </si>
  <si>
    <t>Vrigsted By, Vrigsted</t>
  </si>
  <si>
    <t>570715000000025266</t>
  </si>
  <si>
    <t>5x</t>
  </si>
  <si>
    <t>570715000000025273</t>
  </si>
  <si>
    <t>570715000000058653</t>
  </si>
  <si>
    <t>Nr. Aldum by, Stenderup</t>
  </si>
  <si>
    <t>570715000000028519</t>
  </si>
  <si>
    <t>Blidstrup</t>
  </si>
  <si>
    <t>570715000000028526</t>
  </si>
  <si>
    <t>570715000000028533</t>
  </si>
  <si>
    <t>Ljørslev</t>
  </si>
  <si>
    <t>1ø</t>
  </si>
  <si>
    <t>570715000000028540</t>
  </si>
  <si>
    <t>570715000000028632</t>
  </si>
  <si>
    <t>570715000000028649</t>
  </si>
  <si>
    <t>570715000000028656</t>
  </si>
  <si>
    <t>570715000000028663</t>
  </si>
  <si>
    <t>Ørding</t>
  </si>
  <si>
    <t>570715000000028670</t>
  </si>
  <si>
    <t>1ak</t>
  </si>
  <si>
    <t>570715000000028687</t>
  </si>
  <si>
    <t>570715000000028694</t>
  </si>
  <si>
    <t>570715000000028700</t>
  </si>
  <si>
    <t>570715000000028717</t>
  </si>
  <si>
    <t>Sdr. Dråby</t>
  </si>
  <si>
    <t>570715000000028724</t>
  </si>
  <si>
    <t>570715000000028731</t>
  </si>
  <si>
    <t>13h</t>
  </si>
  <si>
    <t>570715000000028748</t>
  </si>
  <si>
    <t>9c</t>
  </si>
  <si>
    <t>570715000000028755</t>
  </si>
  <si>
    <t>14g</t>
  </si>
  <si>
    <t>570715000000058950</t>
  </si>
  <si>
    <t>Sindbjerg By</t>
  </si>
  <si>
    <t>570715000000058967</t>
  </si>
  <si>
    <t>Sindbjerghovedgårds indmark</t>
  </si>
  <si>
    <t>570715000000018176</t>
  </si>
  <si>
    <t>Brøndum</t>
  </si>
  <si>
    <t>570715000000018213</t>
  </si>
  <si>
    <t>570715000000018282</t>
  </si>
  <si>
    <t>570715000000018299</t>
  </si>
  <si>
    <t>570715000000018305</t>
  </si>
  <si>
    <t>570715000000018312</t>
  </si>
  <si>
    <t>570715000000059292</t>
  </si>
  <si>
    <t>Ørum by, Ørum</t>
  </si>
  <si>
    <t>570715000000059315</t>
  </si>
  <si>
    <t>27a</t>
  </si>
  <si>
    <t>570715000000064036</t>
  </si>
  <si>
    <t>570715000000013881</t>
  </si>
  <si>
    <t>Lee by</t>
  </si>
  <si>
    <t>14a</t>
  </si>
  <si>
    <t>570715000000013898</t>
  </si>
  <si>
    <t>570715000000013904</t>
  </si>
  <si>
    <t>570715000000013911</t>
  </si>
  <si>
    <t>Vindum Overgård Hdg, Vindum</t>
  </si>
  <si>
    <t>570715000000013928</t>
  </si>
  <si>
    <t>570715000000013935</t>
  </si>
  <si>
    <t>570715000000013942</t>
  </si>
  <si>
    <t>1z</t>
  </si>
  <si>
    <t>570715000000013959</t>
  </si>
  <si>
    <t>3r</t>
  </si>
  <si>
    <t>570715000000015229</t>
  </si>
  <si>
    <t>Frederiks by</t>
  </si>
  <si>
    <t>1av</t>
  </si>
  <si>
    <t>570715000000015236</t>
  </si>
  <si>
    <t>570715000000010408</t>
  </si>
  <si>
    <t>Tulstrup by</t>
  </si>
  <si>
    <t>570715000000010415</t>
  </si>
  <si>
    <t>Kjemtrup by</t>
  </si>
  <si>
    <t>3x</t>
  </si>
  <si>
    <t>570715000000010422</t>
  </si>
  <si>
    <t>570715000000010439</t>
  </si>
  <si>
    <t>570715000000013508</t>
  </si>
  <si>
    <t>Klitgaard, Ulsted</t>
  </si>
  <si>
    <t>76000-01</t>
  </si>
  <si>
    <t>570715000000013515</t>
  </si>
  <si>
    <t>570715000000013522</t>
  </si>
  <si>
    <t>570715000000013539</t>
  </si>
  <si>
    <t>570715000000013546</t>
  </si>
  <si>
    <t>570714700000013355</t>
  </si>
  <si>
    <t>NM 52/900</t>
  </si>
  <si>
    <t>Torbenfeldt Hgd., Frydendal</t>
  </si>
  <si>
    <t>NEG Micon NM 52/900</t>
  </si>
  <si>
    <t>NEG.Micon.NM52.900</t>
  </si>
  <si>
    <t>570714700000013362</t>
  </si>
  <si>
    <t>570714700000013379</t>
  </si>
  <si>
    <t>570714700000106682</t>
  </si>
  <si>
    <t>Lejre</t>
  </si>
  <si>
    <t>Kirke Hyllinge</t>
  </si>
  <si>
    <t>6ap</t>
  </si>
  <si>
    <t>570714700000106699</t>
  </si>
  <si>
    <t>570714700000106651</t>
  </si>
  <si>
    <t>Stavreby By, Skelby</t>
  </si>
  <si>
    <t>570714700000106668</t>
  </si>
  <si>
    <t>570714700000106675</t>
  </si>
  <si>
    <t>Bruserup By, Væggerløse</t>
  </si>
  <si>
    <t>7l</t>
  </si>
  <si>
    <t>570714700000105456</t>
  </si>
  <si>
    <t>Bodilsker</t>
  </si>
  <si>
    <t>60126-1</t>
  </si>
  <si>
    <t>570714700000105463</t>
  </si>
  <si>
    <t>60126-2</t>
  </si>
  <si>
    <t>570714700000105470</t>
  </si>
  <si>
    <t>60126-3</t>
  </si>
  <si>
    <t>570715000000060724</t>
  </si>
  <si>
    <t>NM 52/900 A</t>
  </si>
  <si>
    <t>Faaborg-Midtfyn</t>
  </si>
  <si>
    <t>Nr. Søby</t>
  </si>
  <si>
    <t>23f</t>
  </si>
  <si>
    <t>NEG Micon NM 52/900 A</t>
  </si>
  <si>
    <t>570715000000055133</t>
  </si>
  <si>
    <t>Odense</t>
  </si>
  <si>
    <t>Brændekilde By</t>
  </si>
  <si>
    <t>570715000000055317</t>
  </si>
  <si>
    <t>Brændekilde By, Brændekilde</t>
  </si>
  <si>
    <t>17ad</t>
  </si>
  <si>
    <t>570715000000055324</t>
  </si>
  <si>
    <t>570715000000056741</t>
  </si>
  <si>
    <t>Volderslev Stenløse</t>
  </si>
  <si>
    <t>570715000000056758</t>
  </si>
  <si>
    <t>570715000000055041</t>
  </si>
  <si>
    <t>NM 52/900-200</t>
  </si>
  <si>
    <t>Ellerup By, Gudbjerg</t>
  </si>
  <si>
    <t>NEG Micon NM 52/900-200</t>
  </si>
  <si>
    <t>570715000000055065</t>
  </si>
  <si>
    <t>Gudbjerg By, Gudbjerg</t>
  </si>
  <si>
    <t>570715000000055072</t>
  </si>
  <si>
    <t>570715000000055171</t>
  </si>
  <si>
    <t>Ellerup By, gudbjerg</t>
  </si>
  <si>
    <t>570715000000055188</t>
  </si>
  <si>
    <t>Galdbjerg By, Galdbjerg</t>
  </si>
  <si>
    <t>9h</t>
  </si>
  <si>
    <t>570715000000060564</t>
  </si>
  <si>
    <t>Klingstrup Hdg. Skårup</t>
  </si>
  <si>
    <t>570715000000060571</t>
  </si>
  <si>
    <t>570715000000060588</t>
  </si>
  <si>
    <t>570715000000060625</t>
  </si>
  <si>
    <t>Løjtved Hovedgd. Stenstrup</t>
  </si>
  <si>
    <t>570715000000060632</t>
  </si>
  <si>
    <t>570715000000060649</t>
  </si>
  <si>
    <t>570715000001589897</t>
  </si>
  <si>
    <t>EWT B.V.</t>
  </si>
  <si>
    <t>DW61-900kW</t>
  </si>
  <si>
    <t>Skiftekær Vindmøllelaug IS vPeter Bundsgaard Rasmussen</t>
  </si>
  <si>
    <t>EWT B.V. DW61-900kW</t>
  </si>
  <si>
    <r>
      <rPr>
        <b val="1"/>
        <sz val="12"/>
        <color indexed="8"/>
        <rFont val="Calibri"/>
      </rPr>
      <t>EWT.DirectWind.52.900</t>
    </r>
  </si>
  <si>
    <t>570715000001589927</t>
  </si>
  <si>
    <t>Gårdejer Peter Bay Knudsen</t>
  </si>
  <si>
    <t>570715000000056000</t>
  </si>
  <si>
    <t>Sønderbr Br. Magleby</t>
  </si>
  <si>
    <t>570715000000060472</t>
  </si>
  <si>
    <t>NM 900</t>
  </si>
  <si>
    <t>Tryggelev By</t>
  </si>
  <si>
    <t>14 864 307</t>
  </si>
  <si>
    <t>NEG Micon NM 900</t>
  </si>
  <si>
    <r>
      <rPr>
        <b val="1"/>
        <sz val="12"/>
        <color indexed="8"/>
        <rFont val="Calibri"/>
      </rPr>
      <t>NEG.Micon.NM60.1000</t>
    </r>
  </si>
  <si>
    <t>570715000000060489</t>
  </si>
  <si>
    <t>NM 52</t>
  </si>
  <si>
    <t>Svalebølle By Bøstrup</t>
  </si>
  <si>
    <t>35348 010</t>
  </si>
  <si>
    <t>NEG Micon NM 52</t>
  </si>
  <si>
    <t>570715000000060496</t>
  </si>
  <si>
    <t>Nedergård hgd.Bøstrup</t>
  </si>
  <si>
    <t>570715000000060502</t>
  </si>
  <si>
    <t>570715000000060533</t>
  </si>
  <si>
    <t>Sønderbro By, Magleby</t>
  </si>
  <si>
    <t>570715000000060540</t>
  </si>
  <si>
    <t>Broløkke hgd. Magleby</t>
  </si>
  <si>
    <t>570715000000049644</t>
  </si>
  <si>
    <t>NM 52/900 44</t>
  </si>
  <si>
    <t>Anslet Fjelstrup</t>
  </si>
  <si>
    <t>NEG Micon NM 52/900 44</t>
  </si>
  <si>
    <t>570715000000049651</t>
  </si>
  <si>
    <t>Fjelstrup</t>
  </si>
  <si>
    <t>570715000000064197</t>
  </si>
  <si>
    <t>Jejsing, Hostrup</t>
  </si>
  <si>
    <t>570715000000064203</t>
  </si>
  <si>
    <t>570715000000063619</t>
  </si>
  <si>
    <t>Biltoft By, Næsbjerg</t>
  </si>
  <si>
    <t>344227010-1</t>
  </si>
  <si>
    <t>570715000000063626</t>
  </si>
  <si>
    <t>344227010-2</t>
  </si>
  <si>
    <t>570715000000063633</t>
  </si>
  <si>
    <t>344227010-3</t>
  </si>
  <si>
    <t>570715000000063657</t>
  </si>
  <si>
    <t>344227011-1</t>
  </si>
  <si>
    <t>570715000000063664</t>
  </si>
  <si>
    <t>344227011-2</t>
  </si>
  <si>
    <t>570715000000063671</t>
  </si>
  <si>
    <t>344227011-3</t>
  </si>
  <si>
    <t>570715000000063688</t>
  </si>
  <si>
    <t>344227011-4</t>
  </si>
  <si>
    <t>570715000000063695</t>
  </si>
  <si>
    <t>344227011-5</t>
  </si>
  <si>
    <t>570715000000063701</t>
  </si>
  <si>
    <t>344227011-6</t>
  </si>
  <si>
    <t>570715000000035050</t>
  </si>
  <si>
    <t>Tobøl By</t>
  </si>
  <si>
    <t>11b</t>
  </si>
  <si>
    <t>570715000000035067</t>
  </si>
  <si>
    <t>570715000000063749</t>
  </si>
  <si>
    <t>Adserbøl Gde., Lindknud</t>
  </si>
  <si>
    <t>2y</t>
  </si>
  <si>
    <t>344227021-1</t>
  </si>
  <si>
    <t>570715000000063756</t>
  </si>
  <si>
    <t>2æ</t>
  </si>
  <si>
    <t>344227021-2</t>
  </si>
  <si>
    <t>570715000000063763</t>
  </si>
  <si>
    <t>344227021-3</t>
  </si>
  <si>
    <t>570715000000063770</t>
  </si>
  <si>
    <t>344227021-4</t>
  </si>
  <si>
    <t>570715000000048128</t>
  </si>
  <si>
    <t>Brystrup</t>
  </si>
  <si>
    <t>570715000000049699</t>
  </si>
  <si>
    <t>Bjerndrup</t>
  </si>
  <si>
    <t>570715000000049705</t>
  </si>
  <si>
    <t>570715000000049712</t>
  </si>
  <si>
    <t>570715000000056314</t>
  </si>
  <si>
    <t>Bodum, Løjt</t>
  </si>
  <si>
    <t>570715000000056321</t>
  </si>
  <si>
    <t>Bodum</t>
  </si>
  <si>
    <t>570715000000056512</t>
  </si>
  <si>
    <t>Røllum, Ensted</t>
  </si>
  <si>
    <t>570715000000056536</t>
  </si>
  <si>
    <t>570715000000060250</t>
  </si>
  <si>
    <t>570715000000026737</t>
  </si>
  <si>
    <t>Horsens</t>
  </si>
  <si>
    <t>Nim By, Nim</t>
  </si>
  <si>
    <t>570715000000026744</t>
  </si>
  <si>
    <t>570715000000024467</t>
  </si>
  <si>
    <t>Sjølund</t>
  </si>
  <si>
    <t>40a</t>
  </si>
  <si>
    <t>570715000000024474</t>
  </si>
  <si>
    <t>8a m.fl</t>
  </si>
  <si>
    <t>570715000000049743</t>
  </si>
  <si>
    <t>NM 52/900-250 44</t>
  </si>
  <si>
    <t>Højrup-Steppe</t>
  </si>
  <si>
    <t>NEG Micon NM 52/900-250 44</t>
  </si>
  <si>
    <t>570715000000060267</t>
  </si>
  <si>
    <t>570715000000056390</t>
  </si>
  <si>
    <t>Micon</t>
  </si>
  <si>
    <t>M 52/900</t>
  </si>
  <si>
    <t>Sønderlandet</t>
  </si>
  <si>
    <t>42e</t>
  </si>
  <si>
    <t>Micon M 52/900</t>
  </si>
  <si>
    <t>570715000000056406</t>
  </si>
  <si>
    <t>570715000000056413</t>
  </si>
  <si>
    <t>570715000000056420</t>
  </si>
  <si>
    <t>570715000000056437</t>
  </si>
  <si>
    <t>570715000000056048</t>
  </si>
  <si>
    <t>NM 52/900 IEC ll</t>
  </si>
  <si>
    <t>Sevel By, Sevel</t>
  </si>
  <si>
    <t>NEG Micon NM 52/900 IEC ll</t>
  </si>
  <si>
    <t>570715000000058066</t>
  </si>
  <si>
    <t>Ommestrup By, Mørke</t>
  </si>
  <si>
    <t>570715000000058073</t>
  </si>
  <si>
    <t>Bale by, Mørke</t>
  </si>
  <si>
    <t>570715000000058080</t>
  </si>
  <si>
    <t>Balle by, Rosmus</t>
  </si>
  <si>
    <t>8n</t>
  </si>
  <si>
    <t>570715000000058097</t>
  </si>
  <si>
    <t>8i</t>
  </si>
  <si>
    <t>570715000000058103</t>
  </si>
  <si>
    <t>570715000000058110</t>
  </si>
  <si>
    <t>570715000000020766</t>
  </si>
  <si>
    <t>NM 52/900 49</t>
  </si>
  <si>
    <t>Favrskov</t>
  </si>
  <si>
    <t>Hallendrup by, Rud</t>
  </si>
  <si>
    <t>NEG Micon NM 52/900 49</t>
  </si>
  <si>
    <t>570715000000020773</t>
  </si>
  <si>
    <t>570715000000020780</t>
  </si>
  <si>
    <t>570715000000020797</t>
  </si>
  <si>
    <t>570715000000063046</t>
  </si>
  <si>
    <t>Grundfør by, Grundfør</t>
  </si>
  <si>
    <t>94a</t>
  </si>
  <si>
    <t>570715000000063053</t>
  </si>
  <si>
    <t>570715000000063060</t>
  </si>
  <si>
    <t>570715000000058455</t>
  </si>
  <si>
    <t>Torrild</t>
  </si>
  <si>
    <t>570715000000058462</t>
  </si>
  <si>
    <t>570715000000058479</t>
  </si>
  <si>
    <t>570715000000019449</t>
  </si>
  <si>
    <t>Askildrup By</t>
  </si>
  <si>
    <t>3o</t>
  </si>
  <si>
    <t>570715000000019456</t>
  </si>
  <si>
    <t>4q</t>
  </si>
  <si>
    <t>570715000000019463</t>
  </si>
  <si>
    <t>570715000000020872</t>
  </si>
  <si>
    <t>Assentoft by, Essenbæk sogn</t>
  </si>
  <si>
    <t>4id</t>
  </si>
  <si>
    <t>570715000000020889</t>
  </si>
  <si>
    <t>570715000000023101</t>
  </si>
  <si>
    <t>Alsvej Vindmøllelaug</t>
  </si>
  <si>
    <t>8nb</t>
  </si>
  <si>
    <t>570715000000015007</t>
  </si>
  <si>
    <t>Tvilum</t>
  </si>
  <si>
    <t>570715000000015014</t>
  </si>
  <si>
    <t>570715000000015021</t>
  </si>
  <si>
    <t>570715000000015038</t>
  </si>
  <si>
    <t>570715000000015045</t>
  </si>
  <si>
    <t>570715000000015052</t>
  </si>
  <si>
    <t>570715000000063817</t>
  </si>
  <si>
    <t>Vinding</t>
  </si>
  <si>
    <t>570715000000063824</t>
  </si>
  <si>
    <t>570715000000014833</t>
  </si>
  <si>
    <t>Flensted By</t>
  </si>
  <si>
    <t>570715000000014840</t>
  </si>
  <si>
    <t>Låsby</t>
  </si>
  <si>
    <t>570715000000014857</t>
  </si>
  <si>
    <t>Tulstrup</t>
  </si>
  <si>
    <t>570715000000014864</t>
  </si>
  <si>
    <t>570715000000029011</t>
  </si>
  <si>
    <t>Ll. Nørlund</t>
  </si>
  <si>
    <t>6ao</t>
  </si>
  <si>
    <t>570715000000029028</t>
  </si>
  <si>
    <t>6bs</t>
  </si>
  <si>
    <t>570715000000029035</t>
  </si>
  <si>
    <t>570715000000029042</t>
  </si>
  <si>
    <t>6fe</t>
  </si>
  <si>
    <t>570715000000056123</t>
  </si>
  <si>
    <t>570715000000056284</t>
  </si>
  <si>
    <t>570715000000056659</t>
  </si>
  <si>
    <t>Ilskov</t>
  </si>
  <si>
    <t>570715000000056666</t>
  </si>
  <si>
    <t>570715000000056673</t>
  </si>
  <si>
    <t>570715000000032370</t>
  </si>
  <si>
    <t>Viumgård hgd</t>
  </si>
  <si>
    <t>29k</t>
  </si>
  <si>
    <t>570715000000032387</t>
  </si>
  <si>
    <t>NM 52/900 LM</t>
  </si>
  <si>
    <t>Viumgård Hvdg. Sdr. Vium</t>
  </si>
  <si>
    <t>26br</t>
  </si>
  <si>
    <t>NEG Micon NM 52/900 LM</t>
  </si>
  <si>
    <t>570715000000032394</t>
  </si>
  <si>
    <t>66b</t>
  </si>
  <si>
    <t>570715000000032400</t>
  </si>
  <si>
    <t>Nørhede by</t>
  </si>
  <si>
    <t>570715000000032417</t>
  </si>
  <si>
    <t>570715000000032424</t>
  </si>
  <si>
    <t>16c</t>
  </si>
  <si>
    <t>570715000000032431</t>
  </si>
  <si>
    <t>Sønderdiger by</t>
  </si>
  <si>
    <t>3g</t>
  </si>
  <si>
    <t>570715000000032462</t>
  </si>
  <si>
    <t>570715000000032479</t>
  </si>
  <si>
    <t>570715000000032486</t>
  </si>
  <si>
    <t>570715000000059766</t>
  </si>
  <si>
    <t>14ar</t>
  </si>
  <si>
    <t>570715000000059773</t>
  </si>
  <si>
    <t>11bb</t>
  </si>
  <si>
    <t>570715000000025297</t>
  </si>
  <si>
    <t>Merringgård Hovedgård, Korning</t>
  </si>
  <si>
    <t>570715000000025303</t>
  </si>
  <si>
    <t>570715000000063909</t>
  </si>
  <si>
    <t>Kærgaardsholm Hgd.</t>
  </si>
  <si>
    <t>570715000000063916</t>
  </si>
  <si>
    <t>570715000000063923</t>
  </si>
  <si>
    <t>570715000000005770</t>
  </si>
  <si>
    <t>Rødbrogård, Tømmerby</t>
  </si>
  <si>
    <t>570715000000006111</t>
  </si>
  <si>
    <t>Hjardemål By, Hjardemål</t>
  </si>
  <si>
    <t>570715000000006128</t>
  </si>
  <si>
    <t>570715000000006135</t>
  </si>
  <si>
    <t>570715000000006142</t>
  </si>
  <si>
    <t>570715000000057151</t>
  </si>
  <si>
    <t>Klasturp By, Hunstrup</t>
  </si>
  <si>
    <t>570715000000057168</t>
  </si>
  <si>
    <t>570715000000057175</t>
  </si>
  <si>
    <t>Sennels by,Sennels</t>
  </si>
  <si>
    <t>570715000000057182</t>
  </si>
  <si>
    <t>570715000000059278</t>
  </si>
  <si>
    <t>V 52-900</t>
  </si>
  <si>
    <t>Stagstrup by, Stagstrup</t>
  </si>
  <si>
    <t>Vestas Wind Systems A/S V 52-900</t>
  </si>
  <si>
    <t>Vestas.V52.850</t>
  </si>
  <si>
    <t>570715000000064234</t>
  </si>
  <si>
    <t>570715000000064241</t>
  </si>
  <si>
    <t>Ullerup HDG,Sennels</t>
  </si>
  <si>
    <t>570715000000013966</t>
  </si>
  <si>
    <t>Hjermind By</t>
  </si>
  <si>
    <t>570715000000013973</t>
  </si>
  <si>
    <t>Hjorthede by</t>
  </si>
  <si>
    <t>570715000000013980</t>
  </si>
  <si>
    <t>570715000000013997</t>
  </si>
  <si>
    <t>570715000000014000</t>
  </si>
  <si>
    <t>570715000000056451</t>
  </si>
  <si>
    <t>NM 900/5 - IEC II</t>
  </si>
  <si>
    <t>tohuse</t>
  </si>
  <si>
    <t>NEG Micon NM 900/5 - IEC II</t>
  </si>
  <si>
    <t>570715000000056468</t>
  </si>
  <si>
    <t>570715000000079306</t>
  </si>
  <si>
    <t>70097-01</t>
  </si>
  <si>
    <t>Vestas Wind Systems A/S 900</t>
  </si>
  <si>
    <r>
      <rPr>
        <b val="1"/>
        <sz val="12"/>
        <color indexed="8"/>
        <rFont val="Calibri"/>
      </rPr>
      <t>Vestas.V52.850</t>
    </r>
  </si>
  <si>
    <t>570715000000079313</t>
  </si>
  <si>
    <t>70098-01</t>
  </si>
  <si>
    <t>570715000000079320</t>
  </si>
  <si>
    <t>70099-01</t>
  </si>
  <si>
    <t>570715000000079337</t>
  </si>
  <si>
    <t>70100-01</t>
  </si>
  <si>
    <t>570715000000003332</t>
  </si>
  <si>
    <t>M 52/900-200</t>
  </si>
  <si>
    <t>Gårdbo Sø, Råbjerg</t>
  </si>
  <si>
    <t>2am</t>
  </si>
  <si>
    <t>1103-0050</t>
  </si>
  <si>
    <t>Micon M 52/900-200</t>
  </si>
  <si>
    <t>570715000000003349</t>
  </si>
  <si>
    <t>1103-0052</t>
  </si>
  <si>
    <t>570715000000003356</t>
  </si>
  <si>
    <t>1103-0054</t>
  </si>
  <si>
    <t>570715000000003370</t>
  </si>
  <si>
    <t>1103-0056</t>
  </si>
  <si>
    <t>570715000000003387</t>
  </si>
  <si>
    <t>570715000000056956</t>
  </si>
  <si>
    <t>Skagen Markjorder</t>
  </si>
  <si>
    <t>123e</t>
  </si>
  <si>
    <t>0391-8334</t>
  </si>
  <si>
    <t>570715000000056963</t>
  </si>
  <si>
    <t>0391-8332</t>
  </si>
  <si>
    <t>570715000000063510</t>
  </si>
  <si>
    <t>Flejsborg by, Flejsborg</t>
  </si>
  <si>
    <t>570715000000063527</t>
  </si>
  <si>
    <t>570715000000063534</t>
  </si>
  <si>
    <t>570714700000105814</t>
  </si>
  <si>
    <t>V 52-850</t>
  </si>
  <si>
    <t>Løve By, Gierslev</t>
  </si>
  <si>
    <t>Vestas Wind Systems A/S V 52-850</t>
  </si>
  <si>
    <t>570714700000105821</t>
  </si>
  <si>
    <t>570714700000105838</t>
  </si>
  <si>
    <t>401-70599</t>
  </si>
  <si>
    <t>570715000000060595</t>
  </si>
  <si>
    <t>Holmdrup by, Skårup</t>
  </si>
  <si>
    <t>570715000000060601</t>
  </si>
  <si>
    <t>570715000000060618</t>
  </si>
  <si>
    <t>571313154314482116</t>
  </si>
  <si>
    <t>V 52</t>
  </si>
  <si>
    <t>Vestas Wind Systems A/S V 52</t>
  </si>
  <si>
    <t>570715000000025990</t>
  </si>
  <si>
    <t>Juellingsholm Hgd</t>
  </si>
  <si>
    <t>570715000000026003</t>
  </si>
  <si>
    <t>570715000000026010</t>
  </si>
  <si>
    <t>570715000000026089</t>
  </si>
  <si>
    <t>570715000000081873</t>
  </si>
  <si>
    <t>Tarp by</t>
  </si>
  <si>
    <t>570715000000081880</t>
  </si>
  <si>
    <t>570715000000086571</t>
  </si>
  <si>
    <t>Bovnum by, Horne</t>
  </si>
  <si>
    <t>570715000000086588</t>
  </si>
  <si>
    <t>570715000000086601</t>
  </si>
  <si>
    <t>570715000000048319</t>
  </si>
  <si>
    <t>Fæsted</t>
  </si>
  <si>
    <t>570715000000081187</t>
  </si>
  <si>
    <t>Gesten By Gesten</t>
  </si>
  <si>
    <t>570715000000081194</t>
  </si>
  <si>
    <t>2z</t>
  </si>
  <si>
    <t>570715000000083785</t>
  </si>
  <si>
    <t>Københoved, skrave</t>
  </si>
  <si>
    <t>570715000000083808</t>
  </si>
  <si>
    <t>Københoved, Skrave</t>
  </si>
  <si>
    <t>570715000000083815</t>
  </si>
  <si>
    <t>570715000000086694</t>
  </si>
  <si>
    <t>Gamst By, Andst</t>
  </si>
  <si>
    <t>570715000000086724</t>
  </si>
  <si>
    <t>570715000000049668</t>
  </si>
  <si>
    <t>570715000000024481</t>
  </si>
  <si>
    <t>Nagbøl</t>
  </si>
  <si>
    <t>3a m.fl</t>
  </si>
  <si>
    <t>570715000000024498</t>
  </si>
  <si>
    <t>570715000000024559</t>
  </si>
  <si>
    <t>Sjølund by</t>
  </si>
  <si>
    <t>570715000000049613</t>
  </si>
  <si>
    <t>Hvinderup</t>
  </si>
  <si>
    <t>570715000000039324</t>
  </si>
  <si>
    <t>Sdr. Lund, Vinding</t>
  </si>
  <si>
    <t>570715000000056581</t>
  </si>
  <si>
    <t>Timring</t>
  </si>
  <si>
    <t>570715000000056598</t>
  </si>
  <si>
    <t>570715000000056604</t>
  </si>
  <si>
    <t>570715000000056611</t>
  </si>
  <si>
    <t>570715000000059506</t>
  </si>
  <si>
    <t>Sdr- Lund, Vinding</t>
  </si>
  <si>
    <t>570715000000059513</t>
  </si>
  <si>
    <t>570715000000059759</t>
  </si>
  <si>
    <t>Lergrav Hovedgaard, Aulum</t>
  </si>
  <si>
    <t>570715000000059780</t>
  </si>
  <si>
    <t>Lergrav Hovedgaard</t>
  </si>
  <si>
    <t>2ø</t>
  </si>
  <si>
    <t>570715000000059797</t>
  </si>
  <si>
    <t>570715000000057724</t>
  </si>
  <si>
    <t>Neder Julianehede, Engesvang</t>
  </si>
  <si>
    <t>570715000000057731</t>
  </si>
  <si>
    <t>570715000000087127</t>
  </si>
  <si>
    <t>Tulstrup by, Ikast</t>
  </si>
  <si>
    <t>2 b</t>
  </si>
  <si>
    <t>570715000000087134</t>
  </si>
  <si>
    <t>570715000000087141</t>
  </si>
  <si>
    <t>570715000000063978</t>
  </si>
  <si>
    <t>Søgård Hovedgård, Holmsland klit</t>
  </si>
  <si>
    <t>11ms</t>
  </si>
  <si>
    <t>570715000000056055</t>
  </si>
  <si>
    <t>havrum byhornborg</t>
  </si>
  <si>
    <t>570715000000056062</t>
  </si>
  <si>
    <t>Flemming byHornborg</t>
  </si>
  <si>
    <t>570715000000056079</t>
  </si>
  <si>
    <t>570715000000056086</t>
  </si>
  <si>
    <t>570715000000056093</t>
  </si>
  <si>
    <t>570715000000028823</t>
  </si>
  <si>
    <t>Ø.Jølby</t>
  </si>
  <si>
    <t>570715000000028830</t>
  </si>
  <si>
    <t>570715000000056260</t>
  </si>
  <si>
    <t>Fredsø by, Lødderup</t>
  </si>
  <si>
    <t>570715000000056277</t>
  </si>
  <si>
    <t>Fredsø By, Lødderup</t>
  </si>
  <si>
    <t>570715000000056499</t>
  </si>
  <si>
    <t>Vils By Vejerslev</t>
  </si>
  <si>
    <t>570715000000056543</t>
  </si>
  <si>
    <t>Lødderup By, Lødderup</t>
  </si>
  <si>
    <t>570715000000056550</t>
  </si>
  <si>
    <t>570715000000056567</t>
  </si>
  <si>
    <t>570715000000058974</t>
  </si>
  <si>
    <t>Ejerslev By</t>
  </si>
  <si>
    <t>570715000000058981</t>
  </si>
  <si>
    <t>Ejerslev by</t>
  </si>
  <si>
    <t>570715000000070983</t>
  </si>
  <si>
    <t>Mollerup By, Mollerup</t>
  </si>
  <si>
    <t>570715000000070990</t>
  </si>
  <si>
    <t>570715000000018657</t>
  </si>
  <si>
    <t>Tøndering By, Tøndering</t>
  </si>
  <si>
    <t>570715000000018664</t>
  </si>
  <si>
    <t>570715000000055881</t>
  </si>
  <si>
    <t>V 52-850 kW</t>
  </si>
  <si>
    <t>Harreby, Harre</t>
  </si>
  <si>
    <t>9k,11d</t>
  </si>
  <si>
    <t>Vestas Wind Systems A/S V 52-850 kW</t>
  </si>
  <si>
    <t>570715000000055898</t>
  </si>
  <si>
    <t>Harre by, Harre</t>
  </si>
  <si>
    <t>570715000000055973</t>
  </si>
  <si>
    <t>11d m.f</t>
  </si>
  <si>
    <t>570715000000057663</t>
  </si>
  <si>
    <t>570715000000057670</t>
  </si>
  <si>
    <t>Tøndering by, Tøndering</t>
  </si>
  <si>
    <t>570715000000057694</t>
  </si>
  <si>
    <t>Harre By Harre</t>
  </si>
  <si>
    <t>126ag13</t>
  </si>
  <si>
    <t>570715000000057700</t>
  </si>
  <si>
    <t>570715000000063831</t>
  </si>
  <si>
    <t>Møgelthorum, Thorum</t>
  </si>
  <si>
    <t>570715000000063848</t>
  </si>
  <si>
    <t>Junget by, Junget</t>
  </si>
  <si>
    <t>570715000000063855</t>
  </si>
  <si>
    <t>570715000000063862</t>
  </si>
  <si>
    <t>570715000000107078</t>
  </si>
  <si>
    <t>Høje-Taastrup</t>
  </si>
  <si>
    <t>Høje Taastrup by, Høje Taastrup</t>
  </si>
  <si>
    <t>9i</t>
  </si>
  <si>
    <t>571313174116253585</t>
  </si>
  <si>
    <t>Roskilde</t>
  </si>
  <si>
    <t>Veddelev</t>
  </si>
  <si>
    <t>570715000000059285</t>
  </si>
  <si>
    <t>Harring By, Harring</t>
  </si>
  <si>
    <t>570715000000059308</t>
  </si>
  <si>
    <t>570715000000059322</t>
  </si>
  <si>
    <t>570715000000056130</t>
  </si>
  <si>
    <t>Tårupgård Hovedgård</t>
  </si>
  <si>
    <t>570715000000056147</t>
  </si>
  <si>
    <t>570715000000056154</t>
  </si>
  <si>
    <t>570715000000083778</t>
  </si>
  <si>
    <t>Bolle Fjerding Dronninglund</t>
  </si>
  <si>
    <t>570715000000083792</t>
  </si>
  <si>
    <t>570714700000105487</t>
  </si>
  <si>
    <t>N 50/800</t>
  </si>
  <si>
    <t>Knudsker</t>
  </si>
  <si>
    <t>27u</t>
  </si>
  <si>
    <t>60124-1</t>
  </si>
  <si>
    <t>Nordex N 50/800</t>
  </si>
  <si>
    <t>Nordex.N50.800</t>
  </si>
  <si>
    <t>570714700000105494</t>
  </si>
  <si>
    <t>60124-2</t>
  </si>
  <si>
    <t>570714700000105500</t>
  </si>
  <si>
    <t>60124-3</t>
  </si>
  <si>
    <t>570715000000054631</t>
  </si>
  <si>
    <t>Gislev By, Gislev</t>
  </si>
  <si>
    <t>570715000000060700</t>
  </si>
  <si>
    <t>Søllinge By</t>
  </si>
  <si>
    <t>570715000000060717</t>
  </si>
  <si>
    <t>570715000000051364</t>
  </si>
  <si>
    <t>Mullerup by,Flød.</t>
  </si>
  <si>
    <t>570715000000051371</t>
  </si>
  <si>
    <t>Mullerup by, Flød</t>
  </si>
  <si>
    <t>6l</t>
  </si>
  <si>
    <t>570715000000051388</t>
  </si>
  <si>
    <t>570715000000054648</t>
  </si>
  <si>
    <t>570715000000054518</t>
  </si>
  <si>
    <t>Nordfyns</t>
  </si>
  <si>
    <t>Gyrup By, Hjadstrup</t>
  </si>
  <si>
    <t>570715000000054525</t>
  </si>
  <si>
    <t>570715000000054600</t>
  </si>
  <si>
    <t>Toderup By, Særslev</t>
  </si>
  <si>
    <t>570715000000054617</t>
  </si>
  <si>
    <t>570715000000054730</t>
  </si>
  <si>
    <t>Moderup By, Særslev</t>
  </si>
  <si>
    <t>570715000000054747</t>
  </si>
  <si>
    <t>570715000000060731</t>
  </si>
  <si>
    <t>Gyrup By</t>
  </si>
  <si>
    <t>570715000000051821</t>
  </si>
  <si>
    <t>Helsned By</t>
  </si>
  <si>
    <t>570715000000051845</t>
  </si>
  <si>
    <t>Tryggelev By, Tryggelev</t>
  </si>
  <si>
    <t>570715000000064838</t>
  </si>
  <si>
    <t>N 50/43</t>
  </si>
  <si>
    <t>Rifbjerg by, Simmerbølle</t>
  </si>
  <si>
    <t>Nordex N 50/43</t>
  </si>
  <si>
    <t>570715000000047756</t>
  </si>
  <si>
    <t>Vojens</t>
  </si>
  <si>
    <t>570715000000048180</t>
  </si>
  <si>
    <t>Højrup</t>
  </si>
  <si>
    <t>570715000000048197</t>
  </si>
  <si>
    <t>570715000000048333</t>
  </si>
  <si>
    <t>570715000000049897</t>
  </si>
  <si>
    <t>Lunding</t>
  </si>
  <si>
    <t>570715000000049903</t>
  </si>
  <si>
    <t>Vilstrup</t>
  </si>
  <si>
    <t>570715000000049910</t>
  </si>
  <si>
    <t>570715000000060274</t>
  </si>
  <si>
    <t>Øsby</t>
  </si>
  <si>
    <t>570715000000060281</t>
  </si>
  <si>
    <t>570715000000060298</t>
  </si>
  <si>
    <t>570715000000048463</t>
  </si>
  <si>
    <t>Tornum</t>
  </si>
  <si>
    <t>570715000000048289</t>
  </si>
  <si>
    <t>Horsbyg</t>
  </si>
  <si>
    <t>570715000000048296</t>
  </si>
  <si>
    <t>Egvad</t>
  </si>
  <si>
    <t>570715000000048302</t>
  </si>
  <si>
    <t>570715000000026690</t>
  </si>
  <si>
    <t>Tønning</t>
  </si>
  <si>
    <t>570715000000049552</t>
  </si>
  <si>
    <t>570715000000049729</t>
  </si>
  <si>
    <t>570715000000025969</t>
  </si>
  <si>
    <t>Enkelundgårde</t>
  </si>
  <si>
    <t>570715000000025976</t>
  </si>
  <si>
    <t>570715000000025983</t>
  </si>
  <si>
    <t>Sejrup by, Thyregod</t>
  </si>
  <si>
    <t>570715000000026577</t>
  </si>
  <si>
    <t>Vindelev by, Vindelev</t>
  </si>
  <si>
    <t>570715000000026584</t>
  </si>
  <si>
    <t>570715000000026591</t>
  </si>
  <si>
    <t>Hejsel, Ildved Sogn</t>
  </si>
  <si>
    <t>570715000000026607</t>
  </si>
  <si>
    <t>Ildved by, Hvejsel</t>
  </si>
  <si>
    <t>570715000000026614</t>
  </si>
  <si>
    <t>N 50/46</t>
  </si>
  <si>
    <t>Nordex N 50/46</t>
  </si>
  <si>
    <t>570715000000026621</t>
  </si>
  <si>
    <t>570715000000026638</t>
  </si>
  <si>
    <t>570715000000027178</t>
  </si>
  <si>
    <t>Balle by Bredsten</t>
  </si>
  <si>
    <t>60-189</t>
  </si>
  <si>
    <t>570715000000027185</t>
  </si>
  <si>
    <t>60-190</t>
  </si>
  <si>
    <t>570715000000027192</t>
  </si>
  <si>
    <t>60-191</t>
  </si>
  <si>
    <t>570715000000027208</t>
  </si>
  <si>
    <t>Ravning by Bredsten</t>
  </si>
  <si>
    <t>60-192</t>
  </si>
  <si>
    <t>570715000000055867</t>
  </si>
  <si>
    <t>Ravning by, Bredsten Sogn, Vejle</t>
  </si>
  <si>
    <t>248-60-193</t>
  </si>
  <si>
    <t>570715000000055874</t>
  </si>
  <si>
    <t>248-60-194</t>
  </si>
  <si>
    <t>570715000000014017</t>
  </si>
  <si>
    <t>Nøddelund By</t>
  </si>
  <si>
    <t>570715000000014024</t>
  </si>
  <si>
    <t>570715000000034879</t>
  </si>
  <si>
    <t>Wincon</t>
  </si>
  <si>
    <t>W 755/48</t>
  </si>
  <si>
    <t>Novrup</t>
  </si>
  <si>
    <t>Wincon W 755/48</t>
  </si>
  <si>
    <r>
      <rPr>
        <b val="1"/>
        <sz val="12"/>
        <color indexed="8"/>
        <rFont val="Calibri"/>
      </rPr>
      <t>NEG.Micon.NM48.750</t>
    </r>
  </si>
  <si>
    <t>570714700000013812</t>
  </si>
  <si>
    <t>NM 48/750</t>
  </si>
  <si>
    <t>Olstrup By, Ulse</t>
  </si>
  <si>
    <t>NEG Micon NM 48/750</t>
  </si>
  <si>
    <t>NEG.Micon.NM48.750</t>
  </si>
  <si>
    <t>570714700000013829</t>
  </si>
  <si>
    <t>570714700000003233</t>
  </si>
  <si>
    <t>NM 1500-750/175</t>
  </si>
  <si>
    <t>Solbjerg By, Solbjerg</t>
  </si>
  <si>
    <t>061-00155</t>
  </si>
  <si>
    <t>NEG Micon NM 1500-750/175</t>
  </si>
  <si>
    <t>570714700000003240</t>
  </si>
  <si>
    <t>3h</t>
  </si>
  <si>
    <t>061-00156</t>
  </si>
  <si>
    <t>570714700000003257</t>
  </si>
  <si>
    <t>061-00157</t>
  </si>
  <si>
    <t>570714700000003264</t>
  </si>
  <si>
    <t>Kirke-Helsinge By, Kirke Helsinge</t>
  </si>
  <si>
    <t>25az</t>
  </si>
  <si>
    <t>039-02156</t>
  </si>
  <si>
    <t>570714700000003271</t>
  </si>
  <si>
    <t>25ay</t>
  </si>
  <si>
    <t>039-02157</t>
  </si>
  <si>
    <t>570714700000003288</t>
  </si>
  <si>
    <t>Ulstrup By, Bakkendrup</t>
  </si>
  <si>
    <t>006-00151</t>
  </si>
  <si>
    <t>570714700000003295</t>
  </si>
  <si>
    <t>006-00152</t>
  </si>
  <si>
    <t>570714700000003301</t>
  </si>
  <si>
    <t>M 1500-750/175</t>
  </si>
  <si>
    <t>Uglerup By, Buerup</t>
  </si>
  <si>
    <t>012-00424</t>
  </si>
  <si>
    <t>Micon M 1500-750/175</t>
  </si>
  <si>
    <t>NEG.Micon.M1500.750</t>
  </si>
  <si>
    <t>570714700000003318</t>
  </si>
  <si>
    <t>012-00425</t>
  </si>
  <si>
    <t>570714700000003370</t>
  </si>
  <si>
    <t>1bm</t>
  </si>
  <si>
    <t>088-00315</t>
  </si>
  <si>
    <t>570714700000003387</t>
  </si>
  <si>
    <t>1bl</t>
  </si>
  <si>
    <t>088-00316</t>
  </si>
  <si>
    <t>570714700000003394</t>
  </si>
  <si>
    <t>1bi</t>
  </si>
  <si>
    <t>088-00317</t>
  </si>
  <si>
    <t>570714700000003479</t>
  </si>
  <si>
    <t>Svallerup By, Svallerup</t>
  </si>
  <si>
    <t>067-02464</t>
  </si>
  <si>
    <t>570714700000003486</t>
  </si>
  <si>
    <t>12g</t>
  </si>
  <si>
    <t>067-02465</t>
  </si>
  <si>
    <t>570714700000003493</t>
  </si>
  <si>
    <t>Ubby By, Ubby</t>
  </si>
  <si>
    <t>067-02466</t>
  </si>
  <si>
    <t>570714700000005473</t>
  </si>
  <si>
    <t>Kirke Helsinge By, Kirke Helsinge</t>
  </si>
  <si>
    <t>22c</t>
  </si>
  <si>
    <t>570714700000005480</t>
  </si>
  <si>
    <t>Rye By, Gørlev</t>
  </si>
  <si>
    <t>570714700000005497</t>
  </si>
  <si>
    <t>570714700000012532</t>
  </si>
  <si>
    <t>Klovby By, Ubby</t>
  </si>
  <si>
    <t>570714700000012549</t>
  </si>
  <si>
    <t>570714700000012556</t>
  </si>
  <si>
    <t>570714700000012242</t>
  </si>
  <si>
    <t>Mulstrup By, Nordrupøster</t>
  </si>
  <si>
    <t>570714700000012327</t>
  </si>
  <si>
    <t>Bedsted Overdrev, Kværkeby</t>
  </si>
  <si>
    <t>2ba</t>
  </si>
  <si>
    <t>570714700000002830</t>
  </si>
  <si>
    <t>M 1500</t>
  </si>
  <si>
    <t>Micon M 1500</t>
  </si>
  <si>
    <r>
      <rPr>
        <b val="1"/>
        <sz val="12"/>
        <color indexed="8"/>
        <rFont val="Calibri"/>
      </rPr>
      <t>NEG.Micon.M1500.500</t>
    </r>
  </si>
  <si>
    <t>570714700000002847</t>
  </si>
  <si>
    <t>570714700000003349</t>
  </si>
  <si>
    <t>Stude By, Hemmeshøj</t>
  </si>
  <si>
    <t>003-00207</t>
  </si>
  <si>
    <t>570714700000003356</t>
  </si>
  <si>
    <t>003-00208</t>
  </si>
  <si>
    <t>570714700000003363</t>
  </si>
  <si>
    <t>003-00209</t>
  </si>
  <si>
    <t>570714700000005404</t>
  </si>
  <si>
    <t>NM 750-1800</t>
  </si>
  <si>
    <t>Tyvelse By, Sorterup</t>
  </si>
  <si>
    <t>NEG Micon NM 750-1800</t>
  </si>
  <si>
    <t>570714700000005411</t>
  </si>
  <si>
    <t>570714700000005428</t>
  </si>
  <si>
    <t>570714700000005466</t>
  </si>
  <si>
    <t>Nordrup By, Nordrupvester</t>
  </si>
  <si>
    <t>570714700000011238</t>
  </si>
  <si>
    <t>Frankerup By, Eggeslevmagle</t>
  </si>
  <si>
    <t>570714700000011245</t>
  </si>
  <si>
    <t>570714700000012907</t>
  </si>
  <si>
    <t>NM 44/750</t>
  </si>
  <si>
    <t>NEG Micon NM 44/750</t>
  </si>
  <si>
    <t>570714700000012914</t>
  </si>
  <si>
    <t>570714700000012921</t>
  </si>
  <si>
    <t>570714700000013065</t>
  </si>
  <si>
    <t>Hemmeshøj By, Hemmeshøj</t>
  </si>
  <si>
    <t>570714700000013072</t>
  </si>
  <si>
    <t>570714700000013089</t>
  </si>
  <si>
    <t>570714700000013201</t>
  </si>
  <si>
    <t>Eggeslevmagle</t>
  </si>
  <si>
    <t>570714700000013218</t>
  </si>
  <si>
    <t>1a m.fl</t>
  </si>
  <si>
    <t>570714700000013485</t>
  </si>
  <si>
    <t>Eggeslevlille By, Eggeslevmagle</t>
  </si>
  <si>
    <t>570714700000011771</t>
  </si>
  <si>
    <t>NM 750-200/48</t>
  </si>
  <si>
    <t>Stevns</t>
  </si>
  <si>
    <t>Frøslev</t>
  </si>
  <si>
    <t>NEG Micon NM 750-200/48</t>
  </si>
  <si>
    <t>570714700000011788</t>
  </si>
  <si>
    <t>2af24c</t>
  </si>
  <si>
    <t>570714700000011795</t>
  </si>
  <si>
    <t>570714700000011801</t>
  </si>
  <si>
    <t>570714700000011818</t>
  </si>
  <si>
    <t>5af21</t>
  </si>
  <si>
    <t>570714700000003554</t>
  </si>
  <si>
    <t>15e</t>
  </si>
  <si>
    <t>570714700000003561</t>
  </si>
  <si>
    <t>15d</t>
  </si>
  <si>
    <t>570714700000003578</t>
  </si>
  <si>
    <t>15f</t>
  </si>
  <si>
    <t>570714700000004186</t>
  </si>
  <si>
    <t>NM 750</t>
  </si>
  <si>
    <t>Rødby Markjorder</t>
  </si>
  <si>
    <t>244ap</t>
  </si>
  <si>
    <t>NEG Micon NM 750</t>
  </si>
  <si>
    <t>570714700000004193</t>
  </si>
  <si>
    <t>244av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</si>
  <si>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</si>
  <si>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</si>
  <si>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</si>
  <si>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</si>
  <si>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</si>
  <si>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</si>
  <si>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244au</t>
  </si>
  <si>
    <t>570714700000004278</t>
  </si>
  <si>
    <t>570714700000004285</t>
  </si>
  <si>
    <t>Pilet By, Olstrup M. Fl.</t>
  </si>
  <si>
    <t>570714700000004292</t>
  </si>
  <si>
    <t>570714700000004308</t>
  </si>
  <si>
    <t>570714700000006487</t>
  </si>
  <si>
    <t>570714700000006494</t>
  </si>
  <si>
    <t>570714700000006500</t>
  </si>
  <si>
    <t>570714700000012686</t>
  </si>
  <si>
    <t>Anderstrup By, Engestofte</t>
  </si>
  <si>
    <t>570714700000013614</t>
  </si>
  <si>
    <t>Stokkemarke</t>
  </si>
  <si>
    <t>570714700000106705</t>
  </si>
  <si>
    <t>244b</t>
  </si>
  <si>
    <t>570714700000011153</t>
  </si>
  <si>
    <t>Spjellerup, Marvede</t>
  </si>
  <si>
    <t>570714700000011160</t>
  </si>
  <si>
    <t>570714700000011887</t>
  </si>
  <si>
    <t>Holmegaard, Holme-Olstrup</t>
  </si>
  <si>
    <t>570714700000011894</t>
  </si>
  <si>
    <t>Holmegaard Hvgd., Holme-Olstrup</t>
  </si>
  <si>
    <t>570714700000012211</t>
  </si>
  <si>
    <t>Fodby By, Næstved</t>
  </si>
  <si>
    <t>570714700000012228</t>
  </si>
  <si>
    <t>Fodby, Fuglebjerg</t>
  </si>
  <si>
    <t>570714700000012235</t>
  </si>
  <si>
    <t>570714700000012259</t>
  </si>
  <si>
    <t>Menstrup</t>
  </si>
  <si>
    <t>570714700000012266</t>
  </si>
  <si>
    <t>570714700000012433</t>
  </si>
  <si>
    <t>Ravnsbjerg By, Toksværd</t>
  </si>
  <si>
    <t>570714700000012440</t>
  </si>
  <si>
    <t>570714700000012457</t>
  </si>
  <si>
    <t>570714700000012839</t>
  </si>
  <si>
    <t>Herlufmagle</t>
  </si>
  <si>
    <t>570714700000012846</t>
  </si>
  <si>
    <t>570714700000013836</t>
  </si>
  <si>
    <t>Sandby By Og Sogn</t>
  </si>
  <si>
    <t>570714700000013843</t>
  </si>
  <si>
    <t>Sandby Hvg Og Sogn</t>
  </si>
  <si>
    <t>570714700000013935</t>
  </si>
  <si>
    <t>Fodby By Og Sogn</t>
  </si>
  <si>
    <t>570714700000013942</t>
  </si>
  <si>
    <t>570714700000013959</t>
  </si>
  <si>
    <t>M 48/750</t>
  </si>
  <si>
    <t>Klinteby By, Karrebæk</t>
  </si>
  <si>
    <t>Micon M 48/750</t>
  </si>
  <si>
    <t>570714700000013966</t>
  </si>
  <si>
    <t>570714700000013973</t>
  </si>
  <si>
    <t>570714700000003547</t>
  </si>
  <si>
    <t>570714700000011979</t>
  </si>
  <si>
    <t>Nørre-Ørslev</t>
  </si>
  <si>
    <t>570714700000011986</t>
  </si>
  <si>
    <t>Tåderup, Tingsted</t>
  </si>
  <si>
    <t>570714700000011993</t>
  </si>
  <si>
    <t>Hullebæk By, Systofte</t>
  </si>
  <si>
    <t>9b</t>
  </si>
  <si>
    <t>570714700000012006</t>
  </si>
  <si>
    <t>570714700000012013</t>
  </si>
  <si>
    <t>Forneby By, Engestofte</t>
  </si>
  <si>
    <t>570714700000012020</t>
  </si>
  <si>
    <t>NM 750-200</t>
  </si>
  <si>
    <t>Engestofte By Og Sogn</t>
  </si>
  <si>
    <t>NEG Micon NM 750-200</t>
  </si>
  <si>
    <t>570714700000012037</t>
  </si>
  <si>
    <t>570714700000012051</t>
  </si>
  <si>
    <t>Engestofte</t>
  </si>
  <si>
    <t>570714700000012075</t>
  </si>
  <si>
    <t>Toreby</t>
  </si>
  <si>
    <t>20d</t>
  </si>
  <si>
    <t>570714700000012082</t>
  </si>
  <si>
    <t>570714700000012198</t>
  </si>
  <si>
    <t>570714700000013461</t>
  </si>
  <si>
    <t>Kettinge By, Nysted Købst.</t>
  </si>
  <si>
    <t>570714700000013508</t>
  </si>
  <si>
    <t>Kettinge By, Kettinge.</t>
  </si>
  <si>
    <t>26k</t>
  </si>
  <si>
    <t>570714700000013522</t>
  </si>
  <si>
    <t>Nysted Købst.</t>
  </si>
  <si>
    <t>570714700000013539</t>
  </si>
  <si>
    <t>Vantore By, Nysted Købst.</t>
  </si>
  <si>
    <t>1e,26</t>
  </si>
  <si>
    <t>570714700000013546</t>
  </si>
  <si>
    <t>570714700000013553</t>
  </si>
  <si>
    <t>570714700000013560</t>
  </si>
  <si>
    <t>59r</t>
  </si>
  <si>
    <t>570714700000013577</t>
  </si>
  <si>
    <t>Kettinge By, Nysted Købst</t>
  </si>
  <si>
    <t>570714700000013584</t>
  </si>
  <si>
    <t>570714700000013591</t>
  </si>
  <si>
    <t>570714700000013607</t>
  </si>
  <si>
    <t>570714700000003424</t>
  </si>
  <si>
    <t>7d</t>
  </si>
  <si>
    <t>570714700000012778</t>
  </si>
  <si>
    <t>Keldby By, Keldby</t>
  </si>
  <si>
    <t>570714700000012785</t>
  </si>
  <si>
    <t>570715000000027475</t>
  </si>
  <si>
    <t>Middelfart</t>
  </si>
  <si>
    <t>Aulby by, Vejlvj</t>
  </si>
  <si>
    <t>570715000000027482</t>
  </si>
  <si>
    <t>Staverby by, Vejlvj</t>
  </si>
  <si>
    <t>570715000000027499</t>
  </si>
  <si>
    <t>Staverby by, Vejlby</t>
  </si>
  <si>
    <t>570715000000053825</t>
  </si>
  <si>
    <t>Voldby By, Kavslunde</t>
  </si>
  <si>
    <t>570715000000053832</t>
  </si>
  <si>
    <t>570715000000053849</t>
  </si>
  <si>
    <t>570715000000053856</t>
  </si>
  <si>
    <t>Viby By, Udby</t>
  </si>
  <si>
    <t>570715000000053870</t>
  </si>
  <si>
    <t>Kærbyholm By, Indslev</t>
  </si>
  <si>
    <t>570715000000054549</t>
  </si>
  <si>
    <t>Roerslev By, Roerslev</t>
  </si>
  <si>
    <t>570715000000054846</t>
  </si>
  <si>
    <t>570715000000053795</t>
  </si>
  <si>
    <t>Verninge By, Verninge</t>
  </si>
  <si>
    <t>21as</t>
  </si>
  <si>
    <t>570715000000053801</t>
  </si>
  <si>
    <t>Hjelmerup By, Verninge</t>
  </si>
  <si>
    <t>570715000000053818</t>
  </si>
  <si>
    <t>570715000000054228</t>
  </si>
  <si>
    <t>NM 1800-600/150</t>
  </si>
  <si>
    <t>Haarby By, Haarby</t>
  </si>
  <si>
    <t>NEG Micon NM 1800-600/150</t>
  </si>
  <si>
    <t>570715000000054235</t>
  </si>
  <si>
    <t>Nårup By, Verninge</t>
  </si>
  <si>
    <t>570715000000054358</t>
  </si>
  <si>
    <t>Barløse By, Barløse</t>
  </si>
  <si>
    <t>570715000000054365</t>
  </si>
  <si>
    <t>Voldtofte By, Flemløse</t>
  </si>
  <si>
    <t>12p</t>
  </si>
  <si>
    <t>570715000000054464</t>
  </si>
  <si>
    <t>570715000000054471</t>
  </si>
  <si>
    <t>570715000000054488</t>
  </si>
  <si>
    <t>570715000000054495</t>
  </si>
  <si>
    <t>570715000000054693</t>
  </si>
  <si>
    <t>Flemløse By</t>
  </si>
  <si>
    <t>4s</t>
  </si>
  <si>
    <t>570715000000054709</t>
  </si>
  <si>
    <t>570715000000054921</t>
  </si>
  <si>
    <t>Langsted By, Verninge</t>
  </si>
  <si>
    <t>570715000000054969</t>
  </si>
  <si>
    <t>570715000000055225</t>
  </si>
  <si>
    <t>Render By, Brylle</t>
  </si>
  <si>
    <t>570715000000055232</t>
  </si>
  <si>
    <t>3v</t>
  </si>
  <si>
    <t>570715000000055287</t>
  </si>
  <si>
    <t>Ålsbo By, Rørup</t>
  </si>
  <si>
    <t>570715000000055294</t>
  </si>
  <si>
    <t>570715000000055300</t>
  </si>
  <si>
    <t>570715000000055560</t>
  </si>
  <si>
    <t>Jordløse by</t>
  </si>
  <si>
    <t>6s</t>
  </si>
  <si>
    <t>570715000000055805</t>
  </si>
  <si>
    <t>Brylle By, Brylle</t>
  </si>
  <si>
    <t>570715000000055812</t>
  </si>
  <si>
    <t>570715000000056246</t>
  </si>
  <si>
    <t>570715000000053771</t>
  </si>
  <si>
    <t>Nr. Lyndelse By, Nr. Lyndelse</t>
  </si>
  <si>
    <t>570715000000054396</t>
  </si>
  <si>
    <t>Rynkebygård, Ringe</t>
  </si>
  <si>
    <t>570715000000054402</t>
  </si>
  <si>
    <t>570715000000054419</t>
  </si>
  <si>
    <t>570715000000054716</t>
  </si>
  <si>
    <t>Nr. Søby By, Nr. Søby</t>
  </si>
  <si>
    <t>570715000000055010</t>
  </si>
  <si>
    <t>Rolfsted By, Rolfsted</t>
  </si>
  <si>
    <t>570715000000055119</t>
  </si>
  <si>
    <t>Søby Søgård Nr. Søby</t>
  </si>
  <si>
    <t>570715000000055126</t>
  </si>
  <si>
    <t>1ay</t>
  </si>
  <si>
    <t>570715000000055546</t>
  </si>
  <si>
    <t>Sallinge by</t>
  </si>
  <si>
    <t>5g</t>
  </si>
  <si>
    <t>570715000000051265</t>
  </si>
  <si>
    <t>Marslev by,Mars</t>
  </si>
  <si>
    <t>36q</t>
  </si>
  <si>
    <t>570715000000051272</t>
  </si>
  <si>
    <t>36g</t>
  </si>
  <si>
    <t>570715000000053740</t>
  </si>
  <si>
    <t>Langå By, Langå</t>
  </si>
  <si>
    <t>570715000000053757</t>
  </si>
  <si>
    <t>570715000000053764</t>
  </si>
  <si>
    <t>570715000000053931</t>
  </si>
  <si>
    <t>Lamdrup By, Svindinge</t>
  </si>
  <si>
    <t>570715000000053948</t>
  </si>
  <si>
    <t>570715000000053955</t>
  </si>
  <si>
    <t>570715000000054013</t>
  </si>
  <si>
    <t>Frørup By, Frørup</t>
  </si>
  <si>
    <t>570715000000054020</t>
  </si>
  <si>
    <t>42d</t>
  </si>
  <si>
    <t>570715000000054037</t>
  </si>
  <si>
    <t>42c</t>
  </si>
  <si>
    <t>570715000000054662</t>
  </si>
  <si>
    <t>Refsvindige By, Refsvindige</t>
  </si>
  <si>
    <t>570715000000054679</t>
  </si>
  <si>
    <t>570715000000054778</t>
  </si>
  <si>
    <t>Æble By, Ørbæk</t>
  </si>
  <si>
    <t>570715000000054785</t>
  </si>
  <si>
    <t>Sentved By, Ørbæk</t>
  </si>
  <si>
    <t>570715000000054792</t>
  </si>
  <si>
    <t>570715000000054815</t>
  </si>
  <si>
    <t>Slude By, Frørup</t>
  </si>
  <si>
    <t>570715000000054822</t>
  </si>
  <si>
    <t>26d</t>
  </si>
  <si>
    <t>570715000000054839</t>
  </si>
  <si>
    <t>28c</t>
  </si>
  <si>
    <t>570715000000054853</t>
  </si>
  <si>
    <t>Biskopstop By, Skellerup</t>
  </si>
  <si>
    <t>2f</t>
  </si>
  <si>
    <t>570715000000055140</t>
  </si>
  <si>
    <t>Øksendrup By, Øksendrup</t>
  </si>
  <si>
    <t>570715000000055713</t>
  </si>
  <si>
    <t>Biskopstorp By, Skellerup</t>
  </si>
  <si>
    <t>570715000000056185</t>
  </si>
  <si>
    <t>Ullerslev by</t>
  </si>
  <si>
    <t>570715000000056192</t>
  </si>
  <si>
    <t>570715000000056222</t>
  </si>
  <si>
    <t>6d</t>
  </si>
  <si>
    <t>570715000000053788</t>
  </si>
  <si>
    <t>Stenløse By, Stenløse</t>
  </si>
  <si>
    <t>8ak</t>
  </si>
  <si>
    <t>570715000000054884</t>
  </si>
  <si>
    <t>Højby By, Højby</t>
  </si>
  <si>
    <t>570715000000054891</t>
  </si>
  <si>
    <t>5ax</t>
  </si>
  <si>
    <t>570715000000053894</t>
  </si>
  <si>
    <t>Uggerslev By, Uggerslev</t>
  </si>
  <si>
    <t>570715000000053900</t>
  </si>
  <si>
    <t>12n</t>
  </si>
  <si>
    <t>570715000000053917</t>
  </si>
  <si>
    <t>20k</t>
  </si>
  <si>
    <t>570715000000053979</t>
  </si>
  <si>
    <t>Emmelev By, Hjadstrup</t>
  </si>
  <si>
    <t>570715000000053986</t>
  </si>
  <si>
    <t>570715000000053993</t>
  </si>
  <si>
    <t>570715000000054433</t>
  </si>
  <si>
    <t>Egense By, Norup</t>
  </si>
  <si>
    <t>570715000000054440</t>
  </si>
  <si>
    <t>17a</t>
  </si>
  <si>
    <t>570715000000054457</t>
  </si>
  <si>
    <t>Norup Strand, Norup</t>
  </si>
  <si>
    <t>2eo</t>
  </si>
  <si>
    <t>570715000000054563</t>
  </si>
  <si>
    <t>Roerslev By. Nr. Nærå</t>
  </si>
  <si>
    <t>570715000000054570</t>
  </si>
  <si>
    <t>570715000000054587</t>
  </si>
  <si>
    <t>570715000000051555</t>
  </si>
  <si>
    <t>Skrøbelev By, Skrøbelev</t>
  </si>
  <si>
    <t>570715000000051562</t>
  </si>
  <si>
    <t>570715000000051685</t>
  </si>
  <si>
    <t>Torpe By, Torpe</t>
  </si>
  <si>
    <t>570715000000060458</t>
  </si>
  <si>
    <t>Torpe By, Skrøbelev</t>
  </si>
  <si>
    <t>05 852 512</t>
  </si>
  <si>
    <t>570715000000064845</t>
  </si>
  <si>
    <t>Skattebølle by, Stoense</t>
  </si>
  <si>
    <t>570715000000051043</t>
  </si>
  <si>
    <t>Revsø</t>
  </si>
  <si>
    <t>570715000000025808</t>
  </si>
  <si>
    <t>Bøvl by</t>
  </si>
  <si>
    <t>570715000000025815</t>
  </si>
  <si>
    <t>570715000000034701</t>
  </si>
  <si>
    <t>Morsbøl By, Grindsted</t>
  </si>
  <si>
    <t>570715000000034718</t>
  </si>
  <si>
    <t>570715000000035623</t>
  </si>
  <si>
    <t>Eg by</t>
  </si>
  <si>
    <t>570715000000045455</t>
  </si>
  <si>
    <t>Roost, Arrild</t>
  </si>
  <si>
    <t>227b</t>
  </si>
  <si>
    <t>570715000000045462</t>
  </si>
  <si>
    <t>570715000000045479</t>
  </si>
  <si>
    <t>570715000000045622</t>
  </si>
  <si>
    <t>570715000000046490</t>
  </si>
  <si>
    <t>Drengsted</t>
  </si>
  <si>
    <t>570715000000046506</t>
  </si>
  <si>
    <t>570715000000046513</t>
  </si>
  <si>
    <t>Brøns</t>
  </si>
  <si>
    <t>570715000000046520</t>
  </si>
  <si>
    <t>570715000000046582</t>
  </si>
  <si>
    <t>Rejsby</t>
  </si>
  <si>
    <t>570715000000046599</t>
  </si>
  <si>
    <t>Hostrup</t>
  </si>
  <si>
    <t>570715000000046612</t>
  </si>
  <si>
    <t>Kumled</t>
  </si>
  <si>
    <t>570715000000046629</t>
  </si>
  <si>
    <t>Vollum</t>
  </si>
  <si>
    <t>570715000000046643</t>
  </si>
  <si>
    <t>Vodder</t>
  </si>
  <si>
    <t>570715000000046650</t>
  </si>
  <si>
    <t>570715000000046667</t>
  </si>
  <si>
    <t>570715000000046698</t>
  </si>
  <si>
    <t>570715000000046704</t>
  </si>
  <si>
    <t>570715000000046797</t>
  </si>
  <si>
    <t>NM 44/750 46</t>
  </si>
  <si>
    <t>NEG Micon NM 44/750 46</t>
  </si>
  <si>
    <t>570715000000046803</t>
  </si>
  <si>
    <t>570715000000046810</t>
  </si>
  <si>
    <t>570715000000046827</t>
  </si>
  <si>
    <t>570715000000046834</t>
  </si>
  <si>
    <t>570715000000046841</t>
  </si>
  <si>
    <t>570715000000046919</t>
  </si>
  <si>
    <t>Søvang</t>
  </si>
  <si>
    <t>570715000000046926</t>
  </si>
  <si>
    <t>570715000000046933</t>
  </si>
  <si>
    <t>Ll. Emmerske</t>
  </si>
  <si>
    <t>570715000000047497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</si>
  <si>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</si>
  <si>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</si>
  <si>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</si>
  <si>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</si>
  <si>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</si>
  <si>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</si>
  <si>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</si>
  <si>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570715000000047596</t>
  </si>
  <si>
    <t>570715000000047602</t>
  </si>
  <si>
    <t>570715000000047619</t>
  </si>
  <si>
    <t>Jejsing</t>
  </si>
  <si>
    <t>570715000000047626</t>
  </si>
  <si>
    <t>Vester Gasse</t>
  </si>
  <si>
    <t>570715000000047633</t>
  </si>
  <si>
    <t>Vinum</t>
  </si>
  <si>
    <t>570715000000047671</t>
  </si>
  <si>
    <t>570715000000047732</t>
  </si>
  <si>
    <t>Ellum</t>
  </si>
  <si>
    <t>570715000000047749</t>
  </si>
  <si>
    <t>570715000000047794</t>
  </si>
  <si>
    <t>570715000000047831</t>
  </si>
  <si>
    <t>Løgumgårde</t>
  </si>
  <si>
    <t>570715000000048074</t>
  </si>
  <si>
    <t>570715000000048203</t>
  </si>
  <si>
    <t>Birkelev</t>
  </si>
  <si>
    <t>570715000000048265</t>
  </si>
  <si>
    <t>Høgslund</t>
  </si>
  <si>
    <t>570715000000048272</t>
  </si>
  <si>
    <t>570715000000048470</t>
  </si>
  <si>
    <t>Birkelev, Vodder</t>
  </si>
  <si>
    <t>570715000000035616</t>
  </si>
  <si>
    <t>Krogsgård Hgd</t>
  </si>
  <si>
    <t>570715000000034091</t>
  </si>
  <si>
    <t>Bjerremose by</t>
  </si>
  <si>
    <t>570715000000034107</t>
  </si>
  <si>
    <t>570715000000034114</t>
  </si>
  <si>
    <t>NM 1500</t>
  </si>
  <si>
    <t>Bounum by</t>
  </si>
  <si>
    <t>NEG Micon NM 1500</t>
  </si>
  <si>
    <t>570715000000034121</t>
  </si>
  <si>
    <t>570715000000034138</t>
  </si>
  <si>
    <t>570715000000024207</t>
  </si>
  <si>
    <t>Vester Torsted By</t>
  </si>
  <si>
    <t>570715000000024214</t>
  </si>
  <si>
    <t>Bække</t>
  </si>
  <si>
    <t>570715000000024252</t>
  </si>
  <si>
    <t>Gamst by</t>
  </si>
  <si>
    <t>570715000000024337</t>
  </si>
  <si>
    <t>Husted by</t>
  </si>
  <si>
    <t>570715000000024344</t>
  </si>
  <si>
    <t>Veerst</t>
  </si>
  <si>
    <t>570715000000024351</t>
  </si>
  <si>
    <t>570715000000034848</t>
  </si>
  <si>
    <t>NM 1800-750/175</t>
  </si>
  <si>
    <t>Okslund By</t>
  </si>
  <si>
    <t>NEG Micon NM 1800-750/175</t>
  </si>
  <si>
    <t>570715000000034855</t>
  </si>
  <si>
    <t>570715000000034893</t>
  </si>
  <si>
    <t>NM 1800</t>
  </si>
  <si>
    <t>Vittrup by</t>
  </si>
  <si>
    <t>NEG Micon NM 1800</t>
  </si>
  <si>
    <t>570715000000034909</t>
  </si>
  <si>
    <t>570715000000047701</t>
  </si>
  <si>
    <t>Sottrup</t>
  </si>
  <si>
    <t>570715000000047954</t>
  </si>
  <si>
    <t>Hellevad</t>
  </si>
  <si>
    <t>570715000000047961</t>
  </si>
  <si>
    <t>570715000000049781</t>
  </si>
  <si>
    <t>570715000000049842</t>
  </si>
  <si>
    <t>Sågård Kliplev</t>
  </si>
  <si>
    <t>570715000000050008</t>
  </si>
  <si>
    <t>Tumbøl</t>
  </si>
  <si>
    <t>570715000000050015</t>
  </si>
  <si>
    <t>Søgård ejerlav</t>
  </si>
  <si>
    <t>570715000000051012</t>
  </si>
  <si>
    <t>Felsted</t>
  </si>
  <si>
    <t>570715000000051029</t>
  </si>
  <si>
    <t>570715000000027239</t>
  </si>
  <si>
    <t>Fredericia</t>
  </si>
  <si>
    <t>Kongsted by, Bredstrup</t>
  </si>
  <si>
    <t>570715000000024399</t>
  </si>
  <si>
    <t>Rugsted by</t>
  </si>
  <si>
    <t>570715000000024405</t>
  </si>
  <si>
    <t>570715000000024412</t>
  </si>
  <si>
    <t>570715000000024429</t>
  </si>
  <si>
    <t>570715000000024436</t>
  </si>
  <si>
    <t>570715000000027093</t>
  </si>
  <si>
    <t>Kiddegård</t>
  </si>
  <si>
    <t>60-186</t>
  </si>
  <si>
    <t>570715000000027109</t>
  </si>
  <si>
    <t>570715000000027116</t>
  </si>
  <si>
    <t>570715000000027130</t>
  </si>
  <si>
    <t>60-187</t>
  </si>
  <si>
    <t>570715000000027147</t>
  </si>
  <si>
    <t>570715000000027154</t>
  </si>
  <si>
    <t>570715000000043703</t>
  </si>
  <si>
    <t>Amtrup, Snejbjerg</t>
  </si>
  <si>
    <t>570715000000043741</t>
  </si>
  <si>
    <t>Amstrup By, Snejbjerg</t>
  </si>
  <si>
    <t>570715000000043772</t>
  </si>
  <si>
    <t>NM 750-175/44</t>
  </si>
  <si>
    <t>Nørrelandet, Sdr. Felding</t>
  </si>
  <si>
    <t>29c</t>
  </si>
  <si>
    <t>NEG Micon NM 750-175/44</t>
  </si>
  <si>
    <t>570715000000043789</t>
  </si>
  <si>
    <t>NM 750-174/44</t>
  </si>
  <si>
    <t>NEG Micon NM 750-174/44</t>
  </si>
  <si>
    <t>570715000000043796</t>
  </si>
  <si>
    <t>570715000000044625</t>
  </si>
  <si>
    <t>Stoubæk</t>
  </si>
  <si>
    <t>570715000000044656</t>
  </si>
  <si>
    <t>25ag</t>
  </si>
  <si>
    <t>570715000000044748</t>
  </si>
  <si>
    <t>Trælund, Herning Jorder</t>
  </si>
  <si>
    <t>570715000000044755</t>
  </si>
  <si>
    <t>Remme, Sinding</t>
  </si>
  <si>
    <t>570715000000044762</t>
  </si>
  <si>
    <t>570715000000044779</t>
  </si>
  <si>
    <t>Bording Gårde, Sunds</t>
  </si>
  <si>
    <t>2h</t>
  </si>
  <si>
    <t>570715000000044786</t>
  </si>
  <si>
    <t>570715000000044823</t>
  </si>
  <si>
    <t>570715000000044861</t>
  </si>
  <si>
    <t>Amtrup By, Snejbjerg</t>
  </si>
  <si>
    <t>570715000000044878</t>
  </si>
  <si>
    <t>570715000000038617</t>
  </si>
  <si>
    <t>Mellemby, Gørding</t>
  </si>
  <si>
    <t>570715000000038624</t>
  </si>
  <si>
    <t>570715000000038631</t>
  </si>
  <si>
    <t>25i</t>
  </si>
  <si>
    <t>570715000000038952</t>
  </si>
  <si>
    <t>31n</t>
  </si>
  <si>
    <t>570715000000038969</t>
  </si>
  <si>
    <t>29l</t>
  </si>
  <si>
    <t>570715000000038976</t>
  </si>
  <si>
    <t>31g</t>
  </si>
  <si>
    <t>570715000000038983</t>
  </si>
  <si>
    <t>570715000000039416</t>
  </si>
  <si>
    <t>Den østlige Del, Idom</t>
  </si>
  <si>
    <t>570715000000039423</t>
  </si>
  <si>
    <t>570715000000039430</t>
  </si>
  <si>
    <t>570715000000039447</t>
  </si>
  <si>
    <t>570715000000039454</t>
  </si>
  <si>
    <t>570715000000043635</t>
  </si>
  <si>
    <t>Svenstrup By, Sahl</t>
  </si>
  <si>
    <t>570715000000043642</t>
  </si>
  <si>
    <t>570715000000043659</t>
  </si>
  <si>
    <t>570715000000062698</t>
  </si>
  <si>
    <t>Falsig By, Navr</t>
  </si>
  <si>
    <t>40185360/1</t>
  </si>
  <si>
    <t>570715000000062704</t>
  </si>
  <si>
    <t>40185360/2</t>
  </si>
  <si>
    <t>570715000000062711</t>
  </si>
  <si>
    <t>40185360/3</t>
  </si>
  <si>
    <t>570715000000062728</t>
  </si>
  <si>
    <t>40185360/4</t>
  </si>
  <si>
    <t>570715000000062735</t>
  </si>
  <si>
    <t>40185360/5</t>
  </si>
  <si>
    <t>570715000000062742</t>
  </si>
  <si>
    <t>40185360/6</t>
  </si>
  <si>
    <t>570715000000037573</t>
  </si>
  <si>
    <t>Rom By, Rom</t>
  </si>
  <si>
    <t>11h</t>
  </si>
  <si>
    <t>570715000000038211</t>
  </si>
  <si>
    <t>Hovedejerlavet, Fjaltring</t>
  </si>
  <si>
    <t>570715000000038228</t>
  </si>
  <si>
    <t>26i</t>
  </si>
  <si>
    <t>570715000000038235</t>
  </si>
  <si>
    <t>41a</t>
  </si>
  <si>
    <t>570715000000038242</t>
  </si>
  <si>
    <t>570715000000059452</t>
  </si>
  <si>
    <t>Enlige Gårde, Lomborg</t>
  </si>
  <si>
    <t>30ad</t>
  </si>
  <si>
    <t>570715000000059469</t>
  </si>
  <si>
    <t>30z</t>
  </si>
  <si>
    <t>570715000000059476</t>
  </si>
  <si>
    <t>33bk</t>
  </si>
  <si>
    <t>570715000000059483</t>
  </si>
  <si>
    <t>33bi</t>
  </si>
  <si>
    <t>570715000000020384</t>
  </si>
  <si>
    <t>NM 750-200/48 IEC ll</t>
  </si>
  <si>
    <t>Estrup gde, Søby</t>
  </si>
  <si>
    <t>NEG Micon NM 750-200/48 IEC ll</t>
  </si>
  <si>
    <t>570715000000020391</t>
  </si>
  <si>
    <t>Estru gde, Søby</t>
  </si>
  <si>
    <t>570715000000020407</t>
  </si>
  <si>
    <t>570715000000020414</t>
  </si>
  <si>
    <t>Estrup Gde, Søby</t>
  </si>
  <si>
    <t>570715000000019654</t>
  </si>
  <si>
    <t>Hevring By, Ørsted</t>
  </si>
  <si>
    <t>570715000000019661</t>
  </si>
  <si>
    <t>570715000000019678</t>
  </si>
  <si>
    <t>570715000000019685</t>
  </si>
  <si>
    <t>19b</t>
  </si>
  <si>
    <t>570715000000019692</t>
  </si>
  <si>
    <t>570715000000019708</t>
  </si>
  <si>
    <t>570715000000019715</t>
  </si>
  <si>
    <t>570715000000019760</t>
  </si>
  <si>
    <t>NM 1800-750/200</t>
  </si>
  <si>
    <t>Tørslev By. Estruplund</t>
  </si>
  <si>
    <t>NEG Micon NM 1800-750/200</t>
  </si>
  <si>
    <t>570715000000019777</t>
  </si>
  <si>
    <t>570715000000020179</t>
  </si>
  <si>
    <t>Ørsted by</t>
  </si>
  <si>
    <t>570715000000020186</t>
  </si>
  <si>
    <t>570715000000020193</t>
  </si>
  <si>
    <t>570715000000020216</t>
  </si>
  <si>
    <t>Ørsted by, Ørsted</t>
  </si>
  <si>
    <t>570715000000020223</t>
  </si>
  <si>
    <t>570715000000020346</t>
  </si>
  <si>
    <t>570715000000020353</t>
  </si>
  <si>
    <t>Lystrup</t>
  </si>
  <si>
    <t>570715000000020360</t>
  </si>
  <si>
    <t>570715000000021602</t>
  </si>
  <si>
    <t>Homå by, Homå</t>
  </si>
  <si>
    <t>20e</t>
  </si>
  <si>
    <t>570715000000021619</t>
  </si>
  <si>
    <t>570715000000021633</t>
  </si>
  <si>
    <t>570715000000021640</t>
  </si>
  <si>
    <t>20c</t>
  </si>
  <si>
    <t>570715000000021657</t>
  </si>
  <si>
    <t>570715000000022913</t>
  </si>
  <si>
    <t>Søby by, Albøge</t>
  </si>
  <si>
    <t>570715000000022920</t>
  </si>
  <si>
    <t>Søby by, Kolindsund</t>
  </si>
  <si>
    <t>17m</t>
  </si>
  <si>
    <t>570715000000022937</t>
  </si>
  <si>
    <t>570715000000022951</t>
  </si>
  <si>
    <t>Wind World</t>
  </si>
  <si>
    <t>W 4800-750 OSC</t>
  </si>
  <si>
    <t>Saldrup by, Lyngby</t>
  </si>
  <si>
    <t>Wind World W 4800-750 OSC</t>
  </si>
  <si>
    <r>
      <rPr>
        <b val="1"/>
        <sz val="12"/>
        <color indexed="8"/>
        <rFont val="Calibri"/>
      </rPr>
      <t>Wind.World.W3700</t>
    </r>
  </si>
  <si>
    <t>570715000000022968</t>
  </si>
  <si>
    <t>570715000000022975</t>
  </si>
  <si>
    <t>570715000000022982</t>
  </si>
  <si>
    <t>570715000000056345</t>
  </si>
  <si>
    <t>570715000000014079</t>
  </si>
  <si>
    <t>Futting</t>
  </si>
  <si>
    <t>570715000000014086</t>
  </si>
  <si>
    <t>570715000000014109</t>
  </si>
  <si>
    <t>NM 950/48-45</t>
  </si>
  <si>
    <t>Bøstrup by</t>
  </si>
  <si>
    <t>NEG Micon NM 950/48-45</t>
  </si>
  <si>
    <t>570715000000014116</t>
  </si>
  <si>
    <t>570715000000014123</t>
  </si>
  <si>
    <t>570715000000015113</t>
  </si>
  <si>
    <t>Sallby, Sall Hammel Kommune</t>
  </si>
  <si>
    <t>570715000000015120</t>
  </si>
  <si>
    <t>Sallby, Sall, Hammel</t>
  </si>
  <si>
    <t>570715000000015137</t>
  </si>
  <si>
    <t>Sall By</t>
  </si>
  <si>
    <t>570715000000015533</t>
  </si>
  <si>
    <t>Voldby by, Voldby</t>
  </si>
  <si>
    <t>570715000000015540</t>
  </si>
  <si>
    <t>570715000000015557</t>
  </si>
  <si>
    <t>570715000000015625</t>
  </si>
  <si>
    <t>Foldby By</t>
  </si>
  <si>
    <t>570715000000015632</t>
  </si>
  <si>
    <t>570715000000015649</t>
  </si>
  <si>
    <t>570715000000015656</t>
  </si>
  <si>
    <t>570715000000015663</t>
  </si>
  <si>
    <t>570715000000020421</t>
  </si>
  <si>
    <t>Haldum by</t>
  </si>
  <si>
    <t>13e</t>
  </si>
  <si>
    <t>570715000000020438</t>
  </si>
  <si>
    <t>Sandby by, Haldum</t>
  </si>
  <si>
    <t>570715000000020711</t>
  </si>
  <si>
    <t>Laurbjerg by, alaurbjerg</t>
  </si>
  <si>
    <t>570715000000020728</t>
  </si>
  <si>
    <t>570715000000020735</t>
  </si>
  <si>
    <t>570715000000020742</t>
  </si>
  <si>
    <t>Laurbjerg by</t>
  </si>
  <si>
    <t>570715000000020759</t>
  </si>
  <si>
    <t>Essendrupby, laurbjerg</t>
  </si>
  <si>
    <t>570715000000056253</t>
  </si>
  <si>
    <t>Futting by, Thorsø</t>
  </si>
  <si>
    <t>570715000000019791</t>
  </si>
  <si>
    <t>Kondrup By, Råsted</t>
  </si>
  <si>
    <t>570715000000019807</t>
  </si>
  <si>
    <t>Kondrup By, Borup</t>
  </si>
  <si>
    <t>570715000000019814</t>
  </si>
  <si>
    <t>570715000000019821</t>
  </si>
  <si>
    <t>570715000000019937</t>
  </si>
  <si>
    <t>Vindbylund GDE, Gjerlev</t>
  </si>
  <si>
    <t>570715000000019944</t>
  </si>
  <si>
    <t>570715000000019951</t>
  </si>
  <si>
    <t>Blenstrup by, Gjerlev</t>
  </si>
  <si>
    <t>570715000000019968</t>
  </si>
  <si>
    <t>570715000000019982</t>
  </si>
  <si>
    <t>M 44/750</t>
  </si>
  <si>
    <t>Stangerum</t>
  </si>
  <si>
    <t>Micon M 44/750</t>
  </si>
  <si>
    <t>570715000000019999</t>
  </si>
  <si>
    <t>570715000000020001</t>
  </si>
  <si>
    <t>570715000000020018</t>
  </si>
  <si>
    <t>570715000000020025</t>
  </si>
  <si>
    <t>570715000000020056</t>
  </si>
  <si>
    <t>Jennum by, Spentrup</t>
  </si>
  <si>
    <t>7p</t>
  </si>
  <si>
    <t>570715000000020063</t>
  </si>
  <si>
    <t>570715000000020070</t>
  </si>
  <si>
    <t>570715000000020087</t>
  </si>
  <si>
    <t>19f</t>
  </si>
  <si>
    <t>570715000000020094</t>
  </si>
  <si>
    <t>570715000000020117</t>
  </si>
  <si>
    <t>Gassum by, Gassum</t>
  </si>
  <si>
    <t>570715000000020124</t>
  </si>
  <si>
    <t>17k</t>
  </si>
  <si>
    <t>570715000000020131</t>
  </si>
  <si>
    <t>Randrup gde, Gassum.</t>
  </si>
  <si>
    <t>570715000000020148</t>
  </si>
  <si>
    <t>570715000000020155</t>
  </si>
  <si>
    <t>570715000000020230</t>
  </si>
  <si>
    <t>Langkastrup</t>
  </si>
  <si>
    <t>18e</t>
  </si>
  <si>
    <t>570715000000020247</t>
  </si>
  <si>
    <t>Langkastrup Mark</t>
  </si>
  <si>
    <t>570715000000020254</t>
  </si>
  <si>
    <t>Tammestrup by, Essenbæk</t>
  </si>
  <si>
    <t>570715000000020261</t>
  </si>
  <si>
    <t>Tammestrup By, Essenbæk</t>
  </si>
  <si>
    <t>570715000000020452</t>
  </si>
  <si>
    <t>Dalbyneder</t>
  </si>
  <si>
    <t>13d</t>
  </si>
  <si>
    <t>570715000000020469</t>
  </si>
  <si>
    <t>Demstrup Hovedgård</t>
  </si>
  <si>
    <t>570715000000020476</t>
  </si>
  <si>
    <t>570715000000020483</t>
  </si>
  <si>
    <t>570715000000020490</t>
  </si>
  <si>
    <t>Værum by, Værum</t>
  </si>
  <si>
    <t>570715000000020513</t>
  </si>
  <si>
    <t>Råsted</t>
  </si>
  <si>
    <t>570715000000020520</t>
  </si>
  <si>
    <t>570715000000020537</t>
  </si>
  <si>
    <t>NM 750-200/20</t>
  </si>
  <si>
    <t>Råsted By, Råsted</t>
  </si>
  <si>
    <t>NEG Micon NM 750-200/20</t>
  </si>
  <si>
    <t>570715000000020544</t>
  </si>
  <si>
    <t>Råsted by, Råsted</t>
  </si>
  <si>
    <t>570715000000020568</t>
  </si>
  <si>
    <t>NM 48/750 45</t>
  </si>
  <si>
    <t>Virring by, Virring</t>
  </si>
  <si>
    <t>2m</t>
  </si>
  <si>
    <t>NEG Micon NM 48/750 45</t>
  </si>
  <si>
    <t>570715000000020575</t>
  </si>
  <si>
    <t>8z</t>
  </si>
  <si>
    <t>570715000000020582</t>
  </si>
  <si>
    <t>570715000000020599</t>
  </si>
  <si>
    <t>Vestrup by, Albæk</t>
  </si>
  <si>
    <t>570715000000020605</t>
  </si>
  <si>
    <t>25k</t>
  </si>
  <si>
    <t>570715000000020803</t>
  </si>
  <si>
    <t>Grensten, Grensten</t>
  </si>
  <si>
    <t>570715000000020810</t>
  </si>
  <si>
    <t>570715000000020827</t>
  </si>
  <si>
    <t>570715000000023606</t>
  </si>
  <si>
    <t>Blegind by,Blegind</t>
  </si>
  <si>
    <t>570715000000023613</t>
  </si>
  <si>
    <t>570715000000023620</t>
  </si>
  <si>
    <t>570715000000023057</t>
  </si>
  <si>
    <t>Århus</t>
  </si>
  <si>
    <t>Hesselballe by, Hjortshøj</t>
  </si>
  <si>
    <t>570715000000023064</t>
  </si>
  <si>
    <t>Bendstrup by, Todbjerg</t>
  </si>
  <si>
    <t>570715000000023071</t>
  </si>
  <si>
    <t>570715000000055980</t>
  </si>
  <si>
    <t>Bendstrup by Todbjerg</t>
  </si>
  <si>
    <t>570715000000055997</t>
  </si>
  <si>
    <t>570715000000025167</t>
  </si>
  <si>
    <t>V 47</t>
  </si>
  <si>
    <t>Skævlund By, Rårup</t>
  </si>
  <si>
    <t>Vestas Wind Systems A/S V 47</t>
  </si>
  <si>
    <t>Vestas.V47.660</t>
  </si>
  <si>
    <t>570715000000025198</t>
  </si>
  <si>
    <t>Hornum By, Hornum</t>
  </si>
  <si>
    <t>570715000000025204</t>
  </si>
  <si>
    <t>Gram By, Rårup</t>
  </si>
  <si>
    <t>570715000000025211</t>
  </si>
  <si>
    <t>570715000000025242</t>
  </si>
  <si>
    <t>Åstrup By, Rårup</t>
  </si>
  <si>
    <t>570715000000025280</t>
  </si>
  <si>
    <t>570715000000026676</t>
  </si>
  <si>
    <t>Bjerregård Hgd., Åle</t>
  </si>
  <si>
    <t>570715000000026683</t>
  </si>
  <si>
    <t>570715000000028779</t>
  </si>
  <si>
    <t>Galtrup</t>
  </si>
  <si>
    <t>570715000000028816</t>
  </si>
  <si>
    <t>Tøving by</t>
  </si>
  <si>
    <t>570715000000028847</t>
  </si>
  <si>
    <t>Alsted</t>
  </si>
  <si>
    <t>570715000000028854</t>
  </si>
  <si>
    <t>Hvidbjerg</t>
  </si>
  <si>
    <t>570715000000028861</t>
  </si>
  <si>
    <t>570715000000028878</t>
  </si>
  <si>
    <t>570715000000028885</t>
  </si>
  <si>
    <t>570715000000028892</t>
  </si>
  <si>
    <t>570715000000018121</t>
  </si>
  <si>
    <t>NM 750-150</t>
  </si>
  <si>
    <t>Håsum Torp By, Håsum</t>
  </si>
  <si>
    <t>NEG Micon NM 750-150</t>
  </si>
  <si>
    <t>570715000000018138</t>
  </si>
  <si>
    <t>570715000000018152</t>
  </si>
  <si>
    <t>Hvidbjerg by, Hvidbjerg</t>
  </si>
  <si>
    <t>570715000000018428</t>
  </si>
  <si>
    <t>Hindborg</t>
  </si>
  <si>
    <t>570715000000018435</t>
  </si>
  <si>
    <t>570715000000018442</t>
  </si>
  <si>
    <t>Trustrup By, Dølby</t>
  </si>
  <si>
    <t>570715000000063879</t>
  </si>
  <si>
    <t>Sønder Balling By, Balling</t>
  </si>
  <si>
    <t>570715000000063886</t>
  </si>
  <si>
    <t>Sdr. Andrup by, Ramsing</t>
  </si>
  <si>
    <t>570715000000063893</t>
  </si>
  <si>
    <t>Sdr. Andrup By, Ramsing</t>
  </si>
  <si>
    <t>570714700000013621</t>
  </si>
  <si>
    <t>Køge</t>
  </si>
  <si>
    <t>Gummersmarke By, Bjæverskov</t>
  </si>
  <si>
    <t>570714700000013126</t>
  </si>
  <si>
    <t>Halsnæs</t>
  </si>
  <si>
    <t>Hald by, Torup</t>
  </si>
  <si>
    <t>97-11319</t>
  </si>
  <si>
    <t>570714700000013133</t>
  </si>
  <si>
    <t>97-11321</t>
  </si>
  <si>
    <t>570714700000004520</t>
  </si>
  <si>
    <t>W 4800-750</t>
  </si>
  <si>
    <t>Assendløse</t>
  </si>
  <si>
    <t>33-8297</t>
  </si>
  <si>
    <t>Wind World W 4800-750</t>
  </si>
  <si>
    <t>570715000000031397</t>
  </si>
  <si>
    <t>Grurup by</t>
  </si>
  <si>
    <t>6b,14,7</t>
  </si>
  <si>
    <t>570715000000031588</t>
  </si>
  <si>
    <t>Bedsted</t>
  </si>
  <si>
    <t>570715000000015243</t>
  </si>
  <si>
    <t>570715000000015250</t>
  </si>
  <si>
    <t>570715000000015267</t>
  </si>
  <si>
    <t>20i</t>
  </si>
  <si>
    <t>570715000000018145</t>
  </si>
  <si>
    <t>Vridsted</t>
  </si>
  <si>
    <t>570715000000002601</t>
  </si>
  <si>
    <t>W 5200-750</t>
  </si>
  <si>
    <t>218a</t>
  </si>
  <si>
    <t>0391-8043</t>
  </si>
  <si>
    <t>Wind World W 5200-750</t>
  </si>
  <si>
    <t>570715000000002946</t>
  </si>
  <si>
    <t>M 750-175/44</t>
  </si>
  <si>
    <t>Den sydlige Del, Åsted</t>
  </si>
  <si>
    <t>0901-0190</t>
  </si>
  <si>
    <t>Micon M 750-175/44</t>
  </si>
  <si>
    <t>570715000000003080</t>
  </si>
  <si>
    <t>M 750-200/48 45</t>
  </si>
  <si>
    <t>Vangkær, Torslev</t>
  </si>
  <si>
    <t>1002-0194</t>
  </si>
  <si>
    <t>Micon M 750-200/48 45</t>
  </si>
  <si>
    <t>570715000000003097</t>
  </si>
  <si>
    <t>1002-0195</t>
  </si>
  <si>
    <t>570715000000003103</t>
  </si>
  <si>
    <t>1002-0196</t>
  </si>
  <si>
    <t>570715000000003110</t>
  </si>
  <si>
    <t>1002-0197</t>
  </si>
  <si>
    <t>570715000000003127</t>
  </si>
  <si>
    <t>1002-0198</t>
  </si>
  <si>
    <t>570715000000003394</t>
  </si>
  <si>
    <t>2al</t>
  </si>
  <si>
    <t>1103-0110</t>
  </si>
  <si>
    <t>570715000000003400</t>
  </si>
  <si>
    <t>2n</t>
  </si>
  <si>
    <t>1103-0112</t>
  </si>
  <si>
    <t>570715000000003417</t>
  </si>
  <si>
    <t>1103-0114</t>
  </si>
  <si>
    <t>570715000000003424</t>
  </si>
  <si>
    <t>1103-0116</t>
  </si>
  <si>
    <t>570715000000003431</t>
  </si>
  <si>
    <t>1103-0118</t>
  </si>
  <si>
    <t>570715000000013560</t>
  </si>
  <si>
    <t>NM 44/750 45</t>
  </si>
  <si>
    <t>Syd østlige del. Albæk</t>
  </si>
  <si>
    <t>77000-01</t>
  </si>
  <si>
    <t>NEG Micon NM 44/750 45</t>
  </si>
  <si>
    <t>570715000000013577</t>
  </si>
  <si>
    <t>570715000000013584</t>
  </si>
  <si>
    <t>35a</t>
  </si>
  <si>
    <t>570715000000013591</t>
  </si>
  <si>
    <t>570715000000009839</t>
  </si>
  <si>
    <t>Havbro Gde.</t>
  </si>
  <si>
    <t>570715000000009846</t>
  </si>
  <si>
    <t>Sdr. Havbro</t>
  </si>
  <si>
    <t>570715000000010101</t>
  </si>
  <si>
    <t>Støttrup by</t>
  </si>
  <si>
    <t>570715000000010149</t>
  </si>
  <si>
    <t>Ø. Ørbæk by</t>
  </si>
  <si>
    <t>4ad</t>
  </si>
  <si>
    <t>570715000000010156</t>
  </si>
  <si>
    <t>570715000000010163</t>
  </si>
  <si>
    <t>7n</t>
  </si>
  <si>
    <t>570715000000010187</t>
  </si>
  <si>
    <t>Blære by</t>
  </si>
  <si>
    <t>17e</t>
  </si>
  <si>
    <t>570715000000010200</t>
  </si>
  <si>
    <t>17h</t>
  </si>
  <si>
    <t>570715000000010217</t>
  </si>
  <si>
    <t>22d</t>
  </si>
  <si>
    <t>570715000000010224</t>
  </si>
  <si>
    <t>Li. Ajstrup by</t>
  </si>
  <si>
    <t>570715000000010231</t>
  </si>
  <si>
    <t>Vormstrupgård</t>
  </si>
  <si>
    <t>570715000000010248</t>
  </si>
  <si>
    <t>570715000000010286</t>
  </si>
  <si>
    <t>Gunderstedgård Hgd.</t>
  </si>
  <si>
    <t>1ah</t>
  </si>
  <si>
    <t>570715000000010293</t>
  </si>
  <si>
    <t>570715000000010309</t>
  </si>
  <si>
    <t>570715000000010606</t>
  </si>
  <si>
    <t>Løgsted by</t>
  </si>
  <si>
    <t>570715000000010613</t>
  </si>
  <si>
    <t>570715000000010620</t>
  </si>
  <si>
    <t>V. Faldgårde</t>
  </si>
  <si>
    <t>570715000000010637</t>
  </si>
  <si>
    <t>570715000000010644</t>
  </si>
  <si>
    <t>570715000000010651</t>
  </si>
  <si>
    <t>Østergård</t>
  </si>
  <si>
    <t>1ai</t>
  </si>
  <si>
    <t>570715000000010668</t>
  </si>
  <si>
    <t>570715000000010675</t>
  </si>
  <si>
    <t>570715000000057342</t>
  </si>
  <si>
    <t>Bjørnsholm Hvg.</t>
  </si>
  <si>
    <t>2bz</t>
  </si>
  <si>
    <t>044-436</t>
  </si>
  <si>
    <t>570715000000063459</t>
  </si>
  <si>
    <t>044-437</t>
  </si>
  <si>
    <t>570715000000063466</t>
  </si>
  <si>
    <t>044-438</t>
  </si>
  <si>
    <t>570715000000063473</t>
  </si>
  <si>
    <t>044-439</t>
  </si>
  <si>
    <t>570715000000063497</t>
  </si>
  <si>
    <t>044-471</t>
  </si>
  <si>
    <t>570715000000063503</t>
  </si>
  <si>
    <t>044-472</t>
  </si>
  <si>
    <t>570715000000081255</t>
  </si>
  <si>
    <t>Skarp Salling By</t>
  </si>
  <si>
    <t>570715000000081279</t>
  </si>
  <si>
    <t>570715000000081286</t>
  </si>
  <si>
    <t>570715000000010316</t>
  </si>
  <si>
    <t>Volstrup by</t>
  </si>
  <si>
    <t>570715000000010323</t>
  </si>
  <si>
    <t>570715000000010330</t>
  </si>
  <si>
    <t>570715000000010446</t>
  </si>
  <si>
    <t>St. Brøndum by</t>
  </si>
  <si>
    <t>570715000000010453</t>
  </si>
  <si>
    <t>570715000000010460</t>
  </si>
  <si>
    <t>570715000000010477</t>
  </si>
  <si>
    <t>570715000000010484</t>
  </si>
  <si>
    <t>570715000000010491</t>
  </si>
  <si>
    <t>570715000000057250</t>
  </si>
  <si>
    <t>NM 750-200/44</t>
  </si>
  <si>
    <t>Fyrkilde by</t>
  </si>
  <si>
    <t>044-463</t>
  </si>
  <si>
    <t>NEG Micon NM 750-200/44</t>
  </si>
  <si>
    <t>570715000000057304</t>
  </si>
  <si>
    <t>Ø.Hornum by</t>
  </si>
  <si>
    <t>044-469</t>
  </si>
  <si>
    <t>570715000000009648</t>
  </si>
  <si>
    <t>Valsgård by</t>
  </si>
  <si>
    <t>4cf</t>
  </si>
  <si>
    <t>570715000000009655</t>
  </si>
  <si>
    <t>4cg</t>
  </si>
  <si>
    <t>570715000000020629</t>
  </si>
  <si>
    <t>Skjellerup, Hobro jorder</t>
  </si>
  <si>
    <t>570715000000020636</t>
  </si>
  <si>
    <t>NM 48/750 IEC ll</t>
  </si>
  <si>
    <t>Gettrup, Hobro Jorder</t>
  </si>
  <si>
    <t>NEG Micon NM 48/750 IEC ll</t>
  </si>
  <si>
    <t>570715000000020643</t>
  </si>
  <si>
    <t>15h</t>
  </si>
  <si>
    <t>570715000000020650</t>
  </si>
  <si>
    <t>Gettrup, Hobro</t>
  </si>
  <si>
    <t>570715000000020667</t>
  </si>
  <si>
    <t>570715000000001659</t>
  </si>
  <si>
    <t>Nr.Økse Sø, Brovst</t>
  </si>
  <si>
    <t>WØK</t>
  </si>
  <si>
    <t>570715000000001666</t>
  </si>
  <si>
    <t>1bn</t>
  </si>
  <si>
    <t>570715000000001673</t>
  </si>
  <si>
    <t>Nr.Bratskov Hgd, Brovst</t>
  </si>
  <si>
    <t>35ø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</si>
  <si>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</si>
  <si>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</si>
  <si>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</si>
  <si>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</si>
  <si>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</si>
  <si>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</si>
  <si>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</si>
  <si>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</si>
  <si>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</si>
  <si>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</si>
  <si>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</si>
  <si>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</si>
  <si>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</si>
  <si>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1gf</t>
  </si>
  <si>
    <t>570715000000001826</t>
  </si>
  <si>
    <t>570715000000001833</t>
  </si>
  <si>
    <t>1kb</t>
  </si>
  <si>
    <t>570715000000001840</t>
  </si>
  <si>
    <t>570715000000001857</t>
  </si>
  <si>
    <t>570715000000001864</t>
  </si>
  <si>
    <t>570715000000001871</t>
  </si>
  <si>
    <t>570715000000001888</t>
  </si>
  <si>
    <t>570715000000003868</t>
  </si>
  <si>
    <t>Alstrup By, Alstrup</t>
  </si>
  <si>
    <t>570715000000003875</t>
  </si>
  <si>
    <t>570715000000003882</t>
  </si>
  <si>
    <t>570715000000003899</t>
  </si>
  <si>
    <t>570715000000003905</t>
  </si>
  <si>
    <t>570715000000003912</t>
  </si>
  <si>
    <t>570715000000009679</t>
  </si>
  <si>
    <t>Binderup by</t>
  </si>
  <si>
    <t>570715000000009686</t>
  </si>
  <si>
    <t>570715000000009693</t>
  </si>
  <si>
    <t>Tårup by</t>
  </si>
  <si>
    <t>570715000000009716</t>
  </si>
  <si>
    <t>4ah</t>
  </si>
  <si>
    <t>570715000000009860</t>
  </si>
  <si>
    <t>Lundgårde</t>
  </si>
  <si>
    <t>570715000000009877</t>
  </si>
  <si>
    <t>Staun by</t>
  </si>
  <si>
    <t>93b</t>
  </si>
  <si>
    <t>570715000000009884</t>
  </si>
  <si>
    <t>570715000000009891</t>
  </si>
  <si>
    <t>Stavn by</t>
  </si>
  <si>
    <t>51c</t>
  </si>
  <si>
    <t>570715000000009907</t>
  </si>
  <si>
    <t>570715000000009914</t>
  </si>
  <si>
    <t>570715000000010682</t>
  </si>
  <si>
    <t>Nørholm by</t>
  </si>
  <si>
    <t>29b</t>
  </si>
  <si>
    <t>570715000000010699</t>
  </si>
  <si>
    <t>30e</t>
  </si>
  <si>
    <t>570715000000010705</t>
  </si>
  <si>
    <t>Nyrup by</t>
  </si>
  <si>
    <t>570715000000010712</t>
  </si>
  <si>
    <t>570715000000010729</t>
  </si>
  <si>
    <t>570715000000010736</t>
  </si>
  <si>
    <t>570715000000010743</t>
  </si>
  <si>
    <t>570715000000010767</t>
  </si>
  <si>
    <t>Oppelstrup by</t>
  </si>
  <si>
    <t>570715000000010774</t>
  </si>
  <si>
    <t>570715000000010781</t>
  </si>
  <si>
    <t>570715000000010798</t>
  </si>
  <si>
    <t>570715000000010804</t>
  </si>
  <si>
    <t>570715000000010811</t>
  </si>
  <si>
    <t>570715000000010828</t>
  </si>
  <si>
    <t>570715000000010835</t>
  </si>
  <si>
    <t>570715000000010842</t>
  </si>
  <si>
    <t>570715000000010859</t>
  </si>
  <si>
    <t>6k</t>
  </si>
  <si>
    <t>570715000000010866</t>
  </si>
  <si>
    <t>570715000000010873</t>
  </si>
  <si>
    <t>570715000000012914</t>
  </si>
  <si>
    <t>Vrå Hovedgård, Ajstrup</t>
  </si>
  <si>
    <t>1fp</t>
  </si>
  <si>
    <t>71100-01</t>
  </si>
  <si>
    <t>570715000000012921</t>
  </si>
  <si>
    <t>1et</t>
  </si>
  <si>
    <t>570715000000012938</t>
  </si>
  <si>
    <t>1iv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</si>
  <si>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</si>
  <si>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</si>
  <si>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</si>
  <si>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</si>
  <si>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</si>
  <si>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</si>
  <si>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1dx</t>
  </si>
  <si>
    <t>570715000000013003</t>
  </si>
  <si>
    <t>1dy</t>
  </si>
  <si>
    <t>570715000000013010</t>
  </si>
  <si>
    <t>570715000000013027</t>
  </si>
  <si>
    <t>1dv</t>
  </si>
  <si>
    <t>570715000000013034</t>
  </si>
  <si>
    <t>570715000000013058</t>
  </si>
  <si>
    <t>1eæ</t>
  </si>
  <si>
    <t>71200-01</t>
  </si>
  <si>
    <t>570715000000013065</t>
  </si>
  <si>
    <t>13fa</t>
  </si>
  <si>
    <t>570715000000013089</t>
  </si>
  <si>
    <t>2cb</t>
  </si>
  <si>
    <t>71300-00</t>
  </si>
  <si>
    <t>570715000000013096</t>
  </si>
  <si>
    <t>570715000000013102</t>
  </si>
  <si>
    <t>570715000000013119</t>
  </si>
  <si>
    <t>2bo</t>
  </si>
  <si>
    <t>570715000000013126</t>
  </si>
  <si>
    <t>2bm</t>
  </si>
  <si>
    <t>570715000000013133</t>
  </si>
  <si>
    <t>2bv</t>
  </si>
  <si>
    <t>570715000000013140</t>
  </si>
  <si>
    <t>2bt</t>
  </si>
  <si>
    <t>570715000000013157</t>
  </si>
  <si>
    <t>2br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</si>
  <si>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</si>
  <si>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</si>
  <si>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</si>
  <si>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</si>
  <si>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</si>
  <si>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</si>
  <si>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</si>
  <si>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</si>
  <si>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Ersted By, Aarestrup</t>
  </si>
  <si>
    <t>9l</t>
  </si>
  <si>
    <t>72000-01</t>
  </si>
  <si>
    <t>570715000000013256</t>
  </si>
  <si>
    <t>Aalborg markjorde</t>
  </si>
  <si>
    <t>79y</t>
  </si>
  <si>
    <t>570715000000013263</t>
  </si>
  <si>
    <t>Horsens By, Horsens</t>
  </si>
  <si>
    <t>21p</t>
  </si>
  <si>
    <t>570715000000013270</t>
  </si>
  <si>
    <t>Vesterheden, Ø. Hassing</t>
  </si>
  <si>
    <t>570715000000013287</t>
  </si>
  <si>
    <t>Guldbæk by, Ø. Hornum sogn</t>
  </si>
  <si>
    <t>6x</t>
  </si>
  <si>
    <t>570715000000013294</t>
  </si>
  <si>
    <t>570715000000013300</t>
  </si>
  <si>
    <t>570715000000013324</t>
  </si>
  <si>
    <t>Fjordengene, Hammer</t>
  </si>
  <si>
    <t>570715000000013331</t>
  </si>
  <si>
    <t>570715000000013348</t>
  </si>
  <si>
    <t>570715000000013355</t>
  </si>
  <si>
    <t>570715000000002137</t>
  </si>
  <si>
    <t>M 750-200/48</t>
  </si>
  <si>
    <t>Smidstrup By, Sejlstrup</t>
  </si>
  <si>
    <t>0108-0562</t>
  </si>
  <si>
    <t>Micon M 750-200/48</t>
  </si>
  <si>
    <t>570715000000002144</t>
  </si>
  <si>
    <t>0108-0564</t>
  </si>
  <si>
    <t>570715000000002151</t>
  </si>
  <si>
    <t>0108-0566</t>
  </si>
  <si>
    <t>570715000000002168</t>
  </si>
  <si>
    <t>0108-0568</t>
  </si>
  <si>
    <t>570715000000002458</t>
  </si>
  <si>
    <t>Asdal Hgd., Asdal</t>
  </si>
  <si>
    <t>0306-1190</t>
  </si>
  <si>
    <t>570715000000002465</t>
  </si>
  <si>
    <t>0306-1192</t>
  </si>
  <si>
    <t>570715000000002472</t>
  </si>
  <si>
    <t>36k</t>
  </si>
  <si>
    <t>0306-1194</t>
  </si>
  <si>
    <t>570715000000002496</t>
  </si>
  <si>
    <t>Villerup Hgd., Skallerup</t>
  </si>
  <si>
    <t>0309-0252</t>
  </si>
  <si>
    <t>570715000000002502</t>
  </si>
  <si>
    <t>0309-0254</t>
  </si>
  <si>
    <t>570715000000002519</t>
  </si>
  <si>
    <t>0309-0256</t>
  </si>
  <si>
    <t>570715000000002526</t>
  </si>
  <si>
    <t>0309-0258</t>
  </si>
  <si>
    <t>570715000000002809</t>
  </si>
  <si>
    <t>M 750-175/44 40</t>
  </si>
  <si>
    <t>Tversted By, Tversted</t>
  </si>
  <si>
    <t>60c</t>
  </si>
  <si>
    <t>0705-0310</t>
  </si>
  <si>
    <t>Micon M 750-175/44 40</t>
  </si>
  <si>
    <t>570715000000002816</t>
  </si>
  <si>
    <t>16ag</t>
  </si>
  <si>
    <t>0705-0312</t>
  </si>
  <si>
    <t>570715000000002823</t>
  </si>
  <si>
    <t>20ae</t>
  </si>
  <si>
    <t>0705-0314</t>
  </si>
  <si>
    <t>570715000000002830</t>
  </si>
  <si>
    <t>67h</t>
  </si>
  <si>
    <t>0705-0316</t>
  </si>
  <si>
    <t>570715000000004643</t>
  </si>
  <si>
    <t>Børlumkloster Enge, Børglum</t>
  </si>
  <si>
    <t>570715000000004650</t>
  </si>
  <si>
    <t>Hjortnæs, Børglum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</si>
  <si>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</si>
  <si>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</si>
  <si>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</si>
  <si>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</si>
  <si>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</si>
  <si>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</si>
  <si>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570714700000012570</t>
  </si>
  <si>
    <t>V 47-660</t>
  </si>
  <si>
    <t>Sdr. Jernløse By, Sdr. Jernløse</t>
  </si>
  <si>
    <t>Vestas Wind Systems A/S V 47-660</t>
  </si>
  <si>
    <t>570714700000012631</t>
  </si>
  <si>
    <t>570714700000012648</t>
  </si>
  <si>
    <t>570714700000013294</t>
  </si>
  <si>
    <t>Stigs Bjergby By, Stigs Bjergby</t>
  </si>
  <si>
    <t>570714700000013300</t>
  </si>
  <si>
    <t>15g</t>
  </si>
  <si>
    <t>570714700000013317</t>
  </si>
  <si>
    <t>16k</t>
  </si>
  <si>
    <t>570714700000013386</t>
  </si>
  <si>
    <t>Nr. Jernløse By, Nr. Jernløse</t>
  </si>
  <si>
    <t>570714700000013393</t>
  </si>
  <si>
    <t>570714700000013409</t>
  </si>
  <si>
    <t>570714700000014284</t>
  </si>
  <si>
    <t>Bukkerup By</t>
  </si>
  <si>
    <t>570714700000014291</t>
  </si>
  <si>
    <t>570714700000014307</t>
  </si>
  <si>
    <t>570714700000014314</t>
  </si>
  <si>
    <t>570714700000014321</t>
  </si>
  <si>
    <t>570714700000014338</t>
  </si>
  <si>
    <t>570714700000003431</t>
  </si>
  <si>
    <t>10f</t>
  </si>
  <si>
    <t>SVV046</t>
  </si>
  <si>
    <t>570714700000003448</t>
  </si>
  <si>
    <t>570714700000003455</t>
  </si>
  <si>
    <t>570714700000003462</t>
  </si>
  <si>
    <t>570714700000012280</t>
  </si>
  <si>
    <t>Skuderløse By, Teestrup</t>
  </si>
  <si>
    <t>570714700000012297</t>
  </si>
  <si>
    <t>570714700000012303</t>
  </si>
  <si>
    <t>570714700000012792</t>
  </si>
  <si>
    <t>St. Torøje, Smerup</t>
  </si>
  <si>
    <t>570714700000012808</t>
  </si>
  <si>
    <t>570714700000012815</t>
  </si>
  <si>
    <t>11g</t>
  </si>
  <si>
    <t>570714700000013904</t>
  </si>
  <si>
    <t>St. Linde By, Hårlev</t>
  </si>
  <si>
    <t>570714700000013911</t>
  </si>
  <si>
    <t>St. Linde By, Karise</t>
  </si>
  <si>
    <t>570714700000013928</t>
  </si>
  <si>
    <t>Tryggevælde Hvg. Hårlev</t>
  </si>
  <si>
    <t>570714700000014178</t>
  </si>
  <si>
    <t>570714700000014215</t>
  </si>
  <si>
    <t>Herslev By, Finderup</t>
  </si>
  <si>
    <t>570714700000014222</t>
  </si>
  <si>
    <t>Kulby By, Finderup</t>
  </si>
  <si>
    <t>570714700000014239</t>
  </si>
  <si>
    <t>570714700000011900</t>
  </si>
  <si>
    <t>Ørslev Undersk, Bringstrup</t>
  </si>
  <si>
    <t>570714700000013188</t>
  </si>
  <si>
    <t>Gilsager, Ringsted Jorder</t>
  </si>
  <si>
    <t>1 m.fl</t>
  </si>
  <si>
    <t>570714700000013881</t>
  </si>
  <si>
    <t>Ørslev Under Skoven, Gyrstinge</t>
  </si>
  <si>
    <t>570714700000013898</t>
  </si>
  <si>
    <t>570714700000004070</t>
  </si>
  <si>
    <t>V 660</t>
  </si>
  <si>
    <t>V. Tirsted By, Tirsted</t>
  </si>
  <si>
    <t>Vestas Wind Systems A/S V 660</t>
  </si>
  <si>
    <r>
      <rPr>
        <b val="1"/>
        <sz val="12"/>
        <color indexed="8"/>
        <rFont val="Calibri"/>
      </rPr>
      <t>Vestas.V47.660</t>
    </r>
  </si>
  <si>
    <t>570714700000102745</t>
  </si>
  <si>
    <t>Ø. Tirsted By, Tirsted</t>
  </si>
  <si>
    <t>570714700000003196</t>
  </si>
  <si>
    <t>SVV042</t>
  </si>
  <si>
    <t>570714700000003202</t>
  </si>
  <si>
    <t>570714700000011870</t>
  </si>
  <si>
    <t>Fuglebjerg</t>
  </si>
  <si>
    <t>570714700000012693</t>
  </si>
  <si>
    <t>Førslev Hvg, Førslev</t>
  </si>
  <si>
    <t>570714700000012709</t>
  </si>
  <si>
    <t>Førslev</t>
  </si>
  <si>
    <t>570714700000012716</t>
  </si>
  <si>
    <t>570714700000013195</t>
  </si>
  <si>
    <t>Tårs By Og Sogn</t>
  </si>
  <si>
    <t>570714700000013416</t>
  </si>
  <si>
    <t>Orupgaard Hvg, Sønder-Kirkeby</t>
  </si>
  <si>
    <t>570714700000013423</t>
  </si>
  <si>
    <t>570714700000013447</t>
  </si>
  <si>
    <t>Tårs</t>
  </si>
  <si>
    <t>570714700000013454</t>
  </si>
  <si>
    <t>570714700000013478</t>
  </si>
  <si>
    <t>del 2af22a</t>
  </si>
  <si>
    <t>570714700000013492</t>
  </si>
  <si>
    <t>570714700000012853</t>
  </si>
  <si>
    <t>Lekkende Hgd, Øster Egesborg</t>
  </si>
  <si>
    <t>570714700000012860</t>
  </si>
  <si>
    <t>570714700000012877</t>
  </si>
  <si>
    <t>Lilliendal, Øster Egesborg</t>
  </si>
  <si>
    <t>570714700000012884</t>
  </si>
  <si>
    <t>570714700000013669</t>
  </si>
  <si>
    <t>570714700000013676</t>
  </si>
  <si>
    <t>Lekkende Hvg, Ø.Egesborg</t>
  </si>
  <si>
    <t>570714700000013010</t>
  </si>
  <si>
    <t>30a</t>
  </si>
  <si>
    <t>60110-1</t>
  </si>
  <si>
    <t>570714700000105425</t>
  </si>
  <si>
    <t>Olsker</t>
  </si>
  <si>
    <t>60122-1</t>
  </si>
  <si>
    <t>570715000000027437</t>
  </si>
  <si>
    <t>570715000000027505</t>
  </si>
  <si>
    <t>570715000000054198</t>
  </si>
  <si>
    <t>Flemløse By, Flemløse</t>
  </si>
  <si>
    <t>570715000000054204</t>
  </si>
  <si>
    <t>570715000000054211</t>
  </si>
  <si>
    <t>570715000000054242</t>
  </si>
  <si>
    <t>Vedtofte By, Vedtofte</t>
  </si>
  <si>
    <t>570715000000054259</t>
  </si>
  <si>
    <t>570715000000054907</t>
  </si>
  <si>
    <t>Dærup By, Flemløse</t>
  </si>
  <si>
    <t>570715000000054938</t>
  </si>
  <si>
    <t>Ørsbjerb By, Kerte</t>
  </si>
  <si>
    <t>570715000000054945</t>
  </si>
  <si>
    <t>570715000000054952</t>
  </si>
  <si>
    <t>570715000000054983</t>
  </si>
  <si>
    <t>Hårby</t>
  </si>
  <si>
    <t>570715000000054990</t>
  </si>
  <si>
    <t>570715000000055003</t>
  </si>
  <si>
    <t>570715000000055096</t>
  </si>
  <si>
    <t>570715000000055195</t>
  </si>
  <si>
    <t>Flemløse</t>
  </si>
  <si>
    <t>8ag</t>
  </si>
  <si>
    <t>570715000000055201</t>
  </si>
  <si>
    <t>570715000000054372</t>
  </si>
  <si>
    <t>Ølsted By, Sdr. Broby</t>
  </si>
  <si>
    <t>570715000000054860</t>
  </si>
  <si>
    <t>Heden By, Heden</t>
  </si>
  <si>
    <t>570715000000055577</t>
  </si>
  <si>
    <t>Sh.Lyndelse by</t>
  </si>
  <si>
    <t>570715000000051333</t>
  </si>
  <si>
    <t>Kissendrup by</t>
  </si>
  <si>
    <t>570715000000051340</t>
  </si>
  <si>
    <t>570715000000051357</t>
  </si>
  <si>
    <t>570715000000054754</t>
  </si>
  <si>
    <t>Fraugdegård Hgd., Fraugde</t>
  </si>
  <si>
    <t>570715000000055027</t>
  </si>
  <si>
    <t>570715000000055034</t>
  </si>
  <si>
    <t>570715000000055089</t>
  </si>
  <si>
    <t>Mullerup hgd., Gudbjerg</t>
  </si>
  <si>
    <t>570715000000055157</t>
  </si>
  <si>
    <t>Mullerup Hgd., Gudbjerg</t>
  </si>
  <si>
    <t>570715000000055164</t>
  </si>
  <si>
    <t>570715000000053566</t>
  </si>
  <si>
    <t>Ørritslevgård, Otterup</t>
  </si>
  <si>
    <t>570715000000053573</t>
  </si>
  <si>
    <t>570715000000053689</t>
  </si>
  <si>
    <t>Nr. Højrup By, Nr. Højrup</t>
  </si>
  <si>
    <t>570715000000053696</t>
  </si>
  <si>
    <t>570715000000053702</t>
  </si>
  <si>
    <t>570715000000051586</t>
  </si>
  <si>
    <t>570715000000051609</t>
  </si>
  <si>
    <t>13p</t>
  </si>
  <si>
    <t>570715000000051616</t>
  </si>
  <si>
    <t>13n</t>
  </si>
  <si>
    <t>570715000000051623</t>
  </si>
  <si>
    <t>570715000000051678</t>
  </si>
  <si>
    <t>570715000000051852</t>
  </si>
  <si>
    <t>570715000000047848</t>
  </si>
  <si>
    <t>Vester Lindet</t>
  </si>
  <si>
    <t>570715000000047855</t>
  </si>
  <si>
    <t>V. Lindet</t>
  </si>
  <si>
    <t>570715000000047862</t>
  </si>
  <si>
    <t>heden</t>
  </si>
  <si>
    <t>570715000000048012</t>
  </si>
  <si>
    <t>Højrup Ejerlav, Højrup</t>
  </si>
  <si>
    <t>570715000000049606</t>
  </si>
  <si>
    <t>Maugstrup Ejerlav, Maugstrup</t>
  </si>
  <si>
    <t>570715000000049637</t>
  </si>
  <si>
    <t>Magstrup</t>
  </si>
  <si>
    <t>570715000000050718</t>
  </si>
  <si>
    <t>Sommersted</t>
  </si>
  <si>
    <t>570715000000050916</t>
  </si>
  <si>
    <t>Styding</t>
  </si>
  <si>
    <t>570715000000051036</t>
  </si>
  <si>
    <t>Sommersted, Maugstrup</t>
  </si>
  <si>
    <t>570715000000051067</t>
  </si>
  <si>
    <t>Simmersted</t>
  </si>
  <si>
    <t>570715000000045790</t>
  </si>
  <si>
    <t>570715000000045813</t>
  </si>
  <si>
    <t>570715000000045820</t>
  </si>
  <si>
    <t>570715000000046469</t>
  </si>
  <si>
    <t>Abterp</t>
  </si>
  <si>
    <t>570715000000046476</t>
  </si>
  <si>
    <t>570715000000046766</t>
  </si>
  <si>
    <t>570715000000046773</t>
  </si>
  <si>
    <t>570715000000046780</t>
  </si>
  <si>
    <t>570715000000046858</t>
  </si>
  <si>
    <t>Øster Gasse</t>
  </si>
  <si>
    <t>570715000000046889</t>
  </si>
  <si>
    <t>Ø. Gasse, Skærbæk</t>
  </si>
  <si>
    <t>570715000000046902</t>
  </si>
  <si>
    <t>570715000000047480</t>
  </si>
  <si>
    <t>570715000000047589</t>
  </si>
  <si>
    <t>570715000000047640</t>
  </si>
  <si>
    <t>570715000000047657</t>
  </si>
  <si>
    <t>Vester Terp</t>
  </si>
  <si>
    <t>570715000000047718</t>
  </si>
  <si>
    <t>570715000000047800</t>
  </si>
  <si>
    <t>570715000000047824</t>
  </si>
  <si>
    <t>570715000000047879</t>
  </si>
  <si>
    <t>Gasse</t>
  </si>
  <si>
    <t>570715000000047886</t>
  </si>
  <si>
    <t>570715000000047930</t>
  </si>
  <si>
    <t>Randerup</t>
  </si>
  <si>
    <t>570715000000047947</t>
  </si>
  <si>
    <t>570715000000048173</t>
  </si>
  <si>
    <t>570715000000048241</t>
  </si>
  <si>
    <t>Overby</t>
  </si>
  <si>
    <t>570715000000048357</t>
  </si>
  <si>
    <t>570715000000048364</t>
  </si>
  <si>
    <t>570715000000048371</t>
  </si>
  <si>
    <t>570715000000059360</t>
  </si>
  <si>
    <t>Fanø</t>
  </si>
  <si>
    <t>Oddenby, Nordby</t>
  </si>
  <si>
    <t>112d</t>
  </si>
  <si>
    <t>344226645-1</t>
  </si>
  <si>
    <t>570715000000059377</t>
  </si>
  <si>
    <t>483i</t>
  </si>
  <si>
    <t>344226645-2</t>
  </si>
  <si>
    <t>570715000000059384</t>
  </si>
  <si>
    <t>Oddenby, Norby</t>
  </si>
  <si>
    <t>344226645-3</t>
  </si>
  <si>
    <t>570715000000034923</t>
  </si>
  <si>
    <t>Nørtarp By</t>
  </si>
  <si>
    <t>570715000000034930</t>
  </si>
  <si>
    <t>570715000000034947</t>
  </si>
  <si>
    <t>570715000000034954</t>
  </si>
  <si>
    <t>570715000000034961</t>
  </si>
  <si>
    <t>570715000000034978</t>
  </si>
  <si>
    <t>570715000000034985</t>
  </si>
  <si>
    <t>570715000000034992</t>
  </si>
  <si>
    <t>570715000000035012</t>
  </si>
  <si>
    <t>570715000000035029</t>
  </si>
  <si>
    <t>570715000000035630</t>
  </si>
  <si>
    <t>Borre By</t>
  </si>
  <si>
    <t>570715000000055935</t>
  </si>
  <si>
    <t>Borre By, Al</t>
  </si>
  <si>
    <t>344225043-1</t>
  </si>
  <si>
    <t>570715000000055942</t>
  </si>
  <si>
    <t>344225043-2</t>
  </si>
  <si>
    <t>570715000000055959</t>
  </si>
  <si>
    <t>18b</t>
  </si>
  <si>
    <t>344225043-3</t>
  </si>
  <si>
    <t>570715000000055966</t>
  </si>
  <si>
    <t>344225043-4</t>
  </si>
  <si>
    <t>570715000000059421</t>
  </si>
  <si>
    <t>Dejrup By, Outrup</t>
  </si>
  <si>
    <t>570715000000024221</t>
  </si>
  <si>
    <t>Gejsing</t>
  </si>
  <si>
    <t>570715000000024238</t>
  </si>
  <si>
    <t>Gejsing by</t>
  </si>
  <si>
    <t>570715000000024245</t>
  </si>
  <si>
    <t>570715000000024269</t>
  </si>
  <si>
    <t>Hundsbæk Hovedgård</t>
  </si>
  <si>
    <t>570715000000024276</t>
  </si>
  <si>
    <t>570715000000024320</t>
  </si>
  <si>
    <t>570715000000024375</t>
  </si>
  <si>
    <t>St. Andst by</t>
  </si>
  <si>
    <t>570715000000024443</t>
  </si>
  <si>
    <t>570715000000024504</t>
  </si>
  <si>
    <t>570715000000032042</t>
  </si>
  <si>
    <t>Åstrup by</t>
  </si>
  <si>
    <t>570715000000032202</t>
  </si>
  <si>
    <t>V. Gjerndrup by</t>
  </si>
  <si>
    <t>570715000000032257</t>
  </si>
  <si>
    <t>570715000000032264</t>
  </si>
  <si>
    <t>570715000000032271</t>
  </si>
  <si>
    <t>570715000000032288</t>
  </si>
  <si>
    <t>570715000000032295</t>
  </si>
  <si>
    <t>570715000000032301</t>
  </si>
  <si>
    <t>570715000000033148</t>
  </si>
  <si>
    <t>Tirslund by</t>
  </si>
  <si>
    <t>2aø</t>
  </si>
  <si>
    <t>51912-2</t>
  </si>
  <si>
    <t>570715000000033155</t>
  </si>
  <si>
    <t>570715000000046896</t>
  </si>
  <si>
    <t>570715000000047664</t>
  </si>
  <si>
    <t>Knorborg</t>
  </si>
  <si>
    <t>570715000000047688</t>
  </si>
  <si>
    <t>Hygum</t>
  </si>
  <si>
    <t>570715000000047725</t>
  </si>
  <si>
    <t>V 48-660</t>
  </si>
  <si>
    <t>Nymark</t>
  </si>
  <si>
    <t>Vestas Wind Systems A/S V 48-660</t>
  </si>
  <si>
    <t>570715000000047770</t>
  </si>
  <si>
    <t>570715000000047817</t>
  </si>
  <si>
    <t>Skodborg</t>
  </si>
  <si>
    <t>570715000000047916</t>
  </si>
  <si>
    <t>Brændstrup</t>
  </si>
  <si>
    <t>570715000000047923</t>
  </si>
  <si>
    <t>570715000000048043</t>
  </si>
  <si>
    <t>570715000000048050</t>
  </si>
  <si>
    <t>570715000000048067</t>
  </si>
  <si>
    <t>570715000000048081</t>
  </si>
  <si>
    <t>570715000000048135</t>
  </si>
  <si>
    <t>Klovtoft</t>
  </si>
  <si>
    <t>570715000000048142</t>
  </si>
  <si>
    <t>570715000000048159</t>
  </si>
  <si>
    <t>570715000000048487</t>
  </si>
  <si>
    <t>570715000000049491</t>
  </si>
  <si>
    <t>Hokkerup Bov</t>
  </si>
  <si>
    <t>570715000000049736</t>
  </si>
  <si>
    <t>570715000000049774</t>
  </si>
  <si>
    <t>Gejlå</t>
  </si>
  <si>
    <t>570715000000049804</t>
  </si>
  <si>
    <t>570715000000049811</t>
  </si>
  <si>
    <t>Gejlå Holbøl</t>
  </si>
  <si>
    <t>570715000000049835</t>
  </si>
  <si>
    <t>570715000000049859</t>
  </si>
  <si>
    <t>Gejlå ejerlav</t>
  </si>
  <si>
    <t>570715000000049866</t>
  </si>
  <si>
    <t>570715000000049873</t>
  </si>
  <si>
    <t>570715000000049880</t>
  </si>
  <si>
    <t>570715000000049958</t>
  </si>
  <si>
    <t>570715000000050022</t>
  </si>
  <si>
    <t>570715000000051005</t>
  </si>
  <si>
    <t>570715000000056109</t>
  </si>
  <si>
    <t>Hokkerup, Holbøl</t>
  </si>
  <si>
    <t>570715000000056116</t>
  </si>
  <si>
    <t>570715000000049538</t>
  </si>
  <si>
    <t>Stubbom</t>
  </si>
  <si>
    <t>570715000000049828</t>
  </si>
  <si>
    <t>V 67-660</t>
  </si>
  <si>
    <t>Anderup Stepping</t>
  </si>
  <si>
    <t>Vestas Wind Systems A/S V 67-660</t>
  </si>
  <si>
    <t>570715000000050923</t>
  </si>
  <si>
    <t>570715000000026553</t>
  </si>
  <si>
    <t>Bjerlev By, Hvejsel</t>
  </si>
  <si>
    <t>570715000000026713</t>
  </si>
  <si>
    <t>570715000000026720</t>
  </si>
  <si>
    <t>570715000000027161</t>
  </si>
  <si>
    <t>Fårupgård</t>
  </si>
  <si>
    <t>60-188</t>
  </si>
  <si>
    <t>570715000000044809</t>
  </si>
  <si>
    <t>Strade, Vinding</t>
  </si>
  <si>
    <t>570715000000044816</t>
  </si>
  <si>
    <t>Strade, Vinding Sogn</t>
  </si>
  <si>
    <t>570715000000044885</t>
  </si>
  <si>
    <t>570715000000038891</t>
  </si>
  <si>
    <t>Hindkær Gårde, Mejrup</t>
  </si>
  <si>
    <t>570715000000038907</t>
  </si>
  <si>
    <t>Barslund Gårde, Mejrup</t>
  </si>
  <si>
    <t>14d</t>
  </si>
  <si>
    <t>570715000000038914</t>
  </si>
  <si>
    <t>570715000000038921</t>
  </si>
  <si>
    <t>570715000000038938</t>
  </si>
  <si>
    <t>570715000000038945</t>
  </si>
  <si>
    <t>Hvam, Borbjerg</t>
  </si>
  <si>
    <t>570715000000039041</t>
  </si>
  <si>
    <t>Sønderlund, Holstebro jorder</t>
  </si>
  <si>
    <t>570715000000039058</t>
  </si>
  <si>
    <t>570715000000039065</t>
  </si>
  <si>
    <t>570715000000039072</t>
  </si>
  <si>
    <t>Den Sydvestlige Del, Mejrup</t>
  </si>
  <si>
    <t>570715000000031748</t>
  </si>
  <si>
    <t>Hvidbjerg by</t>
  </si>
  <si>
    <t>570715000000031755</t>
  </si>
  <si>
    <t>Semb by</t>
  </si>
  <si>
    <t>570715000000031762</t>
  </si>
  <si>
    <t>Styvel by</t>
  </si>
  <si>
    <t>570715000000039003</t>
  </si>
  <si>
    <t>Linde By, Asp</t>
  </si>
  <si>
    <t>570715000000039010</t>
  </si>
  <si>
    <t>Birkild By, Asp</t>
  </si>
  <si>
    <t>570715000000039027</t>
  </si>
  <si>
    <t>570715000000039188</t>
  </si>
  <si>
    <t>Den nordlige Del, Hjerm</t>
  </si>
  <si>
    <t>570715000000039195</t>
  </si>
  <si>
    <t>570715000000039201</t>
  </si>
  <si>
    <t>Perregårde, Borbjerg - 30 b, Den nordlige Del, Hjerm</t>
  </si>
  <si>
    <t>570715000000015571</t>
  </si>
  <si>
    <t>Lyngballegård Hgd., Lading</t>
  </si>
  <si>
    <t>570715000000015588</t>
  </si>
  <si>
    <t>570715000000015595</t>
  </si>
  <si>
    <t>570715000000015601</t>
  </si>
  <si>
    <t>570715000000015687</t>
  </si>
  <si>
    <t>Farre by, Sporup</t>
  </si>
  <si>
    <t>11al</t>
  </si>
  <si>
    <t>570715000000015694</t>
  </si>
  <si>
    <t>9e</t>
  </si>
  <si>
    <t>570715000000015700</t>
  </si>
  <si>
    <t>570715000000055706</t>
  </si>
  <si>
    <t>570715000000023279</t>
  </si>
  <si>
    <t>Gersdorffslund Hgd.</t>
  </si>
  <si>
    <t>570715000000020285</t>
  </si>
  <si>
    <t>Udbyover by, udbyover</t>
  </si>
  <si>
    <t>570715000000020292</t>
  </si>
  <si>
    <t>570715000000020308</t>
  </si>
  <si>
    <t>8æ</t>
  </si>
  <si>
    <t>570715000000020315</t>
  </si>
  <si>
    <t>8ø</t>
  </si>
  <si>
    <t>570715000000020322</t>
  </si>
  <si>
    <t>8aa</t>
  </si>
  <si>
    <t>570715000000015069</t>
  </si>
  <si>
    <t>Gjern by</t>
  </si>
  <si>
    <t>570715000000015076</t>
  </si>
  <si>
    <t>570715000000015083</t>
  </si>
  <si>
    <t>570715000000023644</t>
  </si>
  <si>
    <t>Mesing by,Mesing</t>
  </si>
  <si>
    <t>570715000000023651</t>
  </si>
  <si>
    <t>570715000000023675</t>
  </si>
  <si>
    <t>Skanderborg Jorder,Foerlev</t>
  </si>
  <si>
    <t>570715000000023682</t>
  </si>
  <si>
    <t>Forlev</t>
  </si>
  <si>
    <t>570715000000023699</t>
  </si>
  <si>
    <t>Skanderborg Jorder</t>
  </si>
  <si>
    <t>570715000000023705</t>
  </si>
  <si>
    <t>570715000000021824</t>
  </si>
  <si>
    <t>Hårup by, Todbjerg</t>
  </si>
  <si>
    <t>570715000000021831</t>
  </si>
  <si>
    <t>570715000000021848</t>
  </si>
  <si>
    <t>570715000000021855</t>
  </si>
  <si>
    <t>570715000000021862</t>
  </si>
  <si>
    <t>Mejlby by, Mejlby</t>
  </si>
  <si>
    <t>570715000000022746</t>
  </si>
  <si>
    <t>Spørring by, Spørring</t>
  </si>
  <si>
    <t>570715000000022753</t>
  </si>
  <si>
    <t>570715000000022760</t>
  </si>
  <si>
    <t>570715000000057687</t>
  </si>
  <si>
    <t>VMP-330-690V-50Hz</t>
  </si>
  <si>
    <t>Hampen By</t>
  </si>
  <si>
    <t>Vestas Wind Systems A/S VMP-330-690V-50Hz</t>
  </si>
  <si>
    <t>570715000000034626</t>
  </si>
  <si>
    <t>Østergård Hgd</t>
  </si>
  <si>
    <t>570715000000034633</t>
  </si>
  <si>
    <t>570715000000034640</t>
  </si>
  <si>
    <t>570715000000034749</t>
  </si>
  <si>
    <t>Gråhede by</t>
  </si>
  <si>
    <t>570715000000034763</t>
  </si>
  <si>
    <t>V 44-600</t>
  </si>
  <si>
    <t>Vestas Wind Systems A/S V 44-600</t>
  </si>
  <si>
    <t>Vestas.V44.600</t>
  </si>
  <si>
    <t>570715000000034770</t>
  </si>
  <si>
    <t>570715000000041877</t>
  </si>
  <si>
    <t>Den vestlige del, Brejning</t>
  </si>
  <si>
    <t>570715000000041884</t>
  </si>
  <si>
    <t>570715000000041891</t>
  </si>
  <si>
    <t>570715000000042171</t>
  </si>
  <si>
    <t>Den sydvestlige del,Brejning</t>
  </si>
  <si>
    <t>570715000000042188</t>
  </si>
  <si>
    <t>570715000000042195</t>
  </si>
  <si>
    <t>570715000000042218</t>
  </si>
  <si>
    <t>Øster Lem by, Sdr.Lem</t>
  </si>
  <si>
    <t>570715000000042225</t>
  </si>
  <si>
    <t>57g</t>
  </si>
  <si>
    <t>570715000000042232</t>
  </si>
  <si>
    <t>Øster Lem By, Sdr. Lem</t>
  </si>
  <si>
    <t>570715000000025150</t>
  </si>
  <si>
    <t>Klejs By, Rårup</t>
  </si>
  <si>
    <t>570715000000025174</t>
  </si>
  <si>
    <t>570715000000025181</t>
  </si>
  <si>
    <t>570715000000025235</t>
  </si>
  <si>
    <t>Gramrode By, Rårup</t>
  </si>
  <si>
    <t>570715000000026515</t>
  </si>
  <si>
    <t>Nyborg by, Langskov</t>
  </si>
  <si>
    <t>570715000000026522</t>
  </si>
  <si>
    <t>Nyborg By Langskov</t>
  </si>
  <si>
    <t>570715000000026560</t>
  </si>
  <si>
    <t>Vindelev by Vindelev sogn</t>
  </si>
  <si>
    <t>570715000000055744</t>
  </si>
  <si>
    <t>Kathrine Østergård Nielsen Nørlykke</t>
  </si>
  <si>
    <t>570715000000028496</t>
  </si>
  <si>
    <t>Ovtrup</t>
  </si>
  <si>
    <t>1au</t>
  </si>
  <si>
    <t>570715000000028502</t>
  </si>
  <si>
    <t>570715000000028557</t>
  </si>
  <si>
    <t>V. Assels</t>
  </si>
  <si>
    <t>570715000000028571</t>
  </si>
  <si>
    <t>570715000000028588</t>
  </si>
  <si>
    <t>570715000000028595</t>
  </si>
  <si>
    <t>570715000000028601</t>
  </si>
  <si>
    <t>1as</t>
  </si>
  <si>
    <t>570715000000028618</t>
  </si>
  <si>
    <t>570715000000028625</t>
  </si>
  <si>
    <t>570715000000028786</t>
  </si>
  <si>
    <t>Solbjerg by</t>
  </si>
  <si>
    <t>570715000000028793</t>
  </si>
  <si>
    <t>570715000000018251</t>
  </si>
  <si>
    <t>Thise</t>
  </si>
  <si>
    <t>47a</t>
  </si>
  <si>
    <t>570715000000018268</t>
  </si>
  <si>
    <t>570715000000018336</t>
  </si>
  <si>
    <t>Jebjerg By, Jebjerg</t>
  </si>
  <si>
    <t>570715000000018343</t>
  </si>
  <si>
    <t>570715000000018350</t>
  </si>
  <si>
    <t>570715000000018367</t>
  </si>
  <si>
    <t>570715000000018398</t>
  </si>
  <si>
    <t>Hindborg By, Hindborg</t>
  </si>
  <si>
    <t>18c</t>
  </si>
  <si>
    <t>570715000000018404</t>
  </si>
  <si>
    <t>570715000000018411</t>
  </si>
  <si>
    <t>570715000000018466</t>
  </si>
  <si>
    <t>Hindborg by</t>
  </si>
  <si>
    <t>570715000000018473</t>
  </si>
  <si>
    <t>570715000000018510</t>
  </si>
  <si>
    <t>Grønning</t>
  </si>
  <si>
    <t>570715000000018640</t>
  </si>
  <si>
    <t>Sdr. Thise By, Thise</t>
  </si>
  <si>
    <t>45a</t>
  </si>
  <si>
    <t>570715000000083686</t>
  </si>
  <si>
    <t>570714700000000140</t>
  </si>
  <si>
    <t>Avedøre</t>
  </si>
  <si>
    <t>19-29773</t>
  </si>
  <si>
    <t>570714700000000157</t>
  </si>
  <si>
    <t>19-29775</t>
  </si>
  <si>
    <t>570714700000004384</t>
  </si>
  <si>
    <t>19-29777</t>
  </si>
  <si>
    <t>570714700000000317</t>
  </si>
  <si>
    <t>Hillerød</t>
  </si>
  <si>
    <t>Nr. Herlev</t>
  </si>
  <si>
    <t>62-8398</t>
  </si>
  <si>
    <t>570714700000000324</t>
  </si>
  <si>
    <t>62-8400</t>
  </si>
  <si>
    <t>570714700000000331</t>
  </si>
  <si>
    <t>62-8402</t>
  </si>
  <si>
    <t>570714700000000348</t>
  </si>
  <si>
    <t>Borup By, Gørløse Sogn</t>
  </si>
  <si>
    <t>65-8448</t>
  </si>
  <si>
    <t>570714700000000355</t>
  </si>
  <si>
    <t>2s</t>
  </si>
  <si>
    <t>65-8450</t>
  </si>
  <si>
    <t>570714700000000362</t>
  </si>
  <si>
    <t>2t</t>
  </si>
  <si>
    <t>65-8452</t>
  </si>
  <si>
    <t>570715000000006104</t>
  </si>
  <si>
    <t>Skinnerup By og Sogn</t>
  </si>
  <si>
    <t>570714700000004605</t>
  </si>
  <si>
    <t>37-11490</t>
  </si>
  <si>
    <t>570714700000013096</t>
  </si>
  <si>
    <t>Odsherred</t>
  </si>
  <si>
    <t>Sejstrup By, Vig</t>
  </si>
  <si>
    <t>570714700000013102</t>
  </si>
  <si>
    <t>Sidinge By, Vig</t>
  </si>
  <si>
    <t>570714700000013119</t>
  </si>
  <si>
    <t>570715000000014161</t>
  </si>
  <si>
    <t>Vinkel By</t>
  </si>
  <si>
    <t>570715000000014178</t>
  </si>
  <si>
    <t>570715000000014185</t>
  </si>
  <si>
    <t>570715000000014192</t>
  </si>
  <si>
    <t>570715000000018237</t>
  </si>
  <si>
    <t>8f,3f</t>
  </si>
  <si>
    <t>570715000000018244</t>
  </si>
  <si>
    <t>570715000000013461</t>
  </si>
  <si>
    <t>75000-01</t>
  </si>
  <si>
    <t>570715000000013478</t>
  </si>
  <si>
    <t>570715000000013485</t>
  </si>
  <si>
    <t>570715000000057359</t>
  </si>
  <si>
    <t>Grønheden, Volstrup</t>
  </si>
  <si>
    <t>75010-01</t>
  </si>
  <si>
    <t>570715000000057366</t>
  </si>
  <si>
    <t>75010-02</t>
  </si>
  <si>
    <t>570715000000057373</t>
  </si>
  <si>
    <t>75010-03</t>
  </si>
  <si>
    <t>570715000000010255</t>
  </si>
  <si>
    <t>Ullits by</t>
  </si>
  <si>
    <t>11o</t>
  </si>
  <si>
    <t>570715000000010262</t>
  </si>
  <si>
    <t>570715000000010279</t>
  </si>
  <si>
    <t>570715000000010569</t>
  </si>
  <si>
    <t>Glerup by</t>
  </si>
  <si>
    <t>570715000000010576</t>
  </si>
  <si>
    <t>570715000000010583</t>
  </si>
  <si>
    <t>570715000000010590</t>
  </si>
  <si>
    <t>570715000000057267</t>
  </si>
  <si>
    <t>Ø.ørbæk.by</t>
  </si>
  <si>
    <t>044-464</t>
  </si>
  <si>
    <t>570715000000057274</t>
  </si>
  <si>
    <t>044-465</t>
  </si>
  <si>
    <t>570715000000057281</t>
  </si>
  <si>
    <t>Vilsted by</t>
  </si>
  <si>
    <t>044-466</t>
  </si>
  <si>
    <t>570715000000057298</t>
  </si>
  <si>
    <t>044-467</t>
  </si>
  <si>
    <t>570715000000020674</t>
  </si>
  <si>
    <t>Handest by, Glenstrup</t>
  </si>
  <si>
    <t>570715000000020681</t>
  </si>
  <si>
    <t>570715000000020698</t>
  </si>
  <si>
    <t>570715000000020704</t>
  </si>
  <si>
    <t>570715000000001062</t>
  </si>
  <si>
    <t>Røgild by Brovst</t>
  </si>
  <si>
    <t>4912/88077</t>
  </si>
  <si>
    <t>570715000000002069</t>
  </si>
  <si>
    <t>Fuglsig Hgd., Hjørring Jorder</t>
  </si>
  <si>
    <t>0107-1594</t>
  </si>
  <si>
    <t>570715000000002076</t>
  </si>
  <si>
    <t>0107-1596</t>
  </si>
  <si>
    <t>570715000000002083</t>
  </si>
  <si>
    <t>Den vestlige Del, Ugilt</t>
  </si>
  <si>
    <t>0107-2554</t>
  </si>
  <si>
    <t>570715000000002090</t>
  </si>
  <si>
    <t>0107-2555</t>
  </si>
  <si>
    <t>570715000000002106</t>
  </si>
  <si>
    <t>2aæ</t>
  </si>
  <si>
    <t>0107-2556</t>
  </si>
  <si>
    <t>570715000000002205</t>
  </si>
  <si>
    <t>Den nordlige Del, Mygdal</t>
  </si>
  <si>
    <t>25b</t>
  </si>
  <si>
    <t>0202-1200</t>
  </si>
  <si>
    <t>570715000000002212</t>
  </si>
  <si>
    <t>25d</t>
  </si>
  <si>
    <t>0202-1202</t>
  </si>
  <si>
    <t>570715000000002229</t>
  </si>
  <si>
    <t>0202-1204</t>
  </si>
  <si>
    <t>570715000000002236</t>
  </si>
  <si>
    <t>24b</t>
  </si>
  <si>
    <t>0202-1206</t>
  </si>
  <si>
    <t>570715000000002243</t>
  </si>
  <si>
    <t>0202-1208</t>
  </si>
  <si>
    <t>570715000000002250</t>
  </si>
  <si>
    <t>33f</t>
  </si>
  <si>
    <t>0202-1210</t>
  </si>
  <si>
    <t>570715000000002724</t>
  </si>
  <si>
    <t>Høgholt Hgd., Hørmested</t>
  </si>
  <si>
    <t>0506-0000</t>
  </si>
  <si>
    <t>570715000000002731</t>
  </si>
  <si>
    <t>0506-0002</t>
  </si>
  <si>
    <t>570715000000002748</t>
  </si>
  <si>
    <t>0506-0004</t>
  </si>
  <si>
    <t>570715000000002755</t>
  </si>
  <si>
    <t>0506-0006</t>
  </si>
  <si>
    <t>570715000000002762</t>
  </si>
  <si>
    <t>1ao</t>
  </si>
  <si>
    <t>0506-0008</t>
  </si>
  <si>
    <t>570715000000003158</t>
  </si>
  <si>
    <t>Lendum By, Lendum</t>
  </si>
  <si>
    <t>1004-0183</t>
  </si>
  <si>
    <t>570715000000003165</t>
  </si>
  <si>
    <t>1004-0184</t>
  </si>
  <si>
    <t>570715000000003172</t>
  </si>
  <si>
    <t>1004-0185</t>
  </si>
  <si>
    <t>570715000000003189</t>
  </si>
  <si>
    <t>1004-0186</t>
  </si>
  <si>
    <t>570715000000003196</t>
  </si>
  <si>
    <t>1004-0187</t>
  </si>
  <si>
    <t>570715000000003615</t>
  </si>
  <si>
    <t>Tårs By, Tårs</t>
  </si>
  <si>
    <t>111b</t>
  </si>
  <si>
    <t>1202-3010</t>
  </si>
  <si>
    <t>570715000000003622</t>
  </si>
  <si>
    <t>111a</t>
  </si>
  <si>
    <t>1202-3020</t>
  </si>
  <si>
    <t>570715000000003639</t>
  </si>
  <si>
    <t>40i</t>
  </si>
  <si>
    <t>1202-3030</t>
  </si>
  <si>
    <t>570715000000003646</t>
  </si>
  <si>
    <t>2di</t>
  </si>
  <si>
    <t>1202-3040</t>
  </si>
  <si>
    <t>570715000000003653</t>
  </si>
  <si>
    <t>39n</t>
  </si>
  <si>
    <t>1202-3050</t>
  </si>
  <si>
    <t>570715000000003660</t>
  </si>
  <si>
    <t>112b</t>
  </si>
  <si>
    <t>1202-3060</t>
  </si>
  <si>
    <t>570715000000003677</t>
  </si>
  <si>
    <t>113b</t>
  </si>
  <si>
    <t>1202-3070</t>
  </si>
  <si>
    <t>570715000000003684</t>
  </si>
  <si>
    <t>40k</t>
  </si>
  <si>
    <t>1202-3080</t>
  </si>
  <si>
    <t>570715000000003691</t>
  </si>
  <si>
    <t>39o</t>
  </si>
  <si>
    <t>1202-3090</t>
  </si>
  <si>
    <t>570715000000003707</t>
  </si>
  <si>
    <t>39p</t>
  </si>
  <si>
    <t>1202-3100</t>
  </si>
  <si>
    <t>570715000000003714</t>
  </si>
  <si>
    <t>Lindholt, Tårs</t>
  </si>
  <si>
    <t>1205-0000</t>
  </si>
  <si>
    <t>570715000000003721</t>
  </si>
  <si>
    <t>1205-0002</t>
  </si>
  <si>
    <t>570715000000003738</t>
  </si>
  <si>
    <t>1205-0004</t>
  </si>
  <si>
    <t>570715000000003745</t>
  </si>
  <si>
    <t>1205-0006</t>
  </si>
  <si>
    <t>570715000000003752</t>
  </si>
  <si>
    <t>Ronten, Tårs</t>
  </si>
  <si>
    <t>1205-0008</t>
  </si>
  <si>
    <t>570715000000003769</t>
  </si>
  <si>
    <t>1205-0010</t>
  </si>
  <si>
    <t>570714700000003325</t>
  </si>
  <si>
    <t>600 - MK lll C</t>
  </si>
  <si>
    <t>Sandby By, Kundby</t>
  </si>
  <si>
    <t>040-00921</t>
  </si>
  <si>
    <t>BONUS 600 - MK lll C</t>
  </si>
  <si>
    <t>Bonus.B44.600</t>
  </si>
  <si>
    <t>570714700000003332</t>
  </si>
  <si>
    <t>570714700000012525</t>
  </si>
  <si>
    <t>570714700000002786</t>
  </si>
  <si>
    <t>V 44</t>
  </si>
  <si>
    <t>Vestas Wind Systems A/S V 44</t>
  </si>
  <si>
    <t>570714700000010903</t>
  </si>
  <si>
    <t>600 - MK lll</t>
  </si>
  <si>
    <t>Jyderup By, Fakse</t>
  </si>
  <si>
    <t>BONUS 600 - MK lll</t>
  </si>
  <si>
    <t>570714700000011252</t>
  </si>
  <si>
    <t>Øde Førslev, Haslev By</t>
  </si>
  <si>
    <t>22d,11b</t>
  </si>
  <si>
    <t>570714700000011269</t>
  </si>
  <si>
    <t>Øde Førslev</t>
  </si>
  <si>
    <t>22b1</t>
  </si>
  <si>
    <t>570714700000011849</t>
  </si>
  <si>
    <t>Teestrup By, Teestrup</t>
  </si>
  <si>
    <t>570714700000011856</t>
  </si>
  <si>
    <t>570714700000011863</t>
  </si>
  <si>
    <t>570714700000001079</t>
  </si>
  <si>
    <t>600 - MK l</t>
  </si>
  <si>
    <t>Tjørnelunde By, Finderup</t>
  </si>
  <si>
    <t>BONUS 600 - MK l</t>
  </si>
  <si>
    <t>570714700000001086</t>
  </si>
  <si>
    <t>570714700000001093</t>
  </si>
  <si>
    <t>570714700000003134</t>
  </si>
  <si>
    <t>Særslev By, Særslev</t>
  </si>
  <si>
    <t>070-00757</t>
  </si>
  <si>
    <t>570714700000003141</t>
  </si>
  <si>
    <t>070-00758</t>
  </si>
  <si>
    <t>570714700000003158</t>
  </si>
  <si>
    <t>570714700000005343</t>
  </si>
  <si>
    <t>NM 1500-600</t>
  </si>
  <si>
    <t>NEG Micon NM 1500-600</t>
  </si>
  <si>
    <t>570714700000005367</t>
  </si>
  <si>
    <t>570714700000005374</t>
  </si>
  <si>
    <t>570714700000005435</t>
  </si>
  <si>
    <t>570714700000005442</t>
  </si>
  <si>
    <t>570714700000012396</t>
  </si>
  <si>
    <t>Sigersted</t>
  </si>
  <si>
    <t>17a,18c</t>
  </si>
  <si>
    <t>570714700000012402</t>
  </si>
  <si>
    <t>17a18c</t>
  </si>
  <si>
    <t>570714700000012419</t>
  </si>
  <si>
    <t>Sigersted By Og Sogn</t>
  </si>
  <si>
    <t>570714700000001024</t>
  </si>
  <si>
    <t>Gudum By, Gudum</t>
  </si>
  <si>
    <t>024-00071</t>
  </si>
  <si>
    <t>570714700000001031</t>
  </si>
  <si>
    <t>570714700000001048</t>
  </si>
  <si>
    <t>570714700000001055</t>
  </si>
  <si>
    <t>Næsby Ved Skoven, Sorterup</t>
  </si>
  <si>
    <t>570714700000001062</t>
  </si>
  <si>
    <t>570714700000002489</t>
  </si>
  <si>
    <t>570714700000002496</t>
  </si>
  <si>
    <t>570714700000002502</t>
  </si>
  <si>
    <t>570714700000002861</t>
  </si>
  <si>
    <t>W 600</t>
  </si>
  <si>
    <t>Wind World W 600</t>
  </si>
  <si>
    <t>570714700000002878</t>
  </si>
  <si>
    <t>570714700000005251</t>
  </si>
  <si>
    <t>NM 1500/600</t>
  </si>
  <si>
    <t>Kelstrup By, Kr. Stillinge</t>
  </si>
  <si>
    <t>NEG Micon NM 1500/600</t>
  </si>
  <si>
    <t>570714700000005268</t>
  </si>
  <si>
    <t>570714700000005275</t>
  </si>
  <si>
    <t>Øster Stillinge By, Kr. Stillinge</t>
  </si>
  <si>
    <t>570714700000005312</t>
  </si>
  <si>
    <t>NM 1800-600</t>
  </si>
  <si>
    <t>NEG Micon NM 1800-600</t>
  </si>
  <si>
    <t>570714700000005329</t>
  </si>
  <si>
    <t>570714700000010835</t>
  </si>
  <si>
    <t>M 1500-600/150</t>
  </si>
  <si>
    <t>Vemmeløse, Gimlinge</t>
  </si>
  <si>
    <t>Micon M 1500-600/150</t>
  </si>
  <si>
    <t>570714700000010842</t>
  </si>
  <si>
    <t>Vemmeløse by, Vemmeløse</t>
  </si>
  <si>
    <t>570714700000010859</t>
  </si>
  <si>
    <t>570714700000012518</t>
  </si>
  <si>
    <t>600 kW</t>
  </si>
  <si>
    <t>Næsbyskov, Sorterup</t>
  </si>
  <si>
    <t>BONUS 600 kW</t>
  </si>
  <si>
    <t>570714700000012891</t>
  </si>
  <si>
    <t>570714700000013270</t>
  </si>
  <si>
    <t>Tårnholm Hgd, Vemmelev</t>
  </si>
  <si>
    <t>570714700000013287</t>
  </si>
  <si>
    <t>Ormeslev By, Vemmelev</t>
  </si>
  <si>
    <t>570714700000105883</t>
  </si>
  <si>
    <t>MK lV</t>
  </si>
  <si>
    <t>Sørbylille By, Sludstrup</t>
  </si>
  <si>
    <t>BONUS MK lV</t>
  </si>
  <si>
    <t>570714700000002762</t>
  </si>
  <si>
    <t>M 1800</t>
  </si>
  <si>
    <t>SVV036</t>
  </si>
  <si>
    <t>Micon M 1800</t>
  </si>
  <si>
    <t>570714700000002779</t>
  </si>
  <si>
    <t>570714700000003219</t>
  </si>
  <si>
    <t>MK lll</t>
  </si>
  <si>
    <t>BONUS MK lll</t>
  </si>
  <si>
    <t>570714700000010590</t>
  </si>
  <si>
    <t>Strøby By Og Sogn</t>
  </si>
  <si>
    <t>32a</t>
  </si>
  <si>
    <t>570714700000010989</t>
  </si>
  <si>
    <t>M 1800-600/150</t>
  </si>
  <si>
    <t>Lille Linde, Hårlev</t>
  </si>
  <si>
    <t>6n</t>
  </si>
  <si>
    <t>Micon M 1800-600/150</t>
  </si>
  <si>
    <t>570714700000012372</t>
  </si>
  <si>
    <t>Ammerup, Haarlev</t>
  </si>
  <si>
    <t>570714700000012389</t>
  </si>
  <si>
    <t>570714700000013232</t>
  </si>
  <si>
    <t>Højerup</t>
  </si>
  <si>
    <t>570714700000013249</t>
  </si>
  <si>
    <t>570714700000004735</t>
  </si>
  <si>
    <t>M 600/150/48</t>
  </si>
  <si>
    <t>Torkilstrup By, Kirke Såby</t>
  </si>
  <si>
    <t>44-8014</t>
  </si>
  <si>
    <t>Micon M 600/150/48</t>
  </si>
  <si>
    <t>570714700000004742</t>
  </si>
  <si>
    <t>44-8016</t>
  </si>
  <si>
    <t>570714700000004759</t>
  </si>
  <si>
    <t>Kirke Såby By, Kirke Såby</t>
  </si>
  <si>
    <t>57f</t>
  </si>
  <si>
    <t>44-8018</t>
  </si>
  <si>
    <t>570714700000003998</t>
  </si>
  <si>
    <t>600 - MK ll</t>
  </si>
  <si>
    <t>Bjernæs By, Olstrup</t>
  </si>
  <si>
    <t>BONUS 600 - MK ll</t>
  </si>
  <si>
    <t>570714700000009969</t>
  </si>
  <si>
    <t>600 - MK lV</t>
  </si>
  <si>
    <t>Øster Skovby, Græshave</t>
  </si>
  <si>
    <t>BONUS 600 - MK lV</t>
  </si>
  <si>
    <t>570714700000009976</t>
  </si>
  <si>
    <t>600 - MK</t>
  </si>
  <si>
    <t>BONUS 600 - MK</t>
  </si>
  <si>
    <t>570714700000009983</t>
  </si>
  <si>
    <t>570714700000009990</t>
  </si>
  <si>
    <t>Dannemare By, Dannemare</t>
  </si>
  <si>
    <t>570714700000010002</t>
  </si>
  <si>
    <t>Dannemare</t>
  </si>
  <si>
    <t>570714700000010071</t>
  </si>
  <si>
    <t>Bådesgård Hvgd, Græshave</t>
  </si>
  <si>
    <t>37b</t>
  </si>
  <si>
    <t>570714700000010101</t>
  </si>
  <si>
    <t>V 42-600</t>
  </si>
  <si>
    <t>Skovbølle By, Købelev</t>
  </si>
  <si>
    <t>Vestas Wind Systems A/S V 42-600</t>
  </si>
  <si>
    <t>Vestas.V42.600</t>
  </si>
  <si>
    <t>570714700000010224</t>
  </si>
  <si>
    <t>Gloslunde, Hestehave</t>
  </si>
  <si>
    <t>570714700000010262</t>
  </si>
  <si>
    <t>Ll.Kastager, Horslunde</t>
  </si>
  <si>
    <t>570714700000010293</t>
  </si>
  <si>
    <t>Horslunde</t>
  </si>
  <si>
    <t>570714700000010309</t>
  </si>
  <si>
    <t>Hillested By Og Sogn</t>
  </si>
  <si>
    <t>del 2af</t>
  </si>
  <si>
    <t>570714700000010316</t>
  </si>
  <si>
    <t>Hillested</t>
  </si>
  <si>
    <t>126f</t>
  </si>
  <si>
    <t>570714700000010323</t>
  </si>
  <si>
    <t>126g</t>
  </si>
  <si>
    <t>570714700000010330</t>
  </si>
  <si>
    <t>Maribo Markjorder, Hillested</t>
  </si>
  <si>
    <t>19t</t>
  </si>
  <si>
    <t>570714700000010347</t>
  </si>
  <si>
    <t>Binnitse, Hillested</t>
  </si>
  <si>
    <t>del 7af</t>
  </si>
  <si>
    <t>570714700000010354</t>
  </si>
  <si>
    <t>11af126</t>
  </si>
  <si>
    <t>570714700000010422</t>
  </si>
  <si>
    <t>Utterslev</t>
  </si>
  <si>
    <t>570714700000010477</t>
  </si>
  <si>
    <t>14a m.f</t>
  </si>
  <si>
    <t>570714700000010484</t>
  </si>
  <si>
    <t>570714700000010491</t>
  </si>
  <si>
    <t>2af28a</t>
  </si>
  <si>
    <t>570714700000010507</t>
  </si>
  <si>
    <t>570714700000010514</t>
  </si>
  <si>
    <t>570714700000010521</t>
  </si>
  <si>
    <t>Pårup, Østofte</t>
  </si>
  <si>
    <t>570714700000010538</t>
  </si>
  <si>
    <t>Havløkke By, Østofte</t>
  </si>
  <si>
    <t>570714700000010545</t>
  </si>
  <si>
    <t>Pårup By, Østofte</t>
  </si>
  <si>
    <t>570714700000010552</t>
  </si>
  <si>
    <t>5ag</t>
  </si>
  <si>
    <t>570714700000010569</t>
  </si>
  <si>
    <t>570714700000010576</t>
  </si>
  <si>
    <t>Østofte</t>
  </si>
  <si>
    <t>570714700000010583</t>
  </si>
  <si>
    <t>5ah</t>
  </si>
  <si>
    <t>570714700000010705</t>
  </si>
  <si>
    <t>Roløkke By, Købelev</t>
  </si>
  <si>
    <t>570714700000010712</t>
  </si>
  <si>
    <t>Løjtofte By, Herredskirke</t>
  </si>
  <si>
    <t>570714700000010729</t>
  </si>
  <si>
    <t>Ll Købelevgaard,Købelev</t>
  </si>
  <si>
    <t>570714700000010736</t>
  </si>
  <si>
    <t>Vindeby By Og Sogn</t>
  </si>
  <si>
    <t>570714700000010743</t>
  </si>
  <si>
    <t>Vindeby</t>
  </si>
  <si>
    <t>570714700000010828</t>
  </si>
  <si>
    <t>Bjergby By, Herredskirke</t>
  </si>
  <si>
    <t>570714700000010941</t>
  </si>
  <si>
    <t>570714700000010996</t>
  </si>
  <si>
    <t>15a m.f</t>
  </si>
  <si>
    <t>570714700000011047</t>
  </si>
  <si>
    <t>570714700000011054</t>
  </si>
  <si>
    <t>Købelev</t>
  </si>
  <si>
    <t>570714700000011061</t>
  </si>
  <si>
    <t>Højsmarke By, Købelev</t>
  </si>
  <si>
    <t>16c m.f</t>
  </si>
  <si>
    <t>570714700000011078</t>
  </si>
  <si>
    <t>570714700000011085</t>
  </si>
  <si>
    <t>570714700000011115</t>
  </si>
  <si>
    <t>150/30 kW</t>
  </si>
  <si>
    <t>BONUS 150/30 kW</t>
  </si>
  <si>
    <t>Bonus.B23.150</t>
  </si>
  <si>
    <t>570714700000011122</t>
  </si>
  <si>
    <t>570714700000012679</t>
  </si>
  <si>
    <t>Tryghus, Arninge</t>
  </si>
  <si>
    <t>570714700000012761</t>
  </si>
  <si>
    <t>570714700000013645</t>
  </si>
  <si>
    <t>Nybølle By, Horslunde</t>
  </si>
  <si>
    <t>570714700000013652</t>
  </si>
  <si>
    <t>Kastager By, Utterslev</t>
  </si>
  <si>
    <t>570714700000014192</t>
  </si>
  <si>
    <t>660 MK lV</t>
  </si>
  <si>
    <t>Højmark By, Sandby</t>
  </si>
  <si>
    <t>22 m.fl</t>
  </si>
  <si>
    <t>BONUS 660 MK lV</t>
  </si>
  <si>
    <r>
      <rPr>
        <b val="1"/>
        <sz val="12"/>
        <color indexed="8"/>
        <rFont val="Calibri"/>
      </rPr>
      <t>Bonus.B44.600</t>
    </r>
  </si>
  <si>
    <t>570714700000010606</t>
  </si>
  <si>
    <t>M 1500-600</t>
  </si>
  <si>
    <t>Fyrendal</t>
  </si>
  <si>
    <t>Micon M 1500-600</t>
  </si>
  <si>
    <t>570714700000010613</t>
  </si>
  <si>
    <t>Tornemark By, Fyrendal</t>
  </si>
  <si>
    <t>11l</t>
  </si>
  <si>
    <t>570714700000010620</t>
  </si>
  <si>
    <t>570714700000010637</t>
  </si>
  <si>
    <t>570714700000010644</t>
  </si>
  <si>
    <t>570714700000011139</t>
  </si>
  <si>
    <t>Saltø By, Vallensved</t>
  </si>
  <si>
    <t>570714700000011221</t>
  </si>
  <si>
    <t>Jenstrup By, Vallensved</t>
  </si>
  <si>
    <t>570714700000011726</t>
  </si>
  <si>
    <t>570714700000011733</t>
  </si>
  <si>
    <t>570714700000012204</t>
  </si>
  <si>
    <t>Kvislemark, Fyrendal</t>
  </si>
  <si>
    <t>570714700000012426</t>
  </si>
  <si>
    <t>570714700000010149</t>
  </si>
  <si>
    <t>Eskilstrup</t>
  </si>
  <si>
    <t>4a2</t>
  </si>
  <si>
    <t>570714700000010156</t>
  </si>
  <si>
    <t>Lundby By, Brarup</t>
  </si>
  <si>
    <t>570714700000010279</t>
  </si>
  <si>
    <t>Brarup</t>
  </si>
  <si>
    <t>570714700000010286</t>
  </si>
  <si>
    <t>Alstrup By, Brarup</t>
  </si>
  <si>
    <t>14k</t>
  </si>
  <si>
    <t>570714700000010361</t>
  </si>
  <si>
    <t>Horbelev</t>
  </si>
  <si>
    <t>570714700000010378</t>
  </si>
  <si>
    <t>Meelse By, Horbelev</t>
  </si>
  <si>
    <t>570714700000010439</t>
  </si>
  <si>
    <t>Stadager</t>
  </si>
  <si>
    <t>sundby4</t>
  </si>
  <si>
    <t>570714700000010446</t>
  </si>
  <si>
    <t>Nørre Alslev By, Stadager</t>
  </si>
  <si>
    <t>46ae</t>
  </si>
  <si>
    <t>570714700000010453</t>
  </si>
  <si>
    <t>570714700000010460</t>
  </si>
  <si>
    <t>570714700000010651</t>
  </si>
  <si>
    <t>600/150</t>
  </si>
  <si>
    <t>Nr Tåstrup, Horbelev</t>
  </si>
  <si>
    <t>BONUS 600/150</t>
  </si>
  <si>
    <t>570714700000010668</t>
  </si>
  <si>
    <t>Våbensted</t>
  </si>
  <si>
    <t>570714700000010675</t>
  </si>
  <si>
    <t>Berritsgård Hgd, Våbensted</t>
  </si>
  <si>
    <t>570714700000010682</t>
  </si>
  <si>
    <t>Agerup, Våbensted</t>
  </si>
  <si>
    <t>570714700000010699</t>
  </si>
  <si>
    <t>5a m.fl</t>
  </si>
  <si>
    <t>570714700000010866</t>
  </si>
  <si>
    <t>Elkenøre, Idestrup</t>
  </si>
  <si>
    <t>570714700000010873</t>
  </si>
  <si>
    <t>Idestrup By, Idestrup</t>
  </si>
  <si>
    <t>570714700000010880</t>
  </si>
  <si>
    <t>15a2</t>
  </si>
  <si>
    <t>570714700000010910</t>
  </si>
  <si>
    <t>Væggerløse</t>
  </si>
  <si>
    <t>9o</t>
  </si>
  <si>
    <t>570714700000010927</t>
  </si>
  <si>
    <t>Ønslev</t>
  </si>
  <si>
    <t>570714700000011108</t>
  </si>
  <si>
    <t>570714700000011962</t>
  </si>
  <si>
    <t>570714700000012334</t>
  </si>
  <si>
    <t>570714700000012341</t>
  </si>
  <si>
    <t>Staureby, Skelby</t>
  </si>
  <si>
    <t>570714700000012358</t>
  </si>
  <si>
    <t>570714700000013157</t>
  </si>
  <si>
    <t>Bruserup, Væggerløse</t>
  </si>
  <si>
    <t>570714700000013850</t>
  </si>
  <si>
    <t>570714700000013867</t>
  </si>
  <si>
    <t>Marrebæk By, Væggerløse</t>
  </si>
  <si>
    <t>570714700000013874</t>
  </si>
  <si>
    <t>570714700000106644</t>
  </si>
  <si>
    <t>Stødstrup By, Eskilstrup</t>
  </si>
  <si>
    <t>570714700000002854</t>
  </si>
  <si>
    <t>W 4200</t>
  </si>
  <si>
    <t>Wind World W 4200</t>
  </si>
  <si>
    <t>Wind.World.W4200</t>
  </si>
  <si>
    <t>570714700000010774</t>
  </si>
  <si>
    <t>Stege Markjorder</t>
  </si>
  <si>
    <t>570714700000010804</t>
  </si>
  <si>
    <t>Hove Skov, Stege Jorder</t>
  </si>
  <si>
    <t>570714700000010811</t>
  </si>
  <si>
    <t>Udby, Stege Markjorder</t>
  </si>
  <si>
    <t>570714700000011207</t>
  </si>
  <si>
    <t>V 42</t>
  </si>
  <si>
    <t>Bissinge, Stege Lds.</t>
  </si>
  <si>
    <t>Vestas Wind Systems A/S V 42</t>
  </si>
  <si>
    <t>570714700000011214</t>
  </si>
  <si>
    <t>W 4200-150</t>
  </si>
  <si>
    <t>Tøvelte, Stege</t>
  </si>
  <si>
    <t>Wind World W 4200-150</t>
  </si>
  <si>
    <t>570715000000053368</t>
  </si>
  <si>
    <t>NM 1500-600/150</t>
  </si>
  <si>
    <t>Indslev Tårup, Indslev</t>
  </si>
  <si>
    <t>NEG Micon NM 1500-600/150</t>
  </si>
  <si>
    <t>570715000000053375</t>
  </si>
  <si>
    <t>Indslev By, Indslev</t>
  </si>
  <si>
    <t>570715000000053658</t>
  </si>
  <si>
    <t>Bubel By, Indslev</t>
  </si>
  <si>
    <t>570715000000053726</t>
  </si>
  <si>
    <t>Bubbel By, Indslev</t>
  </si>
  <si>
    <t>570715000000053733</t>
  </si>
  <si>
    <t>570715000000054167</t>
  </si>
  <si>
    <t>Husby By, Husby</t>
  </si>
  <si>
    <t>570715000000054181</t>
  </si>
  <si>
    <t>Balslev By, Balslev</t>
  </si>
  <si>
    <t>570715000000053405</t>
  </si>
  <si>
    <t>570715000000054174</t>
  </si>
  <si>
    <t>570715000000053382</t>
  </si>
  <si>
    <t>570715000000053542</t>
  </si>
  <si>
    <t>Lumby by, Nr. Lyndelse</t>
  </si>
  <si>
    <t>570715000000053627</t>
  </si>
  <si>
    <t>Vejle By, Vejle</t>
  </si>
  <si>
    <t>570715000000055515</t>
  </si>
  <si>
    <t>570715000000055553</t>
  </si>
  <si>
    <t>6u</t>
  </si>
  <si>
    <t>570715000000051210</t>
  </si>
  <si>
    <t>Tårup by, Mes.</t>
  </si>
  <si>
    <t>570715000000051227</t>
  </si>
  <si>
    <t>570715000000051234</t>
  </si>
  <si>
    <t>Salby by,Mesing</t>
  </si>
  <si>
    <t>570715000000051241</t>
  </si>
  <si>
    <t>Salby by,Mesinge</t>
  </si>
  <si>
    <t>570715000000051258</t>
  </si>
  <si>
    <t>570715000000051289</t>
  </si>
  <si>
    <t>570715000000051302</t>
  </si>
  <si>
    <t>570715000000053399</t>
  </si>
  <si>
    <t>Ellinge By, Ellinge</t>
  </si>
  <si>
    <t>22o</t>
  </si>
  <si>
    <t>570715000000053535</t>
  </si>
  <si>
    <t>Ørbæk By, Ørbæk</t>
  </si>
  <si>
    <t>570715000000053719</t>
  </si>
  <si>
    <t>NM 600/43</t>
  </si>
  <si>
    <t>Svindinge By, Svindinge</t>
  </si>
  <si>
    <t>NEG Micon NM 600/43</t>
  </si>
  <si>
    <t>570715000000053436</t>
  </si>
  <si>
    <t>Allerup By, Allerup</t>
  </si>
  <si>
    <t>570715000000053511</t>
  </si>
  <si>
    <t>Volderslev By, Stenløse</t>
  </si>
  <si>
    <t>570715000000053528</t>
  </si>
  <si>
    <t>570715000000053863</t>
  </si>
  <si>
    <t>570715000000052736</t>
  </si>
  <si>
    <t>Egense By, Egense</t>
  </si>
  <si>
    <t>570715000000052743</t>
  </si>
  <si>
    <t>570715000000052750</t>
  </si>
  <si>
    <t>570715000000052767</t>
  </si>
  <si>
    <t>570715000000052804</t>
  </si>
  <si>
    <t>570715000000052811</t>
  </si>
  <si>
    <t>570715000000055478</t>
  </si>
  <si>
    <t>Gundestrup by</t>
  </si>
  <si>
    <t>570715000000055485</t>
  </si>
  <si>
    <t>570715000000055492</t>
  </si>
  <si>
    <t>570715000000055508</t>
  </si>
  <si>
    <t>570715000000055522</t>
  </si>
  <si>
    <t>570715000000056369</t>
  </si>
  <si>
    <t>N 43/600 - MK lll</t>
  </si>
  <si>
    <t>Tved By</t>
  </si>
  <si>
    <t>Nordex N 43/600 - MK lll</t>
  </si>
  <si>
    <t>Nordex.N43.600</t>
  </si>
  <si>
    <t>570715000000056376</t>
  </si>
  <si>
    <t>570715000000060557</t>
  </si>
  <si>
    <t>570715000000064531</t>
  </si>
  <si>
    <t>N 43 - MK lll</t>
  </si>
  <si>
    <t>Lundby By, Landet</t>
  </si>
  <si>
    <t>Nordex N 43 - MK lll</t>
  </si>
  <si>
    <t>570715000000053412</t>
  </si>
  <si>
    <t>Agernæs By, Kogsbølle</t>
  </si>
  <si>
    <t>570715000000053429</t>
  </si>
  <si>
    <t>Sdr. Esterbølle By, Særslev</t>
  </si>
  <si>
    <t>570715000000053450</t>
  </si>
  <si>
    <t>Ullerup By, Skamby</t>
  </si>
  <si>
    <t>570715000000053467</t>
  </si>
  <si>
    <t>570715000000053474</t>
  </si>
  <si>
    <t>570715000000053498</t>
  </si>
  <si>
    <t>570715000000053504</t>
  </si>
  <si>
    <t>570715000000053634</t>
  </si>
  <si>
    <t>Hemmeslev By, Særslev</t>
  </si>
  <si>
    <t>570715000000053641</t>
  </si>
  <si>
    <t>Hemmerslev By, Særslev</t>
  </si>
  <si>
    <t>570715000000053665</t>
  </si>
  <si>
    <t>Den indæmmede Strand, Krogsbølle</t>
  </si>
  <si>
    <t>1bz</t>
  </si>
  <si>
    <t>570715000000051531</t>
  </si>
  <si>
    <t>570715000000051548</t>
  </si>
  <si>
    <t>570715000000051579</t>
  </si>
  <si>
    <t>570715000000051593</t>
  </si>
  <si>
    <t>570715000000051654</t>
  </si>
  <si>
    <t>570715000000051661</t>
  </si>
  <si>
    <t>570715000000051692</t>
  </si>
  <si>
    <t>570715000000051791</t>
  </si>
  <si>
    <t>Haugbølle By, Humble</t>
  </si>
  <si>
    <t>570715000000051999</t>
  </si>
  <si>
    <t>570715000000052019</t>
  </si>
  <si>
    <t>Bagenkop By, Magleby</t>
  </si>
  <si>
    <t>570715000000052057</t>
  </si>
  <si>
    <t>570715000000052088</t>
  </si>
  <si>
    <t>Simmerbølle By, Simmerbølle</t>
  </si>
  <si>
    <t>570715000000052446</t>
  </si>
  <si>
    <t>Rudkøbing markjorder</t>
  </si>
  <si>
    <t>2xb</t>
  </si>
  <si>
    <t>570715000000045585</t>
  </si>
  <si>
    <t>Kastrup</t>
  </si>
  <si>
    <t>570715000000045592</t>
  </si>
  <si>
    <t>570715000000045608</t>
  </si>
  <si>
    <t>Gram</t>
  </si>
  <si>
    <t>570715000000045615</t>
  </si>
  <si>
    <t>570715000000045639</t>
  </si>
  <si>
    <t>570715000000045769</t>
  </si>
  <si>
    <t>570715000000045776</t>
  </si>
  <si>
    <t>570715000000045912</t>
  </si>
  <si>
    <t>NM 600</t>
  </si>
  <si>
    <t>NEG Micon NM 600</t>
  </si>
  <si>
    <t>570715000000045929</t>
  </si>
  <si>
    <t>570715000000047572</t>
  </si>
  <si>
    <t>570715000000048258</t>
  </si>
  <si>
    <t>570715000000050657</t>
  </si>
  <si>
    <t>Hjerndrup, Hjerndrup</t>
  </si>
  <si>
    <t>570715000000050671</t>
  </si>
  <si>
    <t>Maugstrup</t>
  </si>
  <si>
    <t>570715000000050947</t>
  </si>
  <si>
    <t>570715000000051098</t>
  </si>
  <si>
    <t>W 600/45</t>
  </si>
  <si>
    <t>Wincon W 600/45</t>
  </si>
  <si>
    <r>
      <rPr>
        <b val="1"/>
        <sz val="12"/>
        <color indexed="8"/>
        <rFont val="Calibri"/>
      </rPr>
      <t>Nordtank.NTK600</t>
    </r>
  </si>
  <si>
    <t>570715000000050039</t>
  </si>
  <si>
    <t>StenderupNybøl</t>
  </si>
  <si>
    <t>570715000000050046</t>
  </si>
  <si>
    <t>570715000000050091</t>
  </si>
  <si>
    <t>Skovby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</si>
  <si>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</si>
  <si>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</si>
  <si>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</si>
  <si>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</si>
  <si>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</si>
  <si>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</si>
  <si>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570715000000045400</t>
  </si>
  <si>
    <t>570715000000045417</t>
  </si>
  <si>
    <t>570715000000045424</t>
  </si>
  <si>
    <t>570715000000045486</t>
  </si>
  <si>
    <t>N 43/600</t>
  </si>
  <si>
    <t>Mellerup</t>
  </si>
  <si>
    <t>Nordex N 43/600</t>
  </si>
  <si>
    <t>570715000000045493</t>
  </si>
  <si>
    <t>570715000000045509</t>
  </si>
  <si>
    <t>N 43</t>
  </si>
  <si>
    <t>Nordex N 43</t>
  </si>
  <si>
    <t>570715000000045516</t>
  </si>
  <si>
    <t>Agerskov</t>
  </si>
  <si>
    <t>570715000000045523</t>
  </si>
  <si>
    <t>570715000000045530</t>
  </si>
  <si>
    <t>570715000000045547</t>
  </si>
  <si>
    <t>570715000000045554</t>
  </si>
  <si>
    <t>570715000000045561</t>
  </si>
  <si>
    <t>Åbøl</t>
  </si>
  <si>
    <t>570715000000045578</t>
  </si>
  <si>
    <t>570715000000045653</t>
  </si>
  <si>
    <t>Landeby</t>
  </si>
  <si>
    <t>570715000000045660</t>
  </si>
  <si>
    <t>570715000000045677</t>
  </si>
  <si>
    <t>570715000000045684</t>
  </si>
  <si>
    <t>570715000000045691</t>
  </si>
  <si>
    <t>Øster Terp</t>
  </si>
  <si>
    <t>570715000000045707</t>
  </si>
  <si>
    <t>570715000000045714</t>
  </si>
  <si>
    <t>Bovlund</t>
  </si>
  <si>
    <t>570715000000045738</t>
  </si>
  <si>
    <t>V 600</t>
  </si>
  <si>
    <t>Vestas Wind Systems A/S V 600</t>
  </si>
  <si>
    <t>570715000000045745</t>
  </si>
  <si>
    <t>570715000000045752</t>
  </si>
  <si>
    <t>Kløjing</t>
  </si>
  <si>
    <t>570715000000045783</t>
  </si>
  <si>
    <t>570715000000045936</t>
  </si>
  <si>
    <t>NM 600-180/43</t>
  </si>
  <si>
    <t>NEG Micon NM 600-180/43</t>
  </si>
  <si>
    <t>570715000000046278</t>
  </si>
  <si>
    <t>570715000000046285</t>
  </si>
  <si>
    <t>570715000000046315</t>
  </si>
  <si>
    <t>Øster Gammelby</t>
  </si>
  <si>
    <t>570715000000046322</t>
  </si>
  <si>
    <t>Lille Emmerske</t>
  </si>
  <si>
    <t>570715000000046339</t>
  </si>
  <si>
    <t>Koldby</t>
  </si>
  <si>
    <t>570715000000046346</t>
  </si>
  <si>
    <t>570715000000046360</t>
  </si>
  <si>
    <t>Bredebro</t>
  </si>
  <si>
    <t>570715000000046377</t>
  </si>
  <si>
    <t>570715000000046384</t>
  </si>
  <si>
    <t>Skast</t>
  </si>
  <si>
    <t>570715000000046391</t>
  </si>
  <si>
    <t>Grøngård</t>
  </si>
  <si>
    <t>570715000000046407</t>
  </si>
  <si>
    <t>Mollerup</t>
  </si>
  <si>
    <t>570715000000046414</t>
  </si>
  <si>
    <t>Havervad</t>
  </si>
  <si>
    <t>570715000000046421</t>
  </si>
  <si>
    <t>570715000000046438</t>
  </si>
  <si>
    <t>570715000000046445</t>
  </si>
  <si>
    <t>570715000000046452</t>
  </si>
  <si>
    <t>570715000000046483</t>
  </si>
  <si>
    <t>Skærbæk</t>
  </si>
  <si>
    <t>570715000000046568</t>
  </si>
  <si>
    <t>Harres</t>
  </si>
  <si>
    <t>570715000000046575</t>
  </si>
  <si>
    <t>Husum-Ballum</t>
  </si>
  <si>
    <t>570715000000046605</t>
  </si>
  <si>
    <t>Brede</t>
  </si>
  <si>
    <t>570715000000046636</t>
  </si>
  <si>
    <t>Abild</t>
  </si>
  <si>
    <t>570715000000046674</t>
  </si>
  <si>
    <t>Borg</t>
  </si>
  <si>
    <t>570715000000046681</t>
  </si>
  <si>
    <t>Nr. Vollum</t>
  </si>
  <si>
    <t>570715000000046711</t>
  </si>
  <si>
    <t>Bøgvad</t>
  </si>
  <si>
    <t>570715000000046728</t>
  </si>
  <si>
    <t>570715000000046735</t>
  </si>
  <si>
    <t>570715000000046742</t>
  </si>
  <si>
    <t>Rørkær</t>
  </si>
  <si>
    <t>570715000000046759</t>
  </si>
  <si>
    <t>570715000000046865</t>
  </si>
  <si>
    <t>570715000000046872</t>
  </si>
  <si>
    <t>570715000000046957</t>
  </si>
  <si>
    <t>570715000000047763</t>
  </si>
  <si>
    <t>570715000000048036</t>
  </si>
  <si>
    <t>570715000000048326</t>
  </si>
  <si>
    <t>570715000000048340</t>
  </si>
  <si>
    <t>Tyvse</t>
  </si>
  <si>
    <t>570715000000048579</t>
  </si>
  <si>
    <t>W 4200/600-150</t>
  </si>
  <si>
    <t>WAR</t>
  </si>
  <si>
    <t>Wind World W 4200/600-150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</si>
  <si>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</si>
  <si>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</si>
  <si>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</si>
  <si>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</si>
  <si>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</si>
  <si>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</si>
  <si>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</si>
  <si>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</si>
  <si>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</si>
  <si>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</si>
  <si>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570715000000048814</t>
  </si>
  <si>
    <t>Emmerlev</t>
  </si>
  <si>
    <t>WHØ</t>
  </si>
  <si>
    <t>570715000000048821</t>
  </si>
  <si>
    <t>570715000000048838</t>
  </si>
  <si>
    <t>570715000000048845</t>
  </si>
  <si>
    <t>570715000000048876</t>
  </si>
  <si>
    <t>Rejsby-Ballum</t>
  </si>
  <si>
    <t>WRB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</si>
  <si>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</si>
  <si>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</si>
  <si>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</si>
  <si>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</si>
  <si>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</si>
  <si>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</si>
  <si>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</si>
  <si>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</si>
  <si>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</si>
  <si>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</si>
  <si>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</si>
  <si>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</si>
  <si>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</si>
  <si>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</si>
  <si>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</si>
  <si>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</si>
  <si>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</si>
  <si>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</si>
  <si>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</si>
  <si>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</si>
  <si>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</si>
  <si>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</si>
  <si>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</si>
  <si>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</si>
  <si>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</si>
  <si>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</si>
  <si>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</si>
  <si>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</si>
  <si>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</si>
  <si>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</si>
  <si>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</si>
  <si>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Hjerpsted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</si>
  <si>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</si>
  <si>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</si>
  <si>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</si>
  <si>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</si>
  <si>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</si>
  <si>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</si>
  <si>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</si>
  <si>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570715000000033957</t>
  </si>
  <si>
    <t>Guldager</t>
  </si>
  <si>
    <t>570715000000034060</t>
  </si>
  <si>
    <t>St Darum by</t>
  </si>
  <si>
    <t>58h</t>
  </si>
  <si>
    <t>570715000000034077</t>
  </si>
  <si>
    <t>570715000000034084</t>
  </si>
  <si>
    <t>570715000000034244</t>
  </si>
  <si>
    <t>Guldager By</t>
  </si>
  <si>
    <t>570715000000034251</t>
  </si>
  <si>
    <t>570715000000034275</t>
  </si>
  <si>
    <t>Kokspang by</t>
  </si>
  <si>
    <t>570715000000034282</t>
  </si>
  <si>
    <t>570715000000034503</t>
  </si>
  <si>
    <t>570715000000034589</t>
  </si>
  <si>
    <t>Terpager by</t>
  </si>
  <si>
    <t>570715000000034596</t>
  </si>
  <si>
    <t>570715000000034602</t>
  </si>
  <si>
    <t>570715000000034725</t>
  </si>
  <si>
    <t>42b</t>
  </si>
  <si>
    <t>570715000000034886</t>
  </si>
  <si>
    <t>570715000000035418</t>
  </si>
  <si>
    <t>Veldbæk</t>
  </si>
  <si>
    <t>570715000000035425</t>
  </si>
  <si>
    <t>Nordtank</t>
  </si>
  <si>
    <t>NTK 600/43-44,5</t>
  </si>
  <si>
    <t>Nordtank NTK 600/43-44,5</t>
  </si>
  <si>
    <t>Nordtank.NTK600</t>
  </si>
  <si>
    <t>570715000000035432</t>
  </si>
  <si>
    <t>570715000000035449</t>
  </si>
  <si>
    <t>570715000000035456</t>
  </si>
  <si>
    <t>570715000000033964</t>
  </si>
  <si>
    <t>Hessel By</t>
  </si>
  <si>
    <t>570715000000034015</t>
  </si>
  <si>
    <t>Hyllerslev</t>
  </si>
  <si>
    <t>570715000000034022</t>
  </si>
  <si>
    <t>570715000000034145</t>
  </si>
  <si>
    <t>Gammelgård</t>
  </si>
  <si>
    <t>570715000000034152</t>
  </si>
  <si>
    <t>570715000000034169</t>
  </si>
  <si>
    <t>Dejrup by</t>
  </si>
  <si>
    <t>570715000000034176</t>
  </si>
  <si>
    <t>Hallum By</t>
  </si>
  <si>
    <t>570715000000034183</t>
  </si>
  <si>
    <t>570715000000034190</t>
  </si>
  <si>
    <t>570715000000034206</t>
  </si>
  <si>
    <t>570715000000034213</t>
  </si>
  <si>
    <t>Kvong By</t>
  </si>
  <si>
    <t>570715000000034220</t>
  </si>
  <si>
    <t>Gestengene</t>
  </si>
  <si>
    <t>570715000000034237</t>
  </si>
  <si>
    <t>151a</t>
  </si>
  <si>
    <t>570715000000034558</t>
  </si>
  <si>
    <t>Lundager by</t>
  </si>
  <si>
    <t>570715000000034565</t>
  </si>
  <si>
    <t>570715000000034619</t>
  </si>
  <si>
    <t>Rousthøje by</t>
  </si>
  <si>
    <t>13q</t>
  </si>
  <si>
    <t>570715000000034695</t>
  </si>
  <si>
    <t>Sdr Starup Bu</t>
  </si>
  <si>
    <t>570715000000034732</t>
  </si>
  <si>
    <t>Tarp by, Ende</t>
  </si>
  <si>
    <t>570715000000034862</t>
  </si>
  <si>
    <t>Sdr Starup By</t>
  </si>
  <si>
    <t>570715000000024108</t>
  </si>
  <si>
    <t>NM 600/150/48</t>
  </si>
  <si>
    <t>Ravnholt by</t>
  </si>
  <si>
    <t>NEG Micon NM 600/150/48</t>
  </si>
  <si>
    <t>570715000000024115</t>
  </si>
  <si>
    <t>2adel3</t>
  </si>
  <si>
    <t>570715000000024122</t>
  </si>
  <si>
    <t>2adel2</t>
  </si>
  <si>
    <t>570715000000024139</t>
  </si>
  <si>
    <t>Vester Gesten by</t>
  </si>
  <si>
    <t>570715000000024146</t>
  </si>
  <si>
    <t>1aq</t>
  </si>
  <si>
    <t>570715000000024153</t>
  </si>
  <si>
    <t>Gesten</t>
  </si>
  <si>
    <t>570715000000024160</t>
  </si>
  <si>
    <t>11e</t>
  </si>
  <si>
    <t>570715000000024184</t>
  </si>
  <si>
    <t>NM 600/48</t>
  </si>
  <si>
    <t>Skødegård</t>
  </si>
  <si>
    <t>1be</t>
  </si>
  <si>
    <t>NEG Micon NM 600/48</t>
  </si>
  <si>
    <t>570715000000024191</t>
  </si>
  <si>
    <t>570715000000034039</t>
  </si>
  <si>
    <t>Cockie M/C2</t>
  </si>
  <si>
    <t>Tirslund By</t>
  </si>
  <si>
    <t>BONUS Cockie M/C2</t>
  </si>
  <si>
    <t>570715000000034510</t>
  </si>
  <si>
    <t>Sekær Gde</t>
  </si>
  <si>
    <t>570715000000034527</t>
  </si>
  <si>
    <t>Stenderup by</t>
  </si>
  <si>
    <t>570715000000034657</t>
  </si>
  <si>
    <t>570715000000035005</t>
  </si>
  <si>
    <t>570715000000035647</t>
  </si>
  <si>
    <t>Sønderager</t>
  </si>
  <si>
    <t>570715000000047893</t>
  </si>
  <si>
    <t>570715000000045431</t>
  </si>
  <si>
    <t>570715000000048852</t>
  </si>
  <si>
    <t>WKA</t>
  </si>
  <si>
    <t>570715000000049545</t>
  </si>
  <si>
    <t>Holbøl sogn</t>
  </si>
  <si>
    <t>570715000000049972</t>
  </si>
  <si>
    <t>Vilsbæk, Holbøl</t>
  </si>
  <si>
    <t>570715000000049989</t>
  </si>
  <si>
    <t>570715000000049996</t>
  </si>
  <si>
    <t>570715000000050060</t>
  </si>
  <si>
    <t>Vollerup Bjolderup</t>
  </si>
  <si>
    <t>570715000000050077</t>
  </si>
  <si>
    <t>Hjolderup</t>
  </si>
  <si>
    <t>570715000000050169</t>
  </si>
  <si>
    <t>570715000000027376</t>
  </si>
  <si>
    <t>Stallerup by, Bredstrup</t>
  </si>
  <si>
    <t>570715000000027383</t>
  </si>
  <si>
    <t>570715000000025228</t>
  </si>
  <si>
    <t>0,6 MW - 690 V</t>
  </si>
  <si>
    <t>Hatting By, Hatting</t>
  </si>
  <si>
    <t>BONUS 0,6 MW - 690 V</t>
  </si>
  <si>
    <t>570715000000050688</t>
  </si>
  <si>
    <t>Seggelund, Christiansfeld</t>
  </si>
  <si>
    <t>570715000000050695</t>
  </si>
  <si>
    <t>Vedsted</t>
  </si>
  <si>
    <t>570715000000025754</t>
  </si>
  <si>
    <t>Ulkind by, Ringive</t>
  </si>
  <si>
    <t>570715000000025761</t>
  </si>
  <si>
    <t>Ringive</t>
  </si>
  <si>
    <t>570715000000025778</t>
  </si>
  <si>
    <t>Farre by</t>
  </si>
  <si>
    <t>570715000000025785</t>
  </si>
  <si>
    <t>Sillesthoved</t>
  </si>
  <si>
    <t>2b m.fl</t>
  </si>
  <si>
    <t>570715000000025822</t>
  </si>
  <si>
    <t>570715000000025877</t>
  </si>
  <si>
    <t>Oksenbjerge by</t>
  </si>
  <si>
    <t>570715000000025884</t>
  </si>
  <si>
    <t>Give by, Give</t>
  </si>
  <si>
    <t>570715000000025891</t>
  </si>
  <si>
    <t>Lønå by</t>
  </si>
  <si>
    <t>570715000000026034</t>
  </si>
  <si>
    <t>Østerhoved, Givskud</t>
  </si>
  <si>
    <t>570715000000026157</t>
  </si>
  <si>
    <t>570715000000055799</t>
  </si>
  <si>
    <t>Tofthøj Gadbjerg</t>
  </si>
  <si>
    <t>60-195</t>
  </si>
  <si>
    <t>570715000000044533</t>
  </si>
  <si>
    <t>Stovbæk Aulum</t>
  </si>
  <si>
    <t>570715000000044540</t>
  </si>
  <si>
    <t>Trøstrupgaard</t>
  </si>
  <si>
    <t>570715000000044564</t>
  </si>
  <si>
    <t>Asbjerg By, Sinding</t>
  </si>
  <si>
    <t>570715000000044571</t>
  </si>
  <si>
    <t>Blindkilde, Vinding</t>
  </si>
  <si>
    <t>570715000000044595</t>
  </si>
  <si>
    <t>570715000000044618</t>
  </si>
  <si>
    <t>570715000000044632</t>
  </si>
  <si>
    <t>570715000000044649</t>
  </si>
  <si>
    <t>570715000000044830</t>
  </si>
  <si>
    <t>Tovstrup By, Snejbjerg</t>
  </si>
  <si>
    <t>570715000000044847</t>
  </si>
  <si>
    <t>570715000000044854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</si>
  <si>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</si>
  <si>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</si>
  <si>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</si>
  <si>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</si>
  <si>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</si>
  <si>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</si>
  <si>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</si>
  <si>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Den sydøstlige Del, Mejrup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</si>
  <si>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</si>
  <si>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</si>
  <si>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</si>
  <si>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</si>
  <si>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</si>
  <si>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</si>
  <si>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9p</t>
  </si>
  <si>
    <t>570715000000038334</t>
  </si>
  <si>
    <t>9q</t>
  </si>
  <si>
    <t>570715000000038341</t>
  </si>
  <si>
    <t>8p</t>
  </si>
  <si>
    <t>570715000000038358</t>
  </si>
  <si>
    <t>8t</t>
  </si>
  <si>
    <t>570715000000038365</t>
  </si>
  <si>
    <t>570715000000038372</t>
  </si>
  <si>
    <t>570715000000038389</t>
  </si>
  <si>
    <t>17g</t>
  </si>
  <si>
    <t>570715000000038396</t>
  </si>
  <si>
    <t>570715000000038402</t>
  </si>
  <si>
    <t>17i</t>
  </si>
  <si>
    <t>570715000000038419</t>
  </si>
  <si>
    <t>570715000000038648</t>
  </si>
  <si>
    <t>570715000000043604</t>
  </si>
  <si>
    <t>Rydhave Hgd., Ryde</t>
  </si>
  <si>
    <t>1bø</t>
  </si>
  <si>
    <t>570715000000043611</t>
  </si>
  <si>
    <t>570715000000043628</t>
  </si>
  <si>
    <t>570715000000037108</t>
  </si>
  <si>
    <t>Den sydlige Del, Harboøre</t>
  </si>
  <si>
    <t>155b</t>
  </si>
  <si>
    <t>570715000000037603</t>
  </si>
  <si>
    <t>570715000000037818</t>
  </si>
  <si>
    <t>Bækmark Hovedgård, Flynder</t>
  </si>
  <si>
    <t>49x</t>
  </si>
  <si>
    <t>570715000000037825</t>
  </si>
  <si>
    <t>49y</t>
  </si>
  <si>
    <t>570715000000037832</t>
  </si>
  <si>
    <t>49z</t>
  </si>
  <si>
    <t>570715000000037948</t>
  </si>
  <si>
    <t>Brørup By, Bøvling</t>
  </si>
  <si>
    <t>570715000000037955</t>
  </si>
  <si>
    <t>570715000000037979</t>
  </si>
  <si>
    <t>42r</t>
  </si>
  <si>
    <t>570715000000037986</t>
  </si>
  <si>
    <t>42q</t>
  </si>
  <si>
    <t>570715000000037993</t>
  </si>
  <si>
    <t>42p</t>
  </si>
  <si>
    <t>570715000000038433</t>
  </si>
  <si>
    <t>7ai</t>
  </si>
  <si>
    <t>570715000000038440</t>
  </si>
  <si>
    <t>7ad</t>
  </si>
  <si>
    <t>570715000000038457</t>
  </si>
  <si>
    <t>17aa</t>
  </si>
  <si>
    <t>570715000000038464</t>
  </si>
  <si>
    <t>7ak</t>
  </si>
  <si>
    <t>570715000000038471</t>
  </si>
  <si>
    <t>7al</t>
  </si>
  <si>
    <t>570715000000038662</t>
  </si>
  <si>
    <t>Klosterheden, Gudum</t>
  </si>
  <si>
    <t>570715000000038679</t>
  </si>
  <si>
    <t>Den sydlige Del, Gudum</t>
  </si>
  <si>
    <t>570715000000038686</t>
  </si>
  <si>
    <t>570715000000038693</t>
  </si>
  <si>
    <t>den sydlige del, Gudum</t>
  </si>
  <si>
    <t>22m</t>
  </si>
  <si>
    <t>570715000000038013</t>
  </si>
  <si>
    <t>Den mellemste Del, Vejrum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</si>
  <si>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</si>
  <si>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</si>
  <si>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</si>
  <si>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</si>
  <si>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</si>
  <si>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</si>
  <si>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</si>
  <si>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570715000000021466</t>
  </si>
  <si>
    <t>Halling by, Halling</t>
  </si>
  <si>
    <t>570715000000021473</t>
  </si>
  <si>
    <t>570715000000021480</t>
  </si>
  <si>
    <t>570715000000021497</t>
  </si>
  <si>
    <t>5r</t>
  </si>
  <si>
    <t>570715000000021503</t>
  </si>
  <si>
    <t>570715000000021695</t>
  </si>
  <si>
    <t>NM 500</t>
  </si>
  <si>
    <t>Vrinners by, Rolsø</t>
  </si>
  <si>
    <t>NEG Micon NM 500</t>
  </si>
  <si>
    <t>570715000000023033</t>
  </si>
  <si>
    <t>Boeslum by, Dråby</t>
  </si>
  <si>
    <t>570715000000019739</t>
  </si>
  <si>
    <t>570715000000019746</t>
  </si>
  <si>
    <t>570715000000019753</t>
  </si>
  <si>
    <t>570715000000021510</t>
  </si>
  <si>
    <t>Fævejle Hgd. Lyngby</t>
  </si>
  <si>
    <t>570715000000021527</t>
  </si>
  <si>
    <t>Søby by, Søby</t>
  </si>
  <si>
    <t>570715000000021534</t>
  </si>
  <si>
    <t>Allerlev by, Lyngby</t>
  </si>
  <si>
    <t>570715000000021893</t>
  </si>
  <si>
    <t>Bønnerup Havnemole</t>
  </si>
  <si>
    <t>20n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</si>
  <si>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</si>
  <si>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</si>
  <si>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</si>
  <si>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</si>
  <si>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</si>
  <si>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</si>
  <si>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570715000000022647</t>
  </si>
  <si>
    <t>Obdrup by, Lyngby</t>
  </si>
  <si>
    <t>570715000000022654</t>
  </si>
  <si>
    <t>570715000000022661</t>
  </si>
  <si>
    <t>570715000000022678</t>
  </si>
  <si>
    <t>570715000000022685</t>
  </si>
  <si>
    <t>570715000000022784</t>
  </si>
  <si>
    <t>Skindbjerg by, Kastbjerg</t>
  </si>
  <si>
    <t>570715000000022791</t>
  </si>
  <si>
    <t>570715000000022807</t>
  </si>
  <si>
    <t>Kastbjerg by, Kastbjerg</t>
  </si>
  <si>
    <t>570715000000022821</t>
  </si>
  <si>
    <t>Veggerslev by, Veggerslev</t>
  </si>
  <si>
    <t>570715000000022838</t>
  </si>
  <si>
    <t>570715000000022845</t>
  </si>
  <si>
    <t>570715000000019845</t>
  </si>
  <si>
    <t>M 600/48</t>
  </si>
  <si>
    <t>Røved By, Ødum</t>
  </si>
  <si>
    <t>Micon M 600/48</t>
  </si>
  <si>
    <t>570715000000019852</t>
  </si>
  <si>
    <t>Astrup By, Ødum</t>
  </si>
  <si>
    <t>570715000000019869</t>
  </si>
  <si>
    <t>Ødum By, Ødum</t>
  </si>
  <si>
    <t>570715000000022708</t>
  </si>
  <si>
    <t>Røved by, Ødum</t>
  </si>
  <si>
    <t>20m</t>
  </si>
  <si>
    <t>570715000000022715</t>
  </si>
  <si>
    <t>20l</t>
  </si>
  <si>
    <t>570715000000022722</t>
  </si>
  <si>
    <t>570715000000026669</t>
  </si>
  <si>
    <t>Hadrup by, Hundslund</t>
  </si>
  <si>
    <t>570715000000026942</t>
  </si>
  <si>
    <t>570715000000026959</t>
  </si>
  <si>
    <t>570715000000019487</t>
  </si>
  <si>
    <t>Albæk By, Albæk</t>
  </si>
  <si>
    <t>12x</t>
  </si>
  <si>
    <t>570715000000019494</t>
  </si>
  <si>
    <t>12y</t>
  </si>
  <si>
    <t>570715000000019500</t>
  </si>
  <si>
    <t>12z</t>
  </si>
  <si>
    <t>570715000000019517</t>
  </si>
  <si>
    <t>12æ</t>
  </si>
  <si>
    <t>570715000000019524</t>
  </si>
  <si>
    <t>12ø</t>
  </si>
  <si>
    <t>570715000000019548</t>
  </si>
  <si>
    <t>Vestrup By, Albæk</t>
  </si>
  <si>
    <t>570715000000019555</t>
  </si>
  <si>
    <t>570715000000019562</t>
  </si>
  <si>
    <t>570715000000019579</t>
  </si>
  <si>
    <t>570715000000019593</t>
  </si>
  <si>
    <t>Lindbjerg By, Harridslev</t>
  </si>
  <si>
    <t>5ø</t>
  </si>
  <si>
    <t>570715000000019609</t>
  </si>
  <si>
    <t>M 600/150</t>
  </si>
  <si>
    <t>Micon M 600/150</t>
  </si>
  <si>
    <t>570715000000019616</t>
  </si>
  <si>
    <t>570715000000019623</t>
  </si>
  <si>
    <t>M 1800-600</t>
  </si>
  <si>
    <t>9n</t>
  </si>
  <si>
    <t>Micon M 1800-600</t>
  </si>
  <si>
    <t>570715000000019630</t>
  </si>
  <si>
    <t>570715000000019883</t>
  </si>
  <si>
    <t>Tebbestrup By</t>
  </si>
  <si>
    <t>570715000000019890</t>
  </si>
  <si>
    <t>NM 600/48/45</t>
  </si>
  <si>
    <t>NEG Micon NM 600/48/45</t>
  </si>
  <si>
    <t>570715000000019906</t>
  </si>
  <si>
    <t>570715000000013720</t>
  </si>
  <si>
    <t>570715000000013812</t>
  </si>
  <si>
    <t>Levring By</t>
  </si>
  <si>
    <t>570715000000013829</t>
  </si>
  <si>
    <t>570715000000013836</t>
  </si>
  <si>
    <t>570715000000014925</t>
  </si>
  <si>
    <t>570715000000014932</t>
  </si>
  <si>
    <t>Grølsted by</t>
  </si>
  <si>
    <t>570715000000014949</t>
  </si>
  <si>
    <t>7c</t>
  </si>
  <si>
    <t>570715000000014956</t>
  </si>
  <si>
    <t>NM 600/150</t>
  </si>
  <si>
    <t>NEG Micon NM 600/150</t>
  </si>
  <si>
    <t>570715000000014963</t>
  </si>
  <si>
    <t>570715000000014970</t>
  </si>
  <si>
    <t>570715000000014987</t>
  </si>
  <si>
    <t>Gjern By</t>
  </si>
  <si>
    <t>570715000000014994</t>
  </si>
  <si>
    <t>570715000000021572</t>
  </si>
  <si>
    <t>Vorre by, Skødstrup</t>
  </si>
  <si>
    <t>570715000000021589</t>
  </si>
  <si>
    <t>570715000000021596</t>
  </si>
  <si>
    <t>570715000000014710</t>
  </si>
  <si>
    <t>Rønkilde Gde, Bording</t>
  </si>
  <si>
    <t>570715000000014727</t>
  </si>
  <si>
    <t>Guldforhoved</t>
  </si>
  <si>
    <t>570715000000014734</t>
  </si>
  <si>
    <t>Rønkildegård</t>
  </si>
  <si>
    <t>570715000000034367</t>
  </si>
  <si>
    <t>Sdr. Bork</t>
  </si>
  <si>
    <t>570715000000034374</t>
  </si>
  <si>
    <t>570715000000034381</t>
  </si>
  <si>
    <t>193b</t>
  </si>
  <si>
    <t>570715000000034398</t>
  </si>
  <si>
    <t>570715000000034404</t>
  </si>
  <si>
    <t>570715000000034411</t>
  </si>
  <si>
    <t>199a</t>
  </si>
  <si>
    <t>570715000000034428</t>
  </si>
  <si>
    <t>193c</t>
  </si>
  <si>
    <t>570715000000034435</t>
  </si>
  <si>
    <t>570715000000034442</t>
  </si>
  <si>
    <t>570715000000034459</t>
  </si>
  <si>
    <t>570715000000034466</t>
  </si>
  <si>
    <t>570715000000034473</t>
  </si>
  <si>
    <t>43l</t>
  </si>
  <si>
    <t>570715000000034480</t>
  </si>
  <si>
    <t>570715000000034497</t>
  </si>
  <si>
    <t>570715000000034534</t>
  </si>
  <si>
    <t>570715000000034664</t>
  </si>
  <si>
    <t>570715000000034671</t>
  </si>
  <si>
    <t>570715000000035500</t>
  </si>
  <si>
    <t>Bork by</t>
  </si>
  <si>
    <t>570715000000035517</t>
  </si>
  <si>
    <t>570715000000043697</t>
  </si>
  <si>
    <t>Den Østlige Del, Nr. Vium, Videbæk Kommune</t>
  </si>
  <si>
    <t>14s</t>
  </si>
  <si>
    <t>570715000000026454</t>
  </si>
  <si>
    <t>Agersbøl, Sindbjerg</t>
  </si>
  <si>
    <t>570715000000026461</t>
  </si>
  <si>
    <t>V.Ørum</t>
  </si>
  <si>
    <t>570715000000026485</t>
  </si>
  <si>
    <t>Stougaard Hovedgaard</t>
  </si>
  <si>
    <t>570715000000026492</t>
  </si>
  <si>
    <t>570715000000026508</t>
  </si>
  <si>
    <t>Stougaard HovedgaardTørring sogn</t>
  </si>
  <si>
    <t>570715000000026539</t>
  </si>
  <si>
    <t>Kalhave by, Hornborg</t>
  </si>
  <si>
    <t>7ac</t>
  </si>
  <si>
    <t>570715000000026546</t>
  </si>
  <si>
    <t>570715000000026645</t>
  </si>
  <si>
    <t>570715000000026652</t>
  </si>
  <si>
    <t>570715000000028458</t>
  </si>
  <si>
    <t>Vejerslev</t>
  </si>
  <si>
    <t>570715000000028465</t>
  </si>
  <si>
    <t>570715000000028472</t>
  </si>
  <si>
    <t>570715000000017261</t>
  </si>
  <si>
    <t>Ilbjerg by, Rybjerg</t>
  </si>
  <si>
    <t>570715000000017759</t>
  </si>
  <si>
    <t>570715000000017766</t>
  </si>
  <si>
    <t>570715000000017773</t>
  </si>
  <si>
    <t>570715000000017780</t>
  </si>
  <si>
    <t>Vejby by, Vejby</t>
  </si>
  <si>
    <t>570715000000017803</t>
  </si>
  <si>
    <t>570715000000017810</t>
  </si>
  <si>
    <t>Jebjerg</t>
  </si>
  <si>
    <t>570715000000017827</t>
  </si>
  <si>
    <t>Nr. Lem By, Lem</t>
  </si>
  <si>
    <t>570715000000017834</t>
  </si>
  <si>
    <t>Rybjerg</t>
  </si>
  <si>
    <t>570715000000017858</t>
  </si>
  <si>
    <t>9v</t>
  </si>
  <si>
    <t>570715000000017865</t>
  </si>
  <si>
    <t>570715000000017896</t>
  </si>
  <si>
    <t>Otting by, Otting</t>
  </si>
  <si>
    <t>570715000000017902</t>
  </si>
  <si>
    <t>W 4200-600</t>
  </si>
  <si>
    <t>Hgd. Grinderslev</t>
  </si>
  <si>
    <t>Wind World W 4200-600</t>
  </si>
  <si>
    <t>570715000000017919</t>
  </si>
  <si>
    <t>570715000000017926</t>
  </si>
  <si>
    <t>Oddense</t>
  </si>
  <si>
    <t>570715000000017940</t>
  </si>
  <si>
    <t>Skove by, Junget</t>
  </si>
  <si>
    <t>2d m.fl</t>
  </si>
  <si>
    <t>570715000000017957</t>
  </si>
  <si>
    <t>570715000000017964</t>
  </si>
  <si>
    <t>Grinderslev, Rærup</t>
  </si>
  <si>
    <t>570715000000018008</t>
  </si>
  <si>
    <t>570715000000018015</t>
  </si>
  <si>
    <t>570715000000018022</t>
  </si>
  <si>
    <t>570715000000018039</t>
  </si>
  <si>
    <t>570715000000018046</t>
  </si>
  <si>
    <t>Hovedgård</t>
  </si>
  <si>
    <t>570715000000018053</t>
  </si>
  <si>
    <t>570715000000018060</t>
  </si>
  <si>
    <t>570715000000018077</t>
  </si>
  <si>
    <t>43a m.f</t>
  </si>
  <si>
    <t>570715000000018107</t>
  </si>
  <si>
    <t>570715000000018169</t>
  </si>
  <si>
    <t>Gust by, Balling</t>
  </si>
  <si>
    <t>570715000000018190</t>
  </si>
  <si>
    <t>570715000000018206</t>
  </si>
  <si>
    <t>570715000000018374</t>
  </si>
  <si>
    <t>570715000000018459</t>
  </si>
  <si>
    <t>570715000000018480</t>
  </si>
  <si>
    <t>Ø. Grønning By, Grønning</t>
  </si>
  <si>
    <t>570715000000018497</t>
  </si>
  <si>
    <t>570715000000018503</t>
  </si>
  <si>
    <t>570714700000000041</t>
  </si>
  <si>
    <t>KE 547775</t>
  </si>
  <si>
    <t>570714700000000058</t>
  </si>
  <si>
    <t>KE 547777</t>
  </si>
  <si>
    <t>570714700000000065</t>
  </si>
  <si>
    <t>KE 547778</t>
  </si>
  <si>
    <t>570714700000005206</t>
  </si>
  <si>
    <t>KE547781</t>
  </si>
  <si>
    <t>570714700000012150</t>
  </si>
  <si>
    <t>KE547783</t>
  </si>
  <si>
    <t>570714700000012167</t>
  </si>
  <si>
    <t>KE547785</t>
  </si>
  <si>
    <t>570714700000012174</t>
  </si>
  <si>
    <t>KE547787</t>
  </si>
  <si>
    <t>570714700000003691</t>
  </si>
  <si>
    <t>Frederikssund</t>
  </si>
  <si>
    <t>Onsved By, Skuldelev Sogn</t>
  </si>
  <si>
    <t>84-8617</t>
  </si>
  <si>
    <t>570714700000014345</t>
  </si>
  <si>
    <t>570714700000010897</t>
  </si>
  <si>
    <t>Stenkelstrup, Ejby</t>
  </si>
  <si>
    <t>570715000000005725</t>
  </si>
  <si>
    <t>Nørtorp Ræhr</t>
  </si>
  <si>
    <t>570715000000005732</t>
  </si>
  <si>
    <t>570715000000005749</t>
  </si>
  <si>
    <t>Ræhr By</t>
  </si>
  <si>
    <t>570715000000005756</t>
  </si>
  <si>
    <t>570715000000005763</t>
  </si>
  <si>
    <t>570715000000005787</t>
  </si>
  <si>
    <t>570715000000006029</t>
  </si>
  <si>
    <t>Hillerslev</t>
  </si>
  <si>
    <t>570715000000006050</t>
  </si>
  <si>
    <t>Sønderby By, Tved</t>
  </si>
  <si>
    <t>33h</t>
  </si>
  <si>
    <t>570715000000006081</t>
  </si>
  <si>
    <t>570715000000006098</t>
  </si>
  <si>
    <t>570714700000005213</t>
  </si>
  <si>
    <t>Darup</t>
  </si>
  <si>
    <t>570714700000012495</t>
  </si>
  <si>
    <t>Gribskov</t>
  </si>
  <si>
    <t>Mønge By, Vejby</t>
  </si>
  <si>
    <t>95-14792</t>
  </si>
  <si>
    <t>570715000000031212</t>
  </si>
  <si>
    <t>Vestervig</t>
  </si>
  <si>
    <t>570715000000031229</t>
  </si>
  <si>
    <t>Sperring by</t>
  </si>
  <si>
    <t>570715000000031236</t>
  </si>
  <si>
    <t>Abildgård</t>
  </si>
  <si>
    <t>570715000000031243</t>
  </si>
  <si>
    <t>570715000000031250</t>
  </si>
  <si>
    <t>570715000000031267</t>
  </si>
  <si>
    <t>570715000000031274</t>
  </si>
  <si>
    <t>Gørup By</t>
  </si>
  <si>
    <t>570715000000031281</t>
  </si>
  <si>
    <t>Harring by</t>
  </si>
  <si>
    <t>570715000000031298</t>
  </si>
  <si>
    <t>570715000000031304</t>
  </si>
  <si>
    <t>570715000000031311</t>
  </si>
  <si>
    <t>Elsted by</t>
  </si>
  <si>
    <t>570715000000031328</t>
  </si>
  <si>
    <t>570715000000031335</t>
  </si>
  <si>
    <t>Refs by</t>
  </si>
  <si>
    <t>570715000000031359</t>
  </si>
  <si>
    <t>Hundborg</t>
  </si>
  <si>
    <t>570715000000031366</t>
  </si>
  <si>
    <t>570715000000031373</t>
  </si>
  <si>
    <t>570715000000031380</t>
  </si>
  <si>
    <t>570715000000031403</t>
  </si>
  <si>
    <t>570715000000031458</t>
  </si>
  <si>
    <t>570715000000031496</t>
  </si>
  <si>
    <t>Stathove</t>
  </si>
  <si>
    <t>570715000000031502</t>
  </si>
  <si>
    <t>570715000000031519</t>
  </si>
  <si>
    <t>570715000000031526</t>
  </si>
  <si>
    <t>570715000000031533</t>
  </si>
  <si>
    <t>570715000000031540</t>
  </si>
  <si>
    <t>570715000000031557</t>
  </si>
  <si>
    <t>570715000000031564</t>
  </si>
  <si>
    <t>570715000000031571</t>
  </si>
  <si>
    <t>570715000000031601</t>
  </si>
  <si>
    <t>570715000000031625</t>
  </si>
  <si>
    <t>Sønderhå</t>
  </si>
  <si>
    <t>570715000000031632</t>
  </si>
  <si>
    <t>570715000000031649</t>
  </si>
  <si>
    <t>Hørsted</t>
  </si>
  <si>
    <t>570715000000031656</t>
  </si>
  <si>
    <t>570715000000031878</t>
  </si>
  <si>
    <t>Kobberø by</t>
  </si>
  <si>
    <t>570715000000045059</t>
  </si>
  <si>
    <t>Ullerup By, Heltborg</t>
  </si>
  <si>
    <t>570715000000045066</t>
  </si>
  <si>
    <t>570715000000013874</t>
  </si>
  <si>
    <t>Elsborg By, Elsborg</t>
  </si>
  <si>
    <t>570715000000018084</t>
  </si>
  <si>
    <t>Smollerup</t>
  </si>
  <si>
    <t>570715000000018091</t>
  </si>
  <si>
    <t>Rørgård, Smollerup</t>
  </si>
  <si>
    <t>570715000000018114</t>
  </si>
  <si>
    <t>Vroue By, Vroue</t>
  </si>
  <si>
    <t>570715000000002663</t>
  </si>
  <si>
    <t>Skærum By, Skærum</t>
  </si>
  <si>
    <t>0503-0610</t>
  </si>
  <si>
    <t>570715000000002670</t>
  </si>
  <si>
    <t>0503-0612</t>
  </si>
  <si>
    <t>570715000000002977</t>
  </si>
  <si>
    <t>Eget Hgd., Skærum</t>
  </si>
  <si>
    <t>0901-0910</t>
  </si>
  <si>
    <t>570715000000009785</t>
  </si>
  <si>
    <t>NTK 600/43/50</t>
  </si>
  <si>
    <t>Morum by</t>
  </si>
  <si>
    <t>Nordtank NTK 600/43/50</t>
  </si>
  <si>
    <t>570715000000009792</t>
  </si>
  <si>
    <t>570715000000009808</t>
  </si>
  <si>
    <t>Pisselhøj by</t>
  </si>
  <si>
    <t>570715000000009815</t>
  </si>
  <si>
    <t>570715000000009822</t>
  </si>
  <si>
    <t>Vestrup by</t>
  </si>
  <si>
    <t>570715000000010019</t>
  </si>
  <si>
    <t>Svingelbjerg by</t>
  </si>
  <si>
    <t>570715000000010026</t>
  </si>
  <si>
    <t>10æ</t>
  </si>
  <si>
    <t>570715000000010033</t>
  </si>
  <si>
    <t>10ø</t>
  </si>
  <si>
    <t>570715000000010040</t>
  </si>
  <si>
    <t>10aa</t>
  </si>
  <si>
    <t>570715000000010057</t>
  </si>
  <si>
    <t>10ab</t>
  </si>
  <si>
    <t>570715000000010064</t>
  </si>
  <si>
    <t>10ac</t>
  </si>
  <si>
    <t>570715000000010088</t>
  </si>
  <si>
    <t>4y</t>
  </si>
  <si>
    <t>570715000000010095</t>
  </si>
  <si>
    <t>570715000000010118</t>
  </si>
  <si>
    <t>570715000000010170</t>
  </si>
  <si>
    <t>Brøndum by</t>
  </si>
  <si>
    <t>570715000000009730</t>
  </si>
  <si>
    <t>Sørup by</t>
  </si>
  <si>
    <t>9r</t>
  </si>
  <si>
    <t>570715000000009747</t>
  </si>
  <si>
    <t>570715000000009754</t>
  </si>
  <si>
    <t>9t</t>
  </si>
  <si>
    <t>570715000000009761</t>
  </si>
  <si>
    <t>570715000000009778</t>
  </si>
  <si>
    <t>570715000000009938</t>
  </si>
  <si>
    <t>Abildgårde</t>
  </si>
  <si>
    <t>570715000000009945</t>
  </si>
  <si>
    <t>570715000000009952</t>
  </si>
  <si>
    <t>570715000000009488</t>
  </si>
  <si>
    <t>Ø. Doense by</t>
  </si>
  <si>
    <t>4ao</t>
  </si>
  <si>
    <t>570715000000009495</t>
  </si>
  <si>
    <t>570715000000009549</t>
  </si>
  <si>
    <t>Stenstrup by</t>
  </si>
  <si>
    <t>570715000000009556</t>
  </si>
  <si>
    <t>570715000000009563</t>
  </si>
  <si>
    <t>Redsø by</t>
  </si>
  <si>
    <t>7o</t>
  </si>
  <si>
    <t>570715000000009570</t>
  </si>
  <si>
    <t>570715000000009594</t>
  </si>
  <si>
    <t>Høndrup by</t>
  </si>
  <si>
    <t>570715000000009600</t>
  </si>
  <si>
    <t>570715000000009617</t>
  </si>
  <si>
    <t>570715000000009624</t>
  </si>
  <si>
    <t>570715000000009631</t>
  </si>
  <si>
    <t>570715000000009969</t>
  </si>
  <si>
    <t>19o</t>
  </si>
  <si>
    <t>570715000000009976</t>
  </si>
  <si>
    <t>19p</t>
  </si>
  <si>
    <t>570715000000009983</t>
  </si>
  <si>
    <t>Fragdrup by</t>
  </si>
  <si>
    <t>570715000000009990</t>
  </si>
  <si>
    <t>570715000000000904</t>
  </si>
  <si>
    <t>Åby by,Åby</t>
  </si>
  <si>
    <t>25c</t>
  </si>
  <si>
    <t>484/88064</t>
  </si>
  <si>
    <t>570715000000001048</t>
  </si>
  <si>
    <t>4911/88073</t>
  </si>
  <si>
    <t>570715000000001055</t>
  </si>
  <si>
    <t>4911/88074</t>
  </si>
  <si>
    <t>570715000000001086</t>
  </si>
  <si>
    <t>4914/88076</t>
  </si>
  <si>
    <t>570715000000001093</t>
  </si>
  <si>
    <t>4914/88068</t>
  </si>
  <si>
    <t>570715000000001109</t>
  </si>
  <si>
    <t>4914/88075</t>
  </si>
  <si>
    <t>570715000000001116</t>
  </si>
  <si>
    <t>4914/88070</t>
  </si>
  <si>
    <t>570715000000001123</t>
  </si>
  <si>
    <t>4914/88069</t>
  </si>
  <si>
    <t>570715000000001130</t>
  </si>
  <si>
    <t>Langeslund Brovst</t>
  </si>
  <si>
    <t>1vb</t>
  </si>
  <si>
    <t>4914/88071</t>
  </si>
  <si>
    <t>570715000000001147</t>
  </si>
  <si>
    <t>1va</t>
  </si>
  <si>
    <t>4914/88072</t>
  </si>
  <si>
    <t>570715000000004483</t>
  </si>
  <si>
    <t>94g</t>
  </si>
  <si>
    <t>570715000000004490</t>
  </si>
  <si>
    <t>94h</t>
  </si>
  <si>
    <t>570715000000004506</t>
  </si>
  <si>
    <t>570715000000004513</t>
  </si>
  <si>
    <t>106a</t>
  </si>
  <si>
    <t>570715000000004520</t>
  </si>
  <si>
    <t>105d</t>
  </si>
  <si>
    <t>570715000000004537</t>
  </si>
  <si>
    <t>105e</t>
  </si>
  <si>
    <t>570715000000004544</t>
  </si>
  <si>
    <t>114c</t>
  </si>
  <si>
    <t>570715000000004551</t>
  </si>
  <si>
    <t>570715000000004568</t>
  </si>
  <si>
    <t>117b</t>
  </si>
  <si>
    <t>570715000000004575</t>
  </si>
  <si>
    <t>570715000000004582</t>
  </si>
  <si>
    <t>120b</t>
  </si>
  <si>
    <t>570715000000004599</t>
  </si>
  <si>
    <t>570715000000009709</t>
  </si>
  <si>
    <t>570715000000012600</t>
  </si>
  <si>
    <t>Ajstrup by, Ajstrup</t>
  </si>
  <si>
    <t>70062-01</t>
  </si>
  <si>
    <t>570715000000012617</t>
  </si>
  <si>
    <t>NM 500-500/125</t>
  </si>
  <si>
    <t>Gandrup By, Ø. Hassing</t>
  </si>
  <si>
    <t>11n</t>
  </si>
  <si>
    <t>NEG Micon NM 500-500/125</t>
  </si>
  <si>
    <t>570715000000012624</t>
  </si>
  <si>
    <t>570715000000012716</t>
  </si>
  <si>
    <t>Ajstrup, Ajstrup</t>
  </si>
  <si>
    <t>70071-01</t>
  </si>
  <si>
    <t>570715000000012723</t>
  </si>
  <si>
    <t>Sindholt, Ajstruo sogn</t>
  </si>
  <si>
    <t>70072-01</t>
  </si>
  <si>
    <t>570715000000012730</t>
  </si>
  <si>
    <t>70073-01</t>
  </si>
  <si>
    <t>570715000000012754</t>
  </si>
  <si>
    <t>Tylstrup By, Ajstrup</t>
  </si>
  <si>
    <t>17bi</t>
  </si>
  <si>
    <t>570715000000012761</t>
  </si>
  <si>
    <t>17bx</t>
  </si>
  <si>
    <t>570715000000012778</t>
  </si>
  <si>
    <t>18cæ</t>
  </si>
  <si>
    <t>570715000000012785</t>
  </si>
  <si>
    <t>18ck</t>
  </si>
  <si>
    <t>570715000000012792</t>
  </si>
  <si>
    <t>Sulsted by, Sulsted Sogn</t>
  </si>
  <si>
    <t>8ga</t>
  </si>
  <si>
    <t>570715000000012808</t>
  </si>
  <si>
    <t>18cx</t>
  </si>
  <si>
    <t>570715000000012815</t>
  </si>
  <si>
    <t>3ao</t>
  </si>
  <si>
    <t>570715000000012822</t>
  </si>
  <si>
    <t>570715000000012839</t>
  </si>
  <si>
    <t>3aq</t>
  </si>
  <si>
    <t>570715000000012846</t>
  </si>
  <si>
    <t>570715000000012853</t>
  </si>
  <si>
    <t>19ah</t>
  </si>
  <si>
    <t>570715000000012860</t>
  </si>
  <si>
    <t>3ar</t>
  </si>
  <si>
    <t>570715000000012877</t>
  </si>
  <si>
    <t>570715000000012884</t>
  </si>
  <si>
    <t>Holte By, Tolstrup</t>
  </si>
  <si>
    <t>570715000000012891</t>
  </si>
  <si>
    <t>19v</t>
  </si>
  <si>
    <t>570715000000013379</t>
  </si>
  <si>
    <t>Gåser By, Ø. Hassing</t>
  </si>
  <si>
    <t>2ga</t>
  </si>
  <si>
    <t>74000-01</t>
  </si>
  <si>
    <t>570715000000013386</t>
  </si>
  <si>
    <t>570715000000013393</t>
  </si>
  <si>
    <t>570715000000013409</t>
  </si>
  <si>
    <t>570715000000013416</t>
  </si>
  <si>
    <t>570715000000013423</t>
  </si>
  <si>
    <t>Ø.Hassin, Ø. Hassing</t>
  </si>
  <si>
    <t>570715000000013430</t>
  </si>
  <si>
    <t>570715000000013447</t>
  </si>
  <si>
    <t>570715000000002533</t>
  </si>
  <si>
    <t>Børglumkloster Hgd., Børglum</t>
  </si>
  <si>
    <t>1ae</t>
  </si>
  <si>
    <t>0312-0042</t>
  </si>
  <si>
    <t>570715000000002540</t>
  </si>
  <si>
    <t>0312-0044</t>
  </si>
  <si>
    <t>570715000000002557</t>
  </si>
  <si>
    <t>0312-0046</t>
  </si>
  <si>
    <t>570715000000002564</t>
  </si>
  <si>
    <t>0312-0048</t>
  </si>
  <si>
    <t>570715000000003493</t>
  </si>
  <si>
    <t>Sdr. Bindslev By, Bindslev</t>
  </si>
  <si>
    <t>1110-1000</t>
  </si>
  <si>
    <t>570715000000003509</t>
  </si>
  <si>
    <t>1110-1002</t>
  </si>
  <si>
    <t>570715000000003516</t>
  </si>
  <si>
    <t>1110-1004</t>
  </si>
  <si>
    <t>570715000000003523</t>
  </si>
  <si>
    <t>1110-1006</t>
  </si>
  <si>
    <t>570715000000003530</t>
  </si>
  <si>
    <t>1110-1008</t>
  </si>
  <si>
    <t>570715000000003547</t>
  </si>
  <si>
    <t>1110-1010</t>
  </si>
  <si>
    <t>570714700000013430</t>
  </si>
  <si>
    <t>Norwin</t>
  </si>
  <si>
    <t>N 46 - NH 35</t>
  </si>
  <si>
    <t>Værløse, Fakse</t>
  </si>
  <si>
    <t>Norwin N 46 - NH 35</t>
  </si>
  <si>
    <t>570714700000011825</t>
  </si>
  <si>
    <t>46-ASR-599</t>
  </si>
  <si>
    <t>8 m.fl</t>
  </si>
  <si>
    <t>Norwin 46-ASR-599</t>
  </si>
  <si>
    <t>570714700000011832</t>
  </si>
  <si>
    <t>N 46</t>
  </si>
  <si>
    <t>Norwin N 46</t>
  </si>
  <si>
    <t>570714700000003165</t>
  </si>
  <si>
    <t>NTK 55</t>
  </si>
  <si>
    <t>Gudmandstrup By, Svinninge</t>
  </si>
  <si>
    <t>030-00446</t>
  </si>
  <si>
    <t>Nordtank NTK 55</t>
  </si>
  <si>
    <r>
      <rPr>
        <b val="1"/>
        <sz val="12"/>
        <color indexed="8"/>
        <rFont val="Calibri"/>
      </rPr>
      <t>Nordtank.NTK500</t>
    </r>
  </si>
  <si>
    <t>570714700000003172</t>
  </si>
  <si>
    <t>030-00447</t>
  </si>
  <si>
    <t>570714700000003189</t>
  </si>
  <si>
    <t>570714700000013324</t>
  </si>
  <si>
    <t>Lammefjorden, Hørve</t>
  </si>
  <si>
    <t>570714700000013331</t>
  </si>
  <si>
    <t>570714700000013348</t>
  </si>
  <si>
    <t>570714700000005282</t>
  </si>
  <si>
    <t>Egemarke Hgd., Føllenslev</t>
  </si>
  <si>
    <t>3qx</t>
  </si>
  <si>
    <t>570714700000005299</t>
  </si>
  <si>
    <t>570714700000005305</t>
  </si>
  <si>
    <t>3qv</t>
  </si>
  <si>
    <t>570714700000011177</t>
  </si>
  <si>
    <t>NTK 550</t>
  </si>
  <si>
    <t>Fårdrup By Og Sogn</t>
  </si>
  <si>
    <t>Nordtank NTK 550</t>
  </si>
  <si>
    <t>570714700000011184</t>
  </si>
  <si>
    <t>570714700000011719</t>
  </si>
  <si>
    <t>570714700000005336</t>
  </si>
  <si>
    <t>NTK 500/35</t>
  </si>
  <si>
    <t>Ruds Vedby By, Ruds Vedby</t>
  </si>
  <si>
    <t>Nordtank NTK 500/35</t>
  </si>
  <si>
    <t>570714700000005350</t>
  </si>
  <si>
    <t>570714700000005381</t>
  </si>
  <si>
    <t>570714700000012563</t>
  </si>
  <si>
    <t>570714700000004100</t>
  </si>
  <si>
    <t>Nebbelunde By, Nebbelunde</t>
  </si>
  <si>
    <t>11f</t>
  </si>
  <si>
    <t>570714700000004117</t>
  </si>
  <si>
    <t>11 m.fl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</si>
  <si>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</si>
  <si>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</si>
  <si>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</si>
  <si>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</si>
  <si>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</si>
  <si>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</si>
  <si>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570714700000011146</t>
  </si>
  <si>
    <t>570714700000012310</t>
  </si>
  <si>
    <t>Stokkemarke By Og Sogn</t>
  </si>
  <si>
    <t>570714700000011276</t>
  </si>
  <si>
    <t>Arløse Torp, Førslev</t>
  </si>
  <si>
    <t>570714700000012273</t>
  </si>
  <si>
    <t>570714700000006418</t>
  </si>
  <si>
    <t>Krårup By Våbensted</t>
  </si>
  <si>
    <t>MA12993</t>
  </si>
  <si>
    <t>570714700000006425</t>
  </si>
  <si>
    <t>570714700000006432</t>
  </si>
  <si>
    <t>MA13202</t>
  </si>
  <si>
    <t>570714700000006456</t>
  </si>
  <si>
    <t>MA12994</t>
  </si>
  <si>
    <t>570714700000006463</t>
  </si>
  <si>
    <t>MA13200</t>
  </si>
  <si>
    <t>570714700000006470</t>
  </si>
  <si>
    <t>MA13201</t>
  </si>
  <si>
    <t>570714700000010118</t>
  </si>
  <si>
    <t>6a m.fl</t>
  </si>
  <si>
    <t>570714700000010125</t>
  </si>
  <si>
    <t>570714700000010132</t>
  </si>
  <si>
    <t>570714700000010163</t>
  </si>
  <si>
    <t>Vester Kippinge By, Kippinge</t>
  </si>
  <si>
    <t>14i</t>
  </si>
  <si>
    <t>570714700000010170</t>
  </si>
  <si>
    <t>570714700000010958</t>
  </si>
  <si>
    <t>Skibinge By Og Sogn</t>
  </si>
  <si>
    <t>570714700000010965</t>
  </si>
  <si>
    <t>Enegårde By, Skibinge</t>
  </si>
  <si>
    <t>19d</t>
  </si>
  <si>
    <t>570714700000010972</t>
  </si>
  <si>
    <t>570715000000046537</t>
  </si>
  <si>
    <t>W 3700</t>
  </si>
  <si>
    <t>Hedegård</t>
  </si>
  <si>
    <t>Wind World W 3700</t>
  </si>
  <si>
    <t>Wind.World.W3700</t>
  </si>
  <si>
    <t>570715000000046544</t>
  </si>
  <si>
    <t>570715000000046551</t>
  </si>
  <si>
    <t>570715000000026706</t>
  </si>
  <si>
    <t>W 3700-500</t>
  </si>
  <si>
    <t>Tørring By og Sogn</t>
  </si>
  <si>
    <t>Wind World W 3700-500</t>
  </si>
  <si>
    <t>570714700000009938</t>
  </si>
  <si>
    <t>Højelse</t>
  </si>
  <si>
    <t>570714700000009945</t>
  </si>
  <si>
    <t>570714700000005107</t>
  </si>
  <si>
    <t>NTK 55/41</t>
  </si>
  <si>
    <t>Hågendrup by, Melby</t>
  </si>
  <si>
    <t>87-7435</t>
  </si>
  <si>
    <t>Nordtank NTK 55/41</t>
  </si>
  <si>
    <t>570714700000005114</t>
  </si>
  <si>
    <t>87-7437</t>
  </si>
  <si>
    <t>570714700000005121</t>
  </si>
  <si>
    <t>87-7439</t>
  </si>
  <si>
    <t>570714700000005138</t>
  </si>
  <si>
    <t>87-7441</t>
  </si>
  <si>
    <t>570714700000004513</t>
  </si>
  <si>
    <t>Brordrup</t>
  </si>
  <si>
    <t>33-8118</t>
  </si>
  <si>
    <t>570715000000009464</t>
  </si>
  <si>
    <t>570715000000009471</t>
  </si>
  <si>
    <t>570714700000000881</t>
  </si>
  <si>
    <t>V 39-500</t>
  </si>
  <si>
    <t>Vestas Wind Systems A/S V 39-500</t>
  </si>
  <si>
    <t>Vestas.V39.500</t>
  </si>
  <si>
    <t>570714700000000898</t>
  </si>
  <si>
    <t>003-00206</t>
  </si>
  <si>
    <t>570714700000000904</t>
  </si>
  <si>
    <t>570714700000002182</t>
  </si>
  <si>
    <t>V 39</t>
  </si>
  <si>
    <t>Vestas Wind Systems A/S V 39</t>
  </si>
  <si>
    <t>570714700000002199</t>
  </si>
  <si>
    <t>570714700000002205</t>
  </si>
  <si>
    <t>570714700000002304</t>
  </si>
  <si>
    <t>SVV024</t>
  </si>
  <si>
    <t>570714700000002311</t>
  </si>
  <si>
    <t>570714700000009914</t>
  </si>
  <si>
    <t>Holtug</t>
  </si>
  <si>
    <t>570714700000000232</t>
  </si>
  <si>
    <t>Gøderup</t>
  </si>
  <si>
    <t>45-7372</t>
  </si>
  <si>
    <t>570714700000000249</t>
  </si>
  <si>
    <t>570714700000000256</t>
  </si>
  <si>
    <t>570714700000002076</t>
  </si>
  <si>
    <t>SVV015</t>
  </si>
  <si>
    <t>570714700000002083</t>
  </si>
  <si>
    <t>570714700000002212</t>
  </si>
  <si>
    <t>570714700000002229</t>
  </si>
  <si>
    <t>570714700000002236</t>
  </si>
  <si>
    <t>570714700000002274</t>
  </si>
  <si>
    <t>570714700000002281</t>
  </si>
  <si>
    <t xml:space="preserve">W 3700-500 </t>
  </si>
  <si>
    <t xml:space="preserve">Wind World W 3700-500 </t>
  </si>
  <si>
    <t>570714700000002298</t>
  </si>
  <si>
    <t>570714700000004001</t>
  </si>
  <si>
    <t>570714700000004025</t>
  </si>
  <si>
    <t>Errindlev By, Errindlev</t>
  </si>
  <si>
    <t>570714700000008559</t>
  </si>
  <si>
    <t>570714700000009846</t>
  </si>
  <si>
    <t>39-500</t>
  </si>
  <si>
    <t>Sandby By, Sandby</t>
  </si>
  <si>
    <t>27a m.f</t>
  </si>
  <si>
    <t>BONUS 39-500</t>
  </si>
  <si>
    <t>Bonus.B41.500</t>
  </si>
  <si>
    <t>570714700000010033</t>
  </si>
  <si>
    <t>Ø.Amalieager, Dannemare</t>
  </si>
  <si>
    <t>570714700000010415</t>
  </si>
  <si>
    <t>Bogø Indd.,Kappel</t>
  </si>
  <si>
    <t>570714700000011702</t>
  </si>
  <si>
    <t>570714700000002137</t>
  </si>
  <si>
    <t>570714700000002144</t>
  </si>
  <si>
    <t>570714700000009587</t>
  </si>
  <si>
    <t>Hårslev By Og Sogn</t>
  </si>
  <si>
    <t>570714700000009785</t>
  </si>
  <si>
    <t>Gavnø Hvdg, Vejlø</t>
  </si>
  <si>
    <t>570714700000010194</t>
  </si>
  <si>
    <t>Arløse By, Førslev</t>
  </si>
  <si>
    <t>570714700000010200</t>
  </si>
  <si>
    <t>del 4af</t>
  </si>
  <si>
    <t>570714700000010217</t>
  </si>
  <si>
    <t>del 3af</t>
  </si>
  <si>
    <t>570714700000011689</t>
  </si>
  <si>
    <t>570714700000011696</t>
  </si>
  <si>
    <t>570714700000001994</t>
  </si>
  <si>
    <t>570714700000002120</t>
  </si>
  <si>
    <t>570714700000002366</t>
  </si>
  <si>
    <t>570714700000002373</t>
  </si>
  <si>
    <t>570714700000009778</t>
  </si>
  <si>
    <t>9 m.fl</t>
  </si>
  <si>
    <t>570714700000009839</t>
  </si>
  <si>
    <t>Skelby By, Skelby</t>
  </si>
  <si>
    <t>570714700000009921</t>
  </si>
  <si>
    <t>Skovbyvej, Tårs</t>
  </si>
  <si>
    <t>570714700000009808</t>
  </si>
  <si>
    <t>Neble, Stege Lds</t>
  </si>
  <si>
    <t>570715000000052279</t>
  </si>
  <si>
    <t>Fæbæk By, Bøstrup</t>
  </si>
  <si>
    <t>571313153200137826</t>
  </si>
  <si>
    <t>Fæbæk _By, Bøstrup</t>
  </si>
  <si>
    <t>570715000000046261</t>
  </si>
  <si>
    <t>570715000000048517</t>
  </si>
  <si>
    <t>WAB</t>
  </si>
  <si>
    <t>570715000000048531</t>
  </si>
  <si>
    <t>570715000000048548</t>
  </si>
  <si>
    <t>570715000000048555</t>
  </si>
  <si>
    <t>570715000000035715</t>
  </si>
  <si>
    <t>WVB</t>
  </si>
  <si>
    <t>570715000000035722</t>
  </si>
  <si>
    <t>570715000000035739</t>
  </si>
  <si>
    <t>570715000000040825</t>
  </si>
  <si>
    <t>Hovedejerlavet, Nr.Omme</t>
  </si>
  <si>
    <t>12u</t>
  </si>
  <si>
    <t>570715000000040849</t>
  </si>
  <si>
    <t>570715000000042379</t>
  </si>
  <si>
    <t>Nr. Omme</t>
  </si>
  <si>
    <t>WFJ</t>
  </si>
  <si>
    <t>570715000000044519</t>
  </si>
  <si>
    <t>500 kW</t>
  </si>
  <si>
    <t>Sønderlandet, Skarrild</t>
  </si>
  <si>
    <t>BONUS 500 kW</t>
  </si>
  <si>
    <t>570715000000037924</t>
  </si>
  <si>
    <t>570715000000040634</t>
  </si>
  <si>
    <t>Den Nordlige Del Ulfborg</t>
  </si>
  <si>
    <t>570715000000041310</t>
  </si>
  <si>
    <t>Den nordlige del Ulfborg</t>
  </si>
  <si>
    <t>15m</t>
  </si>
  <si>
    <t>570715000000037597</t>
  </si>
  <si>
    <t>570715000000021428</t>
  </si>
  <si>
    <t>20ba</t>
  </si>
  <si>
    <t>570715000000019371</t>
  </si>
  <si>
    <t>B-118-1</t>
  </si>
  <si>
    <t>Sandby By, Haldum Sogn</t>
  </si>
  <si>
    <t>BONUS B-118-1</t>
  </si>
  <si>
    <t>570715000000019418</t>
  </si>
  <si>
    <t>570715000000023972</t>
  </si>
  <si>
    <t>WTU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</si>
  <si>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</si>
  <si>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</si>
  <si>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</si>
  <si>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</si>
  <si>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</si>
  <si>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</si>
  <si>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</si>
  <si>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</si>
  <si>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</si>
  <si>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570715000000033933</t>
  </si>
  <si>
    <t>Skuldbøl Hemmet</t>
  </si>
  <si>
    <t>570715000000033971</t>
  </si>
  <si>
    <t>570715000000033988</t>
  </si>
  <si>
    <t>570715000000033995</t>
  </si>
  <si>
    <t>570715000000034008</t>
  </si>
  <si>
    <t>570715000000040832</t>
  </si>
  <si>
    <t>12v</t>
  </si>
  <si>
    <t>570715000000040856</t>
  </si>
  <si>
    <t>570715000000040863</t>
  </si>
  <si>
    <t>47r</t>
  </si>
  <si>
    <t>570715000000042324</t>
  </si>
  <si>
    <t>46i</t>
  </si>
  <si>
    <t>570715000000042331</t>
  </si>
  <si>
    <t>46n</t>
  </si>
  <si>
    <t>570715000000042348</t>
  </si>
  <si>
    <t>570715000000042355</t>
  </si>
  <si>
    <t>570715000000042362</t>
  </si>
  <si>
    <t>570715000000042386</t>
  </si>
  <si>
    <t>570715000000042393</t>
  </si>
  <si>
    <t>570715000000042409</t>
  </si>
  <si>
    <t>570715000000042416</t>
  </si>
  <si>
    <t>570715000000042423</t>
  </si>
  <si>
    <t>46l</t>
  </si>
  <si>
    <t>570715000000042430</t>
  </si>
  <si>
    <t>570715000000042447</t>
  </si>
  <si>
    <t>570715000000028427</t>
  </si>
  <si>
    <t>570715000000028434</t>
  </si>
  <si>
    <t>570715000000017681</t>
  </si>
  <si>
    <t>Trustrup by, Dølby</t>
  </si>
  <si>
    <t>570715000000017728</t>
  </si>
  <si>
    <t>570715000000017735</t>
  </si>
  <si>
    <t>Krejbjerg</t>
  </si>
  <si>
    <t>50a</t>
  </si>
  <si>
    <t>570715000000017742</t>
  </si>
  <si>
    <t>Ilbjerg by, Roslev</t>
  </si>
  <si>
    <t>570714700000000379</t>
  </si>
  <si>
    <t>Kollerød By, Lynge Sogn</t>
  </si>
  <si>
    <t>69-12330</t>
  </si>
  <si>
    <t>570714700000009648</t>
  </si>
  <si>
    <t>570714700000009655</t>
  </si>
  <si>
    <t>570714700000009662</t>
  </si>
  <si>
    <t>570715000000005978</t>
  </si>
  <si>
    <t>Kjelstrup By, Hillerslev</t>
  </si>
  <si>
    <t>570714700000004575</t>
  </si>
  <si>
    <t>NTK 500</t>
  </si>
  <si>
    <t>Nordtank NTK 500</t>
  </si>
  <si>
    <t>570715000000030888</t>
  </si>
  <si>
    <t>570715000000030987</t>
  </si>
  <si>
    <t>Beersted</t>
  </si>
  <si>
    <t>570715000000031113</t>
  </si>
  <si>
    <t>Stagstrup</t>
  </si>
  <si>
    <t>570715000000031144</t>
  </si>
  <si>
    <t>Ydby by</t>
  </si>
  <si>
    <t>570715000000031182</t>
  </si>
  <si>
    <t>570715000000031786</t>
  </si>
  <si>
    <t>570715000000045042</t>
  </si>
  <si>
    <t>Abildegård, grurup</t>
  </si>
  <si>
    <t>570715000000013850</t>
  </si>
  <si>
    <t>Mammen by</t>
  </si>
  <si>
    <t>570715000000013867</t>
  </si>
  <si>
    <t>570715000000017698</t>
  </si>
  <si>
    <t>8b3f</t>
  </si>
  <si>
    <t>570715000000017704</t>
  </si>
  <si>
    <t>570715000000009419</t>
  </si>
  <si>
    <t>NTK 500/37/31</t>
  </si>
  <si>
    <t>Nordtank NTK 500/37/31</t>
  </si>
  <si>
    <t>570715000000009440</t>
  </si>
  <si>
    <t>570715000000009457</t>
  </si>
  <si>
    <t>570715000000009525</t>
  </si>
  <si>
    <t>Pederstrup</t>
  </si>
  <si>
    <t>570715000000009532</t>
  </si>
  <si>
    <t>570715000000010347</t>
  </si>
  <si>
    <t>Håls by</t>
  </si>
  <si>
    <t>570715000000010378</t>
  </si>
  <si>
    <t>570715000000010385</t>
  </si>
  <si>
    <t>Dall by</t>
  </si>
  <si>
    <t>570715000000010392</t>
  </si>
  <si>
    <t>570715000000012518</t>
  </si>
  <si>
    <t>70059-01</t>
  </si>
  <si>
    <t>570715000000002281</t>
  </si>
  <si>
    <t>0205-3204</t>
  </si>
  <si>
    <t>570715000000002298</t>
  </si>
  <si>
    <t>0205-3205</t>
  </si>
  <si>
    <t>570715000000002304</t>
  </si>
  <si>
    <t>30ba</t>
  </si>
  <si>
    <t>0205-3206</t>
  </si>
  <si>
    <t>570715000000002311</t>
  </si>
  <si>
    <t>0205-3207</t>
  </si>
  <si>
    <t>570715000000002328</t>
  </si>
  <si>
    <t>0205-3208</t>
  </si>
  <si>
    <t>570714700000000942</t>
  </si>
  <si>
    <t>150 - MK lll</t>
  </si>
  <si>
    <t>Svinninge By, Svinninge</t>
  </si>
  <si>
    <t>BONUS 150 - MK lll</t>
  </si>
  <si>
    <t>570714700000000959</t>
  </si>
  <si>
    <t>570714700000000966</t>
  </si>
  <si>
    <t>570714700000000850</t>
  </si>
  <si>
    <t>Falkensteen Hgd., Slots Bjergby</t>
  </si>
  <si>
    <t>570714700000000867</t>
  </si>
  <si>
    <t>570714700000000874</t>
  </si>
  <si>
    <t>570714700000000973</t>
  </si>
  <si>
    <t>Tjæreby By, Tårnborg</t>
  </si>
  <si>
    <t>099-00935</t>
  </si>
  <si>
    <t>570714700000000980</t>
  </si>
  <si>
    <t>570714700000000997</t>
  </si>
  <si>
    <t>Bildsø By, Kirke-Stillinge</t>
  </si>
  <si>
    <t>570714700000001000</t>
  </si>
  <si>
    <t>570714700000001017</t>
  </si>
  <si>
    <t>570714700000002045</t>
  </si>
  <si>
    <t>MK ll</t>
  </si>
  <si>
    <t>SVV007</t>
  </si>
  <si>
    <t>BONUS MK ll</t>
  </si>
  <si>
    <t>570714700000002052</t>
  </si>
  <si>
    <t>570714700000002069</t>
  </si>
  <si>
    <t>570714700000008856</t>
  </si>
  <si>
    <t>450 - MK l</t>
  </si>
  <si>
    <t>Knubbeløkke By, Kappel</t>
  </si>
  <si>
    <t>BONUS 450 - MK l</t>
  </si>
  <si>
    <t>Bonus.B37.450</t>
  </si>
  <si>
    <t>570714700000002090</t>
  </si>
  <si>
    <t>570714700000002106</t>
  </si>
  <si>
    <t>570714700000002113</t>
  </si>
  <si>
    <t>570714700000009570</t>
  </si>
  <si>
    <t>450 - MK lll</t>
  </si>
  <si>
    <t>Skelby F</t>
  </si>
  <si>
    <t>BONUS 450 - MK lll</t>
  </si>
  <si>
    <t>570714700000009693</t>
  </si>
  <si>
    <t>570714700000009709</t>
  </si>
  <si>
    <t>Nørre-Kirkeby</t>
  </si>
  <si>
    <t>570715000000050183</t>
  </si>
  <si>
    <t>450 kW</t>
  </si>
  <si>
    <t>Nygård Kegnæs</t>
  </si>
  <si>
    <t>BONUS 450 kW</t>
  </si>
  <si>
    <t>570715000000050305</t>
  </si>
  <si>
    <t>Sønderby</t>
  </si>
  <si>
    <t>570715000000050312</t>
  </si>
  <si>
    <t>570715000000050497</t>
  </si>
  <si>
    <t>Bovrup</t>
  </si>
  <si>
    <t>570715000000050503</t>
  </si>
  <si>
    <t>570714700000012501</t>
  </si>
  <si>
    <t>Torup by, Torup</t>
  </si>
  <si>
    <t>97-5020</t>
  </si>
  <si>
    <t>570714700000002168</t>
  </si>
  <si>
    <t>M 750</t>
  </si>
  <si>
    <t>10q</t>
  </si>
  <si>
    <t>Micon M 750</t>
  </si>
  <si>
    <t>570714700000002175</t>
  </si>
  <si>
    <t>570714700000002380</t>
  </si>
  <si>
    <t>SVV034</t>
  </si>
  <si>
    <t>570714700000002397</t>
  </si>
  <si>
    <t>570714700000002403</t>
  </si>
  <si>
    <t>570714700000002410</t>
  </si>
  <si>
    <t>570714700000002427</t>
  </si>
  <si>
    <t>570714700000002434</t>
  </si>
  <si>
    <t>7bb</t>
  </si>
  <si>
    <t>570714700000002441</t>
  </si>
  <si>
    <t>570714700000002458</t>
  </si>
  <si>
    <t>22e</t>
  </si>
  <si>
    <t>570714700000002465</t>
  </si>
  <si>
    <t>570714700000002472</t>
  </si>
  <si>
    <t>570715000000054136</t>
  </si>
  <si>
    <t>NM 750-400/100</t>
  </si>
  <si>
    <t>Haarby By, Haaeby</t>
  </si>
  <si>
    <t>NEG Micon NM 750-400/100</t>
  </si>
  <si>
    <t>570715000000048708</t>
  </si>
  <si>
    <t>M 750-400/100</t>
  </si>
  <si>
    <t>branderup</t>
  </si>
  <si>
    <t>WBK</t>
  </si>
  <si>
    <t>Micon M 750-400/100</t>
  </si>
  <si>
    <t>570715000000048722</t>
  </si>
  <si>
    <t>WBS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</si>
  <si>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</si>
  <si>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</si>
  <si>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</si>
  <si>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</si>
  <si>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</si>
  <si>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</si>
  <si>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</si>
  <si>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570715000000041327</t>
  </si>
  <si>
    <t>Madum by, Madum</t>
  </si>
  <si>
    <t>36a</t>
  </si>
  <si>
    <t>570714700000000591</t>
  </si>
  <si>
    <t>Kyndby</t>
  </si>
  <si>
    <t>81-12196</t>
  </si>
  <si>
    <t>570714700000003509</t>
  </si>
  <si>
    <t>570714700000003516</t>
  </si>
  <si>
    <t>570715000000000553</t>
  </si>
  <si>
    <t>Gøttrup</t>
  </si>
  <si>
    <t>BRÆ254/88045</t>
  </si>
  <si>
    <t>570715000000000607</t>
  </si>
  <si>
    <t>Gøttrup by Gøttrup</t>
  </si>
  <si>
    <t>31e</t>
  </si>
  <si>
    <t>4381/88037-1</t>
  </si>
  <si>
    <t>570715000000000621</t>
  </si>
  <si>
    <t>35i</t>
  </si>
  <si>
    <t>4381/88037-3</t>
  </si>
  <si>
    <t>570715000000000638</t>
  </si>
  <si>
    <t>4381/88038</t>
  </si>
  <si>
    <t>570715000000000645</t>
  </si>
  <si>
    <t>35m</t>
  </si>
  <si>
    <t>4381/88042</t>
  </si>
  <si>
    <t>570715000000000669</t>
  </si>
  <si>
    <t>M 740-400/100</t>
  </si>
  <si>
    <t>Bejstrup by</t>
  </si>
  <si>
    <t>455/88052-1</t>
  </si>
  <si>
    <t>Micon M 740-400/100</t>
  </si>
  <si>
    <t>570715000000000676</t>
  </si>
  <si>
    <t>455/88052-2</t>
  </si>
  <si>
    <t>570715000000000683</t>
  </si>
  <si>
    <t>455/88052-3</t>
  </si>
  <si>
    <t>570715000000000690</t>
  </si>
  <si>
    <t>455/88052-4</t>
  </si>
  <si>
    <t>570715000000000706</t>
  </si>
  <si>
    <t>10l</t>
  </si>
  <si>
    <t>455/88052-5</t>
  </si>
  <si>
    <t>570715000000000713</t>
  </si>
  <si>
    <t>14ai</t>
  </si>
  <si>
    <t>455/88052-6</t>
  </si>
  <si>
    <t>570715000000000737</t>
  </si>
  <si>
    <t>14al</t>
  </si>
  <si>
    <t>455/88052-8</t>
  </si>
  <si>
    <t>570715000000000744</t>
  </si>
  <si>
    <t>455/88052-9</t>
  </si>
  <si>
    <t>570715000000000751</t>
  </si>
  <si>
    <t>24h</t>
  </si>
  <si>
    <t>455/88052-10</t>
  </si>
  <si>
    <t>570715000000000768</t>
  </si>
  <si>
    <t>Brøndum by Kollerup</t>
  </si>
  <si>
    <t>477/88065</t>
  </si>
  <si>
    <t>570715000000000782</t>
  </si>
  <si>
    <t>Gøttrup by, Gøttrup</t>
  </si>
  <si>
    <t>23d</t>
  </si>
  <si>
    <t>4781/88011-1</t>
  </si>
  <si>
    <t>570715000000000799</t>
  </si>
  <si>
    <t>34l</t>
  </si>
  <si>
    <t>4781/88011-2</t>
  </si>
  <si>
    <t>570715000000000805</t>
  </si>
  <si>
    <t>Fjerritslev by, Kollerup</t>
  </si>
  <si>
    <t>4781/88011-3</t>
  </si>
  <si>
    <t>570715000000000812</t>
  </si>
  <si>
    <t>4781/88011-4</t>
  </si>
  <si>
    <t>570715000000000829</t>
  </si>
  <si>
    <t>4781/88011-5</t>
  </si>
  <si>
    <t>570715000000000843</t>
  </si>
  <si>
    <t>M 750-400</t>
  </si>
  <si>
    <t>112a</t>
  </si>
  <si>
    <t>4782/88063</t>
  </si>
  <si>
    <t>Micon M 750-400</t>
  </si>
  <si>
    <t>570715000000000850</t>
  </si>
  <si>
    <t>4782/88062</t>
  </si>
  <si>
    <t>570715000000000867</t>
  </si>
  <si>
    <t>Gøttrup by</t>
  </si>
  <si>
    <t>112c</t>
  </si>
  <si>
    <t>4782/88061</t>
  </si>
  <si>
    <t>570715000000000881</t>
  </si>
  <si>
    <t>Fjerritslev by Kollerup</t>
  </si>
  <si>
    <t>4783/88066</t>
  </si>
  <si>
    <t>570715000000000898</t>
  </si>
  <si>
    <t>4783/88067</t>
  </si>
  <si>
    <t>570715000000000980</t>
  </si>
  <si>
    <t>Holme by Vust</t>
  </si>
  <si>
    <t>4871/88056</t>
  </si>
  <si>
    <t>570715000000000997</t>
  </si>
  <si>
    <t>4871/88057</t>
  </si>
  <si>
    <t>570715000000001000</t>
  </si>
  <si>
    <t>4871/88058</t>
  </si>
  <si>
    <t>570715000000001017</t>
  </si>
  <si>
    <t>Vust by</t>
  </si>
  <si>
    <t>4871/88059</t>
  </si>
  <si>
    <t>570715000000001024</t>
  </si>
  <si>
    <t>4871/88060</t>
  </si>
  <si>
    <t>570714700000009471</t>
  </si>
  <si>
    <t>300 kW</t>
  </si>
  <si>
    <t>Majbølle By, Tillitse</t>
  </si>
  <si>
    <t>BONUS 300 kW</t>
  </si>
  <si>
    <t>Bonus.B33.300</t>
  </si>
  <si>
    <t>570714700000009488</t>
  </si>
  <si>
    <t>Vestenskov</t>
  </si>
  <si>
    <t>5a2</t>
  </si>
  <si>
    <t>570714700000009679</t>
  </si>
  <si>
    <t>Stødby By, Tillitse</t>
  </si>
  <si>
    <t>570714700000009716</t>
  </si>
  <si>
    <t>300 COMBI</t>
  </si>
  <si>
    <t>V.Skovby By, Vestenskov</t>
  </si>
  <si>
    <t>BONUS 300 COMBI</t>
  </si>
  <si>
    <t>570714700000009723</t>
  </si>
  <si>
    <t>570714700000009730</t>
  </si>
  <si>
    <t>570714700000009747</t>
  </si>
  <si>
    <t>570714700000009761</t>
  </si>
  <si>
    <t>Græshave</t>
  </si>
  <si>
    <t>570714700000009792</t>
  </si>
  <si>
    <t>Gammelby By, Tillitse</t>
  </si>
  <si>
    <t>570714700000009884</t>
  </si>
  <si>
    <t>Landet</t>
  </si>
  <si>
    <t>570714700000010040</t>
  </si>
  <si>
    <t>300 - MK ll</t>
  </si>
  <si>
    <t>BONUS 300 - MK ll</t>
  </si>
  <si>
    <t>570714700000009532</t>
  </si>
  <si>
    <t>Gedesby By, Gedesby</t>
  </si>
  <si>
    <t>570714700000009419</t>
  </si>
  <si>
    <t>Udby, Stege Jorder, Møn</t>
  </si>
  <si>
    <t>570715000000053238</t>
  </si>
  <si>
    <t>Båring By, Asperup</t>
  </si>
  <si>
    <t>570715000000055447</t>
  </si>
  <si>
    <t>Horne by</t>
  </si>
  <si>
    <t>570715000000055454</t>
  </si>
  <si>
    <t>570715000000055461</t>
  </si>
  <si>
    <t>570715000000027345</t>
  </si>
  <si>
    <t>Trelde, Fredericia Jorder</t>
  </si>
  <si>
    <t>570715000000027352</t>
  </si>
  <si>
    <t>Gårsvev by, Gårslev</t>
  </si>
  <si>
    <t>570715000000037528</t>
  </si>
  <si>
    <t>570715000000037535</t>
  </si>
  <si>
    <t>Dal Anneksgård, Fabjerg</t>
  </si>
  <si>
    <t>41n</t>
  </si>
  <si>
    <t>570715000000037757</t>
  </si>
  <si>
    <t>570715000000037771</t>
  </si>
  <si>
    <t>570715000000037788</t>
  </si>
  <si>
    <t>570715000000037795</t>
  </si>
  <si>
    <t>570715000000038839</t>
  </si>
  <si>
    <t>570715000000030581</t>
  </si>
  <si>
    <t>300 - MK lll</t>
  </si>
  <si>
    <t>Barslev by</t>
  </si>
  <si>
    <t>BONUS 300 - MK lll</t>
  </si>
  <si>
    <t>570715000000030819</t>
  </si>
  <si>
    <t>Helligkildegård</t>
  </si>
  <si>
    <t>570715000000030826</t>
  </si>
  <si>
    <t>570715000000031670</t>
  </si>
  <si>
    <t>570715000000031687</t>
  </si>
  <si>
    <t>570715000000031694</t>
  </si>
  <si>
    <t>570715000000031779</t>
  </si>
  <si>
    <t>570714700000000171</t>
  </si>
  <si>
    <t>COMBI</t>
  </si>
  <si>
    <t>Greve</t>
  </si>
  <si>
    <t>Karlslunde</t>
  </si>
  <si>
    <t>28-23347</t>
  </si>
  <si>
    <t>BONUS COMBI</t>
  </si>
  <si>
    <t>570714700000000188</t>
  </si>
  <si>
    <t>570714700000000195</t>
  </si>
  <si>
    <t>570715000000005664</t>
  </si>
  <si>
    <t>St. Hillerslev By, Hillerslev</t>
  </si>
  <si>
    <t>570715000000005916</t>
  </si>
  <si>
    <t>570715000000005992</t>
  </si>
  <si>
    <t>Kjelstryp By, Hillerslev</t>
  </si>
  <si>
    <t>570715000000006005</t>
  </si>
  <si>
    <t>Brund By, Hillerslev</t>
  </si>
  <si>
    <t>570715000000006012</t>
  </si>
  <si>
    <t>570714700000000201</t>
  </si>
  <si>
    <t>Svogerslev</t>
  </si>
  <si>
    <t>37-10866</t>
  </si>
  <si>
    <t>570714700000000218</t>
  </si>
  <si>
    <t>570714700000000225</t>
  </si>
  <si>
    <t>570714700000010750</t>
  </si>
  <si>
    <t>Solrød</t>
  </si>
  <si>
    <t>570714700000010767</t>
  </si>
  <si>
    <t>570715000000031038</t>
  </si>
  <si>
    <t>Kallerup</t>
  </si>
  <si>
    <t>570715000000031076</t>
  </si>
  <si>
    <t>Ørum by</t>
  </si>
  <si>
    <t>570715000000031151</t>
  </si>
  <si>
    <t>570715000000031700</t>
  </si>
  <si>
    <t>570715000000010125</t>
  </si>
  <si>
    <t>Næsborg by</t>
  </si>
  <si>
    <t>570715000000010132</t>
  </si>
  <si>
    <t>570715000000000324</t>
  </si>
  <si>
    <t>Danserholme Møllelaug</t>
  </si>
  <si>
    <t>1la</t>
  </si>
  <si>
    <t>570715000000000331</t>
  </si>
  <si>
    <t>1fs</t>
  </si>
  <si>
    <t>570715000000012495</t>
  </si>
  <si>
    <t>Gåser, Ø. Hasseng</t>
  </si>
  <si>
    <t>70057-01</t>
  </si>
  <si>
    <t>570715000000012525</t>
  </si>
  <si>
    <t>70060-01</t>
  </si>
  <si>
    <t>570715000000004056</t>
  </si>
  <si>
    <t>Svennum By, Jerslev</t>
  </si>
  <si>
    <t>570714700000002151</t>
  </si>
  <si>
    <t>M 530</t>
  </si>
  <si>
    <t>Micon M 530</t>
  </si>
  <si>
    <t>570714700000008757</t>
  </si>
  <si>
    <t>M 450-250</t>
  </si>
  <si>
    <t>Lundby By, Tjæreby</t>
  </si>
  <si>
    <t>Micon M 450-250</t>
  </si>
  <si>
    <t>570714700000008054</t>
  </si>
  <si>
    <t>Dencon</t>
  </si>
  <si>
    <t>TORNADO 250</t>
  </si>
  <si>
    <t>Dencon TORNADO 250</t>
  </si>
  <si>
    <r>
      <rPr>
        <b val="1"/>
        <sz val="12"/>
        <color indexed="8"/>
        <rFont val="Calibri"/>
      </rPr>
      <t>Nordex.N29.250</t>
    </r>
  </si>
  <si>
    <t>570714700000008061</t>
  </si>
  <si>
    <t>570714700000008078</t>
  </si>
  <si>
    <t>570714700000008085</t>
  </si>
  <si>
    <t>570715000000050268</t>
  </si>
  <si>
    <t>NM 530-250</t>
  </si>
  <si>
    <t>Stolbroløkke</t>
  </si>
  <si>
    <t>NEG Micon NM 530-250</t>
  </si>
  <si>
    <t>570715000000050275</t>
  </si>
  <si>
    <t>570715000000045233</t>
  </si>
  <si>
    <t>NM 450-250</t>
  </si>
  <si>
    <t>NEG Micon NM 450-250</t>
  </si>
  <si>
    <t>570715000000045271</t>
  </si>
  <si>
    <t>N 27</t>
  </si>
  <si>
    <t>Nordex N 27</t>
  </si>
  <si>
    <t>Nordex.N27.150</t>
  </si>
  <si>
    <t>570715000000045370</t>
  </si>
  <si>
    <t>570715000000045387</t>
  </si>
  <si>
    <t>570715000000046070</t>
  </si>
  <si>
    <t>Bønderby</t>
  </si>
  <si>
    <t>570715000000046087</t>
  </si>
  <si>
    <t>570715000000047022</t>
  </si>
  <si>
    <t>570715000000046353</t>
  </si>
  <si>
    <t>W 250/29</t>
  </si>
  <si>
    <t>V. Vedsted</t>
  </si>
  <si>
    <t>74e</t>
  </si>
  <si>
    <t>Wincon W 250/29</t>
  </si>
  <si>
    <t>570715000000050220</t>
  </si>
  <si>
    <t>N 150</t>
  </si>
  <si>
    <t>Nordex N 150</t>
  </si>
  <si>
    <t>570715000000030673</t>
  </si>
  <si>
    <t>250 COMBI</t>
  </si>
  <si>
    <t>Søndbjerg by</t>
  </si>
  <si>
    <t>BONUS 250 COMBI</t>
  </si>
  <si>
    <r>
      <rPr>
        <b val="1"/>
        <sz val="12"/>
        <color indexed="8"/>
        <rFont val="Calibri"/>
      </rPr>
      <t>Bonus.B33.300</t>
    </r>
  </si>
  <si>
    <t>570715000000017056</t>
  </si>
  <si>
    <t>NM 250</t>
  </si>
  <si>
    <t>Bustrup hvg. Lem</t>
  </si>
  <si>
    <t>1ge</t>
  </si>
  <si>
    <t>NEG Micon NM 250</t>
  </si>
  <si>
    <t>570715000000017063</t>
  </si>
  <si>
    <t>570715000000017186</t>
  </si>
  <si>
    <t>570715000000017193</t>
  </si>
  <si>
    <t>570715000000017582</t>
  </si>
  <si>
    <t>M 530-250/50</t>
  </si>
  <si>
    <t>V.Børsting, Vroue</t>
  </si>
  <si>
    <t>8b,9a</t>
  </si>
  <si>
    <t>Vestas Wind Systems A/S M 530-250/50</t>
  </si>
  <si>
    <r>
      <rPr>
        <b val="1"/>
        <sz val="12"/>
        <color indexed="8"/>
        <rFont val="Calibri"/>
      </rPr>
      <t>Vestas.V27.225</t>
    </r>
  </si>
  <si>
    <t>570715000000002694</t>
  </si>
  <si>
    <t>M 250</t>
  </si>
  <si>
    <t>Den østlige Del, Åsted</t>
  </si>
  <si>
    <t>0505-1810</t>
  </si>
  <si>
    <t>Micon M 250</t>
  </si>
  <si>
    <t>570715000000002717</t>
  </si>
  <si>
    <t>0505-1814</t>
  </si>
  <si>
    <t>570715000000012150</t>
  </si>
  <si>
    <t>Bjørnekær Hovedgård, Biersted</t>
  </si>
  <si>
    <t>70035-01</t>
  </si>
  <si>
    <t>570715000000012167</t>
  </si>
  <si>
    <t>Biersted, Biersted</t>
  </si>
  <si>
    <t>70035-02</t>
  </si>
  <si>
    <t>570715000000001918</t>
  </si>
  <si>
    <t>W 2920-250</t>
  </si>
  <si>
    <t>Rønnovsholm Hgd., Vrejlev</t>
  </si>
  <si>
    <t>1eq</t>
  </si>
  <si>
    <t>0103-0782</t>
  </si>
  <si>
    <t>Wind World W 2920-250</t>
  </si>
  <si>
    <r>
      <rPr>
        <b val="1"/>
        <sz val="12"/>
        <color indexed="8"/>
        <rFont val="Calibri"/>
      </rPr>
      <t>Wind.World.W4200</t>
    </r>
  </si>
  <si>
    <t>570715000000001925</t>
  </si>
  <si>
    <t>0103-0784</t>
  </si>
  <si>
    <t>570715000000001932</t>
  </si>
  <si>
    <t>3er</t>
  </si>
  <si>
    <t>0103-0786</t>
  </si>
  <si>
    <t>570715000000001949</t>
  </si>
  <si>
    <t>1es</t>
  </si>
  <si>
    <t>0103-0788</t>
  </si>
  <si>
    <t>570715000000001956</t>
  </si>
  <si>
    <t>0103-0790</t>
  </si>
  <si>
    <t>570715000000001963</t>
  </si>
  <si>
    <t>1eu</t>
  </si>
  <si>
    <t>0103-0792</t>
  </si>
  <si>
    <t>570715000000001970</t>
  </si>
  <si>
    <t>1ev</t>
  </si>
  <si>
    <t>0103-0794</t>
  </si>
  <si>
    <t>570715000000001987</t>
  </si>
  <si>
    <t>1ex</t>
  </si>
  <si>
    <t>0103-0796</t>
  </si>
  <si>
    <t>570715000000003820</t>
  </si>
  <si>
    <t>V 29-225</t>
  </si>
  <si>
    <t>Sørup, Tårs</t>
  </si>
  <si>
    <t>1205-2020</t>
  </si>
  <si>
    <t>Vestas Wind Systems A/S V 29-225</t>
  </si>
  <si>
    <t>Vestas.V29.225</t>
  </si>
  <si>
    <t>571313174001764448</t>
  </si>
  <si>
    <t>Jørslev By, Karise</t>
  </si>
  <si>
    <t>570714700000006074</t>
  </si>
  <si>
    <t>570714700000006081</t>
  </si>
  <si>
    <t>V 27-225</t>
  </si>
  <si>
    <t>Bjerge By, Svallerup</t>
  </si>
  <si>
    <t>Vestas Wind Systems A/S V 27-225</t>
  </si>
  <si>
    <t>Vestas.V27.225</t>
  </si>
  <si>
    <t>570714700000000263</t>
  </si>
  <si>
    <t>V 27</t>
  </si>
  <si>
    <t>Jenslev By, Rye Sogn</t>
  </si>
  <si>
    <t>50-9101</t>
  </si>
  <si>
    <t>Vestas Wind Systems A/S V 27</t>
  </si>
  <si>
    <t>570714700000000270</t>
  </si>
  <si>
    <t>570714700000000287</t>
  </si>
  <si>
    <t>570714700000000294</t>
  </si>
  <si>
    <t>50-9103</t>
  </si>
  <si>
    <t>570714700000000300</t>
  </si>
  <si>
    <t>570714700000009297</t>
  </si>
  <si>
    <t>570714700000009518</t>
  </si>
  <si>
    <t>Fuglse</t>
  </si>
  <si>
    <t>570714700000009525</t>
  </si>
  <si>
    <t>Kappel</t>
  </si>
  <si>
    <t>2b1</t>
  </si>
  <si>
    <t>570714700000010231</t>
  </si>
  <si>
    <t>V 29</t>
  </si>
  <si>
    <t>Vesterbo, Købelev</t>
  </si>
  <si>
    <t>Vestas Wind Systems A/S V 29</t>
  </si>
  <si>
    <t>570714700000010248</t>
  </si>
  <si>
    <t>570714700000009556</t>
  </si>
  <si>
    <t>Flemstofte By, Krummerup</t>
  </si>
  <si>
    <t>570714700000010934</t>
  </si>
  <si>
    <t>Skafterup, Fyrendal</t>
  </si>
  <si>
    <t>570714700000009037</t>
  </si>
  <si>
    <t>V 225 kW</t>
  </si>
  <si>
    <t>V. Kippinge</t>
  </si>
  <si>
    <t>10b m.f</t>
  </si>
  <si>
    <t>Vestas Wind Systems A/S V 225 kW</t>
  </si>
  <si>
    <t>570714700000008702</t>
  </si>
  <si>
    <t>Farø Ø, Bogø</t>
  </si>
  <si>
    <t>570714700000002601</t>
  </si>
  <si>
    <t>60003-1</t>
  </si>
  <si>
    <t>570714700000002618</t>
  </si>
  <si>
    <t>60003-2</t>
  </si>
  <si>
    <t>570714700000002625</t>
  </si>
  <si>
    <t>60003-3</t>
  </si>
  <si>
    <t>570714700000002731</t>
  </si>
  <si>
    <t>60006-1</t>
  </si>
  <si>
    <t>570714700000002748</t>
  </si>
  <si>
    <t>60006-2</t>
  </si>
  <si>
    <t>570714700000002755</t>
  </si>
  <si>
    <t>38d</t>
  </si>
  <si>
    <t>60006-3</t>
  </si>
  <si>
    <t>570715000000054150</t>
  </si>
  <si>
    <t>Køng By, Køng</t>
  </si>
  <si>
    <t>46a</t>
  </si>
  <si>
    <t>570715000000052170</t>
  </si>
  <si>
    <t>Helletofte By, Bøstrup</t>
  </si>
  <si>
    <t>570715000000034343</t>
  </si>
  <si>
    <t>Tjæreborg by</t>
  </si>
  <si>
    <t>570715000000033735</t>
  </si>
  <si>
    <t>570715000000033926</t>
  </si>
  <si>
    <t>570715000000050176</t>
  </si>
  <si>
    <t>Sdr. Ønlev</t>
  </si>
  <si>
    <t>570715000000016721</t>
  </si>
  <si>
    <t>N 27/225</t>
  </si>
  <si>
    <t>Råst By, Råst</t>
  </si>
  <si>
    <t>Nordex N 27/225</t>
  </si>
  <si>
    <t>571313134890196072</t>
  </si>
  <si>
    <t>570715000000036613</t>
  </si>
  <si>
    <t>Den østlige Del, Nr. Nissum</t>
  </si>
  <si>
    <t>570715000000037191</t>
  </si>
  <si>
    <t>Tørring Stor, Tørring</t>
  </si>
  <si>
    <t>570715000000037214</t>
  </si>
  <si>
    <t xml:space="preserve">V 27-225 </t>
  </si>
  <si>
    <t>Præstegården, Hove</t>
  </si>
  <si>
    <t xml:space="preserve">Vestas Wind Systems A/S V 27-225 </t>
  </si>
  <si>
    <t>570715000000037221</t>
  </si>
  <si>
    <t>570715000000037238</t>
  </si>
  <si>
    <t>570715000000037245</t>
  </si>
  <si>
    <t>570715000000037368</t>
  </si>
  <si>
    <t>570715000000037436</t>
  </si>
  <si>
    <t>570715000000037542</t>
  </si>
  <si>
    <t>Storgård, Tørring</t>
  </si>
  <si>
    <t>34f</t>
  </si>
  <si>
    <t>570715000000037559</t>
  </si>
  <si>
    <t>570715000000037566</t>
  </si>
  <si>
    <t>20v</t>
  </si>
  <si>
    <t>570715000000030529</t>
  </si>
  <si>
    <t>Smerup by</t>
  </si>
  <si>
    <t>570715000000030536</t>
  </si>
  <si>
    <t>Floulev by</t>
  </si>
  <si>
    <t>570715000000030703</t>
  </si>
  <si>
    <t>570715000000030949</t>
  </si>
  <si>
    <t>570715000000037405</t>
  </si>
  <si>
    <t>Makholm Gårde, Resen</t>
  </si>
  <si>
    <t>570715000000022623</t>
  </si>
  <si>
    <t>Søften by, Søften</t>
  </si>
  <si>
    <t>570715000000040047</t>
  </si>
  <si>
    <t>Nordlige Del Velling</t>
  </si>
  <si>
    <t>33e</t>
  </si>
  <si>
    <t>570715000000041501</t>
  </si>
  <si>
    <t>Halby by, Stavning</t>
  </si>
  <si>
    <t>570715000000041518</t>
  </si>
  <si>
    <t>570715000000041556</t>
  </si>
  <si>
    <t>Dejbjerg lund Hgd. Dejbjerg</t>
  </si>
  <si>
    <t>31f</t>
  </si>
  <si>
    <t>570715000000041563</t>
  </si>
  <si>
    <t>570715000000041570</t>
  </si>
  <si>
    <t>30c</t>
  </si>
  <si>
    <t>570715000000041587</t>
  </si>
  <si>
    <t>570715000000041594</t>
  </si>
  <si>
    <t>570715000000041617</t>
  </si>
  <si>
    <t>570715000000041648</t>
  </si>
  <si>
    <t>570715000000041655</t>
  </si>
  <si>
    <t>23e</t>
  </si>
  <si>
    <t>570715000000041686</t>
  </si>
  <si>
    <t>570715000000041693</t>
  </si>
  <si>
    <t>23c</t>
  </si>
  <si>
    <t>570715000000041709</t>
  </si>
  <si>
    <t>36f</t>
  </si>
  <si>
    <t>570715000000041723</t>
  </si>
  <si>
    <t>570715000000041730</t>
  </si>
  <si>
    <t>Dejbjerg Præstegård</t>
  </si>
  <si>
    <t>570715000000041747</t>
  </si>
  <si>
    <t>570715000000041754</t>
  </si>
  <si>
    <t>570715000000041778</t>
  </si>
  <si>
    <t>570715000000041785</t>
  </si>
  <si>
    <t>570715000000041808</t>
  </si>
  <si>
    <t>Kærgård, Dejbjerg</t>
  </si>
  <si>
    <t>570715000000041815</t>
  </si>
  <si>
    <t>570715000000041839</t>
  </si>
  <si>
    <t>35d</t>
  </si>
  <si>
    <t>570715000000041846</t>
  </si>
  <si>
    <t>31h</t>
  </si>
  <si>
    <t>570715000000041853</t>
  </si>
  <si>
    <t>570715000000042010</t>
  </si>
  <si>
    <t>Østerby Stauning</t>
  </si>
  <si>
    <t>570715000000042027</t>
  </si>
  <si>
    <t>570715000000042034</t>
  </si>
  <si>
    <t>Halby by, Stauning</t>
  </si>
  <si>
    <t>4at</t>
  </si>
  <si>
    <t>570715000000042041</t>
  </si>
  <si>
    <t>50n</t>
  </si>
  <si>
    <t>570715000000042058</t>
  </si>
  <si>
    <t>50v</t>
  </si>
  <si>
    <t>570715000000042102</t>
  </si>
  <si>
    <t>10m</t>
  </si>
  <si>
    <t>570715000000027512</t>
  </si>
  <si>
    <t>Sejerslev</t>
  </si>
  <si>
    <t>570715000000027802</t>
  </si>
  <si>
    <t>Tæbring</t>
  </si>
  <si>
    <t>570715000000027888</t>
  </si>
  <si>
    <t>Sundby</t>
  </si>
  <si>
    <t>570715000000028229</t>
  </si>
  <si>
    <t>570715000000028281</t>
  </si>
  <si>
    <t>5ac</t>
  </si>
  <si>
    <t>570715000000028298</t>
  </si>
  <si>
    <t>570715000000028366</t>
  </si>
  <si>
    <t>11ac</t>
  </si>
  <si>
    <t>570715000000028441</t>
  </si>
  <si>
    <t>570715000000016820</t>
  </si>
  <si>
    <t>570715000000016837</t>
  </si>
  <si>
    <t>Yttrup by, Rybjerg</t>
  </si>
  <si>
    <t>570715000000016851</t>
  </si>
  <si>
    <t>570715000000016905</t>
  </si>
  <si>
    <t>570715000000017117</t>
  </si>
  <si>
    <t>Håsum by, Håsum</t>
  </si>
  <si>
    <t>570715000000017209</t>
  </si>
  <si>
    <t>V.Lyby by, Lyby</t>
  </si>
  <si>
    <t>570715000000017452</t>
  </si>
  <si>
    <t>Torum</t>
  </si>
  <si>
    <t>570715000000017513</t>
  </si>
  <si>
    <t>Dalgårde, Nautrup</t>
  </si>
  <si>
    <t>570715000000017520</t>
  </si>
  <si>
    <t>Toustrup by, Durup</t>
  </si>
  <si>
    <t>570715000000017711</t>
  </si>
  <si>
    <t>12aa</t>
  </si>
  <si>
    <t>570715000000005527</t>
  </si>
  <si>
    <t>Brund By, Brund</t>
  </si>
  <si>
    <t>570714700000000027</t>
  </si>
  <si>
    <t>KE 555723</t>
  </si>
  <si>
    <t>570714700000000034</t>
  </si>
  <si>
    <t>KE 535723</t>
  </si>
  <si>
    <t>570714700000004940</t>
  </si>
  <si>
    <t>Kollerød</t>
  </si>
  <si>
    <t>69-12091</t>
  </si>
  <si>
    <t>570715000000005534</t>
  </si>
  <si>
    <t>570715000000005558</t>
  </si>
  <si>
    <t>Nordentoft Gårde</t>
  </si>
  <si>
    <t>570715000000005565</t>
  </si>
  <si>
    <t>570715000000005572</t>
  </si>
  <si>
    <t>570715000000005619</t>
  </si>
  <si>
    <t>Næstrup</t>
  </si>
  <si>
    <t>570715000000005626</t>
  </si>
  <si>
    <t>Tingstrup By, Thisted</t>
  </si>
  <si>
    <t>570715000000005633</t>
  </si>
  <si>
    <t>570715000000005640</t>
  </si>
  <si>
    <t>570715000000005657</t>
  </si>
  <si>
    <t>570715000000005695</t>
  </si>
  <si>
    <t>Skinnerup By, Skinnerup</t>
  </si>
  <si>
    <t>570715000000005701</t>
  </si>
  <si>
    <t>570715000000005909</t>
  </si>
  <si>
    <t>570715000000005930</t>
  </si>
  <si>
    <t>570715000000005947</t>
  </si>
  <si>
    <t>570715000000005954</t>
  </si>
  <si>
    <t>Sønderby, Tved</t>
  </si>
  <si>
    <t>570715000000005961</t>
  </si>
  <si>
    <t>570715000000005985</t>
  </si>
  <si>
    <t>Skinnerup</t>
  </si>
  <si>
    <t>570715000000006036</t>
  </si>
  <si>
    <t>570715000000030352</t>
  </si>
  <si>
    <t>12ad</t>
  </si>
  <si>
    <t>570714700000106958</t>
  </si>
  <si>
    <t>570715000000030383</t>
  </si>
  <si>
    <t>570715000000030475</t>
  </si>
  <si>
    <t>Morup Mølle</t>
  </si>
  <si>
    <t>1æ</t>
  </si>
  <si>
    <t>570715000000030499</t>
  </si>
  <si>
    <t>Tvorup by</t>
  </si>
  <si>
    <t>570715000000030543</t>
  </si>
  <si>
    <t>570715000000030604</t>
  </si>
  <si>
    <t>Skårup by</t>
  </si>
  <si>
    <t>3c2c</t>
  </si>
  <si>
    <t>570715000000030611</t>
  </si>
  <si>
    <t>570715000000030628</t>
  </si>
  <si>
    <t>Adbøl</t>
  </si>
  <si>
    <t>570715000000030659</t>
  </si>
  <si>
    <t>570715000000030741</t>
  </si>
  <si>
    <t>Vang</t>
  </si>
  <si>
    <t>570715000000030956</t>
  </si>
  <si>
    <t>570715000000030994</t>
  </si>
  <si>
    <t>570715000000031014</t>
  </si>
  <si>
    <t>570715000000031045</t>
  </si>
  <si>
    <t>Skjoldborg</t>
  </si>
  <si>
    <t>570715000000031083</t>
  </si>
  <si>
    <t>570715000000031106</t>
  </si>
  <si>
    <t>570715000000031342</t>
  </si>
  <si>
    <t>570715000000031410</t>
  </si>
  <si>
    <t>570715000000031427</t>
  </si>
  <si>
    <t>570715000000031892</t>
  </si>
  <si>
    <t>570715000000031908</t>
  </si>
  <si>
    <t>5b17</t>
  </si>
  <si>
    <t>570715000000031915</t>
  </si>
  <si>
    <t>570715000000031946</t>
  </si>
  <si>
    <t>Helligsø by</t>
  </si>
  <si>
    <t>570715000000031960</t>
  </si>
  <si>
    <t>570715000000031977</t>
  </si>
  <si>
    <t>570715000000032004</t>
  </si>
  <si>
    <t>570715000000032011</t>
  </si>
  <si>
    <t>570715000000045097</t>
  </si>
  <si>
    <t>Hurup By, Hurup</t>
  </si>
  <si>
    <t>HURUP3</t>
  </si>
  <si>
    <t>570715000001639875</t>
  </si>
  <si>
    <t>24bz</t>
  </si>
  <si>
    <t>570715000000009389</t>
  </si>
  <si>
    <t>570715000000009426</t>
  </si>
  <si>
    <t>Fandrup by</t>
  </si>
  <si>
    <t>570715000000009433</t>
  </si>
  <si>
    <t>570715000000056208</t>
  </si>
  <si>
    <t>Stausgård</t>
  </si>
  <si>
    <t>570715000000000317</t>
  </si>
  <si>
    <t>Attrup by</t>
  </si>
  <si>
    <t>570715000000000928</t>
  </si>
  <si>
    <t>Holme by V Thorup</t>
  </si>
  <si>
    <t>487/88043-1</t>
  </si>
  <si>
    <t>570715000000000942</t>
  </si>
  <si>
    <t>487/88043-3</t>
  </si>
  <si>
    <t>570715000000000966</t>
  </si>
  <si>
    <t>487/88055</t>
  </si>
  <si>
    <t>570715000000012006</t>
  </si>
  <si>
    <t>Stae By, V. Hassing</t>
  </si>
  <si>
    <t>7q</t>
  </si>
  <si>
    <t>70022-01</t>
  </si>
  <si>
    <t>570715000000002366</t>
  </si>
  <si>
    <t>Grimmeshave, Astrup</t>
  </si>
  <si>
    <t>0206-1208</t>
  </si>
  <si>
    <t>570715000000002489</t>
  </si>
  <si>
    <t>Danwin</t>
  </si>
  <si>
    <t>DW 27-225</t>
  </si>
  <si>
    <t>Vejby By, Vejby</t>
  </si>
  <si>
    <t>0307-0076</t>
  </si>
  <si>
    <t>Danwin DW 27-225</t>
  </si>
  <si>
    <t>570714700000000768</t>
  </si>
  <si>
    <t>NM 570-200</t>
  </si>
  <si>
    <t>Vinstrup By, Sdr. Asmindrup</t>
  </si>
  <si>
    <t>071-00492</t>
  </si>
  <si>
    <t>NEG Micon NM 570-200</t>
  </si>
  <si>
    <t>570714700000000775</t>
  </si>
  <si>
    <t>570714700000000782</t>
  </si>
  <si>
    <t>570714700000003707</t>
  </si>
  <si>
    <t>M 570</t>
  </si>
  <si>
    <t>Bybjerg</t>
  </si>
  <si>
    <t>86-6712</t>
  </si>
  <si>
    <t>Micon M 570</t>
  </si>
  <si>
    <t>570714700000003714</t>
  </si>
  <si>
    <t>570714700000003950</t>
  </si>
  <si>
    <t>86-6714</t>
  </si>
  <si>
    <t>570714700000003967</t>
  </si>
  <si>
    <t>570714700000003974</t>
  </si>
  <si>
    <t>570714700000005091</t>
  </si>
  <si>
    <t>86-6710</t>
  </si>
  <si>
    <t>570714700000005220</t>
  </si>
  <si>
    <t>Tingerup By, Soderup</t>
  </si>
  <si>
    <t>570714700000005237</t>
  </si>
  <si>
    <t>570714700000000683</t>
  </si>
  <si>
    <t>Algestrup Hgd., Føllenslev</t>
  </si>
  <si>
    <t>019-01317</t>
  </si>
  <si>
    <t>570714700000000690</t>
  </si>
  <si>
    <t>M 570-200</t>
  </si>
  <si>
    <t>Micon M 570-200</t>
  </si>
  <si>
    <t>570714700000000706</t>
  </si>
  <si>
    <t>570714700000008252</t>
  </si>
  <si>
    <t>V 25</t>
  </si>
  <si>
    <t>Ørslev Under Skoven, Bringstrup</t>
  </si>
  <si>
    <t>Vestas Wind Systems A/S V 25</t>
  </si>
  <si>
    <t>570714700000008450</t>
  </si>
  <si>
    <t>Bøstofte, Kværkeby</t>
  </si>
  <si>
    <t>570714700000000713</t>
  </si>
  <si>
    <t>Havrebjerg By, Havrebjerg</t>
  </si>
  <si>
    <t>029-00358</t>
  </si>
  <si>
    <t>570714700000000720</t>
  </si>
  <si>
    <t>570714700000000737</t>
  </si>
  <si>
    <t>570714700000000744</t>
  </si>
  <si>
    <t>Sludstrup By, Sludstrup</t>
  </si>
  <si>
    <t>097-00180</t>
  </si>
  <si>
    <t>570714700000000751</t>
  </si>
  <si>
    <t>570714700000000799</t>
  </si>
  <si>
    <t>Årslev By, Sønderup</t>
  </si>
  <si>
    <t>074-00237</t>
  </si>
  <si>
    <t>570714700000000805</t>
  </si>
  <si>
    <t>570714700000000812</t>
  </si>
  <si>
    <t>570714700000000829</t>
  </si>
  <si>
    <t>Hejninge By, Hejninge</t>
  </si>
  <si>
    <t>091-00117</t>
  </si>
  <si>
    <t>570714700000000836</t>
  </si>
  <si>
    <t>570714700000000843</t>
  </si>
  <si>
    <t>570714700000007958</t>
  </si>
  <si>
    <t>W 200</t>
  </si>
  <si>
    <t>Wincon W 200</t>
  </si>
  <si>
    <t>570714700000008337</t>
  </si>
  <si>
    <t>Høve</t>
  </si>
  <si>
    <t>570714700000008474</t>
  </si>
  <si>
    <t>DW 24-200</t>
  </si>
  <si>
    <t>Danwin DW 24-200</t>
  </si>
  <si>
    <t>570714700000008962</t>
  </si>
  <si>
    <t>Vollerup By, Gimlinge</t>
  </si>
  <si>
    <t>570715000000088513</t>
  </si>
  <si>
    <t>W 2320</t>
  </si>
  <si>
    <t>Forlev By, Vemmelev</t>
  </si>
  <si>
    <t>Wind World W 2320</t>
  </si>
  <si>
    <t>570714700000007828</t>
  </si>
  <si>
    <t>W 200/26</t>
  </si>
  <si>
    <t>Havnelev</t>
  </si>
  <si>
    <t>Wincon W 200/26</t>
  </si>
  <si>
    <r>
      <rPr>
        <b val="1"/>
        <sz val="12"/>
        <color indexed="8"/>
        <rFont val="Calibri"/>
      </rPr>
      <t>Bonus.B23.150</t>
    </r>
  </si>
  <si>
    <t>570714700000006449</t>
  </si>
  <si>
    <t>MA13206</t>
  </si>
  <si>
    <t>570714700000008283</t>
  </si>
  <si>
    <t>Hasselø By, Væggerløse</t>
  </si>
  <si>
    <t>3a,4a</t>
  </si>
  <si>
    <t>570714700000008290</t>
  </si>
  <si>
    <t>3a4a</t>
  </si>
  <si>
    <t>570714700000009631</t>
  </si>
  <si>
    <t>Gedesby</t>
  </si>
  <si>
    <t>570715000000053153</t>
  </si>
  <si>
    <t>Kvændrup By, Kværndrup</t>
  </si>
  <si>
    <t>570715000000055539</t>
  </si>
  <si>
    <t>Avernakø</t>
  </si>
  <si>
    <t>570715000000052576</t>
  </si>
  <si>
    <t>V 25-200</t>
  </si>
  <si>
    <t>Oure By, Oure</t>
  </si>
  <si>
    <t>20bs</t>
  </si>
  <si>
    <t>Vestas Wind Systems A/S V 25-200</t>
  </si>
  <si>
    <t>570715000000047121</t>
  </si>
  <si>
    <t>Sølsted</t>
  </si>
  <si>
    <t>570715000000047282</t>
  </si>
  <si>
    <t>570715000000046049</t>
  </si>
  <si>
    <t>200 kW</t>
  </si>
  <si>
    <t>Wincon 200 kW</t>
  </si>
  <si>
    <t>570715000000033247</t>
  </si>
  <si>
    <t>Burgård</t>
  </si>
  <si>
    <t>8k</t>
  </si>
  <si>
    <t>570715000000033254</t>
  </si>
  <si>
    <t>570715000000033490</t>
  </si>
  <si>
    <t>Lundtang By</t>
  </si>
  <si>
    <t>570715000000033841</t>
  </si>
  <si>
    <t>W 200/25,4</t>
  </si>
  <si>
    <t>Toftnæs By</t>
  </si>
  <si>
    <t>Wincon W 200/25,4</t>
  </si>
  <si>
    <t>570715000000033902</t>
  </si>
  <si>
    <t>570715000000033919</t>
  </si>
  <si>
    <t>570715000000034268</t>
  </si>
  <si>
    <t>Føvling By</t>
  </si>
  <si>
    <t>BONUS 200</t>
  </si>
  <si>
    <t>570715000000019319</t>
  </si>
  <si>
    <t>Nørre Galten Møllelav</t>
  </si>
  <si>
    <t>ug</t>
  </si>
  <si>
    <t>570715000000019326</t>
  </si>
  <si>
    <t>570715000000019357</t>
  </si>
  <si>
    <t>Ø.Velling By, Ø.Velling</t>
  </si>
  <si>
    <t>570715000000019364</t>
  </si>
  <si>
    <t>570715000000026430</t>
  </si>
  <si>
    <t>V-Ørum Sandbjerg</t>
  </si>
  <si>
    <t>35f</t>
  </si>
  <si>
    <t>570715000000028038</t>
  </si>
  <si>
    <t>Solbjerg</t>
  </si>
  <si>
    <t>570715000000028113</t>
  </si>
  <si>
    <t>570715000000028120</t>
  </si>
  <si>
    <t>570715000000028137</t>
  </si>
  <si>
    <t>570715000000028373</t>
  </si>
  <si>
    <t>Jørsby</t>
  </si>
  <si>
    <t>570715000000028380</t>
  </si>
  <si>
    <t>570715000000017049</t>
  </si>
  <si>
    <t>V.Hærup by, Lihme</t>
  </si>
  <si>
    <t>1cu</t>
  </si>
  <si>
    <t>570714700000003585</t>
  </si>
  <si>
    <t>Svanholm Hovedgård, Krogstrup Sogn</t>
  </si>
  <si>
    <t>81-12485</t>
  </si>
  <si>
    <t>570714700000005053</t>
  </si>
  <si>
    <t>Svanholm Hovedgård</t>
  </si>
  <si>
    <t>81-12261</t>
  </si>
  <si>
    <t>570714700000000638</t>
  </si>
  <si>
    <t>Nr. Asmindrup By, Nr. Asmindrup</t>
  </si>
  <si>
    <t>047-00675</t>
  </si>
  <si>
    <t>570714700000000645</t>
  </si>
  <si>
    <t>570714700000000652</t>
  </si>
  <si>
    <t>570714700000006029</t>
  </si>
  <si>
    <t>Nakke By, Rørvig</t>
  </si>
  <si>
    <t>570715000000016622</t>
  </si>
  <si>
    <t>Knud by, Tårup</t>
  </si>
  <si>
    <t>570715000000002786</t>
  </si>
  <si>
    <t>Den nordøstlige Del, Understed</t>
  </si>
  <si>
    <t>0606-0010</t>
  </si>
  <si>
    <t>570715000000000133</t>
  </si>
  <si>
    <t>Røgild by</t>
  </si>
  <si>
    <t>570715000000004384</t>
  </si>
  <si>
    <t>Ingstrup By, Ingstrup</t>
  </si>
  <si>
    <t>570715000000004391</t>
  </si>
  <si>
    <t>570715000000004407</t>
  </si>
  <si>
    <t>Klitterne, Ingstrup</t>
  </si>
  <si>
    <t>570715000000004421</t>
  </si>
  <si>
    <t>570715000000004438</t>
  </si>
  <si>
    <t>570715000000004445</t>
  </si>
  <si>
    <t>570715000000011979</t>
  </si>
  <si>
    <t>M 213</t>
  </si>
  <si>
    <t>V. Hassing, V, Hassing</t>
  </si>
  <si>
    <t>33c</t>
  </si>
  <si>
    <t>70018-01</t>
  </si>
  <si>
    <t>Wincon M 213</t>
  </si>
  <si>
    <t>570715000000012471</t>
  </si>
  <si>
    <t>Voerbjerg</t>
  </si>
  <si>
    <t>570715000000012488</t>
  </si>
  <si>
    <t>570715000000002793</t>
  </si>
  <si>
    <t>Horne By, Hirtshals</t>
  </si>
  <si>
    <t>124apa</t>
  </si>
  <si>
    <t>0607-0010</t>
  </si>
  <si>
    <t>570715000000003202</t>
  </si>
  <si>
    <t>Lengsholm Hgd., Lendum</t>
  </si>
  <si>
    <t>1bp</t>
  </si>
  <si>
    <t>1005-1157</t>
  </si>
  <si>
    <t>570715000000004124</t>
  </si>
  <si>
    <t>Vrensted by, Vrensted</t>
  </si>
  <si>
    <t>17l</t>
  </si>
  <si>
    <t>570714700000006333</t>
  </si>
  <si>
    <t>d3</t>
  </si>
  <si>
    <t>Hyllerup, Slagelse J.</t>
  </si>
  <si>
    <t>Danwin d3</t>
  </si>
  <si>
    <t>570714700000008092</t>
  </si>
  <si>
    <t>DW 23 C 180/40</t>
  </si>
  <si>
    <t>Kirkerup</t>
  </si>
  <si>
    <t>Danwin DW 23 C 180/40</t>
  </si>
  <si>
    <t>570714700000008214</t>
  </si>
  <si>
    <t>DW 23 F</t>
  </si>
  <si>
    <t>Stavreby By, Jungshoved</t>
  </si>
  <si>
    <t>Danwin DW 23 F</t>
  </si>
  <si>
    <t>570714700000008221</t>
  </si>
  <si>
    <t>570715000000045219</t>
  </si>
  <si>
    <t>WW 2320-180</t>
  </si>
  <si>
    <t>Melkær</t>
  </si>
  <si>
    <t>Wind World WW 2320-180</t>
  </si>
  <si>
    <t>570715000000045257</t>
  </si>
  <si>
    <t>570715000000045202</t>
  </si>
  <si>
    <t>570715000000045264</t>
  </si>
  <si>
    <t>570715000000046971</t>
  </si>
  <si>
    <t>DW 23-180</t>
  </si>
  <si>
    <t>Danwin DW 23-180</t>
  </si>
  <si>
    <t>570714700000004469</t>
  </si>
  <si>
    <t>28-20822</t>
  </si>
  <si>
    <t>570714700000004476</t>
  </si>
  <si>
    <t>28-20823</t>
  </si>
  <si>
    <t>570714700000006296</t>
  </si>
  <si>
    <t>570715000000012709</t>
  </si>
  <si>
    <t>Læsø</t>
  </si>
  <si>
    <t>Vesterø</t>
  </si>
  <si>
    <t>113bl</t>
  </si>
  <si>
    <t>70070-01</t>
  </si>
  <si>
    <t>570715000000016868</t>
  </si>
  <si>
    <t>Grinderslev</t>
  </si>
  <si>
    <t>1az</t>
  </si>
  <si>
    <t>570715000000017315</t>
  </si>
  <si>
    <t>Roslev</t>
  </si>
  <si>
    <t>570715000000017483</t>
  </si>
  <si>
    <t>Junget</t>
  </si>
  <si>
    <t>570715000000008375</t>
  </si>
  <si>
    <t>DWP</t>
  </si>
  <si>
    <t>D 175 S</t>
  </si>
  <si>
    <t>Staverslund Gde.</t>
  </si>
  <si>
    <t>DWP D 175 S</t>
  </si>
  <si>
    <t>570715000000000188</t>
  </si>
  <si>
    <t>D 150</t>
  </si>
  <si>
    <t>Hvolgård</t>
  </si>
  <si>
    <t>382/88016-1</t>
  </si>
  <si>
    <t>DWP D 150</t>
  </si>
  <si>
    <t>570715000000000195</t>
  </si>
  <si>
    <t>382/88016-2</t>
  </si>
  <si>
    <t>570714700000005640</t>
  </si>
  <si>
    <t>401-71276</t>
  </si>
  <si>
    <t>570715000000045196</t>
  </si>
  <si>
    <t>WW 2320-160</t>
  </si>
  <si>
    <t>Skibelund</t>
  </si>
  <si>
    <t>Wind World WW 2320-160</t>
  </si>
  <si>
    <t>570715000000046056</t>
  </si>
  <si>
    <t>DWP 175</t>
  </si>
  <si>
    <t>570715000000022531</t>
  </si>
  <si>
    <t>Hammelev by, Grenå Jorder</t>
  </si>
  <si>
    <t>570715000000012198</t>
  </si>
  <si>
    <t>W 2320-160</t>
  </si>
  <si>
    <t>Dronninglund Enge, Dronninglund</t>
  </si>
  <si>
    <t>32ad</t>
  </si>
  <si>
    <t>70038-01</t>
  </si>
  <si>
    <t>Wind World W 2320-160</t>
  </si>
  <si>
    <t>570714700000005732</t>
  </si>
  <si>
    <t>Hørby By, Hørby</t>
  </si>
  <si>
    <t>570714700000005749</t>
  </si>
  <si>
    <t>Kastrup By, Hørby</t>
  </si>
  <si>
    <t>570714700000005756</t>
  </si>
  <si>
    <t>570714700000006258</t>
  </si>
  <si>
    <t>NKT</t>
  </si>
  <si>
    <t>150 XLR</t>
  </si>
  <si>
    <t>Ugerløse By, Ugerløse</t>
  </si>
  <si>
    <t>NKT 150 XLR</t>
  </si>
  <si>
    <t>570714700000008627</t>
  </si>
  <si>
    <t>Roholte</t>
  </si>
  <si>
    <t>570714700000005817</t>
  </si>
  <si>
    <t>W 2800 150</t>
  </si>
  <si>
    <t>Dalby By, Kirke Helsinge</t>
  </si>
  <si>
    <t>NEG Micon W 2800 150</t>
  </si>
  <si>
    <t>570714700000006067</t>
  </si>
  <si>
    <t>3 bladet stallreguleret</t>
  </si>
  <si>
    <t>Norwin 3 bladet stallreguleret</t>
  </si>
  <si>
    <t>570714700000012624</t>
  </si>
  <si>
    <t>Vemmelev By, Vemmelev</t>
  </si>
  <si>
    <t>570714700000008764</t>
  </si>
  <si>
    <t>W 2700-150</t>
  </si>
  <si>
    <t>Store Heddinge</t>
  </si>
  <si>
    <t>Wind World W 2700-150</t>
  </si>
  <si>
    <t>570714700000004810</t>
  </si>
  <si>
    <t>Trællerup By, Herslev</t>
  </si>
  <si>
    <t>4t</t>
  </si>
  <si>
    <t>45-7244</t>
  </si>
  <si>
    <t>570714700000004032</t>
  </si>
  <si>
    <t>Pilet By, Olstrup</t>
  </si>
  <si>
    <t>7a m.fl</t>
  </si>
  <si>
    <t>570714700000004049</t>
  </si>
  <si>
    <t>570714700000008429</t>
  </si>
  <si>
    <t>W 2320-150</t>
  </si>
  <si>
    <t>Østerby, Fejø</t>
  </si>
  <si>
    <t>Wind World W 2320-150</t>
  </si>
  <si>
    <t>570714700000009068</t>
  </si>
  <si>
    <t>150/30 - MK ll</t>
  </si>
  <si>
    <t>Arninge</t>
  </si>
  <si>
    <t>BONUS 150/30 - MK ll</t>
  </si>
  <si>
    <t>570714700000009228</t>
  </si>
  <si>
    <t>ID 178 - W 2800</t>
  </si>
  <si>
    <t>Haveløkke By, Østofte</t>
  </si>
  <si>
    <t>Wind World ID 178 - W 2800</t>
  </si>
  <si>
    <t>570714700000009549</t>
  </si>
  <si>
    <t>570714700000007927</t>
  </si>
  <si>
    <t>Vindsyssel</t>
  </si>
  <si>
    <t>VS 150 DK 22</t>
  </si>
  <si>
    <t>Glumsø</t>
  </si>
  <si>
    <t>Vindsyssel VS 150 DK 22</t>
  </si>
  <si>
    <t>570714700000008146</t>
  </si>
  <si>
    <t>150 kW - 239</t>
  </si>
  <si>
    <t>Snesere</t>
  </si>
  <si>
    <t>BONUS 150 kW - 239</t>
  </si>
  <si>
    <t>570714700000009952</t>
  </si>
  <si>
    <t>Hyllinge By Og Sogn</t>
  </si>
  <si>
    <t>7bg</t>
  </si>
  <si>
    <t>570714700000004315</t>
  </si>
  <si>
    <t>570714700000007736</t>
  </si>
  <si>
    <t>150 - MK l</t>
  </si>
  <si>
    <t>Gedesby By Og Sogn</t>
  </si>
  <si>
    <t>BONUS 150 - MK l</t>
  </si>
  <si>
    <t>570714700000007873</t>
  </si>
  <si>
    <t>36b</t>
  </si>
  <si>
    <t>570714700000007897</t>
  </si>
  <si>
    <t>Hjelm By, Majbølle</t>
  </si>
  <si>
    <t>570714700000007934</t>
  </si>
  <si>
    <t>150 kW</t>
  </si>
  <si>
    <t>Riserup, Nørre Vedby</t>
  </si>
  <si>
    <t>5a1a</t>
  </si>
  <si>
    <t>BONUS 150 kW</t>
  </si>
  <si>
    <t>570714700000008245</t>
  </si>
  <si>
    <t>570714700000008276</t>
  </si>
  <si>
    <t>DW 52-521-10</t>
  </si>
  <si>
    <t>Danwin DW 52-521-10</t>
  </si>
  <si>
    <t>570714700000008689</t>
  </si>
  <si>
    <t>570714700000008917</t>
  </si>
  <si>
    <t>W 2800-150</t>
  </si>
  <si>
    <t>Øster Ulslev By, Ø.Ulslev</t>
  </si>
  <si>
    <t>Wind World W 2800-150</t>
  </si>
  <si>
    <t>570714700000008955</t>
  </si>
  <si>
    <t>Nørre Alslev</t>
  </si>
  <si>
    <t>570714700000009020</t>
  </si>
  <si>
    <t>Vester-Ulslev</t>
  </si>
  <si>
    <t>570714700000009150</t>
  </si>
  <si>
    <t>570714700000009396</t>
  </si>
  <si>
    <t>LågerupBregninge</t>
  </si>
  <si>
    <t>570714700000009877</t>
  </si>
  <si>
    <t>Idestrup</t>
  </si>
  <si>
    <t>570714700000013706</t>
  </si>
  <si>
    <t>Danregn Vindkraft</t>
  </si>
  <si>
    <t>B-100-1 REV.4</t>
  </si>
  <si>
    <t>Sakskøbing Markjorde</t>
  </si>
  <si>
    <t>00225a</t>
  </si>
  <si>
    <t>Danregn Vindkraft B-100-1 REV.4</t>
  </si>
  <si>
    <t>570714700000002021</t>
  </si>
  <si>
    <t>570714700000002038</t>
  </si>
  <si>
    <t>570714700000007651</t>
  </si>
  <si>
    <t>Endegårde, Skibinge</t>
  </si>
  <si>
    <t>570714700000008016</t>
  </si>
  <si>
    <t>Allerslev</t>
  </si>
  <si>
    <t>570714700000009426</t>
  </si>
  <si>
    <t>Sprove</t>
  </si>
  <si>
    <t>570715000000053214</t>
  </si>
  <si>
    <t>Billesbølle Hdg, Fjelsted</t>
  </si>
  <si>
    <t>570715000000055348</t>
  </si>
  <si>
    <t>NM 150 XLR</t>
  </si>
  <si>
    <t>Bøjden by</t>
  </si>
  <si>
    <t>NEG Micon NM 150 XLR</t>
  </si>
  <si>
    <t>570715000000053313</t>
  </si>
  <si>
    <t>570715000000053320</t>
  </si>
  <si>
    <t>570715000000050770</t>
  </si>
  <si>
    <t>Halk</t>
  </si>
  <si>
    <t>570715000000050886</t>
  </si>
  <si>
    <t>Hoptrup</t>
  </si>
  <si>
    <t>570715000000045325</t>
  </si>
  <si>
    <t>570715000000045332</t>
  </si>
  <si>
    <t>570715000000046117</t>
  </si>
  <si>
    <t>570715000000046124</t>
  </si>
  <si>
    <t>570715000000046131</t>
  </si>
  <si>
    <t>WW 2700-150</t>
  </si>
  <si>
    <t>Daler</t>
  </si>
  <si>
    <t>Wind World WW 2700-150</t>
  </si>
  <si>
    <t>570715000000046148</t>
  </si>
  <si>
    <t>570715000000047107</t>
  </si>
  <si>
    <t>570715000000047114</t>
  </si>
  <si>
    <t>570715000000047787</t>
  </si>
  <si>
    <t>570715000000046186</t>
  </si>
  <si>
    <t>Villebøl</t>
  </si>
  <si>
    <t>570715000000033773</t>
  </si>
  <si>
    <t>Kærup By</t>
  </si>
  <si>
    <t>570715000000033780</t>
  </si>
  <si>
    <t>570715000000033797</t>
  </si>
  <si>
    <t>570715000000033872</t>
  </si>
  <si>
    <t>Varde markjorder</t>
  </si>
  <si>
    <t>103b</t>
  </si>
  <si>
    <t>570715000000033889</t>
  </si>
  <si>
    <t>570715000000033940</t>
  </si>
  <si>
    <t>Nr Holsted By</t>
  </si>
  <si>
    <t>570715000000045301</t>
  </si>
  <si>
    <t>Mojbøl</t>
  </si>
  <si>
    <t>570715000000046018</t>
  </si>
  <si>
    <t>N 27/150</t>
  </si>
  <si>
    <t>Burkal</t>
  </si>
  <si>
    <t>Nordex N 27/150</t>
  </si>
  <si>
    <t>570715000000050190</t>
  </si>
  <si>
    <t>Vilsbæk ejerlav</t>
  </si>
  <si>
    <t>570715000000026300</t>
  </si>
  <si>
    <t>ENNER BY, TAMDRUP</t>
  </si>
  <si>
    <t>570715000000024757</t>
  </si>
  <si>
    <t>Vrå by, Lejrskov</t>
  </si>
  <si>
    <t>570715000000024801</t>
  </si>
  <si>
    <t>Hejls by</t>
  </si>
  <si>
    <t>570715000000024856</t>
  </si>
  <si>
    <t>Skartved by</t>
  </si>
  <si>
    <t>570715000000024863</t>
  </si>
  <si>
    <t>570715000000024870</t>
  </si>
  <si>
    <t>570715000000024894</t>
  </si>
  <si>
    <t>Ejstrup Harte by</t>
  </si>
  <si>
    <t>570715000000024900</t>
  </si>
  <si>
    <t>570715000000025358</t>
  </si>
  <si>
    <t>N 200</t>
  </si>
  <si>
    <t>Knude Huse</t>
  </si>
  <si>
    <t>Nordex N 200</t>
  </si>
  <si>
    <t>570715000000025433</t>
  </si>
  <si>
    <t>Rørbæk Hgd.</t>
  </si>
  <si>
    <t>570715000000027079</t>
  </si>
  <si>
    <t>Sødover</t>
  </si>
  <si>
    <t>60-185</t>
  </si>
  <si>
    <t>570715000000044335</t>
  </si>
  <si>
    <t>Snejbjerg By, Haunstrup</t>
  </si>
  <si>
    <t>570715000000044342</t>
  </si>
  <si>
    <t>570715000000044359</t>
  </si>
  <si>
    <t>570715000000036750</t>
  </si>
  <si>
    <t>Den sydlige Del, Harboør</t>
  </si>
  <si>
    <t>47d</t>
  </si>
  <si>
    <t>570715000000030550</t>
  </si>
  <si>
    <t>570715000000030772</t>
  </si>
  <si>
    <t>150 - MK ll</t>
  </si>
  <si>
    <t>Hellerød by</t>
  </si>
  <si>
    <t>BONUS 150 - MK ll</t>
  </si>
  <si>
    <t>570715000000022548</t>
  </si>
  <si>
    <t>Knebel by, Knebel</t>
  </si>
  <si>
    <t>570715000000022586</t>
  </si>
  <si>
    <t>570715000000022593</t>
  </si>
  <si>
    <t>Albøge by, Albøge</t>
  </si>
  <si>
    <t>570715000000022609</t>
  </si>
  <si>
    <t>570715000000026416</t>
  </si>
  <si>
    <t>Velling by Bryrup</t>
  </si>
  <si>
    <t>570715000000022500</t>
  </si>
  <si>
    <t>Nordby by, Nordby</t>
  </si>
  <si>
    <t>570715000000022555</t>
  </si>
  <si>
    <t>570715000000022562</t>
  </si>
  <si>
    <t>570715000000022579</t>
  </si>
  <si>
    <t>570715000000014673</t>
  </si>
  <si>
    <t>570715000000014680</t>
  </si>
  <si>
    <t>570715000000014697</t>
  </si>
  <si>
    <t>570715000000025686</t>
  </si>
  <si>
    <t>570715000000028922</t>
  </si>
  <si>
    <t>W 2500-150</t>
  </si>
  <si>
    <t>Over Isen By</t>
  </si>
  <si>
    <t>Wind World W 2500-150</t>
  </si>
  <si>
    <t>570715000000028939</t>
  </si>
  <si>
    <t>W 2500/150</t>
  </si>
  <si>
    <t>Wincon W 2500/150</t>
  </si>
  <si>
    <t>570715000000028984</t>
  </si>
  <si>
    <t>WW 2800-150</t>
  </si>
  <si>
    <t>Wind World WW 2800-150</t>
  </si>
  <si>
    <t>570715000000028991</t>
  </si>
  <si>
    <t>570715000000029004</t>
  </si>
  <si>
    <t>570715000000026447</t>
  </si>
  <si>
    <t>570715000000016707</t>
  </si>
  <si>
    <t>570715000000016943</t>
  </si>
  <si>
    <t>Floutrup by, Selde</t>
  </si>
  <si>
    <t>570715000000017070</t>
  </si>
  <si>
    <t>Fur</t>
  </si>
  <si>
    <t>42av</t>
  </si>
  <si>
    <t>570715000000017094</t>
  </si>
  <si>
    <t>Sdr. Ørum By, Ørum</t>
  </si>
  <si>
    <t>13i</t>
  </si>
  <si>
    <t>570715000000017100</t>
  </si>
  <si>
    <t>570715000000017278</t>
  </si>
  <si>
    <t>Kirkeby by, Kirkeby</t>
  </si>
  <si>
    <t>570715000000017414</t>
  </si>
  <si>
    <t>Vium by, Hjerk</t>
  </si>
  <si>
    <t>570715000000030307</t>
  </si>
  <si>
    <t>Villerup</t>
  </si>
  <si>
    <t>570715000000030505</t>
  </si>
  <si>
    <t>570715000000030680</t>
  </si>
  <si>
    <t>150/30</t>
  </si>
  <si>
    <t>BONUS 150/30</t>
  </si>
  <si>
    <t>570715000000030727</t>
  </si>
  <si>
    <t>570715000000030734</t>
  </si>
  <si>
    <t>570715000000030789</t>
  </si>
  <si>
    <t>Torsted by</t>
  </si>
  <si>
    <t>570715000000004308</t>
  </si>
  <si>
    <t>Allerup by, Hellevad</t>
  </si>
  <si>
    <t>570715000000012273</t>
  </si>
  <si>
    <t>Voer</t>
  </si>
  <si>
    <t>70044-01</t>
  </si>
  <si>
    <t>570715000000012426</t>
  </si>
  <si>
    <t>Sdr. Ørsø, Dronninglund</t>
  </si>
  <si>
    <t>110a</t>
  </si>
  <si>
    <t>70053-01</t>
  </si>
  <si>
    <t>570715000000002984</t>
  </si>
  <si>
    <t>Gydeje, Torslev</t>
  </si>
  <si>
    <t>0907-0295</t>
  </si>
  <si>
    <t>570715000000003073</t>
  </si>
  <si>
    <t>Hørbylund Hgd., Hørby</t>
  </si>
  <si>
    <t>0909-0292</t>
  </si>
  <si>
    <t>570715000000011818</t>
  </si>
  <si>
    <t>St. Ørtoft, Volstrup</t>
  </si>
  <si>
    <t>70004-01</t>
  </si>
  <si>
    <t>570715000000012501</t>
  </si>
  <si>
    <t>Den nordlige del, Skæve</t>
  </si>
  <si>
    <t>70058-01</t>
  </si>
  <si>
    <t>570715000000013669</t>
  </si>
  <si>
    <t>Elling Hgd.,Elling</t>
  </si>
  <si>
    <t>570715000000008511</t>
  </si>
  <si>
    <t>Engelstrup by</t>
  </si>
  <si>
    <t>570715000000008559</t>
  </si>
  <si>
    <t>W 2700</t>
  </si>
  <si>
    <t>Wind World W 2700</t>
  </si>
  <si>
    <t>570715000000008580</t>
  </si>
  <si>
    <t>W 2800</t>
  </si>
  <si>
    <t>Wind World W 2800</t>
  </si>
  <si>
    <t>570715000000008597</t>
  </si>
  <si>
    <t>Hyllestedgård</t>
  </si>
  <si>
    <t>570715000000008733</t>
  </si>
  <si>
    <t>570715000000008788</t>
  </si>
  <si>
    <t>24d</t>
  </si>
  <si>
    <t>570715000000008863</t>
  </si>
  <si>
    <t>Sjøstrup by</t>
  </si>
  <si>
    <t>570715000000008887</t>
  </si>
  <si>
    <t>Grårup by</t>
  </si>
  <si>
    <t>570715000000008894</t>
  </si>
  <si>
    <t>M 150-530</t>
  </si>
  <si>
    <t>Micon M 150-530</t>
  </si>
  <si>
    <t>570715000000008931</t>
  </si>
  <si>
    <t>570715000000009075</t>
  </si>
  <si>
    <t>Haldrup Gde.</t>
  </si>
  <si>
    <t>570715000000009105</t>
  </si>
  <si>
    <t>Vilsted Hede</t>
  </si>
  <si>
    <t>570715000000009181</t>
  </si>
  <si>
    <t>Bjørnstrup by</t>
  </si>
  <si>
    <t>570715000000008696</t>
  </si>
  <si>
    <t>Mastrup by</t>
  </si>
  <si>
    <t>570715000000009006</t>
  </si>
  <si>
    <t>St. Rørbæk by</t>
  </si>
  <si>
    <t>570715000000008962</t>
  </si>
  <si>
    <t>Kielstrup by</t>
  </si>
  <si>
    <t>570715000000008979</t>
  </si>
  <si>
    <t>570715000000009396</t>
  </si>
  <si>
    <t>Rold by</t>
  </si>
  <si>
    <t>570715000000012099</t>
  </si>
  <si>
    <t>20-150/30</t>
  </si>
  <si>
    <t>Nørhalne By, Biersted Sogn</t>
  </si>
  <si>
    <t>70030-01</t>
  </si>
  <si>
    <t>BONUS 20-150/30</t>
  </si>
  <si>
    <t>570715000000012105</t>
  </si>
  <si>
    <t>70030-02</t>
  </si>
  <si>
    <t>570715000000008917</t>
  </si>
  <si>
    <t>Nøtten by</t>
  </si>
  <si>
    <t>570715000000008924</t>
  </si>
  <si>
    <t>Mjels by</t>
  </si>
  <si>
    <t>570715000000008948</t>
  </si>
  <si>
    <t>Ferslev by</t>
  </si>
  <si>
    <t>570715000000001895</t>
  </si>
  <si>
    <t>Jonstrup By, Skt. Hans</t>
  </si>
  <si>
    <t>0101-1150</t>
  </si>
  <si>
    <t>570715000000001901</t>
  </si>
  <si>
    <t>0101-1152</t>
  </si>
  <si>
    <t>570715000000001994</t>
  </si>
  <si>
    <t>Gunderup By, Vrejlev</t>
  </si>
  <si>
    <t>6m</t>
  </si>
  <si>
    <t>0106-0050</t>
  </si>
  <si>
    <t>570715000000002175</t>
  </si>
  <si>
    <t>0201-0370</t>
  </si>
  <si>
    <t>570715000000002182</t>
  </si>
  <si>
    <t>0201-0372</t>
  </si>
  <si>
    <t>570715000000002199</t>
  </si>
  <si>
    <t>0201-0390</t>
  </si>
  <si>
    <t>570715000000002335</t>
  </si>
  <si>
    <t>VS 150</t>
  </si>
  <si>
    <t>Skibsby By, Skt. Olai</t>
  </si>
  <si>
    <t>0206-0792</t>
  </si>
  <si>
    <t>Vindsyssel VS 150</t>
  </si>
  <si>
    <t>570715000000002847</t>
  </si>
  <si>
    <t>Vennebjerg By, Vennebjerg</t>
  </si>
  <si>
    <t>0805-4930</t>
  </si>
  <si>
    <t>570715000000002854</t>
  </si>
  <si>
    <t>0805-4932</t>
  </si>
  <si>
    <t>570715000000002861</t>
  </si>
  <si>
    <t>0805-4934</t>
  </si>
  <si>
    <t>570715000000002878</t>
  </si>
  <si>
    <t>0805-4936</t>
  </si>
  <si>
    <t>570715000000002885</t>
  </si>
  <si>
    <t>0805-4938</t>
  </si>
  <si>
    <t>570715000000003448</t>
  </si>
  <si>
    <t>Gårdbo Sø, Tversted</t>
  </si>
  <si>
    <t>1105-2310</t>
  </si>
  <si>
    <t>570715000000003455</t>
  </si>
  <si>
    <t>1105-2312</t>
  </si>
  <si>
    <t>570715000000004117</t>
  </si>
  <si>
    <t>Vollerup By, Em</t>
  </si>
  <si>
    <t>570714700000011634</t>
  </si>
  <si>
    <t>Windmatic</t>
  </si>
  <si>
    <t>VM 20 S</t>
  </si>
  <si>
    <t>60120-1</t>
  </si>
  <si>
    <t>Windmatic VM 20 S</t>
  </si>
  <si>
    <t>570714700000011641</t>
  </si>
  <si>
    <t>60120-2</t>
  </si>
  <si>
    <t>570715000000052439</t>
  </si>
  <si>
    <t>Strynø</t>
  </si>
  <si>
    <t>45f</t>
  </si>
  <si>
    <t>570715000000012204</t>
  </si>
  <si>
    <t>WW 2320-120</t>
  </si>
  <si>
    <t>Vestergård, Voer</t>
  </si>
  <si>
    <t>70039-01</t>
  </si>
  <si>
    <t>Wind World WW 2320-120</t>
  </si>
  <si>
    <t>570715000000028267</t>
  </si>
  <si>
    <t>V 20-100</t>
  </si>
  <si>
    <t>Outrup</t>
  </si>
  <si>
    <t>Vestas Wind Systems A/S V 20-100</t>
  </si>
  <si>
    <t>570715000000002007</t>
  </si>
  <si>
    <t>W 2460-100</t>
  </si>
  <si>
    <t>0106-0052</t>
  </si>
  <si>
    <t>Wind World W 2460-100</t>
  </si>
  <si>
    <t>570714700000007682</t>
  </si>
  <si>
    <t>VM 19 S</t>
  </si>
  <si>
    <t>Karrebækstorp By, Karrebæk</t>
  </si>
  <si>
    <t>Windmatic VM 19 S</t>
  </si>
  <si>
    <t>570715000000014062</t>
  </si>
  <si>
    <t>W 99 XT</t>
  </si>
  <si>
    <t>Vejerslev By, Vejerslev</t>
  </si>
  <si>
    <t>Wincon W 99 XT</t>
  </si>
  <si>
    <t>570714700000007637</t>
  </si>
  <si>
    <t>Tellus</t>
  </si>
  <si>
    <t>DW 95</t>
  </si>
  <si>
    <t>Omø By Og Sogn</t>
  </si>
  <si>
    <t>19e</t>
  </si>
  <si>
    <t>Tellus DW 95</t>
  </si>
  <si>
    <t>570714700000004728</t>
  </si>
  <si>
    <t>95-20</t>
  </si>
  <si>
    <t>Vester Såby</t>
  </si>
  <si>
    <t>44-7555</t>
  </si>
  <si>
    <t>BONUS 95-20</t>
  </si>
  <si>
    <t>570715000000064210</t>
  </si>
  <si>
    <t>Vorbasse by, Vorbasse</t>
  </si>
  <si>
    <t>570715000000032776</t>
  </si>
  <si>
    <t>Frøstrup Hgd</t>
  </si>
  <si>
    <t>570715000000024962</t>
  </si>
  <si>
    <t>Endelave By, Endelave</t>
  </si>
  <si>
    <t>570715000000029820</t>
  </si>
  <si>
    <t>32b</t>
  </si>
  <si>
    <t>570714700000004582</t>
  </si>
  <si>
    <t>TE 95</t>
  </si>
  <si>
    <t>Tellus TE 95</t>
  </si>
  <si>
    <t>570715000000030222</t>
  </si>
  <si>
    <t>V 19-90</t>
  </si>
  <si>
    <t>Vandet</t>
  </si>
  <si>
    <t>Vestas Wind Systems A/S V 19-90</t>
  </si>
  <si>
    <t>570715000000003264</t>
  </si>
  <si>
    <t>Gersholt, Torslev</t>
  </si>
  <si>
    <t>1007-0101</t>
  </si>
  <si>
    <t>570715000000003479</t>
  </si>
  <si>
    <t>Måstrup By, Mosbjerg</t>
  </si>
  <si>
    <t>1107-1101</t>
  </si>
  <si>
    <t>570715000000044526</t>
  </si>
  <si>
    <t>TE 1780</t>
  </si>
  <si>
    <t>Fjederholt, Rind</t>
  </si>
  <si>
    <t>Tellus TE 1780</t>
  </si>
  <si>
    <t>570715000000029684</t>
  </si>
  <si>
    <t>Nordvestjysk Folkecenter</t>
  </si>
  <si>
    <t>FC 4000</t>
  </si>
  <si>
    <t>Nordvestjysk Folkecenter FC 4000</t>
  </si>
  <si>
    <t>570714700000005947</t>
  </si>
  <si>
    <t>V 55-16</t>
  </si>
  <si>
    <t>Nyrup By, Raklev</t>
  </si>
  <si>
    <t>Vestas Wind Systems A/S V 55-16</t>
  </si>
  <si>
    <r>
      <rPr>
        <b val="1"/>
        <sz val="12"/>
        <color indexed="8"/>
        <rFont val="Calibri"/>
      </rPr>
      <t>Vestas.V29.225</t>
    </r>
  </si>
  <si>
    <t>570714700000005978</t>
  </si>
  <si>
    <t>570714700000005626</t>
  </si>
  <si>
    <t>V 17</t>
  </si>
  <si>
    <t>Vestas Wind Systems A/S V 17</t>
  </si>
  <si>
    <t>570714700000006760</t>
  </si>
  <si>
    <t>V 17-75</t>
  </si>
  <si>
    <t>Vestas Wind Systems A/S V 17-75</t>
  </si>
  <si>
    <t>570714700000006920</t>
  </si>
  <si>
    <t>V 55-11</t>
  </si>
  <si>
    <t>Fejø</t>
  </si>
  <si>
    <t>46c</t>
  </si>
  <si>
    <t>Vestas Wind Systems A/S V 55-11</t>
  </si>
  <si>
    <t>570714700000007019</t>
  </si>
  <si>
    <t>KallehavegårdKappel</t>
  </si>
  <si>
    <t>570714700000006982</t>
  </si>
  <si>
    <t>18-75</t>
  </si>
  <si>
    <t>Fodby,Næstved</t>
  </si>
  <si>
    <t>16 m.fl</t>
  </si>
  <si>
    <t>Vestas Wind Systems A/S 18-75</t>
  </si>
  <si>
    <t>570714700000006890</t>
  </si>
  <si>
    <t>113e</t>
  </si>
  <si>
    <t>570715000001461643</t>
  </si>
  <si>
    <t>VM 17 S</t>
  </si>
  <si>
    <t>Asperup by</t>
  </si>
  <si>
    <t>Windmatic VM 17 S</t>
  </si>
  <si>
    <t>570715000000036194</t>
  </si>
  <si>
    <t>Handbjerg Hovedgård, Handbjerg</t>
  </si>
  <si>
    <t>570715000000043550</t>
  </si>
  <si>
    <t>17 S</t>
  </si>
  <si>
    <t>Bjert By, Sahl</t>
  </si>
  <si>
    <t>Windmatic 17 S</t>
  </si>
  <si>
    <t>570715000000043567</t>
  </si>
  <si>
    <t>570715000000036125</t>
  </si>
  <si>
    <t>Brejnholt, Humlum</t>
  </si>
  <si>
    <t>570715000000039997</t>
  </si>
  <si>
    <t>Den mellemste del, Hee sogn</t>
  </si>
  <si>
    <t>570715000000041297</t>
  </si>
  <si>
    <t>V16-75</t>
  </si>
  <si>
    <t>Den østlige del Faster</t>
  </si>
  <si>
    <t>Nordex V16-75</t>
  </si>
  <si>
    <r>
      <rPr>
        <b val="1"/>
        <sz val="12"/>
        <color indexed="8"/>
        <rFont val="Calibri"/>
      </rPr>
      <t>Nordex.N27.150</t>
    </r>
  </si>
  <si>
    <t>570715000000025037</t>
  </si>
  <si>
    <t>570715000000026836</t>
  </si>
  <si>
    <t>Ølholm By</t>
  </si>
  <si>
    <t>570714700000004407</t>
  </si>
  <si>
    <t>Egedal</t>
  </si>
  <si>
    <t>Edelgave Hovedgård</t>
  </si>
  <si>
    <t>570714700000005060</t>
  </si>
  <si>
    <t>Røgerup</t>
  </si>
  <si>
    <t>570715000000005794</t>
  </si>
  <si>
    <t>Hanstholm Møllen</t>
  </si>
  <si>
    <t>HM 17 75</t>
  </si>
  <si>
    <t>Ræhr</t>
  </si>
  <si>
    <t>Hanstholm Møllen HM 17 75</t>
  </si>
  <si>
    <t>570714700000006289</t>
  </si>
  <si>
    <t>V 17-55</t>
  </si>
  <si>
    <t>Eskildstrup By, Vig</t>
  </si>
  <si>
    <t>Vestas Wind Systems A/S V 17-55</t>
  </si>
  <si>
    <t>570715000000079221</t>
  </si>
  <si>
    <t>Brund By, Hillerslev Sogn</t>
  </si>
  <si>
    <t>570714700000007194</t>
  </si>
  <si>
    <t>Rislev</t>
  </si>
  <si>
    <t>570715000000083464</t>
  </si>
  <si>
    <t>15 S</t>
  </si>
  <si>
    <t>Asnæs By</t>
  </si>
  <si>
    <t>Windmatic 15 S</t>
  </si>
  <si>
    <t>570714700000005961</t>
  </si>
  <si>
    <t>570714700000005619</t>
  </si>
  <si>
    <t>NTK 55/11</t>
  </si>
  <si>
    <t>Nordtank NTK 55/11</t>
  </si>
  <si>
    <t>570714700000006838</t>
  </si>
  <si>
    <t>Lundby By, Skælskør</t>
  </si>
  <si>
    <t>570714700000006777</t>
  </si>
  <si>
    <t>570714700000011313</t>
  </si>
  <si>
    <t>60103-1</t>
  </si>
  <si>
    <t>570715000000054327</t>
  </si>
  <si>
    <t>Føns By, Føns</t>
  </si>
  <si>
    <t>13m</t>
  </si>
  <si>
    <t>570715000000052934</t>
  </si>
  <si>
    <t>570715000000052538</t>
  </si>
  <si>
    <t>Vandmose Huse, Lunde</t>
  </si>
  <si>
    <t>33g</t>
  </si>
  <si>
    <t>570715000000051753</t>
  </si>
  <si>
    <t>HVK 55</t>
  </si>
  <si>
    <t>Herslev By, Lindelse</t>
  </si>
  <si>
    <t>Vestas Wind Systems A/S HVK 55</t>
  </si>
  <si>
    <t>570715000000032691</t>
  </si>
  <si>
    <t>Dyreby By</t>
  </si>
  <si>
    <t>570715000000032707</t>
  </si>
  <si>
    <t>V 15</t>
  </si>
  <si>
    <t>Kirkeby By</t>
  </si>
  <si>
    <t>Vestas Wind Systems A/S V 15</t>
  </si>
  <si>
    <t>570715000000033568</t>
  </si>
  <si>
    <t>Terpling By</t>
  </si>
  <si>
    <t>570715000000026751</t>
  </si>
  <si>
    <t>V 15 55/15</t>
  </si>
  <si>
    <t>Underup by Underup sogn</t>
  </si>
  <si>
    <t>Vestas Wind Systems A/S V 15 55/15</t>
  </si>
  <si>
    <t>570715000000026775</t>
  </si>
  <si>
    <t>V 55-15</t>
  </si>
  <si>
    <t>Vestbirk By, Vestbirk</t>
  </si>
  <si>
    <t>Vestas Wind Systems A/S V 55-15</t>
  </si>
  <si>
    <t>570715000000036101</t>
  </si>
  <si>
    <t>Kongensgård Hdg., Nr. Nissum</t>
  </si>
  <si>
    <t>1ih</t>
  </si>
  <si>
    <t>570715000000029530</t>
  </si>
  <si>
    <t>HVK 15</t>
  </si>
  <si>
    <t>Vestas Wind Systems A/S HVK 15</t>
  </si>
  <si>
    <t>570715000000022616</t>
  </si>
  <si>
    <t>570715000000022029</t>
  </si>
  <si>
    <t>570715000000022036</t>
  </si>
  <si>
    <t>Swinger</t>
  </si>
  <si>
    <t>T 202</t>
  </si>
  <si>
    <t>Onsbjerg by, Onsbjerg</t>
  </si>
  <si>
    <t>Swinger T 202</t>
  </si>
  <si>
    <t>570715000000032684</t>
  </si>
  <si>
    <t>Lønborggård Hgd</t>
  </si>
  <si>
    <t>34c</t>
  </si>
  <si>
    <t>570715000000040771</t>
  </si>
  <si>
    <t>V 55-16 kW</t>
  </si>
  <si>
    <t>Vestas Wind Systems A/S V 55-16 kW</t>
  </si>
  <si>
    <t>570715000000043918</t>
  </si>
  <si>
    <t>VM 17</t>
  </si>
  <si>
    <t>Barde By</t>
  </si>
  <si>
    <t>Windmatic VM 17</t>
  </si>
  <si>
    <t>570715000000015885</t>
  </si>
  <si>
    <t>NTK 55/10</t>
  </si>
  <si>
    <t>Vile by, Vile</t>
  </si>
  <si>
    <t>Nordtank NTK 55/10</t>
  </si>
  <si>
    <t>570714700000004995</t>
  </si>
  <si>
    <t>Uvelse</t>
  </si>
  <si>
    <t>12d</t>
  </si>
  <si>
    <t>570714700000004964</t>
  </si>
  <si>
    <t>Veksø</t>
  </si>
  <si>
    <t>570714700000005039</t>
  </si>
  <si>
    <t>Over Dråby</t>
  </si>
  <si>
    <t>81-11859</t>
  </si>
  <si>
    <t>570715000000088841</t>
  </si>
  <si>
    <t>Dalby By, Krogstrup</t>
  </si>
  <si>
    <t>570714700000005886</t>
  </si>
  <si>
    <t>570714700000005923</t>
  </si>
  <si>
    <t>Overby By, Odden</t>
  </si>
  <si>
    <t>570715000000011986</t>
  </si>
  <si>
    <t>Bolleenge, Dronninglund</t>
  </si>
  <si>
    <t>70020-01</t>
  </si>
  <si>
    <t>570715000000084201</t>
  </si>
  <si>
    <t>Døstrup by Døstrup</t>
  </si>
  <si>
    <t>570715000000002397</t>
  </si>
  <si>
    <t>Sdr. Harritslev By, Harritslev</t>
  </si>
  <si>
    <t>0301-0241</t>
  </si>
  <si>
    <t>570714700000004704</t>
  </si>
  <si>
    <t>Nr. Hvalsø</t>
  </si>
  <si>
    <t>570714700000006876</t>
  </si>
  <si>
    <t>Hårbølle, Askeby</t>
  </si>
  <si>
    <t>570715000000033025</t>
  </si>
  <si>
    <t>Terp By</t>
  </si>
  <si>
    <t>570714700000103605</t>
  </si>
  <si>
    <t>HVK 10</t>
  </si>
  <si>
    <t>27d</t>
  </si>
  <si>
    <t>60121-1</t>
  </si>
  <si>
    <t>Vestas Wind Systems A/S HVK 10</t>
  </si>
  <si>
    <t>570715000000022005</t>
  </si>
  <si>
    <t>570715000000056307</t>
  </si>
  <si>
    <t>V 30-15</t>
  </si>
  <si>
    <t>Videbæk By</t>
  </si>
  <si>
    <t>Vestas Wind Systems A/S V 30-15</t>
  </si>
  <si>
    <t>570715000000025044</t>
  </si>
  <si>
    <t>HVK 30</t>
  </si>
  <si>
    <t>Breth By, Barrit</t>
  </si>
  <si>
    <t>Vestas Wind Systems A/S HVK 30</t>
  </si>
  <si>
    <t>570715000001650269</t>
  </si>
  <si>
    <t>34e</t>
  </si>
  <si>
    <t>571313174000786700</t>
  </si>
  <si>
    <t>HSWind Aps</t>
  </si>
  <si>
    <t>Viking 25</t>
  </si>
  <si>
    <t>Land</t>
  </si>
  <si>
    <t>HSWind Aps Viking 25</t>
  </si>
  <si>
    <t>570715000000115493</t>
  </si>
  <si>
    <t>570715000000117428</t>
  </si>
  <si>
    <t>571313174001550812</t>
  </si>
  <si>
    <t>Solid Wind Power A/S</t>
  </si>
  <si>
    <t>SWP25-14TG20</t>
  </si>
  <si>
    <t>Solid Wind Power A/S SWP25-14TG20</t>
  </si>
  <si>
    <t>571313174000672867</t>
  </si>
  <si>
    <t>571313174002245090</t>
  </si>
  <si>
    <t>571313174001549168</t>
  </si>
  <si>
    <t>571313174001549182</t>
  </si>
  <si>
    <t>570714700000006647</t>
  </si>
  <si>
    <t>571313174000800550</t>
  </si>
  <si>
    <t>571313174001090172</t>
  </si>
  <si>
    <t>571313174001630477</t>
  </si>
  <si>
    <t>570715000001445339</t>
  </si>
  <si>
    <t>570715000001445391</t>
  </si>
  <si>
    <t>570715000001457417</t>
  </si>
  <si>
    <t>570715000001633392</t>
  </si>
  <si>
    <t>571313154314437710</t>
  </si>
  <si>
    <t>570715000001439086</t>
  </si>
  <si>
    <t>571313154317890017</t>
  </si>
  <si>
    <t>570715000001551634</t>
  </si>
  <si>
    <t>571313153200139455</t>
  </si>
  <si>
    <t>570715000000749124</t>
  </si>
  <si>
    <t>571313134499502939</t>
  </si>
  <si>
    <t>571313144500799982</t>
  </si>
  <si>
    <t>571313134402394088</t>
  </si>
  <si>
    <t>571313144500823984</t>
  </si>
  <si>
    <t>570715000001521910</t>
  </si>
  <si>
    <t>570715000001522603</t>
  </si>
  <si>
    <t>570715000001523570</t>
  </si>
  <si>
    <t>570715000001531674</t>
  </si>
  <si>
    <t>570715000001532695</t>
  </si>
  <si>
    <t>570715000001532794</t>
  </si>
  <si>
    <t>570715000001533104</t>
  </si>
  <si>
    <t>571313134499057675</t>
  </si>
  <si>
    <t>571313134499058139</t>
  </si>
  <si>
    <t>571313134499058849</t>
  </si>
  <si>
    <t>571313134499060613</t>
  </si>
  <si>
    <t>571313134499087108</t>
  </si>
  <si>
    <t>571313144100986263</t>
  </si>
  <si>
    <t>571313144100987802</t>
  </si>
  <si>
    <t>571313144100993117</t>
  </si>
  <si>
    <t>571313134402392695</t>
  </si>
  <si>
    <t>571313134402393739</t>
  </si>
  <si>
    <t>570715000000064227</t>
  </si>
  <si>
    <t>25/7,5 (55/7,5 Ombygget)</t>
  </si>
  <si>
    <t>Vestas Wind Systems A/S 25/7,5 (55/7,5 Ombygget)</t>
  </si>
  <si>
    <t>570715000000157806</t>
  </si>
  <si>
    <t>571313134402396938</t>
  </si>
  <si>
    <t>570715000000081866</t>
  </si>
  <si>
    <t>570715000000116209</t>
  </si>
  <si>
    <t>571313113162350169</t>
  </si>
  <si>
    <t>571313134808056016</t>
  </si>
  <si>
    <t>570715000000092930</t>
  </si>
  <si>
    <t>571313134700402836</t>
  </si>
  <si>
    <t>571313134808006318</t>
  </si>
  <si>
    <t>571313134700402379</t>
  </si>
  <si>
    <t>571313134700402447</t>
  </si>
  <si>
    <t>571313134700402546</t>
  </si>
  <si>
    <t>571313134700402584</t>
  </si>
  <si>
    <t>Windpower D</t>
  </si>
  <si>
    <t>175 kW</t>
  </si>
  <si>
    <t>Windpower D 175 kW</t>
  </si>
  <si>
    <t>571313134700402645</t>
  </si>
  <si>
    <t>571313134700402652</t>
  </si>
  <si>
    <t>571313134700402720</t>
  </si>
  <si>
    <t>571313134700402737</t>
  </si>
  <si>
    <t>571313134700402768</t>
  </si>
  <si>
    <t>571313134700402782</t>
  </si>
  <si>
    <t>571313134700402805</t>
  </si>
  <si>
    <t>571313134700402812</t>
  </si>
  <si>
    <t>571313134700402850</t>
  </si>
  <si>
    <t>571313134700402966</t>
  </si>
  <si>
    <t>571313134700403178</t>
  </si>
  <si>
    <t>571313134700403260</t>
  </si>
  <si>
    <t>571313134700403352</t>
  </si>
  <si>
    <t>571313134700403444</t>
  </si>
  <si>
    <t>571313134700403574</t>
  </si>
  <si>
    <t>571313134700403659</t>
  </si>
  <si>
    <t>571313134700403956</t>
  </si>
  <si>
    <t>571313134700404083</t>
  </si>
  <si>
    <t>571313134700404212</t>
  </si>
  <si>
    <t>571313134700404311</t>
  </si>
  <si>
    <t>570715000001372574</t>
  </si>
  <si>
    <t>570715000001400932</t>
  </si>
  <si>
    <t>570715000002025028</t>
  </si>
  <si>
    <t>SWP10-14TG20</t>
  </si>
  <si>
    <t>Flovlev By, Hvidbjerg</t>
  </si>
  <si>
    <t>Solid Wind Power A/S SWP10-14TG20</t>
  </si>
  <si>
    <t>571313134700402911</t>
  </si>
  <si>
    <t>570715000001396396</t>
  </si>
  <si>
    <t>570715000001396433</t>
  </si>
  <si>
    <t>570715000001598455</t>
  </si>
  <si>
    <t>571313115190478358</t>
  </si>
  <si>
    <t>571313114900747654</t>
  </si>
  <si>
    <t>571313113161939525</t>
  </si>
  <si>
    <t>571313123290061899</t>
  </si>
  <si>
    <t>Eocycle Technologies Ltd.</t>
  </si>
  <si>
    <t>TD-PT-105-0-0</t>
  </si>
  <si>
    <t>Eocycle Technologies Ltd. TD-PT-105-0-0</t>
  </si>
  <si>
    <t>570715000000084737</t>
  </si>
  <si>
    <t>570715000000088490</t>
  </si>
  <si>
    <t>570715000000088506</t>
  </si>
  <si>
    <t>570715000000091186</t>
  </si>
  <si>
    <t>570715000000115523</t>
  </si>
  <si>
    <t>570715000000497643</t>
  </si>
  <si>
    <t>571313134402395191</t>
  </si>
  <si>
    <t>571313134402407092</t>
  </si>
  <si>
    <t>571313134402408532</t>
  </si>
  <si>
    <t>571313134808005410</t>
  </si>
  <si>
    <t>571313134808005618</t>
  </si>
  <si>
    <t>571313134808005717</t>
  </si>
  <si>
    <t>571313134808005816</t>
  </si>
  <si>
    <t>571313134808006110</t>
  </si>
  <si>
    <t>571313134808056818</t>
  </si>
  <si>
    <t>570715000001379290</t>
  </si>
  <si>
    <t>570715000001379313</t>
  </si>
  <si>
    <t>570715000001430175</t>
  </si>
  <si>
    <t>571313113161611452</t>
  </si>
  <si>
    <t>571313174116625801</t>
  </si>
  <si>
    <t>571313174116025533</t>
  </si>
  <si>
    <t>Helsingør</t>
  </si>
  <si>
    <t>571313174116620486</t>
  </si>
  <si>
    <t>571313174116645441</t>
  </si>
  <si>
    <t>571313179103045457</t>
  </si>
  <si>
    <t>570714700000005503</t>
  </si>
  <si>
    <t>V 16</t>
  </si>
  <si>
    <t>Vestas Wind Systems A/S V 16</t>
  </si>
  <si>
    <t>570715000000123689</t>
  </si>
  <si>
    <t>570715000001368379</t>
  </si>
  <si>
    <t>570715000001368508</t>
  </si>
  <si>
    <t>570715000001369659</t>
  </si>
  <si>
    <t>570715000001369666</t>
  </si>
  <si>
    <t>570715000001369673</t>
  </si>
  <si>
    <t>570715000001369680</t>
  </si>
  <si>
    <t>570715000001379306</t>
  </si>
  <si>
    <t>570715000001379320</t>
  </si>
  <si>
    <t>570715000001382085</t>
  </si>
  <si>
    <t>570715000001430151</t>
  </si>
  <si>
    <t>570715000001439444</t>
  </si>
  <si>
    <t>570715000001440112</t>
  </si>
  <si>
    <t>570715000001440174</t>
  </si>
  <si>
    <t>570715000001444899</t>
  </si>
  <si>
    <t>570715000001444905</t>
  </si>
  <si>
    <t>570715000001445155</t>
  </si>
  <si>
    <t>570715000001451293</t>
  </si>
  <si>
    <t>570715000001467782</t>
  </si>
  <si>
    <t>570715000001471581</t>
  </si>
  <si>
    <t>570715000001475183</t>
  </si>
  <si>
    <t>570715000001489760</t>
  </si>
  <si>
    <t>570715000001502964</t>
  </si>
  <si>
    <t>570715000001516497</t>
  </si>
  <si>
    <t>570715000001522429</t>
  </si>
  <si>
    <t>570715000001548719</t>
  </si>
  <si>
    <t>570715000001578839</t>
  </si>
  <si>
    <t>570715000001622143</t>
  </si>
  <si>
    <t>570715000001631749</t>
  </si>
  <si>
    <t>570715000001650429</t>
  </si>
  <si>
    <t>570715000001349514</t>
  </si>
  <si>
    <t>570715000001368492</t>
  </si>
  <si>
    <t>571313103103587792</t>
  </si>
  <si>
    <t>571313103190003106</t>
  </si>
  <si>
    <t>571313105100194065</t>
  </si>
  <si>
    <t>570715000001464828</t>
  </si>
  <si>
    <t>570715000001353344</t>
  </si>
  <si>
    <t>570715000001442697</t>
  </si>
  <si>
    <t>570715000001261014</t>
  </si>
  <si>
    <t>570715000001393043</t>
  </si>
  <si>
    <t>570715000001402400</t>
  </si>
  <si>
    <t>570715000001421616</t>
  </si>
  <si>
    <t>570715000001481832</t>
  </si>
  <si>
    <t>570715000001513298</t>
  </si>
  <si>
    <t>570715000001367815</t>
  </si>
  <si>
    <t>570715000001443601</t>
  </si>
  <si>
    <t>570715000001361394</t>
  </si>
  <si>
    <t>570715000001388957</t>
  </si>
  <si>
    <t>570715000001391001</t>
  </si>
  <si>
    <t>570715000001393661</t>
  </si>
  <si>
    <t>570715000001393685</t>
  </si>
  <si>
    <t>570715000001393944</t>
  </si>
  <si>
    <t>570715000001591692</t>
  </si>
  <si>
    <t>571313102390342602</t>
  </si>
  <si>
    <t>570715000000040092</t>
  </si>
  <si>
    <t>570714700000006340</t>
  </si>
  <si>
    <t>570714700000006364</t>
  </si>
  <si>
    <t>NTK 22</t>
  </si>
  <si>
    <t>Nordtank NTK 22</t>
  </si>
  <si>
    <t>571313155200157040</t>
  </si>
  <si>
    <t>570715000000047350</t>
  </si>
  <si>
    <t>570715000000032783</t>
  </si>
  <si>
    <t>570715000000036026</t>
  </si>
  <si>
    <t>570715000000089121</t>
  </si>
  <si>
    <t>Kongsted</t>
  </si>
  <si>
    <t>NTV 22/7,5</t>
  </si>
  <si>
    <t>Kongsted NTV 22/7,5</t>
  </si>
  <si>
    <t>570715000000083662</t>
  </si>
  <si>
    <t>570715000000023781</t>
  </si>
  <si>
    <t>NTK 22/30</t>
  </si>
  <si>
    <t>Nordtank NTK 22/30</t>
  </si>
  <si>
    <t>570715000000039874</t>
  </si>
  <si>
    <t>V 12</t>
  </si>
  <si>
    <t>Vestas Wind Systems A/S V 12</t>
  </si>
  <si>
    <t>570715000000078095</t>
  </si>
  <si>
    <t>570715000000084690</t>
  </si>
  <si>
    <t>570715000000084706</t>
  </si>
  <si>
    <t>570715000000015755</t>
  </si>
  <si>
    <t>570715000000029714</t>
  </si>
  <si>
    <t>570714700000005893</t>
  </si>
  <si>
    <t>570714700000005916</t>
  </si>
  <si>
    <t>571313186000124581</t>
  </si>
  <si>
    <t>Ropatec</t>
  </si>
  <si>
    <t>Big Star Vertikal</t>
  </si>
  <si>
    <t>Ropatec Big Star Vertikal</t>
  </si>
  <si>
    <t>570715000000021411</t>
  </si>
  <si>
    <t>18 SP</t>
  </si>
  <si>
    <t>Odder 18 SP</t>
  </si>
  <si>
    <t>570714700000006623</t>
  </si>
  <si>
    <t>570714700000006401</t>
  </si>
  <si>
    <t>570715000000027468</t>
  </si>
  <si>
    <t>570715000000026805</t>
  </si>
  <si>
    <t>570715000000040085</t>
  </si>
  <si>
    <t>570714700000007323</t>
  </si>
  <si>
    <t>570714700000014109</t>
  </si>
  <si>
    <t>Kuriant</t>
  </si>
  <si>
    <t>KE 18/4</t>
  </si>
  <si>
    <t>Kuriant KE 18/4</t>
  </si>
  <si>
    <t>570714700000011658</t>
  </si>
  <si>
    <t>571313135300608116</t>
  </si>
  <si>
    <t>570715000000036002</t>
  </si>
  <si>
    <t>571313113161554032</t>
  </si>
  <si>
    <t>KE 18</t>
  </si>
  <si>
    <t>Kuriant KE 18</t>
  </si>
  <si>
    <t>570715000000063077</t>
  </si>
  <si>
    <t>570715000000005046</t>
  </si>
  <si>
    <t>570715000000003066</t>
  </si>
  <si>
    <t>570714700000006579</t>
  </si>
  <si>
    <t>POULSEN</t>
  </si>
  <si>
    <t>TYPE 2</t>
  </si>
  <si>
    <t>POULSEN TYPE 2</t>
  </si>
  <si>
    <t>570715000000054266</t>
  </si>
  <si>
    <t>570715000000052941</t>
  </si>
  <si>
    <t>570715000000015779</t>
  </si>
  <si>
    <t>570715000000040108</t>
  </si>
  <si>
    <t>KE 15</t>
  </si>
  <si>
    <t>Kuriant KE 15</t>
  </si>
  <si>
    <t>570715000000088926</t>
  </si>
  <si>
    <t>570715000000006364</t>
  </si>
  <si>
    <t>Bosted</t>
  </si>
  <si>
    <t>18-Bosted</t>
  </si>
  <si>
    <t>Bosted 18-Bosted</t>
  </si>
  <si>
    <t>570715000000137389</t>
  </si>
  <si>
    <t>570715000000022852</t>
  </si>
  <si>
    <t>570715000000022869</t>
  </si>
  <si>
    <t>570715000000148798</t>
  </si>
  <si>
    <t>571313174115835881</t>
  </si>
  <si>
    <t>Ecowind</t>
  </si>
  <si>
    <t>Proven P35-2</t>
  </si>
  <si>
    <t>Ecowind Proven P35-2</t>
  </si>
  <si>
    <t>570714700000013263</t>
  </si>
  <si>
    <t>570714700000014130</t>
  </si>
  <si>
    <t>571313174000650629</t>
  </si>
  <si>
    <t>570714700000011191</t>
  </si>
  <si>
    <t>570715000000109225</t>
  </si>
  <si>
    <t>570715000000115486</t>
  </si>
  <si>
    <t>Gaia-Wind Ltd</t>
  </si>
  <si>
    <t>HB 101</t>
  </si>
  <si>
    <t>Gaia-Wind Ltd HB 101</t>
  </si>
  <si>
    <t>571313174000823672</t>
  </si>
  <si>
    <t>570714700000014086</t>
  </si>
  <si>
    <t>570714700000014208</t>
  </si>
  <si>
    <t>570714700000014062</t>
  </si>
  <si>
    <t>570714700000014123</t>
  </si>
  <si>
    <t>570714700000014147</t>
  </si>
  <si>
    <t>570715000000084454</t>
  </si>
  <si>
    <t>570714700000004766</t>
  </si>
  <si>
    <t>571313174000610517</t>
  </si>
  <si>
    <t>570714700000014116</t>
  </si>
  <si>
    <t>570714700000014154</t>
  </si>
  <si>
    <t>570714700000103414</t>
  </si>
  <si>
    <t>570715000000087233</t>
  </si>
  <si>
    <t>571313174000741051</t>
  </si>
  <si>
    <t>570714700000014055</t>
  </si>
  <si>
    <t>570715000000125850</t>
  </si>
  <si>
    <t>570714700000013027</t>
  </si>
  <si>
    <t>571313154317654619</t>
  </si>
  <si>
    <t>570715000000064937</t>
  </si>
  <si>
    <t>570715000000052859</t>
  </si>
  <si>
    <t>570715000000050893</t>
  </si>
  <si>
    <t>570715000000107115</t>
  </si>
  <si>
    <t>570715000000458323</t>
  </si>
  <si>
    <t>570715000000034053</t>
  </si>
  <si>
    <t>570715000000034572</t>
  </si>
  <si>
    <t>Kolibri 11-Gaia-Wind</t>
  </si>
  <si>
    <t>Gaia-Wind Ltd Kolibri 11-Gaia-Wind</t>
  </si>
  <si>
    <t>570715000000035524</t>
  </si>
  <si>
    <t>570715000000088919</t>
  </si>
  <si>
    <t>570715000000024450</t>
  </si>
  <si>
    <t>570715000000050053</t>
  </si>
  <si>
    <t>Gaia 11 T202</t>
  </si>
  <si>
    <t>Gaia-Wind Ltd Gaia 11 T202</t>
  </si>
  <si>
    <t>570715000000025747</t>
  </si>
  <si>
    <t>570715000000026829</t>
  </si>
  <si>
    <t>571313113161273490</t>
  </si>
  <si>
    <t>570715000000039393</t>
  </si>
  <si>
    <t>570715000000018381</t>
  </si>
  <si>
    <t>570715000000038754</t>
  </si>
  <si>
    <t>570715000000038785</t>
  </si>
  <si>
    <t>570715000000038877</t>
  </si>
  <si>
    <t>570715000000040139</t>
  </si>
  <si>
    <t>570715000000043581</t>
  </si>
  <si>
    <t>570715000000080821</t>
  </si>
  <si>
    <t>570715000000084584</t>
  </si>
  <si>
    <t>570715000000037580</t>
  </si>
  <si>
    <t>570715000000038761</t>
  </si>
  <si>
    <t>570715000000038778</t>
  </si>
  <si>
    <t>570715000000038860</t>
  </si>
  <si>
    <t>570715000000117848</t>
  </si>
  <si>
    <t>570715000000021626</t>
  </si>
  <si>
    <t>570715000000084294</t>
  </si>
  <si>
    <t>WEG</t>
  </si>
  <si>
    <t>11 kW</t>
  </si>
  <si>
    <t>WEG 11 kW</t>
  </si>
  <si>
    <t>570715000000420979</t>
  </si>
  <si>
    <t>570715000000015106</t>
  </si>
  <si>
    <t>570715000000089305</t>
  </si>
  <si>
    <t>570715000000132544</t>
  </si>
  <si>
    <t>570715000000088940</t>
  </si>
  <si>
    <t>570715000000019432</t>
  </si>
  <si>
    <t>Dansk Vindkraft Service</t>
  </si>
  <si>
    <t>D22/12,8</t>
  </si>
  <si>
    <t>Dansk Vindkraft Service D22/12,8</t>
  </si>
  <si>
    <t>570715000000020612</t>
  </si>
  <si>
    <t xml:space="preserve">Gaia 11 </t>
  </si>
  <si>
    <t xml:space="preserve">Gaia-Wind Ltd Gaia 11 </t>
  </si>
  <si>
    <t>570715000000023774</t>
  </si>
  <si>
    <t>571313114900728189</t>
  </si>
  <si>
    <t>570715000000064630</t>
  </si>
  <si>
    <t>570715000000091285</t>
  </si>
  <si>
    <t>570715000000111280</t>
  </si>
  <si>
    <t>570715000000138171</t>
  </si>
  <si>
    <t>570715000000144110</t>
  </si>
  <si>
    <t>570715000000158827</t>
  </si>
  <si>
    <t>570715000000022890</t>
  </si>
  <si>
    <t>570715000000058059</t>
  </si>
  <si>
    <t>570715000000088476</t>
  </si>
  <si>
    <t>570715000000025426</t>
  </si>
  <si>
    <t>570715000000025730</t>
  </si>
  <si>
    <t>570715000000123092</t>
  </si>
  <si>
    <t>570715000000160417</t>
  </si>
  <si>
    <t>570715000001374141</t>
  </si>
  <si>
    <t>570715000000034350</t>
  </si>
  <si>
    <t>570715000000083259</t>
  </si>
  <si>
    <t>570715000000026843</t>
  </si>
  <si>
    <t>570715000000083280</t>
  </si>
  <si>
    <t>570715000000083389</t>
  </si>
  <si>
    <t>570715000000084195</t>
  </si>
  <si>
    <t>570715000000028809</t>
  </si>
  <si>
    <t>571313113161549274</t>
  </si>
  <si>
    <t>570714700000105890</t>
  </si>
  <si>
    <t>Ishøj</t>
  </si>
  <si>
    <t>570714700000104626</t>
  </si>
  <si>
    <t>570715000000083419</t>
  </si>
  <si>
    <t>570715000000171765</t>
  </si>
  <si>
    <t>570714700000014352</t>
  </si>
  <si>
    <t>570715000000029776</t>
  </si>
  <si>
    <t>570715000000120831</t>
  </si>
  <si>
    <t>570714700000014048</t>
  </si>
  <si>
    <t>570714700000011757</t>
  </si>
  <si>
    <t>570714700000012587</t>
  </si>
  <si>
    <t>570714700000012600</t>
  </si>
  <si>
    <t>570715000000084621</t>
  </si>
  <si>
    <t>570715000000014208</t>
  </si>
  <si>
    <t>570715000000014260</t>
  </si>
  <si>
    <t>KE 11</t>
  </si>
  <si>
    <t>Kuriant KE 11</t>
  </si>
  <si>
    <t>570715000000014284</t>
  </si>
  <si>
    <t>570715000000014338</t>
  </si>
  <si>
    <t>570715000000115882</t>
  </si>
  <si>
    <t>570715000000004209</t>
  </si>
  <si>
    <t>570715000000083433</t>
  </si>
  <si>
    <t>Ter-30A 11/100/B3T</t>
  </si>
  <si>
    <t>Gaia-Wind Ltd Ter-30A 11/100/B3T</t>
  </si>
  <si>
    <t>570715000000081248</t>
  </si>
  <si>
    <t>570714700000013256</t>
  </si>
  <si>
    <t>570715000000088995</t>
  </si>
  <si>
    <t>570715000000089107</t>
  </si>
  <si>
    <t>570715000000104381</t>
  </si>
  <si>
    <t>571313174000804817</t>
  </si>
  <si>
    <t>571313174001563744</t>
  </si>
  <si>
    <t>571313174001571824</t>
  </si>
  <si>
    <t>571313174001596582</t>
  </si>
  <si>
    <t>571313174001768668</t>
  </si>
  <si>
    <t>KVA Vind</t>
  </si>
  <si>
    <t>KVA Vind 10-10</t>
  </si>
  <si>
    <t>KVA Vind KVA Vind 10-10</t>
  </si>
  <si>
    <t>571313174000803322</t>
  </si>
  <si>
    <t>571313174000809805</t>
  </si>
  <si>
    <t>571313174000827052</t>
  </si>
  <si>
    <t>571313174001564222</t>
  </si>
  <si>
    <t>Gaia Wind 133-10 kW</t>
  </si>
  <si>
    <t>Gaia-Wind Ltd Gaia Wind 133-10 kW</t>
  </si>
  <si>
    <t>571313174000805401</t>
  </si>
  <si>
    <t>571313174001608377</t>
  </si>
  <si>
    <t>571313174000795078</t>
  </si>
  <si>
    <t>571313174000795535</t>
  </si>
  <si>
    <t>571313174000819422</t>
  </si>
  <si>
    <t>571313174000823771</t>
  </si>
  <si>
    <t>571313174000841232</t>
  </si>
  <si>
    <t>571313174001092978</t>
  </si>
  <si>
    <t>571313174001093289</t>
  </si>
  <si>
    <t>571313174001547348</t>
  </si>
  <si>
    <t>571313174001548079</t>
  </si>
  <si>
    <t>571313174001561863</t>
  </si>
  <si>
    <t>571313174001570131</t>
  </si>
  <si>
    <t>571313174001572838</t>
  </si>
  <si>
    <t>571313174001683404</t>
  </si>
  <si>
    <t>571313174001629662</t>
  </si>
  <si>
    <t>571313174000783013</t>
  </si>
  <si>
    <t>571313174000804176</t>
  </si>
  <si>
    <t>571313174000837839</t>
  </si>
  <si>
    <t>571313174001618079</t>
  </si>
  <si>
    <t>571313174001553455</t>
  </si>
  <si>
    <t>571313174002262257</t>
  </si>
  <si>
    <t>571313174116645946</t>
  </si>
  <si>
    <t>571313174000804039</t>
  </si>
  <si>
    <t>571313174000804046</t>
  </si>
  <si>
    <t>571313174000810504</t>
  </si>
  <si>
    <t>571313174000815783</t>
  </si>
  <si>
    <t>571313174000817046</t>
  </si>
  <si>
    <t>571313174000834500</t>
  </si>
  <si>
    <t>571313174000841348</t>
  </si>
  <si>
    <t>SWP-10-16 TG20</t>
  </si>
  <si>
    <t>Solid Wind Power A/S SWP-10-16 TG20</t>
  </si>
  <si>
    <t>571313174001086366</t>
  </si>
  <si>
    <t>571313174001543890</t>
  </si>
  <si>
    <t>571313174001572166</t>
  </si>
  <si>
    <t>571313174001639432</t>
  </si>
  <si>
    <t>571313174000778217</t>
  </si>
  <si>
    <t>571313174000793715</t>
  </si>
  <si>
    <t>571313174000799663</t>
  </si>
  <si>
    <t>571313174000827137</t>
  </si>
  <si>
    <t>571313174001629624</t>
  </si>
  <si>
    <t>571313174000783242</t>
  </si>
  <si>
    <t>571313174000783426</t>
  </si>
  <si>
    <t>571313174000786052</t>
  </si>
  <si>
    <t>571313174000791339</t>
  </si>
  <si>
    <t>571313174000798857</t>
  </si>
  <si>
    <t>571313174000804336</t>
  </si>
  <si>
    <t>571313174000833770</t>
  </si>
  <si>
    <t>571313174000834562</t>
  </si>
  <si>
    <t>571313174000834876</t>
  </si>
  <si>
    <t>571313174000835323</t>
  </si>
  <si>
    <t>571313174000836832</t>
  </si>
  <si>
    <t>571313174001086496</t>
  </si>
  <si>
    <t>571313174001093029</t>
  </si>
  <si>
    <t>571313174001549335</t>
  </si>
  <si>
    <t>571313174001561535</t>
  </si>
  <si>
    <t>571313174001563973</t>
  </si>
  <si>
    <t>571313174001564185</t>
  </si>
  <si>
    <t>571313174001568428</t>
  </si>
  <si>
    <t>571313174001571350</t>
  </si>
  <si>
    <t>571313174001572319</t>
  </si>
  <si>
    <t>571313174001582417</t>
  </si>
  <si>
    <t>571313174001601033</t>
  </si>
  <si>
    <t>571313174001626876</t>
  </si>
  <si>
    <t>571313174002123121</t>
  </si>
  <si>
    <t>Osiris Energy Co., Ltd</t>
  </si>
  <si>
    <t>Osiris 10</t>
  </si>
  <si>
    <t>Osiris Energy Co., Ltd Osiris 10</t>
  </si>
  <si>
    <t>571313174000821524</t>
  </si>
  <si>
    <t>571313174000823283</t>
  </si>
  <si>
    <t>571313174000834913</t>
  </si>
  <si>
    <t>571313174001092503</t>
  </si>
  <si>
    <t>571313174001553493</t>
  </si>
  <si>
    <t>571313174001605994</t>
  </si>
  <si>
    <t>570715000001382276</t>
  </si>
  <si>
    <t>570715000001461117</t>
  </si>
  <si>
    <t>570715000001461179</t>
  </si>
  <si>
    <t>570715000001468154</t>
  </si>
  <si>
    <t>570715000001481054</t>
  </si>
  <si>
    <t>570715000001481085</t>
  </si>
  <si>
    <t>570715000001498670</t>
  </si>
  <si>
    <t>570715000001498687</t>
  </si>
  <si>
    <t>570715000001501158</t>
  </si>
  <si>
    <t>570715000001521750</t>
  </si>
  <si>
    <t>570715000001551474</t>
  </si>
  <si>
    <t>570715000001551825</t>
  </si>
  <si>
    <t>570715000001572417</t>
  </si>
  <si>
    <t>570715000002034358</t>
  </si>
  <si>
    <t>571313154314591313</t>
  </si>
  <si>
    <t>Viking 10VS</t>
  </si>
  <si>
    <t>HSWind Aps Viking 10VS</t>
  </si>
  <si>
    <t>571313154314597216</t>
  </si>
  <si>
    <t>570715000001554383</t>
  </si>
  <si>
    <t>570715000001579065</t>
  </si>
  <si>
    <t>571313154314576716</t>
  </si>
  <si>
    <t>571313154314586418</t>
  </si>
  <si>
    <t>571313154314591610</t>
  </si>
  <si>
    <t>571313154314592716</t>
  </si>
  <si>
    <t>570715000001437129</t>
  </si>
  <si>
    <t>570715000001447623</t>
  </si>
  <si>
    <t>570715000001456540</t>
  </si>
  <si>
    <t>570715000001457097</t>
  </si>
  <si>
    <t>570715000001457127</t>
  </si>
  <si>
    <t>571313154317942617</t>
  </si>
  <si>
    <t>571313154314609315</t>
  </si>
  <si>
    <t>571313154317919817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</si>
  <si>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</si>
  <si>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</si>
  <si>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</si>
  <si>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</si>
  <si>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</si>
  <si>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</si>
  <si>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</si>
  <si>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571313153200139486</t>
  </si>
  <si>
    <t>571313153200139509</t>
  </si>
  <si>
    <t>571313153200139516</t>
  </si>
  <si>
    <t>571313153200139530</t>
  </si>
  <si>
    <t>571313153299053205</t>
  </si>
  <si>
    <t>571313144300100278</t>
  </si>
  <si>
    <t>571313144300100599</t>
  </si>
  <si>
    <t>571313134499053264</t>
  </si>
  <si>
    <t>571313144100988199</t>
  </si>
  <si>
    <t>571313144100988526</t>
  </si>
  <si>
    <t>571313144500808264</t>
  </si>
  <si>
    <t>570715000001493651</t>
  </si>
  <si>
    <t>CIRKEL Energi</t>
  </si>
  <si>
    <t>V/12M/S</t>
  </si>
  <si>
    <t>CIRKEL Energi V/12M/S</t>
  </si>
  <si>
    <t>570715000001501547</t>
  </si>
  <si>
    <t>570715000001546791</t>
  </si>
  <si>
    <t>571313134499056678</t>
  </si>
  <si>
    <t>571313134499057453</t>
  </si>
  <si>
    <t>571313134499057613</t>
  </si>
  <si>
    <t>571313134499058443</t>
  </si>
  <si>
    <t>571313134499071558</t>
  </si>
  <si>
    <t>571313134499218670</t>
  </si>
  <si>
    <t>571313144500816948</t>
  </si>
  <si>
    <t>571313144500821898</t>
  </si>
  <si>
    <t>571313144500821911</t>
  </si>
  <si>
    <t>570715000001515971</t>
  </si>
  <si>
    <t>570715000001516145</t>
  </si>
  <si>
    <t>570715000001516220</t>
  </si>
  <si>
    <t>570715000001517791</t>
  </si>
  <si>
    <t>570715000001517838</t>
  </si>
  <si>
    <t>570715000001518026</t>
  </si>
  <si>
    <t>570715000001518125</t>
  </si>
  <si>
    <t>570715000001518279</t>
  </si>
  <si>
    <t>570715000001518545</t>
  </si>
  <si>
    <t>570715000001518590</t>
  </si>
  <si>
    <t>570715000001519344</t>
  </si>
  <si>
    <t>570715000001520456</t>
  </si>
  <si>
    <t>570715000001521248</t>
  </si>
  <si>
    <t>570715000001523396</t>
  </si>
  <si>
    <t>570715000001530141</t>
  </si>
  <si>
    <t>570715000001532251</t>
  </si>
  <si>
    <t>570715000001532893</t>
  </si>
  <si>
    <t>570715000001532909</t>
  </si>
  <si>
    <t>570715000001545299</t>
  </si>
  <si>
    <t>570715000001545343</t>
  </si>
  <si>
    <t>571313134499055091</t>
  </si>
  <si>
    <t>571313134499055305</t>
  </si>
  <si>
    <t>571313134499058375</t>
  </si>
  <si>
    <t>571313134499058511</t>
  </si>
  <si>
    <t>571313134499058917</t>
  </si>
  <si>
    <t>571313134499059006</t>
  </si>
  <si>
    <t>571313134499059334</t>
  </si>
  <si>
    <t>571313134499060231</t>
  </si>
  <si>
    <t>571313134499060545</t>
  </si>
  <si>
    <t>571313134499060811</t>
  </si>
  <si>
    <t>571313134499065663</t>
  </si>
  <si>
    <t>571313134499070315</t>
  </si>
  <si>
    <t>571313134499070674</t>
  </si>
  <si>
    <t>571313134499070902</t>
  </si>
  <si>
    <t>571313134499080338</t>
  </si>
  <si>
    <t>571313134499089010</t>
  </si>
  <si>
    <t>571313134499089065</t>
  </si>
  <si>
    <t>571313134499090061</t>
  </si>
  <si>
    <t>571313134499092751</t>
  </si>
  <si>
    <t>571313134499127989</t>
  </si>
  <si>
    <t>KVA Vind 10</t>
  </si>
  <si>
    <t>KVA Vind KVA Vind 10</t>
  </si>
  <si>
    <t>571313134499129921</t>
  </si>
  <si>
    <t>571313144100983552</t>
  </si>
  <si>
    <t>571313144100985815</t>
  </si>
  <si>
    <t>571313144100988304</t>
  </si>
  <si>
    <t>571313144100988373</t>
  </si>
  <si>
    <t>571313144100989530</t>
  </si>
  <si>
    <t>571313144100989776</t>
  </si>
  <si>
    <t>571313144100989820</t>
  </si>
  <si>
    <t>571313144100989912</t>
  </si>
  <si>
    <t>571313144100991366</t>
  </si>
  <si>
    <t>571313144100991380</t>
  </si>
  <si>
    <t>571313144100991588</t>
  </si>
  <si>
    <t>571313144100991632</t>
  </si>
  <si>
    <t>571313144100991755</t>
  </si>
  <si>
    <t>571313144100991816</t>
  </si>
  <si>
    <t>571313144100991830</t>
  </si>
  <si>
    <t>571313144100991854</t>
  </si>
  <si>
    <t>571313144100991960</t>
  </si>
  <si>
    <t>571313144100992769</t>
  </si>
  <si>
    <t>571313144100993001</t>
  </si>
  <si>
    <t>570715000001523204</t>
  </si>
  <si>
    <t>571313134499053578</t>
  </si>
  <si>
    <t>571313134499055640</t>
  </si>
  <si>
    <t>571313134499083841</t>
  </si>
  <si>
    <t>571313134499566092</t>
  </si>
  <si>
    <t>571313144100983859</t>
  </si>
  <si>
    <t>571313144100991922</t>
  </si>
  <si>
    <t>570715000001517852</t>
  </si>
  <si>
    <t>570715000001518583</t>
  </si>
  <si>
    <t>570715000001532114</t>
  </si>
  <si>
    <t>571313134402393715</t>
  </si>
  <si>
    <t>GeoDanmark, 12-03-2017</t>
  </si>
  <si>
    <t>571313134402401977</t>
  </si>
  <si>
    <t>571313134402404152</t>
  </si>
  <si>
    <t>571313134402405944</t>
  </si>
  <si>
    <t>571313134402407498</t>
  </si>
  <si>
    <t>571313134402407870</t>
  </si>
  <si>
    <t>571313134402410177</t>
  </si>
  <si>
    <t>571313134402410924</t>
  </si>
  <si>
    <t>571313134402415462</t>
  </si>
  <si>
    <t>571313134499056821</t>
  </si>
  <si>
    <t>571313134499081236</t>
  </si>
  <si>
    <t>571313134499084107</t>
  </si>
  <si>
    <t>571313134499090153</t>
  </si>
  <si>
    <t>571313134499090696</t>
  </si>
  <si>
    <t>570715000001515247</t>
  </si>
  <si>
    <t>571313134402397607</t>
  </si>
  <si>
    <t>571313134402405777</t>
  </si>
  <si>
    <t>571313134499053790</t>
  </si>
  <si>
    <t>570715000001516657</t>
  </si>
  <si>
    <t>571313134499053622</t>
  </si>
  <si>
    <t>571313134499053950</t>
  </si>
  <si>
    <t>571313134499053998</t>
  </si>
  <si>
    <t>571313134499054049</t>
  </si>
  <si>
    <t>571313134499055350</t>
  </si>
  <si>
    <t>571313134499055954</t>
  </si>
  <si>
    <t>571313134499055992</t>
  </si>
  <si>
    <t>571313134499056937</t>
  </si>
  <si>
    <t>571313134499061627</t>
  </si>
  <si>
    <t>571313134499063171</t>
  </si>
  <si>
    <t>571313134499063232</t>
  </si>
  <si>
    <t>571313134499083063</t>
  </si>
  <si>
    <t>571313134499089980</t>
  </si>
  <si>
    <t>571313134499090023</t>
  </si>
  <si>
    <t>571313144500800442</t>
  </si>
  <si>
    <t>571313144500801128</t>
  </si>
  <si>
    <t>571313144500808196</t>
  </si>
  <si>
    <t>571313124490014487</t>
  </si>
  <si>
    <t>571313113162041586</t>
  </si>
  <si>
    <t>571313134499062457</t>
  </si>
  <si>
    <t>571313134499221779</t>
  </si>
  <si>
    <t>570715000001454317</t>
  </si>
  <si>
    <t>570715000001483188</t>
  </si>
  <si>
    <t>570715000001563378</t>
  </si>
  <si>
    <t>571313124800066571</t>
  </si>
  <si>
    <t>571313124800067073</t>
  </si>
  <si>
    <t>571313124890992699</t>
  </si>
  <si>
    <t>571313124890993696</t>
  </si>
  <si>
    <t>570715000001512888</t>
  </si>
  <si>
    <t>571313113162250582</t>
  </si>
  <si>
    <t>571313134700402751</t>
  </si>
  <si>
    <t>571313134700403277</t>
  </si>
  <si>
    <t>571313134808007315</t>
  </si>
  <si>
    <t>571313134890158384</t>
  </si>
  <si>
    <t>571313134890183935</t>
  </si>
  <si>
    <t>571313135300538949</t>
  </si>
  <si>
    <t>571313135300539045</t>
  </si>
  <si>
    <t>Zenia Energy</t>
  </si>
  <si>
    <t>Zenia ZA 10</t>
  </si>
  <si>
    <t>Zenia Energy Zenia ZA 10</t>
  </si>
  <si>
    <t>571313135300541000</t>
  </si>
  <si>
    <t>571313135300544926</t>
  </si>
  <si>
    <t>571313135300584830</t>
  </si>
  <si>
    <t>571313135300607782</t>
  </si>
  <si>
    <t>571313135300608260</t>
  </si>
  <si>
    <t>571313135300609328</t>
  </si>
  <si>
    <t>571313135300609342</t>
  </si>
  <si>
    <t>571313135300609366</t>
  </si>
  <si>
    <t>571313135300613141</t>
  </si>
  <si>
    <t>571313135300613257</t>
  </si>
  <si>
    <t>571313135300613332</t>
  </si>
  <si>
    <t>571313135300616357</t>
  </si>
  <si>
    <t>571313135300616562</t>
  </si>
  <si>
    <t>571313135300620774</t>
  </si>
  <si>
    <t>571313113162092397</t>
  </si>
  <si>
    <t>571313134700402591</t>
  </si>
  <si>
    <t>571313134700403222</t>
  </si>
  <si>
    <t>571313134700403390</t>
  </si>
  <si>
    <t>571313134700403406</t>
  </si>
  <si>
    <t>571313134700403437</t>
  </si>
  <si>
    <t>571313134700403543</t>
  </si>
  <si>
    <t>571313134700403581</t>
  </si>
  <si>
    <t>571313134700403604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</si>
  <si>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</si>
  <si>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</si>
  <si>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</si>
  <si>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</si>
  <si>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</si>
  <si>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</si>
  <si>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571313134700404076</t>
  </si>
  <si>
    <t>571313134700404113</t>
  </si>
  <si>
    <t>571313134700404229</t>
  </si>
  <si>
    <t>571313134890184192</t>
  </si>
  <si>
    <t>571313134890188114</t>
  </si>
  <si>
    <t>571313135100238803</t>
  </si>
  <si>
    <t>571313135100241148</t>
  </si>
  <si>
    <t>571313135300538772</t>
  </si>
  <si>
    <t>571313134700402577</t>
  </si>
  <si>
    <t>Genvind</t>
  </si>
  <si>
    <t>GV 20</t>
  </si>
  <si>
    <t>Genvind GV 20</t>
  </si>
  <si>
    <t>571313134700402744</t>
  </si>
  <si>
    <t>571313134700402799</t>
  </si>
  <si>
    <t>571313134700402829</t>
  </si>
  <si>
    <t>571313134700402867</t>
  </si>
  <si>
    <t>571313134700402874</t>
  </si>
  <si>
    <t>571313134700402904</t>
  </si>
  <si>
    <t>571313134700402928</t>
  </si>
  <si>
    <t>571313134700402935</t>
  </si>
  <si>
    <t>571313134700402942</t>
  </si>
  <si>
    <t>571313134700402959</t>
  </si>
  <si>
    <t>571313134700402973</t>
  </si>
  <si>
    <t>571313134700403109</t>
  </si>
  <si>
    <t>571313134700403116</t>
  </si>
  <si>
    <t>571313134700403123</t>
  </si>
  <si>
    <t>571313134700403130</t>
  </si>
  <si>
    <t>571313134700403147</t>
  </si>
  <si>
    <t>571313134700403154</t>
  </si>
  <si>
    <t>571313134700403161</t>
  </si>
  <si>
    <t>571313134700403185</t>
  </si>
  <si>
    <t>571313134700403192</t>
  </si>
  <si>
    <t>571313134700403208</t>
  </si>
  <si>
    <t>571313134700403215</t>
  </si>
  <si>
    <t>571313134700403239</t>
  </si>
  <si>
    <t>571313134700403246</t>
  </si>
  <si>
    <t>571313134700403253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</si>
  <si>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</si>
  <si>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</si>
  <si>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</si>
  <si>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</si>
  <si>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</si>
  <si>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</si>
  <si>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</si>
  <si>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571313134700403369</t>
  </si>
  <si>
    <t>571313134700403376</t>
  </si>
  <si>
    <t>571313134700403383</t>
  </si>
  <si>
    <t>571313134700403413</t>
  </si>
  <si>
    <t>571313134700403420</t>
  </si>
  <si>
    <t>571313134700403451</t>
  </si>
  <si>
    <t>571313134700403468</t>
  </si>
  <si>
    <t>571313134700403482</t>
  </si>
  <si>
    <t>571313134700403499</t>
  </si>
  <si>
    <t>571313134700403512</t>
  </si>
  <si>
    <t>571313134700403529</t>
  </si>
  <si>
    <t>571313134700403536</t>
  </si>
  <si>
    <t>571313134700403550</t>
  </si>
  <si>
    <t>571313134700403567</t>
  </si>
  <si>
    <t>571313134700403598</t>
  </si>
  <si>
    <t>571313134700403611</t>
  </si>
  <si>
    <t>571313134700403628</t>
  </si>
  <si>
    <t>571313134700403642</t>
  </si>
  <si>
    <t>571313134700403666</t>
  </si>
  <si>
    <t>571313134700403673</t>
  </si>
  <si>
    <t>571313134700403680</t>
  </si>
  <si>
    <t>571313134700403949</t>
  </si>
  <si>
    <t>571313134700403963</t>
  </si>
  <si>
    <t>571313134700403970</t>
  </si>
  <si>
    <t>571313134700403987</t>
  </si>
  <si>
    <t>571313134700404106</t>
  </si>
  <si>
    <t>571313134700404137</t>
  </si>
  <si>
    <t>571313134700404267</t>
  </si>
  <si>
    <t>571313134700404274</t>
  </si>
  <si>
    <t>571313134700404298</t>
  </si>
  <si>
    <t>571313134700404304</t>
  </si>
  <si>
    <t>571313134700404427</t>
  </si>
  <si>
    <t>571313134700404434</t>
  </si>
  <si>
    <t>570715000001440181</t>
  </si>
  <si>
    <t>570715000001451262</t>
  </si>
  <si>
    <t>570715000001488442</t>
  </si>
  <si>
    <t>570715000001496546</t>
  </si>
  <si>
    <t>570715000001496553</t>
  </si>
  <si>
    <t>570715000001496560</t>
  </si>
  <si>
    <t>570715000001496577</t>
  </si>
  <si>
    <t>570715000001496607</t>
  </si>
  <si>
    <t>570715000001499011</t>
  </si>
  <si>
    <t>570715000001499035</t>
  </si>
  <si>
    <t>570715000001531704</t>
  </si>
  <si>
    <t>570715000001550002</t>
  </si>
  <si>
    <t>570715000001551245</t>
  </si>
  <si>
    <t>570715000001551252</t>
  </si>
  <si>
    <t>570715000001555151</t>
  </si>
  <si>
    <t>571313134700402775</t>
  </si>
  <si>
    <t>571313134700402881</t>
  </si>
  <si>
    <t>571313134700403475</t>
  </si>
  <si>
    <t>571313134700403505</t>
  </si>
  <si>
    <t>571313134700403635</t>
  </si>
  <si>
    <t>571313134700403697</t>
  </si>
  <si>
    <t>571313134700403994</t>
  </si>
  <si>
    <t>571313134700404007</t>
  </si>
  <si>
    <t>571313134700404090</t>
  </si>
  <si>
    <t>570715000001396884</t>
  </si>
  <si>
    <t>570715000001443564</t>
  </si>
  <si>
    <t>570715000001446725</t>
  </si>
  <si>
    <t>570715000001447418</t>
  </si>
  <si>
    <t>570715000001478160</t>
  </si>
  <si>
    <t>570715000001479013</t>
  </si>
  <si>
    <t>570715000001485090</t>
  </si>
  <si>
    <t>570715000001503329</t>
  </si>
  <si>
    <t>570715000001506184</t>
  </si>
  <si>
    <t>570715000001506467</t>
  </si>
  <si>
    <t>570715000001523419</t>
  </si>
  <si>
    <t>570715000001545305</t>
  </si>
  <si>
    <t>570715000001408846</t>
  </si>
  <si>
    <t>570715000001504043</t>
  </si>
  <si>
    <t>570715000001506498</t>
  </si>
  <si>
    <t>570715000001506726</t>
  </si>
  <si>
    <t>570715000001507266</t>
  </si>
  <si>
    <t>570715000001510723</t>
  </si>
  <si>
    <t>570715000001515353</t>
  </si>
  <si>
    <t>570715000001558046</t>
  </si>
  <si>
    <t>570715000001558299</t>
  </si>
  <si>
    <t>570715000001575104</t>
  </si>
  <si>
    <t>571313114900743984</t>
  </si>
  <si>
    <t>571313114900969469</t>
  </si>
  <si>
    <t>571313114900972353</t>
  </si>
  <si>
    <t>571313113162073761</t>
  </si>
  <si>
    <t>571313114900984226</t>
  </si>
  <si>
    <t>570715000001555380</t>
  </si>
  <si>
    <t>571313123291370181</t>
  </si>
  <si>
    <t>571313123291370259</t>
  </si>
  <si>
    <t>571313114900739536</t>
  </si>
  <si>
    <t>571313114900962644</t>
  </si>
  <si>
    <t>571313114900963412</t>
  </si>
  <si>
    <t>571313114900973022</t>
  </si>
  <si>
    <t>571313114900973305</t>
  </si>
  <si>
    <t>571313114900973596</t>
  </si>
  <si>
    <t>571313114900981652</t>
  </si>
  <si>
    <t>571313113161579509</t>
  </si>
  <si>
    <t>571313113161591259</t>
  </si>
  <si>
    <t>571313113162079640</t>
  </si>
  <si>
    <t>571313115190409314</t>
  </si>
  <si>
    <t>THY møllen Aps</t>
  </si>
  <si>
    <t>TWP-40-10</t>
  </si>
  <si>
    <t>THY møllen Aps TWP-40-10</t>
  </si>
  <si>
    <t>571313113162047908</t>
  </si>
  <si>
    <t>570715000001456410</t>
  </si>
  <si>
    <t>570715000001456465</t>
  </si>
  <si>
    <t>570715000001492197</t>
  </si>
  <si>
    <t>570715000001514646</t>
  </si>
  <si>
    <t>571313123290006524</t>
  </si>
  <si>
    <t>570715000001366719</t>
  </si>
  <si>
    <t>570715000001443465</t>
  </si>
  <si>
    <t>570715000001510945</t>
  </si>
  <si>
    <t>571313113162017680</t>
  </si>
  <si>
    <t>571313113162366061</t>
  </si>
  <si>
    <t>571313135300612885</t>
  </si>
  <si>
    <t>570715000001516626</t>
  </si>
  <si>
    <t>570715000001517982</t>
  </si>
  <si>
    <t>570715000001522252</t>
  </si>
  <si>
    <t>570715000001523365</t>
  </si>
  <si>
    <t>570715000001532350</t>
  </si>
  <si>
    <t>570715000001544414</t>
  </si>
  <si>
    <t>571313134402408167</t>
  </si>
  <si>
    <t>571313134402415424</t>
  </si>
  <si>
    <t>571313134402416834</t>
  </si>
  <si>
    <t>571313134499053073</t>
  </si>
  <si>
    <t>571313134499085807</t>
  </si>
  <si>
    <t>571313134808005519</t>
  </si>
  <si>
    <t>571313134808005915</t>
  </si>
  <si>
    <t>571313134808006011</t>
  </si>
  <si>
    <t>571313134808006219</t>
  </si>
  <si>
    <t>571313134808006417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</si>
  <si>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</si>
  <si>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</si>
  <si>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</si>
  <si>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</si>
  <si>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</si>
  <si>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</si>
  <si>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571313134808007919</t>
  </si>
  <si>
    <t>571313134808008015</t>
  </si>
  <si>
    <t>571313134808008114</t>
  </si>
  <si>
    <t>571313134808008213</t>
  </si>
  <si>
    <t>571313134808008411</t>
  </si>
  <si>
    <t>571313134808008510</t>
  </si>
  <si>
    <t>571313134808008619</t>
  </si>
  <si>
    <t>571313134808008718</t>
  </si>
  <si>
    <t>571313134808008817</t>
  </si>
  <si>
    <t>571313134890158353</t>
  </si>
  <si>
    <t>571313134890158445</t>
  </si>
  <si>
    <t>571313134890158476</t>
  </si>
  <si>
    <t>571313134890171901</t>
  </si>
  <si>
    <t>571313134890181993</t>
  </si>
  <si>
    <t>571313134890182037</t>
  </si>
  <si>
    <t>571313134890182259</t>
  </si>
  <si>
    <t>571313134890182365</t>
  </si>
  <si>
    <t>571313134890182433</t>
  </si>
  <si>
    <t>571313134890182587</t>
  </si>
  <si>
    <t>571313134890182686</t>
  </si>
  <si>
    <t>571313134890183164</t>
  </si>
  <si>
    <t>571313134890183874</t>
  </si>
  <si>
    <t>571313134890184239</t>
  </si>
  <si>
    <t>571313134890184468</t>
  </si>
  <si>
    <t>571313134890184925</t>
  </si>
  <si>
    <t>571313134890185038</t>
  </si>
  <si>
    <t>571313134890185939</t>
  </si>
  <si>
    <t>571313134890186967</t>
  </si>
  <si>
    <t>571313134890187537</t>
  </si>
  <si>
    <t>571313134890189388</t>
  </si>
  <si>
    <t>571313134890195860</t>
  </si>
  <si>
    <t>571313135300541611</t>
  </si>
  <si>
    <t>571313135300543905</t>
  </si>
  <si>
    <t>571313135300613271</t>
  </si>
  <si>
    <t>571313135300615909</t>
  </si>
  <si>
    <t>571313135300616715</t>
  </si>
  <si>
    <t>571313135300616746</t>
  </si>
  <si>
    <t>570715000001403421</t>
  </si>
  <si>
    <t>570715000001443540</t>
  </si>
  <si>
    <t>570715000001519016</t>
  </si>
  <si>
    <t>570715000001523709</t>
  </si>
  <si>
    <t>571313113162059024</t>
  </si>
  <si>
    <t>571313113162080264</t>
  </si>
  <si>
    <t>570715000001400994</t>
  </si>
  <si>
    <t>570715000001417176</t>
  </si>
  <si>
    <t>570715000001430137</t>
  </si>
  <si>
    <t>570715000001430168</t>
  </si>
  <si>
    <t>570715000001430823</t>
  </si>
  <si>
    <t>570715000001431974</t>
  </si>
  <si>
    <t>570715000001437037</t>
  </si>
  <si>
    <t>570715000001439185</t>
  </si>
  <si>
    <t>570715000001442574</t>
  </si>
  <si>
    <t>570715000001442581</t>
  </si>
  <si>
    <t>570715000001442703</t>
  </si>
  <si>
    <t>570715000001443236</t>
  </si>
  <si>
    <t>570715000001443250</t>
  </si>
  <si>
    <t>570715000001443793</t>
  </si>
  <si>
    <t>570715000001444882</t>
  </si>
  <si>
    <t>570715000001445148</t>
  </si>
  <si>
    <t>570715000001454669</t>
  </si>
  <si>
    <t>570715000001456403</t>
  </si>
  <si>
    <t>570715000001463968</t>
  </si>
  <si>
    <t>570715000001464743</t>
  </si>
  <si>
    <t>570715000001465740</t>
  </si>
  <si>
    <t>570715000001465764</t>
  </si>
  <si>
    <t>570715000001465788</t>
  </si>
  <si>
    <t>570715000001467799</t>
  </si>
  <si>
    <t>570715000001467805</t>
  </si>
  <si>
    <t>570715000001468949</t>
  </si>
  <si>
    <t>570715000001471604</t>
  </si>
  <si>
    <t>570715000001487810</t>
  </si>
  <si>
    <t>570715000001488244</t>
  </si>
  <si>
    <t>570715000001496591</t>
  </si>
  <si>
    <t>570715000001497499</t>
  </si>
  <si>
    <t>570715000001498779</t>
  </si>
  <si>
    <t>570715000001499059</t>
  </si>
  <si>
    <t>570715000001503596</t>
  </si>
  <si>
    <t>570715000001506375</t>
  </si>
  <si>
    <t>570715000001512079</t>
  </si>
  <si>
    <t>570715000001513472</t>
  </si>
  <si>
    <t>570715000001513489</t>
  </si>
  <si>
    <t>570715000001514707</t>
  </si>
  <si>
    <t>570715000001514769</t>
  </si>
  <si>
    <t>570715000001514776</t>
  </si>
  <si>
    <t>570715000001514783</t>
  </si>
  <si>
    <t>570715000001514851</t>
  </si>
  <si>
    <t>570715000001516534</t>
  </si>
  <si>
    <t>570715000001516541</t>
  </si>
  <si>
    <t>570715000001518675</t>
  </si>
  <si>
    <t>570715000001520012</t>
  </si>
  <si>
    <t>570715000001521576</t>
  </si>
  <si>
    <t>570715000001522283</t>
  </si>
  <si>
    <t>570715000001531889</t>
  </si>
  <si>
    <t>570715000001532343</t>
  </si>
  <si>
    <t>570715000001533357</t>
  </si>
  <si>
    <t>570715000001533364</t>
  </si>
  <si>
    <t>570715000001545152</t>
  </si>
  <si>
    <t>570715000001545176</t>
  </si>
  <si>
    <t>570715000001546937</t>
  </si>
  <si>
    <t>570715000001547361</t>
  </si>
  <si>
    <t>570715000001549990</t>
  </si>
  <si>
    <t>570715000001551269</t>
  </si>
  <si>
    <t>570715000001551276</t>
  </si>
  <si>
    <t>570715000001551283</t>
  </si>
  <si>
    <t>570715000001552129</t>
  </si>
  <si>
    <t>570715000001552143</t>
  </si>
  <si>
    <t>570715000001554161</t>
  </si>
  <si>
    <t>570715000001554178</t>
  </si>
  <si>
    <t>570715000001557902</t>
  </si>
  <si>
    <t>570715000001557919</t>
  </si>
  <si>
    <t>570715000001561374</t>
  </si>
  <si>
    <t>570715000001574985</t>
  </si>
  <si>
    <t>570715000001578709</t>
  </si>
  <si>
    <t>GW133 10kW</t>
  </si>
  <si>
    <t>Gaia-Wind Ltd GW133 10kW</t>
  </si>
  <si>
    <t>570715000001592439</t>
  </si>
  <si>
    <t>570715000001592538</t>
  </si>
  <si>
    <t>570715000001619105</t>
  </si>
  <si>
    <t>571313113161593499</t>
  </si>
  <si>
    <t>571313113161627064</t>
  </si>
  <si>
    <t>571313113161629594</t>
  </si>
  <si>
    <t>571313113162016843</t>
  </si>
  <si>
    <t>571313113162017581</t>
  </si>
  <si>
    <t>571313113162023544</t>
  </si>
  <si>
    <t>571313113162025555</t>
  </si>
  <si>
    <t>571313113162026200</t>
  </si>
  <si>
    <t>571313113162029911</t>
  </si>
  <si>
    <t>571313113162030122</t>
  </si>
  <si>
    <t>571313113162035479</t>
  </si>
  <si>
    <t>571313113162038692</t>
  </si>
  <si>
    <t>571313113162038968</t>
  </si>
  <si>
    <t>571313113162039071</t>
  </si>
  <si>
    <t>571313113162053817</t>
  </si>
  <si>
    <t>571313113162061669</t>
  </si>
  <si>
    <t>571313113162064233</t>
  </si>
  <si>
    <t>571313113162080448</t>
  </si>
  <si>
    <t>571313113162087751</t>
  </si>
  <si>
    <t>571313113162093059</t>
  </si>
  <si>
    <t>571313113162146953</t>
  </si>
  <si>
    <t>570715000001501806</t>
  </si>
  <si>
    <t>570715000001506405</t>
  </si>
  <si>
    <t>570715000001576385</t>
  </si>
  <si>
    <t>571313124490089638</t>
  </si>
  <si>
    <t>571313174116007331</t>
  </si>
  <si>
    <t>571313179100075143</t>
  </si>
  <si>
    <t>571313174000797997</t>
  </si>
  <si>
    <t>571313174002143129</t>
  </si>
  <si>
    <t>571313174116016241</t>
  </si>
  <si>
    <t>571313179100118352</t>
  </si>
  <si>
    <t>570715000001368515</t>
  </si>
  <si>
    <t>570715000001368522</t>
  </si>
  <si>
    <t>570715000001369642</t>
  </si>
  <si>
    <t>570715000001369697</t>
  </si>
  <si>
    <t>570715000001369734</t>
  </si>
  <si>
    <t>570715000001369772</t>
  </si>
  <si>
    <t>570715000001379337</t>
  </si>
  <si>
    <t>570715000001380944</t>
  </si>
  <si>
    <t>570715000001380951</t>
  </si>
  <si>
    <t>570715000001412409</t>
  </si>
  <si>
    <t>570715000001417169</t>
  </si>
  <si>
    <t>570715000001417183</t>
  </si>
  <si>
    <t>570715000001430182</t>
  </si>
  <si>
    <t>570715000001430786</t>
  </si>
  <si>
    <t>570715000001430816</t>
  </si>
  <si>
    <t>570715000001431950</t>
  </si>
  <si>
    <t>570715000001438126</t>
  </si>
  <si>
    <t>570715000001439178</t>
  </si>
  <si>
    <t>570715000001439192</t>
  </si>
  <si>
    <t>570715000001439239</t>
  </si>
  <si>
    <t>570715000001441348</t>
  </si>
  <si>
    <t>570715000001441393</t>
  </si>
  <si>
    <t>570715000001441409</t>
  </si>
  <si>
    <t>570715000001442161</t>
  </si>
  <si>
    <t>570715000001442185</t>
  </si>
  <si>
    <t>570715000001442598</t>
  </si>
  <si>
    <t>570715000001443229</t>
  </si>
  <si>
    <t>570715000001443243</t>
  </si>
  <si>
    <t>570715000001443267</t>
  </si>
  <si>
    <t>570715000001443656</t>
  </si>
  <si>
    <t>570715000001447821</t>
  </si>
  <si>
    <t>570715000001451279</t>
  </si>
  <si>
    <t>570715000001451286</t>
  </si>
  <si>
    <t>570715000001454218</t>
  </si>
  <si>
    <t>570715000001454652</t>
  </si>
  <si>
    <t>570715000001456427</t>
  </si>
  <si>
    <t>570715000001464514</t>
  </si>
  <si>
    <t>570715000001464538</t>
  </si>
  <si>
    <t>570715000001464545</t>
  </si>
  <si>
    <t>570715000001468925</t>
  </si>
  <si>
    <t>570715000001468932</t>
  </si>
  <si>
    <t>570715000001468956</t>
  </si>
  <si>
    <t>570715000001468994</t>
  </si>
  <si>
    <t>570715000001469014</t>
  </si>
  <si>
    <t>570715000001471598</t>
  </si>
  <si>
    <t>570715000001475398</t>
  </si>
  <si>
    <t>570715000001478924</t>
  </si>
  <si>
    <t>570715000001480491</t>
  </si>
  <si>
    <t>570715000001480507</t>
  </si>
  <si>
    <t>570715000001480521</t>
  </si>
  <si>
    <t>570715000001480538</t>
  </si>
  <si>
    <t>570715000001481528</t>
  </si>
  <si>
    <t>570715000001481535</t>
  </si>
  <si>
    <t>570715000001484505</t>
  </si>
  <si>
    <t>570715000001484574</t>
  </si>
  <si>
    <t>570715000001487681</t>
  </si>
  <si>
    <t>570715000001487704</t>
  </si>
  <si>
    <t>570715000001488398</t>
  </si>
  <si>
    <t>570715000001488404</t>
  </si>
  <si>
    <t>570715000001488411</t>
  </si>
  <si>
    <t>570715000001488428</t>
  </si>
  <si>
    <t>570715000001488435</t>
  </si>
  <si>
    <t>570715000001488459</t>
  </si>
  <si>
    <t>570715000001488466</t>
  </si>
  <si>
    <t>570715000001489753</t>
  </si>
  <si>
    <t>570715000001490001</t>
  </si>
  <si>
    <t>570715000001493538</t>
  </si>
  <si>
    <t>570715000001496584</t>
  </si>
  <si>
    <t>570715000001496614</t>
  </si>
  <si>
    <t>570715000001497239</t>
  </si>
  <si>
    <t>570715000001497482</t>
  </si>
  <si>
    <t>570715000001497505</t>
  </si>
  <si>
    <t>570715000001497512</t>
  </si>
  <si>
    <t>570715000001498991</t>
  </si>
  <si>
    <t>570715000001499042</t>
  </si>
  <si>
    <t>570715000001501301</t>
  </si>
  <si>
    <t>570715000001502957</t>
  </si>
  <si>
    <t>570715000001502971</t>
  </si>
  <si>
    <t>570715000001502988</t>
  </si>
  <si>
    <t>570715000001506382</t>
  </si>
  <si>
    <t>570715000001506399</t>
  </si>
  <si>
    <t>570715000001506412</t>
  </si>
  <si>
    <t>570715000001506429</t>
  </si>
  <si>
    <t>570715000001506436</t>
  </si>
  <si>
    <t>570715000001506443</t>
  </si>
  <si>
    <t>570715000001507563</t>
  </si>
  <si>
    <t>570715000001507570</t>
  </si>
  <si>
    <t>570715000001507587</t>
  </si>
  <si>
    <t>570715000001507600</t>
  </si>
  <si>
    <t>570715000001507617</t>
  </si>
  <si>
    <t>570715000001507624</t>
  </si>
  <si>
    <t>570715000001507631</t>
  </si>
  <si>
    <t>570715000001507648</t>
  </si>
  <si>
    <t>570715000001507686</t>
  </si>
  <si>
    <t>570715000001510389</t>
  </si>
  <si>
    <t>570715000001510815</t>
  </si>
  <si>
    <t>570715000001510822</t>
  </si>
  <si>
    <t>570715000001510839</t>
  </si>
  <si>
    <t>570715000001510846</t>
  </si>
  <si>
    <t>570715000001511621</t>
  </si>
  <si>
    <t>570715000001511638</t>
  </si>
  <si>
    <t>570715000001511645</t>
  </si>
  <si>
    <t>570715000001512642</t>
  </si>
  <si>
    <t>570715000001512659</t>
  </si>
  <si>
    <t>570715000001512666</t>
  </si>
  <si>
    <t>570715000001512673</t>
  </si>
  <si>
    <t>570715000001512680</t>
  </si>
  <si>
    <t>570715000001513540</t>
  </si>
  <si>
    <t>570715000001513687</t>
  </si>
  <si>
    <t>570715000001514547</t>
  </si>
  <si>
    <t>570715000001514714</t>
  </si>
  <si>
    <t>570715000001514721</t>
  </si>
  <si>
    <t>570715000001514738</t>
  </si>
  <si>
    <t>570715000001514745</t>
  </si>
  <si>
    <t>570715000001514752</t>
  </si>
  <si>
    <t>570715000001514790</t>
  </si>
  <si>
    <t>570715000001514806</t>
  </si>
  <si>
    <t>570715000001514813</t>
  </si>
  <si>
    <t>570715000001514820</t>
  </si>
  <si>
    <t>570715000001514837</t>
  </si>
  <si>
    <t>570715000001514844</t>
  </si>
  <si>
    <t>570715000001514943</t>
  </si>
  <si>
    <t>570715000001516473</t>
  </si>
  <si>
    <t>570715000001516480</t>
  </si>
  <si>
    <t>570715000001516503</t>
  </si>
  <si>
    <t>570715000001516510</t>
  </si>
  <si>
    <t>570715000001516527</t>
  </si>
  <si>
    <t>570715000001516558</t>
  </si>
  <si>
    <t>570715000001517746</t>
  </si>
  <si>
    <t>570715000001517753</t>
  </si>
  <si>
    <t>570715000001518347</t>
  </si>
  <si>
    <t>570715000001518354</t>
  </si>
  <si>
    <t>570715000001518682</t>
  </si>
  <si>
    <t>570715000001518699</t>
  </si>
  <si>
    <t>570715000001518705</t>
  </si>
  <si>
    <t>570715000001520029</t>
  </si>
  <si>
    <t>570715000001520036</t>
  </si>
  <si>
    <t>570715000001520043</t>
  </si>
  <si>
    <t>570715000001520050</t>
  </si>
  <si>
    <t>570715000001521521</t>
  </si>
  <si>
    <t>570715000001521538</t>
  </si>
  <si>
    <t>570715000001521545</t>
  </si>
  <si>
    <t>570715000001521552</t>
  </si>
  <si>
    <t>570715000001521569</t>
  </si>
  <si>
    <t>570715000001521583</t>
  </si>
  <si>
    <t>570715000001521590</t>
  </si>
  <si>
    <t>570715000001521606</t>
  </si>
  <si>
    <t>570715000001521613</t>
  </si>
  <si>
    <t>570715000001521620</t>
  </si>
  <si>
    <t>570715000001521637</t>
  </si>
  <si>
    <t>570715000001521644</t>
  </si>
  <si>
    <t>570715000001521651</t>
  </si>
  <si>
    <t>570715000001522276</t>
  </si>
  <si>
    <t>570715000001522290</t>
  </si>
  <si>
    <t>570715000001522306</t>
  </si>
  <si>
    <t>570715000001522313</t>
  </si>
  <si>
    <t>570715000001522320</t>
  </si>
  <si>
    <t>570715000001522436</t>
  </si>
  <si>
    <t>570715000001523402</t>
  </si>
  <si>
    <t>570715000001523594</t>
  </si>
  <si>
    <t>570715000001523600</t>
  </si>
  <si>
    <t>570715000001523617</t>
  </si>
  <si>
    <t>570715000001524744</t>
  </si>
  <si>
    <t>570715000001528773</t>
  </si>
  <si>
    <t>570715000001528780</t>
  </si>
  <si>
    <t>570715000001528797</t>
  </si>
  <si>
    <t>570715000001528803</t>
  </si>
  <si>
    <t>570715000001528834</t>
  </si>
  <si>
    <t>570715000001528858</t>
  </si>
  <si>
    <t>570715000001528865</t>
  </si>
  <si>
    <t>570715000001528889</t>
  </si>
  <si>
    <t>570715000001528896</t>
  </si>
  <si>
    <t>570715000001528919</t>
  </si>
  <si>
    <t>570715000001528926</t>
  </si>
  <si>
    <t>570715000001528933</t>
  </si>
  <si>
    <t>570715000001528940</t>
  </si>
  <si>
    <t>570715000001528957</t>
  </si>
  <si>
    <t>570715000001528971</t>
  </si>
  <si>
    <t>570715000001531698</t>
  </si>
  <si>
    <t>570715000001531872</t>
  </si>
  <si>
    <t>570715000001531896</t>
  </si>
  <si>
    <t>570715000001531902</t>
  </si>
  <si>
    <t>570715000001532312</t>
  </si>
  <si>
    <t>570715000001532329</t>
  </si>
  <si>
    <t>570715000001532336</t>
  </si>
  <si>
    <t>570715000001533371</t>
  </si>
  <si>
    <t>570715000001533401</t>
  </si>
  <si>
    <t>570715000001533418</t>
  </si>
  <si>
    <t>570715000001533425</t>
  </si>
  <si>
    <t>570715000001533432</t>
  </si>
  <si>
    <t>570715000001533449</t>
  </si>
  <si>
    <t>570715000001533463</t>
  </si>
  <si>
    <t>570715000001545190</t>
  </si>
  <si>
    <t>570715000001545206</t>
  </si>
  <si>
    <t>570715000001545213</t>
  </si>
  <si>
    <t>570715000001545220</t>
  </si>
  <si>
    <t>570715000001546913</t>
  </si>
  <si>
    <t>570715000001546920</t>
  </si>
  <si>
    <t>570715000001546944</t>
  </si>
  <si>
    <t>570715000001546951</t>
  </si>
  <si>
    <t>570715000001546968</t>
  </si>
  <si>
    <t>570715000001547347</t>
  </si>
  <si>
    <t>570715000001547354</t>
  </si>
  <si>
    <t>570715000001547972</t>
  </si>
  <si>
    <t>570715000001547989</t>
  </si>
  <si>
    <t>570715000001548221</t>
  </si>
  <si>
    <t>570715000001550019</t>
  </si>
  <si>
    <t>570715000001551290</t>
  </si>
  <si>
    <t>570715000001551313</t>
  </si>
  <si>
    <t>570715000001551320</t>
  </si>
  <si>
    <t>570715000001552136</t>
  </si>
  <si>
    <t>570715000001552150</t>
  </si>
  <si>
    <t>570715000001553423</t>
  </si>
  <si>
    <t>570715000001553430</t>
  </si>
  <si>
    <t>570715000001553591</t>
  </si>
  <si>
    <t>570715000001553607</t>
  </si>
  <si>
    <t>570715000001553614</t>
  </si>
  <si>
    <t>570715000001554499</t>
  </si>
  <si>
    <t>570715000001557896</t>
  </si>
  <si>
    <t>570715000001561381</t>
  </si>
  <si>
    <t>570715000001563293</t>
  </si>
  <si>
    <t>570715000001563828</t>
  </si>
  <si>
    <t>570715000001569837</t>
  </si>
  <si>
    <t>570715000001571267</t>
  </si>
  <si>
    <t>570715000001573650</t>
  </si>
  <si>
    <t>570715000001575920</t>
  </si>
  <si>
    <t>570715000001576217</t>
  </si>
  <si>
    <t>570715000001577689</t>
  </si>
  <si>
    <t>570715000001577696</t>
  </si>
  <si>
    <t>570715000001577856</t>
  </si>
  <si>
    <t>570715000001578266</t>
  </si>
  <si>
    <t>570715000001578822</t>
  </si>
  <si>
    <t>570715000001579201</t>
  </si>
  <si>
    <t>570715000001580306</t>
  </si>
  <si>
    <t>570715000001582768</t>
  </si>
  <si>
    <t>570715000001584717</t>
  </si>
  <si>
    <t>570715000001584724</t>
  </si>
  <si>
    <t>570715000001596710</t>
  </si>
  <si>
    <t>570715000001600073</t>
  </si>
  <si>
    <t>570715000001611239</t>
  </si>
  <si>
    <t>570715000001612441</t>
  </si>
  <si>
    <t>570715000001637963</t>
  </si>
  <si>
    <t>570715000001650412</t>
  </si>
  <si>
    <t>571313113161194948</t>
  </si>
  <si>
    <t>571313113161605765</t>
  </si>
  <si>
    <t>571313113161868863</t>
  </si>
  <si>
    <t>571313113162023025</t>
  </si>
  <si>
    <t>571313113162032997</t>
  </si>
  <si>
    <t>571313113162065933</t>
  </si>
  <si>
    <t>571313113162068255</t>
  </si>
  <si>
    <t>571313113162071835</t>
  </si>
  <si>
    <t>571313113162081414</t>
  </si>
  <si>
    <t>571313113162094827</t>
  </si>
  <si>
    <t>571313114900964884</t>
  </si>
  <si>
    <t>571313115410100922</t>
  </si>
  <si>
    <t>ZA10</t>
  </si>
  <si>
    <t>Zenia Energy ZA10</t>
  </si>
  <si>
    <t>571313115410108522</t>
  </si>
  <si>
    <t>570715000001400222</t>
  </si>
  <si>
    <t>570715000001423634</t>
  </si>
  <si>
    <t>570715000001431660</t>
  </si>
  <si>
    <t>570715000001436856</t>
  </si>
  <si>
    <t>570715000001436900</t>
  </si>
  <si>
    <t>570715000001438386</t>
  </si>
  <si>
    <t>570715000001443038</t>
  </si>
  <si>
    <t>570715000001443083</t>
  </si>
  <si>
    <t>570715000001443854</t>
  </si>
  <si>
    <t>570715000001465818</t>
  </si>
  <si>
    <t>570715000001471871</t>
  </si>
  <si>
    <t>570715000001471918</t>
  </si>
  <si>
    <t>570715000001471932</t>
  </si>
  <si>
    <t>570715000001472014</t>
  </si>
  <si>
    <t>570715000001472021</t>
  </si>
  <si>
    <t>570715000001472038</t>
  </si>
  <si>
    <t>570715000001474551</t>
  </si>
  <si>
    <t>570715000001475626</t>
  </si>
  <si>
    <t>570715000001481122</t>
  </si>
  <si>
    <t>570715000001483249</t>
  </si>
  <si>
    <t>570715000001485366</t>
  </si>
  <si>
    <t>570715000001485397</t>
  </si>
  <si>
    <t>570715000001485403</t>
  </si>
  <si>
    <t>570715000001485700</t>
  </si>
  <si>
    <t>570715000001488664</t>
  </si>
  <si>
    <t>570715000001496300</t>
  </si>
  <si>
    <t>570715000001498519</t>
  </si>
  <si>
    <t>570715000001498939</t>
  </si>
  <si>
    <t>570715000001502490</t>
  </si>
  <si>
    <t>570715000001508119</t>
  </si>
  <si>
    <t>570715000001511713</t>
  </si>
  <si>
    <t>570715000001513113</t>
  </si>
  <si>
    <t>570715000001513915</t>
  </si>
  <si>
    <t>570715000001514103</t>
  </si>
  <si>
    <t>570715000001514431</t>
  </si>
  <si>
    <t>570715000001550217</t>
  </si>
  <si>
    <t>570715000001592972</t>
  </si>
  <si>
    <t>570715000001603302</t>
  </si>
  <si>
    <t>571313102390335291</t>
  </si>
  <si>
    <t>571313102390335451</t>
  </si>
  <si>
    <t>571313102390335956</t>
  </si>
  <si>
    <t>571313102390338025</t>
  </si>
  <si>
    <t>571313103103599016</t>
  </si>
  <si>
    <t>571313103103601627</t>
  </si>
  <si>
    <t>570715000001399175</t>
  </si>
  <si>
    <t>Ukendt-Gaia-Wind</t>
  </si>
  <si>
    <t>Gaia-Wind Ltd Ukendt-Gaia-Wind</t>
  </si>
  <si>
    <t>570715000001464644</t>
  </si>
  <si>
    <t>570715000001468093</t>
  </si>
  <si>
    <t>570715000001481139</t>
  </si>
  <si>
    <t>570715000001481634</t>
  </si>
  <si>
    <t>570715000001481788</t>
  </si>
  <si>
    <t>570715000001482174</t>
  </si>
  <si>
    <t>570715000001483003</t>
  </si>
  <si>
    <t>570715000001483140</t>
  </si>
  <si>
    <t>570715000001496027</t>
  </si>
  <si>
    <t>570715000001497468</t>
  </si>
  <si>
    <t>570715000001498038</t>
  </si>
  <si>
    <t>570715000001498557</t>
  </si>
  <si>
    <t>570715000001498618</t>
  </si>
  <si>
    <t>570715000001499226</t>
  </si>
  <si>
    <t>570715000001499257</t>
  </si>
  <si>
    <t>570715000001503442</t>
  </si>
  <si>
    <t>570715000001503527</t>
  </si>
  <si>
    <t>570715000001503879</t>
  </si>
  <si>
    <t>570715000001506511</t>
  </si>
  <si>
    <t>570715000001522245</t>
  </si>
  <si>
    <t>570715000001531667</t>
  </si>
  <si>
    <t>570715000001626455</t>
  </si>
  <si>
    <t>570715000001628916</t>
  </si>
  <si>
    <t>570715000001648327</t>
  </si>
  <si>
    <t>570715000001652737</t>
  </si>
  <si>
    <t>571313103190005896</t>
  </si>
  <si>
    <t>571313104601088019</t>
  </si>
  <si>
    <t>571313105100206409</t>
  </si>
  <si>
    <t>570715000001366726</t>
  </si>
  <si>
    <t>570715000001439338</t>
  </si>
  <si>
    <t>570715000001441508</t>
  </si>
  <si>
    <t>570715000001442727</t>
  </si>
  <si>
    <t>570715000001444530</t>
  </si>
  <si>
    <t>570715000001444677</t>
  </si>
  <si>
    <t>570715000001454690</t>
  </si>
  <si>
    <t>570715000001463678</t>
  </si>
  <si>
    <t>570715000001473844</t>
  </si>
  <si>
    <t>570715000001474636</t>
  </si>
  <si>
    <t>570715000001474834</t>
  </si>
  <si>
    <t>570715000001476715</t>
  </si>
  <si>
    <t>570715000001478078</t>
  </si>
  <si>
    <t>570715000001483980</t>
  </si>
  <si>
    <t>570715000001490148</t>
  </si>
  <si>
    <t>570715000001501110</t>
  </si>
  <si>
    <t>570715000001507389</t>
  </si>
  <si>
    <t>570715000001507501</t>
  </si>
  <si>
    <t>570715000001507853</t>
  </si>
  <si>
    <t>570715000001519979</t>
  </si>
  <si>
    <t>570715000001543844</t>
  </si>
  <si>
    <t>571313104490390309</t>
  </si>
  <si>
    <t>571313104490415040</t>
  </si>
  <si>
    <t>571313113162035073</t>
  </si>
  <si>
    <t>571313113162045430</t>
  </si>
  <si>
    <t>571313113162229953</t>
  </si>
  <si>
    <t>570715000001409317</t>
  </si>
  <si>
    <t>570715000001441256</t>
  </si>
  <si>
    <t>570715000001462770</t>
  </si>
  <si>
    <t>570715000001463760</t>
  </si>
  <si>
    <t>570715000001464842</t>
  </si>
  <si>
    <t>570715000001476036</t>
  </si>
  <si>
    <t>570715000001483898</t>
  </si>
  <si>
    <t>570715000001484529</t>
  </si>
  <si>
    <t>570715000001488732</t>
  </si>
  <si>
    <t>570715000001492388</t>
  </si>
  <si>
    <t>570715000001492470</t>
  </si>
  <si>
    <t>570715000001500304</t>
  </si>
  <si>
    <t>570715000001531353</t>
  </si>
  <si>
    <t>570715000001548238</t>
  </si>
  <si>
    <t>570715000001551887</t>
  </si>
  <si>
    <t>571313104402907106</t>
  </si>
  <si>
    <t>571313104490406239</t>
  </si>
  <si>
    <t>570715000001444004</t>
  </si>
  <si>
    <t>570715000001444066</t>
  </si>
  <si>
    <t>570715000001474773</t>
  </si>
  <si>
    <t>570715000001481764</t>
  </si>
  <si>
    <t>570715000001500984</t>
  </si>
  <si>
    <t>570715000001511911</t>
  </si>
  <si>
    <t>570715000001513564</t>
  </si>
  <si>
    <t>570715000001529749</t>
  </si>
  <si>
    <t>571313104490404150</t>
  </si>
  <si>
    <t>571313114900753006</t>
  </si>
  <si>
    <t>571313114900963450</t>
  </si>
  <si>
    <t>571313114900968325</t>
  </si>
  <si>
    <t>570715000001390967</t>
  </si>
  <si>
    <t>570715000001404350</t>
  </si>
  <si>
    <t>570715000001407269</t>
  </si>
  <si>
    <t>570715000001436832</t>
  </si>
  <si>
    <t>570715000001436870</t>
  </si>
  <si>
    <t>570715000001436894</t>
  </si>
  <si>
    <t>570715000001436917</t>
  </si>
  <si>
    <t>570715000001436962</t>
  </si>
  <si>
    <t>570715000001436979</t>
  </si>
  <si>
    <t>570715000001439727</t>
  </si>
  <si>
    <t>570715000001441416</t>
  </si>
  <si>
    <t>570715000001443366</t>
  </si>
  <si>
    <t>570715000001443380</t>
  </si>
  <si>
    <t>570715000001444035</t>
  </si>
  <si>
    <t>570715000001451408</t>
  </si>
  <si>
    <t>570715000001454676</t>
  </si>
  <si>
    <t>570715000001454706</t>
  </si>
  <si>
    <t>570715000001456434</t>
  </si>
  <si>
    <t>570715000001464651</t>
  </si>
  <si>
    <t>570715000001464781</t>
  </si>
  <si>
    <t>570715000001471963</t>
  </si>
  <si>
    <t>570715000001471987</t>
  </si>
  <si>
    <t>570715000001475329</t>
  </si>
  <si>
    <t>570715000001475541</t>
  </si>
  <si>
    <t>570715000001476234</t>
  </si>
  <si>
    <t>570715000001480026</t>
  </si>
  <si>
    <t>570715000001485380</t>
  </si>
  <si>
    <t>570715000001487698</t>
  </si>
  <si>
    <t>570715000001490131</t>
  </si>
  <si>
    <t>570715000001492272</t>
  </si>
  <si>
    <t>570715000001496294</t>
  </si>
  <si>
    <t>570715000001503145</t>
  </si>
  <si>
    <t>570715000001511706</t>
  </si>
  <si>
    <t>570715000001513755</t>
  </si>
  <si>
    <t>570715000001513823</t>
  </si>
  <si>
    <t>570715000001513854</t>
  </si>
  <si>
    <t>570715000001515193</t>
  </si>
  <si>
    <t>570715000001515513</t>
  </si>
  <si>
    <t>570715000001515841</t>
  </si>
  <si>
    <t>571313102390328934</t>
  </si>
  <si>
    <t>571313102390328972</t>
  </si>
  <si>
    <t>571313102390329832</t>
  </si>
  <si>
    <t>571313102390334041</t>
  </si>
  <si>
    <t>571313102390334706</t>
  </si>
  <si>
    <t>571313102390341957</t>
  </si>
  <si>
    <t>570715000001437228</t>
  </si>
  <si>
    <t>570715000001444011</t>
  </si>
  <si>
    <t>570715000001444660</t>
  </si>
  <si>
    <t>570715000001445049</t>
  </si>
  <si>
    <t>570715000001452153</t>
  </si>
  <si>
    <t>570715000001462954</t>
  </si>
  <si>
    <t>570715000001462992</t>
  </si>
  <si>
    <t>570715000001463593</t>
  </si>
  <si>
    <t>570715000001472052</t>
  </si>
  <si>
    <t>570715000001479136</t>
  </si>
  <si>
    <t>570715000001481771</t>
  </si>
  <si>
    <t>570715000001489715</t>
  </si>
  <si>
    <t>570715000001497789</t>
  </si>
  <si>
    <t>570715000001498137</t>
  </si>
  <si>
    <t>570715000001513724</t>
  </si>
  <si>
    <t>570715000001521989</t>
  </si>
  <si>
    <t>570715000001543776</t>
  </si>
  <si>
    <t>570715000001546722</t>
  </si>
  <si>
    <t>570715000001547392</t>
  </si>
  <si>
    <t>570715000001593825</t>
  </si>
  <si>
    <t>571313103190009665</t>
  </si>
  <si>
    <t>571313104490391016</t>
  </si>
  <si>
    <t>571313104490400763</t>
  </si>
  <si>
    <t>571313113162208378</t>
  </si>
  <si>
    <t>571313113162404848</t>
  </si>
  <si>
    <t>570715000001388841</t>
  </si>
  <si>
    <t>570715000001397249</t>
  </si>
  <si>
    <t>570715000001399991</t>
  </si>
  <si>
    <t>570715000001406576</t>
  </si>
  <si>
    <t>570715000001416315</t>
  </si>
  <si>
    <t>570715000001429438</t>
  </si>
  <si>
    <t>570715000001430045</t>
  </si>
  <si>
    <t>570715000001436818</t>
  </si>
  <si>
    <t>570715000001436948</t>
  </si>
  <si>
    <t>570715000001437204</t>
  </si>
  <si>
    <t>570715000001437211</t>
  </si>
  <si>
    <t>570715000001437235</t>
  </si>
  <si>
    <t>570715000001441386</t>
  </si>
  <si>
    <t>570715000001450098</t>
  </si>
  <si>
    <t>570715000001453013</t>
  </si>
  <si>
    <t>570715000001454584</t>
  </si>
  <si>
    <t>570715000001456373</t>
  </si>
  <si>
    <t>570715000001456380</t>
  </si>
  <si>
    <t>570715000001456397</t>
  </si>
  <si>
    <t>570715000001456878</t>
  </si>
  <si>
    <t>570715000001464484</t>
  </si>
  <si>
    <t>570715000001464491</t>
  </si>
  <si>
    <t>570715000001464835</t>
  </si>
  <si>
    <t>570715000001464859</t>
  </si>
  <si>
    <t>570715000001465986</t>
  </si>
  <si>
    <t>570715000001466310</t>
  </si>
  <si>
    <t>570715000001467454</t>
  </si>
  <si>
    <t>570715000001467584</t>
  </si>
  <si>
    <t>570715000001467652</t>
  </si>
  <si>
    <t>570715000001468833</t>
  </si>
  <si>
    <t>570715000001472007</t>
  </si>
  <si>
    <t>570715000001472748</t>
  </si>
  <si>
    <t>570715000001473554</t>
  </si>
  <si>
    <t>570715000001474438</t>
  </si>
  <si>
    <t>570715000001475008</t>
  </si>
  <si>
    <t>570715000001479143</t>
  </si>
  <si>
    <t>570715000001480910</t>
  </si>
  <si>
    <t>570715000001481900</t>
  </si>
  <si>
    <t>570715000001481917</t>
  </si>
  <si>
    <t>570715000001482167</t>
  </si>
  <si>
    <t>570715000001482198</t>
  </si>
  <si>
    <t>570715000001482976</t>
  </si>
  <si>
    <t>570715000001485076</t>
  </si>
  <si>
    <t>570715000001485229</t>
  </si>
  <si>
    <t>570715000001486141</t>
  </si>
  <si>
    <t>570715000001486226</t>
  </si>
  <si>
    <t>570715000001486578</t>
  </si>
  <si>
    <t>570715000001489012</t>
  </si>
  <si>
    <t>570715000001489029</t>
  </si>
  <si>
    <t>570715000001489968</t>
  </si>
  <si>
    <t>570715000001492210</t>
  </si>
  <si>
    <t>570715000001492531</t>
  </si>
  <si>
    <t>570715000001495853</t>
  </si>
  <si>
    <t>570715000001495884</t>
  </si>
  <si>
    <t>570715000001497567</t>
  </si>
  <si>
    <t>570715000001497635</t>
  </si>
  <si>
    <t>570715000001497659</t>
  </si>
  <si>
    <t>570715000001497796</t>
  </si>
  <si>
    <t>570715000001497888</t>
  </si>
  <si>
    <t>KVA Vind 6-10</t>
  </si>
  <si>
    <t>KVA Vind KVA Vind 6-10</t>
  </si>
  <si>
    <t>570715000001498052</t>
  </si>
  <si>
    <t>570715000001498090</t>
  </si>
  <si>
    <t>570715000001498120</t>
  </si>
  <si>
    <t>570715000001498342</t>
  </si>
  <si>
    <t>570715000001498380</t>
  </si>
  <si>
    <t>570715000001498663</t>
  </si>
  <si>
    <t>570715000001498748</t>
  </si>
  <si>
    <t>570715000001499318</t>
  </si>
  <si>
    <t>570715000001506252</t>
  </si>
  <si>
    <t>570715000001513250</t>
  </si>
  <si>
    <t>570715000001513281</t>
  </si>
  <si>
    <t>570715000001513441</t>
  </si>
  <si>
    <t>570715000001515131</t>
  </si>
  <si>
    <t>570715000001515834</t>
  </si>
  <si>
    <t>570715000001522221</t>
  </si>
  <si>
    <t>570715000001531810</t>
  </si>
  <si>
    <t>570715000001547385</t>
  </si>
  <si>
    <t>570715000001547422</t>
  </si>
  <si>
    <t>570715000001558602</t>
  </si>
  <si>
    <t>570715000001559890</t>
  </si>
  <si>
    <t>570715000001562517</t>
  </si>
  <si>
    <t>570715000001574213</t>
  </si>
  <si>
    <t>570715000001586209</t>
  </si>
  <si>
    <t>570715000001589750</t>
  </si>
  <si>
    <t>570715000001592781</t>
  </si>
  <si>
    <t>571313102390328668</t>
  </si>
  <si>
    <t>571313102390332429</t>
  </si>
  <si>
    <t>571313102390340639</t>
  </si>
  <si>
    <t>571313103103030830</t>
  </si>
  <si>
    <t>571313103103599238</t>
  </si>
  <si>
    <t>571313103103601207</t>
  </si>
  <si>
    <t>571313103103601221</t>
  </si>
  <si>
    <t>IC</t>
  </si>
  <si>
    <t>perc(%)</t>
  </si>
  <si>
    <t>column</t>
  </si>
  <si>
    <t>notes</t>
  </si>
  <si>
    <t>Vestas.V117.4000</t>
  </si>
  <si>
    <t>approx.</t>
  </si>
  <si>
    <t>Siemens.Gamesa.SG.6.0.154</t>
  </si>
  <si>
    <t>NEG.Micon.M1500.500</t>
  </si>
  <si>
    <t>Enercon.E82.3000</t>
  </si>
  <si>
    <t>Gamesa.G128.5000</t>
  </si>
  <si>
    <t>unkown</t>
  </si>
  <si>
    <t>Nordtank.NTK500</t>
  </si>
  <si>
    <t>EWT.DirectWind.52.900</t>
  </si>
  <si>
    <t>Nordex.N29.250</t>
  </si>
  <si>
    <t>Hanstholm M√∏llen HM 17 75</t>
  </si>
  <si>
    <t>THY m√∏llen Aps TWP-40-10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</si>
</sst>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14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1" fontId="0" borderId="1" applyNumberFormat="1" applyFont="1" applyFill="0" applyBorder="1" applyAlignment="1" applyProtection="0">
      <alignment vertical="bottom"/>
    </xf>
    <xf numFmtId="3" fontId="0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6297"/>
  <sheetViews>
    <sheetView workbookViewId="0" showGridLines="0" defaultGridColor="1"/>
  </sheetViews>
  <sheetFormatPr defaultColWidth="10.8333" defaultRowHeight="16" customHeight="1" outlineLevelRow="0" outlineLevelCol="0"/>
  <cols>
    <col min="1" max="1" width="21" style="1" customWidth="1"/>
    <col min="2" max="18" width="10.8516" style="1" customWidth="1"/>
    <col min="19" max="16384" width="10.8516" style="1" customWidth="1"/>
  </cols>
  <sheetData>
    <row r="1" ht="6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3">
        <v>8</v>
      </c>
      <c r="J1" t="s" s="2">
        <v>9</v>
      </c>
      <c r="K1" t="s" s="2">
        <v>10</v>
      </c>
      <c r="L1" t="s" s="2">
        <v>11</v>
      </c>
      <c r="M1" t="s" s="3">
        <v>12</v>
      </c>
      <c r="N1" t="s" s="3">
        <v>13</v>
      </c>
      <c r="O1" t="s" s="2">
        <v>14</v>
      </c>
      <c r="P1" t="s" s="2">
        <v>15</v>
      </c>
      <c r="Q1" t="s" s="2">
        <v>16</v>
      </c>
      <c r="R1" t="s" s="2">
        <v>17</v>
      </c>
    </row>
    <row r="2" ht="15.35" customHeight="1">
      <c r="A2" t="s" s="2">
        <v>18</v>
      </c>
      <c r="B2" s="4">
        <v>44539</v>
      </c>
      <c r="C2" s="5">
        <v>14000</v>
      </c>
      <c r="D2" s="5">
        <v>122</v>
      </c>
      <c r="E2" s="5">
        <v>160</v>
      </c>
      <c r="F2" t="s" s="2">
        <v>19</v>
      </c>
      <c r="G2" t="s" s="2">
        <v>20</v>
      </c>
      <c r="H2" s="5">
        <v>787</v>
      </c>
      <c r="I2" t="s" s="2">
        <v>21</v>
      </c>
      <c r="J2" t="s" s="2">
        <v>22</v>
      </c>
      <c r="K2" t="s" s="2">
        <v>23</v>
      </c>
      <c r="L2" t="s" s="2">
        <v>24</v>
      </c>
      <c r="M2" s="5">
        <v>462928.99</v>
      </c>
      <c r="N2" s="5">
        <v>6323167.2</v>
      </c>
      <c r="O2" t="s" s="2">
        <v>25</v>
      </c>
      <c r="P2" s="6"/>
      <c r="Q2" t="s" s="2">
        <v>26</v>
      </c>
      <c r="R2" t="s" s="2">
        <f>_xlfn.IFERROR(INDEX('model_byCAP'!$D$2:$D$377,MATCH(Q2,'model_byCAP'!$A$2:$A$377,0)),0)</f>
        <v>27</v>
      </c>
    </row>
    <row r="3" ht="15.35" customHeight="1">
      <c r="A3" t="s" s="2">
        <v>28</v>
      </c>
      <c r="B3" s="4">
        <v>43888</v>
      </c>
      <c r="C3" s="5">
        <v>10000</v>
      </c>
      <c r="D3" s="5">
        <v>193</v>
      </c>
      <c r="E3" s="5">
        <v>140</v>
      </c>
      <c r="F3" t="s" s="2">
        <v>29</v>
      </c>
      <c r="G3" t="s" s="2">
        <v>30</v>
      </c>
      <c r="H3" s="5">
        <v>787</v>
      </c>
      <c r="I3" t="s" s="2">
        <v>21</v>
      </c>
      <c r="J3" t="s" s="2">
        <v>22</v>
      </c>
      <c r="K3" t="s" s="2">
        <v>31</v>
      </c>
      <c r="L3" t="s" s="2">
        <v>32</v>
      </c>
      <c r="M3" s="5">
        <v>492926.99</v>
      </c>
      <c r="N3" s="5">
        <v>6322569.2</v>
      </c>
      <c r="O3" t="s" s="2">
        <v>25</v>
      </c>
      <c r="P3" s="5">
        <v>3507002</v>
      </c>
      <c r="Q3" t="s" s="2">
        <v>33</v>
      </c>
      <c r="R3" t="s" s="2">
        <f>_xlfn.IFERROR(INDEX('model_byCAP'!$D$2:$D$377,MATCH(Q3,'model_byCAP'!$A$2:$A$377,0)),0)</f>
        <v>34</v>
      </c>
    </row>
    <row r="4" ht="15.35" customHeight="1">
      <c r="A4" t="s" s="2">
        <v>35</v>
      </c>
      <c r="B4" s="4">
        <v>43858</v>
      </c>
      <c r="C4" s="5">
        <v>9500</v>
      </c>
      <c r="D4" s="5">
        <v>174</v>
      </c>
      <c r="E4" s="5">
        <v>130</v>
      </c>
      <c r="F4" t="s" s="2">
        <v>36</v>
      </c>
      <c r="G4" t="s" s="2">
        <v>37</v>
      </c>
      <c r="H4" s="5">
        <v>787</v>
      </c>
      <c r="I4" t="s" s="2">
        <v>21</v>
      </c>
      <c r="J4" t="s" s="2">
        <v>22</v>
      </c>
      <c r="K4" t="s" s="2">
        <v>38</v>
      </c>
      <c r="L4" s="5">
        <v>34</v>
      </c>
      <c r="M4" s="5">
        <v>492926</v>
      </c>
      <c r="N4" s="5">
        <v>6325569</v>
      </c>
      <c r="O4" t="s" s="2">
        <v>25</v>
      </c>
      <c r="P4" s="5">
        <v>3489007</v>
      </c>
      <c r="Q4" t="s" s="2">
        <v>39</v>
      </c>
      <c r="R4" t="s" s="2">
        <f>_xlfn.IFERROR(INDEX('model_byCAP'!$D$2:$D$377,MATCH(Q4,'model_byCAP'!$A$2:$A$377,0)),0)</f>
        <v>40</v>
      </c>
    </row>
    <row r="5" ht="15.35" customHeight="1">
      <c r="A5" t="s" s="2">
        <v>41</v>
      </c>
      <c r="B5" s="4">
        <v>43378</v>
      </c>
      <c r="C5" s="5">
        <v>8600</v>
      </c>
      <c r="D5" s="5">
        <v>167</v>
      </c>
      <c r="E5" s="5">
        <v>120.5</v>
      </c>
      <c r="F5" t="s" s="2">
        <v>42</v>
      </c>
      <c r="G5" t="s" s="2">
        <v>42</v>
      </c>
      <c r="H5" s="5">
        <v>787</v>
      </c>
      <c r="I5" t="s" s="2">
        <v>21</v>
      </c>
      <c r="J5" t="s" s="2">
        <v>22</v>
      </c>
      <c r="K5" t="s" s="2">
        <v>31</v>
      </c>
      <c r="L5" t="s" s="2">
        <v>32</v>
      </c>
      <c r="M5" s="5">
        <v>492960</v>
      </c>
      <c r="N5" s="5">
        <v>6323735</v>
      </c>
      <c r="O5" t="s" s="2">
        <v>25</v>
      </c>
      <c r="P5" s="5">
        <v>3492006</v>
      </c>
      <c r="Q5" t="s" s="2">
        <v>43</v>
      </c>
      <c r="R5" s="5">
        <f>_xlfn.IFERROR(INDEX('model_byCAP'!$D$2:$D$377,MATCH(Q5,'model_byCAP'!$A$2:$A$377,0)),0)</f>
        <v>0</v>
      </c>
    </row>
    <row r="6" ht="15.35" customHeight="1">
      <c r="A6" t="s" s="2">
        <v>44</v>
      </c>
      <c r="B6" s="4">
        <v>44251</v>
      </c>
      <c r="C6" s="5">
        <v>8400</v>
      </c>
      <c r="D6" s="5">
        <v>167</v>
      </c>
      <c r="E6" s="5">
        <v>104</v>
      </c>
      <c r="F6" t="s" s="2">
        <v>29</v>
      </c>
      <c r="G6" t="s" s="2">
        <v>45</v>
      </c>
      <c r="H6" s="5">
        <v>390</v>
      </c>
      <c r="I6" t="s" s="2">
        <v>46</v>
      </c>
      <c r="J6" t="s" s="2">
        <v>47</v>
      </c>
      <c r="K6" t="s" s="2">
        <v>48</v>
      </c>
      <c r="L6" t="s" s="2">
        <v>49</v>
      </c>
      <c r="M6" s="5">
        <v>744149</v>
      </c>
      <c r="N6" s="5">
        <v>6108859</v>
      </c>
      <c r="O6" t="s" s="2">
        <v>25</v>
      </c>
      <c r="P6" t="s" s="2">
        <v>50</v>
      </c>
      <c r="Q6" t="s" s="2">
        <v>51</v>
      </c>
      <c r="R6" t="s" s="2">
        <f>_xlfn.IFERROR(INDEX('model_byCAP'!$D$2:$D$377,MATCH(Q6,'model_byCAP'!$A$2:$A$377,0)),0)</f>
        <v>52</v>
      </c>
    </row>
    <row r="7" ht="15.35" customHeight="1">
      <c r="A7" t="s" s="2">
        <v>53</v>
      </c>
      <c r="B7" s="4">
        <v>44251</v>
      </c>
      <c r="C7" s="5">
        <v>8400</v>
      </c>
      <c r="D7" s="5">
        <v>167</v>
      </c>
      <c r="E7" s="5">
        <v>104</v>
      </c>
      <c r="F7" t="s" s="2">
        <v>29</v>
      </c>
      <c r="G7" t="s" s="2">
        <v>45</v>
      </c>
      <c r="H7" s="5">
        <v>390</v>
      </c>
      <c r="I7" t="s" s="2">
        <v>46</v>
      </c>
      <c r="J7" t="s" s="2">
        <v>47</v>
      </c>
      <c r="K7" t="s" s="2">
        <v>48</v>
      </c>
      <c r="L7" t="s" s="2">
        <v>49</v>
      </c>
      <c r="M7" s="5">
        <v>741899</v>
      </c>
      <c r="N7" s="5">
        <v>6107869</v>
      </c>
      <c r="O7" t="s" s="2">
        <v>25</v>
      </c>
      <c r="P7" t="s" s="2">
        <v>54</v>
      </c>
      <c r="Q7" t="s" s="2">
        <v>51</v>
      </c>
      <c r="R7" t="s" s="2">
        <f>_xlfn.IFERROR(INDEX('model_byCAP'!$D$2:$D$377,MATCH(Q7,'model_byCAP'!$A$2:$A$377,0)),0)</f>
        <v>52</v>
      </c>
    </row>
    <row r="8" ht="15.35" customHeight="1">
      <c r="A8" t="s" s="2">
        <v>55</v>
      </c>
      <c r="B8" s="4">
        <v>44250</v>
      </c>
      <c r="C8" s="5">
        <v>8400</v>
      </c>
      <c r="D8" s="5">
        <v>167</v>
      </c>
      <c r="E8" s="5">
        <v>104</v>
      </c>
      <c r="F8" t="s" s="2">
        <v>29</v>
      </c>
      <c r="G8" t="s" s="2">
        <v>45</v>
      </c>
      <c r="H8" s="5">
        <v>390</v>
      </c>
      <c r="I8" t="s" s="2">
        <v>46</v>
      </c>
      <c r="J8" t="s" s="2">
        <v>47</v>
      </c>
      <c r="K8" t="s" s="2">
        <v>48</v>
      </c>
      <c r="L8" t="s" s="2">
        <v>49</v>
      </c>
      <c r="M8" s="5">
        <v>743789</v>
      </c>
      <c r="N8" s="5">
        <v>6107689</v>
      </c>
      <c r="O8" t="s" s="2">
        <v>25</v>
      </c>
      <c r="P8" t="s" s="2">
        <v>56</v>
      </c>
      <c r="Q8" t="s" s="2">
        <v>51</v>
      </c>
      <c r="R8" t="s" s="2">
        <f>_xlfn.IFERROR(INDEX('model_byCAP'!$D$2:$D$377,MATCH(Q8,'model_byCAP'!$A$2:$A$377,0)),0)</f>
        <v>52</v>
      </c>
    </row>
    <row r="9" ht="15.35" customHeight="1">
      <c r="A9" t="s" s="2">
        <v>57</v>
      </c>
      <c r="B9" s="4">
        <v>44255</v>
      </c>
      <c r="C9" s="5">
        <v>8400</v>
      </c>
      <c r="D9" s="5">
        <v>167</v>
      </c>
      <c r="E9" s="5">
        <v>104</v>
      </c>
      <c r="F9" t="s" s="2">
        <v>29</v>
      </c>
      <c r="G9" t="s" s="2">
        <v>45</v>
      </c>
      <c r="H9" s="5">
        <v>390</v>
      </c>
      <c r="I9" t="s" s="2">
        <v>46</v>
      </c>
      <c r="J9" t="s" s="2">
        <v>47</v>
      </c>
      <c r="K9" t="s" s="2">
        <v>48</v>
      </c>
      <c r="L9" t="s" s="2">
        <v>49</v>
      </c>
      <c r="M9" s="5">
        <v>740639</v>
      </c>
      <c r="N9" s="5">
        <v>6107234</v>
      </c>
      <c r="O9" t="s" s="2">
        <v>25</v>
      </c>
      <c r="P9" t="s" s="2">
        <v>58</v>
      </c>
      <c r="Q9" t="s" s="2">
        <v>51</v>
      </c>
      <c r="R9" t="s" s="2">
        <f>_xlfn.IFERROR(INDEX('model_byCAP'!$D$2:$D$377,MATCH(Q9,'model_byCAP'!$A$2:$A$377,0)),0)</f>
        <v>52</v>
      </c>
    </row>
    <row r="10" ht="15.35" customHeight="1">
      <c r="A10" t="s" s="2">
        <v>59</v>
      </c>
      <c r="B10" s="4">
        <v>44250</v>
      </c>
      <c r="C10" s="5">
        <v>8400</v>
      </c>
      <c r="D10" s="5">
        <v>167</v>
      </c>
      <c r="E10" s="5">
        <v>104</v>
      </c>
      <c r="F10" t="s" s="2">
        <v>29</v>
      </c>
      <c r="G10" t="s" s="2">
        <v>45</v>
      </c>
      <c r="H10" s="5">
        <v>390</v>
      </c>
      <c r="I10" t="s" s="2">
        <v>46</v>
      </c>
      <c r="J10" t="s" s="2">
        <v>47</v>
      </c>
      <c r="K10" t="s" s="2">
        <v>48</v>
      </c>
      <c r="L10" t="s" s="2">
        <v>49</v>
      </c>
      <c r="M10" s="5">
        <v>743609</v>
      </c>
      <c r="N10" s="5">
        <v>6106429</v>
      </c>
      <c r="O10" t="s" s="2">
        <v>25</v>
      </c>
      <c r="P10" t="s" s="2">
        <v>60</v>
      </c>
      <c r="Q10" t="s" s="2">
        <v>51</v>
      </c>
      <c r="R10" t="s" s="2">
        <f>_xlfn.IFERROR(INDEX('model_byCAP'!$D$2:$D$377,MATCH(Q10,'model_byCAP'!$A$2:$A$377,0)),0)</f>
        <v>52</v>
      </c>
    </row>
    <row r="11" ht="15.35" customHeight="1">
      <c r="A11" t="s" s="2">
        <v>61</v>
      </c>
      <c r="B11" s="4">
        <v>44249</v>
      </c>
      <c r="C11" s="5">
        <v>8400</v>
      </c>
      <c r="D11" s="5">
        <v>167</v>
      </c>
      <c r="E11" s="5">
        <v>104</v>
      </c>
      <c r="F11" t="s" s="2">
        <v>29</v>
      </c>
      <c r="G11" t="s" s="2">
        <v>45</v>
      </c>
      <c r="H11" s="5">
        <v>390</v>
      </c>
      <c r="I11" t="s" s="2">
        <v>46</v>
      </c>
      <c r="J11" t="s" s="2">
        <v>47</v>
      </c>
      <c r="K11" t="s" s="2">
        <v>48</v>
      </c>
      <c r="L11" t="s" s="2">
        <v>49</v>
      </c>
      <c r="M11" s="5">
        <v>740549</v>
      </c>
      <c r="N11" s="5">
        <v>6105979</v>
      </c>
      <c r="O11" t="s" s="2">
        <v>25</v>
      </c>
      <c r="P11" t="s" s="2">
        <v>62</v>
      </c>
      <c r="Q11" t="s" s="2">
        <v>51</v>
      </c>
      <c r="R11" t="s" s="2">
        <f>_xlfn.IFERROR(INDEX('model_byCAP'!$D$2:$D$377,MATCH(Q11,'model_byCAP'!$A$2:$A$377,0)),0)</f>
        <v>52</v>
      </c>
    </row>
    <row r="12" ht="15.35" customHeight="1">
      <c r="A12" t="s" s="2">
        <v>63</v>
      </c>
      <c r="B12" s="4">
        <v>44240</v>
      </c>
      <c r="C12" s="5">
        <v>8400</v>
      </c>
      <c r="D12" s="5">
        <v>167</v>
      </c>
      <c r="E12" s="5">
        <v>104</v>
      </c>
      <c r="F12" t="s" s="2">
        <v>29</v>
      </c>
      <c r="G12" t="s" s="2">
        <v>45</v>
      </c>
      <c r="H12" s="5">
        <v>390</v>
      </c>
      <c r="I12" t="s" s="2">
        <v>46</v>
      </c>
      <c r="J12" t="s" s="2">
        <v>47</v>
      </c>
      <c r="K12" t="s" s="2">
        <v>48</v>
      </c>
      <c r="L12" t="s" s="2">
        <v>49</v>
      </c>
      <c r="M12" s="5">
        <v>743789</v>
      </c>
      <c r="N12" s="5">
        <v>6105169</v>
      </c>
      <c r="O12" t="s" s="2">
        <v>25</v>
      </c>
      <c r="P12" t="s" s="2">
        <v>64</v>
      </c>
      <c r="Q12" t="s" s="2">
        <v>51</v>
      </c>
      <c r="R12" t="s" s="2">
        <f>_xlfn.IFERROR(INDEX('model_byCAP'!$D$2:$D$377,MATCH(Q12,'model_byCAP'!$A$2:$A$377,0)),0)</f>
        <v>52</v>
      </c>
    </row>
    <row r="13" ht="15.35" customHeight="1">
      <c r="A13" t="s" s="2">
        <v>65</v>
      </c>
      <c r="B13" s="4">
        <v>44252</v>
      </c>
      <c r="C13" s="5">
        <v>8400</v>
      </c>
      <c r="D13" s="5">
        <v>167</v>
      </c>
      <c r="E13" s="5">
        <v>104</v>
      </c>
      <c r="F13" t="s" s="2">
        <v>29</v>
      </c>
      <c r="G13" t="s" s="2">
        <v>45</v>
      </c>
      <c r="H13" s="5">
        <v>390</v>
      </c>
      <c r="I13" t="s" s="2">
        <v>46</v>
      </c>
      <c r="J13" t="s" s="2">
        <v>47</v>
      </c>
      <c r="K13" t="s" s="2">
        <v>48</v>
      </c>
      <c r="L13" t="s" s="2">
        <v>49</v>
      </c>
      <c r="M13" s="5">
        <v>740369</v>
      </c>
      <c r="N13" s="5">
        <v>6104899</v>
      </c>
      <c r="O13" t="s" s="2">
        <v>25</v>
      </c>
      <c r="P13" t="s" s="2">
        <v>66</v>
      </c>
      <c r="Q13" t="s" s="2">
        <v>51</v>
      </c>
      <c r="R13" t="s" s="2">
        <f>_xlfn.IFERROR(INDEX('model_byCAP'!$D$2:$D$377,MATCH(Q13,'model_byCAP'!$A$2:$A$377,0)),0)</f>
        <v>52</v>
      </c>
    </row>
    <row r="14" ht="15.35" customHeight="1">
      <c r="A14" t="s" s="2">
        <v>67</v>
      </c>
      <c r="B14" s="4">
        <v>44254</v>
      </c>
      <c r="C14" s="5">
        <v>8400</v>
      </c>
      <c r="D14" s="5">
        <v>167</v>
      </c>
      <c r="E14" s="5">
        <v>104</v>
      </c>
      <c r="F14" t="s" s="2">
        <v>29</v>
      </c>
      <c r="G14" t="s" s="2">
        <v>45</v>
      </c>
      <c r="H14" s="5">
        <v>390</v>
      </c>
      <c r="I14" t="s" s="2">
        <v>46</v>
      </c>
      <c r="J14" t="s" s="2">
        <v>47</v>
      </c>
      <c r="K14" t="s" s="2">
        <v>48</v>
      </c>
      <c r="L14" t="s" s="2">
        <v>49</v>
      </c>
      <c r="M14" s="5">
        <v>740459</v>
      </c>
      <c r="N14" s="5">
        <v>6103819</v>
      </c>
      <c r="O14" t="s" s="2">
        <v>25</v>
      </c>
      <c r="P14" t="s" s="2">
        <v>68</v>
      </c>
      <c r="Q14" t="s" s="2">
        <v>51</v>
      </c>
      <c r="R14" t="s" s="2">
        <f>_xlfn.IFERROR(INDEX('model_byCAP'!$D$2:$D$377,MATCH(Q14,'model_byCAP'!$A$2:$A$377,0)),0)</f>
        <v>52</v>
      </c>
    </row>
    <row r="15" ht="15.35" customHeight="1">
      <c r="A15" t="s" s="2">
        <v>69</v>
      </c>
      <c r="B15" s="4">
        <v>44228</v>
      </c>
      <c r="C15" s="5">
        <v>8400</v>
      </c>
      <c r="D15" s="5">
        <v>167</v>
      </c>
      <c r="E15" s="5">
        <v>104</v>
      </c>
      <c r="F15" t="s" s="2">
        <v>29</v>
      </c>
      <c r="G15" t="s" s="2">
        <v>45</v>
      </c>
      <c r="H15" s="5">
        <v>390</v>
      </c>
      <c r="I15" t="s" s="2">
        <v>46</v>
      </c>
      <c r="J15" t="s" s="2">
        <v>47</v>
      </c>
      <c r="K15" t="s" s="2">
        <v>48</v>
      </c>
      <c r="L15" t="s" s="2">
        <v>49</v>
      </c>
      <c r="M15" s="5">
        <v>744149</v>
      </c>
      <c r="N15" s="5">
        <v>6103639</v>
      </c>
      <c r="O15" t="s" s="2">
        <v>25</v>
      </c>
      <c r="P15" t="s" s="2">
        <v>70</v>
      </c>
      <c r="Q15" t="s" s="2">
        <v>51</v>
      </c>
      <c r="R15" t="s" s="2">
        <f>_xlfn.IFERROR(INDEX('model_byCAP'!$D$2:$D$377,MATCH(Q15,'model_byCAP'!$A$2:$A$377,0)),0)</f>
        <v>52</v>
      </c>
    </row>
    <row r="16" ht="15.35" customHeight="1">
      <c r="A16" t="s" s="2">
        <v>71</v>
      </c>
      <c r="B16" s="4">
        <v>44256</v>
      </c>
      <c r="C16" s="5">
        <v>8400</v>
      </c>
      <c r="D16" s="5">
        <v>167</v>
      </c>
      <c r="E16" s="5">
        <v>104</v>
      </c>
      <c r="F16" t="s" s="2">
        <v>29</v>
      </c>
      <c r="G16" t="s" s="2">
        <v>45</v>
      </c>
      <c r="H16" s="5">
        <v>390</v>
      </c>
      <c r="I16" t="s" s="2">
        <v>46</v>
      </c>
      <c r="J16" t="s" s="2">
        <v>47</v>
      </c>
      <c r="K16" t="s" s="2">
        <v>48</v>
      </c>
      <c r="L16" t="s" s="2">
        <v>49</v>
      </c>
      <c r="M16" s="5">
        <v>740459</v>
      </c>
      <c r="N16" s="5">
        <v>6102739</v>
      </c>
      <c r="O16" t="s" s="2">
        <v>25</v>
      </c>
      <c r="P16" t="s" s="2">
        <v>72</v>
      </c>
      <c r="Q16" t="s" s="2">
        <v>51</v>
      </c>
      <c r="R16" t="s" s="2">
        <f>_xlfn.IFERROR(INDEX('model_byCAP'!$D$2:$D$377,MATCH(Q16,'model_byCAP'!$A$2:$A$377,0)),0)</f>
        <v>52</v>
      </c>
    </row>
    <row r="17" ht="15.35" customHeight="1">
      <c r="A17" t="s" s="2">
        <v>73</v>
      </c>
      <c r="B17" s="4">
        <v>44239</v>
      </c>
      <c r="C17" s="5">
        <v>8400</v>
      </c>
      <c r="D17" s="5">
        <v>167</v>
      </c>
      <c r="E17" s="5">
        <v>104</v>
      </c>
      <c r="F17" t="s" s="2">
        <v>29</v>
      </c>
      <c r="G17" t="s" s="2">
        <v>45</v>
      </c>
      <c r="H17" s="5">
        <v>390</v>
      </c>
      <c r="I17" t="s" s="2">
        <v>46</v>
      </c>
      <c r="J17" t="s" s="2">
        <v>47</v>
      </c>
      <c r="K17" t="s" s="2">
        <v>48</v>
      </c>
      <c r="L17" t="s" s="2">
        <v>49</v>
      </c>
      <c r="M17" s="5">
        <v>744419</v>
      </c>
      <c r="N17" s="5">
        <v>6102559</v>
      </c>
      <c r="O17" t="s" s="2">
        <v>25</v>
      </c>
      <c r="P17" t="s" s="2">
        <v>74</v>
      </c>
      <c r="Q17" t="s" s="2">
        <v>51</v>
      </c>
      <c r="R17" t="s" s="2">
        <f>_xlfn.IFERROR(INDEX('model_byCAP'!$D$2:$D$377,MATCH(Q17,'model_byCAP'!$A$2:$A$377,0)),0)</f>
        <v>52</v>
      </c>
    </row>
    <row r="18" ht="15.35" customHeight="1">
      <c r="A18" t="s" s="2">
        <v>75</v>
      </c>
      <c r="B18" s="4">
        <v>44257</v>
      </c>
      <c r="C18" s="5">
        <v>8400</v>
      </c>
      <c r="D18" s="5">
        <v>167</v>
      </c>
      <c r="E18" s="5">
        <v>104</v>
      </c>
      <c r="F18" t="s" s="2">
        <v>29</v>
      </c>
      <c r="G18" t="s" s="2">
        <v>45</v>
      </c>
      <c r="H18" s="5">
        <v>390</v>
      </c>
      <c r="I18" t="s" s="2">
        <v>46</v>
      </c>
      <c r="J18" t="s" s="2">
        <v>47</v>
      </c>
      <c r="K18" t="s" s="2">
        <v>48</v>
      </c>
      <c r="L18" t="s" s="2">
        <v>49</v>
      </c>
      <c r="M18" s="5">
        <v>740189</v>
      </c>
      <c r="N18" s="5">
        <v>6101749</v>
      </c>
      <c r="O18" t="s" s="2">
        <v>25</v>
      </c>
      <c r="P18" t="s" s="2">
        <v>76</v>
      </c>
      <c r="Q18" t="s" s="2">
        <v>51</v>
      </c>
      <c r="R18" t="s" s="2">
        <f>_xlfn.IFERROR(INDEX('model_byCAP'!$D$2:$D$377,MATCH(Q18,'model_byCAP'!$A$2:$A$377,0)),0)</f>
        <v>52</v>
      </c>
    </row>
    <row r="19" ht="15.35" customHeight="1">
      <c r="A19" t="s" s="2">
        <v>77</v>
      </c>
      <c r="B19" s="4">
        <v>44270</v>
      </c>
      <c r="C19" s="5">
        <v>8400</v>
      </c>
      <c r="D19" s="5">
        <v>167</v>
      </c>
      <c r="E19" s="5">
        <v>104</v>
      </c>
      <c r="F19" t="s" s="2">
        <v>29</v>
      </c>
      <c r="G19" t="s" s="2">
        <v>45</v>
      </c>
      <c r="H19" s="5">
        <v>390</v>
      </c>
      <c r="I19" t="s" s="2">
        <v>46</v>
      </c>
      <c r="J19" t="s" s="2">
        <v>47</v>
      </c>
      <c r="K19" t="s" s="2">
        <v>48</v>
      </c>
      <c r="L19" t="s" s="2">
        <v>49</v>
      </c>
      <c r="M19" s="5">
        <v>744056</v>
      </c>
      <c r="N19" s="5">
        <v>6101294</v>
      </c>
      <c r="O19" t="s" s="2">
        <v>25</v>
      </c>
      <c r="P19" t="s" s="2">
        <v>78</v>
      </c>
      <c r="Q19" t="s" s="2">
        <v>51</v>
      </c>
      <c r="R19" t="s" s="2">
        <f>_xlfn.IFERROR(INDEX('model_byCAP'!$D$2:$D$377,MATCH(Q19,'model_byCAP'!$A$2:$A$377,0)),0)</f>
        <v>52</v>
      </c>
    </row>
    <row r="20" ht="15.35" customHeight="1">
      <c r="A20" t="s" s="2">
        <v>79</v>
      </c>
      <c r="B20" s="4">
        <v>44257</v>
      </c>
      <c r="C20" s="5">
        <v>8400</v>
      </c>
      <c r="D20" s="5">
        <v>167</v>
      </c>
      <c r="E20" s="5">
        <v>104</v>
      </c>
      <c r="F20" t="s" s="2">
        <v>29</v>
      </c>
      <c r="G20" t="s" s="2">
        <v>45</v>
      </c>
      <c r="H20" s="5">
        <v>390</v>
      </c>
      <c r="I20" t="s" s="2">
        <v>46</v>
      </c>
      <c r="J20" t="s" s="2">
        <v>47</v>
      </c>
      <c r="K20" t="s" s="2">
        <v>48</v>
      </c>
      <c r="L20" t="s" s="2">
        <v>49</v>
      </c>
      <c r="M20" s="5">
        <v>740639</v>
      </c>
      <c r="N20" s="5">
        <v>6100669</v>
      </c>
      <c r="O20" t="s" s="2">
        <v>25</v>
      </c>
      <c r="P20" t="s" s="2">
        <v>80</v>
      </c>
      <c r="Q20" t="s" s="2">
        <v>51</v>
      </c>
      <c r="R20" t="s" s="2">
        <f>_xlfn.IFERROR(INDEX('model_byCAP'!$D$2:$D$377,MATCH(Q20,'model_byCAP'!$A$2:$A$377,0)),0)</f>
        <v>52</v>
      </c>
    </row>
    <row r="21" ht="15.35" customHeight="1">
      <c r="A21" t="s" s="2">
        <v>81</v>
      </c>
      <c r="B21" s="4">
        <v>44260</v>
      </c>
      <c r="C21" s="5">
        <v>8400</v>
      </c>
      <c r="D21" s="5">
        <v>167</v>
      </c>
      <c r="E21" s="5">
        <v>104</v>
      </c>
      <c r="F21" t="s" s="2">
        <v>29</v>
      </c>
      <c r="G21" t="s" s="2">
        <v>45</v>
      </c>
      <c r="H21" s="5">
        <v>390</v>
      </c>
      <c r="I21" t="s" s="2">
        <v>46</v>
      </c>
      <c r="J21" t="s" s="2">
        <v>47</v>
      </c>
      <c r="K21" t="s" s="2">
        <v>48</v>
      </c>
      <c r="L21" t="s" s="2">
        <v>49</v>
      </c>
      <c r="M21" s="5">
        <v>745949</v>
      </c>
      <c r="N21" s="5">
        <v>6100406</v>
      </c>
      <c r="O21" t="s" s="2">
        <v>25</v>
      </c>
      <c r="P21" t="s" s="2">
        <v>82</v>
      </c>
      <c r="Q21" t="s" s="2">
        <v>51</v>
      </c>
      <c r="R21" t="s" s="2">
        <f>_xlfn.IFERROR(INDEX('model_byCAP'!$D$2:$D$377,MATCH(Q21,'model_byCAP'!$A$2:$A$377,0)),0)</f>
        <v>52</v>
      </c>
    </row>
    <row r="22" ht="15.35" customHeight="1">
      <c r="A22" t="s" s="2">
        <v>83</v>
      </c>
      <c r="B22" s="4">
        <v>44271</v>
      </c>
      <c r="C22" s="5">
        <v>8400</v>
      </c>
      <c r="D22" s="5">
        <v>167</v>
      </c>
      <c r="E22" s="5">
        <v>104</v>
      </c>
      <c r="F22" t="s" s="2">
        <v>29</v>
      </c>
      <c r="G22" t="s" s="2">
        <v>45</v>
      </c>
      <c r="H22" s="5">
        <v>390</v>
      </c>
      <c r="I22" t="s" s="2">
        <v>46</v>
      </c>
      <c r="J22" t="s" s="2">
        <v>47</v>
      </c>
      <c r="K22" t="s" s="2">
        <v>48</v>
      </c>
      <c r="L22" t="s" s="2">
        <v>49</v>
      </c>
      <c r="M22" s="5">
        <v>743788</v>
      </c>
      <c r="N22" s="5">
        <v>6099673</v>
      </c>
      <c r="O22" t="s" s="2">
        <v>25</v>
      </c>
      <c r="P22" t="s" s="2">
        <v>84</v>
      </c>
      <c r="Q22" t="s" s="2">
        <v>51</v>
      </c>
      <c r="R22" t="s" s="2">
        <f>_xlfn.IFERROR(INDEX('model_byCAP'!$D$2:$D$377,MATCH(Q22,'model_byCAP'!$A$2:$A$377,0)),0)</f>
        <v>52</v>
      </c>
    </row>
    <row r="23" ht="15.35" customHeight="1">
      <c r="A23" t="s" s="2">
        <v>85</v>
      </c>
      <c r="B23" s="4">
        <v>44232</v>
      </c>
      <c r="C23" s="5">
        <v>8400</v>
      </c>
      <c r="D23" s="5">
        <v>167</v>
      </c>
      <c r="E23" s="5">
        <v>104</v>
      </c>
      <c r="F23" t="s" s="2">
        <v>29</v>
      </c>
      <c r="G23" t="s" s="2">
        <v>45</v>
      </c>
      <c r="H23" s="5">
        <v>390</v>
      </c>
      <c r="I23" t="s" s="2">
        <v>46</v>
      </c>
      <c r="J23" t="s" s="2">
        <v>47</v>
      </c>
      <c r="K23" t="s" s="2">
        <v>48</v>
      </c>
      <c r="L23" t="s" s="2">
        <v>49</v>
      </c>
      <c r="M23" s="5">
        <v>741089</v>
      </c>
      <c r="N23" s="5">
        <v>6099589</v>
      </c>
      <c r="O23" t="s" s="2">
        <v>25</v>
      </c>
      <c r="P23" t="s" s="2">
        <v>86</v>
      </c>
      <c r="Q23" t="s" s="2">
        <v>51</v>
      </c>
      <c r="R23" t="s" s="2">
        <f>_xlfn.IFERROR(INDEX('model_byCAP'!$D$2:$D$377,MATCH(Q23,'model_byCAP'!$A$2:$A$377,0)),0)</f>
        <v>52</v>
      </c>
    </row>
    <row r="24" ht="15.35" customHeight="1">
      <c r="A24" t="s" s="2">
        <v>87</v>
      </c>
      <c r="B24" s="4">
        <v>44261</v>
      </c>
      <c r="C24" s="5">
        <v>8400</v>
      </c>
      <c r="D24" s="5">
        <v>167</v>
      </c>
      <c r="E24" s="5">
        <v>104</v>
      </c>
      <c r="F24" t="s" s="2">
        <v>29</v>
      </c>
      <c r="G24" t="s" s="2">
        <v>45</v>
      </c>
      <c r="H24" s="5">
        <v>390</v>
      </c>
      <c r="I24" t="s" s="2">
        <v>46</v>
      </c>
      <c r="J24" t="s" s="2">
        <v>47</v>
      </c>
      <c r="K24" t="s" s="2">
        <v>48</v>
      </c>
      <c r="L24" t="s" s="2">
        <v>49</v>
      </c>
      <c r="M24" s="5">
        <v>747750</v>
      </c>
      <c r="N24" s="5">
        <v>6099409</v>
      </c>
      <c r="O24" t="s" s="2">
        <v>25</v>
      </c>
      <c r="P24" t="s" s="2">
        <v>88</v>
      </c>
      <c r="Q24" t="s" s="2">
        <v>51</v>
      </c>
      <c r="R24" t="s" s="2">
        <f>_xlfn.IFERROR(INDEX('model_byCAP'!$D$2:$D$377,MATCH(Q24,'model_byCAP'!$A$2:$A$377,0)),0)</f>
        <v>52</v>
      </c>
    </row>
    <row r="25" ht="15.35" customHeight="1">
      <c r="A25" t="s" s="2">
        <v>89</v>
      </c>
      <c r="B25" s="4">
        <v>44264</v>
      </c>
      <c r="C25" s="5">
        <v>8400</v>
      </c>
      <c r="D25" s="5">
        <v>167</v>
      </c>
      <c r="E25" s="5">
        <v>104</v>
      </c>
      <c r="F25" t="s" s="2">
        <v>29</v>
      </c>
      <c r="G25" t="s" s="2">
        <v>45</v>
      </c>
      <c r="H25" s="5">
        <v>390</v>
      </c>
      <c r="I25" t="s" s="2">
        <v>46</v>
      </c>
      <c r="J25" t="s" s="2">
        <v>47</v>
      </c>
      <c r="K25" t="s" s="2">
        <v>48</v>
      </c>
      <c r="L25" t="s" s="2">
        <v>49</v>
      </c>
      <c r="M25" s="5">
        <v>749825</v>
      </c>
      <c r="N25" s="5">
        <v>6098607</v>
      </c>
      <c r="O25" t="s" s="2">
        <v>25</v>
      </c>
      <c r="P25" t="s" s="2">
        <v>90</v>
      </c>
      <c r="Q25" t="s" s="2">
        <v>51</v>
      </c>
      <c r="R25" t="s" s="2">
        <f>_xlfn.IFERROR(INDEX('model_byCAP'!$D$2:$D$377,MATCH(Q25,'model_byCAP'!$A$2:$A$377,0)),0)</f>
        <v>52</v>
      </c>
    </row>
    <row r="26" ht="15.35" customHeight="1">
      <c r="A26" t="s" s="2">
        <v>91</v>
      </c>
      <c r="B26" s="4">
        <v>44241</v>
      </c>
      <c r="C26" s="5">
        <v>8400</v>
      </c>
      <c r="D26" s="5">
        <v>167</v>
      </c>
      <c r="E26" s="5">
        <v>104</v>
      </c>
      <c r="F26" t="s" s="2">
        <v>29</v>
      </c>
      <c r="G26" t="s" s="2">
        <v>45</v>
      </c>
      <c r="H26" s="5">
        <v>390</v>
      </c>
      <c r="I26" t="s" s="2">
        <v>46</v>
      </c>
      <c r="J26" t="s" s="2">
        <v>47</v>
      </c>
      <c r="K26" t="s" s="2">
        <v>48</v>
      </c>
      <c r="L26" t="s" s="2">
        <v>49</v>
      </c>
      <c r="M26" s="5">
        <v>741623</v>
      </c>
      <c r="N26" s="5">
        <v>6098512</v>
      </c>
      <c r="O26" t="s" s="2">
        <v>25</v>
      </c>
      <c r="P26" t="s" s="2">
        <v>92</v>
      </c>
      <c r="Q26" t="s" s="2">
        <v>51</v>
      </c>
      <c r="R26" t="s" s="2">
        <f>_xlfn.IFERROR(INDEX('model_byCAP'!$D$2:$D$377,MATCH(Q26,'model_byCAP'!$A$2:$A$377,0)),0)</f>
        <v>52</v>
      </c>
    </row>
    <row r="27" ht="15.35" customHeight="1">
      <c r="A27" t="s" s="2">
        <v>93</v>
      </c>
      <c r="B27" s="4">
        <v>44314</v>
      </c>
      <c r="C27" s="5">
        <v>8400</v>
      </c>
      <c r="D27" s="5">
        <v>167</v>
      </c>
      <c r="E27" s="5">
        <v>104</v>
      </c>
      <c r="F27" t="s" s="2">
        <v>29</v>
      </c>
      <c r="G27" t="s" s="2">
        <v>45</v>
      </c>
      <c r="H27" s="5">
        <v>390</v>
      </c>
      <c r="I27" t="s" s="2">
        <v>46</v>
      </c>
      <c r="J27" t="s" s="2">
        <v>47</v>
      </c>
      <c r="K27" t="s" s="2">
        <v>48</v>
      </c>
      <c r="L27" t="s" s="2">
        <v>49</v>
      </c>
      <c r="M27" s="5">
        <v>743429</v>
      </c>
      <c r="N27" s="5">
        <v>6098419</v>
      </c>
      <c r="O27" t="s" s="2">
        <v>25</v>
      </c>
      <c r="P27" t="s" s="2">
        <v>94</v>
      </c>
      <c r="Q27" t="s" s="2">
        <v>51</v>
      </c>
      <c r="R27" t="s" s="2">
        <f>_xlfn.IFERROR(INDEX('model_byCAP'!$D$2:$D$377,MATCH(Q27,'model_byCAP'!$A$2:$A$377,0)),0)</f>
        <v>52</v>
      </c>
    </row>
    <row r="28" ht="15.35" customHeight="1">
      <c r="A28" t="s" s="2">
        <v>95</v>
      </c>
      <c r="B28" s="4">
        <v>44274</v>
      </c>
      <c r="C28" s="5">
        <v>8400</v>
      </c>
      <c r="D28" s="5">
        <v>167</v>
      </c>
      <c r="E28" s="5">
        <v>104</v>
      </c>
      <c r="F28" t="s" s="2">
        <v>29</v>
      </c>
      <c r="G28" t="s" s="2">
        <v>45</v>
      </c>
      <c r="H28" s="5">
        <v>390</v>
      </c>
      <c r="I28" t="s" s="2">
        <v>46</v>
      </c>
      <c r="J28" t="s" s="2">
        <v>47</v>
      </c>
      <c r="K28" t="s" s="2">
        <v>48</v>
      </c>
      <c r="L28" t="s" s="2">
        <v>49</v>
      </c>
      <c r="M28" s="5">
        <v>745409</v>
      </c>
      <c r="N28" s="5">
        <v>6098329</v>
      </c>
      <c r="O28" t="s" s="2">
        <v>25</v>
      </c>
      <c r="P28" t="s" s="2">
        <v>96</v>
      </c>
      <c r="Q28" t="s" s="2">
        <v>51</v>
      </c>
      <c r="R28" t="s" s="2">
        <f>_xlfn.IFERROR(INDEX('model_byCAP'!$D$2:$D$377,MATCH(Q28,'model_byCAP'!$A$2:$A$377,0)),0)</f>
        <v>52</v>
      </c>
    </row>
    <row r="29" ht="15.35" customHeight="1">
      <c r="A29" t="s" s="2">
        <v>97</v>
      </c>
      <c r="B29" s="4">
        <v>44263</v>
      </c>
      <c r="C29" s="5">
        <v>8400</v>
      </c>
      <c r="D29" s="5">
        <v>167</v>
      </c>
      <c r="E29" s="5">
        <v>104</v>
      </c>
      <c r="F29" t="s" s="2">
        <v>29</v>
      </c>
      <c r="G29" t="s" s="2">
        <v>45</v>
      </c>
      <c r="H29" s="5">
        <v>390</v>
      </c>
      <c r="I29" t="s" s="2">
        <v>46</v>
      </c>
      <c r="J29" t="s" s="2">
        <v>47</v>
      </c>
      <c r="K29" t="s" s="2">
        <v>48</v>
      </c>
      <c r="L29" t="s" s="2">
        <v>49</v>
      </c>
      <c r="M29" s="5">
        <v>747565</v>
      </c>
      <c r="N29" s="5">
        <v>6098328</v>
      </c>
      <c r="O29" t="s" s="2">
        <v>25</v>
      </c>
      <c r="P29" t="s" s="2">
        <v>98</v>
      </c>
      <c r="Q29" t="s" s="2">
        <v>51</v>
      </c>
      <c r="R29" t="s" s="2">
        <f>_xlfn.IFERROR(INDEX('model_byCAP'!$D$2:$D$377,MATCH(Q29,'model_byCAP'!$A$2:$A$377,0)),0)</f>
        <v>52</v>
      </c>
    </row>
    <row r="30" ht="15.35" customHeight="1">
      <c r="A30" t="s" s="2">
        <v>99</v>
      </c>
      <c r="B30" s="4">
        <v>44303</v>
      </c>
      <c r="C30" s="5">
        <v>8400</v>
      </c>
      <c r="D30" s="5">
        <v>167</v>
      </c>
      <c r="E30" s="5">
        <v>104</v>
      </c>
      <c r="F30" t="s" s="2">
        <v>29</v>
      </c>
      <c r="G30" t="s" s="2">
        <v>45</v>
      </c>
      <c r="H30" s="5">
        <v>390</v>
      </c>
      <c r="I30" t="s" s="2">
        <v>46</v>
      </c>
      <c r="J30" t="s" s="2">
        <v>47</v>
      </c>
      <c r="K30" t="s" s="2">
        <v>48</v>
      </c>
      <c r="L30" t="s" s="2">
        <v>49</v>
      </c>
      <c r="M30" s="5">
        <v>751265</v>
      </c>
      <c r="N30" s="5">
        <v>6112095</v>
      </c>
      <c r="O30" t="s" s="2">
        <v>25</v>
      </c>
      <c r="P30" t="s" s="2">
        <v>100</v>
      </c>
      <c r="Q30" t="s" s="2">
        <v>51</v>
      </c>
      <c r="R30" t="s" s="2">
        <f>_xlfn.IFERROR(INDEX('model_byCAP'!$D$2:$D$377,MATCH(Q30,'model_byCAP'!$A$2:$A$377,0)),0)</f>
        <v>52</v>
      </c>
    </row>
    <row r="31" ht="15.35" customHeight="1">
      <c r="A31" t="s" s="2">
        <v>101</v>
      </c>
      <c r="B31" s="4">
        <v>44302</v>
      </c>
      <c r="C31" s="5">
        <v>8400</v>
      </c>
      <c r="D31" s="5">
        <v>167</v>
      </c>
      <c r="E31" s="5">
        <v>104</v>
      </c>
      <c r="F31" t="s" s="2">
        <v>29</v>
      </c>
      <c r="G31" t="s" s="2">
        <v>45</v>
      </c>
      <c r="H31" s="5">
        <v>390</v>
      </c>
      <c r="I31" t="s" s="2">
        <v>46</v>
      </c>
      <c r="J31" t="s" s="2">
        <v>47</v>
      </c>
      <c r="K31" t="s" s="2">
        <v>48</v>
      </c>
      <c r="L31" t="s" s="2">
        <v>49</v>
      </c>
      <c r="M31" s="5">
        <v>750089</v>
      </c>
      <c r="N31" s="5">
        <v>6111559</v>
      </c>
      <c r="O31" t="s" s="2">
        <v>25</v>
      </c>
      <c r="P31" t="s" s="2">
        <v>102</v>
      </c>
      <c r="Q31" t="s" s="2">
        <v>51</v>
      </c>
      <c r="R31" t="s" s="2">
        <f>_xlfn.IFERROR(INDEX('model_byCAP'!$D$2:$D$377,MATCH(Q31,'model_byCAP'!$A$2:$A$377,0)),0)</f>
        <v>52</v>
      </c>
    </row>
    <row r="32" ht="15.35" customHeight="1">
      <c r="A32" t="s" s="2">
        <v>103</v>
      </c>
      <c r="B32" s="4">
        <v>44346</v>
      </c>
      <c r="C32" s="5">
        <v>8400</v>
      </c>
      <c r="D32" s="5">
        <v>167</v>
      </c>
      <c r="E32" s="5">
        <v>104</v>
      </c>
      <c r="F32" t="s" s="2">
        <v>29</v>
      </c>
      <c r="G32" t="s" s="2">
        <v>45</v>
      </c>
      <c r="H32" s="5">
        <v>390</v>
      </c>
      <c r="I32" t="s" s="2">
        <v>46</v>
      </c>
      <c r="J32" t="s" s="2">
        <v>47</v>
      </c>
      <c r="K32" t="s" s="2">
        <v>48</v>
      </c>
      <c r="L32" t="s" s="2">
        <v>49</v>
      </c>
      <c r="M32" s="5">
        <v>754409</v>
      </c>
      <c r="N32" s="5">
        <v>6111559</v>
      </c>
      <c r="O32" t="s" s="2">
        <v>25</v>
      </c>
      <c r="P32" t="s" s="2">
        <v>104</v>
      </c>
      <c r="Q32" t="s" s="2">
        <v>51</v>
      </c>
      <c r="R32" t="s" s="2">
        <f>_xlfn.IFERROR(INDEX('model_byCAP'!$D$2:$D$377,MATCH(Q32,'model_byCAP'!$A$2:$A$377,0)),0)</f>
        <v>52</v>
      </c>
    </row>
    <row r="33" ht="15.35" customHeight="1">
      <c r="A33" t="s" s="2">
        <v>105</v>
      </c>
      <c r="B33" s="4">
        <v>44338</v>
      </c>
      <c r="C33" s="5">
        <v>8400</v>
      </c>
      <c r="D33" s="5">
        <v>167</v>
      </c>
      <c r="E33" s="5">
        <v>104</v>
      </c>
      <c r="F33" t="s" s="2">
        <v>29</v>
      </c>
      <c r="G33" t="s" s="2">
        <v>45</v>
      </c>
      <c r="H33" s="5">
        <v>390</v>
      </c>
      <c r="I33" t="s" s="2">
        <v>46</v>
      </c>
      <c r="J33" t="s" s="2">
        <v>47</v>
      </c>
      <c r="K33" t="s" s="2">
        <v>48</v>
      </c>
      <c r="L33" t="s" s="2">
        <v>49</v>
      </c>
      <c r="M33" s="5">
        <v>755399</v>
      </c>
      <c r="N33" s="5">
        <v>6110929</v>
      </c>
      <c r="O33" t="s" s="2">
        <v>25</v>
      </c>
      <c r="P33" t="s" s="2">
        <v>106</v>
      </c>
      <c r="Q33" t="s" s="2">
        <v>51</v>
      </c>
      <c r="R33" t="s" s="2">
        <f>_xlfn.IFERROR(INDEX('model_byCAP'!$D$2:$D$377,MATCH(Q33,'model_byCAP'!$A$2:$A$377,0)),0)</f>
        <v>52</v>
      </c>
    </row>
    <row r="34" ht="15.35" customHeight="1">
      <c r="A34" t="s" s="2">
        <v>107</v>
      </c>
      <c r="B34" s="4">
        <v>44299</v>
      </c>
      <c r="C34" s="5">
        <v>8400</v>
      </c>
      <c r="D34" s="5">
        <v>167</v>
      </c>
      <c r="E34" s="5">
        <v>104</v>
      </c>
      <c r="F34" t="s" s="2">
        <v>29</v>
      </c>
      <c r="G34" t="s" s="2">
        <v>45</v>
      </c>
      <c r="H34" s="5">
        <v>390</v>
      </c>
      <c r="I34" t="s" s="2">
        <v>46</v>
      </c>
      <c r="J34" t="s" s="2">
        <v>47</v>
      </c>
      <c r="K34" t="s" s="2">
        <v>48</v>
      </c>
      <c r="L34" t="s" s="2">
        <v>49</v>
      </c>
      <c r="M34" s="5">
        <v>750359</v>
      </c>
      <c r="N34" s="5">
        <v>6110389</v>
      </c>
      <c r="O34" t="s" s="2">
        <v>25</v>
      </c>
      <c r="P34" t="s" s="2">
        <v>108</v>
      </c>
      <c r="Q34" t="s" s="2">
        <v>51</v>
      </c>
      <c r="R34" t="s" s="2">
        <f>_xlfn.IFERROR(INDEX('model_byCAP'!$D$2:$D$377,MATCH(Q34,'model_byCAP'!$A$2:$A$377,0)),0)</f>
        <v>52</v>
      </c>
    </row>
    <row r="35" ht="15.35" customHeight="1">
      <c r="A35" t="s" s="2">
        <v>109</v>
      </c>
      <c r="B35" s="4">
        <v>44338</v>
      </c>
      <c r="C35" s="5">
        <v>8400</v>
      </c>
      <c r="D35" s="5">
        <v>167</v>
      </c>
      <c r="E35" s="5">
        <v>104</v>
      </c>
      <c r="F35" t="s" s="2">
        <v>29</v>
      </c>
      <c r="G35" t="s" s="2">
        <v>45</v>
      </c>
      <c r="H35" s="5">
        <v>390</v>
      </c>
      <c r="I35" t="s" s="2">
        <v>46</v>
      </c>
      <c r="J35" t="s" s="2">
        <v>47</v>
      </c>
      <c r="K35" t="s" s="2">
        <v>48</v>
      </c>
      <c r="L35" t="s" s="2">
        <v>49</v>
      </c>
      <c r="M35" s="5">
        <v>754319</v>
      </c>
      <c r="N35" s="5">
        <v>6109399</v>
      </c>
      <c r="O35" t="s" s="2">
        <v>25</v>
      </c>
      <c r="P35" t="s" s="2">
        <v>110</v>
      </c>
      <c r="Q35" t="s" s="2">
        <v>51</v>
      </c>
      <c r="R35" t="s" s="2">
        <f>_xlfn.IFERROR(INDEX('model_byCAP'!$D$2:$D$377,MATCH(Q35,'model_byCAP'!$A$2:$A$377,0)),0)</f>
        <v>52</v>
      </c>
    </row>
    <row r="36" ht="15.35" customHeight="1">
      <c r="A36" t="s" s="2">
        <v>111</v>
      </c>
      <c r="B36" s="4">
        <v>44334</v>
      </c>
      <c r="C36" s="5">
        <v>8400</v>
      </c>
      <c r="D36" s="5">
        <v>167</v>
      </c>
      <c r="E36" s="5">
        <v>104</v>
      </c>
      <c r="F36" t="s" s="2">
        <v>29</v>
      </c>
      <c r="G36" t="s" s="2">
        <v>45</v>
      </c>
      <c r="H36" s="5">
        <v>390</v>
      </c>
      <c r="I36" t="s" s="2">
        <v>46</v>
      </c>
      <c r="J36" t="s" s="2">
        <v>47</v>
      </c>
      <c r="K36" t="s" s="2">
        <v>48</v>
      </c>
      <c r="L36" t="s" s="2">
        <v>49</v>
      </c>
      <c r="M36" s="5">
        <v>753321</v>
      </c>
      <c r="N36" s="5">
        <v>6107955</v>
      </c>
      <c r="O36" t="s" s="2">
        <v>25</v>
      </c>
      <c r="P36" t="s" s="2">
        <v>112</v>
      </c>
      <c r="Q36" t="s" s="2">
        <v>51</v>
      </c>
      <c r="R36" t="s" s="2">
        <f>_xlfn.IFERROR(INDEX('model_byCAP'!$D$2:$D$377,MATCH(Q36,'model_byCAP'!$A$2:$A$377,0)),0)</f>
        <v>52</v>
      </c>
    </row>
    <row r="37" ht="15.35" customHeight="1">
      <c r="A37" t="s" s="2">
        <v>113</v>
      </c>
      <c r="B37" s="4">
        <v>44320</v>
      </c>
      <c r="C37" s="5">
        <v>8400</v>
      </c>
      <c r="D37" s="5">
        <v>167</v>
      </c>
      <c r="E37" s="5">
        <v>104</v>
      </c>
      <c r="F37" t="s" s="2">
        <v>29</v>
      </c>
      <c r="G37" t="s" s="2">
        <v>45</v>
      </c>
      <c r="H37" s="5">
        <v>390</v>
      </c>
      <c r="I37" t="s" s="2">
        <v>46</v>
      </c>
      <c r="J37" t="s" s="2">
        <v>47</v>
      </c>
      <c r="K37" t="s" s="2">
        <v>48</v>
      </c>
      <c r="L37" t="s" s="2">
        <v>49</v>
      </c>
      <c r="M37" s="5">
        <v>759809</v>
      </c>
      <c r="N37" s="5">
        <v>6107869</v>
      </c>
      <c r="O37" t="s" s="2">
        <v>25</v>
      </c>
      <c r="P37" t="s" s="2">
        <v>114</v>
      </c>
      <c r="Q37" t="s" s="2">
        <v>51</v>
      </c>
      <c r="R37" t="s" s="2">
        <f>_xlfn.IFERROR(INDEX('model_byCAP'!$D$2:$D$377,MATCH(Q37,'model_byCAP'!$A$2:$A$377,0)),0)</f>
        <v>52</v>
      </c>
    </row>
    <row r="38" ht="15.35" customHeight="1">
      <c r="A38" t="s" s="2">
        <v>115</v>
      </c>
      <c r="B38" s="4">
        <v>44318</v>
      </c>
      <c r="C38" s="5">
        <v>8400</v>
      </c>
      <c r="D38" s="5">
        <v>167</v>
      </c>
      <c r="E38" s="5">
        <v>104</v>
      </c>
      <c r="F38" t="s" s="2">
        <v>29</v>
      </c>
      <c r="G38" t="s" s="2">
        <v>45</v>
      </c>
      <c r="H38" s="5">
        <v>390</v>
      </c>
      <c r="I38" t="s" s="2">
        <v>46</v>
      </c>
      <c r="J38" t="s" s="2">
        <v>47</v>
      </c>
      <c r="K38" t="s" s="2">
        <v>48</v>
      </c>
      <c r="L38" t="s" s="2">
        <v>49</v>
      </c>
      <c r="M38" s="5">
        <v>756118</v>
      </c>
      <c r="N38" s="5">
        <v>6107243</v>
      </c>
      <c r="O38" t="s" s="2">
        <v>25</v>
      </c>
      <c r="P38" t="s" s="2">
        <v>116</v>
      </c>
      <c r="Q38" t="s" s="2">
        <v>51</v>
      </c>
      <c r="R38" t="s" s="2">
        <f>_xlfn.IFERROR(INDEX('model_byCAP'!$D$2:$D$377,MATCH(Q38,'model_byCAP'!$A$2:$A$377,0)),0)</f>
        <v>52</v>
      </c>
    </row>
    <row r="39" ht="15.35" customHeight="1">
      <c r="A39" t="s" s="2">
        <v>117</v>
      </c>
      <c r="B39" s="4">
        <v>44324</v>
      </c>
      <c r="C39" s="5">
        <v>8400</v>
      </c>
      <c r="D39" s="5">
        <v>167</v>
      </c>
      <c r="E39" s="5">
        <v>104</v>
      </c>
      <c r="F39" t="s" s="2">
        <v>29</v>
      </c>
      <c r="G39" t="s" s="2">
        <v>45</v>
      </c>
      <c r="H39" s="5">
        <v>390</v>
      </c>
      <c r="I39" t="s" s="2">
        <v>46</v>
      </c>
      <c r="J39" t="s" s="2">
        <v>47</v>
      </c>
      <c r="K39" t="s" s="2">
        <v>48</v>
      </c>
      <c r="L39" t="s" s="2">
        <v>49</v>
      </c>
      <c r="M39" s="5">
        <v>760619</v>
      </c>
      <c r="N39" s="5">
        <v>6107059</v>
      </c>
      <c r="O39" t="s" s="2">
        <v>25</v>
      </c>
      <c r="P39" t="s" s="2">
        <v>118</v>
      </c>
      <c r="Q39" t="s" s="2">
        <v>51</v>
      </c>
      <c r="R39" t="s" s="2">
        <f>_xlfn.IFERROR(INDEX('model_byCAP'!$D$2:$D$377,MATCH(Q39,'model_byCAP'!$A$2:$A$377,0)),0)</f>
        <v>52</v>
      </c>
    </row>
    <row r="40" ht="15.35" customHeight="1">
      <c r="A40" t="s" s="2">
        <v>119</v>
      </c>
      <c r="B40" s="4">
        <v>44312</v>
      </c>
      <c r="C40" s="5">
        <v>8400</v>
      </c>
      <c r="D40" s="5">
        <v>167</v>
      </c>
      <c r="E40" s="5">
        <v>104</v>
      </c>
      <c r="F40" t="s" s="2">
        <v>29</v>
      </c>
      <c r="G40" t="s" s="2">
        <v>45</v>
      </c>
      <c r="H40" s="5">
        <v>390</v>
      </c>
      <c r="I40" t="s" s="2">
        <v>46</v>
      </c>
      <c r="J40" t="s" s="2">
        <v>47</v>
      </c>
      <c r="K40" t="s" s="2">
        <v>48</v>
      </c>
      <c r="L40" t="s" s="2">
        <v>49</v>
      </c>
      <c r="M40" s="5">
        <v>753149</v>
      </c>
      <c r="N40" s="5">
        <v>6106879</v>
      </c>
      <c r="O40" t="s" s="2">
        <v>25</v>
      </c>
      <c r="P40" t="s" s="2">
        <v>120</v>
      </c>
      <c r="Q40" t="s" s="2">
        <v>51</v>
      </c>
      <c r="R40" t="s" s="2">
        <f>_xlfn.IFERROR(INDEX('model_byCAP'!$D$2:$D$377,MATCH(Q40,'model_byCAP'!$A$2:$A$377,0)),0)</f>
        <v>52</v>
      </c>
    </row>
    <row r="41" ht="15.35" customHeight="1">
      <c r="A41" t="s" s="2">
        <v>121</v>
      </c>
      <c r="B41" s="4">
        <v>44319</v>
      </c>
      <c r="C41" s="5">
        <v>8400</v>
      </c>
      <c r="D41" s="5">
        <v>167</v>
      </c>
      <c r="E41" s="5">
        <v>104</v>
      </c>
      <c r="F41" t="s" s="2">
        <v>29</v>
      </c>
      <c r="G41" t="s" s="2">
        <v>45</v>
      </c>
      <c r="H41" s="5">
        <v>390</v>
      </c>
      <c r="I41" t="s" s="2">
        <v>46</v>
      </c>
      <c r="J41" t="s" s="2">
        <v>47</v>
      </c>
      <c r="K41" t="s" s="2">
        <v>48</v>
      </c>
      <c r="L41" t="s" s="2">
        <v>49</v>
      </c>
      <c r="M41" s="5">
        <v>758369</v>
      </c>
      <c r="N41" s="5">
        <v>6106789</v>
      </c>
      <c r="O41" t="s" s="2">
        <v>25</v>
      </c>
      <c r="P41" t="s" s="2">
        <v>122</v>
      </c>
      <c r="Q41" t="s" s="2">
        <v>51</v>
      </c>
      <c r="R41" t="s" s="2">
        <f>_xlfn.IFERROR(INDEX('model_byCAP'!$D$2:$D$377,MATCH(Q41,'model_byCAP'!$A$2:$A$377,0)),0)</f>
        <v>52</v>
      </c>
    </row>
    <row r="42" ht="15.35" customHeight="1">
      <c r="A42" t="s" s="2">
        <v>123</v>
      </c>
      <c r="B42" s="4">
        <v>44306</v>
      </c>
      <c r="C42" s="5">
        <v>8400</v>
      </c>
      <c r="D42" s="5">
        <v>167</v>
      </c>
      <c r="E42" s="5">
        <v>104</v>
      </c>
      <c r="F42" t="s" s="2">
        <v>29</v>
      </c>
      <c r="G42" t="s" s="2">
        <v>45</v>
      </c>
      <c r="H42" s="5">
        <v>390</v>
      </c>
      <c r="I42" t="s" s="2">
        <v>46</v>
      </c>
      <c r="J42" t="s" s="2">
        <v>47</v>
      </c>
      <c r="K42" t="s" s="2">
        <v>48</v>
      </c>
      <c r="L42" t="s" s="2">
        <v>49</v>
      </c>
      <c r="M42" s="5">
        <v>751889</v>
      </c>
      <c r="N42" s="5">
        <v>6106069</v>
      </c>
      <c r="O42" t="s" s="2">
        <v>25</v>
      </c>
      <c r="P42" t="s" s="2">
        <v>124</v>
      </c>
      <c r="Q42" t="s" s="2">
        <v>51</v>
      </c>
      <c r="R42" t="s" s="2">
        <f>_xlfn.IFERROR(INDEX('model_byCAP'!$D$2:$D$377,MATCH(Q42,'model_byCAP'!$A$2:$A$377,0)),0)</f>
        <v>52</v>
      </c>
    </row>
    <row r="43" ht="15.35" customHeight="1">
      <c r="A43" t="s" s="2">
        <v>125</v>
      </c>
      <c r="B43" s="4">
        <v>44316</v>
      </c>
      <c r="C43" s="5">
        <v>8400</v>
      </c>
      <c r="D43" s="5">
        <v>167</v>
      </c>
      <c r="E43" s="5">
        <v>104</v>
      </c>
      <c r="F43" t="s" s="2">
        <v>29</v>
      </c>
      <c r="G43" t="s" s="2">
        <v>45</v>
      </c>
      <c r="H43" s="5">
        <v>390</v>
      </c>
      <c r="I43" t="s" s="2">
        <v>46</v>
      </c>
      <c r="J43" t="s" s="2">
        <v>47</v>
      </c>
      <c r="K43" t="s" s="2">
        <v>48</v>
      </c>
      <c r="L43" t="s" s="2">
        <v>49</v>
      </c>
      <c r="M43" s="5">
        <v>755849</v>
      </c>
      <c r="N43" s="5">
        <v>6105799</v>
      </c>
      <c r="O43" t="s" s="2">
        <v>25</v>
      </c>
      <c r="P43" t="s" s="2">
        <v>126</v>
      </c>
      <c r="Q43" t="s" s="2">
        <v>51</v>
      </c>
      <c r="R43" t="s" s="2">
        <f>_xlfn.IFERROR(INDEX('model_byCAP'!$D$2:$D$377,MATCH(Q43,'model_byCAP'!$A$2:$A$377,0)),0)</f>
        <v>52</v>
      </c>
    </row>
    <row r="44" ht="15.35" customHeight="1">
      <c r="A44" t="s" s="2">
        <v>127</v>
      </c>
      <c r="B44" s="4">
        <v>44307</v>
      </c>
      <c r="C44" s="5">
        <v>8400</v>
      </c>
      <c r="D44" s="5">
        <v>167</v>
      </c>
      <c r="E44" s="5">
        <v>104</v>
      </c>
      <c r="F44" t="s" s="2">
        <v>29</v>
      </c>
      <c r="G44" t="s" s="2">
        <v>45</v>
      </c>
      <c r="H44" s="5">
        <v>390</v>
      </c>
      <c r="I44" t="s" s="2">
        <v>46</v>
      </c>
      <c r="J44" t="s" s="2">
        <v>47</v>
      </c>
      <c r="K44" t="s" s="2">
        <v>48</v>
      </c>
      <c r="L44" t="s" s="2">
        <v>49</v>
      </c>
      <c r="M44" s="5">
        <v>752519</v>
      </c>
      <c r="N44" s="5">
        <v>6105439</v>
      </c>
      <c r="O44" t="s" s="2">
        <v>25</v>
      </c>
      <c r="P44" t="s" s="2">
        <v>128</v>
      </c>
      <c r="Q44" t="s" s="2">
        <v>51</v>
      </c>
      <c r="R44" t="s" s="2">
        <f>_xlfn.IFERROR(INDEX('model_byCAP'!$D$2:$D$377,MATCH(Q44,'model_byCAP'!$A$2:$A$377,0)),0)</f>
        <v>52</v>
      </c>
    </row>
    <row r="45" ht="15.35" customHeight="1">
      <c r="A45" t="s" s="2">
        <v>129</v>
      </c>
      <c r="B45" s="4">
        <v>44317</v>
      </c>
      <c r="C45" s="5">
        <v>8400</v>
      </c>
      <c r="D45" s="5">
        <v>167</v>
      </c>
      <c r="E45" s="5">
        <v>104</v>
      </c>
      <c r="F45" t="s" s="2">
        <v>29</v>
      </c>
      <c r="G45" t="s" s="2">
        <v>45</v>
      </c>
      <c r="H45" s="5">
        <v>390</v>
      </c>
      <c r="I45" t="s" s="2">
        <v>46</v>
      </c>
      <c r="J45" t="s" s="2">
        <v>47</v>
      </c>
      <c r="K45" t="s" s="2">
        <v>48</v>
      </c>
      <c r="L45" t="s" s="2">
        <v>49</v>
      </c>
      <c r="M45" s="5">
        <v>759093</v>
      </c>
      <c r="N45" s="5">
        <v>6105316</v>
      </c>
      <c r="O45" t="s" s="2">
        <v>25</v>
      </c>
      <c r="P45" t="s" s="2">
        <v>130</v>
      </c>
      <c r="Q45" t="s" s="2">
        <v>51</v>
      </c>
      <c r="R45" t="s" s="2">
        <f>_xlfn.IFERROR(INDEX('model_byCAP'!$D$2:$D$377,MATCH(Q45,'model_byCAP'!$A$2:$A$377,0)),0)</f>
        <v>52</v>
      </c>
    </row>
    <row r="46" ht="15.35" customHeight="1">
      <c r="A46" t="s" s="2">
        <v>131</v>
      </c>
      <c r="B46" s="4">
        <v>44306</v>
      </c>
      <c r="C46" s="5">
        <v>8400</v>
      </c>
      <c r="D46" s="5">
        <v>167</v>
      </c>
      <c r="E46" s="5">
        <v>104</v>
      </c>
      <c r="F46" t="s" s="2">
        <v>29</v>
      </c>
      <c r="G46" t="s" s="2">
        <v>45</v>
      </c>
      <c r="H46" s="5">
        <v>390</v>
      </c>
      <c r="I46" t="s" s="2">
        <v>46</v>
      </c>
      <c r="J46" t="s" s="2">
        <v>47</v>
      </c>
      <c r="K46" t="s" s="2">
        <v>48</v>
      </c>
      <c r="L46" t="s" s="2">
        <v>49</v>
      </c>
      <c r="M46" s="5">
        <v>753869</v>
      </c>
      <c r="N46" s="5">
        <v>6104629</v>
      </c>
      <c r="O46" t="s" s="2">
        <v>25</v>
      </c>
      <c r="P46" t="s" s="2">
        <v>132</v>
      </c>
      <c r="Q46" t="s" s="2">
        <v>51</v>
      </c>
      <c r="R46" t="s" s="2">
        <f>_xlfn.IFERROR(INDEX('model_byCAP'!$D$2:$D$377,MATCH(Q46,'model_byCAP'!$A$2:$A$377,0)),0)</f>
        <v>52</v>
      </c>
    </row>
    <row r="47" ht="15.35" customHeight="1">
      <c r="A47" t="s" s="2">
        <v>133</v>
      </c>
      <c r="B47" s="4">
        <v>44310</v>
      </c>
      <c r="C47" s="5">
        <v>8400</v>
      </c>
      <c r="D47" s="5">
        <v>167</v>
      </c>
      <c r="E47" s="5">
        <v>104</v>
      </c>
      <c r="F47" t="s" s="2">
        <v>29</v>
      </c>
      <c r="G47" t="s" s="2">
        <v>45</v>
      </c>
      <c r="H47" s="5">
        <v>390</v>
      </c>
      <c r="I47" t="s" s="2">
        <v>46</v>
      </c>
      <c r="J47" t="s" s="2">
        <v>47</v>
      </c>
      <c r="K47" t="s" s="2">
        <v>48</v>
      </c>
      <c r="L47" t="s" s="2">
        <v>49</v>
      </c>
      <c r="M47" s="5">
        <v>754919</v>
      </c>
      <c r="N47" s="5">
        <v>6104004</v>
      </c>
      <c r="O47" t="s" s="2">
        <v>25</v>
      </c>
      <c r="P47" t="s" s="2">
        <v>134</v>
      </c>
      <c r="Q47" t="s" s="2">
        <v>51</v>
      </c>
      <c r="R47" t="s" s="2">
        <f>_xlfn.IFERROR(INDEX('model_byCAP'!$D$2:$D$377,MATCH(Q47,'model_byCAP'!$A$2:$A$377,0)),0)</f>
        <v>52</v>
      </c>
    </row>
    <row r="48" ht="15.35" customHeight="1">
      <c r="A48" t="s" s="2">
        <v>135</v>
      </c>
      <c r="B48" s="4">
        <v>44343</v>
      </c>
      <c r="C48" s="5">
        <v>8400</v>
      </c>
      <c r="D48" s="5">
        <v>167</v>
      </c>
      <c r="E48" s="5">
        <v>104</v>
      </c>
      <c r="F48" t="s" s="2">
        <v>29</v>
      </c>
      <c r="G48" t="s" s="2">
        <v>45</v>
      </c>
      <c r="H48" s="5">
        <v>390</v>
      </c>
      <c r="I48" t="s" s="2">
        <v>46</v>
      </c>
      <c r="J48" t="s" s="2">
        <v>47</v>
      </c>
      <c r="K48" t="s" s="2">
        <v>48</v>
      </c>
      <c r="L48" t="s" s="2">
        <v>49</v>
      </c>
      <c r="M48" s="5">
        <v>759562</v>
      </c>
      <c r="N48" s="5">
        <v>6103809</v>
      </c>
      <c r="O48" t="s" s="2">
        <v>25</v>
      </c>
      <c r="P48" t="s" s="2">
        <v>136</v>
      </c>
      <c r="Q48" t="s" s="2">
        <v>51</v>
      </c>
      <c r="R48" t="s" s="2">
        <f>_xlfn.IFERROR(INDEX('model_byCAP'!$D$2:$D$377,MATCH(Q48,'model_byCAP'!$A$2:$A$377,0)),0)</f>
        <v>52</v>
      </c>
    </row>
    <row r="49" ht="15.35" customHeight="1">
      <c r="A49" t="s" s="2">
        <v>137</v>
      </c>
      <c r="B49" s="4">
        <v>44277</v>
      </c>
      <c r="C49" s="5">
        <v>8400</v>
      </c>
      <c r="D49" s="5">
        <v>167</v>
      </c>
      <c r="E49" s="5">
        <v>104</v>
      </c>
      <c r="F49" t="s" s="2">
        <v>29</v>
      </c>
      <c r="G49" t="s" s="2">
        <v>45</v>
      </c>
      <c r="H49" s="5">
        <v>390</v>
      </c>
      <c r="I49" t="s" s="2">
        <v>46</v>
      </c>
      <c r="J49" t="s" s="2">
        <v>47</v>
      </c>
      <c r="K49" t="s" s="2">
        <v>48</v>
      </c>
      <c r="L49" t="s" s="2">
        <v>49</v>
      </c>
      <c r="M49" s="5">
        <v>758636</v>
      </c>
      <c r="N49" s="5">
        <v>6101665</v>
      </c>
      <c r="O49" t="s" s="2">
        <v>25</v>
      </c>
      <c r="P49" t="s" s="2">
        <v>138</v>
      </c>
      <c r="Q49" t="s" s="2">
        <v>51</v>
      </c>
      <c r="R49" t="s" s="2">
        <f>_xlfn.IFERROR(INDEX('model_byCAP'!$D$2:$D$377,MATCH(Q49,'model_byCAP'!$A$2:$A$377,0)),0)</f>
        <v>52</v>
      </c>
    </row>
    <row r="50" ht="15.35" customHeight="1">
      <c r="A50" t="s" s="2">
        <v>139</v>
      </c>
      <c r="B50" s="4">
        <v>44278</v>
      </c>
      <c r="C50" s="5">
        <v>8400</v>
      </c>
      <c r="D50" s="5">
        <v>167</v>
      </c>
      <c r="E50" s="5">
        <v>104</v>
      </c>
      <c r="F50" t="s" s="2">
        <v>29</v>
      </c>
      <c r="G50" t="s" s="2">
        <v>45</v>
      </c>
      <c r="H50" s="5">
        <v>390</v>
      </c>
      <c r="I50" t="s" s="2">
        <v>46</v>
      </c>
      <c r="J50" t="s" s="2">
        <v>47</v>
      </c>
      <c r="K50" t="s" s="2">
        <v>48</v>
      </c>
      <c r="L50" t="s" s="2">
        <v>49</v>
      </c>
      <c r="M50" s="5">
        <v>759269</v>
      </c>
      <c r="N50" s="5">
        <v>6100489</v>
      </c>
      <c r="O50" t="s" s="2">
        <v>25</v>
      </c>
      <c r="P50" t="s" s="2">
        <v>140</v>
      </c>
      <c r="Q50" t="s" s="2">
        <v>51</v>
      </c>
      <c r="R50" t="s" s="2">
        <f>_xlfn.IFERROR(INDEX('model_byCAP'!$D$2:$D$377,MATCH(Q50,'model_byCAP'!$A$2:$A$377,0)),0)</f>
        <v>52</v>
      </c>
    </row>
    <row r="51" ht="15.35" customHeight="1">
      <c r="A51" t="s" s="2">
        <v>141</v>
      </c>
      <c r="B51" s="4">
        <v>44279</v>
      </c>
      <c r="C51" s="5">
        <v>8400</v>
      </c>
      <c r="D51" s="5">
        <v>167</v>
      </c>
      <c r="E51" s="5">
        <v>104</v>
      </c>
      <c r="F51" t="s" s="2">
        <v>29</v>
      </c>
      <c r="G51" t="s" s="2">
        <v>45</v>
      </c>
      <c r="H51" s="5">
        <v>390</v>
      </c>
      <c r="I51" t="s" s="2">
        <v>46</v>
      </c>
      <c r="J51" t="s" s="2">
        <v>47</v>
      </c>
      <c r="K51" t="s" s="2">
        <v>48</v>
      </c>
      <c r="L51" t="s" s="2">
        <v>49</v>
      </c>
      <c r="M51" s="5">
        <v>757559</v>
      </c>
      <c r="N51" s="5">
        <v>6099949</v>
      </c>
      <c r="O51" t="s" s="2">
        <v>25</v>
      </c>
      <c r="P51" t="s" s="2">
        <v>142</v>
      </c>
      <c r="Q51" t="s" s="2">
        <v>51</v>
      </c>
      <c r="R51" t="s" s="2">
        <f>_xlfn.IFERROR(INDEX('model_byCAP'!$D$2:$D$377,MATCH(Q51,'model_byCAP'!$A$2:$A$377,0)),0)</f>
        <v>52</v>
      </c>
    </row>
    <row r="52" ht="15.35" customHeight="1">
      <c r="A52" t="s" s="2">
        <v>143</v>
      </c>
      <c r="B52" s="4">
        <v>44308</v>
      </c>
      <c r="C52" s="5">
        <v>8400</v>
      </c>
      <c r="D52" s="5">
        <v>167</v>
      </c>
      <c r="E52" s="5">
        <v>104</v>
      </c>
      <c r="F52" t="s" s="2">
        <v>29</v>
      </c>
      <c r="G52" t="s" s="2">
        <v>45</v>
      </c>
      <c r="H52" s="5">
        <v>390</v>
      </c>
      <c r="I52" t="s" s="2">
        <v>46</v>
      </c>
      <c r="J52" t="s" s="2">
        <v>47</v>
      </c>
      <c r="K52" t="s" s="2">
        <v>48</v>
      </c>
      <c r="L52" t="s" s="2">
        <v>49</v>
      </c>
      <c r="M52" s="5">
        <v>752212</v>
      </c>
      <c r="N52" s="5">
        <v>6111679</v>
      </c>
      <c r="O52" t="s" s="2">
        <v>25</v>
      </c>
      <c r="P52" t="s" s="2">
        <v>144</v>
      </c>
      <c r="Q52" t="s" s="2">
        <v>51</v>
      </c>
      <c r="R52" t="s" s="2">
        <f>_xlfn.IFERROR(INDEX('model_byCAP'!$D$2:$D$377,MATCH(Q52,'model_byCAP'!$A$2:$A$377,0)),0)</f>
        <v>52</v>
      </c>
    </row>
    <row r="53" ht="15.35" customHeight="1">
      <c r="A53" t="s" s="2">
        <v>145</v>
      </c>
      <c r="B53" s="4">
        <v>44280</v>
      </c>
      <c r="C53" s="5">
        <v>8400</v>
      </c>
      <c r="D53" s="5">
        <v>167</v>
      </c>
      <c r="E53" s="5">
        <v>104</v>
      </c>
      <c r="F53" t="s" s="2">
        <v>29</v>
      </c>
      <c r="G53" t="s" s="2">
        <v>45</v>
      </c>
      <c r="H53" s="5">
        <v>390</v>
      </c>
      <c r="I53" t="s" s="2">
        <v>46</v>
      </c>
      <c r="J53" t="s" s="2">
        <v>47</v>
      </c>
      <c r="K53" t="s" s="2">
        <v>48</v>
      </c>
      <c r="L53" t="s" s="2">
        <v>49</v>
      </c>
      <c r="M53" s="5">
        <v>756854</v>
      </c>
      <c r="N53" s="5">
        <v>6100557</v>
      </c>
      <c r="O53" t="s" s="2">
        <v>25</v>
      </c>
      <c r="P53" t="s" s="2">
        <v>146</v>
      </c>
      <c r="Q53" t="s" s="2">
        <v>51</v>
      </c>
      <c r="R53" t="s" s="2">
        <f>_xlfn.IFERROR(INDEX('model_byCAP'!$D$2:$D$377,MATCH(Q53,'model_byCAP'!$A$2:$A$377,0)),0)</f>
        <v>52</v>
      </c>
    </row>
    <row r="54" ht="15.35" customHeight="1">
      <c r="A54" t="s" s="2">
        <v>147</v>
      </c>
      <c r="B54" s="4">
        <v>44344</v>
      </c>
      <c r="C54" s="5">
        <v>8400</v>
      </c>
      <c r="D54" s="5">
        <v>167</v>
      </c>
      <c r="E54" s="5">
        <v>104</v>
      </c>
      <c r="F54" t="s" s="2">
        <v>29</v>
      </c>
      <c r="G54" t="s" s="2">
        <v>45</v>
      </c>
      <c r="H54" s="5">
        <v>390</v>
      </c>
      <c r="I54" t="s" s="2">
        <v>46</v>
      </c>
      <c r="J54" t="s" s="2">
        <v>47</v>
      </c>
      <c r="K54" t="s" s="2">
        <v>48</v>
      </c>
      <c r="L54" t="s" s="2">
        <v>49</v>
      </c>
      <c r="M54" s="5">
        <v>752429</v>
      </c>
      <c r="N54" s="5">
        <v>6112639</v>
      </c>
      <c r="O54" t="s" s="2">
        <v>25</v>
      </c>
      <c r="P54" t="s" s="2">
        <v>148</v>
      </c>
      <c r="Q54" t="s" s="2">
        <v>51</v>
      </c>
      <c r="R54" t="s" s="2">
        <f>_xlfn.IFERROR(INDEX('model_byCAP'!$D$2:$D$377,MATCH(Q54,'model_byCAP'!$A$2:$A$377,0)),0)</f>
        <v>52</v>
      </c>
    </row>
    <row r="55" ht="15.35" customHeight="1">
      <c r="A55" t="s" s="2">
        <v>149</v>
      </c>
      <c r="B55" s="4">
        <v>44342</v>
      </c>
      <c r="C55" s="5">
        <v>8400</v>
      </c>
      <c r="D55" s="5">
        <v>167</v>
      </c>
      <c r="E55" s="5">
        <v>104</v>
      </c>
      <c r="F55" t="s" s="2">
        <v>29</v>
      </c>
      <c r="G55" t="s" s="2">
        <v>45</v>
      </c>
      <c r="H55" s="5">
        <v>390</v>
      </c>
      <c r="I55" t="s" s="2">
        <v>46</v>
      </c>
      <c r="J55" t="s" s="2">
        <v>47</v>
      </c>
      <c r="K55" t="s" s="2">
        <v>48</v>
      </c>
      <c r="L55" t="s" s="2">
        <v>49</v>
      </c>
      <c r="M55" s="5">
        <v>753329</v>
      </c>
      <c r="N55" s="5">
        <v>6112189</v>
      </c>
      <c r="O55" t="s" s="2">
        <v>25</v>
      </c>
      <c r="P55" t="s" s="2">
        <v>150</v>
      </c>
      <c r="Q55" t="s" s="2">
        <v>51</v>
      </c>
      <c r="R55" t="s" s="2">
        <f>_xlfn.IFERROR(INDEX('model_byCAP'!$D$2:$D$377,MATCH(Q55,'model_byCAP'!$A$2:$A$377,0)),0)</f>
        <v>52</v>
      </c>
    </row>
    <row r="56" ht="15.35" customHeight="1">
      <c r="A56" t="s" s="2">
        <v>151</v>
      </c>
      <c r="B56" s="4">
        <v>44341</v>
      </c>
      <c r="C56" s="5">
        <v>8400</v>
      </c>
      <c r="D56" s="5">
        <v>167</v>
      </c>
      <c r="E56" s="5">
        <v>104</v>
      </c>
      <c r="F56" t="s" s="2">
        <v>29</v>
      </c>
      <c r="G56" t="s" s="2">
        <v>45</v>
      </c>
      <c r="H56" s="5">
        <v>390</v>
      </c>
      <c r="I56" t="s" s="2">
        <v>46</v>
      </c>
      <c r="J56" t="s" s="2">
        <v>47</v>
      </c>
      <c r="K56" t="s" s="2">
        <v>48</v>
      </c>
      <c r="L56" t="s" s="2">
        <v>49</v>
      </c>
      <c r="M56" s="5">
        <v>752910</v>
      </c>
      <c r="N56" s="5">
        <v>6111108</v>
      </c>
      <c r="O56" t="s" s="2">
        <v>25</v>
      </c>
      <c r="P56" t="s" s="2">
        <v>152</v>
      </c>
      <c r="Q56" t="s" s="2">
        <v>51</v>
      </c>
      <c r="R56" t="s" s="2">
        <f>_xlfn.IFERROR(INDEX('model_byCAP'!$D$2:$D$377,MATCH(Q56,'model_byCAP'!$A$2:$A$377,0)),0)</f>
        <v>52</v>
      </c>
    </row>
    <row r="57" ht="15.35" customHeight="1">
      <c r="A57" t="s" s="2">
        <v>153</v>
      </c>
      <c r="B57" s="4">
        <v>44340</v>
      </c>
      <c r="C57" s="5">
        <v>8400</v>
      </c>
      <c r="D57" s="5">
        <v>167</v>
      </c>
      <c r="E57" s="5">
        <v>104</v>
      </c>
      <c r="F57" t="s" s="2">
        <v>29</v>
      </c>
      <c r="G57" t="s" s="2">
        <v>45</v>
      </c>
      <c r="H57" s="5">
        <v>390</v>
      </c>
      <c r="I57" t="s" s="2">
        <v>46</v>
      </c>
      <c r="J57" t="s" s="2">
        <v>47</v>
      </c>
      <c r="K57" t="s" s="2">
        <v>48</v>
      </c>
      <c r="L57" t="s" s="2">
        <v>49</v>
      </c>
      <c r="M57" s="5">
        <v>752339</v>
      </c>
      <c r="N57" s="5">
        <v>6109669</v>
      </c>
      <c r="O57" t="s" s="2">
        <v>25</v>
      </c>
      <c r="P57" t="s" s="2">
        <v>154</v>
      </c>
      <c r="Q57" t="s" s="2">
        <v>51</v>
      </c>
      <c r="R57" t="s" s="2">
        <f>_xlfn.IFERROR(INDEX('model_byCAP'!$D$2:$D$377,MATCH(Q57,'model_byCAP'!$A$2:$A$377,0)),0)</f>
        <v>52</v>
      </c>
    </row>
    <row r="58" ht="15.35" customHeight="1">
      <c r="A58" t="s" s="2">
        <v>155</v>
      </c>
      <c r="B58" s="4">
        <v>44346</v>
      </c>
      <c r="C58" s="5">
        <v>8400</v>
      </c>
      <c r="D58" s="5">
        <v>167</v>
      </c>
      <c r="E58" s="5">
        <v>104</v>
      </c>
      <c r="F58" t="s" s="2">
        <v>29</v>
      </c>
      <c r="G58" t="s" s="2">
        <v>45</v>
      </c>
      <c r="H58" s="5">
        <v>390</v>
      </c>
      <c r="I58" t="s" s="2">
        <v>46</v>
      </c>
      <c r="J58" t="s" s="2">
        <v>47</v>
      </c>
      <c r="K58" t="s" s="2">
        <v>48</v>
      </c>
      <c r="L58" t="s" s="2">
        <v>49</v>
      </c>
      <c r="M58" s="5">
        <v>748473</v>
      </c>
      <c r="N58" s="5">
        <v>6110841</v>
      </c>
      <c r="O58" t="s" s="2">
        <v>25</v>
      </c>
      <c r="P58" t="s" s="2">
        <v>156</v>
      </c>
      <c r="Q58" t="s" s="2">
        <v>51</v>
      </c>
      <c r="R58" t="s" s="2">
        <f>_xlfn.IFERROR(INDEX('model_byCAP'!$D$2:$D$377,MATCH(Q58,'model_byCAP'!$A$2:$A$377,0)),0)</f>
        <v>52</v>
      </c>
    </row>
    <row r="59" ht="15.35" customHeight="1">
      <c r="A59" t="s" s="2">
        <v>157</v>
      </c>
      <c r="B59" s="4">
        <v>44348</v>
      </c>
      <c r="C59" s="5">
        <v>8400</v>
      </c>
      <c r="D59" s="5">
        <v>167</v>
      </c>
      <c r="E59" s="5">
        <v>104</v>
      </c>
      <c r="F59" t="s" s="2">
        <v>29</v>
      </c>
      <c r="G59" t="s" s="2">
        <v>45</v>
      </c>
      <c r="H59" s="5">
        <v>390</v>
      </c>
      <c r="I59" t="s" s="2">
        <v>46</v>
      </c>
      <c r="J59" t="s" s="2">
        <v>47</v>
      </c>
      <c r="K59" t="s" s="2">
        <v>48</v>
      </c>
      <c r="L59" t="s" s="2">
        <v>49</v>
      </c>
      <c r="M59" s="5">
        <v>746939</v>
      </c>
      <c r="N59" s="5">
        <v>6110119</v>
      </c>
      <c r="O59" t="s" s="2">
        <v>25</v>
      </c>
      <c r="P59" t="s" s="2">
        <v>158</v>
      </c>
      <c r="Q59" t="s" s="2">
        <v>51</v>
      </c>
      <c r="R59" t="s" s="2">
        <f>_xlfn.IFERROR(INDEX('model_byCAP'!$D$2:$D$377,MATCH(Q59,'model_byCAP'!$A$2:$A$377,0)),0)</f>
        <v>52</v>
      </c>
    </row>
    <row r="60" ht="15.35" customHeight="1">
      <c r="A60" t="s" s="2">
        <v>159</v>
      </c>
      <c r="B60" s="4">
        <v>44347</v>
      </c>
      <c r="C60" s="5">
        <v>8400</v>
      </c>
      <c r="D60" s="5">
        <v>167</v>
      </c>
      <c r="E60" s="5">
        <v>104</v>
      </c>
      <c r="F60" t="s" s="2">
        <v>29</v>
      </c>
      <c r="G60" t="s" s="2">
        <v>45</v>
      </c>
      <c r="H60" s="5">
        <v>390</v>
      </c>
      <c r="I60" t="s" s="2">
        <v>46</v>
      </c>
      <c r="J60" t="s" s="2">
        <v>47</v>
      </c>
      <c r="K60" t="s" s="2">
        <v>48</v>
      </c>
      <c r="L60" t="s" s="2">
        <v>49</v>
      </c>
      <c r="M60" s="5">
        <v>748109</v>
      </c>
      <c r="N60" s="5">
        <v>6109849</v>
      </c>
      <c r="O60" t="s" s="2">
        <v>25</v>
      </c>
      <c r="P60" t="s" s="2">
        <v>160</v>
      </c>
      <c r="Q60" t="s" s="2">
        <v>51</v>
      </c>
      <c r="R60" t="s" s="2">
        <f>_xlfn.IFERROR(INDEX('model_byCAP'!$D$2:$D$377,MATCH(Q60,'model_byCAP'!$A$2:$A$377,0)),0)</f>
        <v>52</v>
      </c>
    </row>
    <row r="61" ht="15.35" customHeight="1">
      <c r="A61" t="s" s="2">
        <v>161</v>
      </c>
      <c r="B61" s="4">
        <v>44345</v>
      </c>
      <c r="C61" s="5">
        <v>8400</v>
      </c>
      <c r="D61" s="5">
        <v>167</v>
      </c>
      <c r="E61" s="5">
        <v>104</v>
      </c>
      <c r="F61" t="s" s="2">
        <v>29</v>
      </c>
      <c r="G61" t="s" s="2">
        <v>45</v>
      </c>
      <c r="H61" s="5">
        <v>390</v>
      </c>
      <c r="I61" t="s" s="2">
        <v>46</v>
      </c>
      <c r="J61" t="s" s="2">
        <v>47</v>
      </c>
      <c r="K61" t="s" s="2">
        <v>48</v>
      </c>
      <c r="L61" t="s" s="2">
        <v>49</v>
      </c>
      <c r="M61" s="5">
        <v>750989</v>
      </c>
      <c r="N61" s="5">
        <v>6108139</v>
      </c>
      <c r="O61" t="s" s="2">
        <v>25</v>
      </c>
      <c r="P61" t="s" s="2">
        <v>162</v>
      </c>
      <c r="Q61" t="s" s="2">
        <v>51</v>
      </c>
      <c r="R61" t="s" s="2">
        <f>_xlfn.IFERROR(INDEX('model_byCAP'!$D$2:$D$377,MATCH(Q61,'model_byCAP'!$A$2:$A$377,0)),0)</f>
        <v>52</v>
      </c>
    </row>
    <row r="62" ht="15.35" customHeight="1">
      <c r="A62" t="s" s="2">
        <v>163</v>
      </c>
      <c r="B62" s="4">
        <v>44330</v>
      </c>
      <c r="C62" s="5">
        <v>8400</v>
      </c>
      <c r="D62" s="5">
        <v>167</v>
      </c>
      <c r="E62" s="5">
        <v>104</v>
      </c>
      <c r="F62" t="s" s="2">
        <v>29</v>
      </c>
      <c r="G62" t="s" s="2">
        <v>45</v>
      </c>
      <c r="H62" s="5">
        <v>390</v>
      </c>
      <c r="I62" t="s" s="2">
        <v>46</v>
      </c>
      <c r="J62" t="s" s="2">
        <v>47</v>
      </c>
      <c r="K62" t="s" s="2">
        <v>48</v>
      </c>
      <c r="L62" t="s" s="2">
        <v>49</v>
      </c>
      <c r="M62" s="5">
        <v>756743</v>
      </c>
      <c r="N62" s="5">
        <v>6110121</v>
      </c>
      <c r="O62" t="s" s="2">
        <v>25</v>
      </c>
      <c r="P62" t="s" s="2">
        <v>164</v>
      </c>
      <c r="Q62" t="s" s="2">
        <v>51</v>
      </c>
      <c r="R62" t="s" s="2">
        <f>_xlfn.IFERROR(INDEX('model_byCAP'!$D$2:$D$377,MATCH(Q62,'model_byCAP'!$A$2:$A$377,0)),0)</f>
        <v>52</v>
      </c>
    </row>
    <row r="63" ht="15.35" customHeight="1">
      <c r="A63" t="s" s="2">
        <v>165</v>
      </c>
      <c r="B63" s="4">
        <v>44331</v>
      </c>
      <c r="C63" s="5">
        <v>8400</v>
      </c>
      <c r="D63" s="5">
        <v>167</v>
      </c>
      <c r="E63" s="5">
        <v>104</v>
      </c>
      <c r="F63" t="s" s="2">
        <v>29</v>
      </c>
      <c r="G63" t="s" s="2">
        <v>45</v>
      </c>
      <c r="H63" s="5">
        <v>390</v>
      </c>
      <c r="I63" t="s" s="2">
        <v>46</v>
      </c>
      <c r="J63" t="s" s="2">
        <v>47</v>
      </c>
      <c r="K63" t="s" s="2">
        <v>48</v>
      </c>
      <c r="L63" t="s" s="2">
        <v>49</v>
      </c>
      <c r="M63" s="5">
        <v>757829</v>
      </c>
      <c r="N63" s="5">
        <v>6109489</v>
      </c>
      <c r="O63" t="s" s="2">
        <v>25</v>
      </c>
      <c r="P63" t="s" s="2">
        <v>166</v>
      </c>
      <c r="Q63" t="s" s="2">
        <v>51</v>
      </c>
      <c r="R63" t="s" s="2">
        <f>_xlfn.IFERROR(INDEX('model_byCAP'!$D$2:$D$377,MATCH(Q63,'model_byCAP'!$A$2:$A$377,0)),0)</f>
        <v>52</v>
      </c>
    </row>
    <row r="64" ht="15.35" customHeight="1">
      <c r="A64" t="s" s="2">
        <v>167</v>
      </c>
      <c r="B64" s="4">
        <v>44331</v>
      </c>
      <c r="C64" s="5">
        <v>8400</v>
      </c>
      <c r="D64" s="5">
        <v>167</v>
      </c>
      <c r="E64" s="5">
        <v>104</v>
      </c>
      <c r="F64" t="s" s="2">
        <v>29</v>
      </c>
      <c r="G64" t="s" s="2">
        <v>45</v>
      </c>
      <c r="H64" s="5">
        <v>390</v>
      </c>
      <c r="I64" t="s" s="2">
        <v>46</v>
      </c>
      <c r="J64" t="s" s="2">
        <v>47</v>
      </c>
      <c r="K64" t="s" s="2">
        <v>48</v>
      </c>
      <c r="L64" t="s" s="2">
        <v>49</v>
      </c>
      <c r="M64" s="5">
        <v>758816</v>
      </c>
      <c r="N64" s="5">
        <v>6108779</v>
      </c>
      <c r="O64" t="s" s="2">
        <v>25</v>
      </c>
      <c r="P64" t="s" s="2">
        <v>168</v>
      </c>
      <c r="Q64" t="s" s="2">
        <v>51</v>
      </c>
      <c r="R64" t="s" s="2">
        <f>_xlfn.IFERROR(INDEX('model_byCAP'!$D$2:$D$377,MATCH(Q64,'model_byCAP'!$A$2:$A$377,0)),0)</f>
        <v>52</v>
      </c>
    </row>
    <row r="65" ht="15.35" customHeight="1">
      <c r="A65" t="s" s="2">
        <v>169</v>
      </c>
      <c r="B65" s="4">
        <v>44331</v>
      </c>
      <c r="C65" s="5">
        <v>8400</v>
      </c>
      <c r="D65" s="5">
        <v>167</v>
      </c>
      <c r="E65" s="5">
        <v>104</v>
      </c>
      <c r="F65" t="s" s="2">
        <v>29</v>
      </c>
      <c r="G65" t="s" s="2">
        <v>45</v>
      </c>
      <c r="H65" s="5">
        <v>390</v>
      </c>
      <c r="I65" t="s" s="2">
        <v>46</v>
      </c>
      <c r="J65" t="s" s="2">
        <v>47</v>
      </c>
      <c r="K65" t="s" s="2">
        <v>48</v>
      </c>
      <c r="L65" t="s" s="2">
        <v>49</v>
      </c>
      <c r="M65" s="5">
        <v>756389</v>
      </c>
      <c r="N65" s="5">
        <v>6108589</v>
      </c>
      <c r="O65" t="s" s="2">
        <v>25</v>
      </c>
      <c r="P65" t="s" s="2">
        <v>170</v>
      </c>
      <c r="Q65" t="s" s="2">
        <v>51</v>
      </c>
      <c r="R65" t="s" s="2">
        <f>_xlfn.IFERROR(INDEX('model_byCAP'!$D$2:$D$377,MATCH(Q65,'model_byCAP'!$A$2:$A$377,0)),0)</f>
        <v>52</v>
      </c>
    </row>
    <row r="66" ht="15.35" customHeight="1">
      <c r="A66" t="s" s="2">
        <v>171</v>
      </c>
      <c r="B66" s="4">
        <v>44290</v>
      </c>
      <c r="C66" s="5">
        <v>8400</v>
      </c>
      <c r="D66" s="5">
        <v>167</v>
      </c>
      <c r="E66" s="5">
        <v>104</v>
      </c>
      <c r="F66" t="s" s="2">
        <v>29</v>
      </c>
      <c r="G66" t="s" s="2">
        <v>45</v>
      </c>
      <c r="H66" s="5">
        <v>390</v>
      </c>
      <c r="I66" t="s" s="2">
        <v>46</v>
      </c>
      <c r="J66" t="s" s="2">
        <v>47</v>
      </c>
      <c r="K66" t="s" s="2">
        <v>48</v>
      </c>
      <c r="L66" t="s" s="2">
        <v>49</v>
      </c>
      <c r="M66" s="5">
        <v>761519</v>
      </c>
      <c r="N66" s="5">
        <v>6106249</v>
      </c>
      <c r="O66" t="s" s="2">
        <v>25</v>
      </c>
      <c r="P66" t="s" s="2">
        <v>172</v>
      </c>
      <c r="Q66" t="s" s="2">
        <v>51</v>
      </c>
      <c r="R66" t="s" s="2">
        <f>_xlfn.IFERROR(INDEX('model_byCAP'!$D$2:$D$377,MATCH(Q66,'model_byCAP'!$A$2:$A$377,0)),0)</f>
        <v>52</v>
      </c>
    </row>
    <row r="67" ht="15.35" customHeight="1">
      <c r="A67" t="s" s="2">
        <v>173</v>
      </c>
      <c r="B67" s="4">
        <v>44292</v>
      </c>
      <c r="C67" s="5">
        <v>8400</v>
      </c>
      <c r="D67" s="5">
        <v>167</v>
      </c>
      <c r="E67" s="5">
        <v>104</v>
      </c>
      <c r="F67" t="s" s="2">
        <v>29</v>
      </c>
      <c r="G67" t="s" s="2">
        <v>45</v>
      </c>
      <c r="H67" s="5">
        <v>390</v>
      </c>
      <c r="I67" t="s" s="2">
        <v>46</v>
      </c>
      <c r="J67" t="s" s="2">
        <v>47</v>
      </c>
      <c r="K67" t="s" s="2">
        <v>48</v>
      </c>
      <c r="L67" t="s" s="2">
        <v>49</v>
      </c>
      <c r="M67" s="5">
        <v>762329</v>
      </c>
      <c r="N67" s="5">
        <v>6105439</v>
      </c>
      <c r="O67" t="s" s="2">
        <v>25</v>
      </c>
      <c r="P67" t="s" s="2">
        <v>174</v>
      </c>
      <c r="Q67" t="s" s="2">
        <v>51</v>
      </c>
      <c r="R67" t="s" s="2">
        <f>_xlfn.IFERROR(INDEX('model_byCAP'!$D$2:$D$377,MATCH(Q67,'model_byCAP'!$A$2:$A$377,0)),0)</f>
        <v>52</v>
      </c>
    </row>
    <row r="68" ht="15.35" customHeight="1">
      <c r="A68" t="s" s="2">
        <v>175</v>
      </c>
      <c r="B68" s="4">
        <v>44294</v>
      </c>
      <c r="C68" s="5">
        <v>8400</v>
      </c>
      <c r="D68" s="5">
        <v>167</v>
      </c>
      <c r="E68" s="5">
        <v>104</v>
      </c>
      <c r="F68" t="s" s="2">
        <v>29</v>
      </c>
      <c r="G68" t="s" s="2">
        <v>45</v>
      </c>
      <c r="H68" s="5">
        <v>390</v>
      </c>
      <c r="I68" t="s" s="2">
        <v>46</v>
      </c>
      <c r="J68" t="s" s="2">
        <v>47</v>
      </c>
      <c r="K68" t="s" s="2">
        <v>48</v>
      </c>
      <c r="L68" t="s" s="2">
        <v>49</v>
      </c>
      <c r="M68" s="5">
        <v>763049</v>
      </c>
      <c r="N68" s="5">
        <v>6104719</v>
      </c>
      <c r="O68" t="s" s="2">
        <v>25</v>
      </c>
      <c r="P68" t="s" s="2">
        <v>176</v>
      </c>
      <c r="Q68" t="s" s="2">
        <v>51</v>
      </c>
      <c r="R68" t="s" s="2">
        <f>_xlfn.IFERROR(INDEX('model_byCAP'!$D$2:$D$377,MATCH(Q68,'model_byCAP'!$A$2:$A$377,0)),0)</f>
        <v>52</v>
      </c>
    </row>
    <row r="69" ht="15.35" customHeight="1">
      <c r="A69" t="s" s="2">
        <v>177</v>
      </c>
      <c r="B69" s="4">
        <v>44296</v>
      </c>
      <c r="C69" s="5">
        <v>8400</v>
      </c>
      <c r="D69" s="5">
        <v>167</v>
      </c>
      <c r="E69" s="5">
        <v>104</v>
      </c>
      <c r="F69" t="s" s="2">
        <v>29</v>
      </c>
      <c r="G69" t="s" s="2">
        <v>45</v>
      </c>
      <c r="H69" s="5">
        <v>390</v>
      </c>
      <c r="I69" t="s" s="2">
        <v>46</v>
      </c>
      <c r="J69" t="s" s="2">
        <v>47</v>
      </c>
      <c r="K69" t="s" s="2">
        <v>48</v>
      </c>
      <c r="L69" t="s" s="2">
        <v>49</v>
      </c>
      <c r="M69" s="5">
        <v>762419</v>
      </c>
      <c r="N69" s="5">
        <v>6103639</v>
      </c>
      <c r="O69" t="s" s="2">
        <v>25</v>
      </c>
      <c r="P69" t="s" s="2">
        <v>178</v>
      </c>
      <c r="Q69" t="s" s="2">
        <v>51</v>
      </c>
      <c r="R69" t="s" s="2">
        <f>_xlfn.IFERROR(INDEX('model_byCAP'!$D$2:$D$377,MATCH(Q69,'model_byCAP'!$A$2:$A$377,0)),0)</f>
        <v>52</v>
      </c>
    </row>
    <row r="70" ht="15.35" customHeight="1">
      <c r="A70" t="s" s="2">
        <v>179</v>
      </c>
      <c r="B70" s="4">
        <v>44315</v>
      </c>
      <c r="C70" s="5">
        <v>8400</v>
      </c>
      <c r="D70" s="5">
        <v>167</v>
      </c>
      <c r="E70" s="5">
        <v>104</v>
      </c>
      <c r="F70" t="s" s="2">
        <v>29</v>
      </c>
      <c r="G70" t="s" s="2">
        <v>45</v>
      </c>
      <c r="H70" s="5">
        <v>390</v>
      </c>
      <c r="I70" t="s" s="2">
        <v>46</v>
      </c>
      <c r="J70" t="s" s="2">
        <v>47</v>
      </c>
      <c r="K70" t="s" s="2">
        <v>48</v>
      </c>
      <c r="L70" t="s" s="2">
        <v>49</v>
      </c>
      <c r="M70" s="5">
        <v>757146</v>
      </c>
      <c r="N70" s="5">
        <v>6103999</v>
      </c>
      <c r="O70" t="s" s="2">
        <v>25</v>
      </c>
      <c r="P70" t="s" s="2">
        <v>180</v>
      </c>
      <c r="Q70" t="s" s="2">
        <v>51</v>
      </c>
      <c r="R70" t="s" s="2">
        <f>_xlfn.IFERROR(INDEX('model_byCAP'!$D$2:$D$377,MATCH(Q70,'model_byCAP'!$A$2:$A$377,0)),0)</f>
        <v>52</v>
      </c>
    </row>
    <row r="71" ht="15.35" customHeight="1">
      <c r="A71" t="s" s="2">
        <v>181</v>
      </c>
      <c r="B71" s="4">
        <v>44287</v>
      </c>
      <c r="C71" s="5">
        <v>8400</v>
      </c>
      <c r="D71" s="5">
        <v>167</v>
      </c>
      <c r="E71" s="5">
        <v>104</v>
      </c>
      <c r="F71" t="s" s="2">
        <v>29</v>
      </c>
      <c r="G71" t="s" s="2">
        <v>45</v>
      </c>
      <c r="H71" s="5">
        <v>390</v>
      </c>
      <c r="I71" t="s" s="2">
        <v>46</v>
      </c>
      <c r="J71" t="s" s="2">
        <v>47</v>
      </c>
      <c r="K71" t="s" s="2">
        <v>48</v>
      </c>
      <c r="L71" t="s" s="2">
        <v>49</v>
      </c>
      <c r="M71" s="5">
        <v>758909</v>
      </c>
      <c r="N71" s="5">
        <v>6102739</v>
      </c>
      <c r="O71" t="s" s="2">
        <v>25</v>
      </c>
      <c r="P71" t="s" s="2">
        <v>182</v>
      </c>
      <c r="Q71" t="s" s="2">
        <v>51</v>
      </c>
      <c r="R71" t="s" s="2">
        <f>_xlfn.IFERROR(INDEX('model_byCAP'!$D$2:$D$377,MATCH(Q71,'model_byCAP'!$A$2:$A$377,0)),0)</f>
        <v>52</v>
      </c>
    </row>
    <row r="72" ht="15.35" customHeight="1">
      <c r="A72" t="s" s="2">
        <v>183</v>
      </c>
      <c r="B72" s="4">
        <v>44289</v>
      </c>
      <c r="C72" s="5">
        <v>8400</v>
      </c>
      <c r="D72" s="5">
        <v>167</v>
      </c>
      <c r="E72" s="5">
        <v>104</v>
      </c>
      <c r="F72" t="s" s="2">
        <v>29</v>
      </c>
      <c r="G72" t="s" s="2">
        <v>45</v>
      </c>
      <c r="H72" s="5">
        <v>390</v>
      </c>
      <c r="I72" t="s" s="2">
        <v>46</v>
      </c>
      <c r="J72" t="s" s="2">
        <v>47</v>
      </c>
      <c r="K72" t="s" s="2">
        <v>48</v>
      </c>
      <c r="L72" t="s" s="2">
        <v>49</v>
      </c>
      <c r="M72" s="5">
        <v>761609</v>
      </c>
      <c r="N72" s="5">
        <v>6102289</v>
      </c>
      <c r="O72" t="s" s="2">
        <v>25</v>
      </c>
      <c r="P72" t="s" s="2">
        <v>184</v>
      </c>
      <c r="Q72" t="s" s="2">
        <v>51</v>
      </c>
      <c r="R72" t="s" s="2">
        <f>_xlfn.IFERROR(INDEX('model_byCAP'!$D$2:$D$377,MATCH(Q72,'model_byCAP'!$A$2:$A$377,0)),0)</f>
        <v>52</v>
      </c>
    </row>
    <row r="73" ht="15.35" customHeight="1">
      <c r="A73" t="s" s="2">
        <v>185</v>
      </c>
      <c r="B73" s="4">
        <v>44289</v>
      </c>
      <c r="C73" s="5">
        <v>8400</v>
      </c>
      <c r="D73" s="5">
        <v>167</v>
      </c>
      <c r="E73" s="5">
        <v>104</v>
      </c>
      <c r="F73" t="s" s="2">
        <v>29</v>
      </c>
      <c r="G73" t="s" s="2">
        <v>45</v>
      </c>
      <c r="H73" s="5">
        <v>390</v>
      </c>
      <c r="I73" t="s" s="2">
        <v>46</v>
      </c>
      <c r="J73" t="s" s="2">
        <v>47</v>
      </c>
      <c r="K73" t="s" s="2">
        <v>48</v>
      </c>
      <c r="L73" t="s" s="2">
        <v>49</v>
      </c>
      <c r="M73" s="5">
        <v>760709</v>
      </c>
      <c r="N73" s="5">
        <v>6101119</v>
      </c>
      <c r="O73" t="s" s="2">
        <v>25</v>
      </c>
      <c r="P73" t="s" s="2">
        <v>186</v>
      </c>
      <c r="Q73" t="s" s="2">
        <v>51</v>
      </c>
      <c r="R73" t="s" s="2">
        <f>_xlfn.IFERROR(INDEX('model_byCAP'!$D$2:$D$377,MATCH(Q73,'model_byCAP'!$A$2:$A$377,0)),0)</f>
        <v>52</v>
      </c>
    </row>
    <row r="74" ht="15.35" customHeight="1">
      <c r="A74" t="s" s="2">
        <v>187</v>
      </c>
      <c r="B74" s="4">
        <v>44349</v>
      </c>
      <c r="C74" s="5">
        <v>8400</v>
      </c>
      <c r="D74" s="5">
        <v>167</v>
      </c>
      <c r="E74" s="5">
        <v>104</v>
      </c>
      <c r="F74" t="s" s="2">
        <v>29</v>
      </c>
      <c r="G74" t="s" s="2">
        <v>45</v>
      </c>
      <c r="H74" s="5">
        <v>390</v>
      </c>
      <c r="I74" t="s" s="2">
        <v>46</v>
      </c>
      <c r="J74" t="s" s="2">
        <v>47</v>
      </c>
      <c r="K74" t="s" s="2">
        <v>48</v>
      </c>
      <c r="L74" t="s" s="2">
        <v>49</v>
      </c>
      <c r="M74" s="5">
        <v>755579</v>
      </c>
      <c r="N74" s="5">
        <v>6103099</v>
      </c>
      <c r="O74" t="s" s="2">
        <v>25</v>
      </c>
      <c r="P74" t="s" s="2">
        <v>188</v>
      </c>
      <c r="Q74" t="s" s="2">
        <v>51</v>
      </c>
      <c r="R74" t="s" s="2">
        <f>_xlfn.IFERROR(INDEX('model_byCAP'!$D$2:$D$377,MATCH(Q74,'model_byCAP'!$A$2:$A$377,0)),0)</f>
        <v>52</v>
      </c>
    </row>
    <row r="75" ht="15.35" customHeight="1">
      <c r="A75" t="s" s="2">
        <v>189</v>
      </c>
      <c r="B75" s="4">
        <v>44351</v>
      </c>
      <c r="C75" s="5">
        <v>8400</v>
      </c>
      <c r="D75" s="5">
        <v>167</v>
      </c>
      <c r="E75" s="5">
        <v>104</v>
      </c>
      <c r="F75" t="s" s="2">
        <v>29</v>
      </c>
      <c r="G75" t="s" s="2">
        <v>45</v>
      </c>
      <c r="H75" s="5">
        <v>390</v>
      </c>
      <c r="I75" t="s" s="2">
        <v>46</v>
      </c>
      <c r="J75" t="s" s="2">
        <v>47</v>
      </c>
      <c r="K75" t="s" s="2">
        <v>48</v>
      </c>
      <c r="L75" t="s" s="2">
        <v>49</v>
      </c>
      <c r="M75" s="5">
        <v>755765</v>
      </c>
      <c r="N75" s="5">
        <v>6102069</v>
      </c>
      <c r="O75" t="s" s="2">
        <v>25</v>
      </c>
      <c r="P75" t="s" s="2">
        <v>190</v>
      </c>
      <c r="Q75" t="s" s="2">
        <v>51</v>
      </c>
      <c r="R75" t="s" s="2">
        <f>_xlfn.IFERROR(INDEX('model_byCAP'!$D$2:$D$377,MATCH(Q75,'model_byCAP'!$A$2:$A$377,0)),0)</f>
        <v>52</v>
      </c>
    </row>
    <row r="76" ht="15.35" customHeight="1">
      <c r="A76" t="s" s="2">
        <v>191</v>
      </c>
      <c r="B76" s="4">
        <v>44352</v>
      </c>
      <c r="C76" s="5">
        <v>8400</v>
      </c>
      <c r="D76" s="5">
        <v>167</v>
      </c>
      <c r="E76" s="5">
        <v>104</v>
      </c>
      <c r="F76" t="s" s="2">
        <v>29</v>
      </c>
      <c r="G76" t="s" s="2">
        <v>45</v>
      </c>
      <c r="H76" s="5">
        <v>390</v>
      </c>
      <c r="I76" t="s" s="2">
        <v>46</v>
      </c>
      <c r="J76" t="s" s="2">
        <v>47</v>
      </c>
      <c r="K76" t="s" s="2">
        <v>48</v>
      </c>
      <c r="L76" t="s" s="2">
        <v>49</v>
      </c>
      <c r="M76" s="5">
        <v>756197</v>
      </c>
      <c r="N76" s="5">
        <v>6101326</v>
      </c>
      <c r="O76" t="s" s="2">
        <v>25</v>
      </c>
      <c r="P76" t="s" s="2">
        <v>192</v>
      </c>
      <c r="Q76" t="s" s="2">
        <v>51</v>
      </c>
      <c r="R76" t="s" s="2">
        <f>_xlfn.IFERROR(INDEX('model_byCAP'!$D$2:$D$377,MATCH(Q76,'model_byCAP'!$A$2:$A$377,0)),0)</f>
        <v>52</v>
      </c>
    </row>
    <row r="77" ht="15.35" customHeight="1">
      <c r="A77" t="s" s="2">
        <v>193</v>
      </c>
      <c r="B77" s="4">
        <v>44352</v>
      </c>
      <c r="C77" s="5">
        <v>8400</v>
      </c>
      <c r="D77" s="5">
        <v>167</v>
      </c>
      <c r="E77" s="5">
        <v>104</v>
      </c>
      <c r="F77" t="s" s="2">
        <v>29</v>
      </c>
      <c r="G77" t="s" s="2">
        <v>45</v>
      </c>
      <c r="H77" s="5">
        <v>390</v>
      </c>
      <c r="I77" t="s" s="2">
        <v>46</v>
      </c>
      <c r="J77" t="s" s="2">
        <v>47</v>
      </c>
      <c r="K77" t="s" s="2">
        <v>48</v>
      </c>
      <c r="L77" t="s" s="2">
        <v>49</v>
      </c>
      <c r="M77" s="5">
        <v>755669</v>
      </c>
      <c r="N77" s="5">
        <v>6100489</v>
      </c>
      <c r="O77" t="s" s="2">
        <v>25</v>
      </c>
      <c r="P77" t="s" s="2">
        <v>194</v>
      </c>
      <c r="Q77" t="s" s="2">
        <v>51</v>
      </c>
      <c r="R77" t="s" s="2">
        <f>_xlfn.IFERROR(INDEX('model_byCAP'!$D$2:$D$377,MATCH(Q77,'model_byCAP'!$A$2:$A$377,0)),0)</f>
        <v>52</v>
      </c>
    </row>
    <row r="78" ht="15.35" customHeight="1">
      <c r="A78" t="s" s="2">
        <v>195</v>
      </c>
      <c r="B78" s="4">
        <v>44115</v>
      </c>
      <c r="C78" s="5">
        <v>8400</v>
      </c>
      <c r="D78" s="5">
        <v>164</v>
      </c>
      <c r="E78" s="5">
        <v>118</v>
      </c>
      <c r="F78" t="s" s="2">
        <v>36</v>
      </c>
      <c r="G78" t="s" s="2">
        <v>37</v>
      </c>
      <c r="H78" s="5">
        <v>561</v>
      </c>
      <c r="I78" t="s" s="2">
        <v>196</v>
      </c>
      <c r="J78" t="s" s="2">
        <v>22</v>
      </c>
      <c r="K78" t="s" s="2">
        <v>197</v>
      </c>
      <c r="L78" t="s" s="2">
        <v>198</v>
      </c>
      <c r="M78" s="5">
        <v>468049.88</v>
      </c>
      <c r="N78" s="5">
        <v>6145616.47</v>
      </c>
      <c r="O78" t="s" s="2">
        <v>25</v>
      </c>
      <c r="P78" s="6"/>
      <c r="Q78" t="s" s="2">
        <v>39</v>
      </c>
      <c r="R78" t="s" s="2">
        <f>_xlfn.IFERROR(INDEX('model_byCAP'!$D$2:$D$377,MATCH(Q78,'model_byCAP'!$A$2:$A$377,0)),0)</f>
        <v>40</v>
      </c>
    </row>
    <row r="79" ht="15.35" customHeight="1">
      <c r="A79" t="s" s="2">
        <v>199</v>
      </c>
      <c r="B79" s="4">
        <v>44114</v>
      </c>
      <c r="C79" s="5">
        <v>8400</v>
      </c>
      <c r="D79" s="5">
        <v>164</v>
      </c>
      <c r="E79" s="5">
        <v>118</v>
      </c>
      <c r="F79" t="s" s="2">
        <v>36</v>
      </c>
      <c r="G79" t="s" s="2">
        <v>37</v>
      </c>
      <c r="H79" s="5">
        <v>561</v>
      </c>
      <c r="I79" t="s" s="2">
        <v>196</v>
      </c>
      <c r="J79" t="s" s="2">
        <v>22</v>
      </c>
      <c r="K79" t="s" s="2">
        <v>197</v>
      </c>
      <c r="L79" t="s" s="2">
        <v>200</v>
      </c>
      <c r="M79" s="5">
        <v>468533.63</v>
      </c>
      <c r="N79" s="5">
        <v>6145431.04</v>
      </c>
      <c r="O79" t="s" s="2">
        <v>25</v>
      </c>
      <c r="P79" s="6"/>
      <c r="Q79" t="s" s="2">
        <v>39</v>
      </c>
      <c r="R79" t="s" s="2">
        <f>_xlfn.IFERROR(INDEX('model_byCAP'!$D$2:$D$377,MATCH(Q79,'model_byCAP'!$A$2:$A$377,0)),0)</f>
        <v>40</v>
      </c>
    </row>
    <row r="80" ht="15.35" customHeight="1">
      <c r="A80" t="s" s="2">
        <v>201</v>
      </c>
      <c r="B80" s="4">
        <v>43457</v>
      </c>
      <c r="C80" s="5">
        <v>8300</v>
      </c>
      <c r="D80" s="5">
        <v>164</v>
      </c>
      <c r="E80" s="5">
        <v>105</v>
      </c>
      <c r="F80" t="s" s="2">
        <v>36</v>
      </c>
      <c r="G80" t="s" s="2">
        <v>37</v>
      </c>
      <c r="H80" s="5">
        <v>561</v>
      </c>
      <c r="I80" t="s" s="2">
        <v>196</v>
      </c>
      <c r="J80" t="s" s="2">
        <v>47</v>
      </c>
      <c r="K80" t="s" s="2">
        <v>202</v>
      </c>
      <c r="L80" t="s" s="2">
        <v>49</v>
      </c>
      <c r="M80" s="5">
        <v>408997</v>
      </c>
      <c r="N80" s="5">
        <v>6177653</v>
      </c>
      <c r="O80" t="s" s="2">
        <v>25</v>
      </c>
      <c r="P80" t="s" s="2">
        <v>203</v>
      </c>
      <c r="Q80" t="s" s="2">
        <v>39</v>
      </c>
      <c r="R80" t="s" s="2">
        <f>_xlfn.IFERROR(INDEX('model_byCAP'!$D$2:$D$377,MATCH(Q80,'model_byCAP'!$A$2:$A$377,0)),0)</f>
        <v>40</v>
      </c>
    </row>
    <row r="81" ht="15.35" customHeight="1">
      <c r="A81" t="s" s="2">
        <v>204</v>
      </c>
      <c r="B81" s="4">
        <v>43457</v>
      </c>
      <c r="C81" s="5">
        <v>8300</v>
      </c>
      <c r="D81" s="5">
        <v>164</v>
      </c>
      <c r="E81" s="5">
        <v>105</v>
      </c>
      <c r="F81" t="s" s="2">
        <v>36</v>
      </c>
      <c r="G81" t="s" s="2">
        <v>37</v>
      </c>
      <c r="H81" s="5">
        <v>561</v>
      </c>
      <c r="I81" t="s" s="2">
        <v>196</v>
      </c>
      <c r="J81" t="s" s="2">
        <v>47</v>
      </c>
      <c r="K81" t="s" s="2">
        <v>202</v>
      </c>
      <c r="L81" t="s" s="2">
        <v>49</v>
      </c>
      <c r="M81" s="5">
        <v>409143</v>
      </c>
      <c r="N81" s="5">
        <v>6176505</v>
      </c>
      <c r="O81" t="s" s="2">
        <v>25</v>
      </c>
      <c r="P81" t="s" s="2">
        <v>205</v>
      </c>
      <c r="Q81" t="s" s="2">
        <v>39</v>
      </c>
      <c r="R81" t="s" s="2">
        <f>_xlfn.IFERROR(INDEX('model_byCAP'!$D$2:$D$377,MATCH(Q81,'model_byCAP'!$A$2:$A$377,0)),0)</f>
        <v>40</v>
      </c>
    </row>
    <row r="82" ht="15.35" customHeight="1">
      <c r="A82" t="s" s="2">
        <v>206</v>
      </c>
      <c r="B82" s="4">
        <v>43457</v>
      </c>
      <c r="C82" s="5">
        <v>8300</v>
      </c>
      <c r="D82" s="5">
        <v>164</v>
      </c>
      <c r="E82" s="5">
        <v>105</v>
      </c>
      <c r="F82" t="s" s="2">
        <v>36</v>
      </c>
      <c r="G82" t="s" s="2">
        <v>37</v>
      </c>
      <c r="H82" s="5">
        <v>561</v>
      </c>
      <c r="I82" t="s" s="2">
        <v>196</v>
      </c>
      <c r="J82" t="s" s="2">
        <v>47</v>
      </c>
      <c r="K82" t="s" s="2">
        <v>202</v>
      </c>
      <c r="L82" t="s" s="2">
        <v>49</v>
      </c>
      <c r="M82" s="5">
        <v>409638</v>
      </c>
      <c r="N82" s="5">
        <v>6175486</v>
      </c>
      <c r="O82" t="s" s="2">
        <v>25</v>
      </c>
      <c r="P82" t="s" s="2">
        <v>207</v>
      </c>
      <c r="Q82" t="s" s="2">
        <v>39</v>
      </c>
      <c r="R82" t="s" s="2">
        <f>_xlfn.IFERROR(INDEX('model_byCAP'!$D$2:$D$377,MATCH(Q82,'model_byCAP'!$A$2:$A$377,0)),0)</f>
        <v>40</v>
      </c>
    </row>
    <row r="83" ht="15.35" customHeight="1">
      <c r="A83" t="s" s="2">
        <v>208</v>
      </c>
      <c r="B83" s="4">
        <v>43457</v>
      </c>
      <c r="C83" s="5">
        <v>8300</v>
      </c>
      <c r="D83" s="5">
        <v>164</v>
      </c>
      <c r="E83" s="5">
        <v>105</v>
      </c>
      <c r="F83" t="s" s="2">
        <v>36</v>
      </c>
      <c r="G83" t="s" s="2">
        <v>37</v>
      </c>
      <c r="H83" s="5">
        <v>561</v>
      </c>
      <c r="I83" t="s" s="2">
        <v>196</v>
      </c>
      <c r="J83" t="s" s="2">
        <v>47</v>
      </c>
      <c r="K83" t="s" s="2">
        <v>202</v>
      </c>
      <c r="L83" t="s" s="2">
        <v>49</v>
      </c>
      <c r="M83" s="5">
        <v>410064</v>
      </c>
      <c r="N83" s="5">
        <v>6174402</v>
      </c>
      <c r="O83" t="s" s="2">
        <v>25</v>
      </c>
      <c r="P83" t="s" s="2">
        <v>209</v>
      </c>
      <c r="Q83" t="s" s="2">
        <v>39</v>
      </c>
      <c r="R83" t="s" s="2">
        <f>_xlfn.IFERROR(INDEX('model_byCAP'!$D$2:$D$377,MATCH(Q83,'model_byCAP'!$A$2:$A$377,0)),0)</f>
        <v>40</v>
      </c>
    </row>
    <row r="84" ht="15.35" customHeight="1">
      <c r="A84" t="s" s="2">
        <v>210</v>
      </c>
      <c r="B84" s="4">
        <v>43457</v>
      </c>
      <c r="C84" s="5">
        <v>8300</v>
      </c>
      <c r="D84" s="5">
        <v>164</v>
      </c>
      <c r="E84" s="5">
        <v>105</v>
      </c>
      <c r="F84" t="s" s="2">
        <v>36</v>
      </c>
      <c r="G84" t="s" s="2">
        <v>37</v>
      </c>
      <c r="H84" s="5">
        <v>561</v>
      </c>
      <c r="I84" t="s" s="2">
        <v>196</v>
      </c>
      <c r="J84" t="s" s="2">
        <v>47</v>
      </c>
      <c r="K84" t="s" s="2">
        <v>202</v>
      </c>
      <c r="L84" t="s" s="2">
        <v>49</v>
      </c>
      <c r="M84" s="5">
        <v>410241</v>
      </c>
      <c r="N84" s="5">
        <v>6173317</v>
      </c>
      <c r="O84" t="s" s="2">
        <v>25</v>
      </c>
      <c r="P84" t="s" s="2">
        <v>211</v>
      </c>
      <c r="Q84" t="s" s="2">
        <v>39</v>
      </c>
      <c r="R84" t="s" s="2">
        <f>_xlfn.IFERROR(INDEX('model_byCAP'!$D$2:$D$377,MATCH(Q84,'model_byCAP'!$A$2:$A$377,0)),0)</f>
        <v>40</v>
      </c>
    </row>
    <row r="85" ht="15.35" customHeight="1">
      <c r="A85" t="s" s="2">
        <v>212</v>
      </c>
      <c r="B85" s="4">
        <v>43457</v>
      </c>
      <c r="C85" s="5">
        <v>8300</v>
      </c>
      <c r="D85" s="5">
        <v>164</v>
      </c>
      <c r="E85" s="5">
        <v>105</v>
      </c>
      <c r="F85" t="s" s="2">
        <v>36</v>
      </c>
      <c r="G85" t="s" s="2">
        <v>37</v>
      </c>
      <c r="H85" s="5">
        <v>561</v>
      </c>
      <c r="I85" t="s" s="2">
        <v>196</v>
      </c>
      <c r="J85" t="s" s="2">
        <v>47</v>
      </c>
      <c r="K85" t="s" s="2">
        <v>202</v>
      </c>
      <c r="L85" t="s" s="2">
        <v>49</v>
      </c>
      <c r="M85" s="5">
        <v>410328</v>
      </c>
      <c r="N85" s="5">
        <v>6172214</v>
      </c>
      <c r="O85" t="s" s="2">
        <v>25</v>
      </c>
      <c r="P85" t="s" s="2">
        <v>213</v>
      </c>
      <c r="Q85" t="s" s="2">
        <v>39</v>
      </c>
      <c r="R85" t="s" s="2">
        <f>_xlfn.IFERROR(INDEX('model_byCAP'!$D$2:$D$377,MATCH(Q85,'model_byCAP'!$A$2:$A$377,0)),0)</f>
        <v>40</v>
      </c>
    </row>
    <row r="86" ht="15.35" customHeight="1">
      <c r="A86" t="s" s="2">
        <v>214</v>
      </c>
      <c r="B86" s="4">
        <v>43457</v>
      </c>
      <c r="C86" s="5">
        <v>8300</v>
      </c>
      <c r="D86" s="5">
        <v>164</v>
      </c>
      <c r="E86" s="5">
        <v>105</v>
      </c>
      <c r="F86" t="s" s="2">
        <v>36</v>
      </c>
      <c r="G86" t="s" s="2">
        <v>37</v>
      </c>
      <c r="H86" s="5">
        <v>561</v>
      </c>
      <c r="I86" t="s" s="2">
        <v>196</v>
      </c>
      <c r="J86" t="s" s="2">
        <v>47</v>
      </c>
      <c r="K86" t="s" s="2">
        <v>202</v>
      </c>
      <c r="L86" t="s" s="2">
        <v>49</v>
      </c>
      <c r="M86" s="5">
        <v>410568</v>
      </c>
      <c r="N86" s="5">
        <v>6177763</v>
      </c>
      <c r="O86" t="s" s="2">
        <v>25</v>
      </c>
      <c r="P86" t="s" s="2">
        <v>215</v>
      </c>
      <c r="Q86" t="s" s="2">
        <v>39</v>
      </c>
      <c r="R86" t="s" s="2">
        <f>_xlfn.IFERROR(INDEX('model_byCAP'!$D$2:$D$377,MATCH(Q86,'model_byCAP'!$A$2:$A$377,0)),0)</f>
        <v>40</v>
      </c>
    </row>
    <row r="87" ht="15.35" customHeight="1">
      <c r="A87" t="s" s="2">
        <v>216</v>
      </c>
      <c r="B87" s="4">
        <v>43457</v>
      </c>
      <c r="C87" s="5">
        <v>8300</v>
      </c>
      <c r="D87" s="5">
        <v>164</v>
      </c>
      <c r="E87" s="5">
        <v>105</v>
      </c>
      <c r="F87" t="s" s="2">
        <v>36</v>
      </c>
      <c r="G87" t="s" s="2">
        <v>37</v>
      </c>
      <c r="H87" s="5">
        <v>561</v>
      </c>
      <c r="I87" t="s" s="2">
        <v>196</v>
      </c>
      <c r="J87" t="s" s="2">
        <v>47</v>
      </c>
      <c r="K87" t="s" s="2">
        <v>202</v>
      </c>
      <c r="L87" t="s" s="2">
        <v>49</v>
      </c>
      <c r="M87" s="5">
        <v>412347</v>
      </c>
      <c r="N87" s="5">
        <v>6177795</v>
      </c>
      <c r="O87" t="s" s="2">
        <v>25</v>
      </c>
      <c r="P87" t="s" s="2">
        <v>217</v>
      </c>
      <c r="Q87" t="s" s="2">
        <v>39</v>
      </c>
      <c r="R87" t="s" s="2">
        <f>_xlfn.IFERROR(INDEX('model_byCAP'!$D$2:$D$377,MATCH(Q87,'model_byCAP'!$A$2:$A$377,0)),0)</f>
        <v>40</v>
      </c>
    </row>
    <row r="88" ht="15.35" customHeight="1">
      <c r="A88" t="s" s="2">
        <v>218</v>
      </c>
      <c r="B88" s="4">
        <v>43457</v>
      </c>
      <c r="C88" s="5">
        <v>8300</v>
      </c>
      <c r="D88" s="5">
        <v>164</v>
      </c>
      <c r="E88" s="5">
        <v>105</v>
      </c>
      <c r="F88" t="s" s="2">
        <v>36</v>
      </c>
      <c r="G88" t="s" s="2">
        <v>37</v>
      </c>
      <c r="H88" s="5">
        <v>561</v>
      </c>
      <c r="I88" t="s" s="2">
        <v>196</v>
      </c>
      <c r="J88" t="s" s="2">
        <v>47</v>
      </c>
      <c r="K88" t="s" s="2">
        <v>202</v>
      </c>
      <c r="L88" t="s" s="2">
        <v>49</v>
      </c>
      <c r="M88" s="5">
        <v>412152</v>
      </c>
      <c r="N88" s="5">
        <v>6176707</v>
      </c>
      <c r="O88" t="s" s="2">
        <v>25</v>
      </c>
      <c r="P88" t="s" s="2">
        <v>219</v>
      </c>
      <c r="Q88" t="s" s="2">
        <v>39</v>
      </c>
      <c r="R88" t="s" s="2">
        <f>_xlfn.IFERROR(INDEX('model_byCAP'!$D$2:$D$377,MATCH(Q88,'model_byCAP'!$A$2:$A$377,0)),0)</f>
        <v>40</v>
      </c>
    </row>
    <row r="89" ht="15.35" customHeight="1">
      <c r="A89" t="s" s="2">
        <v>220</v>
      </c>
      <c r="B89" s="4">
        <v>43457</v>
      </c>
      <c r="C89" s="5">
        <v>8300</v>
      </c>
      <c r="D89" s="5">
        <v>164</v>
      </c>
      <c r="E89" s="5">
        <v>105</v>
      </c>
      <c r="F89" t="s" s="2">
        <v>36</v>
      </c>
      <c r="G89" t="s" s="2">
        <v>37</v>
      </c>
      <c r="H89" s="5">
        <v>561</v>
      </c>
      <c r="I89" t="s" s="2">
        <v>196</v>
      </c>
      <c r="J89" t="s" s="2">
        <v>47</v>
      </c>
      <c r="K89" t="s" s="2">
        <v>202</v>
      </c>
      <c r="L89" t="s" s="2">
        <v>49</v>
      </c>
      <c r="M89" s="5">
        <v>412028</v>
      </c>
      <c r="N89" s="5">
        <v>6175608</v>
      </c>
      <c r="O89" t="s" s="2">
        <v>25</v>
      </c>
      <c r="P89" t="s" s="2">
        <v>221</v>
      </c>
      <c r="Q89" t="s" s="2">
        <v>39</v>
      </c>
      <c r="R89" t="s" s="2">
        <f>_xlfn.IFERROR(INDEX('model_byCAP'!$D$2:$D$377,MATCH(Q89,'model_byCAP'!$A$2:$A$377,0)),0)</f>
        <v>40</v>
      </c>
    </row>
    <row r="90" ht="15.35" customHeight="1">
      <c r="A90" t="s" s="2">
        <v>222</v>
      </c>
      <c r="B90" s="4">
        <v>43457</v>
      </c>
      <c r="C90" s="5">
        <v>8300</v>
      </c>
      <c r="D90" s="5">
        <v>164</v>
      </c>
      <c r="E90" s="5">
        <v>105</v>
      </c>
      <c r="F90" t="s" s="2">
        <v>36</v>
      </c>
      <c r="G90" t="s" s="2">
        <v>37</v>
      </c>
      <c r="H90" s="5">
        <v>561</v>
      </c>
      <c r="I90" t="s" s="2">
        <v>196</v>
      </c>
      <c r="J90" t="s" s="2">
        <v>47</v>
      </c>
      <c r="K90" t="s" s="2">
        <v>202</v>
      </c>
      <c r="L90" t="s" s="2">
        <v>49</v>
      </c>
      <c r="M90" s="5">
        <v>411974</v>
      </c>
      <c r="N90" s="5">
        <v>6174504</v>
      </c>
      <c r="O90" t="s" s="2">
        <v>25</v>
      </c>
      <c r="P90" t="s" s="2">
        <v>223</v>
      </c>
      <c r="Q90" t="s" s="2">
        <v>39</v>
      </c>
      <c r="R90" t="s" s="2">
        <f>_xlfn.IFERROR(INDEX('model_byCAP'!$D$2:$D$377,MATCH(Q90,'model_byCAP'!$A$2:$A$377,0)),0)</f>
        <v>40</v>
      </c>
    </row>
    <row r="91" ht="15.35" customHeight="1">
      <c r="A91" t="s" s="2">
        <v>224</v>
      </c>
      <c r="B91" s="4">
        <v>43457</v>
      </c>
      <c r="C91" s="5">
        <v>8300</v>
      </c>
      <c r="D91" s="5">
        <v>164</v>
      </c>
      <c r="E91" s="5">
        <v>105</v>
      </c>
      <c r="F91" t="s" s="2">
        <v>36</v>
      </c>
      <c r="G91" t="s" s="2">
        <v>37</v>
      </c>
      <c r="H91" s="5">
        <v>561</v>
      </c>
      <c r="I91" t="s" s="2">
        <v>196</v>
      </c>
      <c r="J91" t="s" s="2">
        <v>47</v>
      </c>
      <c r="K91" t="s" s="2">
        <v>202</v>
      </c>
      <c r="L91" t="s" s="2">
        <v>49</v>
      </c>
      <c r="M91" s="5">
        <v>411990</v>
      </c>
      <c r="N91" s="5">
        <v>6173399</v>
      </c>
      <c r="O91" t="s" s="2">
        <v>25</v>
      </c>
      <c r="P91" t="s" s="2">
        <v>225</v>
      </c>
      <c r="Q91" t="s" s="2">
        <v>39</v>
      </c>
      <c r="R91" t="s" s="2">
        <f>_xlfn.IFERROR(INDEX('model_byCAP'!$D$2:$D$377,MATCH(Q91,'model_byCAP'!$A$2:$A$377,0)),0)</f>
        <v>40</v>
      </c>
    </row>
    <row r="92" ht="15.35" customHeight="1">
      <c r="A92" t="s" s="2">
        <v>226</v>
      </c>
      <c r="B92" s="4">
        <v>43457</v>
      </c>
      <c r="C92" s="5">
        <v>8300</v>
      </c>
      <c r="D92" s="5">
        <v>164</v>
      </c>
      <c r="E92" s="5">
        <v>105</v>
      </c>
      <c r="F92" t="s" s="2">
        <v>36</v>
      </c>
      <c r="G92" t="s" s="2">
        <v>37</v>
      </c>
      <c r="H92" s="5">
        <v>561</v>
      </c>
      <c r="I92" t="s" s="2">
        <v>196</v>
      </c>
      <c r="J92" t="s" s="2">
        <v>47</v>
      </c>
      <c r="K92" t="s" s="2">
        <v>202</v>
      </c>
      <c r="L92" t="s" s="2">
        <v>49</v>
      </c>
      <c r="M92" s="5">
        <v>412077</v>
      </c>
      <c r="N92" s="5">
        <v>6172296</v>
      </c>
      <c r="O92" t="s" s="2">
        <v>25</v>
      </c>
      <c r="P92" t="s" s="2">
        <v>227</v>
      </c>
      <c r="Q92" t="s" s="2">
        <v>39</v>
      </c>
      <c r="R92" t="s" s="2">
        <f>_xlfn.IFERROR(INDEX('model_byCAP'!$D$2:$D$377,MATCH(Q92,'model_byCAP'!$A$2:$A$377,0)),0)</f>
        <v>40</v>
      </c>
    </row>
    <row r="93" ht="15.35" customHeight="1">
      <c r="A93" t="s" s="2">
        <v>228</v>
      </c>
      <c r="B93" s="4">
        <v>43457</v>
      </c>
      <c r="C93" s="5">
        <v>8300</v>
      </c>
      <c r="D93" s="5">
        <v>164</v>
      </c>
      <c r="E93" s="5">
        <v>105</v>
      </c>
      <c r="F93" t="s" s="2">
        <v>36</v>
      </c>
      <c r="G93" t="s" s="2">
        <v>37</v>
      </c>
      <c r="H93" s="5">
        <v>561</v>
      </c>
      <c r="I93" t="s" s="2">
        <v>196</v>
      </c>
      <c r="J93" t="s" s="2">
        <v>47</v>
      </c>
      <c r="K93" t="s" s="2">
        <v>202</v>
      </c>
      <c r="L93" t="s" s="2">
        <v>49</v>
      </c>
      <c r="M93" s="5">
        <v>412234</v>
      </c>
      <c r="N93" s="5">
        <v>6171202</v>
      </c>
      <c r="O93" t="s" s="2">
        <v>25</v>
      </c>
      <c r="P93" t="s" s="2">
        <v>229</v>
      </c>
      <c r="Q93" t="s" s="2">
        <v>39</v>
      </c>
      <c r="R93" t="s" s="2">
        <f>_xlfn.IFERROR(INDEX('model_byCAP'!$D$2:$D$377,MATCH(Q93,'model_byCAP'!$A$2:$A$377,0)),0)</f>
        <v>40</v>
      </c>
    </row>
    <row r="94" ht="15.35" customHeight="1">
      <c r="A94" t="s" s="2">
        <v>230</v>
      </c>
      <c r="B94" s="4">
        <v>43457</v>
      </c>
      <c r="C94" s="5">
        <v>8300</v>
      </c>
      <c r="D94" s="5">
        <v>164</v>
      </c>
      <c r="E94" s="5">
        <v>105</v>
      </c>
      <c r="F94" t="s" s="2">
        <v>36</v>
      </c>
      <c r="G94" t="s" s="2">
        <v>37</v>
      </c>
      <c r="H94" s="5">
        <v>561</v>
      </c>
      <c r="I94" t="s" s="2">
        <v>196</v>
      </c>
      <c r="J94" t="s" s="2">
        <v>47</v>
      </c>
      <c r="K94" t="s" s="2">
        <v>202</v>
      </c>
      <c r="L94" t="s" s="2">
        <v>49</v>
      </c>
      <c r="M94" s="5">
        <v>414096</v>
      </c>
      <c r="N94" s="5">
        <v>6177877</v>
      </c>
      <c r="O94" t="s" s="2">
        <v>25</v>
      </c>
      <c r="P94" t="s" s="2">
        <v>231</v>
      </c>
      <c r="Q94" t="s" s="2">
        <v>39</v>
      </c>
      <c r="R94" t="s" s="2">
        <f>_xlfn.IFERROR(INDEX('model_byCAP'!$D$2:$D$377,MATCH(Q94,'model_byCAP'!$A$2:$A$377,0)),0)</f>
        <v>40</v>
      </c>
    </row>
    <row r="95" ht="15.35" customHeight="1">
      <c r="A95" t="s" s="2">
        <v>232</v>
      </c>
      <c r="B95" s="4">
        <v>43457</v>
      </c>
      <c r="C95" s="5">
        <v>8300</v>
      </c>
      <c r="D95" s="5">
        <v>164</v>
      </c>
      <c r="E95" s="5">
        <v>105</v>
      </c>
      <c r="F95" t="s" s="2">
        <v>36</v>
      </c>
      <c r="G95" t="s" s="2">
        <v>37</v>
      </c>
      <c r="H95" s="5">
        <v>561</v>
      </c>
      <c r="I95" t="s" s="2">
        <v>196</v>
      </c>
      <c r="J95" t="s" s="2">
        <v>47</v>
      </c>
      <c r="K95" t="s" s="2">
        <v>202</v>
      </c>
      <c r="L95" t="s" s="2">
        <v>49</v>
      </c>
      <c r="M95" s="5">
        <v>413902</v>
      </c>
      <c r="N95" s="5">
        <v>6176789</v>
      </c>
      <c r="O95" t="s" s="2">
        <v>25</v>
      </c>
      <c r="P95" t="s" s="2">
        <v>233</v>
      </c>
      <c r="Q95" t="s" s="2">
        <v>39</v>
      </c>
      <c r="R95" t="s" s="2">
        <f>_xlfn.IFERROR(INDEX('model_byCAP'!$D$2:$D$377,MATCH(Q95,'model_byCAP'!$A$2:$A$377,0)),0)</f>
        <v>40</v>
      </c>
    </row>
    <row r="96" ht="15.35" customHeight="1">
      <c r="A96" t="s" s="2">
        <v>234</v>
      </c>
      <c r="B96" s="4">
        <v>43457</v>
      </c>
      <c r="C96" s="5">
        <v>8300</v>
      </c>
      <c r="D96" s="5">
        <v>164</v>
      </c>
      <c r="E96" s="5">
        <v>105</v>
      </c>
      <c r="F96" t="s" s="2">
        <v>36</v>
      </c>
      <c r="G96" t="s" s="2">
        <v>37</v>
      </c>
      <c r="H96" s="5">
        <v>561</v>
      </c>
      <c r="I96" t="s" s="2">
        <v>196</v>
      </c>
      <c r="J96" t="s" s="2">
        <v>47</v>
      </c>
      <c r="K96" t="s" s="2">
        <v>202</v>
      </c>
      <c r="L96" t="s" s="2">
        <v>49</v>
      </c>
      <c r="M96" s="5">
        <v>413723</v>
      </c>
      <c r="N96" s="5">
        <v>6174586</v>
      </c>
      <c r="O96" t="s" s="2">
        <v>25</v>
      </c>
      <c r="P96" t="s" s="2">
        <v>235</v>
      </c>
      <c r="Q96" t="s" s="2">
        <v>39</v>
      </c>
      <c r="R96" t="s" s="2">
        <f>_xlfn.IFERROR(INDEX('model_byCAP'!$D$2:$D$377,MATCH(Q96,'model_byCAP'!$A$2:$A$377,0)),0)</f>
        <v>40</v>
      </c>
    </row>
    <row r="97" ht="15.35" customHeight="1">
      <c r="A97" t="s" s="2">
        <v>236</v>
      </c>
      <c r="B97" s="4">
        <v>43457</v>
      </c>
      <c r="C97" s="5">
        <v>8300</v>
      </c>
      <c r="D97" s="5">
        <v>164</v>
      </c>
      <c r="E97" s="5">
        <v>105</v>
      </c>
      <c r="F97" t="s" s="2">
        <v>36</v>
      </c>
      <c r="G97" t="s" s="2">
        <v>37</v>
      </c>
      <c r="H97" s="5">
        <v>561</v>
      </c>
      <c r="I97" t="s" s="2">
        <v>196</v>
      </c>
      <c r="J97" t="s" s="2">
        <v>47</v>
      </c>
      <c r="K97" t="s" s="2">
        <v>202</v>
      </c>
      <c r="L97" t="s" s="2">
        <v>49</v>
      </c>
      <c r="M97" s="5">
        <v>413740</v>
      </c>
      <c r="N97" s="5">
        <v>6173480</v>
      </c>
      <c r="O97" t="s" s="2">
        <v>25</v>
      </c>
      <c r="P97" t="s" s="2">
        <v>237</v>
      </c>
      <c r="Q97" t="s" s="2">
        <v>39</v>
      </c>
      <c r="R97" t="s" s="2">
        <f>_xlfn.IFERROR(INDEX('model_byCAP'!$D$2:$D$377,MATCH(Q97,'model_byCAP'!$A$2:$A$377,0)),0)</f>
        <v>40</v>
      </c>
    </row>
    <row r="98" ht="15.35" customHeight="1">
      <c r="A98" t="s" s="2">
        <v>238</v>
      </c>
      <c r="B98" s="4">
        <v>43457</v>
      </c>
      <c r="C98" s="5">
        <v>8300</v>
      </c>
      <c r="D98" s="5">
        <v>164</v>
      </c>
      <c r="E98" s="5">
        <v>105</v>
      </c>
      <c r="F98" t="s" s="2">
        <v>36</v>
      </c>
      <c r="G98" t="s" s="2">
        <v>37</v>
      </c>
      <c r="H98" s="5">
        <v>561</v>
      </c>
      <c r="I98" t="s" s="2">
        <v>196</v>
      </c>
      <c r="J98" t="s" s="2">
        <v>47</v>
      </c>
      <c r="K98" t="s" s="2">
        <v>202</v>
      </c>
      <c r="L98" t="s" s="2">
        <v>49</v>
      </c>
      <c r="M98" s="5">
        <v>413984</v>
      </c>
      <c r="N98" s="5">
        <v>6171284</v>
      </c>
      <c r="O98" t="s" s="2">
        <v>25</v>
      </c>
      <c r="P98" t="s" s="2">
        <v>239</v>
      </c>
      <c r="Q98" t="s" s="2">
        <v>39</v>
      </c>
      <c r="R98" t="s" s="2">
        <f>_xlfn.IFERROR(INDEX('model_byCAP'!$D$2:$D$377,MATCH(Q98,'model_byCAP'!$A$2:$A$377,0)),0)</f>
        <v>40</v>
      </c>
    </row>
    <row r="99" ht="15.35" customHeight="1">
      <c r="A99" t="s" s="2">
        <v>240</v>
      </c>
      <c r="B99" s="4">
        <v>43457</v>
      </c>
      <c r="C99" s="5">
        <v>8300</v>
      </c>
      <c r="D99" s="5">
        <v>164</v>
      </c>
      <c r="E99" s="5">
        <v>105</v>
      </c>
      <c r="F99" t="s" s="2">
        <v>36</v>
      </c>
      <c r="G99" t="s" s="2">
        <v>37</v>
      </c>
      <c r="H99" s="5">
        <v>561</v>
      </c>
      <c r="I99" t="s" s="2">
        <v>196</v>
      </c>
      <c r="J99" t="s" s="2">
        <v>47</v>
      </c>
      <c r="K99" t="s" s="2">
        <v>202</v>
      </c>
      <c r="L99" t="s" s="2">
        <v>49</v>
      </c>
      <c r="M99" s="5">
        <v>414210</v>
      </c>
      <c r="N99" s="5">
        <v>6170202</v>
      </c>
      <c r="O99" t="s" s="2">
        <v>25</v>
      </c>
      <c r="P99" t="s" s="2">
        <v>241</v>
      </c>
      <c r="Q99" t="s" s="2">
        <v>39</v>
      </c>
      <c r="R99" t="s" s="2">
        <f>_xlfn.IFERROR(INDEX('model_byCAP'!$D$2:$D$377,MATCH(Q99,'model_byCAP'!$A$2:$A$377,0)),0)</f>
        <v>40</v>
      </c>
    </row>
    <row r="100" ht="15.35" customHeight="1">
      <c r="A100" t="s" s="2">
        <v>242</v>
      </c>
      <c r="B100" s="4">
        <v>43457</v>
      </c>
      <c r="C100" s="5">
        <v>8300</v>
      </c>
      <c r="D100" s="5">
        <v>164</v>
      </c>
      <c r="E100" s="5">
        <v>105</v>
      </c>
      <c r="F100" t="s" s="2">
        <v>36</v>
      </c>
      <c r="G100" t="s" s="2">
        <v>37</v>
      </c>
      <c r="H100" s="5">
        <v>561</v>
      </c>
      <c r="I100" t="s" s="2">
        <v>196</v>
      </c>
      <c r="J100" t="s" s="2">
        <v>47</v>
      </c>
      <c r="K100" t="s" s="2">
        <v>202</v>
      </c>
      <c r="L100" t="s" s="2">
        <v>49</v>
      </c>
      <c r="M100" s="5">
        <v>414506</v>
      </c>
      <c r="N100" s="5">
        <v>6169136</v>
      </c>
      <c r="O100" t="s" s="2">
        <v>25</v>
      </c>
      <c r="P100" t="s" s="2">
        <v>243</v>
      </c>
      <c r="Q100" t="s" s="2">
        <v>39</v>
      </c>
      <c r="R100" t="s" s="2">
        <f>_xlfn.IFERROR(INDEX('model_byCAP'!$D$2:$D$377,MATCH(Q100,'model_byCAP'!$A$2:$A$377,0)),0)</f>
        <v>40</v>
      </c>
    </row>
    <row r="101" ht="15.35" customHeight="1">
      <c r="A101" t="s" s="2">
        <v>244</v>
      </c>
      <c r="B101" s="4">
        <v>43457</v>
      </c>
      <c r="C101" s="5">
        <v>8300</v>
      </c>
      <c r="D101" s="5">
        <v>164</v>
      </c>
      <c r="E101" s="5">
        <v>105</v>
      </c>
      <c r="F101" t="s" s="2">
        <v>36</v>
      </c>
      <c r="G101" t="s" s="2">
        <v>37</v>
      </c>
      <c r="H101" s="5">
        <v>561</v>
      </c>
      <c r="I101" t="s" s="2">
        <v>196</v>
      </c>
      <c r="J101" t="s" s="2">
        <v>47</v>
      </c>
      <c r="K101" t="s" s="2">
        <v>202</v>
      </c>
      <c r="L101" t="s" s="2">
        <v>49</v>
      </c>
      <c r="M101" s="5">
        <v>415846</v>
      </c>
      <c r="N101" s="5">
        <v>6177959</v>
      </c>
      <c r="O101" t="s" s="2">
        <v>25</v>
      </c>
      <c r="P101" t="s" s="2">
        <v>245</v>
      </c>
      <c r="Q101" t="s" s="2">
        <v>39</v>
      </c>
      <c r="R101" t="s" s="2">
        <f>_xlfn.IFERROR(INDEX('model_byCAP'!$D$2:$D$377,MATCH(Q101,'model_byCAP'!$A$2:$A$377,0)),0)</f>
        <v>40</v>
      </c>
    </row>
    <row r="102" ht="15.35" customHeight="1">
      <c r="A102" t="s" s="2">
        <v>246</v>
      </c>
      <c r="B102" s="4">
        <v>43457</v>
      </c>
      <c r="C102" s="5">
        <v>8300</v>
      </c>
      <c r="D102" s="5">
        <v>164</v>
      </c>
      <c r="E102" s="5">
        <v>105</v>
      </c>
      <c r="F102" t="s" s="2">
        <v>36</v>
      </c>
      <c r="G102" t="s" s="2">
        <v>37</v>
      </c>
      <c r="H102" s="5">
        <v>561</v>
      </c>
      <c r="I102" t="s" s="2">
        <v>196</v>
      </c>
      <c r="J102" t="s" s="2">
        <v>47</v>
      </c>
      <c r="K102" t="s" s="2">
        <v>202</v>
      </c>
      <c r="L102" t="s" s="2">
        <v>49</v>
      </c>
      <c r="M102" s="5">
        <v>415651</v>
      </c>
      <c r="N102" s="5">
        <v>6176871</v>
      </c>
      <c r="O102" t="s" s="2">
        <v>25</v>
      </c>
      <c r="P102" t="s" s="2">
        <v>247</v>
      </c>
      <c r="Q102" t="s" s="2">
        <v>39</v>
      </c>
      <c r="R102" t="s" s="2">
        <f>_xlfn.IFERROR(INDEX('model_byCAP'!$D$2:$D$377,MATCH(Q102,'model_byCAP'!$A$2:$A$377,0)),0)</f>
        <v>40</v>
      </c>
    </row>
    <row r="103" ht="15.35" customHeight="1">
      <c r="A103" t="s" s="2">
        <v>248</v>
      </c>
      <c r="B103" s="4">
        <v>43457</v>
      </c>
      <c r="C103" s="5">
        <v>8300</v>
      </c>
      <c r="D103" s="5">
        <v>164</v>
      </c>
      <c r="E103" s="5">
        <v>105</v>
      </c>
      <c r="F103" t="s" s="2">
        <v>36</v>
      </c>
      <c r="G103" t="s" s="2">
        <v>37</v>
      </c>
      <c r="H103" s="5">
        <v>561</v>
      </c>
      <c r="I103" t="s" s="2">
        <v>196</v>
      </c>
      <c r="J103" t="s" s="2">
        <v>47</v>
      </c>
      <c r="K103" t="s" s="2">
        <v>202</v>
      </c>
      <c r="L103" t="s" s="2">
        <v>49</v>
      </c>
      <c r="M103" s="5">
        <v>415527</v>
      </c>
      <c r="N103" s="5">
        <v>6175772</v>
      </c>
      <c r="O103" t="s" s="2">
        <v>25</v>
      </c>
      <c r="P103" t="s" s="2">
        <v>249</v>
      </c>
      <c r="Q103" t="s" s="2">
        <v>39</v>
      </c>
      <c r="R103" t="s" s="2">
        <f>_xlfn.IFERROR(INDEX('model_byCAP'!$D$2:$D$377,MATCH(Q103,'model_byCAP'!$A$2:$A$377,0)),0)</f>
        <v>40</v>
      </c>
    </row>
    <row r="104" ht="15.35" customHeight="1">
      <c r="A104" t="s" s="2">
        <v>250</v>
      </c>
      <c r="B104" s="4">
        <v>43457</v>
      </c>
      <c r="C104" s="5">
        <v>8300</v>
      </c>
      <c r="D104" s="5">
        <v>164</v>
      </c>
      <c r="E104" s="5">
        <v>105</v>
      </c>
      <c r="F104" t="s" s="2">
        <v>36</v>
      </c>
      <c r="G104" t="s" s="2">
        <v>37</v>
      </c>
      <c r="H104" s="5">
        <v>561</v>
      </c>
      <c r="I104" t="s" s="2">
        <v>196</v>
      </c>
      <c r="J104" t="s" s="2">
        <v>47</v>
      </c>
      <c r="K104" t="s" s="2">
        <v>202</v>
      </c>
      <c r="L104" t="s" s="2">
        <v>49</v>
      </c>
      <c r="M104" s="5">
        <v>415576</v>
      </c>
      <c r="N104" s="5">
        <v>6172460</v>
      </c>
      <c r="O104" t="s" s="2">
        <v>25</v>
      </c>
      <c r="P104" t="s" s="2">
        <v>251</v>
      </c>
      <c r="Q104" t="s" s="2">
        <v>39</v>
      </c>
      <c r="R104" t="s" s="2">
        <f>_xlfn.IFERROR(INDEX('model_byCAP'!$D$2:$D$377,MATCH(Q104,'model_byCAP'!$A$2:$A$377,0)),0)</f>
        <v>40</v>
      </c>
    </row>
    <row r="105" ht="15.35" customHeight="1">
      <c r="A105" t="s" s="2">
        <v>252</v>
      </c>
      <c r="B105" s="4">
        <v>43457</v>
      </c>
      <c r="C105" s="5">
        <v>8300</v>
      </c>
      <c r="D105" s="5">
        <v>164</v>
      </c>
      <c r="E105" s="5">
        <v>105</v>
      </c>
      <c r="F105" t="s" s="2">
        <v>36</v>
      </c>
      <c r="G105" t="s" s="2">
        <v>37</v>
      </c>
      <c r="H105" s="5">
        <v>561</v>
      </c>
      <c r="I105" t="s" s="2">
        <v>196</v>
      </c>
      <c r="J105" t="s" s="2">
        <v>47</v>
      </c>
      <c r="K105" t="s" s="2">
        <v>202</v>
      </c>
      <c r="L105" t="s" s="2">
        <v>49</v>
      </c>
      <c r="M105" s="5">
        <v>415960</v>
      </c>
      <c r="N105" s="5">
        <v>6170284</v>
      </c>
      <c r="O105" t="s" s="2">
        <v>25</v>
      </c>
      <c r="P105" t="s" s="2">
        <v>253</v>
      </c>
      <c r="Q105" t="s" s="2">
        <v>39</v>
      </c>
      <c r="R105" t="s" s="2">
        <f>_xlfn.IFERROR(INDEX('model_byCAP'!$D$2:$D$377,MATCH(Q105,'model_byCAP'!$A$2:$A$377,0)),0)</f>
        <v>40</v>
      </c>
    </row>
    <row r="106" ht="15.35" customHeight="1">
      <c r="A106" t="s" s="2">
        <v>254</v>
      </c>
      <c r="B106" s="4">
        <v>43457</v>
      </c>
      <c r="C106" s="5">
        <v>8300</v>
      </c>
      <c r="D106" s="5">
        <v>164</v>
      </c>
      <c r="E106" s="5">
        <v>105</v>
      </c>
      <c r="F106" t="s" s="2">
        <v>36</v>
      </c>
      <c r="G106" t="s" s="2">
        <v>37</v>
      </c>
      <c r="H106" s="5">
        <v>561</v>
      </c>
      <c r="I106" t="s" s="2">
        <v>196</v>
      </c>
      <c r="J106" t="s" s="2">
        <v>47</v>
      </c>
      <c r="K106" t="s" s="2">
        <v>202</v>
      </c>
      <c r="L106" t="s" s="2">
        <v>49</v>
      </c>
      <c r="M106" s="5">
        <v>416255</v>
      </c>
      <c r="N106" s="5">
        <v>6169218</v>
      </c>
      <c r="O106" t="s" s="2">
        <v>25</v>
      </c>
      <c r="P106" t="s" s="2">
        <v>255</v>
      </c>
      <c r="Q106" t="s" s="2">
        <v>39</v>
      </c>
      <c r="R106" t="s" s="2">
        <f>_xlfn.IFERROR(INDEX('model_byCAP'!$D$2:$D$377,MATCH(Q106,'model_byCAP'!$A$2:$A$377,0)),0)</f>
        <v>40</v>
      </c>
    </row>
    <row r="107" ht="15.35" customHeight="1">
      <c r="A107" t="s" s="2">
        <v>256</v>
      </c>
      <c r="B107" s="4">
        <v>43457</v>
      </c>
      <c r="C107" s="5">
        <v>8300</v>
      </c>
      <c r="D107" s="5">
        <v>164</v>
      </c>
      <c r="E107" s="5">
        <v>105</v>
      </c>
      <c r="F107" t="s" s="2">
        <v>36</v>
      </c>
      <c r="G107" t="s" s="2">
        <v>37</v>
      </c>
      <c r="H107" s="5">
        <v>561</v>
      </c>
      <c r="I107" t="s" s="2">
        <v>196</v>
      </c>
      <c r="J107" t="s" s="2">
        <v>47</v>
      </c>
      <c r="K107" t="s" s="2">
        <v>202</v>
      </c>
      <c r="L107" t="s" s="2">
        <v>49</v>
      </c>
      <c r="M107" s="5">
        <v>416618</v>
      </c>
      <c r="N107" s="5">
        <v>6168174</v>
      </c>
      <c r="O107" t="s" s="2">
        <v>25</v>
      </c>
      <c r="P107" t="s" s="2">
        <v>257</v>
      </c>
      <c r="Q107" t="s" s="2">
        <v>39</v>
      </c>
      <c r="R107" t="s" s="2">
        <f>_xlfn.IFERROR(INDEX('model_byCAP'!$D$2:$D$377,MATCH(Q107,'model_byCAP'!$A$2:$A$377,0)),0)</f>
        <v>40</v>
      </c>
    </row>
    <row r="108" ht="15.35" customHeight="1">
      <c r="A108" t="s" s="2">
        <v>258</v>
      </c>
      <c r="B108" s="4">
        <v>43457</v>
      </c>
      <c r="C108" s="5">
        <v>8300</v>
      </c>
      <c r="D108" s="5">
        <v>164</v>
      </c>
      <c r="E108" s="5">
        <v>105</v>
      </c>
      <c r="F108" t="s" s="2">
        <v>36</v>
      </c>
      <c r="G108" t="s" s="2">
        <v>37</v>
      </c>
      <c r="H108" s="5">
        <v>561</v>
      </c>
      <c r="I108" t="s" s="2">
        <v>196</v>
      </c>
      <c r="J108" t="s" s="2">
        <v>47</v>
      </c>
      <c r="K108" t="s" s="2">
        <v>202</v>
      </c>
      <c r="L108" t="s" s="2">
        <v>49</v>
      </c>
      <c r="M108" s="5">
        <v>417046</v>
      </c>
      <c r="N108" s="5">
        <v>6167154</v>
      </c>
      <c r="O108" t="s" s="2">
        <v>25</v>
      </c>
      <c r="P108" t="s" s="2">
        <v>259</v>
      </c>
      <c r="Q108" t="s" s="2">
        <v>39</v>
      </c>
      <c r="R108" t="s" s="2">
        <f>_xlfn.IFERROR(INDEX('model_byCAP'!$D$2:$D$377,MATCH(Q108,'model_byCAP'!$A$2:$A$377,0)),0)</f>
        <v>40</v>
      </c>
    </row>
    <row r="109" ht="15.35" customHeight="1">
      <c r="A109" t="s" s="2">
        <v>260</v>
      </c>
      <c r="B109" s="4">
        <v>43457</v>
      </c>
      <c r="C109" s="5">
        <v>8300</v>
      </c>
      <c r="D109" s="5">
        <v>164</v>
      </c>
      <c r="E109" s="5">
        <v>105</v>
      </c>
      <c r="F109" t="s" s="2">
        <v>36</v>
      </c>
      <c r="G109" t="s" s="2">
        <v>37</v>
      </c>
      <c r="H109" s="5">
        <v>561</v>
      </c>
      <c r="I109" t="s" s="2">
        <v>196</v>
      </c>
      <c r="J109" t="s" s="2">
        <v>47</v>
      </c>
      <c r="K109" t="s" s="2">
        <v>202</v>
      </c>
      <c r="L109" t="s" s="2">
        <v>49</v>
      </c>
      <c r="M109" s="5">
        <v>417539</v>
      </c>
      <c r="N109" s="5">
        <v>6166164</v>
      </c>
      <c r="O109" t="s" s="2">
        <v>25</v>
      </c>
      <c r="P109" t="s" s="2">
        <v>261</v>
      </c>
      <c r="Q109" t="s" s="2">
        <v>39</v>
      </c>
      <c r="R109" t="s" s="2">
        <f>_xlfn.IFERROR(INDEX('model_byCAP'!$D$2:$D$377,MATCH(Q109,'model_byCAP'!$A$2:$A$377,0)),0)</f>
        <v>40</v>
      </c>
    </row>
    <row r="110" ht="15.35" customHeight="1">
      <c r="A110" t="s" s="2">
        <v>262</v>
      </c>
      <c r="B110" s="4">
        <v>43457</v>
      </c>
      <c r="C110" s="5">
        <v>8300</v>
      </c>
      <c r="D110" s="5">
        <v>164</v>
      </c>
      <c r="E110" s="5">
        <v>105</v>
      </c>
      <c r="F110" t="s" s="2">
        <v>36</v>
      </c>
      <c r="G110" t="s" s="2">
        <v>37</v>
      </c>
      <c r="H110" s="5">
        <v>561</v>
      </c>
      <c r="I110" t="s" s="2">
        <v>196</v>
      </c>
      <c r="J110" t="s" s="2">
        <v>47</v>
      </c>
      <c r="K110" t="s" s="2">
        <v>202</v>
      </c>
      <c r="L110" t="s" s="2">
        <v>49</v>
      </c>
      <c r="M110" s="5">
        <v>417595</v>
      </c>
      <c r="N110" s="5">
        <v>6178041</v>
      </c>
      <c r="O110" t="s" s="2">
        <v>25</v>
      </c>
      <c r="P110" t="s" s="2">
        <v>263</v>
      </c>
      <c r="Q110" t="s" s="2">
        <v>39</v>
      </c>
      <c r="R110" t="s" s="2">
        <f>_xlfn.IFERROR(INDEX('model_byCAP'!$D$2:$D$377,MATCH(Q110,'model_byCAP'!$A$2:$A$377,0)),0)</f>
        <v>40</v>
      </c>
    </row>
    <row r="111" ht="15.35" customHeight="1">
      <c r="A111" t="s" s="2">
        <v>264</v>
      </c>
      <c r="B111" s="4">
        <v>43457</v>
      </c>
      <c r="C111" s="5">
        <v>8300</v>
      </c>
      <c r="D111" s="5">
        <v>164</v>
      </c>
      <c r="E111" s="5">
        <v>105</v>
      </c>
      <c r="F111" t="s" s="2">
        <v>36</v>
      </c>
      <c r="G111" t="s" s="2">
        <v>37</v>
      </c>
      <c r="H111" s="5">
        <v>561</v>
      </c>
      <c r="I111" t="s" s="2">
        <v>196</v>
      </c>
      <c r="J111" t="s" s="2">
        <v>47</v>
      </c>
      <c r="K111" t="s" s="2">
        <v>202</v>
      </c>
      <c r="L111" t="s" s="2">
        <v>49</v>
      </c>
      <c r="M111" s="5">
        <v>417401</v>
      </c>
      <c r="N111" s="5">
        <v>6176953</v>
      </c>
      <c r="O111" t="s" s="2">
        <v>25</v>
      </c>
      <c r="P111" t="s" s="2">
        <v>265</v>
      </c>
      <c r="Q111" t="s" s="2">
        <v>39</v>
      </c>
      <c r="R111" t="s" s="2">
        <f>_xlfn.IFERROR(INDEX('model_byCAP'!$D$2:$D$377,MATCH(Q111,'model_byCAP'!$A$2:$A$377,0)),0)</f>
        <v>40</v>
      </c>
    </row>
    <row r="112" ht="15.35" customHeight="1">
      <c r="A112" t="s" s="2">
        <v>266</v>
      </c>
      <c r="B112" s="4">
        <v>43457</v>
      </c>
      <c r="C112" s="5">
        <v>8300</v>
      </c>
      <c r="D112" s="5">
        <v>164</v>
      </c>
      <c r="E112" s="5">
        <v>105</v>
      </c>
      <c r="F112" t="s" s="2">
        <v>36</v>
      </c>
      <c r="G112" t="s" s="2">
        <v>37</v>
      </c>
      <c r="H112" s="5">
        <v>561</v>
      </c>
      <c r="I112" t="s" s="2">
        <v>196</v>
      </c>
      <c r="J112" t="s" s="2">
        <v>47</v>
      </c>
      <c r="K112" t="s" s="2">
        <v>202</v>
      </c>
      <c r="L112" t="s" s="2">
        <v>49</v>
      </c>
      <c r="M112" s="5">
        <v>417276</v>
      </c>
      <c r="N112" s="5">
        <v>6175854</v>
      </c>
      <c r="O112" t="s" s="2">
        <v>25</v>
      </c>
      <c r="P112" t="s" s="2">
        <v>267</v>
      </c>
      <c r="Q112" t="s" s="2">
        <v>39</v>
      </c>
      <c r="R112" t="s" s="2">
        <f>_xlfn.IFERROR(INDEX('model_byCAP'!$D$2:$D$377,MATCH(Q112,'model_byCAP'!$A$2:$A$377,0)),0)</f>
        <v>40</v>
      </c>
    </row>
    <row r="113" ht="15.35" customHeight="1">
      <c r="A113" t="s" s="2">
        <v>268</v>
      </c>
      <c r="B113" s="4">
        <v>43457</v>
      </c>
      <c r="C113" s="5">
        <v>8300</v>
      </c>
      <c r="D113" s="5">
        <v>164</v>
      </c>
      <c r="E113" s="5">
        <v>105</v>
      </c>
      <c r="F113" t="s" s="2">
        <v>36</v>
      </c>
      <c r="G113" t="s" s="2">
        <v>37</v>
      </c>
      <c r="H113" s="5">
        <v>561</v>
      </c>
      <c r="I113" t="s" s="2">
        <v>196</v>
      </c>
      <c r="J113" t="s" s="2">
        <v>47</v>
      </c>
      <c r="K113" t="s" s="2">
        <v>202</v>
      </c>
      <c r="L113" t="s" s="2">
        <v>49</v>
      </c>
      <c r="M113" s="5">
        <v>417222</v>
      </c>
      <c r="N113" s="5">
        <v>6174750</v>
      </c>
      <c r="O113" t="s" s="2">
        <v>25</v>
      </c>
      <c r="P113" t="s" s="2">
        <v>269</v>
      </c>
      <c r="Q113" t="s" s="2">
        <v>39</v>
      </c>
      <c r="R113" t="s" s="2">
        <f>_xlfn.IFERROR(INDEX('model_byCAP'!$D$2:$D$377,MATCH(Q113,'model_byCAP'!$A$2:$A$377,0)),0)</f>
        <v>40</v>
      </c>
    </row>
    <row r="114" ht="15.35" customHeight="1">
      <c r="A114" t="s" s="2">
        <v>270</v>
      </c>
      <c r="B114" s="4">
        <v>43457</v>
      </c>
      <c r="C114" s="5">
        <v>8300</v>
      </c>
      <c r="D114" s="5">
        <v>164</v>
      </c>
      <c r="E114" s="5">
        <v>105</v>
      </c>
      <c r="F114" t="s" s="2">
        <v>36</v>
      </c>
      <c r="G114" t="s" s="2">
        <v>37</v>
      </c>
      <c r="H114" s="5">
        <v>561</v>
      </c>
      <c r="I114" t="s" s="2">
        <v>196</v>
      </c>
      <c r="J114" t="s" s="2">
        <v>47</v>
      </c>
      <c r="K114" t="s" s="2">
        <v>202</v>
      </c>
      <c r="L114" t="s" s="2">
        <v>49</v>
      </c>
      <c r="M114" s="5">
        <v>417239</v>
      </c>
      <c r="N114" s="5">
        <v>6173644</v>
      </c>
      <c r="O114" t="s" s="2">
        <v>25</v>
      </c>
      <c r="P114" t="s" s="2">
        <v>271</v>
      </c>
      <c r="Q114" t="s" s="2">
        <v>39</v>
      </c>
      <c r="R114" t="s" s="2">
        <f>_xlfn.IFERROR(INDEX('model_byCAP'!$D$2:$D$377,MATCH(Q114,'model_byCAP'!$A$2:$A$377,0)),0)</f>
        <v>40</v>
      </c>
    </row>
    <row r="115" ht="15.35" customHeight="1">
      <c r="A115" t="s" s="2">
        <v>272</v>
      </c>
      <c r="B115" s="4">
        <v>43457</v>
      </c>
      <c r="C115" s="5">
        <v>8300</v>
      </c>
      <c r="D115" s="5">
        <v>164</v>
      </c>
      <c r="E115" s="5">
        <v>105</v>
      </c>
      <c r="F115" t="s" s="2">
        <v>36</v>
      </c>
      <c r="G115" t="s" s="2">
        <v>37</v>
      </c>
      <c r="H115" s="5">
        <v>561</v>
      </c>
      <c r="I115" t="s" s="2">
        <v>196</v>
      </c>
      <c r="J115" t="s" s="2">
        <v>47</v>
      </c>
      <c r="K115" t="s" s="2">
        <v>202</v>
      </c>
      <c r="L115" t="s" s="2">
        <v>49</v>
      </c>
      <c r="M115" s="5">
        <v>417437</v>
      </c>
      <c r="N115" s="5">
        <v>6171141</v>
      </c>
      <c r="O115" t="s" s="2">
        <v>25</v>
      </c>
      <c r="P115" t="s" s="2">
        <v>273</v>
      </c>
      <c r="Q115" t="s" s="2">
        <v>39</v>
      </c>
      <c r="R115" t="s" s="2">
        <f>_xlfn.IFERROR(INDEX('model_byCAP'!$D$2:$D$377,MATCH(Q115,'model_byCAP'!$A$2:$A$377,0)),0)</f>
        <v>40</v>
      </c>
    </row>
    <row r="116" ht="15.35" customHeight="1">
      <c r="A116" t="s" s="2">
        <v>274</v>
      </c>
      <c r="B116" s="4">
        <v>43457</v>
      </c>
      <c r="C116" s="5">
        <v>8300</v>
      </c>
      <c r="D116" s="5">
        <v>164</v>
      </c>
      <c r="E116" s="5">
        <v>105</v>
      </c>
      <c r="F116" t="s" s="2">
        <v>36</v>
      </c>
      <c r="G116" t="s" s="2">
        <v>37</v>
      </c>
      <c r="H116" s="5">
        <v>561</v>
      </c>
      <c r="I116" t="s" s="2">
        <v>196</v>
      </c>
      <c r="J116" t="s" s="2">
        <v>47</v>
      </c>
      <c r="K116" t="s" s="2">
        <v>202</v>
      </c>
      <c r="L116" t="s" s="2">
        <v>49</v>
      </c>
      <c r="M116" s="5">
        <v>417864</v>
      </c>
      <c r="N116" s="5">
        <v>6169940</v>
      </c>
      <c r="O116" t="s" s="2">
        <v>25</v>
      </c>
      <c r="P116" t="s" s="2">
        <v>275</v>
      </c>
      <c r="Q116" t="s" s="2">
        <v>39</v>
      </c>
      <c r="R116" t="s" s="2">
        <f>_xlfn.IFERROR(INDEX('model_byCAP'!$D$2:$D$377,MATCH(Q116,'model_byCAP'!$A$2:$A$377,0)),0)</f>
        <v>40</v>
      </c>
    </row>
    <row r="117" ht="15.35" customHeight="1">
      <c r="A117" t="s" s="2">
        <v>276</v>
      </c>
      <c r="B117" s="4">
        <v>43457</v>
      </c>
      <c r="C117" s="5">
        <v>8300</v>
      </c>
      <c r="D117" s="5">
        <v>164</v>
      </c>
      <c r="E117" s="5">
        <v>105</v>
      </c>
      <c r="F117" t="s" s="2">
        <v>36</v>
      </c>
      <c r="G117" t="s" s="2">
        <v>37</v>
      </c>
      <c r="H117" s="5">
        <v>561</v>
      </c>
      <c r="I117" t="s" s="2">
        <v>196</v>
      </c>
      <c r="J117" t="s" s="2">
        <v>47</v>
      </c>
      <c r="K117" t="s" s="2">
        <v>202</v>
      </c>
      <c r="L117" t="s" s="2">
        <v>49</v>
      </c>
      <c r="M117" s="5">
        <v>418327</v>
      </c>
      <c r="N117" s="5">
        <v>6168536</v>
      </c>
      <c r="O117" t="s" s="2">
        <v>25</v>
      </c>
      <c r="P117" t="s" s="2">
        <v>277</v>
      </c>
      <c r="Q117" t="s" s="2">
        <v>39</v>
      </c>
      <c r="R117" t="s" s="2">
        <f>_xlfn.IFERROR(INDEX('model_byCAP'!$D$2:$D$377,MATCH(Q117,'model_byCAP'!$A$2:$A$377,0)),0)</f>
        <v>40</v>
      </c>
    </row>
    <row r="118" ht="15.35" customHeight="1">
      <c r="A118" t="s" s="2">
        <v>278</v>
      </c>
      <c r="B118" s="4">
        <v>43457</v>
      </c>
      <c r="C118" s="5">
        <v>8300</v>
      </c>
      <c r="D118" s="5">
        <v>164</v>
      </c>
      <c r="E118" s="5">
        <v>105</v>
      </c>
      <c r="F118" t="s" s="2">
        <v>36</v>
      </c>
      <c r="G118" t="s" s="2">
        <v>37</v>
      </c>
      <c r="H118" s="5">
        <v>561</v>
      </c>
      <c r="I118" t="s" s="2">
        <v>196</v>
      </c>
      <c r="J118" t="s" s="2">
        <v>47</v>
      </c>
      <c r="K118" t="s" s="2">
        <v>202</v>
      </c>
      <c r="L118" t="s" s="2">
        <v>49</v>
      </c>
      <c r="M118" s="5">
        <v>418816</v>
      </c>
      <c r="N118" s="5">
        <v>6167176</v>
      </c>
      <c r="O118" t="s" s="2">
        <v>25</v>
      </c>
      <c r="P118" t="s" s="2">
        <v>279</v>
      </c>
      <c r="Q118" t="s" s="2">
        <v>39</v>
      </c>
      <c r="R118" t="s" s="2">
        <f>_xlfn.IFERROR(INDEX('model_byCAP'!$D$2:$D$377,MATCH(Q118,'model_byCAP'!$A$2:$A$377,0)),0)</f>
        <v>40</v>
      </c>
    </row>
    <row r="119" ht="15.35" customHeight="1">
      <c r="A119" t="s" s="2">
        <v>280</v>
      </c>
      <c r="B119" s="4">
        <v>43457</v>
      </c>
      <c r="C119" s="5">
        <v>8300</v>
      </c>
      <c r="D119" s="5">
        <v>164</v>
      </c>
      <c r="E119" s="5">
        <v>105</v>
      </c>
      <c r="F119" t="s" s="2">
        <v>36</v>
      </c>
      <c r="G119" t="s" s="2">
        <v>37</v>
      </c>
      <c r="H119" s="5">
        <v>561</v>
      </c>
      <c r="I119" t="s" s="2">
        <v>196</v>
      </c>
      <c r="J119" t="s" s="2">
        <v>47</v>
      </c>
      <c r="K119" t="s" s="2">
        <v>202</v>
      </c>
      <c r="L119" t="s" s="2">
        <v>49</v>
      </c>
      <c r="M119" s="5">
        <v>418852</v>
      </c>
      <c r="N119" s="5">
        <v>6174212</v>
      </c>
      <c r="O119" t="s" s="2">
        <v>25</v>
      </c>
      <c r="P119" t="s" s="2">
        <v>281</v>
      </c>
      <c r="Q119" t="s" s="2">
        <v>39</v>
      </c>
      <c r="R119" t="s" s="2">
        <f>_xlfn.IFERROR(INDEX('model_byCAP'!$D$2:$D$377,MATCH(Q119,'model_byCAP'!$A$2:$A$377,0)),0)</f>
        <v>40</v>
      </c>
    </row>
    <row r="120" ht="15.35" customHeight="1">
      <c r="A120" t="s" s="2">
        <v>282</v>
      </c>
      <c r="B120" s="4">
        <v>43457</v>
      </c>
      <c r="C120" s="5">
        <v>8300</v>
      </c>
      <c r="D120" s="5">
        <v>164</v>
      </c>
      <c r="E120" s="5">
        <v>105</v>
      </c>
      <c r="F120" t="s" s="2">
        <v>36</v>
      </c>
      <c r="G120" t="s" s="2">
        <v>37</v>
      </c>
      <c r="H120" s="5">
        <v>561</v>
      </c>
      <c r="I120" t="s" s="2">
        <v>196</v>
      </c>
      <c r="J120" t="s" s="2">
        <v>47</v>
      </c>
      <c r="K120" t="s" s="2">
        <v>202</v>
      </c>
      <c r="L120" t="s" s="2">
        <v>49</v>
      </c>
      <c r="M120" s="5">
        <v>418868</v>
      </c>
      <c r="N120" s="5">
        <v>6173106</v>
      </c>
      <c r="O120" t="s" s="2">
        <v>25</v>
      </c>
      <c r="P120" t="s" s="2">
        <v>283</v>
      </c>
      <c r="Q120" t="s" s="2">
        <v>39</v>
      </c>
      <c r="R120" t="s" s="2">
        <f>_xlfn.IFERROR(INDEX('model_byCAP'!$D$2:$D$377,MATCH(Q120,'model_byCAP'!$A$2:$A$377,0)),0)</f>
        <v>40</v>
      </c>
    </row>
    <row r="121" ht="15.35" customHeight="1">
      <c r="A121" t="s" s="2">
        <v>284</v>
      </c>
      <c r="B121" s="4">
        <v>43457</v>
      </c>
      <c r="C121" s="5">
        <v>8300</v>
      </c>
      <c r="D121" s="5">
        <v>164</v>
      </c>
      <c r="E121" s="5">
        <v>105</v>
      </c>
      <c r="F121" t="s" s="2">
        <v>36</v>
      </c>
      <c r="G121" t="s" s="2">
        <v>37</v>
      </c>
      <c r="H121" s="5">
        <v>561</v>
      </c>
      <c r="I121" t="s" s="2">
        <v>196</v>
      </c>
      <c r="J121" t="s" s="2">
        <v>47</v>
      </c>
      <c r="K121" t="s" s="2">
        <v>202</v>
      </c>
      <c r="L121" t="s" s="2">
        <v>49</v>
      </c>
      <c r="M121" s="5">
        <v>419174</v>
      </c>
      <c r="N121" s="5">
        <v>6171546</v>
      </c>
      <c r="O121" t="s" s="2">
        <v>25</v>
      </c>
      <c r="P121" t="s" s="2">
        <v>285</v>
      </c>
      <c r="Q121" t="s" s="2">
        <v>39</v>
      </c>
      <c r="R121" t="s" s="2">
        <f>_xlfn.IFERROR(INDEX('model_byCAP'!$D$2:$D$377,MATCH(Q121,'model_byCAP'!$A$2:$A$377,0)),0)</f>
        <v>40</v>
      </c>
    </row>
    <row r="122" ht="15.35" customHeight="1">
      <c r="A122" t="s" s="2">
        <v>286</v>
      </c>
      <c r="B122" s="4">
        <v>43457</v>
      </c>
      <c r="C122" s="5">
        <v>8300</v>
      </c>
      <c r="D122" s="5">
        <v>164</v>
      </c>
      <c r="E122" s="5">
        <v>105</v>
      </c>
      <c r="F122" t="s" s="2">
        <v>36</v>
      </c>
      <c r="G122" t="s" s="2">
        <v>37</v>
      </c>
      <c r="H122" s="5">
        <v>561</v>
      </c>
      <c r="I122" t="s" s="2">
        <v>196</v>
      </c>
      <c r="J122" t="s" s="2">
        <v>47</v>
      </c>
      <c r="K122" t="s" s="2">
        <v>202</v>
      </c>
      <c r="L122" t="s" s="2">
        <v>49</v>
      </c>
      <c r="M122" s="5">
        <v>419459</v>
      </c>
      <c r="N122" s="5">
        <v>6170447</v>
      </c>
      <c r="O122" t="s" s="2">
        <v>25</v>
      </c>
      <c r="P122" t="s" s="2">
        <v>287</v>
      </c>
      <c r="Q122" t="s" s="2">
        <v>39</v>
      </c>
      <c r="R122" t="s" s="2">
        <f>_xlfn.IFERROR(INDEX('model_byCAP'!$D$2:$D$377,MATCH(Q122,'model_byCAP'!$A$2:$A$377,0)),0)</f>
        <v>40</v>
      </c>
    </row>
    <row r="123" ht="15.35" customHeight="1">
      <c r="A123" t="s" s="2">
        <v>288</v>
      </c>
      <c r="B123" s="4">
        <v>43457</v>
      </c>
      <c r="C123" s="5">
        <v>8300</v>
      </c>
      <c r="D123" s="5">
        <v>164</v>
      </c>
      <c r="E123" s="5">
        <v>105</v>
      </c>
      <c r="F123" t="s" s="2">
        <v>36</v>
      </c>
      <c r="G123" t="s" s="2">
        <v>37</v>
      </c>
      <c r="H123" s="5">
        <v>561</v>
      </c>
      <c r="I123" t="s" s="2">
        <v>196</v>
      </c>
      <c r="J123" t="s" s="2">
        <v>47</v>
      </c>
      <c r="K123" t="s" s="2">
        <v>202</v>
      </c>
      <c r="L123" t="s" s="2">
        <v>49</v>
      </c>
      <c r="M123" s="5">
        <v>419754</v>
      </c>
      <c r="N123" s="5">
        <v>6169382</v>
      </c>
      <c r="O123" t="s" s="2">
        <v>25</v>
      </c>
      <c r="P123" t="s" s="2">
        <v>289</v>
      </c>
      <c r="Q123" t="s" s="2">
        <v>39</v>
      </c>
      <c r="R123" t="s" s="2">
        <f>_xlfn.IFERROR(INDEX('model_byCAP'!$D$2:$D$377,MATCH(Q123,'model_byCAP'!$A$2:$A$377,0)),0)</f>
        <v>40</v>
      </c>
    </row>
    <row r="124" ht="15.35" customHeight="1">
      <c r="A124" t="s" s="2">
        <v>290</v>
      </c>
      <c r="B124" s="4">
        <v>43457</v>
      </c>
      <c r="C124" s="5">
        <v>8300</v>
      </c>
      <c r="D124" s="5">
        <v>164</v>
      </c>
      <c r="E124" s="5">
        <v>105</v>
      </c>
      <c r="F124" t="s" s="2">
        <v>36</v>
      </c>
      <c r="G124" t="s" s="2">
        <v>37</v>
      </c>
      <c r="H124" s="5">
        <v>561</v>
      </c>
      <c r="I124" t="s" s="2">
        <v>196</v>
      </c>
      <c r="J124" t="s" s="2">
        <v>47</v>
      </c>
      <c r="K124" t="s" s="2">
        <v>202</v>
      </c>
      <c r="L124" t="s" s="2">
        <v>49</v>
      </c>
      <c r="M124" s="5">
        <v>420116</v>
      </c>
      <c r="N124" s="5">
        <v>6168337</v>
      </c>
      <c r="O124" t="s" s="2">
        <v>25</v>
      </c>
      <c r="P124" t="s" s="2">
        <v>291</v>
      </c>
      <c r="Q124" t="s" s="2">
        <v>39</v>
      </c>
      <c r="R124" t="s" s="2">
        <f>_xlfn.IFERROR(INDEX('model_byCAP'!$D$2:$D$377,MATCH(Q124,'model_byCAP'!$A$2:$A$377,0)),0)</f>
        <v>40</v>
      </c>
    </row>
    <row r="125" ht="15.35" customHeight="1">
      <c r="A125" t="s" s="2">
        <v>292</v>
      </c>
      <c r="B125" s="4">
        <v>43457</v>
      </c>
      <c r="C125" s="5">
        <v>8300</v>
      </c>
      <c r="D125" s="5">
        <v>164</v>
      </c>
      <c r="E125" s="5">
        <v>105</v>
      </c>
      <c r="F125" t="s" s="2">
        <v>36</v>
      </c>
      <c r="G125" t="s" s="2">
        <v>37</v>
      </c>
      <c r="H125" s="5">
        <v>561</v>
      </c>
      <c r="I125" t="s" s="2">
        <v>196</v>
      </c>
      <c r="J125" t="s" s="2">
        <v>47</v>
      </c>
      <c r="K125" t="s" s="2">
        <v>202</v>
      </c>
      <c r="L125" t="s" s="2">
        <v>49</v>
      </c>
      <c r="M125" s="5">
        <v>420948</v>
      </c>
      <c r="N125" s="5">
        <v>6171658</v>
      </c>
      <c r="O125" t="s" s="2">
        <v>25</v>
      </c>
      <c r="P125" t="s" s="2">
        <v>293</v>
      </c>
      <c r="Q125" t="s" s="2">
        <v>39</v>
      </c>
      <c r="R125" t="s" s="2">
        <f>_xlfn.IFERROR(INDEX('model_byCAP'!$D$2:$D$377,MATCH(Q125,'model_byCAP'!$A$2:$A$377,0)),0)</f>
        <v>40</v>
      </c>
    </row>
    <row r="126" ht="15.35" customHeight="1">
      <c r="A126" t="s" s="2">
        <v>294</v>
      </c>
      <c r="B126" s="4">
        <v>43457</v>
      </c>
      <c r="C126" s="5">
        <v>8300</v>
      </c>
      <c r="D126" s="5">
        <v>164</v>
      </c>
      <c r="E126" s="5">
        <v>105</v>
      </c>
      <c r="F126" t="s" s="2">
        <v>36</v>
      </c>
      <c r="G126" t="s" s="2">
        <v>37</v>
      </c>
      <c r="H126" s="5">
        <v>561</v>
      </c>
      <c r="I126" t="s" s="2">
        <v>196</v>
      </c>
      <c r="J126" t="s" s="2">
        <v>47</v>
      </c>
      <c r="K126" t="s" s="2">
        <v>202</v>
      </c>
      <c r="L126" t="s" s="2">
        <v>49</v>
      </c>
      <c r="M126" s="5">
        <v>421208</v>
      </c>
      <c r="N126" s="5">
        <v>6170529</v>
      </c>
      <c r="O126" t="s" s="2">
        <v>25</v>
      </c>
      <c r="P126" t="s" s="2">
        <v>295</v>
      </c>
      <c r="Q126" t="s" s="2">
        <v>39</v>
      </c>
      <c r="R126" t="s" s="2">
        <f>_xlfn.IFERROR(INDEX('model_byCAP'!$D$2:$D$377,MATCH(Q126,'model_byCAP'!$A$2:$A$377,0)),0)</f>
        <v>40</v>
      </c>
    </row>
    <row r="127" ht="15.35" customHeight="1">
      <c r="A127" t="s" s="2">
        <v>296</v>
      </c>
      <c r="B127" s="4">
        <v>43457</v>
      </c>
      <c r="C127" s="5">
        <v>8300</v>
      </c>
      <c r="D127" s="5">
        <v>164</v>
      </c>
      <c r="E127" s="5">
        <v>105</v>
      </c>
      <c r="F127" t="s" s="2">
        <v>36</v>
      </c>
      <c r="G127" t="s" s="2">
        <v>37</v>
      </c>
      <c r="H127" s="5">
        <v>561</v>
      </c>
      <c r="I127" t="s" s="2">
        <v>196</v>
      </c>
      <c r="J127" t="s" s="2">
        <v>47</v>
      </c>
      <c r="K127" t="s" s="2">
        <v>202</v>
      </c>
      <c r="L127" t="s" s="2">
        <v>49</v>
      </c>
      <c r="M127" s="5">
        <v>421503</v>
      </c>
      <c r="N127" s="5">
        <v>6169464</v>
      </c>
      <c r="O127" t="s" s="2">
        <v>25</v>
      </c>
      <c r="P127" t="s" s="2">
        <v>297</v>
      </c>
      <c r="Q127" t="s" s="2">
        <v>39</v>
      </c>
      <c r="R127" t="s" s="2">
        <f>_xlfn.IFERROR(INDEX('model_byCAP'!$D$2:$D$377,MATCH(Q127,'model_byCAP'!$A$2:$A$377,0)),0)</f>
        <v>40</v>
      </c>
    </row>
    <row r="128" ht="15.35" customHeight="1">
      <c r="A128" t="s" s="2">
        <v>298</v>
      </c>
      <c r="B128" s="4">
        <v>43457</v>
      </c>
      <c r="C128" s="5">
        <v>8300</v>
      </c>
      <c r="D128" s="5">
        <v>164</v>
      </c>
      <c r="E128" s="5">
        <v>105</v>
      </c>
      <c r="F128" t="s" s="2">
        <v>36</v>
      </c>
      <c r="G128" t="s" s="2">
        <v>37</v>
      </c>
      <c r="H128" s="5">
        <v>561</v>
      </c>
      <c r="I128" t="s" s="2">
        <v>196</v>
      </c>
      <c r="J128" t="s" s="2">
        <v>47</v>
      </c>
      <c r="K128" t="s" s="2">
        <v>202</v>
      </c>
      <c r="L128" t="s" s="2">
        <v>49</v>
      </c>
      <c r="M128" s="5">
        <v>422847</v>
      </c>
      <c r="N128" s="5">
        <v>6171427</v>
      </c>
      <c r="O128" t="s" s="2">
        <v>25</v>
      </c>
      <c r="P128" t="s" s="2">
        <v>299</v>
      </c>
      <c r="Q128" t="s" s="2">
        <v>39</v>
      </c>
      <c r="R128" t="s" s="2">
        <f>_xlfn.IFERROR(INDEX('model_byCAP'!$D$2:$D$377,MATCH(Q128,'model_byCAP'!$A$2:$A$377,0)),0)</f>
        <v>40</v>
      </c>
    </row>
    <row r="129" ht="15.35" customHeight="1">
      <c r="A129" t="s" s="2">
        <v>300</v>
      </c>
      <c r="B129" s="4">
        <v>42372</v>
      </c>
      <c r="C129" s="5">
        <v>8000</v>
      </c>
      <c r="D129" s="5">
        <v>164</v>
      </c>
      <c r="E129" s="5">
        <v>118</v>
      </c>
      <c r="F129" t="s" s="2">
        <v>301</v>
      </c>
      <c r="G129" t="s" s="2">
        <v>302</v>
      </c>
      <c r="H129" s="5">
        <v>561</v>
      </c>
      <c r="I129" t="s" s="2">
        <v>196</v>
      </c>
      <c r="J129" t="s" s="2">
        <v>22</v>
      </c>
      <c r="K129" t="s" s="2">
        <v>303</v>
      </c>
      <c r="L129" t="s" s="2">
        <v>304</v>
      </c>
      <c r="M129" s="5">
        <v>469033</v>
      </c>
      <c r="N129" s="5">
        <v>6145290</v>
      </c>
      <c r="O129" t="s" s="2">
        <v>305</v>
      </c>
      <c r="P129" s="5">
        <v>344241189</v>
      </c>
      <c r="Q129" t="s" s="2">
        <v>306</v>
      </c>
      <c r="R129" t="s" s="2">
        <f>_xlfn.IFERROR(INDEX('model_byCAP'!$D$2:$D$377,MATCH(Q129,'model_byCAP'!$A$2:$A$377,0)),0)</f>
        <v>307</v>
      </c>
    </row>
    <row r="130" ht="15.35" customHeight="1">
      <c r="A130" t="s" s="2">
        <v>308</v>
      </c>
      <c r="B130" s="4">
        <v>42356</v>
      </c>
      <c r="C130" s="5">
        <v>8000</v>
      </c>
      <c r="D130" s="5">
        <v>164</v>
      </c>
      <c r="E130" s="5">
        <v>118</v>
      </c>
      <c r="F130" t="s" s="2">
        <v>301</v>
      </c>
      <c r="G130" t="s" s="2">
        <v>302</v>
      </c>
      <c r="H130" s="5">
        <v>561</v>
      </c>
      <c r="I130" t="s" s="2">
        <v>196</v>
      </c>
      <c r="J130" t="s" s="2">
        <v>22</v>
      </c>
      <c r="K130" t="s" s="2">
        <v>303</v>
      </c>
      <c r="L130" t="s" s="2">
        <v>304</v>
      </c>
      <c r="M130" s="5">
        <v>469542</v>
      </c>
      <c r="N130" s="5">
        <v>6145189</v>
      </c>
      <c r="O130" t="s" s="2">
        <v>305</v>
      </c>
      <c r="P130" s="5">
        <v>344241190</v>
      </c>
      <c r="Q130" t="s" s="2">
        <v>306</v>
      </c>
      <c r="R130" t="s" s="2">
        <f>_xlfn.IFERROR(INDEX('model_byCAP'!$D$2:$D$377,MATCH(Q130,'model_byCAP'!$A$2:$A$377,0)),0)</f>
        <v>307</v>
      </c>
    </row>
    <row r="131" ht="15.35" customHeight="1">
      <c r="A131" t="s" s="2">
        <v>309</v>
      </c>
      <c r="B131" s="4">
        <v>42783</v>
      </c>
      <c r="C131" s="5">
        <v>8000</v>
      </c>
      <c r="D131" s="5">
        <v>154</v>
      </c>
      <c r="E131" s="5">
        <v>120.5</v>
      </c>
      <c r="F131" t="s" s="2">
        <v>29</v>
      </c>
      <c r="G131" t="s" s="2">
        <v>310</v>
      </c>
      <c r="H131" s="5">
        <v>787</v>
      </c>
      <c r="I131" t="s" s="2">
        <v>21</v>
      </c>
      <c r="J131" t="s" s="2">
        <v>22</v>
      </c>
      <c r="K131" t="s" s="2">
        <v>311</v>
      </c>
      <c r="L131" t="s" s="2">
        <v>32</v>
      </c>
      <c r="M131" s="5">
        <v>492965.55</v>
      </c>
      <c r="N131" s="5">
        <v>6323732.33</v>
      </c>
      <c r="O131" t="s" s="2">
        <v>305</v>
      </c>
      <c r="P131" s="5">
        <v>3492005</v>
      </c>
      <c r="Q131" t="s" s="2">
        <v>312</v>
      </c>
      <c r="R131" t="s" s="2">
        <f>_xlfn.IFERROR(INDEX('model_byCAP'!$D$2:$D$377,MATCH(Q131,'model_byCAP'!$A$2:$A$377,0)),0)</f>
        <v>313</v>
      </c>
    </row>
    <row r="132" ht="15.35" customHeight="1">
      <c r="A132" t="s" s="2">
        <v>314</v>
      </c>
      <c r="B132" s="4">
        <v>43148</v>
      </c>
      <c r="C132" s="5">
        <v>7000</v>
      </c>
      <c r="D132" s="5">
        <v>154</v>
      </c>
      <c r="E132" s="5">
        <v>85.3</v>
      </c>
      <c r="F132" t="s" s="2">
        <v>29</v>
      </c>
      <c r="G132" t="s" s="2">
        <v>315</v>
      </c>
      <c r="H132" s="5">
        <v>665</v>
      </c>
      <c r="I132" t="s" s="2">
        <v>316</v>
      </c>
      <c r="J132" t="s" s="2">
        <v>47</v>
      </c>
      <c r="K132" t="s" s="2">
        <v>317</v>
      </c>
      <c r="L132" t="s" s="2">
        <v>317</v>
      </c>
      <c r="M132" s="5">
        <v>453510</v>
      </c>
      <c r="N132" s="5">
        <v>6280335</v>
      </c>
      <c r="O132" t="s" s="2">
        <v>25</v>
      </c>
      <c r="P132" s="6"/>
      <c r="Q132" t="s" s="2">
        <v>318</v>
      </c>
      <c r="R132" t="s" s="2">
        <f>_xlfn.IFERROR(INDEX('model_byCAP'!$D$2:$D$377,MATCH(Q132,'model_byCAP'!$A$2:$A$377,0)),0)</f>
        <v>319</v>
      </c>
    </row>
    <row r="133" ht="15.35" customHeight="1">
      <c r="A133" t="s" s="2">
        <v>320</v>
      </c>
      <c r="B133" s="4">
        <v>43148</v>
      </c>
      <c r="C133" s="5">
        <v>7000</v>
      </c>
      <c r="D133" s="5">
        <v>154</v>
      </c>
      <c r="E133" s="5">
        <v>85.3</v>
      </c>
      <c r="F133" t="s" s="2">
        <v>29</v>
      </c>
      <c r="G133" t="s" s="2">
        <v>315</v>
      </c>
      <c r="H133" s="5">
        <v>665</v>
      </c>
      <c r="I133" t="s" s="2">
        <v>316</v>
      </c>
      <c r="J133" t="s" s="2">
        <v>47</v>
      </c>
      <c r="K133" t="s" s="2">
        <v>321</v>
      </c>
      <c r="L133" t="s" s="2">
        <v>321</v>
      </c>
      <c r="M133" s="5">
        <v>453064</v>
      </c>
      <c r="N133" s="5">
        <v>6281196</v>
      </c>
      <c r="O133" t="s" s="2">
        <v>25</v>
      </c>
      <c r="P133" s="6"/>
      <c r="Q133" t="s" s="2">
        <v>318</v>
      </c>
      <c r="R133" t="s" s="2">
        <f>_xlfn.IFERROR(INDEX('model_byCAP'!$D$2:$D$377,MATCH(Q133,'model_byCAP'!$A$2:$A$377,0)),0)</f>
        <v>319</v>
      </c>
    </row>
    <row r="134" ht="15.35" customHeight="1">
      <c r="A134" t="s" s="2">
        <v>322</v>
      </c>
      <c r="B134" s="4">
        <v>43148</v>
      </c>
      <c r="C134" s="5">
        <v>7000</v>
      </c>
      <c r="D134" s="5">
        <v>154</v>
      </c>
      <c r="E134" s="5">
        <v>85.3</v>
      </c>
      <c r="F134" t="s" s="2">
        <v>29</v>
      </c>
      <c r="G134" t="s" s="2">
        <v>315</v>
      </c>
      <c r="H134" s="5">
        <v>665</v>
      </c>
      <c r="I134" t="s" s="2">
        <v>316</v>
      </c>
      <c r="J134" t="s" s="2">
        <v>47</v>
      </c>
      <c r="K134" t="s" s="2">
        <v>321</v>
      </c>
      <c r="L134" t="s" s="2">
        <v>321</v>
      </c>
      <c r="M134" s="5">
        <v>454407</v>
      </c>
      <c r="N134" s="5">
        <v>6280817</v>
      </c>
      <c r="O134" t="s" s="2">
        <v>25</v>
      </c>
      <c r="P134" s="6"/>
      <c r="Q134" t="s" s="2">
        <v>318</v>
      </c>
      <c r="R134" t="s" s="2">
        <f>_xlfn.IFERROR(INDEX('model_byCAP'!$D$2:$D$377,MATCH(Q134,'model_byCAP'!$A$2:$A$377,0)),0)</f>
        <v>319</v>
      </c>
    </row>
    <row r="135" ht="15.35" customHeight="1">
      <c r="A135" t="s" s="2">
        <v>323</v>
      </c>
      <c r="B135" s="4">
        <v>43148</v>
      </c>
      <c r="C135" s="5">
        <v>7000</v>
      </c>
      <c r="D135" s="5">
        <v>154</v>
      </c>
      <c r="E135" s="5">
        <v>85.3</v>
      </c>
      <c r="F135" t="s" s="2">
        <v>29</v>
      </c>
      <c r="G135" t="s" s="2">
        <v>315</v>
      </c>
      <c r="H135" s="5">
        <v>665</v>
      </c>
      <c r="I135" t="s" s="2">
        <v>316</v>
      </c>
      <c r="J135" t="s" s="2">
        <v>47</v>
      </c>
      <c r="K135" t="s" s="2">
        <v>321</v>
      </c>
      <c r="L135" t="s" s="2">
        <v>321</v>
      </c>
      <c r="M135" s="5">
        <v>454153</v>
      </c>
      <c r="N135" s="5">
        <v>6281691</v>
      </c>
      <c r="O135" t="s" s="2">
        <v>25</v>
      </c>
      <c r="P135" s="6"/>
      <c r="Q135" t="s" s="2">
        <v>318</v>
      </c>
      <c r="R135" t="s" s="2">
        <f>_xlfn.IFERROR(INDEX('model_byCAP'!$D$2:$D$377,MATCH(Q135,'model_byCAP'!$A$2:$A$377,0)),0)</f>
        <v>319</v>
      </c>
    </row>
    <row r="136" ht="15.35" customHeight="1">
      <c r="A136" t="s" s="2">
        <v>324</v>
      </c>
      <c r="B136" s="4">
        <v>42348</v>
      </c>
      <c r="C136" s="5">
        <v>7000</v>
      </c>
      <c r="D136" s="5">
        <v>154</v>
      </c>
      <c r="E136" s="5">
        <v>120</v>
      </c>
      <c r="F136" t="s" s="2">
        <v>42</v>
      </c>
      <c r="G136" t="s" s="2">
        <v>42</v>
      </c>
      <c r="H136" s="5">
        <v>787</v>
      </c>
      <c r="I136" t="s" s="2">
        <v>21</v>
      </c>
      <c r="J136" t="s" s="2">
        <v>22</v>
      </c>
      <c r="K136" t="s" s="2">
        <v>325</v>
      </c>
      <c r="L136" t="s" s="2">
        <v>24</v>
      </c>
      <c r="M136" s="5">
        <v>492966</v>
      </c>
      <c r="N136" s="5">
        <v>6323126</v>
      </c>
      <c r="O136" t="s" s="2">
        <v>25</v>
      </c>
      <c r="P136" s="5">
        <v>3493005</v>
      </c>
      <c r="Q136" t="s" s="2">
        <v>43</v>
      </c>
      <c r="R136" s="5">
        <f>_xlfn.IFERROR(INDEX('model_byCAP'!$D$2:$D$377,MATCH(Q136,'model_byCAP'!$A$2:$A$377,0)),0)</f>
        <v>0</v>
      </c>
    </row>
    <row r="137" ht="15.35" customHeight="1">
      <c r="A137" t="s" s="2">
        <v>326</v>
      </c>
      <c r="B137" s="4">
        <v>44451</v>
      </c>
      <c r="C137" s="5">
        <v>6600</v>
      </c>
      <c r="D137" s="5">
        <v>170</v>
      </c>
      <c r="E137" s="5">
        <v>115</v>
      </c>
      <c r="F137" t="s" s="2">
        <v>29</v>
      </c>
      <c r="G137" t="s" s="2">
        <v>45</v>
      </c>
      <c r="H137" s="5">
        <v>665</v>
      </c>
      <c r="I137" t="s" s="2">
        <v>316</v>
      </c>
      <c r="J137" t="s" s="2">
        <v>22</v>
      </c>
      <c r="K137" t="s" s="2">
        <v>327</v>
      </c>
      <c r="L137" t="s" s="2">
        <v>328</v>
      </c>
      <c r="M137" s="5">
        <v>447219.8</v>
      </c>
      <c r="N137" s="5">
        <v>6254969.41</v>
      </c>
      <c r="O137" t="s" s="2">
        <v>25</v>
      </c>
      <c r="P137" s="6"/>
      <c r="Q137" t="s" s="2">
        <v>51</v>
      </c>
      <c r="R137" t="s" s="2">
        <f>_xlfn.IFERROR(INDEX('model_byCAP'!$D$2:$D$377,MATCH(Q137,'model_byCAP'!$A$2:$A$377,0)),0)</f>
        <v>52</v>
      </c>
    </row>
    <row r="138" ht="15.35" customHeight="1">
      <c r="A138" t="s" s="2">
        <v>329</v>
      </c>
      <c r="B138" s="4">
        <v>41435</v>
      </c>
      <c r="C138" s="5">
        <v>6000</v>
      </c>
      <c r="D138" s="5">
        <v>121</v>
      </c>
      <c r="E138" s="5">
        <v>89</v>
      </c>
      <c r="F138" t="s" s="2">
        <v>29</v>
      </c>
      <c r="G138" t="s" s="2">
        <v>330</v>
      </c>
      <c r="H138" s="5">
        <v>760</v>
      </c>
      <c r="I138" t="s" s="2">
        <v>331</v>
      </c>
      <c r="J138" t="s" s="2">
        <v>22</v>
      </c>
      <c r="K138" t="s" s="2">
        <v>332</v>
      </c>
      <c r="L138" t="s" s="2">
        <v>333</v>
      </c>
      <c r="M138" s="5">
        <v>455150.02</v>
      </c>
      <c r="N138" s="5">
        <v>6226178.01</v>
      </c>
      <c r="O138" t="s" s="2">
        <v>305</v>
      </c>
      <c r="P138" s="5">
        <v>85127</v>
      </c>
      <c r="Q138" t="s" s="2">
        <v>334</v>
      </c>
      <c r="R138" t="s" s="2">
        <f>_xlfn.IFERROR(INDEX('model_byCAP'!$D$2:$D$377,MATCH(Q138,'model_byCAP'!$A$2:$A$377,0)),0)</f>
        <v>335</v>
      </c>
    </row>
    <row r="139" ht="15.35" customHeight="1">
      <c r="A139" t="s" s="2">
        <v>336</v>
      </c>
      <c r="B139" s="4">
        <v>41620</v>
      </c>
      <c r="C139" s="5">
        <v>6000</v>
      </c>
      <c r="D139" s="5">
        <v>121</v>
      </c>
      <c r="E139" s="5">
        <v>89</v>
      </c>
      <c r="F139" t="s" s="2">
        <v>29</v>
      </c>
      <c r="G139" t="s" s="2">
        <v>330</v>
      </c>
      <c r="H139" s="5">
        <v>760</v>
      </c>
      <c r="I139" t="s" s="2">
        <v>331</v>
      </c>
      <c r="J139" t="s" s="2">
        <v>22</v>
      </c>
      <c r="K139" t="s" s="2">
        <v>337</v>
      </c>
      <c r="L139" t="s" s="2">
        <v>338</v>
      </c>
      <c r="M139" s="5">
        <v>454978.53</v>
      </c>
      <c r="N139" s="5">
        <v>6226439.9</v>
      </c>
      <c r="O139" t="s" s="2">
        <v>305</v>
      </c>
      <c r="P139" s="5">
        <v>85133</v>
      </c>
      <c r="Q139" t="s" s="2">
        <v>334</v>
      </c>
      <c r="R139" t="s" s="2">
        <f>_xlfn.IFERROR(INDEX('model_byCAP'!$D$2:$D$377,MATCH(Q139,'model_byCAP'!$A$2:$A$377,0)),0)</f>
        <v>335</v>
      </c>
    </row>
    <row r="140" ht="15.35" customHeight="1">
      <c r="A140" t="s" s="2">
        <v>339</v>
      </c>
      <c r="B140" s="4">
        <v>41612</v>
      </c>
      <c r="C140" s="5">
        <v>6000</v>
      </c>
      <c r="D140" s="5">
        <v>121</v>
      </c>
      <c r="E140" s="5">
        <v>89</v>
      </c>
      <c r="F140" t="s" s="2">
        <v>29</v>
      </c>
      <c r="G140" t="s" s="2">
        <v>330</v>
      </c>
      <c r="H140" s="5">
        <v>760</v>
      </c>
      <c r="I140" t="s" s="2">
        <v>331</v>
      </c>
      <c r="J140" t="s" s="2">
        <v>22</v>
      </c>
      <c r="K140" t="s" s="2">
        <v>337</v>
      </c>
      <c r="L140" t="s" s="2">
        <v>340</v>
      </c>
      <c r="M140" s="5">
        <v>454806.08</v>
      </c>
      <c r="N140" s="5">
        <v>6226700.87</v>
      </c>
      <c r="O140" t="s" s="2">
        <v>305</v>
      </c>
      <c r="P140" s="5">
        <v>85134</v>
      </c>
      <c r="Q140" t="s" s="2">
        <v>334</v>
      </c>
      <c r="R140" t="s" s="2">
        <f>_xlfn.IFERROR(INDEX('model_byCAP'!$D$2:$D$377,MATCH(Q140,'model_byCAP'!$A$2:$A$377,0)),0)</f>
        <v>335</v>
      </c>
    </row>
    <row r="141" ht="15.35" customHeight="1">
      <c r="A141" t="s" s="2">
        <v>341</v>
      </c>
      <c r="B141" s="4">
        <v>41599</v>
      </c>
      <c r="C141" s="5">
        <v>6000</v>
      </c>
      <c r="D141" s="5">
        <v>121</v>
      </c>
      <c r="E141" s="5">
        <v>89</v>
      </c>
      <c r="F141" t="s" s="2">
        <v>29</v>
      </c>
      <c r="G141" t="s" s="2">
        <v>330</v>
      </c>
      <c r="H141" s="5">
        <v>760</v>
      </c>
      <c r="I141" t="s" s="2">
        <v>331</v>
      </c>
      <c r="J141" t="s" s="2">
        <v>22</v>
      </c>
      <c r="K141" t="s" s="2">
        <v>337</v>
      </c>
      <c r="L141" t="s" s="2">
        <v>342</v>
      </c>
      <c r="M141" s="5">
        <v>454635.85</v>
      </c>
      <c r="N141" s="5">
        <v>6226960.92</v>
      </c>
      <c r="O141" t="s" s="2">
        <v>305</v>
      </c>
      <c r="P141" s="5">
        <v>85135</v>
      </c>
      <c r="Q141" t="s" s="2">
        <v>334</v>
      </c>
      <c r="R141" t="s" s="2">
        <f>_xlfn.IFERROR(INDEX('model_byCAP'!$D$2:$D$377,MATCH(Q141,'model_byCAP'!$A$2:$A$377,0)),0)</f>
        <v>335</v>
      </c>
    </row>
    <row r="142" ht="15.35" customHeight="1">
      <c r="A142" t="s" s="2">
        <v>343</v>
      </c>
      <c r="B142" s="4">
        <v>41592</v>
      </c>
      <c r="C142" s="5">
        <v>6000</v>
      </c>
      <c r="D142" s="5">
        <v>121</v>
      </c>
      <c r="E142" s="5">
        <v>89</v>
      </c>
      <c r="F142" t="s" s="2">
        <v>29</v>
      </c>
      <c r="G142" t="s" s="2">
        <v>330</v>
      </c>
      <c r="H142" s="5">
        <v>760</v>
      </c>
      <c r="I142" t="s" s="2">
        <v>331</v>
      </c>
      <c r="J142" t="s" s="2">
        <v>22</v>
      </c>
      <c r="K142" t="s" s="2">
        <v>337</v>
      </c>
      <c r="L142" t="s" s="2">
        <v>344</v>
      </c>
      <c r="M142" s="5">
        <v>454455.91</v>
      </c>
      <c r="N142" s="5">
        <v>6227232.51</v>
      </c>
      <c r="O142" t="s" s="2">
        <v>305</v>
      </c>
      <c r="P142" s="5">
        <v>85132</v>
      </c>
      <c r="Q142" t="s" s="2">
        <v>334</v>
      </c>
      <c r="R142" t="s" s="2">
        <f>_xlfn.IFERROR(INDEX('model_byCAP'!$D$2:$D$377,MATCH(Q142,'model_byCAP'!$A$2:$A$377,0)),0)</f>
        <v>335</v>
      </c>
    </row>
    <row r="143" ht="15.35" customHeight="1">
      <c r="A143" t="s" s="2">
        <v>345</v>
      </c>
      <c r="B143" s="4">
        <v>41582</v>
      </c>
      <c r="C143" s="5">
        <v>6000</v>
      </c>
      <c r="D143" s="5">
        <v>121</v>
      </c>
      <c r="E143" s="5">
        <v>89</v>
      </c>
      <c r="F143" t="s" s="2">
        <v>29</v>
      </c>
      <c r="G143" t="s" s="2">
        <v>330</v>
      </c>
      <c r="H143" s="5">
        <v>760</v>
      </c>
      <c r="I143" t="s" s="2">
        <v>331</v>
      </c>
      <c r="J143" t="s" s="2">
        <v>22</v>
      </c>
      <c r="K143" t="s" s="2">
        <v>337</v>
      </c>
      <c r="L143" t="s" s="2">
        <v>346</v>
      </c>
      <c r="M143" s="5">
        <v>454283.34</v>
      </c>
      <c r="N143" s="5">
        <v>6227493.77</v>
      </c>
      <c r="O143" t="s" s="2">
        <v>305</v>
      </c>
      <c r="P143" s="5">
        <v>85137</v>
      </c>
      <c r="Q143" t="s" s="2">
        <v>334</v>
      </c>
      <c r="R143" t="s" s="2">
        <f>_xlfn.IFERROR(INDEX('model_byCAP'!$D$2:$D$377,MATCH(Q143,'model_byCAP'!$A$2:$A$377,0)),0)</f>
        <v>335</v>
      </c>
    </row>
    <row r="144" ht="15.35" customHeight="1">
      <c r="A144" t="s" s="2">
        <v>347</v>
      </c>
      <c r="B144" s="4">
        <v>42536</v>
      </c>
      <c r="C144" s="5">
        <v>6000</v>
      </c>
      <c r="D144" s="5">
        <v>151</v>
      </c>
      <c r="E144" s="5">
        <v>104</v>
      </c>
      <c r="F144" t="s" s="2">
        <v>42</v>
      </c>
      <c r="G144" t="s" s="2">
        <v>42</v>
      </c>
      <c r="H144" s="5">
        <v>787</v>
      </c>
      <c r="I144" t="s" s="2">
        <v>21</v>
      </c>
      <c r="J144" t="s" s="2">
        <v>22</v>
      </c>
      <c r="K144" t="s" s="2">
        <v>348</v>
      </c>
      <c r="L144" t="s" s="2">
        <v>349</v>
      </c>
      <c r="M144" s="5">
        <v>492968.36</v>
      </c>
      <c r="N144" s="5">
        <v>6326730.68</v>
      </c>
      <c r="O144" t="s" s="2">
        <v>305</v>
      </c>
      <c r="P144" s="5">
        <v>3487003</v>
      </c>
      <c r="Q144" t="s" s="2">
        <v>43</v>
      </c>
      <c r="R144" s="5">
        <f>_xlfn.IFERROR(INDEX('model_byCAP'!$D$2:$D$377,MATCH(Q144,'model_byCAP'!$A$2:$A$377,0)),0)</f>
        <v>0</v>
      </c>
    </row>
    <row r="145" ht="15.35" customHeight="1">
      <c r="A145" t="s" s="2">
        <v>350</v>
      </c>
      <c r="B145" s="4">
        <v>44006</v>
      </c>
      <c r="C145" s="5">
        <v>6000</v>
      </c>
      <c r="D145" s="5">
        <v>150</v>
      </c>
      <c r="E145" s="5">
        <v>140</v>
      </c>
      <c r="F145" t="s" s="2">
        <v>42</v>
      </c>
      <c r="G145" t="s" s="2">
        <v>42</v>
      </c>
      <c r="H145" s="5">
        <v>787</v>
      </c>
      <c r="I145" t="s" s="2">
        <v>21</v>
      </c>
      <c r="J145" t="s" s="2">
        <v>22</v>
      </c>
      <c r="K145" t="s" s="2">
        <v>38</v>
      </c>
      <c r="L145" s="5">
        <v>34</v>
      </c>
      <c r="M145" s="5">
        <v>493010</v>
      </c>
      <c r="N145" s="5">
        <v>6325528</v>
      </c>
      <c r="O145" t="s" s="2">
        <v>25</v>
      </c>
      <c r="P145" s="5">
        <v>3488005</v>
      </c>
      <c r="Q145" t="s" s="2">
        <v>43</v>
      </c>
      <c r="R145" s="5">
        <f>_xlfn.IFERROR(INDEX('model_byCAP'!$D$2:$D$377,MATCH(Q145,'model_byCAP'!$A$2:$A$377,0)),0)</f>
        <v>0</v>
      </c>
    </row>
    <row r="146" ht="15.35" customHeight="1">
      <c r="A146" t="s" s="2">
        <v>351</v>
      </c>
      <c r="B146" s="4">
        <v>44167</v>
      </c>
      <c r="C146" s="5">
        <v>6000</v>
      </c>
      <c r="D146" s="5">
        <v>162</v>
      </c>
      <c r="E146" s="5">
        <v>140</v>
      </c>
      <c r="F146" t="s" s="2">
        <v>42</v>
      </c>
      <c r="G146" t="s" s="2">
        <v>42</v>
      </c>
      <c r="H146" s="5">
        <v>787</v>
      </c>
      <c r="I146" t="s" s="2">
        <v>21</v>
      </c>
      <c r="J146" t="s" s="2">
        <v>22</v>
      </c>
      <c r="K146" t="s" s="2">
        <v>38</v>
      </c>
      <c r="L146" t="s" s="2">
        <v>352</v>
      </c>
      <c r="M146" s="5">
        <v>492970</v>
      </c>
      <c r="N146" s="5">
        <v>6324928</v>
      </c>
      <c r="O146" t="s" s="2">
        <v>25</v>
      </c>
      <c r="P146" s="5">
        <v>3490007</v>
      </c>
      <c r="Q146" t="s" s="2">
        <v>43</v>
      </c>
      <c r="R146" s="5">
        <f>_xlfn.IFERROR(INDEX('model_byCAP'!$D$2:$D$377,MATCH(Q146,'model_byCAP'!$A$2:$A$377,0)),0)</f>
        <v>0</v>
      </c>
    </row>
    <row r="147" ht="15.35" customHeight="1">
      <c r="A147" t="s" s="2">
        <v>353</v>
      </c>
      <c r="B147" s="4">
        <v>44183</v>
      </c>
      <c r="C147" s="5">
        <v>5600</v>
      </c>
      <c r="D147" s="5">
        <v>150</v>
      </c>
      <c r="E147" s="5">
        <v>125</v>
      </c>
      <c r="F147" t="s" s="2">
        <v>301</v>
      </c>
      <c r="G147" t="s" s="2">
        <v>354</v>
      </c>
      <c r="H147" s="5">
        <v>760</v>
      </c>
      <c r="I147" t="s" s="2">
        <v>331</v>
      </c>
      <c r="J147" t="s" s="2">
        <v>22</v>
      </c>
      <c r="K147" t="s" s="2">
        <v>355</v>
      </c>
      <c r="L147" t="s" s="2">
        <v>356</v>
      </c>
      <c r="M147" s="5">
        <v>457413</v>
      </c>
      <c r="N147" s="5">
        <v>6209509</v>
      </c>
      <c r="O147" t="s" s="2">
        <v>25</v>
      </c>
      <c r="P147" s="6"/>
      <c r="Q147" t="s" s="2">
        <v>357</v>
      </c>
      <c r="R147" t="s" s="2">
        <f>_xlfn.IFERROR(INDEX('model_byCAP'!$D$2:$D$377,MATCH(Q147,'model_byCAP'!$A$2:$A$377,0)),0)</f>
        <v>358</v>
      </c>
    </row>
    <row r="148" ht="15.35" customHeight="1">
      <c r="A148" t="s" s="2">
        <v>359</v>
      </c>
      <c r="B148" s="4">
        <v>44183</v>
      </c>
      <c r="C148" s="5">
        <v>5600</v>
      </c>
      <c r="D148" s="5">
        <v>162</v>
      </c>
      <c r="E148" s="5">
        <v>119</v>
      </c>
      <c r="F148" t="s" s="2">
        <v>301</v>
      </c>
      <c r="G148" t="s" s="2">
        <v>360</v>
      </c>
      <c r="H148" s="5">
        <v>760</v>
      </c>
      <c r="I148" t="s" s="2">
        <v>331</v>
      </c>
      <c r="J148" t="s" s="2">
        <v>22</v>
      </c>
      <c r="K148" t="s" s="2">
        <v>355</v>
      </c>
      <c r="L148" s="5">
        <v>16</v>
      </c>
      <c r="M148" s="5">
        <v>457512</v>
      </c>
      <c r="N148" s="5">
        <v>6208823</v>
      </c>
      <c r="O148" t="s" s="2">
        <v>25</v>
      </c>
      <c r="P148" s="6"/>
      <c r="Q148" t="s" s="2">
        <v>361</v>
      </c>
      <c r="R148" t="s" s="2">
        <f>_xlfn.IFERROR(INDEX('model_byCAP'!$D$2:$D$377,MATCH(Q148,'model_byCAP'!$A$2:$A$377,0)),0)</f>
        <v>362</v>
      </c>
    </row>
    <row r="149" ht="15.35" customHeight="1">
      <c r="A149" t="s" s="2">
        <v>363</v>
      </c>
      <c r="B149" s="4">
        <v>44533</v>
      </c>
      <c r="C149" s="5">
        <v>5500</v>
      </c>
      <c r="D149" s="5">
        <v>158</v>
      </c>
      <c r="E149" s="5">
        <v>118.6</v>
      </c>
      <c r="F149" t="s" s="2">
        <v>364</v>
      </c>
      <c r="G149" t="s" s="2">
        <v>365</v>
      </c>
      <c r="H149" s="5">
        <v>153</v>
      </c>
      <c r="I149" t="s" s="2">
        <v>366</v>
      </c>
      <c r="J149" t="s" s="2">
        <v>22</v>
      </c>
      <c r="K149" t="s" s="2">
        <v>367</v>
      </c>
      <c r="L149" t="s" s="2">
        <v>368</v>
      </c>
      <c r="M149" s="5">
        <v>492926</v>
      </c>
      <c r="N149" s="5">
        <v>6322069</v>
      </c>
      <c r="O149" t="s" s="2">
        <v>25</v>
      </c>
      <c r="P149" s="5">
        <v>3508003</v>
      </c>
      <c r="Q149" t="s" s="2">
        <v>369</v>
      </c>
      <c r="R149" t="s" s="2">
        <f>_xlfn.IFERROR(INDEX('model_byCAP'!$D$2:$D$377,MATCH(Q149,'model_byCAP'!$A$2:$A$377,0)),0)</f>
        <v>370</v>
      </c>
    </row>
    <row r="150" ht="15.35" customHeight="1">
      <c r="A150" t="s" s="2">
        <v>371</v>
      </c>
      <c r="B150" s="4">
        <v>44029</v>
      </c>
      <c r="C150" s="5">
        <v>5000</v>
      </c>
      <c r="D150" s="5">
        <v>145</v>
      </c>
      <c r="E150" s="5">
        <v>127.5</v>
      </c>
      <c r="F150" t="s" s="2">
        <v>29</v>
      </c>
      <c r="G150" t="s" s="2">
        <v>372</v>
      </c>
      <c r="H150" s="5">
        <v>665</v>
      </c>
      <c r="I150" t="s" s="2">
        <v>316</v>
      </c>
      <c r="J150" t="s" s="2">
        <v>22</v>
      </c>
      <c r="K150" t="s" s="2">
        <v>373</v>
      </c>
      <c r="L150" t="s" s="2">
        <v>374</v>
      </c>
      <c r="M150" s="5">
        <v>447692.73</v>
      </c>
      <c r="N150" s="5">
        <v>6256235.41</v>
      </c>
      <c r="O150" t="s" s="2">
        <v>25</v>
      </c>
      <c r="P150" s="5">
        <v>40445</v>
      </c>
      <c r="Q150" t="s" s="2">
        <v>375</v>
      </c>
      <c r="R150" t="s" s="2">
        <f>_xlfn.IFERROR(INDEX('model_byCAP'!$D$2:$D$377,MATCH(Q150,'model_byCAP'!$A$2:$A$377,0)),0)</f>
        <v>376</v>
      </c>
    </row>
    <row r="151" ht="15.35" customHeight="1">
      <c r="A151" t="s" s="2">
        <v>377</v>
      </c>
      <c r="B151" s="4">
        <v>44140</v>
      </c>
      <c r="C151" s="5">
        <v>5000</v>
      </c>
      <c r="D151" s="5">
        <v>132</v>
      </c>
      <c r="E151" s="5">
        <v>84</v>
      </c>
      <c r="F151" t="s" s="2">
        <v>42</v>
      </c>
      <c r="G151" t="s" s="2">
        <v>42</v>
      </c>
      <c r="H151" s="5">
        <v>671</v>
      </c>
      <c r="I151" t="s" s="2">
        <v>378</v>
      </c>
      <c r="J151" t="s" s="2">
        <v>22</v>
      </c>
      <c r="K151" t="s" s="2">
        <v>379</v>
      </c>
      <c r="L151" t="s" s="2">
        <v>380</v>
      </c>
      <c r="M151" s="5">
        <v>467753.44</v>
      </c>
      <c r="N151" s="5">
        <v>6281164.38</v>
      </c>
      <c r="O151" t="s" s="2">
        <v>25</v>
      </c>
      <c r="P151" s="6"/>
      <c r="Q151" t="s" s="2">
        <v>43</v>
      </c>
      <c r="R151" s="5">
        <f>_xlfn.IFERROR(INDEX('model_byCAP'!$D$2:$D$377,MATCH(Q151,'model_byCAP'!$A$2:$A$377,0)),0)</f>
        <v>0</v>
      </c>
    </row>
    <row r="152" ht="15.35" customHeight="1">
      <c r="A152" t="s" s="2">
        <v>381</v>
      </c>
      <c r="B152" s="4">
        <v>44140</v>
      </c>
      <c r="C152" s="5">
        <v>5000</v>
      </c>
      <c r="D152" s="5">
        <v>132</v>
      </c>
      <c r="E152" s="5">
        <v>84</v>
      </c>
      <c r="F152" t="s" s="2">
        <v>42</v>
      </c>
      <c r="G152" t="s" s="2">
        <v>42</v>
      </c>
      <c r="H152" s="5">
        <v>671</v>
      </c>
      <c r="I152" t="s" s="2">
        <v>378</v>
      </c>
      <c r="J152" t="s" s="2">
        <v>22</v>
      </c>
      <c r="K152" t="s" s="2">
        <v>379</v>
      </c>
      <c r="L152" t="s" s="2">
        <v>380</v>
      </c>
      <c r="M152" s="5">
        <v>467931.63</v>
      </c>
      <c r="N152" s="5">
        <v>6280888.39</v>
      </c>
      <c r="O152" t="s" s="2">
        <v>25</v>
      </c>
      <c r="P152" s="6"/>
      <c r="Q152" t="s" s="2">
        <v>43</v>
      </c>
      <c r="R152" s="5">
        <f>_xlfn.IFERROR(INDEX('model_byCAP'!$D$2:$D$377,MATCH(Q152,'model_byCAP'!$A$2:$A$377,0)),0)</f>
        <v>0</v>
      </c>
    </row>
    <row r="153" ht="15.35" customHeight="1">
      <c r="A153" t="s" s="2">
        <v>382</v>
      </c>
      <c r="B153" s="4">
        <v>44140</v>
      </c>
      <c r="C153" s="5">
        <v>5000</v>
      </c>
      <c r="D153" s="5">
        <v>132</v>
      </c>
      <c r="E153" s="5">
        <v>84</v>
      </c>
      <c r="F153" t="s" s="2">
        <v>42</v>
      </c>
      <c r="G153" t="s" s="2">
        <v>42</v>
      </c>
      <c r="H153" s="5">
        <v>671</v>
      </c>
      <c r="I153" t="s" s="2">
        <v>378</v>
      </c>
      <c r="J153" t="s" s="2">
        <v>22</v>
      </c>
      <c r="K153" t="s" s="2">
        <v>379</v>
      </c>
      <c r="L153" t="s" s="2">
        <v>380</v>
      </c>
      <c r="M153" s="5">
        <v>468109.83</v>
      </c>
      <c r="N153" s="5">
        <v>6280612.39</v>
      </c>
      <c r="O153" t="s" s="2">
        <v>25</v>
      </c>
      <c r="P153" s="6"/>
      <c r="Q153" t="s" s="2">
        <v>43</v>
      </c>
      <c r="R153" s="5">
        <f>_xlfn.IFERROR(INDEX('model_byCAP'!$D$2:$D$377,MATCH(Q153,'model_byCAP'!$A$2:$A$377,0)),0)</f>
        <v>0</v>
      </c>
    </row>
    <row r="154" ht="15.35" customHeight="1">
      <c r="A154" t="s" s="2">
        <v>383</v>
      </c>
      <c r="B154" s="4">
        <v>43124</v>
      </c>
      <c r="C154" s="5">
        <v>4300</v>
      </c>
      <c r="D154" s="5">
        <v>130</v>
      </c>
      <c r="E154" s="5">
        <v>99.5</v>
      </c>
      <c r="F154" t="s" s="2">
        <v>19</v>
      </c>
      <c r="G154" t="s" s="2">
        <v>20</v>
      </c>
      <c r="H154" s="5">
        <v>665</v>
      </c>
      <c r="I154" t="s" s="2">
        <v>316</v>
      </c>
      <c r="J154" t="s" s="2">
        <v>22</v>
      </c>
      <c r="K154" t="s" s="2">
        <v>384</v>
      </c>
      <c r="L154" t="s" s="2">
        <v>385</v>
      </c>
      <c r="M154" s="5">
        <v>447658.28</v>
      </c>
      <c r="N154" s="5">
        <v>6255634.75</v>
      </c>
      <c r="O154" t="s" s="2">
        <v>305</v>
      </c>
      <c r="P154" s="5">
        <v>40444</v>
      </c>
      <c r="Q154" t="s" s="2">
        <v>26</v>
      </c>
      <c r="R154" t="s" s="2">
        <f>_xlfn.IFERROR(INDEX('model_byCAP'!$D$2:$D$377,MATCH(Q154,'model_byCAP'!$A$2:$A$377,0)),0)</f>
        <v>27</v>
      </c>
    </row>
    <row r="155" ht="15.35" customHeight="1">
      <c r="A155" t="s" s="2">
        <v>386</v>
      </c>
      <c r="B155" s="4">
        <v>43869</v>
      </c>
      <c r="C155" s="5">
        <v>4300</v>
      </c>
      <c r="D155" s="5">
        <v>130</v>
      </c>
      <c r="E155" s="5">
        <v>85</v>
      </c>
      <c r="F155" t="s" s="2">
        <v>19</v>
      </c>
      <c r="G155" t="s" s="2">
        <v>387</v>
      </c>
      <c r="H155" s="5">
        <v>820</v>
      </c>
      <c r="I155" t="s" s="2">
        <v>388</v>
      </c>
      <c r="J155" t="s" s="2">
        <v>22</v>
      </c>
      <c r="K155" t="s" s="2">
        <v>389</v>
      </c>
      <c r="L155" t="s" s="2">
        <v>390</v>
      </c>
      <c r="M155" s="5">
        <v>513455</v>
      </c>
      <c r="N155" s="5">
        <v>6318326</v>
      </c>
      <c r="O155" t="s" s="2">
        <v>25</v>
      </c>
      <c r="P155" s="5">
        <v>23163046</v>
      </c>
      <c r="Q155" t="s" s="2">
        <v>391</v>
      </c>
      <c r="R155" t="s" s="2">
        <f>_xlfn.IFERROR(INDEX('model_byCAP'!$D$2:$D$377,MATCH(Q155,'model_byCAP'!$A$2:$A$377,0)),0)</f>
        <v>392</v>
      </c>
    </row>
    <row r="156" ht="15.35" customHeight="1">
      <c r="A156" t="s" s="2">
        <v>393</v>
      </c>
      <c r="B156" s="4">
        <v>43869</v>
      </c>
      <c r="C156" s="5">
        <v>4300</v>
      </c>
      <c r="D156" s="5">
        <v>130</v>
      </c>
      <c r="E156" s="5">
        <v>85</v>
      </c>
      <c r="F156" t="s" s="2">
        <v>19</v>
      </c>
      <c r="G156" t="s" s="2">
        <v>387</v>
      </c>
      <c r="H156" s="5">
        <v>820</v>
      </c>
      <c r="I156" t="s" s="2">
        <v>388</v>
      </c>
      <c r="J156" t="s" s="2">
        <v>22</v>
      </c>
      <c r="K156" t="s" s="2">
        <v>389</v>
      </c>
      <c r="L156" t="s" s="2">
        <v>394</v>
      </c>
      <c r="M156" s="5">
        <v>513310</v>
      </c>
      <c r="N156" s="5">
        <v>6318613</v>
      </c>
      <c r="O156" t="s" s="2">
        <v>25</v>
      </c>
      <c r="P156" s="5">
        <v>23163047</v>
      </c>
      <c r="Q156" t="s" s="2">
        <v>391</v>
      </c>
      <c r="R156" t="s" s="2">
        <f>_xlfn.IFERROR(INDEX('model_byCAP'!$D$2:$D$377,MATCH(Q156,'model_byCAP'!$A$2:$A$377,0)),0)</f>
        <v>392</v>
      </c>
    </row>
    <row r="157" ht="15.35" customHeight="1">
      <c r="A157" t="s" s="2">
        <v>395</v>
      </c>
      <c r="B157" s="4">
        <v>43869</v>
      </c>
      <c r="C157" s="5">
        <v>4300</v>
      </c>
      <c r="D157" s="5">
        <v>130</v>
      </c>
      <c r="E157" s="5">
        <v>85</v>
      </c>
      <c r="F157" t="s" s="2">
        <v>19</v>
      </c>
      <c r="G157" t="s" s="2">
        <v>387</v>
      </c>
      <c r="H157" s="5">
        <v>820</v>
      </c>
      <c r="I157" t="s" s="2">
        <v>388</v>
      </c>
      <c r="J157" t="s" s="2">
        <v>22</v>
      </c>
      <c r="K157" t="s" s="2">
        <v>389</v>
      </c>
      <c r="L157" t="s" s="2">
        <v>396</v>
      </c>
      <c r="M157" s="5">
        <v>513164</v>
      </c>
      <c r="N157" s="5">
        <v>6318900</v>
      </c>
      <c r="O157" t="s" s="2">
        <v>25</v>
      </c>
      <c r="P157" s="5">
        <v>23163048</v>
      </c>
      <c r="Q157" t="s" s="2">
        <v>391</v>
      </c>
      <c r="R157" t="s" s="2">
        <f>_xlfn.IFERROR(INDEX('model_byCAP'!$D$2:$D$377,MATCH(Q157,'model_byCAP'!$A$2:$A$377,0)),0)</f>
        <v>392</v>
      </c>
    </row>
    <row r="158" ht="15.35" customHeight="1">
      <c r="A158" t="s" s="2">
        <v>397</v>
      </c>
      <c r="B158" s="4">
        <v>43875</v>
      </c>
      <c r="C158" s="5">
        <v>4300</v>
      </c>
      <c r="D158" s="5">
        <v>130</v>
      </c>
      <c r="E158" s="5">
        <v>85</v>
      </c>
      <c r="F158" t="s" s="2">
        <v>19</v>
      </c>
      <c r="G158" t="s" s="2">
        <v>387</v>
      </c>
      <c r="H158" s="5">
        <v>820</v>
      </c>
      <c r="I158" t="s" s="2">
        <v>388</v>
      </c>
      <c r="J158" t="s" s="2">
        <v>22</v>
      </c>
      <c r="K158" t="s" s="2">
        <v>398</v>
      </c>
      <c r="L158" t="s" s="2">
        <v>399</v>
      </c>
      <c r="M158" s="5">
        <v>513023</v>
      </c>
      <c r="N158" s="5">
        <v>6319180</v>
      </c>
      <c r="O158" t="s" s="2">
        <v>25</v>
      </c>
      <c r="P158" s="5">
        <v>23163049</v>
      </c>
      <c r="Q158" t="s" s="2">
        <v>391</v>
      </c>
      <c r="R158" t="s" s="2">
        <f>_xlfn.IFERROR(INDEX('model_byCAP'!$D$2:$D$377,MATCH(Q158,'model_byCAP'!$A$2:$A$377,0)),0)</f>
        <v>392</v>
      </c>
    </row>
    <row r="159" ht="15.35" customHeight="1">
      <c r="A159" t="s" s="2">
        <v>400</v>
      </c>
      <c r="B159" s="4">
        <v>43889</v>
      </c>
      <c r="C159" s="5">
        <v>4300</v>
      </c>
      <c r="D159" s="5">
        <v>130</v>
      </c>
      <c r="E159" s="5">
        <v>85</v>
      </c>
      <c r="F159" t="s" s="2">
        <v>19</v>
      </c>
      <c r="G159" t="s" s="2">
        <v>387</v>
      </c>
      <c r="H159" s="5">
        <v>820</v>
      </c>
      <c r="I159" t="s" s="2">
        <v>388</v>
      </c>
      <c r="J159" t="s" s="2">
        <v>22</v>
      </c>
      <c r="K159" t="s" s="2">
        <v>398</v>
      </c>
      <c r="L159" t="s" s="2">
        <v>401</v>
      </c>
      <c r="M159" s="5">
        <v>512885</v>
      </c>
      <c r="N159" s="5">
        <v>6319453</v>
      </c>
      <c r="O159" t="s" s="2">
        <v>25</v>
      </c>
      <c r="P159" s="5">
        <v>23163050</v>
      </c>
      <c r="Q159" t="s" s="2">
        <v>391</v>
      </c>
      <c r="R159" t="s" s="2">
        <f>_xlfn.IFERROR(INDEX('model_byCAP'!$D$2:$D$377,MATCH(Q159,'model_byCAP'!$A$2:$A$377,0)),0)</f>
        <v>392</v>
      </c>
    </row>
    <row r="160" ht="15.35" customHeight="1">
      <c r="A160" t="s" s="2">
        <v>402</v>
      </c>
      <c r="B160" s="4">
        <v>43869</v>
      </c>
      <c r="C160" s="5">
        <v>4300</v>
      </c>
      <c r="D160" s="5">
        <v>130</v>
      </c>
      <c r="E160" s="5">
        <v>85</v>
      </c>
      <c r="F160" t="s" s="2">
        <v>19</v>
      </c>
      <c r="G160" t="s" s="2">
        <v>387</v>
      </c>
      <c r="H160" s="5">
        <v>820</v>
      </c>
      <c r="I160" t="s" s="2">
        <v>388</v>
      </c>
      <c r="J160" t="s" s="2">
        <v>22</v>
      </c>
      <c r="K160" t="s" s="2">
        <v>389</v>
      </c>
      <c r="L160" t="s" s="2">
        <v>403</v>
      </c>
      <c r="M160" s="5">
        <v>513734</v>
      </c>
      <c r="N160" s="5">
        <v>6318663</v>
      </c>
      <c r="O160" t="s" s="2">
        <v>25</v>
      </c>
      <c r="P160" s="5">
        <v>23163056</v>
      </c>
      <c r="Q160" t="s" s="2">
        <v>391</v>
      </c>
      <c r="R160" t="s" s="2">
        <f>_xlfn.IFERROR(INDEX('model_byCAP'!$D$2:$D$377,MATCH(Q160,'model_byCAP'!$A$2:$A$377,0)),0)</f>
        <v>392</v>
      </c>
    </row>
    <row r="161" ht="15.35" customHeight="1">
      <c r="A161" t="s" s="2">
        <v>404</v>
      </c>
      <c r="B161" s="4">
        <v>43869</v>
      </c>
      <c r="C161" s="5">
        <v>4300</v>
      </c>
      <c r="D161" s="5">
        <v>130</v>
      </c>
      <c r="E161" s="5">
        <v>85</v>
      </c>
      <c r="F161" t="s" s="2">
        <v>19</v>
      </c>
      <c r="G161" t="s" s="2">
        <v>387</v>
      </c>
      <c r="H161" s="5">
        <v>820</v>
      </c>
      <c r="I161" t="s" s="2">
        <v>388</v>
      </c>
      <c r="J161" t="s" s="2">
        <v>22</v>
      </c>
      <c r="K161" t="s" s="2">
        <v>389</v>
      </c>
      <c r="L161" t="s" s="2">
        <v>405</v>
      </c>
      <c r="M161" s="5">
        <v>513588</v>
      </c>
      <c r="N161" s="5">
        <v>6318951</v>
      </c>
      <c r="O161" t="s" s="2">
        <v>25</v>
      </c>
      <c r="P161" s="5">
        <v>23163057</v>
      </c>
      <c r="Q161" t="s" s="2">
        <v>391</v>
      </c>
      <c r="R161" t="s" s="2">
        <f>_xlfn.IFERROR(INDEX('model_byCAP'!$D$2:$D$377,MATCH(Q161,'model_byCAP'!$A$2:$A$377,0)),0)</f>
        <v>392</v>
      </c>
    </row>
    <row r="162" ht="15.35" customHeight="1">
      <c r="A162" t="s" s="2">
        <v>406</v>
      </c>
      <c r="B162" s="4">
        <v>43883</v>
      </c>
      <c r="C162" s="5">
        <v>4300</v>
      </c>
      <c r="D162" s="5">
        <v>130</v>
      </c>
      <c r="E162" s="5">
        <v>85</v>
      </c>
      <c r="F162" t="s" s="2">
        <v>19</v>
      </c>
      <c r="G162" t="s" s="2">
        <v>387</v>
      </c>
      <c r="H162" s="5">
        <v>820</v>
      </c>
      <c r="I162" t="s" s="2">
        <v>388</v>
      </c>
      <c r="J162" t="s" s="2">
        <v>22</v>
      </c>
      <c r="K162" t="s" s="2">
        <v>398</v>
      </c>
      <c r="L162" t="s" s="2">
        <v>407</v>
      </c>
      <c r="M162" s="5">
        <v>513443</v>
      </c>
      <c r="N162" s="5">
        <v>6319238</v>
      </c>
      <c r="O162" t="s" s="2">
        <v>25</v>
      </c>
      <c r="P162" s="5">
        <v>23163058</v>
      </c>
      <c r="Q162" t="s" s="2">
        <v>391</v>
      </c>
      <c r="R162" t="s" s="2">
        <f>_xlfn.IFERROR(INDEX('model_byCAP'!$D$2:$D$377,MATCH(Q162,'model_byCAP'!$A$2:$A$377,0)),0)</f>
        <v>392</v>
      </c>
    </row>
    <row r="163" ht="15.35" customHeight="1">
      <c r="A163" t="s" s="2">
        <v>408</v>
      </c>
      <c r="B163" s="4">
        <v>43894</v>
      </c>
      <c r="C163" s="5">
        <v>4300</v>
      </c>
      <c r="D163" s="5">
        <v>130</v>
      </c>
      <c r="E163" s="5">
        <v>85</v>
      </c>
      <c r="F163" t="s" s="2">
        <v>19</v>
      </c>
      <c r="G163" t="s" s="2">
        <v>387</v>
      </c>
      <c r="H163" s="5">
        <v>820</v>
      </c>
      <c r="I163" t="s" s="2">
        <v>388</v>
      </c>
      <c r="J163" t="s" s="2">
        <v>22</v>
      </c>
      <c r="K163" t="s" s="2">
        <v>398</v>
      </c>
      <c r="L163" t="s" s="2">
        <v>409</v>
      </c>
      <c r="M163" s="5">
        <v>513297</v>
      </c>
      <c r="N163" s="5">
        <v>6319528</v>
      </c>
      <c r="O163" t="s" s="2">
        <v>25</v>
      </c>
      <c r="P163" s="5">
        <v>23163059</v>
      </c>
      <c r="Q163" t="s" s="2">
        <v>391</v>
      </c>
      <c r="R163" t="s" s="2">
        <f>_xlfn.IFERROR(INDEX('model_byCAP'!$D$2:$D$377,MATCH(Q163,'model_byCAP'!$A$2:$A$377,0)),0)</f>
        <v>392</v>
      </c>
    </row>
    <row r="164" ht="15.35" customHeight="1">
      <c r="A164" t="s" s="2">
        <v>410</v>
      </c>
      <c r="B164" s="4">
        <v>43911</v>
      </c>
      <c r="C164" s="5">
        <v>4300</v>
      </c>
      <c r="D164" s="5">
        <v>130</v>
      </c>
      <c r="E164" s="5">
        <v>85</v>
      </c>
      <c r="F164" t="s" s="2">
        <v>19</v>
      </c>
      <c r="G164" t="s" s="2">
        <v>387</v>
      </c>
      <c r="H164" s="5">
        <v>849</v>
      </c>
      <c r="I164" t="s" s="2">
        <v>411</v>
      </c>
      <c r="J164" t="s" s="2">
        <v>22</v>
      </c>
      <c r="K164" t="s" s="2">
        <v>412</v>
      </c>
      <c r="L164" s="5">
        <v>125</v>
      </c>
      <c r="M164" s="5">
        <v>512732</v>
      </c>
      <c r="N164" s="5">
        <v>6319754</v>
      </c>
      <c r="O164" t="s" s="2">
        <v>25</v>
      </c>
      <c r="P164" s="5">
        <v>23163051</v>
      </c>
      <c r="Q164" t="s" s="2">
        <v>391</v>
      </c>
      <c r="R164" t="s" s="2">
        <f>_xlfn.IFERROR(INDEX('model_byCAP'!$D$2:$D$377,MATCH(Q164,'model_byCAP'!$A$2:$A$377,0)),0)</f>
        <v>392</v>
      </c>
    </row>
    <row r="165" ht="15.35" customHeight="1">
      <c r="A165" t="s" s="2">
        <v>413</v>
      </c>
      <c r="B165" s="4">
        <v>43917</v>
      </c>
      <c r="C165" s="5">
        <v>4300</v>
      </c>
      <c r="D165" s="5">
        <v>130</v>
      </c>
      <c r="E165" s="5">
        <v>85</v>
      </c>
      <c r="F165" t="s" s="2">
        <v>19</v>
      </c>
      <c r="G165" t="s" s="2">
        <v>387</v>
      </c>
      <c r="H165" s="5">
        <v>849</v>
      </c>
      <c r="I165" t="s" s="2">
        <v>411</v>
      </c>
      <c r="J165" t="s" s="2">
        <v>22</v>
      </c>
      <c r="K165" t="s" s="2">
        <v>412</v>
      </c>
      <c r="L165" s="5">
        <v>126</v>
      </c>
      <c r="M165" s="5">
        <v>512580</v>
      </c>
      <c r="N165" s="5">
        <v>6320056</v>
      </c>
      <c r="O165" t="s" s="2">
        <v>25</v>
      </c>
      <c r="P165" s="5">
        <v>23163052</v>
      </c>
      <c r="Q165" t="s" s="2">
        <v>391</v>
      </c>
      <c r="R165" t="s" s="2">
        <f>_xlfn.IFERROR(INDEX('model_byCAP'!$D$2:$D$377,MATCH(Q165,'model_byCAP'!$A$2:$A$377,0)),0)</f>
        <v>392</v>
      </c>
    </row>
    <row r="166" ht="15.35" customHeight="1">
      <c r="A166" t="s" s="2">
        <v>414</v>
      </c>
      <c r="B166" s="4">
        <v>43929</v>
      </c>
      <c r="C166" s="5">
        <v>4300</v>
      </c>
      <c r="D166" s="5">
        <v>130</v>
      </c>
      <c r="E166" s="5">
        <v>85</v>
      </c>
      <c r="F166" t="s" s="2">
        <v>19</v>
      </c>
      <c r="G166" t="s" s="2">
        <v>387</v>
      </c>
      <c r="H166" s="5">
        <v>849</v>
      </c>
      <c r="I166" t="s" s="2">
        <v>411</v>
      </c>
      <c r="J166" t="s" s="2">
        <v>22</v>
      </c>
      <c r="K166" t="s" s="2">
        <v>415</v>
      </c>
      <c r="L166" t="s" s="2">
        <v>416</v>
      </c>
      <c r="M166" s="5">
        <v>512438</v>
      </c>
      <c r="N166" s="5">
        <v>6320336</v>
      </c>
      <c r="O166" t="s" s="2">
        <v>25</v>
      </c>
      <c r="P166" s="5">
        <v>23163053</v>
      </c>
      <c r="Q166" t="s" s="2">
        <v>391</v>
      </c>
      <c r="R166" t="s" s="2">
        <f>_xlfn.IFERROR(INDEX('model_byCAP'!$D$2:$D$377,MATCH(Q166,'model_byCAP'!$A$2:$A$377,0)),0)</f>
        <v>392</v>
      </c>
    </row>
    <row r="167" ht="15.35" customHeight="1">
      <c r="A167" t="s" s="2">
        <v>417</v>
      </c>
      <c r="B167" s="4">
        <v>43927</v>
      </c>
      <c r="C167" s="5">
        <v>4300</v>
      </c>
      <c r="D167" s="5">
        <v>130</v>
      </c>
      <c r="E167" s="5">
        <v>85</v>
      </c>
      <c r="F167" t="s" s="2">
        <v>19</v>
      </c>
      <c r="G167" t="s" s="2">
        <v>387</v>
      </c>
      <c r="H167" s="5">
        <v>849</v>
      </c>
      <c r="I167" t="s" s="2">
        <v>411</v>
      </c>
      <c r="J167" t="s" s="2">
        <v>22</v>
      </c>
      <c r="K167" t="s" s="2">
        <v>415</v>
      </c>
      <c r="L167" t="s" s="2">
        <v>418</v>
      </c>
      <c r="M167" s="5">
        <v>512293</v>
      </c>
      <c r="N167" s="5">
        <v>6320624</v>
      </c>
      <c r="O167" t="s" s="2">
        <v>25</v>
      </c>
      <c r="P167" s="5">
        <v>23163054</v>
      </c>
      <c r="Q167" t="s" s="2">
        <v>391</v>
      </c>
      <c r="R167" t="s" s="2">
        <f>_xlfn.IFERROR(INDEX('model_byCAP'!$D$2:$D$377,MATCH(Q167,'model_byCAP'!$A$2:$A$377,0)),0)</f>
        <v>392</v>
      </c>
    </row>
    <row r="168" ht="15.35" customHeight="1">
      <c r="A168" t="s" s="2">
        <v>419</v>
      </c>
      <c r="B168" s="4">
        <v>43932</v>
      </c>
      <c r="C168" s="5">
        <v>4300</v>
      </c>
      <c r="D168" s="5">
        <v>130</v>
      </c>
      <c r="E168" s="5">
        <v>85</v>
      </c>
      <c r="F168" t="s" s="2">
        <v>19</v>
      </c>
      <c r="G168" t="s" s="2">
        <v>387</v>
      </c>
      <c r="H168" s="5">
        <v>849</v>
      </c>
      <c r="I168" t="s" s="2">
        <v>411</v>
      </c>
      <c r="J168" t="s" s="2">
        <v>22</v>
      </c>
      <c r="K168" t="s" s="2">
        <v>412</v>
      </c>
      <c r="L168" t="s" s="2">
        <v>420</v>
      </c>
      <c r="M168" s="5">
        <v>512148</v>
      </c>
      <c r="N168" s="5">
        <v>6320911</v>
      </c>
      <c r="O168" t="s" s="2">
        <v>25</v>
      </c>
      <c r="P168" s="5">
        <v>23163055</v>
      </c>
      <c r="Q168" t="s" s="2">
        <v>391</v>
      </c>
      <c r="R168" t="s" s="2">
        <f>_xlfn.IFERROR(INDEX('model_byCAP'!$D$2:$D$377,MATCH(Q168,'model_byCAP'!$A$2:$A$377,0)),0)</f>
        <v>392</v>
      </c>
    </row>
    <row r="169" ht="15.35" customHeight="1">
      <c r="A169" t="s" s="2">
        <v>421</v>
      </c>
      <c r="B169" s="4">
        <v>43901</v>
      </c>
      <c r="C169" s="5">
        <v>4300</v>
      </c>
      <c r="D169" s="5">
        <v>130</v>
      </c>
      <c r="E169" s="5">
        <v>85</v>
      </c>
      <c r="F169" t="s" s="2">
        <v>19</v>
      </c>
      <c r="G169" t="s" s="2">
        <v>387</v>
      </c>
      <c r="H169" s="5">
        <v>849</v>
      </c>
      <c r="I169" t="s" s="2">
        <v>411</v>
      </c>
      <c r="J169" t="s" s="2">
        <v>22</v>
      </c>
      <c r="K169" t="s" s="2">
        <v>412</v>
      </c>
      <c r="L169" s="5">
        <v>127</v>
      </c>
      <c r="M169" s="5">
        <v>513150</v>
      </c>
      <c r="N169" s="5">
        <v>6319820</v>
      </c>
      <c r="O169" t="s" s="2">
        <v>25</v>
      </c>
      <c r="P169" s="5">
        <v>23163060</v>
      </c>
      <c r="Q169" t="s" s="2">
        <v>391</v>
      </c>
      <c r="R169" t="s" s="2">
        <f>_xlfn.IFERROR(INDEX('model_byCAP'!$D$2:$D$377,MATCH(Q169,'model_byCAP'!$A$2:$A$377,0)),0)</f>
        <v>392</v>
      </c>
    </row>
    <row r="170" ht="15.35" customHeight="1">
      <c r="A170" t="s" s="2">
        <v>422</v>
      </c>
      <c r="B170" s="4">
        <v>43915</v>
      </c>
      <c r="C170" s="5">
        <v>4300</v>
      </c>
      <c r="D170" s="5">
        <v>130</v>
      </c>
      <c r="E170" s="5">
        <v>85</v>
      </c>
      <c r="F170" t="s" s="2">
        <v>19</v>
      </c>
      <c r="G170" t="s" s="2">
        <v>387</v>
      </c>
      <c r="H170" s="5">
        <v>849</v>
      </c>
      <c r="I170" t="s" s="2">
        <v>411</v>
      </c>
      <c r="J170" t="s" s="2">
        <v>22</v>
      </c>
      <c r="K170" t="s" s="2">
        <v>412</v>
      </c>
      <c r="L170" s="5">
        <v>128</v>
      </c>
      <c r="M170" s="5">
        <v>513011</v>
      </c>
      <c r="N170" s="5">
        <v>6320092</v>
      </c>
      <c r="O170" t="s" s="2">
        <v>25</v>
      </c>
      <c r="P170" s="5">
        <v>23163061</v>
      </c>
      <c r="Q170" t="s" s="2">
        <v>391</v>
      </c>
      <c r="R170" t="s" s="2">
        <f>_xlfn.IFERROR(INDEX('model_byCAP'!$D$2:$D$377,MATCH(Q170,'model_byCAP'!$A$2:$A$377,0)),0)</f>
        <v>392</v>
      </c>
    </row>
    <row r="171" ht="15.35" customHeight="1">
      <c r="A171" t="s" s="2">
        <v>423</v>
      </c>
      <c r="B171" s="4">
        <v>43923</v>
      </c>
      <c r="C171" s="5">
        <v>4300</v>
      </c>
      <c r="D171" s="5">
        <v>130</v>
      </c>
      <c r="E171" s="5">
        <v>85</v>
      </c>
      <c r="F171" t="s" s="2">
        <v>19</v>
      </c>
      <c r="G171" t="s" s="2">
        <v>387</v>
      </c>
      <c r="H171" s="5">
        <v>849</v>
      </c>
      <c r="I171" t="s" s="2">
        <v>411</v>
      </c>
      <c r="J171" t="s" s="2">
        <v>22</v>
      </c>
      <c r="K171" t="s" s="2">
        <v>412</v>
      </c>
      <c r="L171" t="s" s="2">
        <v>424</v>
      </c>
      <c r="M171" s="5">
        <v>512863</v>
      </c>
      <c r="N171" s="5">
        <v>6320387</v>
      </c>
      <c r="O171" t="s" s="2">
        <v>25</v>
      </c>
      <c r="P171" s="5">
        <v>23163062</v>
      </c>
      <c r="Q171" t="s" s="2">
        <v>391</v>
      </c>
      <c r="R171" t="s" s="2">
        <f>_xlfn.IFERROR(INDEX('model_byCAP'!$D$2:$D$377,MATCH(Q171,'model_byCAP'!$A$2:$A$377,0)),0)</f>
        <v>392</v>
      </c>
    </row>
    <row r="172" ht="15.35" customHeight="1">
      <c r="A172" t="s" s="2">
        <v>425</v>
      </c>
      <c r="B172" s="4">
        <v>43921</v>
      </c>
      <c r="C172" s="5">
        <v>4300</v>
      </c>
      <c r="D172" s="5">
        <v>130</v>
      </c>
      <c r="E172" s="5">
        <v>85</v>
      </c>
      <c r="F172" t="s" s="2">
        <v>19</v>
      </c>
      <c r="G172" t="s" s="2">
        <v>387</v>
      </c>
      <c r="H172" s="5">
        <v>849</v>
      </c>
      <c r="I172" t="s" s="2">
        <v>411</v>
      </c>
      <c r="J172" t="s" s="2">
        <v>22</v>
      </c>
      <c r="K172" t="s" s="2">
        <v>412</v>
      </c>
      <c r="L172" t="s" s="2">
        <v>426</v>
      </c>
      <c r="M172" s="5">
        <v>512718</v>
      </c>
      <c r="N172" s="5">
        <v>6320674</v>
      </c>
      <c r="O172" t="s" s="2">
        <v>25</v>
      </c>
      <c r="P172" s="5">
        <v>23163063</v>
      </c>
      <c r="Q172" t="s" s="2">
        <v>391</v>
      </c>
      <c r="R172" t="s" s="2">
        <f>_xlfn.IFERROR(INDEX('model_byCAP'!$D$2:$D$377,MATCH(Q172,'model_byCAP'!$A$2:$A$377,0)),0)</f>
        <v>392</v>
      </c>
    </row>
    <row r="173" ht="15.35" customHeight="1">
      <c r="A173" t="s" s="2">
        <v>427</v>
      </c>
      <c r="B173" s="4">
        <v>44522</v>
      </c>
      <c r="C173" s="5">
        <v>4200</v>
      </c>
      <c r="D173" s="5">
        <v>136</v>
      </c>
      <c r="E173" s="5">
        <v>82</v>
      </c>
      <c r="F173" t="s" s="2">
        <v>301</v>
      </c>
      <c r="G173" t="s" s="2">
        <v>428</v>
      </c>
      <c r="H173" s="5">
        <v>846</v>
      </c>
      <c r="I173" t="s" s="2">
        <v>429</v>
      </c>
      <c r="J173" t="s" s="2">
        <v>22</v>
      </c>
      <c r="K173" t="s" s="2">
        <v>430</v>
      </c>
      <c r="L173" t="s" s="2">
        <v>431</v>
      </c>
      <c r="M173" s="5">
        <v>573124.3</v>
      </c>
      <c r="N173" s="5">
        <v>6293805</v>
      </c>
      <c r="O173" t="s" s="2">
        <v>25</v>
      </c>
      <c r="P173" s="6"/>
      <c r="Q173" t="s" s="2">
        <v>432</v>
      </c>
      <c r="R173" t="s" s="2">
        <f>_xlfn.IFERROR(INDEX('model_byCAP'!$D$2:$D$377,MATCH(Q173,'model_byCAP'!$A$2:$A$377,0)),0)</f>
        <v>433</v>
      </c>
    </row>
    <row r="174" ht="15.35" customHeight="1">
      <c r="A174" t="s" s="2">
        <v>434</v>
      </c>
      <c r="B174" s="4">
        <v>44522</v>
      </c>
      <c r="C174" s="5">
        <v>4200</v>
      </c>
      <c r="D174" s="5">
        <v>136</v>
      </c>
      <c r="E174" s="5">
        <v>82</v>
      </c>
      <c r="F174" t="s" s="2">
        <v>301</v>
      </c>
      <c r="G174" t="s" s="2">
        <v>428</v>
      </c>
      <c r="H174" s="5">
        <v>846</v>
      </c>
      <c r="I174" t="s" s="2">
        <v>429</v>
      </c>
      <c r="J174" t="s" s="2">
        <v>22</v>
      </c>
      <c r="K174" t="s" s="2">
        <v>430</v>
      </c>
      <c r="L174" t="s" s="2">
        <v>431</v>
      </c>
      <c r="M174" s="5">
        <v>573022.1</v>
      </c>
      <c r="N174" s="5">
        <v>6294158.5</v>
      </c>
      <c r="O174" t="s" s="2">
        <v>25</v>
      </c>
      <c r="P174" s="6"/>
      <c r="Q174" t="s" s="2">
        <v>432</v>
      </c>
      <c r="R174" t="s" s="2">
        <f>_xlfn.IFERROR(INDEX('model_byCAP'!$D$2:$D$377,MATCH(Q174,'model_byCAP'!$A$2:$A$377,0)),0)</f>
        <v>433</v>
      </c>
    </row>
    <row r="175" ht="15.35" customHeight="1">
      <c r="A175" t="s" s="2">
        <v>435</v>
      </c>
      <c r="B175" s="4">
        <v>44523</v>
      </c>
      <c r="C175" s="5">
        <v>4200</v>
      </c>
      <c r="D175" s="5">
        <v>136</v>
      </c>
      <c r="E175" s="5">
        <v>82</v>
      </c>
      <c r="F175" t="s" s="2">
        <v>301</v>
      </c>
      <c r="G175" t="s" s="2">
        <v>428</v>
      </c>
      <c r="H175" s="5">
        <v>846</v>
      </c>
      <c r="I175" t="s" s="2">
        <v>429</v>
      </c>
      <c r="J175" t="s" s="2">
        <v>22</v>
      </c>
      <c r="K175" t="s" s="2">
        <v>430</v>
      </c>
      <c r="L175" t="s" s="2">
        <v>436</v>
      </c>
      <c r="M175" s="5">
        <v>572919.9</v>
      </c>
      <c r="N175" s="5">
        <v>6294512</v>
      </c>
      <c r="O175" t="s" s="2">
        <v>25</v>
      </c>
      <c r="P175" s="6"/>
      <c r="Q175" t="s" s="2">
        <v>432</v>
      </c>
      <c r="R175" t="s" s="2">
        <f>_xlfn.IFERROR(INDEX('model_byCAP'!$D$2:$D$377,MATCH(Q175,'model_byCAP'!$A$2:$A$377,0)),0)</f>
        <v>433</v>
      </c>
    </row>
    <row r="176" ht="15.35" customHeight="1">
      <c r="A176" t="s" s="2">
        <v>437</v>
      </c>
      <c r="B176" s="4">
        <v>44537</v>
      </c>
      <c r="C176" s="5">
        <v>4200</v>
      </c>
      <c r="D176" s="5">
        <v>136</v>
      </c>
      <c r="E176" s="5">
        <v>82</v>
      </c>
      <c r="F176" t="s" s="2">
        <v>301</v>
      </c>
      <c r="G176" t="s" s="2">
        <v>428</v>
      </c>
      <c r="H176" s="5">
        <v>846</v>
      </c>
      <c r="I176" t="s" s="2">
        <v>429</v>
      </c>
      <c r="J176" t="s" s="2">
        <v>22</v>
      </c>
      <c r="K176" t="s" s="2">
        <v>430</v>
      </c>
      <c r="L176" t="s" s="2">
        <v>438</v>
      </c>
      <c r="M176" s="5">
        <v>572817.7</v>
      </c>
      <c r="N176" s="5">
        <v>6294865.5</v>
      </c>
      <c r="O176" t="s" s="2">
        <v>25</v>
      </c>
      <c r="P176" s="6"/>
      <c r="Q176" t="s" s="2">
        <v>432</v>
      </c>
      <c r="R176" t="s" s="2">
        <f>_xlfn.IFERROR(INDEX('model_byCAP'!$D$2:$D$377,MATCH(Q176,'model_byCAP'!$A$2:$A$377,0)),0)</f>
        <v>433</v>
      </c>
    </row>
    <row r="177" ht="15.35" customHeight="1">
      <c r="A177" t="s" s="2">
        <v>439</v>
      </c>
      <c r="B177" s="4">
        <v>44537</v>
      </c>
      <c r="C177" s="5">
        <v>4200</v>
      </c>
      <c r="D177" s="5">
        <v>136</v>
      </c>
      <c r="E177" s="5">
        <v>82</v>
      </c>
      <c r="F177" t="s" s="2">
        <v>301</v>
      </c>
      <c r="G177" t="s" s="2">
        <v>428</v>
      </c>
      <c r="H177" s="5">
        <v>846</v>
      </c>
      <c r="I177" t="s" s="2">
        <v>429</v>
      </c>
      <c r="J177" t="s" s="2">
        <v>22</v>
      </c>
      <c r="K177" t="s" s="2">
        <v>430</v>
      </c>
      <c r="L177" t="s" s="2">
        <v>440</v>
      </c>
      <c r="M177" s="5">
        <v>572715.5</v>
      </c>
      <c r="N177" s="5">
        <v>6295219.1</v>
      </c>
      <c r="O177" t="s" s="2">
        <v>25</v>
      </c>
      <c r="P177" s="6"/>
      <c r="Q177" t="s" s="2">
        <v>432</v>
      </c>
      <c r="R177" t="s" s="2">
        <f>_xlfn.IFERROR(INDEX('model_byCAP'!$D$2:$D$377,MATCH(Q177,'model_byCAP'!$A$2:$A$377,0)),0)</f>
        <v>433</v>
      </c>
    </row>
    <row r="178" ht="15.35" customHeight="1">
      <c r="A178" t="s" s="2">
        <v>441</v>
      </c>
      <c r="B178" s="4">
        <v>44523</v>
      </c>
      <c r="C178" s="5">
        <v>4200</v>
      </c>
      <c r="D178" s="5">
        <v>136</v>
      </c>
      <c r="E178" s="5">
        <v>82</v>
      </c>
      <c r="F178" t="s" s="2">
        <v>301</v>
      </c>
      <c r="G178" t="s" s="2">
        <v>428</v>
      </c>
      <c r="H178" s="5">
        <v>846</v>
      </c>
      <c r="I178" t="s" s="2">
        <v>429</v>
      </c>
      <c r="J178" t="s" s="2">
        <v>22</v>
      </c>
      <c r="K178" t="s" s="2">
        <v>430</v>
      </c>
      <c r="L178" t="s" s="2">
        <v>442</v>
      </c>
      <c r="M178" s="5">
        <v>573457.4</v>
      </c>
      <c r="N178" s="5">
        <v>6294147.1</v>
      </c>
      <c r="O178" t="s" s="2">
        <v>25</v>
      </c>
      <c r="P178" s="6"/>
      <c r="Q178" t="s" s="2">
        <v>432</v>
      </c>
      <c r="R178" t="s" s="2">
        <f>_xlfn.IFERROR(INDEX('model_byCAP'!$D$2:$D$377,MATCH(Q178,'model_byCAP'!$A$2:$A$377,0)),0)</f>
        <v>433</v>
      </c>
    </row>
    <row r="179" ht="15.35" customHeight="1">
      <c r="A179" t="s" s="2">
        <v>443</v>
      </c>
      <c r="B179" s="4">
        <v>44523</v>
      </c>
      <c r="C179" s="5">
        <v>4200</v>
      </c>
      <c r="D179" s="5">
        <v>136</v>
      </c>
      <c r="E179" s="5">
        <v>82</v>
      </c>
      <c r="F179" t="s" s="2">
        <v>301</v>
      </c>
      <c r="G179" t="s" s="2">
        <v>428</v>
      </c>
      <c r="H179" s="5">
        <v>846</v>
      </c>
      <c r="I179" t="s" s="2">
        <v>429</v>
      </c>
      <c r="J179" t="s" s="2">
        <v>22</v>
      </c>
      <c r="K179" t="s" s="2">
        <v>430</v>
      </c>
      <c r="L179" t="s" s="2">
        <v>442</v>
      </c>
      <c r="M179" s="5">
        <v>573355.2</v>
      </c>
      <c r="N179" s="5">
        <v>6294500.6</v>
      </c>
      <c r="O179" t="s" s="2">
        <v>25</v>
      </c>
      <c r="P179" s="6"/>
      <c r="Q179" t="s" s="2">
        <v>432</v>
      </c>
      <c r="R179" t="s" s="2">
        <f>_xlfn.IFERROR(INDEX('model_byCAP'!$D$2:$D$377,MATCH(Q179,'model_byCAP'!$A$2:$A$377,0)),0)</f>
        <v>433</v>
      </c>
    </row>
    <row r="180" ht="15.35" customHeight="1">
      <c r="A180" t="s" s="2">
        <v>444</v>
      </c>
      <c r="B180" s="4">
        <v>44523</v>
      </c>
      <c r="C180" s="5">
        <v>4200</v>
      </c>
      <c r="D180" s="5">
        <v>136</v>
      </c>
      <c r="E180" s="5">
        <v>82</v>
      </c>
      <c r="F180" t="s" s="2">
        <v>301</v>
      </c>
      <c r="G180" t="s" s="2">
        <v>428</v>
      </c>
      <c r="H180" s="5">
        <v>846</v>
      </c>
      <c r="I180" t="s" s="2">
        <v>429</v>
      </c>
      <c r="J180" t="s" s="2">
        <v>22</v>
      </c>
      <c r="K180" t="s" s="2">
        <v>430</v>
      </c>
      <c r="L180" t="s" s="2">
        <v>445</v>
      </c>
      <c r="M180" s="5">
        <v>573252.9</v>
      </c>
      <c r="N180" s="5">
        <v>6294854.1</v>
      </c>
      <c r="O180" t="s" s="2">
        <v>25</v>
      </c>
      <c r="P180" s="6"/>
      <c r="Q180" t="s" s="2">
        <v>432</v>
      </c>
      <c r="R180" t="s" s="2">
        <f>_xlfn.IFERROR(INDEX('model_byCAP'!$D$2:$D$377,MATCH(Q180,'model_byCAP'!$A$2:$A$377,0)),0)</f>
        <v>433</v>
      </c>
    </row>
    <row r="181" ht="15.35" customHeight="1">
      <c r="A181" t="s" s="2">
        <v>446</v>
      </c>
      <c r="B181" s="4">
        <v>44537</v>
      </c>
      <c r="C181" s="5">
        <v>4200</v>
      </c>
      <c r="D181" s="5">
        <v>136</v>
      </c>
      <c r="E181" s="5">
        <v>82</v>
      </c>
      <c r="F181" t="s" s="2">
        <v>301</v>
      </c>
      <c r="G181" t="s" s="2">
        <v>428</v>
      </c>
      <c r="H181" s="5">
        <v>846</v>
      </c>
      <c r="I181" t="s" s="2">
        <v>429</v>
      </c>
      <c r="J181" t="s" s="2">
        <v>22</v>
      </c>
      <c r="K181" t="s" s="2">
        <v>430</v>
      </c>
      <c r="L181" t="s" s="2">
        <v>447</v>
      </c>
      <c r="M181" s="5">
        <v>573150.7</v>
      </c>
      <c r="N181" s="5">
        <v>6295207.6</v>
      </c>
      <c r="O181" t="s" s="2">
        <v>25</v>
      </c>
      <c r="P181" s="6"/>
      <c r="Q181" t="s" s="2">
        <v>432</v>
      </c>
      <c r="R181" t="s" s="2">
        <f>_xlfn.IFERROR(INDEX('model_byCAP'!$D$2:$D$377,MATCH(Q181,'model_byCAP'!$A$2:$A$377,0)),0)</f>
        <v>433</v>
      </c>
    </row>
    <row r="182" ht="15.35" customHeight="1">
      <c r="A182" t="s" s="2">
        <v>448</v>
      </c>
      <c r="B182" s="4">
        <v>43811</v>
      </c>
      <c r="C182" s="5">
        <v>4200</v>
      </c>
      <c r="D182" s="5">
        <v>136</v>
      </c>
      <c r="E182" s="5">
        <v>112</v>
      </c>
      <c r="F182" t="s" s="2">
        <v>42</v>
      </c>
      <c r="G182" t="s" s="2">
        <v>42</v>
      </c>
      <c r="H182" s="5">
        <v>860</v>
      </c>
      <c r="I182" t="s" s="2">
        <v>449</v>
      </c>
      <c r="J182" t="s" s="2">
        <v>22</v>
      </c>
      <c r="K182" t="s" s="2">
        <v>450</v>
      </c>
      <c r="L182" s="5">
        <v>1</v>
      </c>
      <c r="M182" s="5">
        <v>559263</v>
      </c>
      <c r="N182" s="5">
        <v>6383621</v>
      </c>
      <c r="O182" t="s" s="2">
        <v>25</v>
      </c>
      <c r="P182" s="5">
        <v>190569107</v>
      </c>
      <c r="Q182" t="s" s="2">
        <v>43</v>
      </c>
      <c r="R182" s="5">
        <f>_xlfn.IFERROR(INDEX('model_byCAP'!$D$2:$D$377,MATCH(Q182,'model_byCAP'!$A$2:$A$377,0)),0)</f>
        <v>0</v>
      </c>
    </row>
    <row r="183" ht="15.35" customHeight="1">
      <c r="A183" t="s" s="2">
        <v>451</v>
      </c>
      <c r="B183" s="4">
        <v>43817</v>
      </c>
      <c r="C183" s="5">
        <v>4200</v>
      </c>
      <c r="D183" s="5">
        <v>136</v>
      </c>
      <c r="E183" s="5">
        <v>112</v>
      </c>
      <c r="F183" t="s" s="2">
        <v>42</v>
      </c>
      <c r="G183" t="s" s="2">
        <v>42</v>
      </c>
      <c r="H183" s="5">
        <v>860</v>
      </c>
      <c r="I183" t="s" s="2">
        <v>449</v>
      </c>
      <c r="J183" t="s" s="2">
        <v>22</v>
      </c>
      <c r="K183" t="s" s="2">
        <v>450</v>
      </c>
      <c r="L183" s="5">
        <v>1</v>
      </c>
      <c r="M183" s="5">
        <v>559323</v>
      </c>
      <c r="N183" s="5">
        <v>6383896</v>
      </c>
      <c r="O183" t="s" s="2">
        <v>25</v>
      </c>
      <c r="P183" s="5">
        <v>190569114</v>
      </c>
      <c r="Q183" t="s" s="2">
        <v>43</v>
      </c>
      <c r="R183" s="5">
        <f>_xlfn.IFERROR(INDEX('model_byCAP'!$D$2:$D$377,MATCH(Q183,'model_byCAP'!$A$2:$A$377,0)),0)</f>
        <v>0</v>
      </c>
    </row>
    <row r="184" ht="15.35" customHeight="1">
      <c r="A184" t="s" s="2">
        <v>452</v>
      </c>
      <c r="B184" s="4">
        <v>43819</v>
      </c>
      <c r="C184" s="5">
        <v>4200</v>
      </c>
      <c r="D184" s="5">
        <v>136</v>
      </c>
      <c r="E184" s="5">
        <v>112</v>
      </c>
      <c r="F184" t="s" s="2">
        <v>42</v>
      </c>
      <c r="G184" t="s" s="2">
        <v>42</v>
      </c>
      <c r="H184" s="5">
        <v>860</v>
      </c>
      <c r="I184" t="s" s="2">
        <v>449</v>
      </c>
      <c r="J184" t="s" s="2">
        <v>22</v>
      </c>
      <c r="K184" t="s" s="2">
        <v>450</v>
      </c>
      <c r="L184" s="5">
        <v>1</v>
      </c>
      <c r="M184" s="5">
        <v>559132</v>
      </c>
      <c r="N184" s="5">
        <v>6384110</v>
      </c>
      <c r="O184" t="s" s="2">
        <v>25</v>
      </c>
      <c r="P184" s="5">
        <v>190569121</v>
      </c>
      <c r="Q184" t="s" s="2">
        <v>43</v>
      </c>
      <c r="R184" s="5">
        <f>_xlfn.IFERROR(INDEX('model_byCAP'!$D$2:$D$377,MATCH(Q184,'model_byCAP'!$A$2:$A$377,0)),0)</f>
        <v>0</v>
      </c>
    </row>
    <row r="185" ht="15.35" customHeight="1">
      <c r="A185" t="s" s="2">
        <v>453</v>
      </c>
      <c r="B185" s="4">
        <v>43818</v>
      </c>
      <c r="C185" s="5">
        <v>4200</v>
      </c>
      <c r="D185" s="5">
        <v>136</v>
      </c>
      <c r="E185" s="5">
        <v>112</v>
      </c>
      <c r="F185" t="s" s="2">
        <v>42</v>
      </c>
      <c r="G185" t="s" s="2">
        <v>42</v>
      </c>
      <c r="H185" s="5">
        <v>860</v>
      </c>
      <c r="I185" t="s" s="2">
        <v>449</v>
      </c>
      <c r="J185" t="s" s="2">
        <v>22</v>
      </c>
      <c r="K185" t="s" s="2">
        <v>450</v>
      </c>
      <c r="L185" s="5">
        <v>1</v>
      </c>
      <c r="M185" s="5">
        <v>558745</v>
      </c>
      <c r="N185" s="5">
        <v>6384122</v>
      </c>
      <c r="O185" t="s" s="2">
        <v>25</v>
      </c>
      <c r="P185" s="5">
        <v>190569138</v>
      </c>
      <c r="Q185" t="s" s="2">
        <v>43</v>
      </c>
      <c r="R185" s="5">
        <f>_xlfn.IFERROR(INDEX('model_byCAP'!$D$2:$D$377,MATCH(Q185,'model_byCAP'!$A$2:$A$377,0)),0)</f>
        <v>0</v>
      </c>
    </row>
    <row r="186" ht="15.35" customHeight="1">
      <c r="A186" t="s" s="2">
        <v>454</v>
      </c>
      <c r="B186" s="4">
        <v>43140</v>
      </c>
      <c r="C186" s="5">
        <v>4100</v>
      </c>
      <c r="D186" s="5">
        <v>142</v>
      </c>
      <c r="E186" s="5">
        <v>109</v>
      </c>
      <c r="F186" t="s" s="2">
        <v>29</v>
      </c>
      <c r="G186" t="s" s="2">
        <v>455</v>
      </c>
      <c r="H186" s="5">
        <v>756</v>
      </c>
      <c r="I186" t="s" s="2">
        <v>456</v>
      </c>
      <c r="J186" t="s" s="2">
        <v>22</v>
      </c>
      <c r="K186" t="s" s="2">
        <v>457</v>
      </c>
      <c r="L186" t="s" s="2">
        <v>458</v>
      </c>
      <c r="M186" s="5">
        <v>505679.74</v>
      </c>
      <c r="N186" s="5">
        <v>6195396.23</v>
      </c>
      <c r="O186" t="s" s="2">
        <v>25</v>
      </c>
      <c r="P186" s="5">
        <v>516209</v>
      </c>
      <c r="Q186" t="s" s="2">
        <v>459</v>
      </c>
      <c r="R186" t="s" s="2">
        <f>_xlfn.IFERROR(INDEX('model_byCAP'!$D$2:$D$377,MATCH(Q186,'model_byCAP'!$A$2:$A$377,0)),0)</f>
        <v>460</v>
      </c>
    </row>
    <row r="187" ht="15.35" customHeight="1">
      <c r="A187" t="s" s="2">
        <v>461</v>
      </c>
      <c r="B187" s="4">
        <v>42860</v>
      </c>
      <c r="C187" s="5">
        <v>3600</v>
      </c>
      <c r="D187" s="5">
        <v>117</v>
      </c>
      <c r="E187" s="5">
        <v>91.5</v>
      </c>
      <c r="F187" t="s" s="2">
        <v>301</v>
      </c>
      <c r="G187" t="s" s="2">
        <v>462</v>
      </c>
      <c r="H187" s="5">
        <v>360</v>
      </c>
      <c r="I187" t="s" s="2">
        <v>463</v>
      </c>
      <c r="J187" t="s" s="2">
        <v>22</v>
      </c>
      <c r="K187" t="s" s="2">
        <v>464</v>
      </c>
      <c r="L187" t="s" s="2">
        <v>465</v>
      </c>
      <c r="M187" s="5">
        <v>628741.48</v>
      </c>
      <c r="N187" s="5">
        <v>6070741.66</v>
      </c>
      <c r="O187" t="s" s="2">
        <v>305</v>
      </c>
      <c r="P187" s="5">
        <v>61070533</v>
      </c>
      <c r="Q187" t="s" s="2">
        <v>466</v>
      </c>
      <c r="R187" t="s" s="2">
        <f>_xlfn.IFERROR(INDEX('model_byCAP'!$D$2:$D$377,MATCH(Q187,'model_byCAP'!$A$2:$A$377,0)),0)</f>
        <v>467</v>
      </c>
    </row>
    <row r="188" ht="15.35" customHeight="1">
      <c r="A188" t="s" s="2">
        <v>468</v>
      </c>
      <c r="B188" s="4">
        <v>42851</v>
      </c>
      <c r="C188" s="5">
        <v>3600</v>
      </c>
      <c r="D188" s="5">
        <v>117</v>
      </c>
      <c r="E188" s="5">
        <v>116.5</v>
      </c>
      <c r="F188" t="s" s="2">
        <v>301</v>
      </c>
      <c r="G188" t="s" s="2">
        <v>462</v>
      </c>
      <c r="H188" s="5">
        <v>360</v>
      </c>
      <c r="I188" t="s" s="2">
        <v>463</v>
      </c>
      <c r="J188" t="s" s="2">
        <v>22</v>
      </c>
      <c r="K188" t="s" s="2">
        <v>464</v>
      </c>
      <c r="L188" t="s" s="2">
        <v>469</v>
      </c>
      <c r="M188" s="5">
        <v>628931.9</v>
      </c>
      <c r="N188" s="5">
        <v>6070480.7</v>
      </c>
      <c r="O188" t="s" s="2">
        <v>305</v>
      </c>
      <c r="P188" s="5">
        <v>61070543</v>
      </c>
      <c r="Q188" t="s" s="2">
        <v>466</v>
      </c>
      <c r="R188" t="s" s="2">
        <f>_xlfn.IFERROR(INDEX('model_byCAP'!$D$2:$D$377,MATCH(Q188,'model_byCAP'!$A$2:$A$377,0)),0)</f>
        <v>467</v>
      </c>
    </row>
    <row r="189" ht="15.35" customHeight="1">
      <c r="A189" t="s" s="2">
        <v>470</v>
      </c>
      <c r="B189" s="4">
        <v>42823</v>
      </c>
      <c r="C189" s="5">
        <v>3600</v>
      </c>
      <c r="D189" s="5">
        <v>117</v>
      </c>
      <c r="E189" s="5">
        <v>116.5</v>
      </c>
      <c r="F189" t="s" s="2">
        <v>301</v>
      </c>
      <c r="G189" t="s" s="2">
        <v>462</v>
      </c>
      <c r="H189" s="5">
        <v>360</v>
      </c>
      <c r="I189" t="s" s="2">
        <v>463</v>
      </c>
      <c r="J189" t="s" s="2">
        <v>22</v>
      </c>
      <c r="K189" t="s" s="2">
        <v>464</v>
      </c>
      <c r="L189" t="s" s="2">
        <v>471</v>
      </c>
      <c r="M189" s="5">
        <v>629501.51</v>
      </c>
      <c r="N189" s="5">
        <v>6070103.22</v>
      </c>
      <c r="O189" t="s" s="2">
        <v>305</v>
      </c>
      <c r="P189" s="5">
        <v>61070576</v>
      </c>
      <c r="Q189" t="s" s="2">
        <v>466</v>
      </c>
      <c r="R189" t="s" s="2">
        <f>_xlfn.IFERROR(INDEX('model_byCAP'!$D$2:$D$377,MATCH(Q189,'model_byCAP'!$A$2:$A$377,0)),0)</f>
        <v>467</v>
      </c>
    </row>
    <row r="190" ht="15.35" customHeight="1">
      <c r="A190" t="s" s="2">
        <v>472</v>
      </c>
      <c r="B190" s="4">
        <v>42814</v>
      </c>
      <c r="C190" s="5">
        <v>3600</v>
      </c>
      <c r="D190" s="5">
        <v>117</v>
      </c>
      <c r="E190" s="5">
        <v>91.5</v>
      </c>
      <c r="F190" t="s" s="2">
        <v>301</v>
      </c>
      <c r="G190" t="s" s="2">
        <v>462</v>
      </c>
      <c r="H190" s="5">
        <v>360</v>
      </c>
      <c r="I190" t="s" s="2">
        <v>463</v>
      </c>
      <c r="J190" t="s" s="2">
        <v>22</v>
      </c>
      <c r="K190" t="s" s="2">
        <v>473</v>
      </c>
      <c r="L190" t="s" s="2">
        <v>474</v>
      </c>
      <c r="M190" s="5">
        <v>629770.6</v>
      </c>
      <c r="N190" s="5">
        <v>6069989.63</v>
      </c>
      <c r="O190" t="s" s="2">
        <v>305</v>
      </c>
      <c r="P190" s="5">
        <v>61070621</v>
      </c>
      <c r="Q190" t="s" s="2">
        <v>466</v>
      </c>
      <c r="R190" t="s" s="2">
        <f>_xlfn.IFERROR(INDEX('model_byCAP'!$D$2:$D$377,MATCH(Q190,'model_byCAP'!$A$2:$A$377,0)),0)</f>
        <v>467</v>
      </c>
    </row>
    <row r="191" ht="15.35" customHeight="1">
      <c r="A191" t="s" s="2">
        <v>475</v>
      </c>
      <c r="B191" s="4">
        <v>42823</v>
      </c>
      <c r="C191" s="5">
        <v>3600</v>
      </c>
      <c r="D191" s="5">
        <v>117</v>
      </c>
      <c r="E191" s="5">
        <v>91.5</v>
      </c>
      <c r="F191" t="s" s="2">
        <v>301</v>
      </c>
      <c r="G191" t="s" s="2">
        <v>462</v>
      </c>
      <c r="H191" s="5">
        <v>360</v>
      </c>
      <c r="I191" t="s" s="2">
        <v>463</v>
      </c>
      <c r="J191" t="s" s="2">
        <v>22</v>
      </c>
      <c r="K191" t="s" s="2">
        <v>464</v>
      </c>
      <c r="L191" t="s" s="2">
        <v>476</v>
      </c>
      <c r="M191" s="5">
        <v>629486.2</v>
      </c>
      <c r="N191" s="5">
        <v>6070609.3</v>
      </c>
      <c r="O191" t="s" s="2">
        <v>305</v>
      </c>
      <c r="P191" s="5">
        <v>61070651</v>
      </c>
      <c r="Q191" t="s" s="2">
        <v>466</v>
      </c>
      <c r="R191" t="s" s="2">
        <f>_xlfn.IFERROR(INDEX('model_byCAP'!$D$2:$D$377,MATCH(Q191,'model_byCAP'!$A$2:$A$377,0)),0)</f>
        <v>467</v>
      </c>
    </row>
    <row r="192" ht="15.35" customHeight="1">
      <c r="A192" t="s" s="2">
        <v>477</v>
      </c>
      <c r="B192" s="4">
        <v>42819</v>
      </c>
      <c r="C192" s="5">
        <v>3600</v>
      </c>
      <c r="D192" s="5">
        <v>117</v>
      </c>
      <c r="E192" s="5">
        <v>91.5</v>
      </c>
      <c r="F192" t="s" s="2">
        <v>301</v>
      </c>
      <c r="G192" t="s" s="2">
        <v>462</v>
      </c>
      <c r="H192" s="5">
        <v>360</v>
      </c>
      <c r="I192" t="s" s="2">
        <v>463</v>
      </c>
      <c r="J192" t="s" s="2">
        <v>22</v>
      </c>
      <c r="K192" t="s" s="2">
        <v>464</v>
      </c>
      <c r="L192" t="s" s="2">
        <v>478</v>
      </c>
      <c r="M192" s="5">
        <v>629881.14</v>
      </c>
      <c r="N192" s="5">
        <v>6070443.52</v>
      </c>
      <c r="O192" t="s" s="2">
        <v>305</v>
      </c>
      <c r="P192" s="5">
        <v>61070660</v>
      </c>
      <c r="Q192" t="s" s="2">
        <v>466</v>
      </c>
      <c r="R192" t="s" s="2">
        <f>_xlfn.IFERROR(INDEX('model_byCAP'!$D$2:$D$377,MATCH(Q192,'model_byCAP'!$A$2:$A$377,0)),0)</f>
        <v>467</v>
      </c>
    </row>
    <row r="193" ht="15.35" customHeight="1">
      <c r="A193" t="s" s="2">
        <v>479</v>
      </c>
      <c r="B193" s="4">
        <v>43099</v>
      </c>
      <c r="C193" s="5">
        <v>3600</v>
      </c>
      <c r="D193" s="5">
        <v>117</v>
      </c>
      <c r="E193" s="5">
        <v>91.5</v>
      </c>
      <c r="F193" t="s" s="2">
        <v>301</v>
      </c>
      <c r="G193" t="s" s="2">
        <v>462</v>
      </c>
      <c r="H193" s="5">
        <v>360</v>
      </c>
      <c r="I193" t="s" s="2">
        <v>463</v>
      </c>
      <c r="J193" t="s" s="2">
        <v>22</v>
      </c>
      <c r="K193" t="s" s="2">
        <v>480</v>
      </c>
      <c r="L193" t="s" s="2">
        <v>481</v>
      </c>
      <c r="M193" s="5">
        <v>633222</v>
      </c>
      <c r="N193" s="5">
        <v>6089238</v>
      </c>
      <c r="O193" t="s" s="2">
        <v>305</v>
      </c>
      <c r="P193" s="5">
        <v>61099537</v>
      </c>
      <c r="Q193" t="s" s="2">
        <v>466</v>
      </c>
      <c r="R193" t="s" s="2">
        <f>_xlfn.IFERROR(INDEX('model_byCAP'!$D$2:$D$377,MATCH(Q193,'model_byCAP'!$A$2:$A$377,0)),0)</f>
        <v>467</v>
      </c>
    </row>
    <row r="194" ht="15.35" customHeight="1">
      <c r="A194" t="s" s="2">
        <v>482</v>
      </c>
      <c r="B194" s="4">
        <v>43100</v>
      </c>
      <c r="C194" s="5">
        <v>3600</v>
      </c>
      <c r="D194" s="5">
        <v>117</v>
      </c>
      <c r="E194" s="5">
        <v>91.5</v>
      </c>
      <c r="F194" t="s" s="2">
        <v>301</v>
      </c>
      <c r="G194" t="s" s="2">
        <v>462</v>
      </c>
      <c r="H194" s="5">
        <v>360</v>
      </c>
      <c r="I194" t="s" s="2">
        <v>463</v>
      </c>
      <c r="J194" t="s" s="2">
        <v>22</v>
      </c>
      <c r="K194" t="s" s="2">
        <v>480</v>
      </c>
      <c r="L194" t="s" s="2">
        <v>481</v>
      </c>
      <c r="M194" s="5">
        <v>633490</v>
      </c>
      <c r="N194" s="5">
        <v>6089466</v>
      </c>
      <c r="O194" t="s" s="2">
        <v>305</v>
      </c>
      <c r="P194" s="5">
        <v>61099572</v>
      </c>
      <c r="Q194" t="s" s="2">
        <v>466</v>
      </c>
      <c r="R194" t="s" s="2">
        <f>_xlfn.IFERROR(INDEX('model_byCAP'!$D$2:$D$377,MATCH(Q194,'model_byCAP'!$A$2:$A$377,0)),0)</f>
        <v>467</v>
      </c>
    </row>
    <row r="195" ht="15.35" customHeight="1">
      <c r="A195" t="s" s="2">
        <v>483</v>
      </c>
      <c r="B195" s="4">
        <v>43100</v>
      </c>
      <c r="C195" s="5">
        <v>3600</v>
      </c>
      <c r="D195" s="5">
        <v>117</v>
      </c>
      <c r="E195" s="5">
        <v>91.5</v>
      </c>
      <c r="F195" t="s" s="2">
        <v>301</v>
      </c>
      <c r="G195" t="s" s="2">
        <v>462</v>
      </c>
      <c r="H195" s="5">
        <v>360</v>
      </c>
      <c r="I195" t="s" s="2">
        <v>463</v>
      </c>
      <c r="J195" t="s" s="2">
        <v>22</v>
      </c>
      <c r="K195" t="s" s="2">
        <v>480</v>
      </c>
      <c r="L195" t="s" s="2">
        <v>481</v>
      </c>
      <c r="M195" s="5">
        <v>633757</v>
      </c>
      <c r="N195" s="5">
        <v>6089698</v>
      </c>
      <c r="O195" t="s" s="2">
        <v>25</v>
      </c>
      <c r="P195" s="5">
        <v>61099552</v>
      </c>
      <c r="Q195" t="s" s="2">
        <v>466</v>
      </c>
      <c r="R195" t="s" s="2">
        <f>_xlfn.IFERROR(INDEX('model_byCAP'!$D$2:$D$377,MATCH(Q195,'model_byCAP'!$A$2:$A$377,0)),0)</f>
        <v>467</v>
      </c>
    </row>
    <row r="196" ht="15.35" customHeight="1">
      <c r="A196" t="s" s="2">
        <v>484</v>
      </c>
      <c r="B196" s="4">
        <v>43099</v>
      </c>
      <c r="C196" s="5">
        <v>3600</v>
      </c>
      <c r="D196" s="5">
        <v>117</v>
      </c>
      <c r="E196" s="5">
        <v>91.5</v>
      </c>
      <c r="F196" t="s" s="2">
        <v>301</v>
      </c>
      <c r="G196" t="s" s="2">
        <v>462</v>
      </c>
      <c r="H196" s="5">
        <v>360</v>
      </c>
      <c r="I196" t="s" s="2">
        <v>463</v>
      </c>
      <c r="J196" t="s" s="2">
        <v>22</v>
      </c>
      <c r="K196" t="s" s="2">
        <v>480</v>
      </c>
      <c r="L196" t="s" s="2">
        <v>481</v>
      </c>
      <c r="M196" s="5">
        <v>634027</v>
      </c>
      <c r="N196" s="5">
        <v>6089918</v>
      </c>
      <c r="O196" t="s" s="2">
        <v>305</v>
      </c>
      <c r="P196" s="5">
        <v>61099553</v>
      </c>
      <c r="Q196" t="s" s="2">
        <v>466</v>
      </c>
      <c r="R196" t="s" s="2">
        <f>_xlfn.IFERROR(INDEX('model_byCAP'!$D$2:$D$377,MATCH(Q196,'model_byCAP'!$A$2:$A$377,0)),0)</f>
        <v>467</v>
      </c>
    </row>
    <row r="197" ht="15.35" customHeight="1">
      <c r="A197" t="s" s="2">
        <v>485</v>
      </c>
      <c r="B197" s="4">
        <v>43118</v>
      </c>
      <c r="C197" s="5">
        <v>3600</v>
      </c>
      <c r="D197" s="5">
        <v>117</v>
      </c>
      <c r="E197" s="5">
        <v>91.5</v>
      </c>
      <c r="F197" t="s" s="2">
        <v>301</v>
      </c>
      <c r="G197" t="s" s="2">
        <v>462</v>
      </c>
      <c r="H197" s="5">
        <v>360</v>
      </c>
      <c r="I197" t="s" s="2">
        <v>463</v>
      </c>
      <c r="J197" t="s" s="2">
        <v>22</v>
      </c>
      <c r="K197" t="s" s="2">
        <v>480</v>
      </c>
      <c r="L197" t="s" s="2">
        <v>481</v>
      </c>
      <c r="M197" s="5">
        <v>632545.92</v>
      </c>
      <c r="N197" s="5">
        <v>6089299.29</v>
      </c>
      <c r="O197" t="s" s="2">
        <v>305</v>
      </c>
      <c r="P197" s="5">
        <v>61099554</v>
      </c>
      <c r="Q197" t="s" s="2">
        <v>466</v>
      </c>
      <c r="R197" t="s" s="2">
        <f>_xlfn.IFERROR(INDEX('model_byCAP'!$D$2:$D$377,MATCH(Q197,'model_byCAP'!$A$2:$A$377,0)),0)</f>
        <v>467</v>
      </c>
    </row>
    <row r="198" ht="15.35" customHeight="1">
      <c r="A198" t="s" s="2">
        <v>486</v>
      </c>
      <c r="B198" s="4">
        <v>43098</v>
      </c>
      <c r="C198" s="5">
        <v>3600</v>
      </c>
      <c r="D198" s="5">
        <v>117</v>
      </c>
      <c r="E198" s="5">
        <v>91.5</v>
      </c>
      <c r="F198" t="s" s="2">
        <v>301</v>
      </c>
      <c r="G198" t="s" s="2">
        <v>462</v>
      </c>
      <c r="H198" s="5">
        <v>360</v>
      </c>
      <c r="I198" t="s" s="2">
        <v>463</v>
      </c>
      <c r="J198" t="s" s="2">
        <v>22</v>
      </c>
      <c r="K198" t="s" s="2">
        <v>480</v>
      </c>
      <c r="L198" t="s" s="2">
        <v>481</v>
      </c>
      <c r="M198" s="5">
        <v>632808.33</v>
      </c>
      <c r="N198" s="5">
        <v>6089524.06</v>
      </c>
      <c r="O198" t="s" s="2">
        <v>305</v>
      </c>
      <c r="P198" s="5">
        <v>61099557</v>
      </c>
      <c r="Q198" t="s" s="2">
        <v>466</v>
      </c>
      <c r="R198" t="s" s="2">
        <f>_xlfn.IFERROR(INDEX('model_byCAP'!$D$2:$D$377,MATCH(Q198,'model_byCAP'!$A$2:$A$377,0)),0)</f>
        <v>467</v>
      </c>
    </row>
    <row r="199" ht="15.35" customHeight="1">
      <c r="A199" t="s" s="2">
        <v>487</v>
      </c>
      <c r="B199" s="4">
        <v>43098</v>
      </c>
      <c r="C199" s="5">
        <v>3600</v>
      </c>
      <c r="D199" s="5">
        <v>117</v>
      </c>
      <c r="E199" s="5">
        <v>91.5</v>
      </c>
      <c r="F199" t="s" s="2">
        <v>301</v>
      </c>
      <c r="G199" t="s" s="2">
        <v>462</v>
      </c>
      <c r="H199" s="5">
        <v>360</v>
      </c>
      <c r="I199" t="s" s="2">
        <v>463</v>
      </c>
      <c r="J199" t="s" s="2">
        <v>22</v>
      </c>
      <c r="K199" t="s" s="2">
        <v>480</v>
      </c>
      <c r="L199" t="s" s="2">
        <v>481</v>
      </c>
      <c r="M199" s="5">
        <v>633074</v>
      </c>
      <c r="N199" s="5">
        <v>6089751</v>
      </c>
      <c r="O199" t="s" s="2">
        <v>305</v>
      </c>
      <c r="P199" s="5">
        <v>61099562</v>
      </c>
      <c r="Q199" t="s" s="2">
        <v>466</v>
      </c>
      <c r="R199" t="s" s="2">
        <f>_xlfn.IFERROR(INDEX('model_byCAP'!$D$2:$D$377,MATCH(Q199,'model_byCAP'!$A$2:$A$377,0)),0)</f>
        <v>467</v>
      </c>
    </row>
    <row r="200" ht="15.35" customHeight="1">
      <c r="A200" t="s" s="2">
        <v>488</v>
      </c>
      <c r="B200" s="4">
        <v>43116</v>
      </c>
      <c r="C200" s="5">
        <v>3600</v>
      </c>
      <c r="D200" s="5">
        <v>117</v>
      </c>
      <c r="E200" s="5">
        <v>91.5</v>
      </c>
      <c r="F200" t="s" s="2">
        <v>301</v>
      </c>
      <c r="G200" t="s" s="2">
        <v>462</v>
      </c>
      <c r="H200" s="5">
        <v>360</v>
      </c>
      <c r="I200" t="s" s="2">
        <v>463</v>
      </c>
      <c r="J200" t="s" s="2">
        <v>22</v>
      </c>
      <c r="K200" t="s" s="2">
        <v>480</v>
      </c>
      <c r="L200" t="s" s="2">
        <v>481</v>
      </c>
      <c r="M200" s="5">
        <v>633343.88</v>
      </c>
      <c r="N200" s="5">
        <v>6089982.77</v>
      </c>
      <c r="O200" t="s" s="2">
        <v>305</v>
      </c>
      <c r="P200" s="5">
        <v>61099564</v>
      </c>
      <c r="Q200" t="s" s="2">
        <v>466</v>
      </c>
      <c r="R200" t="s" s="2">
        <f>_xlfn.IFERROR(INDEX('model_byCAP'!$D$2:$D$377,MATCH(Q200,'model_byCAP'!$A$2:$A$377,0)),0)</f>
        <v>467</v>
      </c>
    </row>
    <row r="201" ht="15.35" customHeight="1">
      <c r="A201" t="s" s="2">
        <v>489</v>
      </c>
      <c r="B201" s="4">
        <v>43082</v>
      </c>
      <c r="C201" s="5">
        <v>3600</v>
      </c>
      <c r="D201" s="5">
        <v>117</v>
      </c>
      <c r="E201" s="5">
        <v>91.5</v>
      </c>
      <c r="F201" t="s" s="2">
        <v>301</v>
      </c>
      <c r="G201" t="s" s="2">
        <v>462</v>
      </c>
      <c r="H201" s="5">
        <v>360</v>
      </c>
      <c r="I201" t="s" s="2">
        <v>463</v>
      </c>
      <c r="J201" t="s" s="2">
        <v>22</v>
      </c>
      <c r="K201" t="s" s="2">
        <v>480</v>
      </c>
      <c r="L201" t="s" s="2">
        <v>481</v>
      </c>
      <c r="M201" s="5">
        <v>633608</v>
      </c>
      <c r="N201" s="5">
        <v>6090209</v>
      </c>
      <c r="O201" t="s" s="2">
        <v>305</v>
      </c>
      <c r="P201" s="5">
        <v>61099567</v>
      </c>
      <c r="Q201" t="s" s="2">
        <v>466</v>
      </c>
      <c r="R201" t="s" s="2">
        <f>_xlfn.IFERROR(INDEX('model_byCAP'!$D$2:$D$377,MATCH(Q201,'model_byCAP'!$A$2:$A$377,0)),0)</f>
        <v>467</v>
      </c>
    </row>
    <row r="202" ht="15.35" customHeight="1">
      <c r="A202" t="s" s="2">
        <v>490</v>
      </c>
      <c r="B202" s="4">
        <v>43099</v>
      </c>
      <c r="C202" s="5">
        <v>3600</v>
      </c>
      <c r="D202" s="5">
        <v>117</v>
      </c>
      <c r="E202" s="5">
        <v>91.5</v>
      </c>
      <c r="F202" t="s" s="2">
        <v>301</v>
      </c>
      <c r="G202" t="s" s="2">
        <v>462</v>
      </c>
      <c r="H202" s="5">
        <v>360</v>
      </c>
      <c r="I202" t="s" s="2">
        <v>463</v>
      </c>
      <c r="J202" t="s" s="2">
        <v>22</v>
      </c>
      <c r="K202" t="s" s="2">
        <v>491</v>
      </c>
      <c r="L202" t="s" s="2">
        <v>492</v>
      </c>
      <c r="M202" s="5">
        <v>644923</v>
      </c>
      <c r="N202" s="5">
        <v>6069366</v>
      </c>
      <c r="O202" t="s" s="2">
        <v>305</v>
      </c>
      <c r="P202" s="5">
        <v>61100486</v>
      </c>
      <c r="Q202" t="s" s="2">
        <v>466</v>
      </c>
      <c r="R202" t="s" s="2">
        <f>_xlfn.IFERROR(INDEX('model_byCAP'!$D$2:$D$377,MATCH(Q202,'model_byCAP'!$A$2:$A$377,0)),0)</f>
        <v>467</v>
      </c>
    </row>
    <row r="203" ht="15.35" customHeight="1">
      <c r="A203" t="s" s="2">
        <v>493</v>
      </c>
      <c r="B203" s="4">
        <v>43099</v>
      </c>
      <c r="C203" s="5">
        <v>3600</v>
      </c>
      <c r="D203" s="5">
        <v>117</v>
      </c>
      <c r="E203" s="5">
        <v>91.5</v>
      </c>
      <c r="F203" t="s" s="2">
        <v>301</v>
      </c>
      <c r="G203" t="s" s="2">
        <v>462</v>
      </c>
      <c r="H203" s="5">
        <v>360</v>
      </c>
      <c r="I203" t="s" s="2">
        <v>463</v>
      </c>
      <c r="J203" t="s" s="2">
        <v>22</v>
      </c>
      <c r="K203" t="s" s="2">
        <v>491</v>
      </c>
      <c r="L203" t="s" s="2">
        <v>492</v>
      </c>
      <c r="M203" s="5">
        <v>645231</v>
      </c>
      <c r="N203" s="5">
        <v>6069252</v>
      </c>
      <c r="O203" t="s" s="2">
        <v>305</v>
      </c>
      <c r="P203" s="5">
        <v>61100494</v>
      </c>
      <c r="Q203" t="s" s="2">
        <v>466</v>
      </c>
      <c r="R203" t="s" s="2">
        <f>_xlfn.IFERROR(INDEX('model_byCAP'!$D$2:$D$377,MATCH(Q203,'model_byCAP'!$A$2:$A$377,0)),0)</f>
        <v>467</v>
      </c>
    </row>
    <row r="204" ht="15.35" customHeight="1">
      <c r="A204" t="s" s="2">
        <v>494</v>
      </c>
      <c r="B204" s="4">
        <v>43099</v>
      </c>
      <c r="C204" s="5">
        <v>3600</v>
      </c>
      <c r="D204" s="5">
        <v>117</v>
      </c>
      <c r="E204" s="5">
        <v>91.5</v>
      </c>
      <c r="F204" t="s" s="2">
        <v>301</v>
      </c>
      <c r="G204" t="s" s="2">
        <v>462</v>
      </c>
      <c r="H204" s="5">
        <v>360</v>
      </c>
      <c r="I204" t="s" s="2">
        <v>463</v>
      </c>
      <c r="J204" t="s" s="2">
        <v>22</v>
      </c>
      <c r="K204" t="s" s="2">
        <v>495</v>
      </c>
      <c r="L204" s="5">
        <v>2</v>
      </c>
      <c r="M204" s="5">
        <v>645539</v>
      </c>
      <c r="N204" s="5">
        <v>6069138</v>
      </c>
      <c r="O204" t="s" s="2">
        <v>305</v>
      </c>
      <c r="P204" s="5">
        <v>61100783</v>
      </c>
      <c r="Q204" t="s" s="2">
        <v>466</v>
      </c>
      <c r="R204" t="s" s="2">
        <f>_xlfn.IFERROR(INDEX('model_byCAP'!$D$2:$D$377,MATCH(Q204,'model_byCAP'!$A$2:$A$377,0)),0)</f>
        <v>467</v>
      </c>
    </row>
    <row r="205" ht="15.35" customHeight="1">
      <c r="A205" t="s" s="2">
        <v>496</v>
      </c>
      <c r="B205" s="4">
        <v>43091</v>
      </c>
      <c r="C205" s="5">
        <v>3600</v>
      </c>
      <c r="D205" s="5">
        <v>117</v>
      </c>
      <c r="E205" s="5">
        <v>91.5</v>
      </c>
      <c r="F205" t="s" s="2">
        <v>301</v>
      </c>
      <c r="G205" t="s" s="2">
        <v>462</v>
      </c>
      <c r="H205" s="5">
        <v>360</v>
      </c>
      <c r="I205" t="s" s="2">
        <v>463</v>
      </c>
      <c r="J205" t="s" s="2">
        <v>22</v>
      </c>
      <c r="K205" t="s" s="2">
        <v>497</v>
      </c>
      <c r="L205" t="s" s="2">
        <v>498</v>
      </c>
      <c r="M205" s="5">
        <v>645847</v>
      </c>
      <c r="N205" s="5">
        <v>6069024</v>
      </c>
      <c r="O205" t="s" s="2">
        <v>305</v>
      </c>
      <c r="P205" s="5">
        <v>61100786</v>
      </c>
      <c r="Q205" t="s" s="2">
        <v>466</v>
      </c>
      <c r="R205" t="s" s="2">
        <f>_xlfn.IFERROR(INDEX('model_byCAP'!$D$2:$D$377,MATCH(Q205,'model_byCAP'!$A$2:$A$377,0)),0)</f>
        <v>467</v>
      </c>
    </row>
    <row r="206" ht="15.35" customHeight="1">
      <c r="A206" t="s" s="2">
        <v>499</v>
      </c>
      <c r="B206" s="4">
        <v>43092</v>
      </c>
      <c r="C206" s="5">
        <v>3600</v>
      </c>
      <c r="D206" s="5">
        <v>117</v>
      </c>
      <c r="E206" s="5">
        <v>91.5</v>
      </c>
      <c r="F206" t="s" s="2">
        <v>301</v>
      </c>
      <c r="G206" t="s" s="2">
        <v>462</v>
      </c>
      <c r="H206" s="5">
        <v>360</v>
      </c>
      <c r="I206" t="s" s="2">
        <v>463</v>
      </c>
      <c r="J206" t="s" s="2">
        <v>22</v>
      </c>
      <c r="K206" t="s" s="2">
        <v>497</v>
      </c>
      <c r="L206" t="s" s="2">
        <v>500</v>
      </c>
      <c r="M206" s="5">
        <v>646153</v>
      </c>
      <c r="N206" s="5">
        <v>6068910</v>
      </c>
      <c r="O206" t="s" s="2">
        <v>305</v>
      </c>
      <c r="P206" s="5">
        <v>61100791</v>
      </c>
      <c r="Q206" t="s" s="2">
        <v>466</v>
      </c>
      <c r="R206" t="s" s="2">
        <f>_xlfn.IFERROR(INDEX('model_byCAP'!$D$2:$D$377,MATCH(Q206,'model_byCAP'!$A$2:$A$377,0)),0)</f>
        <v>467</v>
      </c>
    </row>
    <row r="207" ht="15.35" customHeight="1">
      <c r="A207" t="s" s="2">
        <v>501</v>
      </c>
      <c r="B207" s="4">
        <v>43096</v>
      </c>
      <c r="C207" s="5">
        <v>3600</v>
      </c>
      <c r="D207" s="5">
        <v>117</v>
      </c>
      <c r="E207" s="5">
        <v>91.5</v>
      </c>
      <c r="F207" t="s" s="2">
        <v>301</v>
      </c>
      <c r="G207" t="s" s="2">
        <v>462</v>
      </c>
      <c r="H207" s="5">
        <v>360</v>
      </c>
      <c r="I207" t="s" s="2">
        <v>463</v>
      </c>
      <c r="J207" t="s" s="2">
        <v>22</v>
      </c>
      <c r="K207" t="s" s="2">
        <v>497</v>
      </c>
      <c r="L207" t="s" s="2">
        <v>502</v>
      </c>
      <c r="M207" s="5">
        <v>646460</v>
      </c>
      <c r="N207" s="5">
        <v>6068797</v>
      </c>
      <c r="O207" t="s" s="2">
        <v>305</v>
      </c>
      <c r="P207" s="5">
        <v>61100795</v>
      </c>
      <c r="Q207" t="s" s="2">
        <v>466</v>
      </c>
      <c r="R207" t="s" s="2">
        <f>_xlfn.IFERROR(INDEX('model_byCAP'!$D$2:$D$377,MATCH(Q207,'model_byCAP'!$A$2:$A$377,0)),0)</f>
        <v>467</v>
      </c>
    </row>
    <row r="208" ht="15.35" customHeight="1">
      <c r="A208" t="s" s="2">
        <v>503</v>
      </c>
      <c r="B208" s="4">
        <v>43123</v>
      </c>
      <c r="C208" s="5">
        <v>3600</v>
      </c>
      <c r="D208" s="5">
        <v>117</v>
      </c>
      <c r="E208" s="5">
        <v>91.5</v>
      </c>
      <c r="F208" t="s" s="2">
        <v>301</v>
      </c>
      <c r="G208" t="s" s="2">
        <v>462</v>
      </c>
      <c r="H208" s="5">
        <v>360</v>
      </c>
      <c r="I208" t="s" s="2">
        <v>463</v>
      </c>
      <c r="J208" t="s" s="2">
        <v>22</v>
      </c>
      <c r="K208" t="s" s="2">
        <v>497</v>
      </c>
      <c r="L208" t="s" s="2">
        <v>504</v>
      </c>
      <c r="M208" s="5">
        <v>646766</v>
      </c>
      <c r="N208" s="5">
        <v>6068683</v>
      </c>
      <c r="O208" t="s" s="2">
        <v>305</v>
      </c>
      <c r="P208" s="5">
        <v>61100803</v>
      </c>
      <c r="Q208" t="s" s="2">
        <v>466</v>
      </c>
      <c r="R208" t="s" s="2">
        <f>_xlfn.IFERROR(INDEX('model_byCAP'!$D$2:$D$377,MATCH(Q208,'model_byCAP'!$A$2:$A$377,0)),0)</f>
        <v>467</v>
      </c>
    </row>
    <row r="209" ht="15.35" customHeight="1">
      <c r="A209" t="s" s="2">
        <v>505</v>
      </c>
      <c r="B209" s="4">
        <v>43118</v>
      </c>
      <c r="C209" s="5">
        <v>3600</v>
      </c>
      <c r="D209" s="5">
        <v>117</v>
      </c>
      <c r="E209" s="5">
        <v>91.5</v>
      </c>
      <c r="F209" t="s" s="2">
        <v>301</v>
      </c>
      <c r="G209" t="s" s="2">
        <v>462</v>
      </c>
      <c r="H209" s="5">
        <v>360</v>
      </c>
      <c r="I209" t="s" s="2">
        <v>463</v>
      </c>
      <c r="J209" t="s" s="2">
        <v>22</v>
      </c>
      <c r="K209" t="s" s="2">
        <v>506</v>
      </c>
      <c r="L209" t="s" s="2">
        <v>507</v>
      </c>
      <c r="M209" s="5">
        <v>647072</v>
      </c>
      <c r="N209" s="5">
        <v>6068570</v>
      </c>
      <c r="O209" t="s" s="2">
        <v>305</v>
      </c>
      <c r="P209" s="5">
        <v>61100814</v>
      </c>
      <c r="Q209" t="s" s="2">
        <v>466</v>
      </c>
      <c r="R209" t="s" s="2">
        <f>_xlfn.IFERROR(INDEX('model_byCAP'!$D$2:$D$377,MATCH(Q209,'model_byCAP'!$A$2:$A$377,0)),0)</f>
        <v>467</v>
      </c>
    </row>
    <row r="210" ht="15.35" customHeight="1">
      <c r="A210" t="s" s="2">
        <v>508</v>
      </c>
      <c r="B210" s="4">
        <v>43144</v>
      </c>
      <c r="C210" s="5">
        <v>3600</v>
      </c>
      <c r="D210" s="5">
        <v>126</v>
      </c>
      <c r="E210" s="5">
        <v>87</v>
      </c>
      <c r="F210" t="s" s="2">
        <v>301</v>
      </c>
      <c r="G210" t="s" s="2">
        <v>509</v>
      </c>
      <c r="H210" s="5">
        <v>360</v>
      </c>
      <c r="I210" t="s" s="2">
        <v>463</v>
      </c>
      <c r="J210" t="s" s="2">
        <v>22</v>
      </c>
      <c r="K210" t="s" s="2">
        <v>510</v>
      </c>
      <c r="L210" t="s" s="2">
        <v>511</v>
      </c>
      <c r="M210" s="5">
        <v>644782</v>
      </c>
      <c r="N210" s="5">
        <v>6073093</v>
      </c>
      <c r="O210" t="s" s="2">
        <v>305</v>
      </c>
      <c r="P210" s="5">
        <v>61102197</v>
      </c>
      <c r="Q210" t="s" s="2">
        <v>512</v>
      </c>
      <c r="R210" t="s" s="2">
        <f>_xlfn.IFERROR(INDEX('model_byCAP'!$D$2:$D$377,MATCH(Q210,'model_byCAP'!$A$2:$A$377,0)),0)</f>
        <v>513</v>
      </c>
    </row>
    <row r="211" ht="15.35" customHeight="1">
      <c r="A211" t="s" s="2">
        <v>514</v>
      </c>
      <c r="B211" s="4">
        <v>43139</v>
      </c>
      <c r="C211" s="5">
        <v>3600</v>
      </c>
      <c r="D211" s="5">
        <v>126</v>
      </c>
      <c r="E211" s="5">
        <v>87</v>
      </c>
      <c r="F211" t="s" s="2">
        <v>301</v>
      </c>
      <c r="G211" t="s" s="2">
        <v>509</v>
      </c>
      <c r="H211" s="5">
        <v>360</v>
      </c>
      <c r="I211" t="s" s="2">
        <v>463</v>
      </c>
      <c r="J211" t="s" s="2">
        <v>22</v>
      </c>
      <c r="K211" t="s" s="2">
        <v>515</v>
      </c>
      <c r="L211" t="s" s="2">
        <v>511</v>
      </c>
      <c r="M211" s="5">
        <v>644459</v>
      </c>
      <c r="N211" s="5">
        <v>6073175</v>
      </c>
      <c r="O211" t="s" s="2">
        <v>305</v>
      </c>
      <c r="P211" s="5">
        <v>61102204</v>
      </c>
      <c r="Q211" t="s" s="2">
        <v>512</v>
      </c>
      <c r="R211" t="s" s="2">
        <f>_xlfn.IFERROR(INDEX('model_byCAP'!$D$2:$D$377,MATCH(Q211,'model_byCAP'!$A$2:$A$377,0)),0)</f>
        <v>513</v>
      </c>
    </row>
    <row r="212" ht="15.35" customHeight="1">
      <c r="A212" t="s" s="2">
        <v>516</v>
      </c>
      <c r="B212" s="4">
        <v>43139</v>
      </c>
      <c r="C212" s="5">
        <v>3600</v>
      </c>
      <c r="D212" s="5">
        <v>126</v>
      </c>
      <c r="E212" s="5">
        <v>87</v>
      </c>
      <c r="F212" t="s" s="2">
        <v>301</v>
      </c>
      <c r="G212" t="s" s="2">
        <v>509</v>
      </c>
      <c r="H212" s="5">
        <v>360</v>
      </c>
      <c r="I212" t="s" s="2">
        <v>463</v>
      </c>
      <c r="J212" t="s" s="2">
        <v>22</v>
      </c>
      <c r="K212" t="s" s="2">
        <v>517</v>
      </c>
      <c r="L212" t="s" s="2">
        <v>518</v>
      </c>
      <c r="M212" s="5">
        <v>644136</v>
      </c>
      <c r="N212" s="5">
        <v>6073257</v>
      </c>
      <c r="O212" t="s" s="2">
        <v>305</v>
      </c>
      <c r="P212" s="5">
        <v>61102209</v>
      </c>
      <c r="Q212" t="s" s="2">
        <v>512</v>
      </c>
      <c r="R212" t="s" s="2">
        <f>_xlfn.IFERROR(INDEX('model_byCAP'!$D$2:$D$377,MATCH(Q212,'model_byCAP'!$A$2:$A$377,0)),0)</f>
        <v>513</v>
      </c>
    </row>
    <row r="213" ht="15.35" customHeight="1">
      <c r="A213" t="s" s="2">
        <v>519</v>
      </c>
      <c r="B213" s="4">
        <v>42901</v>
      </c>
      <c r="C213" s="5">
        <v>3600</v>
      </c>
      <c r="D213" s="5">
        <v>117</v>
      </c>
      <c r="E213" s="5">
        <v>91.40000000000001</v>
      </c>
      <c r="F213" t="s" s="2">
        <v>301</v>
      </c>
      <c r="G213" t="s" s="2">
        <v>462</v>
      </c>
      <c r="H213" s="5">
        <v>370</v>
      </c>
      <c r="I213" t="s" s="2">
        <v>520</v>
      </c>
      <c r="J213" t="s" s="2">
        <v>22</v>
      </c>
      <c r="K213" t="s" s="2">
        <v>521</v>
      </c>
      <c r="L213" t="s" s="2">
        <v>481</v>
      </c>
      <c r="M213" s="5">
        <v>666925</v>
      </c>
      <c r="N213" s="5">
        <v>6122803</v>
      </c>
      <c r="O213" t="s" s="2">
        <v>305</v>
      </c>
      <c r="P213" s="5">
        <v>61075983</v>
      </c>
      <c r="Q213" t="s" s="2">
        <v>466</v>
      </c>
      <c r="R213" t="s" s="2">
        <f>_xlfn.IFERROR(INDEX('model_byCAP'!$D$2:$D$377,MATCH(Q213,'model_byCAP'!$A$2:$A$377,0)),0)</f>
        <v>467</v>
      </c>
    </row>
    <row r="214" ht="15.35" customHeight="1">
      <c r="A214" t="s" s="2">
        <v>522</v>
      </c>
      <c r="B214" s="4">
        <v>42898</v>
      </c>
      <c r="C214" s="5">
        <v>3600</v>
      </c>
      <c r="D214" s="5">
        <v>117</v>
      </c>
      <c r="E214" s="5">
        <v>91.40000000000001</v>
      </c>
      <c r="F214" t="s" s="2">
        <v>301</v>
      </c>
      <c r="G214" t="s" s="2">
        <v>462</v>
      </c>
      <c r="H214" s="5">
        <v>370</v>
      </c>
      <c r="I214" t="s" s="2">
        <v>520</v>
      </c>
      <c r="J214" t="s" s="2">
        <v>22</v>
      </c>
      <c r="K214" t="s" s="2">
        <v>521</v>
      </c>
      <c r="L214" t="s" s="2">
        <v>481</v>
      </c>
      <c r="M214" s="5">
        <v>667384</v>
      </c>
      <c r="N214" s="5">
        <v>6122570</v>
      </c>
      <c r="O214" t="s" s="2">
        <v>305</v>
      </c>
      <c r="P214" s="5">
        <v>61075993</v>
      </c>
      <c r="Q214" t="s" s="2">
        <v>466</v>
      </c>
      <c r="R214" t="s" s="2">
        <f>_xlfn.IFERROR(INDEX('model_byCAP'!$D$2:$D$377,MATCH(Q214,'model_byCAP'!$A$2:$A$377,0)),0)</f>
        <v>467</v>
      </c>
    </row>
    <row r="215" ht="15.35" customHeight="1">
      <c r="A215" t="s" s="2">
        <v>523</v>
      </c>
      <c r="B215" s="4">
        <v>42899</v>
      </c>
      <c r="C215" s="5">
        <v>3600</v>
      </c>
      <c r="D215" s="5">
        <v>117</v>
      </c>
      <c r="E215" s="5">
        <v>91.40000000000001</v>
      </c>
      <c r="F215" t="s" s="2">
        <v>301</v>
      </c>
      <c r="G215" t="s" s="2">
        <v>462</v>
      </c>
      <c r="H215" s="5">
        <v>370</v>
      </c>
      <c r="I215" t="s" s="2">
        <v>520</v>
      </c>
      <c r="J215" t="s" s="2">
        <v>22</v>
      </c>
      <c r="K215" t="s" s="2">
        <v>521</v>
      </c>
      <c r="L215" t="s" s="2">
        <v>524</v>
      </c>
      <c r="M215" s="5">
        <v>667842</v>
      </c>
      <c r="N215" s="5">
        <v>6122338</v>
      </c>
      <c r="O215" t="s" s="2">
        <v>305</v>
      </c>
      <c r="P215" s="5">
        <v>61076001</v>
      </c>
      <c r="Q215" t="s" s="2">
        <v>466</v>
      </c>
      <c r="R215" t="s" s="2">
        <f>_xlfn.IFERROR(INDEX('model_byCAP'!$D$2:$D$377,MATCH(Q215,'model_byCAP'!$A$2:$A$377,0)),0)</f>
        <v>467</v>
      </c>
    </row>
    <row r="216" ht="15.35" customHeight="1">
      <c r="A216" t="s" s="2">
        <v>525</v>
      </c>
      <c r="B216" s="4">
        <v>43099</v>
      </c>
      <c r="C216" s="5">
        <v>3600</v>
      </c>
      <c r="D216" s="5">
        <v>126</v>
      </c>
      <c r="E216" s="5">
        <v>87</v>
      </c>
      <c r="F216" t="s" s="2">
        <v>301</v>
      </c>
      <c r="G216" t="s" s="2">
        <v>509</v>
      </c>
      <c r="H216" s="5">
        <v>550</v>
      </c>
      <c r="I216" t="s" s="2">
        <v>526</v>
      </c>
      <c r="J216" t="s" s="2">
        <v>22</v>
      </c>
      <c r="K216" t="s" s="2">
        <v>527</v>
      </c>
      <c r="L216" t="s" s="2">
        <v>528</v>
      </c>
      <c r="M216" s="5">
        <v>495371.572</v>
      </c>
      <c r="N216" s="5">
        <v>6084318.173</v>
      </c>
      <c r="O216" t="s" s="2">
        <v>25</v>
      </c>
      <c r="P216" s="5">
        <v>441100595</v>
      </c>
      <c r="Q216" t="s" s="2">
        <v>512</v>
      </c>
      <c r="R216" t="s" s="2">
        <f>_xlfn.IFERROR(INDEX('model_byCAP'!$D$2:$D$377,MATCH(Q216,'model_byCAP'!$A$2:$A$377,0)),0)</f>
        <v>513</v>
      </c>
    </row>
    <row r="217" ht="15.35" customHeight="1">
      <c r="A217" t="s" s="2">
        <v>529</v>
      </c>
      <c r="B217" s="4">
        <v>43133</v>
      </c>
      <c r="C217" s="5">
        <v>3600</v>
      </c>
      <c r="D217" s="5">
        <v>126</v>
      </c>
      <c r="E217" s="5">
        <v>87</v>
      </c>
      <c r="F217" t="s" s="2">
        <v>301</v>
      </c>
      <c r="G217" t="s" s="2">
        <v>509</v>
      </c>
      <c r="H217" s="5">
        <v>550</v>
      </c>
      <c r="I217" t="s" s="2">
        <v>526</v>
      </c>
      <c r="J217" t="s" s="2">
        <v>22</v>
      </c>
      <c r="K217" t="s" s="2">
        <v>530</v>
      </c>
      <c r="L217" t="s" s="2">
        <v>531</v>
      </c>
      <c r="M217" s="5">
        <v>495762.268</v>
      </c>
      <c r="N217" s="5">
        <v>6084286.284</v>
      </c>
      <c r="O217" t="s" s="2">
        <v>25</v>
      </c>
      <c r="P217" s="5">
        <v>441100596</v>
      </c>
      <c r="Q217" t="s" s="2">
        <v>512</v>
      </c>
      <c r="R217" t="s" s="2">
        <f>_xlfn.IFERROR(INDEX('model_byCAP'!$D$2:$D$377,MATCH(Q217,'model_byCAP'!$A$2:$A$377,0)),0)</f>
        <v>513</v>
      </c>
    </row>
    <row r="218" ht="15.35" customHeight="1">
      <c r="A218" t="s" s="2">
        <v>532</v>
      </c>
      <c r="B218" s="4">
        <v>43134</v>
      </c>
      <c r="C218" s="5">
        <v>3600</v>
      </c>
      <c r="D218" s="5">
        <v>126</v>
      </c>
      <c r="E218" s="5">
        <v>87</v>
      </c>
      <c r="F218" t="s" s="2">
        <v>301</v>
      </c>
      <c r="G218" t="s" s="2">
        <v>509</v>
      </c>
      <c r="H218" s="5">
        <v>550</v>
      </c>
      <c r="I218" t="s" s="2">
        <v>526</v>
      </c>
      <c r="J218" t="s" s="2">
        <v>22</v>
      </c>
      <c r="K218" t="s" s="2">
        <v>533</v>
      </c>
      <c r="L218" t="s" s="2">
        <v>534</v>
      </c>
      <c r="M218" s="5">
        <v>496153.268</v>
      </c>
      <c r="N218" s="5">
        <v>6084255.284</v>
      </c>
      <c r="O218" t="s" s="2">
        <v>25</v>
      </c>
      <c r="P218" s="5">
        <v>441100597</v>
      </c>
      <c r="Q218" t="s" s="2">
        <v>512</v>
      </c>
      <c r="R218" t="s" s="2">
        <f>_xlfn.IFERROR(INDEX('model_byCAP'!$D$2:$D$377,MATCH(Q218,'model_byCAP'!$A$2:$A$377,0)),0)</f>
        <v>513</v>
      </c>
    </row>
    <row r="219" ht="15.35" customHeight="1">
      <c r="A219" t="s" s="2">
        <v>535</v>
      </c>
      <c r="B219" s="4">
        <v>43136</v>
      </c>
      <c r="C219" s="5">
        <v>3600</v>
      </c>
      <c r="D219" s="5">
        <v>126</v>
      </c>
      <c r="E219" s="5">
        <v>87</v>
      </c>
      <c r="F219" t="s" s="2">
        <v>301</v>
      </c>
      <c r="G219" t="s" s="2">
        <v>509</v>
      </c>
      <c r="H219" s="5">
        <v>550</v>
      </c>
      <c r="I219" t="s" s="2">
        <v>526</v>
      </c>
      <c r="J219" t="s" s="2">
        <v>22</v>
      </c>
      <c r="K219" t="s" s="2">
        <v>533</v>
      </c>
      <c r="L219" t="s" s="2">
        <v>536</v>
      </c>
      <c r="M219" s="5">
        <v>496544.268</v>
      </c>
      <c r="N219" s="5">
        <v>6084224.284</v>
      </c>
      <c r="O219" t="s" s="2">
        <v>25</v>
      </c>
      <c r="P219" s="5">
        <v>441100598</v>
      </c>
      <c r="Q219" t="s" s="2">
        <v>512</v>
      </c>
      <c r="R219" t="s" s="2">
        <f>_xlfn.IFERROR(INDEX('model_byCAP'!$D$2:$D$377,MATCH(Q219,'model_byCAP'!$A$2:$A$377,0)),0)</f>
        <v>513</v>
      </c>
    </row>
    <row r="220" ht="15.35" customHeight="1">
      <c r="A220" t="s" s="2">
        <v>537</v>
      </c>
      <c r="B220" s="4">
        <v>43137</v>
      </c>
      <c r="C220" s="5">
        <v>3600</v>
      </c>
      <c r="D220" s="5">
        <v>126</v>
      </c>
      <c r="E220" s="5">
        <v>87</v>
      </c>
      <c r="F220" t="s" s="2">
        <v>301</v>
      </c>
      <c r="G220" t="s" s="2">
        <v>509</v>
      </c>
      <c r="H220" s="5">
        <v>550</v>
      </c>
      <c r="I220" t="s" s="2">
        <v>526</v>
      </c>
      <c r="J220" t="s" s="2">
        <v>22</v>
      </c>
      <c r="K220" t="s" s="2">
        <v>533</v>
      </c>
      <c r="L220" t="s" s="2">
        <v>538</v>
      </c>
      <c r="M220" s="5">
        <v>496935.268</v>
      </c>
      <c r="N220" s="5">
        <v>6084193.284</v>
      </c>
      <c r="O220" t="s" s="2">
        <v>25</v>
      </c>
      <c r="P220" s="5">
        <v>441100599</v>
      </c>
      <c r="Q220" t="s" s="2">
        <v>512</v>
      </c>
      <c r="R220" t="s" s="2">
        <f>_xlfn.IFERROR(INDEX('model_byCAP'!$D$2:$D$377,MATCH(Q220,'model_byCAP'!$A$2:$A$377,0)),0)</f>
        <v>513</v>
      </c>
    </row>
    <row r="221" ht="15.35" customHeight="1">
      <c r="A221" t="s" s="2">
        <v>539</v>
      </c>
      <c r="B221" s="4">
        <v>43137</v>
      </c>
      <c r="C221" s="5">
        <v>3600</v>
      </c>
      <c r="D221" s="5">
        <v>126</v>
      </c>
      <c r="E221" s="5">
        <v>87</v>
      </c>
      <c r="F221" t="s" s="2">
        <v>301</v>
      </c>
      <c r="G221" t="s" s="2">
        <v>509</v>
      </c>
      <c r="H221" s="5">
        <v>550</v>
      </c>
      <c r="I221" t="s" s="2">
        <v>526</v>
      </c>
      <c r="J221" t="s" s="2">
        <v>22</v>
      </c>
      <c r="K221" t="s" s="2">
        <v>527</v>
      </c>
      <c r="L221" t="s" s="2">
        <v>528</v>
      </c>
      <c r="M221" s="5">
        <v>497326.267</v>
      </c>
      <c r="N221" s="5">
        <v>6084162.284</v>
      </c>
      <c r="O221" t="s" s="2">
        <v>25</v>
      </c>
      <c r="P221" s="5">
        <v>441100600</v>
      </c>
      <c r="Q221" t="s" s="2">
        <v>512</v>
      </c>
      <c r="R221" t="s" s="2">
        <f>_xlfn.IFERROR(INDEX('model_byCAP'!$D$2:$D$377,MATCH(Q221,'model_byCAP'!$A$2:$A$377,0)),0)</f>
        <v>513</v>
      </c>
    </row>
    <row r="222" ht="15.35" customHeight="1">
      <c r="A222" t="s" s="2">
        <v>540</v>
      </c>
      <c r="B222" s="4">
        <v>44250</v>
      </c>
      <c r="C222" s="5">
        <v>3600</v>
      </c>
      <c r="D222" s="5">
        <v>126</v>
      </c>
      <c r="E222" s="5">
        <v>77</v>
      </c>
      <c r="F222" t="s" s="2">
        <v>301</v>
      </c>
      <c r="G222" t="s" s="2">
        <v>509</v>
      </c>
      <c r="H222" s="5">
        <v>657</v>
      </c>
      <c r="I222" t="s" s="2">
        <v>541</v>
      </c>
      <c r="J222" t="s" s="2">
        <v>22</v>
      </c>
      <c r="K222" t="s" s="2">
        <v>542</v>
      </c>
      <c r="L222" t="s" s="2">
        <v>543</v>
      </c>
      <c r="M222" s="5">
        <v>483954</v>
      </c>
      <c r="N222" s="5">
        <v>6236727</v>
      </c>
      <c r="O222" t="s" s="2">
        <v>25</v>
      </c>
      <c r="P222" s="6"/>
      <c r="Q222" t="s" s="2">
        <v>512</v>
      </c>
      <c r="R222" t="s" s="2">
        <f>_xlfn.IFERROR(INDEX('model_byCAP'!$D$2:$D$377,MATCH(Q222,'model_byCAP'!$A$2:$A$377,0)),0)</f>
        <v>513</v>
      </c>
    </row>
    <row r="223" ht="15.35" customHeight="1">
      <c r="A223" t="s" s="2">
        <v>544</v>
      </c>
      <c r="B223" s="4">
        <v>44251</v>
      </c>
      <c r="C223" s="5">
        <v>3600</v>
      </c>
      <c r="D223" s="5">
        <v>126</v>
      </c>
      <c r="E223" s="5">
        <v>77</v>
      </c>
      <c r="F223" t="s" s="2">
        <v>301</v>
      </c>
      <c r="G223" t="s" s="2">
        <v>509</v>
      </c>
      <c r="H223" s="5">
        <v>657</v>
      </c>
      <c r="I223" t="s" s="2">
        <v>541</v>
      </c>
      <c r="J223" t="s" s="2">
        <v>22</v>
      </c>
      <c r="K223" t="s" s="2">
        <v>545</v>
      </c>
      <c r="L223" t="s" s="2">
        <v>546</v>
      </c>
      <c r="M223" s="5">
        <v>483791</v>
      </c>
      <c r="N223" s="5">
        <v>6237004</v>
      </c>
      <c r="O223" t="s" s="2">
        <v>25</v>
      </c>
      <c r="P223" s="6"/>
      <c r="Q223" t="s" s="2">
        <v>512</v>
      </c>
      <c r="R223" t="s" s="2">
        <f>_xlfn.IFERROR(INDEX('model_byCAP'!$D$2:$D$377,MATCH(Q223,'model_byCAP'!$A$2:$A$377,0)),0)</f>
        <v>513</v>
      </c>
    </row>
    <row r="224" ht="15.35" customHeight="1">
      <c r="A224" t="s" s="2">
        <v>547</v>
      </c>
      <c r="B224" s="4">
        <v>44249</v>
      </c>
      <c r="C224" s="5">
        <v>3600</v>
      </c>
      <c r="D224" s="5">
        <v>126</v>
      </c>
      <c r="E224" s="5">
        <v>77</v>
      </c>
      <c r="F224" t="s" s="2">
        <v>301</v>
      </c>
      <c r="G224" t="s" s="2">
        <v>509</v>
      </c>
      <c r="H224" s="5">
        <v>657</v>
      </c>
      <c r="I224" t="s" s="2">
        <v>541</v>
      </c>
      <c r="J224" t="s" s="2">
        <v>22</v>
      </c>
      <c r="K224" t="s" s="2">
        <v>545</v>
      </c>
      <c r="L224" t="s" s="2">
        <v>548</v>
      </c>
      <c r="M224" s="5">
        <v>483627</v>
      </c>
      <c r="N224" s="5">
        <v>6237282</v>
      </c>
      <c r="O224" t="s" s="2">
        <v>25</v>
      </c>
      <c r="P224" s="6"/>
      <c r="Q224" t="s" s="2">
        <v>512</v>
      </c>
      <c r="R224" t="s" s="2">
        <f>_xlfn.IFERROR(INDEX('model_byCAP'!$D$2:$D$377,MATCH(Q224,'model_byCAP'!$A$2:$A$377,0)),0)</f>
        <v>513</v>
      </c>
    </row>
    <row r="225" ht="15.35" customHeight="1">
      <c r="A225" t="s" s="2">
        <v>549</v>
      </c>
      <c r="B225" s="4">
        <v>43091</v>
      </c>
      <c r="C225" s="5">
        <v>3600</v>
      </c>
      <c r="D225" s="5">
        <v>117</v>
      </c>
      <c r="E225" s="5">
        <v>91.5</v>
      </c>
      <c r="F225" t="s" s="2">
        <v>301</v>
      </c>
      <c r="G225" t="s" s="2">
        <v>462</v>
      </c>
      <c r="H225" s="5">
        <v>657</v>
      </c>
      <c r="I225" t="s" s="2">
        <v>541</v>
      </c>
      <c r="J225" t="s" s="2">
        <v>22</v>
      </c>
      <c r="K225" t="s" s="2">
        <v>550</v>
      </c>
      <c r="L225" t="s" s="2">
        <v>551</v>
      </c>
      <c r="M225" s="5">
        <v>491013</v>
      </c>
      <c r="N225" s="5">
        <v>6195762</v>
      </c>
      <c r="O225" t="s" s="2">
        <v>305</v>
      </c>
      <c r="P225" s="5">
        <v>4143655</v>
      </c>
      <c r="Q225" t="s" s="2">
        <v>466</v>
      </c>
      <c r="R225" t="s" s="2">
        <f>_xlfn.IFERROR(INDEX('model_byCAP'!$D$2:$D$377,MATCH(Q225,'model_byCAP'!$A$2:$A$377,0)),0)</f>
        <v>467</v>
      </c>
    </row>
    <row r="226" ht="15.35" customHeight="1">
      <c r="A226" t="s" s="2">
        <v>552</v>
      </c>
      <c r="B226" s="4">
        <v>43083</v>
      </c>
      <c r="C226" s="5">
        <v>3600</v>
      </c>
      <c r="D226" s="5">
        <v>117</v>
      </c>
      <c r="E226" s="5">
        <v>91.5</v>
      </c>
      <c r="F226" t="s" s="2">
        <v>301</v>
      </c>
      <c r="G226" t="s" s="2">
        <v>462</v>
      </c>
      <c r="H226" s="5">
        <v>657</v>
      </c>
      <c r="I226" t="s" s="2">
        <v>541</v>
      </c>
      <c r="J226" t="s" s="2">
        <v>22</v>
      </c>
      <c r="K226" t="s" s="2">
        <v>550</v>
      </c>
      <c r="L226" t="s" s="2">
        <v>553</v>
      </c>
      <c r="M226" s="5">
        <v>491313</v>
      </c>
      <c r="N226" s="5">
        <v>6195555</v>
      </c>
      <c r="O226" t="s" s="2">
        <v>305</v>
      </c>
      <c r="P226" s="5">
        <v>4143656</v>
      </c>
      <c r="Q226" t="s" s="2">
        <v>466</v>
      </c>
      <c r="R226" t="s" s="2">
        <f>_xlfn.IFERROR(INDEX('model_byCAP'!$D$2:$D$377,MATCH(Q226,'model_byCAP'!$A$2:$A$377,0)),0)</f>
        <v>467</v>
      </c>
    </row>
    <row r="227" ht="15.35" customHeight="1">
      <c r="A227" t="s" s="2">
        <v>554</v>
      </c>
      <c r="B227" s="4">
        <v>43083</v>
      </c>
      <c r="C227" s="5">
        <v>3600</v>
      </c>
      <c r="D227" s="5">
        <v>117</v>
      </c>
      <c r="E227" s="5">
        <v>91.5</v>
      </c>
      <c r="F227" t="s" s="2">
        <v>301</v>
      </c>
      <c r="G227" t="s" s="2">
        <v>462</v>
      </c>
      <c r="H227" s="5">
        <v>657</v>
      </c>
      <c r="I227" t="s" s="2">
        <v>541</v>
      </c>
      <c r="J227" t="s" s="2">
        <v>22</v>
      </c>
      <c r="K227" t="s" s="2">
        <v>550</v>
      </c>
      <c r="L227" t="s" s="2">
        <v>555</v>
      </c>
      <c r="M227" s="5">
        <v>491614</v>
      </c>
      <c r="N227" s="5">
        <v>6195348</v>
      </c>
      <c r="O227" t="s" s="2">
        <v>305</v>
      </c>
      <c r="P227" s="5">
        <v>4143657</v>
      </c>
      <c r="Q227" t="s" s="2">
        <v>466</v>
      </c>
      <c r="R227" t="s" s="2">
        <f>_xlfn.IFERROR(INDEX('model_byCAP'!$D$2:$D$377,MATCH(Q227,'model_byCAP'!$A$2:$A$377,0)),0)</f>
        <v>467</v>
      </c>
    </row>
    <row r="228" ht="15.35" customHeight="1">
      <c r="A228" t="s" s="2">
        <v>556</v>
      </c>
      <c r="B228" s="4">
        <v>43097</v>
      </c>
      <c r="C228" s="5">
        <v>3600</v>
      </c>
      <c r="D228" s="5">
        <v>117</v>
      </c>
      <c r="E228" s="5">
        <v>91.5</v>
      </c>
      <c r="F228" t="s" s="2">
        <v>301</v>
      </c>
      <c r="G228" t="s" s="2">
        <v>462</v>
      </c>
      <c r="H228" s="5">
        <v>657</v>
      </c>
      <c r="I228" t="s" s="2">
        <v>541</v>
      </c>
      <c r="J228" t="s" s="2">
        <v>22</v>
      </c>
      <c r="K228" t="s" s="2">
        <v>557</v>
      </c>
      <c r="L228" t="s" s="2">
        <v>558</v>
      </c>
      <c r="M228" s="5">
        <v>491915</v>
      </c>
      <c r="N228" s="5">
        <v>6195140</v>
      </c>
      <c r="O228" t="s" s="2">
        <v>305</v>
      </c>
      <c r="P228" s="5">
        <v>4143659</v>
      </c>
      <c r="Q228" t="s" s="2">
        <v>466</v>
      </c>
      <c r="R228" t="s" s="2">
        <f>_xlfn.IFERROR(INDEX('model_byCAP'!$D$2:$D$377,MATCH(Q228,'model_byCAP'!$A$2:$A$377,0)),0)</f>
        <v>467</v>
      </c>
    </row>
    <row r="229" ht="15.35" customHeight="1">
      <c r="A229" t="s" s="2">
        <v>559</v>
      </c>
      <c r="B229" s="4">
        <v>43091</v>
      </c>
      <c r="C229" s="5">
        <v>3600</v>
      </c>
      <c r="D229" s="5">
        <v>117</v>
      </c>
      <c r="E229" s="5">
        <v>91.5</v>
      </c>
      <c r="F229" t="s" s="2">
        <v>301</v>
      </c>
      <c r="G229" t="s" s="2">
        <v>462</v>
      </c>
      <c r="H229" s="5">
        <v>657</v>
      </c>
      <c r="I229" t="s" s="2">
        <v>541</v>
      </c>
      <c r="J229" t="s" s="2">
        <v>22</v>
      </c>
      <c r="K229" t="s" s="2">
        <v>550</v>
      </c>
      <c r="L229" t="s" s="2">
        <v>558</v>
      </c>
      <c r="M229" s="5">
        <v>492215</v>
      </c>
      <c r="N229" s="5">
        <v>6194933</v>
      </c>
      <c r="O229" t="s" s="2">
        <v>305</v>
      </c>
      <c r="P229" s="5">
        <v>4143660</v>
      </c>
      <c r="Q229" t="s" s="2">
        <v>466</v>
      </c>
      <c r="R229" t="s" s="2">
        <f>_xlfn.IFERROR(INDEX('model_byCAP'!$D$2:$D$377,MATCH(Q229,'model_byCAP'!$A$2:$A$377,0)),0)</f>
        <v>467</v>
      </c>
    </row>
    <row r="230" ht="15.35" customHeight="1">
      <c r="A230" t="s" s="2">
        <v>560</v>
      </c>
      <c r="B230" s="4">
        <v>40413</v>
      </c>
      <c r="C230" s="5">
        <v>3600</v>
      </c>
      <c r="D230" s="5">
        <v>107.2</v>
      </c>
      <c r="E230" s="5">
        <v>90</v>
      </c>
      <c r="F230" t="s" s="2">
        <v>19</v>
      </c>
      <c r="G230" t="s" s="2">
        <v>561</v>
      </c>
      <c r="H230" s="5">
        <v>661</v>
      </c>
      <c r="I230" t="s" s="2">
        <v>562</v>
      </c>
      <c r="J230" t="s" s="2">
        <v>22</v>
      </c>
      <c r="K230" t="s" s="2">
        <v>563</v>
      </c>
      <c r="L230" t="s" s="2">
        <v>564</v>
      </c>
      <c r="M230" s="5">
        <v>457024.03</v>
      </c>
      <c r="N230" s="5">
        <v>6238806.83</v>
      </c>
      <c r="O230" t="s" s="2">
        <v>305</v>
      </c>
      <c r="P230" s="5">
        <v>85100</v>
      </c>
      <c r="Q230" t="s" s="2">
        <v>565</v>
      </c>
      <c r="R230" t="s" s="2">
        <f>_xlfn.IFERROR(INDEX('model_byCAP'!$D$2:$D$377,MATCH(Q230,'model_byCAP'!$A$2:$A$377,0)),0)</f>
        <v>566</v>
      </c>
    </row>
    <row r="231" ht="15.35" customHeight="1">
      <c r="A231" t="s" s="2">
        <v>567</v>
      </c>
      <c r="B231" s="4">
        <v>40512</v>
      </c>
      <c r="C231" s="5">
        <v>3600</v>
      </c>
      <c r="D231" s="5">
        <v>107.2</v>
      </c>
      <c r="E231" s="5">
        <v>90</v>
      </c>
      <c r="F231" t="s" s="2">
        <v>19</v>
      </c>
      <c r="G231" t="s" s="2">
        <v>561</v>
      </c>
      <c r="H231" s="5">
        <v>661</v>
      </c>
      <c r="I231" t="s" s="2">
        <v>562</v>
      </c>
      <c r="J231" t="s" s="2">
        <v>22</v>
      </c>
      <c r="K231" t="s" s="2">
        <v>563</v>
      </c>
      <c r="L231" t="s" s="2">
        <v>568</v>
      </c>
      <c r="M231" s="5">
        <v>456878.12</v>
      </c>
      <c r="N231" s="5">
        <v>6239209.49</v>
      </c>
      <c r="O231" t="s" s="2">
        <v>305</v>
      </c>
      <c r="P231" s="5">
        <v>85101</v>
      </c>
      <c r="Q231" t="s" s="2">
        <v>565</v>
      </c>
      <c r="R231" t="s" s="2">
        <f>_xlfn.IFERROR(INDEX('model_byCAP'!$D$2:$D$377,MATCH(Q231,'model_byCAP'!$A$2:$A$377,0)),0)</f>
        <v>566</v>
      </c>
    </row>
    <row r="232" ht="15.35" customHeight="1">
      <c r="A232" t="s" s="2">
        <v>569</v>
      </c>
      <c r="B232" s="4">
        <v>40414</v>
      </c>
      <c r="C232" s="5">
        <v>3600</v>
      </c>
      <c r="D232" s="5">
        <v>107.2</v>
      </c>
      <c r="E232" s="5">
        <v>90</v>
      </c>
      <c r="F232" t="s" s="2">
        <v>19</v>
      </c>
      <c r="G232" t="s" s="2">
        <v>561</v>
      </c>
      <c r="H232" s="5">
        <v>661</v>
      </c>
      <c r="I232" t="s" s="2">
        <v>562</v>
      </c>
      <c r="J232" t="s" s="2">
        <v>22</v>
      </c>
      <c r="K232" t="s" s="2">
        <v>563</v>
      </c>
      <c r="L232" t="s" s="2">
        <v>570</v>
      </c>
      <c r="M232" s="5">
        <v>456732.24</v>
      </c>
      <c r="N232" s="5">
        <v>6239612.03</v>
      </c>
      <c r="O232" t="s" s="2">
        <v>305</v>
      </c>
      <c r="P232" s="5">
        <v>85102</v>
      </c>
      <c r="Q232" t="s" s="2">
        <v>565</v>
      </c>
      <c r="R232" t="s" s="2">
        <f>_xlfn.IFERROR(INDEX('model_byCAP'!$D$2:$D$377,MATCH(Q232,'model_byCAP'!$A$2:$A$377,0)),0)</f>
        <v>566</v>
      </c>
    </row>
    <row r="233" ht="15.35" customHeight="1">
      <c r="A233" t="s" s="2">
        <v>571</v>
      </c>
      <c r="B233" s="4">
        <v>43004</v>
      </c>
      <c r="C233" s="5">
        <v>3600</v>
      </c>
      <c r="D233" s="5">
        <v>117</v>
      </c>
      <c r="E233" s="5">
        <v>91.5</v>
      </c>
      <c r="F233" t="s" s="2">
        <v>301</v>
      </c>
      <c r="G233" t="s" s="2">
        <v>462</v>
      </c>
      <c r="H233" s="5">
        <v>661</v>
      </c>
      <c r="I233" t="s" s="2">
        <v>562</v>
      </c>
      <c r="J233" t="s" s="2">
        <v>22</v>
      </c>
      <c r="K233" t="s" s="2">
        <v>572</v>
      </c>
      <c r="L233" t="s" s="2">
        <v>573</v>
      </c>
      <c r="M233" s="5">
        <v>490764.65</v>
      </c>
      <c r="N233" s="5">
        <v>6252286.81</v>
      </c>
      <c r="O233" t="s" s="2">
        <v>305</v>
      </c>
      <c r="P233" s="5">
        <v>40423</v>
      </c>
      <c r="Q233" t="s" s="2">
        <v>466</v>
      </c>
      <c r="R233" t="s" s="2">
        <f>_xlfn.IFERROR(INDEX('model_byCAP'!$D$2:$D$377,MATCH(Q233,'model_byCAP'!$A$2:$A$377,0)),0)</f>
        <v>467</v>
      </c>
    </row>
    <row r="234" ht="15.35" customHeight="1">
      <c r="A234" t="s" s="2">
        <v>574</v>
      </c>
      <c r="B234" s="4">
        <v>43007</v>
      </c>
      <c r="C234" s="5">
        <v>3600</v>
      </c>
      <c r="D234" s="5">
        <v>117</v>
      </c>
      <c r="E234" s="5">
        <v>91.5</v>
      </c>
      <c r="F234" t="s" s="2">
        <v>301</v>
      </c>
      <c r="G234" t="s" s="2">
        <v>462</v>
      </c>
      <c r="H234" s="5">
        <v>661</v>
      </c>
      <c r="I234" t="s" s="2">
        <v>562</v>
      </c>
      <c r="J234" t="s" s="2">
        <v>22</v>
      </c>
      <c r="K234" t="s" s="2">
        <v>575</v>
      </c>
      <c r="L234" t="s" s="2">
        <v>576</v>
      </c>
      <c r="M234" s="5">
        <v>491001.37</v>
      </c>
      <c r="N234" s="5">
        <v>6252012.15</v>
      </c>
      <c r="O234" t="s" s="2">
        <v>305</v>
      </c>
      <c r="P234" s="5">
        <v>40424</v>
      </c>
      <c r="Q234" t="s" s="2">
        <v>466</v>
      </c>
      <c r="R234" t="s" s="2">
        <f>_xlfn.IFERROR(INDEX('model_byCAP'!$D$2:$D$377,MATCH(Q234,'model_byCAP'!$A$2:$A$377,0)),0)</f>
        <v>467</v>
      </c>
    </row>
    <row r="235" ht="15.35" customHeight="1">
      <c r="A235" t="s" s="2">
        <v>577</v>
      </c>
      <c r="B235" s="4">
        <v>43004</v>
      </c>
      <c r="C235" s="5">
        <v>3600</v>
      </c>
      <c r="D235" s="5">
        <v>117</v>
      </c>
      <c r="E235" s="5">
        <v>91.5</v>
      </c>
      <c r="F235" t="s" s="2">
        <v>301</v>
      </c>
      <c r="G235" t="s" s="2">
        <v>462</v>
      </c>
      <c r="H235" s="5">
        <v>661</v>
      </c>
      <c r="I235" t="s" s="2">
        <v>562</v>
      </c>
      <c r="J235" t="s" s="2">
        <v>22</v>
      </c>
      <c r="K235" t="s" s="2">
        <v>572</v>
      </c>
      <c r="L235" t="s" s="2">
        <v>578</v>
      </c>
      <c r="M235" s="5">
        <v>491235.54</v>
      </c>
      <c r="N235" s="5">
        <v>6251739.54</v>
      </c>
      <c r="O235" t="s" s="2">
        <v>305</v>
      </c>
      <c r="P235" s="5">
        <v>40425</v>
      </c>
      <c r="Q235" t="s" s="2">
        <v>466</v>
      </c>
      <c r="R235" t="s" s="2">
        <f>_xlfn.IFERROR(INDEX('model_byCAP'!$D$2:$D$377,MATCH(Q235,'model_byCAP'!$A$2:$A$377,0)),0)</f>
        <v>467</v>
      </c>
    </row>
    <row r="236" ht="15.35" customHeight="1">
      <c r="A236" t="s" s="2">
        <v>579</v>
      </c>
      <c r="B236" s="4">
        <v>44246</v>
      </c>
      <c r="C236" s="5">
        <v>3600</v>
      </c>
      <c r="D236" s="5">
        <v>126</v>
      </c>
      <c r="E236" s="5">
        <v>77</v>
      </c>
      <c r="F236" t="s" s="2">
        <v>301</v>
      </c>
      <c r="G236" t="s" s="2">
        <v>509</v>
      </c>
      <c r="H236" s="5">
        <v>661</v>
      </c>
      <c r="I236" t="s" s="2">
        <v>562</v>
      </c>
      <c r="J236" t="s" s="2">
        <v>22</v>
      </c>
      <c r="K236" t="s" s="2">
        <v>580</v>
      </c>
      <c r="L236" s="5">
        <v>3</v>
      </c>
      <c r="M236" s="5">
        <v>483464</v>
      </c>
      <c r="N236" s="5">
        <v>6237559</v>
      </c>
      <c r="O236" t="s" s="2">
        <v>25</v>
      </c>
      <c r="P236" s="6"/>
      <c r="Q236" t="s" s="2">
        <v>512</v>
      </c>
      <c r="R236" t="s" s="2">
        <f>_xlfn.IFERROR(INDEX('model_byCAP'!$D$2:$D$377,MATCH(Q236,'model_byCAP'!$A$2:$A$377,0)),0)</f>
        <v>513</v>
      </c>
    </row>
    <row r="237" ht="15.35" customHeight="1">
      <c r="A237" t="s" s="2">
        <v>581</v>
      </c>
      <c r="B237" s="4">
        <v>44243</v>
      </c>
      <c r="C237" s="5">
        <v>3600</v>
      </c>
      <c r="D237" s="5">
        <v>126</v>
      </c>
      <c r="E237" s="5">
        <v>77</v>
      </c>
      <c r="F237" t="s" s="2">
        <v>301</v>
      </c>
      <c r="G237" t="s" s="2">
        <v>509</v>
      </c>
      <c r="H237" s="5">
        <v>661</v>
      </c>
      <c r="I237" t="s" s="2">
        <v>562</v>
      </c>
      <c r="J237" t="s" s="2">
        <v>22</v>
      </c>
      <c r="K237" t="s" s="2">
        <v>580</v>
      </c>
      <c r="L237" t="s" s="2">
        <v>582</v>
      </c>
      <c r="M237" s="5">
        <v>483300.7</v>
      </c>
      <c r="N237" s="5">
        <v>6237837</v>
      </c>
      <c r="O237" t="s" s="2">
        <v>25</v>
      </c>
      <c r="P237" s="6"/>
      <c r="Q237" t="s" s="2">
        <v>512</v>
      </c>
      <c r="R237" t="s" s="2">
        <f>_xlfn.IFERROR(INDEX('model_byCAP'!$D$2:$D$377,MATCH(Q237,'model_byCAP'!$A$2:$A$377,0)),0)</f>
        <v>513</v>
      </c>
    </row>
    <row r="238" ht="15.35" customHeight="1">
      <c r="A238" t="s" s="2">
        <v>583</v>
      </c>
      <c r="B238" s="4">
        <v>44245</v>
      </c>
      <c r="C238" s="5">
        <v>3600</v>
      </c>
      <c r="D238" s="5">
        <v>126</v>
      </c>
      <c r="E238" s="5">
        <v>77</v>
      </c>
      <c r="F238" t="s" s="2">
        <v>301</v>
      </c>
      <c r="G238" t="s" s="2">
        <v>509</v>
      </c>
      <c r="H238" s="5">
        <v>661</v>
      </c>
      <c r="I238" t="s" s="2">
        <v>562</v>
      </c>
      <c r="J238" t="s" s="2">
        <v>22</v>
      </c>
      <c r="K238" t="s" s="2">
        <v>580</v>
      </c>
      <c r="L238" t="s" s="2">
        <v>374</v>
      </c>
      <c r="M238" s="5">
        <v>483137</v>
      </c>
      <c r="N238" s="5">
        <v>6238114</v>
      </c>
      <c r="O238" t="s" s="2">
        <v>25</v>
      </c>
      <c r="P238" s="6"/>
      <c r="Q238" t="s" s="2">
        <v>512</v>
      </c>
      <c r="R238" t="s" s="2">
        <f>_xlfn.IFERROR(INDEX('model_byCAP'!$D$2:$D$377,MATCH(Q238,'model_byCAP'!$A$2:$A$377,0)),0)</f>
        <v>513</v>
      </c>
    </row>
    <row r="239" ht="15.35" customHeight="1">
      <c r="A239" t="s" s="2">
        <v>584</v>
      </c>
      <c r="B239" s="4">
        <v>44242</v>
      </c>
      <c r="C239" s="5">
        <v>3600</v>
      </c>
      <c r="D239" s="5">
        <v>126</v>
      </c>
      <c r="E239" s="5">
        <v>77</v>
      </c>
      <c r="F239" t="s" s="2">
        <v>301</v>
      </c>
      <c r="G239" t="s" s="2">
        <v>509</v>
      </c>
      <c r="H239" s="5">
        <v>661</v>
      </c>
      <c r="I239" t="s" s="2">
        <v>562</v>
      </c>
      <c r="J239" t="s" s="2">
        <v>22</v>
      </c>
      <c r="K239" t="s" s="2">
        <v>580</v>
      </c>
      <c r="L239" t="s" s="2">
        <v>585</v>
      </c>
      <c r="M239" s="5">
        <v>482974</v>
      </c>
      <c r="N239" s="5">
        <v>6238392</v>
      </c>
      <c r="O239" t="s" s="2">
        <v>25</v>
      </c>
      <c r="P239" s="6"/>
      <c r="Q239" t="s" s="2">
        <v>512</v>
      </c>
      <c r="R239" t="s" s="2">
        <f>_xlfn.IFERROR(INDEX('model_byCAP'!$D$2:$D$377,MATCH(Q239,'model_byCAP'!$A$2:$A$377,0)),0)</f>
        <v>513</v>
      </c>
    </row>
    <row r="240" ht="15.35" customHeight="1">
      <c r="A240" t="s" s="2">
        <v>586</v>
      </c>
      <c r="B240" s="4">
        <v>40164</v>
      </c>
      <c r="C240" s="5">
        <v>3600</v>
      </c>
      <c r="D240" s="5">
        <v>107</v>
      </c>
      <c r="E240" s="5">
        <v>80</v>
      </c>
      <c r="F240" t="s" s="2">
        <v>19</v>
      </c>
      <c r="G240" t="s" s="2">
        <v>587</v>
      </c>
      <c r="H240" s="5">
        <v>665</v>
      </c>
      <c r="I240" t="s" s="2">
        <v>316</v>
      </c>
      <c r="J240" t="s" s="2">
        <v>22</v>
      </c>
      <c r="K240" t="s" s="2">
        <v>588</v>
      </c>
      <c r="L240" t="s" s="2">
        <v>589</v>
      </c>
      <c r="M240" s="5">
        <v>453396.62</v>
      </c>
      <c r="N240" s="5">
        <v>6257646.96</v>
      </c>
      <c r="O240" t="s" s="2">
        <v>305</v>
      </c>
      <c r="P240" s="5">
        <v>40202380</v>
      </c>
      <c r="Q240" t="s" s="2">
        <v>590</v>
      </c>
      <c r="R240" t="s" s="2">
        <f>_xlfn.IFERROR(INDEX('model_byCAP'!$D$2:$D$377,MATCH(Q240,'model_byCAP'!$A$2:$A$377,0)),0)</f>
        <v>566</v>
      </c>
    </row>
    <row r="241" ht="15.35" customHeight="1">
      <c r="A241" t="s" s="2">
        <v>591</v>
      </c>
      <c r="B241" s="4">
        <v>40170</v>
      </c>
      <c r="C241" s="5">
        <v>3600</v>
      </c>
      <c r="D241" s="5">
        <v>107</v>
      </c>
      <c r="E241" s="5">
        <v>80</v>
      </c>
      <c r="F241" t="s" s="2">
        <v>19</v>
      </c>
      <c r="G241" t="s" s="2">
        <v>587</v>
      </c>
      <c r="H241" s="5">
        <v>665</v>
      </c>
      <c r="I241" t="s" s="2">
        <v>316</v>
      </c>
      <c r="J241" t="s" s="2">
        <v>22</v>
      </c>
      <c r="K241" t="s" s="2">
        <v>588</v>
      </c>
      <c r="L241" t="s" s="2">
        <v>592</v>
      </c>
      <c r="M241" s="5">
        <v>453660.96</v>
      </c>
      <c r="N241" s="5">
        <v>6257497.61</v>
      </c>
      <c r="O241" t="s" s="2">
        <v>305</v>
      </c>
      <c r="P241" s="5">
        <v>40202381</v>
      </c>
      <c r="Q241" t="s" s="2">
        <v>590</v>
      </c>
      <c r="R241" t="s" s="2">
        <f>_xlfn.IFERROR(INDEX('model_byCAP'!$D$2:$D$377,MATCH(Q241,'model_byCAP'!$A$2:$A$377,0)),0)</f>
        <v>566</v>
      </c>
    </row>
    <row r="242" ht="15.35" customHeight="1">
      <c r="A242" t="s" s="2">
        <v>593</v>
      </c>
      <c r="B242" s="4">
        <v>40168</v>
      </c>
      <c r="C242" s="5">
        <v>3600</v>
      </c>
      <c r="D242" s="5">
        <v>107</v>
      </c>
      <c r="E242" s="5">
        <v>80</v>
      </c>
      <c r="F242" t="s" s="2">
        <v>19</v>
      </c>
      <c r="G242" t="s" s="2">
        <v>587</v>
      </c>
      <c r="H242" s="5">
        <v>665</v>
      </c>
      <c r="I242" t="s" s="2">
        <v>316</v>
      </c>
      <c r="J242" t="s" s="2">
        <v>22</v>
      </c>
      <c r="K242" t="s" s="2">
        <v>588</v>
      </c>
      <c r="L242" t="s" s="2">
        <v>594</v>
      </c>
      <c r="M242" s="5">
        <v>453132.65</v>
      </c>
      <c r="N242" s="5">
        <v>6257796.53</v>
      </c>
      <c r="O242" t="s" s="2">
        <v>305</v>
      </c>
      <c r="P242" s="5">
        <v>40202382</v>
      </c>
      <c r="Q242" t="s" s="2">
        <v>590</v>
      </c>
      <c r="R242" t="s" s="2">
        <f>_xlfn.IFERROR(INDEX('model_byCAP'!$D$2:$D$377,MATCH(Q242,'model_byCAP'!$A$2:$A$377,0)),0)</f>
        <v>566</v>
      </c>
    </row>
    <row r="243" ht="15.35" customHeight="1">
      <c r="A243" t="s" s="2">
        <v>595</v>
      </c>
      <c r="B243" s="4">
        <v>40295</v>
      </c>
      <c r="C243" s="5">
        <v>3600</v>
      </c>
      <c r="D243" s="5">
        <v>120</v>
      </c>
      <c r="E243" s="5">
        <v>89.90000000000001</v>
      </c>
      <c r="F243" t="s" s="2">
        <v>19</v>
      </c>
      <c r="G243" t="s" s="2">
        <v>587</v>
      </c>
      <c r="H243" s="5">
        <v>665</v>
      </c>
      <c r="I243" t="s" s="2">
        <v>316</v>
      </c>
      <c r="J243" t="s" s="2">
        <v>22</v>
      </c>
      <c r="K243" t="s" s="2">
        <v>596</v>
      </c>
      <c r="L243" t="s" s="2">
        <v>597</v>
      </c>
      <c r="M243" s="5">
        <v>454767.52</v>
      </c>
      <c r="N243" s="5">
        <v>6247609.36</v>
      </c>
      <c r="O243" t="s" s="2">
        <v>305</v>
      </c>
      <c r="P243" s="5">
        <v>40202383</v>
      </c>
      <c r="Q243" t="s" s="2">
        <v>590</v>
      </c>
      <c r="R243" t="s" s="2">
        <f>_xlfn.IFERROR(INDEX('model_byCAP'!$D$2:$D$377,MATCH(Q243,'model_byCAP'!$A$2:$A$377,0)),0)</f>
        <v>566</v>
      </c>
    </row>
    <row r="244" ht="15.35" customHeight="1">
      <c r="A244" t="s" s="2">
        <v>598</v>
      </c>
      <c r="B244" s="4">
        <v>40296</v>
      </c>
      <c r="C244" s="5">
        <v>3600</v>
      </c>
      <c r="D244" s="5">
        <v>120</v>
      </c>
      <c r="E244" s="5">
        <v>89.90000000000001</v>
      </c>
      <c r="F244" t="s" s="2">
        <v>19</v>
      </c>
      <c r="G244" t="s" s="2">
        <v>587</v>
      </c>
      <c r="H244" s="5">
        <v>665</v>
      </c>
      <c r="I244" t="s" s="2">
        <v>316</v>
      </c>
      <c r="J244" t="s" s="2">
        <v>22</v>
      </c>
      <c r="K244" t="s" s="2">
        <v>596</v>
      </c>
      <c r="L244" t="s" s="2">
        <v>599</v>
      </c>
      <c r="M244" s="5">
        <v>454651.51</v>
      </c>
      <c r="N244" s="5">
        <v>6247905.93</v>
      </c>
      <c r="O244" t="s" s="2">
        <v>305</v>
      </c>
      <c r="P244" s="5">
        <v>40202384</v>
      </c>
      <c r="Q244" t="s" s="2">
        <v>590</v>
      </c>
      <c r="R244" t="s" s="2">
        <f>_xlfn.IFERROR(INDEX('model_byCAP'!$D$2:$D$377,MATCH(Q244,'model_byCAP'!$A$2:$A$377,0)),0)</f>
        <v>566</v>
      </c>
    </row>
    <row r="245" ht="15.35" customHeight="1">
      <c r="A245" t="s" s="2">
        <v>600</v>
      </c>
      <c r="B245" s="4">
        <v>40291</v>
      </c>
      <c r="C245" s="5">
        <v>3600</v>
      </c>
      <c r="D245" s="5">
        <v>120</v>
      </c>
      <c r="E245" s="5">
        <v>89.90000000000001</v>
      </c>
      <c r="F245" t="s" s="2">
        <v>19</v>
      </c>
      <c r="G245" t="s" s="2">
        <v>587</v>
      </c>
      <c r="H245" s="5">
        <v>665</v>
      </c>
      <c r="I245" t="s" s="2">
        <v>316</v>
      </c>
      <c r="J245" t="s" s="2">
        <v>22</v>
      </c>
      <c r="K245" t="s" s="2">
        <v>596</v>
      </c>
      <c r="L245" t="s" s="2">
        <v>601</v>
      </c>
      <c r="M245" s="5">
        <v>454535.52</v>
      </c>
      <c r="N245" s="5">
        <v>6248202.66</v>
      </c>
      <c r="O245" t="s" s="2">
        <v>305</v>
      </c>
      <c r="P245" s="5">
        <v>40202385</v>
      </c>
      <c r="Q245" t="s" s="2">
        <v>590</v>
      </c>
      <c r="R245" t="s" s="2">
        <f>_xlfn.IFERROR(INDEX('model_byCAP'!$D$2:$D$377,MATCH(Q245,'model_byCAP'!$A$2:$A$377,0)),0)</f>
        <v>566</v>
      </c>
    </row>
    <row r="246" ht="15.35" customHeight="1">
      <c r="A246" t="s" s="2">
        <v>602</v>
      </c>
      <c r="B246" s="4">
        <v>43146</v>
      </c>
      <c r="C246" s="5">
        <v>3600</v>
      </c>
      <c r="D246" s="5">
        <v>126</v>
      </c>
      <c r="E246" s="5">
        <v>87</v>
      </c>
      <c r="F246" t="s" s="2">
        <v>301</v>
      </c>
      <c r="G246" t="s" s="2">
        <v>603</v>
      </c>
      <c r="H246" s="5">
        <v>665</v>
      </c>
      <c r="I246" t="s" s="2">
        <v>316</v>
      </c>
      <c r="J246" t="s" s="2">
        <v>22</v>
      </c>
      <c r="K246" t="s" s="2">
        <v>604</v>
      </c>
      <c r="L246" t="s" s="2">
        <v>605</v>
      </c>
      <c r="M246" s="5">
        <v>459323</v>
      </c>
      <c r="N246" s="5">
        <v>6254980</v>
      </c>
      <c r="O246" t="s" s="2">
        <v>305</v>
      </c>
      <c r="P246" s="5">
        <v>40437</v>
      </c>
      <c r="Q246" t="s" s="2">
        <v>606</v>
      </c>
      <c r="R246" t="s" s="2">
        <f>_xlfn.IFERROR(INDEX('model_byCAP'!$D$2:$D$377,MATCH(Q246,'model_byCAP'!$A$2:$A$377,0)),0)</f>
        <v>513</v>
      </c>
    </row>
    <row r="247" ht="15.35" customHeight="1">
      <c r="A247" t="s" s="2">
        <v>607</v>
      </c>
      <c r="B247" s="4">
        <v>43133</v>
      </c>
      <c r="C247" s="5">
        <v>3600</v>
      </c>
      <c r="D247" s="5">
        <v>126</v>
      </c>
      <c r="E247" s="5">
        <v>87</v>
      </c>
      <c r="F247" t="s" s="2">
        <v>301</v>
      </c>
      <c r="G247" t="s" s="2">
        <v>603</v>
      </c>
      <c r="H247" s="5">
        <v>665</v>
      </c>
      <c r="I247" t="s" s="2">
        <v>316</v>
      </c>
      <c r="J247" t="s" s="2">
        <v>22</v>
      </c>
      <c r="K247" t="s" s="2">
        <v>604</v>
      </c>
      <c r="L247" t="s" s="2">
        <v>608</v>
      </c>
      <c r="M247" s="5">
        <v>459422</v>
      </c>
      <c r="N247" s="5">
        <v>6255316</v>
      </c>
      <c r="O247" t="s" s="2">
        <v>305</v>
      </c>
      <c r="P247" s="5">
        <v>40438</v>
      </c>
      <c r="Q247" t="s" s="2">
        <v>606</v>
      </c>
      <c r="R247" t="s" s="2">
        <f>_xlfn.IFERROR(INDEX('model_byCAP'!$D$2:$D$377,MATCH(Q247,'model_byCAP'!$A$2:$A$377,0)),0)</f>
        <v>513</v>
      </c>
    </row>
    <row r="248" ht="15.35" customHeight="1">
      <c r="A248" t="s" s="2">
        <v>609</v>
      </c>
      <c r="B248" s="4">
        <v>43140</v>
      </c>
      <c r="C248" s="5">
        <v>3600</v>
      </c>
      <c r="D248" s="5">
        <v>126</v>
      </c>
      <c r="E248" s="5">
        <v>87</v>
      </c>
      <c r="F248" t="s" s="2">
        <v>301</v>
      </c>
      <c r="G248" t="s" s="2">
        <v>603</v>
      </c>
      <c r="H248" s="5">
        <v>665</v>
      </c>
      <c r="I248" t="s" s="2">
        <v>316</v>
      </c>
      <c r="J248" t="s" s="2">
        <v>22</v>
      </c>
      <c r="K248" t="s" s="2">
        <v>604</v>
      </c>
      <c r="L248" t="s" s="2">
        <v>608</v>
      </c>
      <c r="M248" s="5">
        <v>459512.8</v>
      </c>
      <c r="N248" s="5">
        <v>6255623</v>
      </c>
      <c r="O248" t="s" s="2">
        <v>305</v>
      </c>
      <c r="P248" s="5">
        <v>40439</v>
      </c>
      <c r="Q248" t="s" s="2">
        <v>606</v>
      </c>
      <c r="R248" t="s" s="2">
        <f>_xlfn.IFERROR(INDEX('model_byCAP'!$D$2:$D$377,MATCH(Q248,'model_byCAP'!$A$2:$A$377,0)),0)</f>
        <v>513</v>
      </c>
    </row>
    <row r="249" ht="15.35" customHeight="1">
      <c r="A249" t="s" s="2">
        <v>610</v>
      </c>
      <c r="B249" s="4">
        <v>43131</v>
      </c>
      <c r="C249" s="5">
        <v>3600</v>
      </c>
      <c r="D249" s="5">
        <v>126</v>
      </c>
      <c r="E249" s="5">
        <v>87</v>
      </c>
      <c r="F249" t="s" s="2">
        <v>301</v>
      </c>
      <c r="G249" t="s" s="2">
        <v>603</v>
      </c>
      <c r="H249" s="5">
        <v>665</v>
      </c>
      <c r="I249" t="s" s="2">
        <v>316</v>
      </c>
      <c r="J249" t="s" s="2">
        <v>22</v>
      </c>
      <c r="K249" t="s" s="2">
        <v>604</v>
      </c>
      <c r="L249" t="s" s="2">
        <v>611</v>
      </c>
      <c r="M249" s="5">
        <v>459628.8</v>
      </c>
      <c r="N249" s="5">
        <v>6256016</v>
      </c>
      <c r="O249" t="s" s="2">
        <v>305</v>
      </c>
      <c r="P249" s="5">
        <v>40440</v>
      </c>
      <c r="Q249" t="s" s="2">
        <v>606</v>
      </c>
      <c r="R249" t="s" s="2">
        <f>_xlfn.IFERROR(INDEX('model_byCAP'!$D$2:$D$377,MATCH(Q249,'model_byCAP'!$A$2:$A$377,0)),0)</f>
        <v>513</v>
      </c>
    </row>
    <row r="250" ht="15.35" customHeight="1">
      <c r="A250" t="s" s="2">
        <v>612</v>
      </c>
      <c r="B250" s="4">
        <v>43138</v>
      </c>
      <c r="C250" s="5">
        <v>3600</v>
      </c>
      <c r="D250" s="5">
        <v>126</v>
      </c>
      <c r="E250" s="5">
        <v>87</v>
      </c>
      <c r="F250" t="s" s="2">
        <v>301</v>
      </c>
      <c r="G250" t="s" s="2">
        <v>603</v>
      </c>
      <c r="H250" s="5">
        <v>665</v>
      </c>
      <c r="I250" t="s" s="2">
        <v>316</v>
      </c>
      <c r="J250" t="s" s="2">
        <v>22</v>
      </c>
      <c r="K250" t="s" s="2">
        <v>604</v>
      </c>
      <c r="L250" t="s" s="2">
        <v>613</v>
      </c>
      <c r="M250" s="5">
        <v>459720</v>
      </c>
      <c r="N250" s="5">
        <v>6256325</v>
      </c>
      <c r="O250" t="s" s="2">
        <v>305</v>
      </c>
      <c r="P250" s="5">
        <v>40441</v>
      </c>
      <c r="Q250" t="s" s="2">
        <v>606</v>
      </c>
      <c r="R250" t="s" s="2">
        <f>_xlfn.IFERROR(INDEX('model_byCAP'!$D$2:$D$377,MATCH(Q250,'model_byCAP'!$A$2:$A$377,0)),0)</f>
        <v>513</v>
      </c>
    </row>
    <row r="251" ht="15.35" customHeight="1">
      <c r="A251" t="s" s="2">
        <v>614</v>
      </c>
      <c r="B251" s="4">
        <v>41173</v>
      </c>
      <c r="C251" s="5">
        <v>3600</v>
      </c>
      <c r="D251" s="5">
        <v>120</v>
      </c>
      <c r="E251" s="5">
        <v>81.59999999999999</v>
      </c>
      <c r="F251" t="s" s="2">
        <v>19</v>
      </c>
      <c r="G251" t="s" s="2">
        <v>615</v>
      </c>
      <c r="H251" s="5">
        <v>707</v>
      </c>
      <c r="I251" t="s" s="2">
        <v>616</v>
      </c>
      <c r="J251" t="s" s="2">
        <v>47</v>
      </c>
      <c r="K251" t="s" s="2">
        <v>617</v>
      </c>
      <c r="L251" t="s" s="2">
        <v>618</v>
      </c>
      <c r="M251" s="5">
        <v>634391.9</v>
      </c>
      <c r="N251" s="5">
        <v>6264751.05</v>
      </c>
      <c r="O251" t="s" s="2">
        <v>25</v>
      </c>
      <c r="P251" t="s" s="2">
        <v>619</v>
      </c>
      <c r="Q251" t="s" s="2">
        <v>620</v>
      </c>
      <c r="R251" t="s" s="2">
        <f>_xlfn.IFERROR(INDEX('model_byCAP'!$D$2:$D$377,MATCH(Q251,'model_byCAP'!$A$2:$A$377,0)),0)</f>
        <v>621</v>
      </c>
    </row>
    <row r="252" ht="15.35" customHeight="1">
      <c r="A252" t="s" s="2">
        <v>622</v>
      </c>
      <c r="B252" s="4">
        <v>41232</v>
      </c>
      <c r="C252" s="5">
        <v>3600</v>
      </c>
      <c r="D252" s="5">
        <v>120</v>
      </c>
      <c r="E252" s="5">
        <v>81.59999999999999</v>
      </c>
      <c r="F252" t="s" s="2">
        <v>19</v>
      </c>
      <c r="G252" t="s" s="2">
        <v>615</v>
      </c>
      <c r="H252" s="5">
        <v>707</v>
      </c>
      <c r="I252" t="s" s="2">
        <v>616</v>
      </c>
      <c r="J252" t="s" s="2">
        <v>47</v>
      </c>
      <c r="K252" t="s" s="2">
        <v>617</v>
      </c>
      <c r="L252" t="s" s="2">
        <v>618</v>
      </c>
      <c r="M252" s="5">
        <v>634426.4300000001</v>
      </c>
      <c r="N252" s="5">
        <v>6265371.2</v>
      </c>
      <c r="O252" t="s" s="2">
        <v>25</v>
      </c>
      <c r="P252" t="s" s="2">
        <v>623</v>
      </c>
      <c r="Q252" t="s" s="2">
        <v>620</v>
      </c>
      <c r="R252" t="s" s="2">
        <f>_xlfn.IFERROR(INDEX('model_byCAP'!$D$2:$D$377,MATCH(Q252,'model_byCAP'!$A$2:$A$377,0)),0)</f>
        <v>621</v>
      </c>
    </row>
    <row r="253" ht="15.35" customHeight="1">
      <c r="A253" t="s" s="2">
        <v>624</v>
      </c>
      <c r="B253" s="4">
        <v>41229</v>
      </c>
      <c r="C253" s="5">
        <v>3600</v>
      </c>
      <c r="D253" s="5">
        <v>120</v>
      </c>
      <c r="E253" s="5">
        <v>81.59999999999999</v>
      </c>
      <c r="F253" t="s" s="2">
        <v>19</v>
      </c>
      <c r="G253" t="s" s="2">
        <v>615</v>
      </c>
      <c r="H253" s="5">
        <v>707</v>
      </c>
      <c r="I253" t="s" s="2">
        <v>616</v>
      </c>
      <c r="J253" t="s" s="2">
        <v>47</v>
      </c>
      <c r="K253" t="s" s="2">
        <v>617</v>
      </c>
      <c r="L253" t="s" s="2">
        <v>618</v>
      </c>
      <c r="M253" s="5">
        <v>634452.394</v>
      </c>
      <c r="N253" s="5">
        <v>6265991.832</v>
      </c>
      <c r="O253" t="s" s="2">
        <v>25</v>
      </c>
      <c r="P253" t="s" s="2">
        <v>625</v>
      </c>
      <c r="Q253" t="s" s="2">
        <v>620</v>
      </c>
      <c r="R253" t="s" s="2">
        <f>_xlfn.IFERROR(INDEX('model_byCAP'!$D$2:$D$377,MATCH(Q253,'model_byCAP'!$A$2:$A$377,0)),0)</f>
        <v>621</v>
      </c>
    </row>
    <row r="254" ht="15.35" customHeight="1">
      <c r="A254" t="s" s="2">
        <v>626</v>
      </c>
      <c r="B254" s="4">
        <v>41226</v>
      </c>
      <c r="C254" s="5">
        <v>3600</v>
      </c>
      <c r="D254" s="5">
        <v>120</v>
      </c>
      <c r="E254" s="5">
        <v>81.59999999999999</v>
      </c>
      <c r="F254" t="s" s="2">
        <v>19</v>
      </c>
      <c r="G254" t="s" s="2">
        <v>615</v>
      </c>
      <c r="H254" s="5">
        <v>707</v>
      </c>
      <c r="I254" t="s" s="2">
        <v>616</v>
      </c>
      <c r="J254" t="s" s="2">
        <v>47</v>
      </c>
      <c r="K254" t="s" s="2">
        <v>617</v>
      </c>
      <c r="L254" t="s" s="2">
        <v>618</v>
      </c>
      <c r="M254" s="5">
        <v>634469.79</v>
      </c>
      <c r="N254" s="5">
        <v>6266612.76</v>
      </c>
      <c r="O254" t="s" s="2">
        <v>25</v>
      </c>
      <c r="P254" t="s" s="2">
        <v>627</v>
      </c>
      <c r="Q254" t="s" s="2">
        <v>620</v>
      </c>
      <c r="R254" t="s" s="2">
        <f>_xlfn.IFERROR(INDEX('model_byCAP'!$D$2:$D$377,MATCH(Q254,'model_byCAP'!$A$2:$A$377,0)),0)</f>
        <v>621</v>
      </c>
    </row>
    <row r="255" ht="15.35" customHeight="1">
      <c r="A255" t="s" s="2">
        <v>628</v>
      </c>
      <c r="B255" s="4">
        <v>41227</v>
      </c>
      <c r="C255" s="5">
        <v>3600</v>
      </c>
      <c r="D255" s="5">
        <v>120</v>
      </c>
      <c r="E255" s="5">
        <v>81.59999999999999</v>
      </c>
      <c r="F255" t="s" s="2">
        <v>19</v>
      </c>
      <c r="G255" t="s" s="2">
        <v>615</v>
      </c>
      <c r="H255" s="5">
        <v>707</v>
      </c>
      <c r="I255" t="s" s="2">
        <v>616</v>
      </c>
      <c r="J255" t="s" s="2">
        <v>47</v>
      </c>
      <c r="K255" t="s" s="2">
        <v>617</v>
      </c>
      <c r="L255" t="s" s="2">
        <v>618</v>
      </c>
      <c r="M255" s="5">
        <v>634478.55</v>
      </c>
      <c r="N255" s="5">
        <v>6267233.96</v>
      </c>
      <c r="O255" t="s" s="2">
        <v>25</v>
      </c>
      <c r="P255" t="s" s="2">
        <v>629</v>
      </c>
      <c r="Q255" t="s" s="2">
        <v>620</v>
      </c>
      <c r="R255" t="s" s="2">
        <f>_xlfn.IFERROR(INDEX('model_byCAP'!$D$2:$D$377,MATCH(Q255,'model_byCAP'!$A$2:$A$377,0)),0)</f>
        <v>621</v>
      </c>
    </row>
    <row r="256" ht="15.35" customHeight="1">
      <c r="A256" t="s" s="2">
        <v>630</v>
      </c>
      <c r="B256" s="4">
        <v>41209</v>
      </c>
      <c r="C256" s="5">
        <v>3600</v>
      </c>
      <c r="D256" s="5">
        <v>120</v>
      </c>
      <c r="E256" s="5">
        <v>81.59999999999999</v>
      </c>
      <c r="F256" t="s" s="2">
        <v>19</v>
      </c>
      <c r="G256" t="s" s="2">
        <v>615</v>
      </c>
      <c r="H256" s="5">
        <v>707</v>
      </c>
      <c r="I256" t="s" s="2">
        <v>616</v>
      </c>
      <c r="J256" t="s" s="2">
        <v>47</v>
      </c>
      <c r="K256" t="s" s="2">
        <v>617</v>
      </c>
      <c r="L256" t="s" s="2">
        <v>618</v>
      </c>
      <c r="M256" s="5">
        <v>634478.85</v>
      </c>
      <c r="N256" s="5">
        <v>6267855.02</v>
      </c>
      <c r="O256" t="s" s="2">
        <v>25</v>
      </c>
      <c r="P256" t="s" s="2">
        <v>631</v>
      </c>
      <c r="Q256" t="s" s="2">
        <v>620</v>
      </c>
      <c r="R256" t="s" s="2">
        <f>_xlfn.IFERROR(INDEX('model_byCAP'!$D$2:$D$377,MATCH(Q256,'model_byCAP'!$A$2:$A$377,0)),0)</f>
        <v>621</v>
      </c>
    </row>
    <row r="257" ht="15.35" customHeight="1">
      <c r="A257" t="s" s="2">
        <v>632</v>
      </c>
      <c r="B257" s="4">
        <v>41217</v>
      </c>
      <c r="C257" s="5">
        <v>3600</v>
      </c>
      <c r="D257" s="5">
        <v>120</v>
      </c>
      <c r="E257" s="5">
        <v>81.59999999999999</v>
      </c>
      <c r="F257" t="s" s="2">
        <v>19</v>
      </c>
      <c r="G257" t="s" s="2">
        <v>615</v>
      </c>
      <c r="H257" s="5">
        <v>707</v>
      </c>
      <c r="I257" t="s" s="2">
        <v>616</v>
      </c>
      <c r="J257" t="s" s="2">
        <v>47</v>
      </c>
      <c r="K257" t="s" s="2">
        <v>617</v>
      </c>
      <c r="L257" t="s" s="2">
        <v>618</v>
      </c>
      <c r="M257" s="5">
        <v>634470.5600000001</v>
      </c>
      <c r="N257" s="5">
        <v>6268476.11</v>
      </c>
      <c r="O257" t="s" s="2">
        <v>25</v>
      </c>
      <c r="P257" t="s" s="2">
        <v>633</v>
      </c>
      <c r="Q257" t="s" s="2">
        <v>620</v>
      </c>
      <c r="R257" t="s" s="2">
        <f>_xlfn.IFERROR(INDEX('model_byCAP'!$D$2:$D$377,MATCH(Q257,'model_byCAP'!$A$2:$A$377,0)),0)</f>
        <v>621</v>
      </c>
    </row>
    <row r="258" ht="15.35" customHeight="1">
      <c r="A258" t="s" s="2">
        <v>634</v>
      </c>
      <c r="B258" s="4">
        <v>41197</v>
      </c>
      <c r="C258" s="5">
        <v>3600</v>
      </c>
      <c r="D258" s="5">
        <v>120</v>
      </c>
      <c r="E258" s="5">
        <v>81.59999999999999</v>
      </c>
      <c r="F258" t="s" s="2">
        <v>19</v>
      </c>
      <c r="G258" t="s" s="2">
        <v>615</v>
      </c>
      <c r="H258" s="5">
        <v>707</v>
      </c>
      <c r="I258" t="s" s="2">
        <v>616</v>
      </c>
      <c r="J258" t="s" s="2">
        <v>47</v>
      </c>
      <c r="K258" t="s" s="2">
        <v>617</v>
      </c>
      <c r="L258" t="s" s="2">
        <v>618</v>
      </c>
      <c r="M258" s="5">
        <v>634453.8199999999</v>
      </c>
      <c r="N258" s="5">
        <v>6269097.13</v>
      </c>
      <c r="O258" t="s" s="2">
        <v>25</v>
      </c>
      <c r="P258" t="s" s="2">
        <v>635</v>
      </c>
      <c r="Q258" t="s" s="2">
        <v>620</v>
      </c>
      <c r="R258" t="s" s="2">
        <f>_xlfn.IFERROR(INDEX('model_byCAP'!$D$2:$D$377,MATCH(Q258,'model_byCAP'!$A$2:$A$377,0)),0)</f>
        <v>621</v>
      </c>
    </row>
    <row r="259" ht="15.35" customHeight="1">
      <c r="A259" t="s" s="2">
        <v>636</v>
      </c>
      <c r="B259" s="4">
        <v>41202</v>
      </c>
      <c r="C259" s="5">
        <v>3600</v>
      </c>
      <c r="D259" s="5">
        <v>120</v>
      </c>
      <c r="E259" s="5">
        <v>81.59999999999999</v>
      </c>
      <c r="F259" t="s" s="2">
        <v>19</v>
      </c>
      <c r="G259" t="s" s="2">
        <v>615</v>
      </c>
      <c r="H259" s="5">
        <v>707</v>
      </c>
      <c r="I259" t="s" s="2">
        <v>616</v>
      </c>
      <c r="J259" t="s" s="2">
        <v>47</v>
      </c>
      <c r="K259" t="s" s="2">
        <v>617</v>
      </c>
      <c r="L259" t="s" s="2">
        <v>618</v>
      </c>
      <c r="M259" s="5">
        <v>634428.5699999999</v>
      </c>
      <c r="N259" s="5">
        <v>6269717.71</v>
      </c>
      <c r="O259" t="s" s="2">
        <v>25</v>
      </c>
      <c r="P259" t="s" s="2">
        <v>637</v>
      </c>
      <c r="Q259" t="s" s="2">
        <v>620</v>
      </c>
      <c r="R259" t="s" s="2">
        <f>_xlfn.IFERROR(INDEX('model_byCAP'!$D$2:$D$377,MATCH(Q259,'model_byCAP'!$A$2:$A$377,0)),0)</f>
        <v>621</v>
      </c>
    </row>
    <row r="260" ht="15.35" customHeight="1">
      <c r="A260" t="s" s="2">
        <v>638</v>
      </c>
      <c r="B260" s="4">
        <v>41245</v>
      </c>
      <c r="C260" s="5">
        <v>3600</v>
      </c>
      <c r="D260" s="5">
        <v>120</v>
      </c>
      <c r="E260" s="5">
        <v>81.59999999999999</v>
      </c>
      <c r="F260" t="s" s="2">
        <v>19</v>
      </c>
      <c r="G260" t="s" s="2">
        <v>615</v>
      </c>
      <c r="H260" s="5">
        <v>707</v>
      </c>
      <c r="I260" t="s" s="2">
        <v>616</v>
      </c>
      <c r="J260" t="s" s="2">
        <v>47</v>
      </c>
      <c r="K260" t="s" s="2">
        <v>617</v>
      </c>
      <c r="L260" t="s" s="2">
        <v>618</v>
      </c>
      <c r="M260" s="5">
        <v>634394.6</v>
      </c>
      <c r="N260" s="5">
        <v>6270337.92</v>
      </c>
      <c r="O260" t="s" s="2">
        <v>25</v>
      </c>
      <c r="P260" t="s" s="2">
        <v>639</v>
      </c>
      <c r="Q260" t="s" s="2">
        <v>620</v>
      </c>
      <c r="R260" t="s" s="2">
        <f>_xlfn.IFERROR(INDEX('model_byCAP'!$D$2:$D$377,MATCH(Q260,'model_byCAP'!$A$2:$A$377,0)),0)</f>
        <v>621</v>
      </c>
    </row>
    <row r="261" ht="15.35" customHeight="1">
      <c r="A261" t="s" s="2">
        <v>640</v>
      </c>
      <c r="B261" s="4">
        <v>41317</v>
      </c>
      <c r="C261" s="5">
        <v>3600</v>
      </c>
      <c r="D261" s="5">
        <v>120</v>
      </c>
      <c r="E261" s="5">
        <v>81.59999999999999</v>
      </c>
      <c r="F261" t="s" s="2">
        <v>19</v>
      </c>
      <c r="G261" t="s" s="2">
        <v>615</v>
      </c>
      <c r="H261" s="5">
        <v>707</v>
      </c>
      <c r="I261" t="s" s="2">
        <v>616</v>
      </c>
      <c r="J261" t="s" s="2">
        <v>47</v>
      </c>
      <c r="K261" t="s" s="2">
        <v>617</v>
      </c>
      <c r="L261" t="s" s="2">
        <v>618</v>
      </c>
      <c r="M261" s="5">
        <v>634343.4399999999</v>
      </c>
      <c r="N261" s="5">
        <v>6271072.2</v>
      </c>
      <c r="O261" t="s" s="2">
        <v>25</v>
      </c>
      <c r="P261" t="s" s="2">
        <v>641</v>
      </c>
      <c r="Q261" t="s" s="2">
        <v>620</v>
      </c>
      <c r="R261" t="s" s="2">
        <f>_xlfn.IFERROR(INDEX('model_byCAP'!$D$2:$D$377,MATCH(Q261,'model_byCAP'!$A$2:$A$377,0)),0)</f>
        <v>621</v>
      </c>
    </row>
    <row r="262" ht="15.35" customHeight="1">
      <c r="A262" t="s" s="2">
        <v>642</v>
      </c>
      <c r="B262" s="4">
        <v>41392</v>
      </c>
      <c r="C262" s="5">
        <v>3600</v>
      </c>
      <c r="D262" s="5">
        <v>120</v>
      </c>
      <c r="E262" s="5">
        <v>81.59999999999999</v>
      </c>
      <c r="F262" t="s" s="2">
        <v>19</v>
      </c>
      <c r="G262" t="s" s="2">
        <v>615</v>
      </c>
      <c r="H262" s="5">
        <v>707</v>
      </c>
      <c r="I262" t="s" s="2">
        <v>616</v>
      </c>
      <c r="J262" t="s" s="2">
        <v>47</v>
      </c>
      <c r="K262" t="s" s="2">
        <v>617</v>
      </c>
      <c r="L262" t="s" s="2">
        <v>618</v>
      </c>
      <c r="M262" s="5">
        <v>634280.54</v>
      </c>
      <c r="N262" s="5">
        <v>6271805.8</v>
      </c>
      <c r="O262" t="s" s="2">
        <v>25</v>
      </c>
      <c r="P262" t="s" s="2">
        <v>643</v>
      </c>
      <c r="Q262" t="s" s="2">
        <v>620</v>
      </c>
      <c r="R262" t="s" s="2">
        <f>_xlfn.IFERROR(INDEX('model_byCAP'!$D$2:$D$377,MATCH(Q262,'model_byCAP'!$A$2:$A$377,0)),0)</f>
        <v>621</v>
      </c>
    </row>
    <row r="263" ht="15.35" customHeight="1">
      <c r="A263" t="s" s="2">
        <v>644</v>
      </c>
      <c r="B263" s="4">
        <v>41422</v>
      </c>
      <c r="C263" s="5">
        <v>3600</v>
      </c>
      <c r="D263" s="5">
        <v>120</v>
      </c>
      <c r="E263" s="5">
        <v>81.59999999999999</v>
      </c>
      <c r="F263" t="s" s="2">
        <v>19</v>
      </c>
      <c r="G263" t="s" s="2">
        <v>615</v>
      </c>
      <c r="H263" s="5">
        <v>707</v>
      </c>
      <c r="I263" t="s" s="2">
        <v>616</v>
      </c>
      <c r="J263" t="s" s="2">
        <v>47</v>
      </c>
      <c r="K263" t="s" s="2">
        <v>617</v>
      </c>
      <c r="L263" t="s" s="2">
        <v>618</v>
      </c>
      <c r="M263" s="5">
        <v>634205.22</v>
      </c>
      <c r="N263" s="5">
        <v>6272537.93</v>
      </c>
      <c r="O263" t="s" s="2">
        <v>25</v>
      </c>
      <c r="P263" t="s" s="2">
        <v>645</v>
      </c>
      <c r="Q263" t="s" s="2">
        <v>620</v>
      </c>
      <c r="R263" t="s" s="2">
        <f>_xlfn.IFERROR(INDEX('model_byCAP'!$D$2:$D$377,MATCH(Q263,'model_byCAP'!$A$2:$A$377,0)),0)</f>
        <v>621</v>
      </c>
    </row>
    <row r="264" ht="15.35" customHeight="1">
      <c r="A264" t="s" s="2">
        <v>646</v>
      </c>
      <c r="B264" s="4">
        <v>41333</v>
      </c>
      <c r="C264" s="5">
        <v>3600</v>
      </c>
      <c r="D264" s="5">
        <v>120</v>
      </c>
      <c r="E264" s="5">
        <v>81.59999999999999</v>
      </c>
      <c r="F264" t="s" s="2">
        <v>19</v>
      </c>
      <c r="G264" t="s" s="2">
        <v>615</v>
      </c>
      <c r="H264" s="5">
        <v>707</v>
      </c>
      <c r="I264" t="s" s="2">
        <v>616</v>
      </c>
      <c r="J264" t="s" s="2">
        <v>47</v>
      </c>
      <c r="K264" t="s" s="2">
        <v>617</v>
      </c>
      <c r="L264" t="s" s="2">
        <v>618</v>
      </c>
      <c r="M264" s="5">
        <v>634127.55</v>
      </c>
      <c r="N264" s="5">
        <v>6273194.92</v>
      </c>
      <c r="O264" t="s" s="2">
        <v>25</v>
      </c>
      <c r="P264" t="s" s="2">
        <v>647</v>
      </c>
      <c r="Q264" t="s" s="2">
        <v>620</v>
      </c>
      <c r="R264" t="s" s="2">
        <f>_xlfn.IFERROR(INDEX('model_byCAP'!$D$2:$D$377,MATCH(Q264,'model_byCAP'!$A$2:$A$377,0)),0)</f>
        <v>621</v>
      </c>
    </row>
    <row r="265" ht="15.35" customHeight="1">
      <c r="A265" t="s" s="2">
        <v>648</v>
      </c>
      <c r="B265" s="4">
        <v>41291</v>
      </c>
      <c r="C265" s="5">
        <v>3600</v>
      </c>
      <c r="D265" s="5">
        <v>120</v>
      </c>
      <c r="E265" s="5">
        <v>81.59999999999999</v>
      </c>
      <c r="F265" t="s" s="2">
        <v>19</v>
      </c>
      <c r="G265" t="s" s="2">
        <v>615</v>
      </c>
      <c r="H265" s="5">
        <v>707</v>
      </c>
      <c r="I265" t="s" s="2">
        <v>616</v>
      </c>
      <c r="J265" t="s" s="2">
        <v>47</v>
      </c>
      <c r="K265" t="s" s="2">
        <v>617</v>
      </c>
      <c r="L265" t="s" s="2">
        <v>618</v>
      </c>
      <c r="M265" s="5">
        <v>634040.28</v>
      </c>
      <c r="N265" s="5">
        <v>6273850.77</v>
      </c>
      <c r="O265" t="s" s="2">
        <v>25</v>
      </c>
      <c r="P265" t="s" s="2">
        <v>649</v>
      </c>
      <c r="Q265" t="s" s="2">
        <v>620</v>
      </c>
      <c r="R265" t="s" s="2">
        <f>_xlfn.IFERROR(INDEX('model_byCAP'!$D$2:$D$377,MATCH(Q265,'model_byCAP'!$A$2:$A$377,0)),0)</f>
        <v>621</v>
      </c>
    </row>
    <row r="266" ht="15.35" customHeight="1">
      <c r="A266" t="s" s="2">
        <v>650</v>
      </c>
      <c r="B266" s="4">
        <v>41345</v>
      </c>
      <c r="C266" s="5">
        <v>3600</v>
      </c>
      <c r="D266" s="5">
        <v>120</v>
      </c>
      <c r="E266" s="5">
        <v>81.59999999999999</v>
      </c>
      <c r="F266" t="s" s="2">
        <v>19</v>
      </c>
      <c r="G266" t="s" s="2">
        <v>615</v>
      </c>
      <c r="H266" s="5">
        <v>707</v>
      </c>
      <c r="I266" t="s" s="2">
        <v>616</v>
      </c>
      <c r="J266" t="s" s="2">
        <v>47</v>
      </c>
      <c r="K266" t="s" s="2">
        <v>617</v>
      </c>
      <c r="L266" t="s" s="2">
        <v>618</v>
      </c>
      <c r="M266" s="5">
        <v>633943.27</v>
      </c>
      <c r="N266" s="5">
        <v>6274505.09</v>
      </c>
      <c r="O266" t="s" s="2">
        <v>25</v>
      </c>
      <c r="P266" t="s" s="2">
        <v>651</v>
      </c>
      <c r="Q266" t="s" s="2">
        <v>620</v>
      </c>
      <c r="R266" t="s" s="2">
        <f>_xlfn.IFERROR(INDEX('model_byCAP'!$D$2:$D$377,MATCH(Q266,'model_byCAP'!$A$2:$A$377,0)),0)</f>
        <v>621</v>
      </c>
    </row>
    <row r="267" ht="15.35" customHeight="1">
      <c r="A267" t="s" s="2">
        <v>652</v>
      </c>
      <c r="B267" s="4">
        <v>41392</v>
      </c>
      <c r="C267" s="5">
        <v>3600</v>
      </c>
      <c r="D267" s="5">
        <v>120</v>
      </c>
      <c r="E267" s="5">
        <v>81.59999999999999</v>
      </c>
      <c r="F267" t="s" s="2">
        <v>19</v>
      </c>
      <c r="G267" t="s" s="2">
        <v>615</v>
      </c>
      <c r="H267" s="5">
        <v>707</v>
      </c>
      <c r="I267" t="s" s="2">
        <v>616</v>
      </c>
      <c r="J267" t="s" s="2">
        <v>47</v>
      </c>
      <c r="K267" t="s" s="2">
        <v>617</v>
      </c>
      <c r="L267" t="s" s="2">
        <v>618</v>
      </c>
      <c r="M267" s="5">
        <v>633836.5699999999</v>
      </c>
      <c r="N267" s="5">
        <v>6275157.92</v>
      </c>
      <c r="O267" t="s" s="2">
        <v>25</v>
      </c>
      <c r="P267" t="s" s="2">
        <v>653</v>
      </c>
      <c r="Q267" t="s" s="2">
        <v>620</v>
      </c>
      <c r="R267" t="s" s="2">
        <f>_xlfn.IFERROR(INDEX('model_byCAP'!$D$2:$D$377,MATCH(Q267,'model_byCAP'!$A$2:$A$377,0)),0)</f>
        <v>621</v>
      </c>
    </row>
    <row r="268" ht="15.35" customHeight="1">
      <c r="A268" t="s" s="2">
        <v>654</v>
      </c>
      <c r="B268" s="4">
        <v>41413</v>
      </c>
      <c r="C268" s="5">
        <v>3600</v>
      </c>
      <c r="D268" s="5">
        <v>120</v>
      </c>
      <c r="E268" s="5">
        <v>81.59999999999999</v>
      </c>
      <c r="F268" t="s" s="2">
        <v>19</v>
      </c>
      <c r="G268" t="s" s="2">
        <v>615</v>
      </c>
      <c r="H268" s="5">
        <v>707</v>
      </c>
      <c r="I268" t="s" s="2">
        <v>616</v>
      </c>
      <c r="J268" t="s" s="2">
        <v>47</v>
      </c>
      <c r="K268" t="s" s="2">
        <v>617</v>
      </c>
      <c r="L268" t="s" s="2">
        <v>618</v>
      </c>
      <c r="M268" s="5">
        <v>633720.24</v>
      </c>
      <c r="N268" s="5">
        <v>6275809.28</v>
      </c>
      <c r="O268" t="s" s="2">
        <v>25</v>
      </c>
      <c r="P268" t="s" s="2">
        <v>655</v>
      </c>
      <c r="Q268" t="s" s="2">
        <v>620</v>
      </c>
      <c r="R268" t="s" s="2">
        <f>_xlfn.IFERROR(INDEX('model_byCAP'!$D$2:$D$377,MATCH(Q268,'model_byCAP'!$A$2:$A$377,0)),0)</f>
        <v>621</v>
      </c>
    </row>
    <row r="269" ht="15.35" customHeight="1">
      <c r="A269" t="s" s="2">
        <v>656</v>
      </c>
      <c r="B269" s="4">
        <v>41429</v>
      </c>
      <c r="C269" s="5">
        <v>3600</v>
      </c>
      <c r="D269" s="5">
        <v>120</v>
      </c>
      <c r="E269" s="5">
        <v>81.59999999999999</v>
      </c>
      <c r="F269" t="s" s="2">
        <v>19</v>
      </c>
      <c r="G269" t="s" s="2">
        <v>615</v>
      </c>
      <c r="H269" s="5">
        <v>707</v>
      </c>
      <c r="I269" t="s" s="2">
        <v>616</v>
      </c>
      <c r="J269" t="s" s="2">
        <v>47</v>
      </c>
      <c r="K269" t="s" s="2">
        <v>617</v>
      </c>
      <c r="L269" t="s" s="2">
        <v>618</v>
      </c>
      <c r="M269" s="5">
        <v>633594.361</v>
      </c>
      <c r="N269" s="5">
        <v>6276458.761</v>
      </c>
      <c r="O269" t="s" s="2">
        <v>25</v>
      </c>
      <c r="P269" t="s" s="2">
        <v>657</v>
      </c>
      <c r="Q269" t="s" s="2">
        <v>620</v>
      </c>
      <c r="R269" t="s" s="2">
        <f>_xlfn.IFERROR(INDEX('model_byCAP'!$D$2:$D$377,MATCH(Q269,'model_byCAP'!$A$2:$A$377,0)),0)</f>
        <v>621</v>
      </c>
    </row>
    <row r="270" ht="15.35" customHeight="1">
      <c r="A270" t="s" s="2">
        <v>658</v>
      </c>
      <c r="B270" s="4">
        <v>41370</v>
      </c>
      <c r="C270" s="5">
        <v>3600</v>
      </c>
      <c r="D270" s="5">
        <v>120</v>
      </c>
      <c r="E270" s="5">
        <v>81.59999999999999</v>
      </c>
      <c r="F270" t="s" s="2">
        <v>19</v>
      </c>
      <c r="G270" t="s" s="2">
        <v>615</v>
      </c>
      <c r="H270" s="5">
        <v>707</v>
      </c>
      <c r="I270" t="s" s="2">
        <v>616</v>
      </c>
      <c r="J270" t="s" s="2">
        <v>47</v>
      </c>
      <c r="K270" t="s" s="2">
        <v>617</v>
      </c>
      <c r="L270" t="s" s="2">
        <v>618</v>
      </c>
      <c r="M270" s="5">
        <v>633458.831</v>
      </c>
      <c r="N270" s="5">
        <v>6277106.289</v>
      </c>
      <c r="O270" t="s" s="2">
        <v>25</v>
      </c>
      <c r="P270" t="s" s="2">
        <v>659</v>
      </c>
      <c r="Q270" t="s" s="2">
        <v>620</v>
      </c>
      <c r="R270" t="s" s="2">
        <f>_xlfn.IFERROR(INDEX('model_byCAP'!$D$2:$D$377,MATCH(Q270,'model_byCAP'!$A$2:$A$377,0)),0)</f>
        <v>621</v>
      </c>
    </row>
    <row r="271" ht="15.35" customHeight="1">
      <c r="A271" t="s" s="2">
        <v>660</v>
      </c>
      <c r="B271" s="4">
        <v>41369</v>
      </c>
      <c r="C271" s="5">
        <v>3600</v>
      </c>
      <c r="D271" s="5">
        <v>120</v>
      </c>
      <c r="E271" s="5">
        <v>81.59999999999999</v>
      </c>
      <c r="F271" t="s" s="2">
        <v>19</v>
      </c>
      <c r="G271" t="s" s="2">
        <v>615</v>
      </c>
      <c r="H271" s="5">
        <v>707</v>
      </c>
      <c r="I271" t="s" s="2">
        <v>616</v>
      </c>
      <c r="J271" t="s" s="2">
        <v>47</v>
      </c>
      <c r="K271" t="s" s="2">
        <v>617</v>
      </c>
      <c r="L271" t="s" s="2">
        <v>618</v>
      </c>
      <c r="M271" s="5">
        <v>633191</v>
      </c>
      <c r="N271" s="5">
        <v>6278267</v>
      </c>
      <c r="O271" t="s" s="2">
        <v>25</v>
      </c>
      <c r="P271" t="s" s="2">
        <v>661</v>
      </c>
      <c r="Q271" t="s" s="2">
        <v>620</v>
      </c>
      <c r="R271" t="s" s="2">
        <f>_xlfn.IFERROR(INDEX('model_byCAP'!$D$2:$D$377,MATCH(Q271,'model_byCAP'!$A$2:$A$377,0)),0)</f>
        <v>621</v>
      </c>
    </row>
    <row r="272" ht="15.35" customHeight="1">
      <c r="A272" t="s" s="2">
        <v>662</v>
      </c>
      <c r="B272" s="4">
        <v>41440</v>
      </c>
      <c r="C272" s="5">
        <v>3600</v>
      </c>
      <c r="D272" s="5">
        <v>120</v>
      </c>
      <c r="E272" s="5">
        <v>81.59999999999999</v>
      </c>
      <c r="F272" t="s" s="2">
        <v>19</v>
      </c>
      <c r="G272" t="s" s="2">
        <v>615</v>
      </c>
      <c r="H272" s="5">
        <v>707</v>
      </c>
      <c r="I272" t="s" s="2">
        <v>616</v>
      </c>
      <c r="J272" t="s" s="2">
        <v>47</v>
      </c>
      <c r="K272" t="s" s="2">
        <v>617</v>
      </c>
      <c r="L272" t="s" s="2">
        <v>618</v>
      </c>
      <c r="M272" s="5">
        <v>633045</v>
      </c>
      <c r="N272" s="5">
        <v>6278846</v>
      </c>
      <c r="O272" t="s" s="2">
        <v>25</v>
      </c>
      <c r="P272" t="s" s="2">
        <v>663</v>
      </c>
      <c r="Q272" t="s" s="2">
        <v>620</v>
      </c>
      <c r="R272" t="s" s="2">
        <f>_xlfn.IFERROR(INDEX('model_byCAP'!$D$2:$D$377,MATCH(Q272,'model_byCAP'!$A$2:$A$377,0)),0)</f>
        <v>621</v>
      </c>
    </row>
    <row r="273" ht="15.35" customHeight="1">
      <c r="A273" t="s" s="2">
        <v>664</v>
      </c>
      <c r="B273" s="4">
        <v>41377</v>
      </c>
      <c r="C273" s="5">
        <v>3600</v>
      </c>
      <c r="D273" s="5">
        <v>120</v>
      </c>
      <c r="E273" s="5">
        <v>81.59999999999999</v>
      </c>
      <c r="F273" t="s" s="2">
        <v>19</v>
      </c>
      <c r="G273" t="s" s="2">
        <v>615</v>
      </c>
      <c r="H273" s="5">
        <v>707</v>
      </c>
      <c r="I273" t="s" s="2">
        <v>616</v>
      </c>
      <c r="J273" t="s" s="2">
        <v>47</v>
      </c>
      <c r="K273" t="s" s="2">
        <v>617</v>
      </c>
      <c r="L273" t="s" s="2">
        <v>618</v>
      </c>
      <c r="M273" s="5">
        <v>632892</v>
      </c>
      <c r="N273" s="5">
        <v>6279423</v>
      </c>
      <c r="O273" t="s" s="2">
        <v>25</v>
      </c>
      <c r="P273" t="s" s="2">
        <v>665</v>
      </c>
      <c r="Q273" t="s" s="2">
        <v>620</v>
      </c>
      <c r="R273" t="s" s="2">
        <f>_xlfn.IFERROR(INDEX('model_byCAP'!$D$2:$D$377,MATCH(Q273,'model_byCAP'!$A$2:$A$377,0)),0)</f>
        <v>621</v>
      </c>
    </row>
    <row r="274" ht="15.35" customHeight="1">
      <c r="A274" t="s" s="2">
        <v>666</v>
      </c>
      <c r="B274" s="4">
        <v>41390</v>
      </c>
      <c r="C274" s="5">
        <v>3600</v>
      </c>
      <c r="D274" s="5">
        <v>120</v>
      </c>
      <c r="E274" s="5">
        <v>81.59999999999999</v>
      </c>
      <c r="F274" t="s" s="2">
        <v>19</v>
      </c>
      <c r="G274" t="s" s="2">
        <v>615</v>
      </c>
      <c r="H274" s="5">
        <v>707</v>
      </c>
      <c r="I274" t="s" s="2">
        <v>616</v>
      </c>
      <c r="J274" t="s" s="2">
        <v>47</v>
      </c>
      <c r="K274" t="s" s="2">
        <v>617</v>
      </c>
      <c r="L274" t="s" s="2">
        <v>618</v>
      </c>
      <c r="M274" s="5">
        <v>632731</v>
      </c>
      <c r="N274" s="5">
        <v>6279997</v>
      </c>
      <c r="O274" t="s" s="2">
        <v>25</v>
      </c>
      <c r="P274" t="s" s="2">
        <v>667</v>
      </c>
      <c r="Q274" t="s" s="2">
        <v>620</v>
      </c>
      <c r="R274" t="s" s="2">
        <f>_xlfn.IFERROR(INDEX('model_byCAP'!$D$2:$D$377,MATCH(Q274,'model_byCAP'!$A$2:$A$377,0)),0)</f>
        <v>621</v>
      </c>
    </row>
    <row r="275" ht="15.35" customHeight="1">
      <c r="A275" t="s" s="2">
        <v>668</v>
      </c>
      <c r="B275" s="4">
        <v>41377</v>
      </c>
      <c r="C275" s="5">
        <v>3600</v>
      </c>
      <c r="D275" s="5">
        <v>120</v>
      </c>
      <c r="E275" s="5">
        <v>81.59999999999999</v>
      </c>
      <c r="F275" t="s" s="2">
        <v>19</v>
      </c>
      <c r="G275" t="s" s="2">
        <v>615</v>
      </c>
      <c r="H275" s="5">
        <v>707</v>
      </c>
      <c r="I275" t="s" s="2">
        <v>616</v>
      </c>
      <c r="J275" t="s" s="2">
        <v>47</v>
      </c>
      <c r="K275" t="s" s="2">
        <v>617</v>
      </c>
      <c r="L275" t="s" s="2">
        <v>618</v>
      </c>
      <c r="M275" s="5">
        <v>632562</v>
      </c>
      <c r="N275" s="5">
        <v>6280570</v>
      </c>
      <c r="O275" t="s" s="2">
        <v>25</v>
      </c>
      <c r="P275" t="s" s="2">
        <v>669</v>
      </c>
      <c r="Q275" t="s" s="2">
        <v>620</v>
      </c>
      <c r="R275" t="s" s="2">
        <f>_xlfn.IFERROR(INDEX('model_byCAP'!$D$2:$D$377,MATCH(Q275,'model_byCAP'!$A$2:$A$377,0)),0)</f>
        <v>621</v>
      </c>
    </row>
    <row r="276" ht="15.35" customHeight="1">
      <c r="A276" t="s" s="2">
        <v>670</v>
      </c>
      <c r="B276" s="4">
        <v>41441</v>
      </c>
      <c r="C276" s="5">
        <v>3600</v>
      </c>
      <c r="D276" s="5">
        <v>120</v>
      </c>
      <c r="E276" s="5">
        <v>81.59999999999999</v>
      </c>
      <c r="F276" t="s" s="2">
        <v>19</v>
      </c>
      <c r="G276" t="s" s="2">
        <v>615</v>
      </c>
      <c r="H276" s="5">
        <v>707</v>
      </c>
      <c r="I276" t="s" s="2">
        <v>616</v>
      </c>
      <c r="J276" t="s" s="2">
        <v>47</v>
      </c>
      <c r="K276" t="s" s="2">
        <v>617</v>
      </c>
      <c r="L276" t="s" s="2">
        <v>618</v>
      </c>
      <c r="M276" s="5">
        <v>632386</v>
      </c>
      <c r="N276" s="5">
        <v>6281140</v>
      </c>
      <c r="O276" t="s" s="2">
        <v>25</v>
      </c>
      <c r="P276" t="s" s="2">
        <v>671</v>
      </c>
      <c r="Q276" t="s" s="2">
        <v>620</v>
      </c>
      <c r="R276" t="s" s="2">
        <f>_xlfn.IFERROR(INDEX('model_byCAP'!$D$2:$D$377,MATCH(Q276,'model_byCAP'!$A$2:$A$377,0)),0)</f>
        <v>621</v>
      </c>
    </row>
    <row r="277" ht="15.35" customHeight="1">
      <c r="A277" t="s" s="2">
        <v>672</v>
      </c>
      <c r="B277" s="4">
        <v>41435</v>
      </c>
      <c r="C277" s="5">
        <v>3600</v>
      </c>
      <c r="D277" s="5">
        <v>120</v>
      </c>
      <c r="E277" s="5">
        <v>81.59999999999999</v>
      </c>
      <c r="F277" t="s" s="2">
        <v>19</v>
      </c>
      <c r="G277" t="s" s="2">
        <v>615</v>
      </c>
      <c r="H277" s="5">
        <v>707</v>
      </c>
      <c r="I277" t="s" s="2">
        <v>616</v>
      </c>
      <c r="J277" t="s" s="2">
        <v>47</v>
      </c>
      <c r="K277" t="s" s="2">
        <v>617</v>
      </c>
      <c r="L277" t="s" s="2">
        <v>618</v>
      </c>
      <c r="M277" s="5">
        <v>632202</v>
      </c>
      <c r="N277" s="5">
        <v>6281709</v>
      </c>
      <c r="O277" t="s" s="2">
        <v>25</v>
      </c>
      <c r="P277" t="s" s="2">
        <v>673</v>
      </c>
      <c r="Q277" t="s" s="2">
        <v>620</v>
      </c>
      <c r="R277" t="s" s="2">
        <f>_xlfn.IFERROR(INDEX('model_byCAP'!$D$2:$D$377,MATCH(Q277,'model_byCAP'!$A$2:$A$377,0)),0)</f>
        <v>621</v>
      </c>
    </row>
    <row r="278" ht="15.35" customHeight="1">
      <c r="A278" t="s" s="2">
        <v>674</v>
      </c>
      <c r="B278" s="4">
        <v>41437</v>
      </c>
      <c r="C278" s="5">
        <v>3600</v>
      </c>
      <c r="D278" s="5">
        <v>120</v>
      </c>
      <c r="E278" s="5">
        <v>81.59999999999999</v>
      </c>
      <c r="F278" t="s" s="2">
        <v>19</v>
      </c>
      <c r="G278" t="s" s="2">
        <v>615</v>
      </c>
      <c r="H278" s="5">
        <v>707</v>
      </c>
      <c r="I278" t="s" s="2">
        <v>616</v>
      </c>
      <c r="J278" t="s" s="2">
        <v>47</v>
      </c>
      <c r="K278" t="s" s="2">
        <v>617</v>
      </c>
      <c r="L278" t="s" s="2">
        <v>618</v>
      </c>
      <c r="M278" s="5">
        <v>632011</v>
      </c>
      <c r="N278" s="5">
        <v>6282274</v>
      </c>
      <c r="O278" t="s" s="2">
        <v>25</v>
      </c>
      <c r="P278" t="s" s="2">
        <v>675</v>
      </c>
      <c r="Q278" t="s" s="2">
        <v>620</v>
      </c>
      <c r="R278" t="s" s="2">
        <f>_xlfn.IFERROR(INDEX('model_byCAP'!$D$2:$D$377,MATCH(Q278,'model_byCAP'!$A$2:$A$377,0)),0)</f>
        <v>621</v>
      </c>
    </row>
    <row r="279" ht="15.35" customHeight="1">
      <c r="A279" t="s" s="2">
        <v>676</v>
      </c>
      <c r="B279" s="4">
        <v>41437</v>
      </c>
      <c r="C279" s="5">
        <v>3600</v>
      </c>
      <c r="D279" s="5">
        <v>120</v>
      </c>
      <c r="E279" s="5">
        <v>81.59999999999999</v>
      </c>
      <c r="F279" t="s" s="2">
        <v>19</v>
      </c>
      <c r="G279" t="s" s="2">
        <v>615</v>
      </c>
      <c r="H279" s="5">
        <v>707</v>
      </c>
      <c r="I279" t="s" s="2">
        <v>616</v>
      </c>
      <c r="J279" t="s" s="2">
        <v>47</v>
      </c>
      <c r="K279" t="s" s="2">
        <v>617</v>
      </c>
      <c r="L279" t="s" s="2">
        <v>618</v>
      </c>
      <c r="M279" s="5">
        <v>631812</v>
      </c>
      <c r="N279" s="5">
        <v>6282837</v>
      </c>
      <c r="O279" t="s" s="2">
        <v>25</v>
      </c>
      <c r="P279" t="s" s="2">
        <v>677</v>
      </c>
      <c r="Q279" t="s" s="2">
        <v>620</v>
      </c>
      <c r="R279" t="s" s="2">
        <f>_xlfn.IFERROR(INDEX('model_byCAP'!$D$2:$D$377,MATCH(Q279,'model_byCAP'!$A$2:$A$377,0)),0)</f>
        <v>621</v>
      </c>
    </row>
    <row r="280" ht="15.35" customHeight="1">
      <c r="A280" t="s" s="2">
        <v>678</v>
      </c>
      <c r="B280" s="4">
        <v>41396</v>
      </c>
      <c r="C280" s="5">
        <v>3600</v>
      </c>
      <c r="D280" s="5">
        <v>120</v>
      </c>
      <c r="E280" s="5">
        <v>81.59999999999999</v>
      </c>
      <c r="F280" t="s" s="2">
        <v>19</v>
      </c>
      <c r="G280" t="s" s="2">
        <v>615</v>
      </c>
      <c r="H280" s="5">
        <v>707</v>
      </c>
      <c r="I280" t="s" s="2">
        <v>616</v>
      </c>
      <c r="J280" t="s" s="2">
        <v>47</v>
      </c>
      <c r="K280" t="s" s="2">
        <v>617</v>
      </c>
      <c r="L280" t="s" s="2">
        <v>618</v>
      </c>
      <c r="M280" s="5">
        <v>631606</v>
      </c>
      <c r="N280" s="5">
        <v>6283397</v>
      </c>
      <c r="O280" t="s" s="2">
        <v>25</v>
      </c>
      <c r="P280" t="s" s="2">
        <v>679</v>
      </c>
      <c r="Q280" t="s" s="2">
        <v>620</v>
      </c>
      <c r="R280" t="s" s="2">
        <f>_xlfn.IFERROR(INDEX('model_byCAP'!$D$2:$D$377,MATCH(Q280,'model_byCAP'!$A$2:$A$377,0)),0)</f>
        <v>621</v>
      </c>
    </row>
    <row r="281" ht="15.35" customHeight="1">
      <c r="A281" t="s" s="2">
        <v>680</v>
      </c>
      <c r="B281" s="4">
        <v>41262</v>
      </c>
      <c r="C281" s="5">
        <v>3600</v>
      </c>
      <c r="D281" s="5">
        <v>120</v>
      </c>
      <c r="E281" s="5">
        <v>81.59999999999999</v>
      </c>
      <c r="F281" t="s" s="2">
        <v>19</v>
      </c>
      <c r="G281" t="s" s="2">
        <v>615</v>
      </c>
      <c r="H281" s="5">
        <v>707</v>
      </c>
      <c r="I281" t="s" s="2">
        <v>616</v>
      </c>
      <c r="J281" t="s" s="2">
        <v>47</v>
      </c>
      <c r="K281" t="s" s="2">
        <v>617</v>
      </c>
      <c r="L281" t="s" s="2">
        <v>618</v>
      </c>
      <c r="M281" s="5">
        <v>635583.0699999999</v>
      </c>
      <c r="N281" s="5">
        <v>6265833.04</v>
      </c>
      <c r="O281" t="s" s="2">
        <v>25</v>
      </c>
      <c r="P281" t="s" s="2">
        <v>681</v>
      </c>
      <c r="Q281" t="s" s="2">
        <v>620</v>
      </c>
      <c r="R281" t="s" s="2">
        <f>_xlfn.IFERROR(INDEX('model_byCAP'!$D$2:$D$377,MATCH(Q281,'model_byCAP'!$A$2:$A$377,0)),0)</f>
        <v>621</v>
      </c>
    </row>
    <row r="282" ht="15.35" customHeight="1">
      <c r="A282" t="s" s="2">
        <v>682</v>
      </c>
      <c r="B282" s="4">
        <v>41260</v>
      </c>
      <c r="C282" s="5">
        <v>3600</v>
      </c>
      <c r="D282" s="5">
        <v>120</v>
      </c>
      <c r="E282" s="5">
        <v>81.59999999999999</v>
      </c>
      <c r="F282" t="s" s="2">
        <v>19</v>
      </c>
      <c r="G282" t="s" s="2">
        <v>615</v>
      </c>
      <c r="H282" s="5">
        <v>707</v>
      </c>
      <c r="I282" t="s" s="2">
        <v>616</v>
      </c>
      <c r="J282" t="s" s="2">
        <v>47</v>
      </c>
      <c r="K282" t="s" s="2">
        <v>617</v>
      </c>
      <c r="L282" t="s" s="2">
        <v>618</v>
      </c>
      <c r="M282" s="5">
        <v>636167.66</v>
      </c>
      <c r="N282" s="5">
        <v>6266364.14</v>
      </c>
      <c r="O282" t="s" s="2">
        <v>25</v>
      </c>
      <c r="P282" t="s" s="2">
        <v>683</v>
      </c>
      <c r="Q282" t="s" s="2">
        <v>620</v>
      </c>
      <c r="R282" t="s" s="2">
        <f>_xlfn.IFERROR(INDEX('model_byCAP'!$D$2:$D$377,MATCH(Q282,'model_byCAP'!$A$2:$A$377,0)),0)</f>
        <v>621</v>
      </c>
    </row>
    <row r="283" ht="15.35" customHeight="1">
      <c r="A283" t="s" s="2">
        <v>684</v>
      </c>
      <c r="B283" s="4">
        <v>41278</v>
      </c>
      <c r="C283" s="5">
        <v>3600</v>
      </c>
      <c r="D283" s="5">
        <v>120</v>
      </c>
      <c r="E283" s="5">
        <v>81.59999999999999</v>
      </c>
      <c r="F283" t="s" s="2">
        <v>19</v>
      </c>
      <c r="G283" t="s" s="2">
        <v>615</v>
      </c>
      <c r="H283" s="5">
        <v>707</v>
      </c>
      <c r="I283" t="s" s="2">
        <v>616</v>
      </c>
      <c r="J283" t="s" s="2">
        <v>47</v>
      </c>
      <c r="K283" t="s" s="2">
        <v>617</v>
      </c>
      <c r="L283" t="s" s="2">
        <v>618</v>
      </c>
      <c r="M283" s="5">
        <v>636171.26</v>
      </c>
      <c r="N283" s="5">
        <v>6267250.32</v>
      </c>
      <c r="O283" t="s" s="2">
        <v>25</v>
      </c>
      <c r="P283" t="s" s="2">
        <v>685</v>
      </c>
      <c r="Q283" t="s" s="2">
        <v>620</v>
      </c>
      <c r="R283" t="s" s="2">
        <f>_xlfn.IFERROR(INDEX('model_byCAP'!$D$2:$D$377,MATCH(Q283,'model_byCAP'!$A$2:$A$377,0)),0)</f>
        <v>621</v>
      </c>
    </row>
    <row r="284" ht="15.35" customHeight="1">
      <c r="A284" t="s" s="2">
        <v>686</v>
      </c>
      <c r="B284" s="4">
        <v>41291</v>
      </c>
      <c r="C284" s="5">
        <v>3600</v>
      </c>
      <c r="D284" s="5">
        <v>120</v>
      </c>
      <c r="E284" s="5">
        <v>81.59999999999999</v>
      </c>
      <c r="F284" t="s" s="2">
        <v>19</v>
      </c>
      <c r="G284" t="s" s="2">
        <v>615</v>
      </c>
      <c r="H284" s="5">
        <v>707</v>
      </c>
      <c r="I284" t="s" s="2">
        <v>616</v>
      </c>
      <c r="J284" t="s" s="2">
        <v>47</v>
      </c>
      <c r="K284" t="s" s="2">
        <v>617</v>
      </c>
      <c r="L284" t="s" s="2">
        <v>618</v>
      </c>
      <c r="M284" s="5">
        <v>636141.89</v>
      </c>
      <c r="N284" s="5">
        <v>6268126.31</v>
      </c>
      <c r="O284" t="s" s="2">
        <v>25</v>
      </c>
      <c r="P284" t="s" s="2">
        <v>687</v>
      </c>
      <c r="Q284" t="s" s="2">
        <v>620</v>
      </c>
      <c r="R284" t="s" s="2">
        <f>_xlfn.IFERROR(INDEX('model_byCAP'!$D$2:$D$377,MATCH(Q284,'model_byCAP'!$A$2:$A$377,0)),0)</f>
        <v>621</v>
      </c>
    </row>
    <row r="285" ht="15.35" customHeight="1">
      <c r="A285" t="s" s="2">
        <v>688</v>
      </c>
      <c r="B285" s="4">
        <v>41314</v>
      </c>
      <c r="C285" s="5">
        <v>3600</v>
      </c>
      <c r="D285" s="5">
        <v>120</v>
      </c>
      <c r="E285" s="5">
        <v>81.59999999999999</v>
      </c>
      <c r="F285" t="s" s="2">
        <v>19</v>
      </c>
      <c r="G285" t="s" s="2">
        <v>615</v>
      </c>
      <c r="H285" s="5">
        <v>707</v>
      </c>
      <c r="I285" t="s" s="2">
        <v>616</v>
      </c>
      <c r="J285" t="s" s="2">
        <v>47</v>
      </c>
      <c r="K285" t="s" s="2">
        <v>617</v>
      </c>
      <c r="L285" t="s" s="2">
        <v>618</v>
      </c>
      <c r="M285" s="5">
        <v>636089.6800000001</v>
      </c>
      <c r="N285" s="5">
        <v>6269001.14</v>
      </c>
      <c r="O285" t="s" s="2">
        <v>25</v>
      </c>
      <c r="P285" t="s" s="2">
        <v>689</v>
      </c>
      <c r="Q285" t="s" s="2">
        <v>620</v>
      </c>
      <c r="R285" t="s" s="2">
        <f>_xlfn.IFERROR(INDEX('model_byCAP'!$D$2:$D$377,MATCH(Q285,'model_byCAP'!$A$2:$A$377,0)),0)</f>
        <v>621</v>
      </c>
    </row>
    <row r="286" ht="15.35" customHeight="1">
      <c r="A286" t="s" s="2">
        <v>690</v>
      </c>
      <c r="B286" s="4">
        <v>41306</v>
      </c>
      <c r="C286" s="5">
        <v>3600</v>
      </c>
      <c r="D286" s="5">
        <v>120</v>
      </c>
      <c r="E286" s="5">
        <v>81.59999999999999</v>
      </c>
      <c r="F286" t="s" s="2">
        <v>19</v>
      </c>
      <c r="G286" t="s" s="2">
        <v>615</v>
      </c>
      <c r="H286" s="5">
        <v>707</v>
      </c>
      <c r="I286" t="s" s="2">
        <v>616</v>
      </c>
      <c r="J286" t="s" s="2">
        <v>47</v>
      </c>
      <c r="K286" t="s" s="2">
        <v>617</v>
      </c>
      <c r="L286" t="s" s="2">
        <v>618</v>
      </c>
      <c r="M286" s="5">
        <v>636014.55</v>
      </c>
      <c r="N286" s="5">
        <v>6269874.41</v>
      </c>
      <c r="O286" t="s" s="2">
        <v>25</v>
      </c>
      <c r="P286" t="s" s="2">
        <v>691</v>
      </c>
      <c r="Q286" t="s" s="2">
        <v>620</v>
      </c>
      <c r="R286" t="s" s="2">
        <f>_xlfn.IFERROR(INDEX('model_byCAP'!$D$2:$D$377,MATCH(Q286,'model_byCAP'!$A$2:$A$377,0)),0)</f>
        <v>621</v>
      </c>
    </row>
    <row r="287" ht="15.35" customHeight="1">
      <c r="A287" t="s" s="2">
        <v>692</v>
      </c>
      <c r="B287" s="4">
        <v>41373</v>
      </c>
      <c r="C287" s="5">
        <v>3600</v>
      </c>
      <c r="D287" s="5">
        <v>120</v>
      </c>
      <c r="E287" s="5">
        <v>81.59999999999999</v>
      </c>
      <c r="F287" t="s" s="2">
        <v>19</v>
      </c>
      <c r="G287" t="s" s="2">
        <v>615</v>
      </c>
      <c r="H287" s="5">
        <v>707</v>
      </c>
      <c r="I287" t="s" s="2">
        <v>616</v>
      </c>
      <c r="J287" t="s" s="2">
        <v>47</v>
      </c>
      <c r="K287" t="s" s="2">
        <v>617</v>
      </c>
      <c r="L287" t="s" s="2">
        <v>618</v>
      </c>
      <c r="M287" s="5">
        <v>635916.89</v>
      </c>
      <c r="N287" s="5">
        <v>6270745.32</v>
      </c>
      <c r="O287" t="s" s="2">
        <v>25</v>
      </c>
      <c r="P287" t="s" s="2">
        <v>693</v>
      </c>
      <c r="Q287" t="s" s="2">
        <v>620</v>
      </c>
      <c r="R287" t="s" s="2">
        <f>_xlfn.IFERROR(INDEX('model_byCAP'!$D$2:$D$377,MATCH(Q287,'model_byCAP'!$A$2:$A$377,0)),0)</f>
        <v>621</v>
      </c>
    </row>
    <row r="288" ht="15.35" customHeight="1">
      <c r="A288" t="s" s="2">
        <v>694</v>
      </c>
      <c r="B288" s="4">
        <v>41405</v>
      </c>
      <c r="C288" s="5">
        <v>3600</v>
      </c>
      <c r="D288" s="5">
        <v>120</v>
      </c>
      <c r="E288" s="5">
        <v>81.59999999999999</v>
      </c>
      <c r="F288" t="s" s="2">
        <v>19</v>
      </c>
      <c r="G288" t="s" s="2">
        <v>615</v>
      </c>
      <c r="H288" s="5">
        <v>707</v>
      </c>
      <c r="I288" t="s" s="2">
        <v>616</v>
      </c>
      <c r="J288" t="s" s="2">
        <v>47</v>
      </c>
      <c r="K288" t="s" s="2">
        <v>617</v>
      </c>
      <c r="L288" t="s" s="2">
        <v>618</v>
      </c>
      <c r="M288" s="5">
        <v>635796.5</v>
      </c>
      <c r="N288" s="5">
        <v>6271613.42</v>
      </c>
      <c r="O288" t="s" s="2">
        <v>25</v>
      </c>
      <c r="P288" t="s" s="2">
        <v>695</v>
      </c>
      <c r="Q288" t="s" s="2">
        <v>620</v>
      </c>
      <c r="R288" t="s" s="2">
        <f>_xlfn.IFERROR(INDEX('model_byCAP'!$D$2:$D$377,MATCH(Q288,'model_byCAP'!$A$2:$A$377,0)),0)</f>
        <v>621</v>
      </c>
    </row>
    <row r="289" ht="15.35" customHeight="1">
      <c r="A289" t="s" s="2">
        <v>696</v>
      </c>
      <c r="B289" s="4">
        <v>41443</v>
      </c>
      <c r="C289" s="5">
        <v>3600</v>
      </c>
      <c r="D289" s="5">
        <v>120</v>
      </c>
      <c r="E289" s="5">
        <v>81.59999999999999</v>
      </c>
      <c r="F289" t="s" s="2">
        <v>19</v>
      </c>
      <c r="G289" t="s" s="2">
        <v>615</v>
      </c>
      <c r="H289" s="5">
        <v>707</v>
      </c>
      <c r="I289" t="s" s="2">
        <v>616</v>
      </c>
      <c r="J289" t="s" s="2">
        <v>47</v>
      </c>
      <c r="K289" t="s" s="2">
        <v>617</v>
      </c>
      <c r="L289" t="s" s="2">
        <v>618</v>
      </c>
      <c r="M289" s="5">
        <v>635442.348</v>
      </c>
      <c r="N289" s="5">
        <v>6273558.982</v>
      </c>
      <c r="O289" t="s" s="2">
        <v>25</v>
      </c>
      <c r="P289" t="s" s="2">
        <v>697</v>
      </c>
      <c r="Q289" t="s" s="2">
        <v>620</v>
      </c>
      <c r="R289" t="s" s="2">
        <f>_xlfn.IFERROR(INDEX('model_byCAP'!$D$2:$D$377,MATCH(Q289,'model_byCAP'!$A$2:$A$377,0)),0)</f>
        <v>621</v>
      </c>
    </row>
    <row r="290" ht="15.35" customHeight="1">
      <c r="A290" t="s" s="2">
        <v>698</v>
      </c>
      <c r="B290" s="4">
        <v>41435</v>
      </c>
      <c r="C290" s="5">
        <v>3600</v>
      </c>
      <c r="D290" s="5">
        <v>120</v>
      </c>
      <c r="E290" s="5">
        <v>81.59999999999999</v>
      </c>
      <c r="F290" t="s" s="2">
        <v>19</v>
      </c>
      <c r="G290" t="s" s="2">
        <v>615</v>
      </c>
      <c r="H290" s="5">
        <v>707</v>
      </c>
      <c r="I290" t="s" s="2">
        <v>616</v>
      </c>
      <c r="J290" t="s" s="2">
        <v>47</v>
      </c>
      <c r="K290" t="s" s="2">
        <v>617</v>
      </c>
      <c r="L290" t="s" s="2">
        <v>618</v>
      </c>
      <c r="M290" s="5">
        <v>635243.1</v>
      </c>
      <c r="N290" s="5">
        <v>6274436.107</v>
      </c>
      <c r="O290" t="s" s="2">
        <v>25</v>
      </c>
      <c r="P290" t="s" s="2">
        <v>699</v>
      </c>
      <c r="Q290" t="s" s="2">
        <v>620</v>
      </c>
      <c r="R290" t="s" s="2">
        <f>_xlfn.IFERROR(INDEX('model_byCAP'!$D$2:$D$377,MATCH(Q290,'model_byCAP'!$A$2:$A$377,0)),0)</f>
        <v>621</v>
      </c>
    </row>
    <row r="291" ht="15.35" customHeight="1">
      <c r="A291" t="s" s="2">
        <v>700</v>
      </c>
      <c r="B291" s="4">
        <v>41439</v>
      </c>
      <c r="C291" s="5">
        <v>3600</v>
      </c>
      <c r="D291" s="5">
        <v>120</v>
      </c>
      <c r="E291" s="5">
        <v>81.59999999999999</v>
      </c>
      <c r="F291" t="s" s="2">
        <v>19</v>
      </c>
      <c r="G291" t="s" s="2">
        <v>615</v>
      </c>
      <c r="H291" s="5">
        <v>707</v>
      </c>
      <c r="I291" t="s" s="2">
        <v>616</v>
      </c>
      <c r="J291" t="s" s="2">
        <v>47</v>
      </c>
      <c r="K291" t="s" s="2">
        <v>617</v>
      </c>
      <c r="L291" t="s" s="2">
        <v>618</v>
      </c>
      <c r="M291" s="5">
        <v>634775.224</v>
      </c>
      <c r="N291" s="5">
        <v>6276172.975</v>
      </c>
      <c r="O291" t="s" s="2">
        <v>25</v>
      </c>
      <c r="P291" t="s" s="2">
        <v>701</v>
      </c>
      <c r="Q291" t="s" s="2">
        <v>620</v>
      </c>
      <c r="R291" t="s" s="2">
        <f>_xlfn.IFERROR(INDEX('model_byCAP'!$D$2:$D$377,MATCH(Q291,'model_byCAP'!$A$2:$A$377,0)),0)</f>
        <v>621</v>
      </c>
    </row>
    <row r="292" ht="15.35" customHeight="1">
      <c r="A292" t="s" s="2">
        <v>702</v>
      </c>
      <c r="B292" s="4">
        <v>41433</v>
      </c>
      <c r="C292" s="5">
        <v>3600</v>
      </c>
      <c r="D292" s="5">
        <v>120</v>
      </c>
      <c r="E292" s="5">
        <v>81.59999999999999</v>
      </c>
      <c r="F292" t="s" s="2">
        <v>19</v>
      </c>
      <c r="G292" t="s" s="2">
        <v>615</v>
      </c>
      <c r="H292" s="5">
        <v>707</v>
      </c>
      <c r="I292" t="s" s="2">
        <v>616</v>
      </c>
      <c r="J292" t="s" s="2">
        <v>47</v>
      </c>
      <c r="K292" t="s" s="2">
        <v>617</v>
      </c>
      <c r="L292" t="s" s="2">
        <v>618</v>
      </c>
      <c r="M292" s="5">
        <v>632420.647</v>
      </c>
      <c r="N292" s="5">
        <v>6276172.975</v>
      </c>
      <c r="O292" t="s" s="2">
        <v>25</v>
      </c>
      <c r="P292" t="s" s="2">
        <v>703</v>
      </c>
      <c r="Q292" t="s" s="2">
        <v>620</v>
      </c>
      <c r="R292" t="s" s="2">
        <f>_xlfn.IFERROR(INDEX('model_byCAP'!$D$2:$D$377,MATCH(Q292,'model_byCAP'!$A$2:$A$377,0)),0)</f>
        <v>621</v>
      </c>
    </row>
    <row r="293" ht="15.35" customHeight="1">
      <c r="A293" t="s" s="2">
        <v>704</v>
      </c>
      <c r="B293" s="4">
        <v>41259</v>
      </c>
      <c r="C293" s="5">
        <v>3600</v>
      </c>
      <c r="D293" s="5">
        <v>120</v>
      </c>
      <c r="E293" s="5">
        <v>81.59999999999999</v>
      </c>
      <c r="F293" t="s" s="2">
        <v>19</v>
      </c>
      <c r="G293" t="s" s="2">
        <v>615</v>
      </c>
      <c r="H293" s="5">
        <v>707</v>
      </c>
      <c r="I293" t="s" s="2">
        <v>616</v>
      </c>
      <c r="J293" t="s" s="2">
        <v>47</v>
      </c>
      <c r="K293" t="s" s="2">
        <v>617</v>
      </c>
      <c r="L293" t="s" s="2">
        <v>618</v>
      </c>
      <c r="M293" s="5">
        <v>636774</v>
      </c>
      <c r="N293" s="5">
        <v>6266915</v>
      </c>
      <c r="O293" t="s" s="2">
        <v>25</v>
      </c>
      <c r="P293" t="s" s="2">
        <v>705</v>
      </c>
      <c r="Q293" t="s" s="2">
        <v>620</v>
      </c>
      <c r="R293" t="s" s="2">
        <f>_xlfn.IFERROR(INDEX('model_byCAP'!$D$2:$D$377,MATCH(Q293,'model_byCAP'!$A$2:$A$377,0)),0)</f>
        <v>621</v>
      </c>
    </row>
    <row r="294" ht="15.35" customHeight="1">
      <c r="A294" t="s" s="2">
        <v>706</v>
      </c>
      <c r="B294" s="4">
        <v>41232</v>
      </c>
      <c r="C294" s="5">
        <v>3600</v>
      </c>
      <c r="D294" s="5">
        <v>120</v>
      </c>
      <c r="E294" s="5">
        <v>81.59999999999999</v>
      </c>
      <c r="F294" t="s" s="2">
        <v>19</v>
      </c>
      <c r="G294" t="s" s="2">
        <v>615</v>
      </c>
      <c r="H294" s="5">
        <v>707</v>
      </c>
      <c r="I294" t="s" s="2">
        <v>616</v>
      </c>
      <c r="J294" t="s" s="2">
        <v>47</v>
      </c>
      <c r="K294" t="s" s="2">
        <v>617</v>
      </c>
      <c r="L294" t="s" s="2">
        <v>618</v>
      </c>
      <c r="M294" s="5">
        <v>637369</v>
      </c>
      <c r="N294" s="5">
        <v>6267456</v>
      </c>
      <c r="O294" t="s" s="2">
        <v>25</v>
      </c>
      <c r="P294" t="s" s="2">
        <v>707</v>
      </c>
      <c r="Q294" t="s" s="2">
        <v>620</v>
      </c>
      <c r="R294" t="s" s="2">
        <f>_xlfn.IFERROR(INDEX('model_byCAP'!$D$2:$D$377,MATCH(Q294,'model_byCAP'!$A$2:$A$377,0)),0)</f>
        <v>621</v>
      </c>
    </row>
    <row r="295" ht="15.35" customHeight="1">
      <c r="A295" t="s" s="2">
        <v>708</v>
      </c>
      <c r="B295" s="4">
        <v>41322</v>
      </c>
      <c r="C295" s="5">
        <v>3600</v>
      </c>
      <c r="D295" s="5">
        <v>120</v>
      </c>
      <c r="E295" s="5">
        <v>81.59999999999999</v>
      </c>
      <c r="F295" t="s" s="2">
        <v>19</v>
      </c>
      <c r="G295" t="s" s="2">
        <v>615</v>
      </c>
      <c r="H295" s="5">
        <v>707</v>
      </c>
      <c r="I295" t="s" s="2">
        <v>616</v>
      </c>
      <c r="J295" t="s" s="2">
        <v>47</v>
      </c>
      <c r="K295" t="s" s="2">
        <v>617</v>
      </c>
      <c r="L295" t="s" s="2">
        <v>618</v>
      </c>
      <c r="M295" s="5">
        <v>637965</v>
      </c>
      <c r="N295" s="5">
        <v>6267997</v>
      </c>
      <c r="O295" t="s" s="2">
        <v>25</v>
      </c>
      <c r="P295" t="s" s="2">
        <v>709</v>
      </c>
      <c r="Q295" t="s" s="2">
        <v>620</v>
      </c>
      <c r="R295" t="s" s="2">
        <f>_xlfn.IFERROR(INDEX('model_byCAP'!$D$2:$D$377,MATCH(Q295,'model_byCAP'!$A$2:$A$377,0)),0)</f>
        <v>621</v>
      </c>
    </row>
    <row r="296" ht="15.35" customHeight="1">
      <c r="A296" t="s" s="2">
        <v>710</v>
      </c>
      <c r="B296" s="4">
        <v>41333</v>
      </c>
      <c r="C296" s="5">
        <v>3600</v>
      </c>
      <c r="D296" s="5">
        <v>120</v>
      </c>
      <c r="E296" s="5">
        <v>81.59999999999999</v>
      </c>
      <c r="F296" t="s" s="2">
        <v>19</v>
      </c>
      <c r="G296" t="s" s="2">
        <v>615</v>
      </c>
      <c r="H296" s="5">
        <v>707</v>
      </c>
      <c r="I296" t="s" s="2">
        <v>616</v>
      </c>
      <c r="J296" t="s" s="2">
        <v>47</v>
      </c>
      <c r="K296" t="s" s="2">
        <v>617</v>
      </c>
      <c r="L296" t="s" s="2">
        <v>618</v>
      </c>
      <c r="M296" s="5">
        <v>637778.7439999999</v>
      </c>
      <c r="N296" s="5">
        <v>6268926.667</v>
      </c>
      <c r="O296" t="s" s="2">
        <v>25</v>
      </c>
      <c r="P296" t="s" s="2">
        <v>711</v>
      </c>
      <c r="Q296" t="s" s="2">
        <v>620</v>
      </c>
      <c r="R296" t="s" s="2">
        <f>_xlfn.IFERROR(INDEX('model_byCAP'!$D$2:$D$377,MATCH(Q296,'model_byCAP'!$A$2:$A$377,0)),0)</f>
        <v>621</v>
      </c>
    </row>
    <row r="297" ht="15.35" customHeight="1">
      <c r="A297" t="s" s="2">
        <v>712</v>
      </c>
      <c r="B297" s="4">
        <v>41337</v>
      </c>
      <c r="C297" s="5">
        <v>3600</v>
      </c>
      <c r="D297" s="5">
        <v>120</v>
      </c>
      <c r="E297" s="5">
        <v>81.59999999999999</v>
      </c>
      <c r="F297" t="s" s="2">
        <v>19</v>
      </c>
      <c r="G297" t="s" s="2">
        <v>615</v>
      </c>
      <c r="H297" s="5">
        <v>707</v>
      </c>
      <c r="I297" t="s" s="2">
        <v>616</v>
      </c>
      <c r="J297" t="s" s="2">
        <v>47</v>
      </c>
      <c r="K297" t="s" s="2">
        <v>617</v>
      </c>
      <c r="L297" t="s" s="2">
        <v>618</v>
      </c>
      <c r="M297" s="5">
        <v>637578.7709999999</v>
      </c>
      <c r="N297" s="5">
        <v>6269853.479</v>
      </c>
      <c r="O297" t="s" s="2">
        <v>25</v>
      </c>
      <c r="P297" t="s" s="2">
        <v>713</v>
      </c>
      <c r="Q297" t="s" s="2">
        <v>620</v>
      </c>
      <c r="R297" t="s" s="2">
        <f>_xlfn.IFERROR(INDEX('model_byCAP'!$D$2:$D$377,MATCH(Q297,'model_byCAP'!$A$2:$A$377,0)),0)</f>
        <v>621</v>
      </c>
    </row>
    <row r="298" ht="15.35" customHeight="1">
      <c r="A298" t="s" s="2">
        <v>714</v>
      </c>
      <c r="B298" s="4">
        <v>41319</v>
      </c>
      <c r="C298" s="5">
        <v>3600</v>
      </c>
      <c r="D298" s="5">
        <v>120</v>
      </c>
      <c r="E298" s="5">
        <v>81.59999999999999</v>
      </c>
      <c r="F298" t="s" s="2">
        <v>19</v>
      </c>
      <c r="G298" t="s" s="2">
        <v>615</v>
      </c>
      <c r="H298" s="5">
        <v>707</v>
      </c>
      <c r="I298" t="s" s="2">
        <v>616</v>
      </c>
      <c r="J298" t="s" s="2">
        <v>47</v>
      </c>
      <c r="K298" t="s" s="2">
        <v>617</v>
      </c>
      <c r="L298" t="s" s="2">
        <v>618</v>
      </c>
      <c r="M298" s="5">
        <v>637365.162</v>
      </c>
      <c r="N298" s="5">
        <v>6270777.243</v>
      </c>
      <c r="O298" t="s" s="2">
        <v>25</v>
      </c>
      <c r="P298" t="s" s="2">
        <v>715</v>
      </c>
      <c r="Q298" t="s" s="2">
        <v>620</v>
      </c>
      <c r="R298" t="s" s="2">
        <f>_xlfn.IFERROR(INDEX('model_byCAP'!$D$2:$D$377,MATCH(Q298,'model_byCAP'!$A$2:$A$377,0)),0)</f>
        <v>621</v>
      </c>
    </row>
    <row r="299" ht="15.35" customHeight="1">
      <c r="A299" t="s" s="2">
        <v>716</v>
      </c>
      <c r="B299" s="4">
        <v>41368</v>
      </c>
      <c r="C299" s="5">
        <v>3600</v>
      </c>
      <c r="D299" s="5">
        <v>120</v>
      </c>
      <c r="E299" s="5">
        <v>81.59999999999999</v>
      </c>
      <c r="F299" t="s" s="2">
        <v>19</v>
      </c>
      <c r="G299" t="s" s="2">
        <v>615</v>
      </c>
      <c r="H299" s="5">
        <v>707</v>
      </c>
      <c r="I299" t="s" s="2">
        <v>616</v>
      </c>
      <c r="J299" t="s" s="2">
        <v>47</v>
      </c>
      <c r="K299" t="s" s="2">
        <v>617</v>
      </c>
      <c r="L299" t="s" s="2">
        <v>618</v>
      </c>
      <c r="M299" s="5">
        <v>637137.9620000001</v>
      </c>
      <c r="N299" s="5">
        <v>6271697.759</v>
      </c>
      <c r="O299" t="s" s="2">
        <v>25</v>
      </c>
      <c r="P299" t="s" s="2">
        <v>717</v>
      </c>
      <c r="Q299" t="s" s="2">
        <v>620</v>
      </c>
      <c r="R299" t="s" s="2">
        <f>_xlfn.IFERROR(INDEX('model_byCAP'!$D$2:$D$377,MATCH(Q299,'model_byCAP'!$A$2:$A$377,0)),0)</f>
        <v>621</v>
      </c>
    </row>
    <row r="300" ht="15.35" customHeight="1">
      <c r="A300" t="s" s="2">
        <v>718</v>
      </c>
      <c r="B300" s="4">
        <v>41437</v>
      </c>
      <c r="C300" s="5">
        <v>3600</v>
      </c>
      <c r="D300" s="5">
        <v>120</v>
      </c>
      <c r="E300" s="5">
        <v>81.59999999999999</v>
      </c>
      <c r="F300" t="s" s="2">
        <v>19</v>
      </c>
      <c r="G300" t="s" s="2">
        <v>615</v>
      </c>
      <c r="H300" s="5">
        <v>707</v>
      </c>
      <c r="I300" t="s" s="2">
        <v>616</v>
      </c>
      <c r="J300" t="s" s="2">
        <v>47</v>
      </c>
      <c r="K300" t="s" s="2">
        <v>617</v>
      </c>
      <c r="L300" t="s" s="2">
        <v>618</v>
      </c>
      <c r="M300" s="5">
        <v>636897.276</v>
      </c>
      <c r="N300" s="5">
        <v>6272614.842</v>
      </c>
      <c r="O300" t="s" s="2">
        <v>25</v>
      </c>
      <c r="P300" t="s" s="2">
        <v>719</v>
      </c>
      <c r="Q300" t="s" s="2">
        <v>620</v>
      </c>
      <c r="R300" t="s" s="2">
        <f>_xlfn.IFERROR(INDEX('model_byCAP'!$D$2:$D$377,MATCH(Q300,'model_byCAP'!$A$2:$A$377,0)),0)</f>
        <v>621</v>
      </c>
    </row>
    <row r="301" ht="15.35" customHeight="1">
      <c r="A301" t="s" s="2">
        <v>720</v>
      </c>
      <c r="B301" s="4">
        <v>41437</v>
      </c>
      <c r="C301" s="5">
        <v>3600</v>
      </c>
      <c r="D301" s="5">
        <v>120</v>
      </c>
      <c r="E301" s="5">
        <v>81.59999999999999</v>
      </c>
      <c r="F301" t="s" s="2">
        <v>19</v>
      </c>
      <c r="G301" t="s" s="2">
        <v>615</v>
      </c>
      <c r="H301" s="5">
        <v>707</v>
      </c>
      <c r="I301" t="s" s="2">
        <v>616</v>
      </c>
      <c r="J301" t="s" s="2">
        <v>47</v>
      </c>
      <c r="K301" t="s" s="2">
        <v>617</v>
      </c>
      <c r="L301" t="s" s="2">
        <v>618</v>
      </c>
      <c r="M301" s="5">
        <v>636649.882</v>
      </c>
      <c r="N301" s="5">
        <v>6273483.106</v>
      </c>
      <c r="O301" t="s" s="2">
        <v>25</v>
      </c>
      <c r="P301" t="s" s="2">
        <v>721</v>
      </c>
      <c r="Q301" t="s" s="2">
        <v>620</v>
      </c>
      <c r="R301" t="s" s="2">
        <f>_xlfn.IFERROR(INDEX('model_byCAP'!$D$2:$D$377,MATCH(Q301,'model_byCAP'!$A$2:$A$377,0)),0)</f>
        <v>621</v>
      </c>
    </row>
    <row r="302" ht="15.35" customHeight="1">
      <c r="A302" t="s" s="2">
        <v>722</v>
      </c>
      <c r="B302" s="4">
        <v>41385</v>
      </c>
      <c r="C302" s="5">
        <v>3600</v>
      </c>
      <c r="D302" s="5">
        <v>120</v>
      </c>
      <c r="E302" s="5">
        <v>81.59999999999999</v>
      </c>
      <c r="F302" t="s" s="2">
        <v>19</v>
      </c>
      <c r="G302" t="s" s="2">
        <v>615</v>
      </c>
      <c r="H302" s="5">
        <v>707</v>
      </c>
      <c r="I302" t="s" s="2">
        <v>616</v>
      </c>
      <c r="J302" t="s" s="2">
        <v>47</v>
      </c>
      <c r="K302" t="s" s="2">
        <v>617</v>
      </c>
      <c r="L302" t="s" s="2">
        <v>618</v>
      </c>
      <c r="M302" s="5">
        <v>636402.488</v>
      </c>
      <c r="N302" s="5">
        <v>6274351.371</v>
      </c>
      <c r="O302" t="s" s="2">
        <v>25</v>
      </c>
      <c r="P302" t="s" s="2">
        <v>723</v>
      </c>
      <c r="Q302" t="s" s="2">
        <v>620</v>
      </c>
      <c r="R302" t="s" s="2">
        <f>_xlfn.IFERROR(INDEX('model_byCAP'!$D$2:$D$377,MATCH(Q302,'model_byCAP'!$A$2:$A$377,0)),0)</f>
        <v>621</v>
      </c>
    </row>
    <row r="303" ht="15.35" customHeight="1">
      <c r="A303" t="s" s="2">
        <v>724</v>
      </c>
      <c r="B303" s="4">
        <v>41379</v>
      </c>
      <c r="C303" s="5">
        <v>3600</v>
      </c>
      <c r="D303" s="5">
        <v>120</v>
      </c>
      <c r="E303" s="5">
        <v>81.59999999999999</v>
      </c>
      <c r="F303" t="s" s="2">
        <v>19</v>
      </c>
      <c r="G303" t="s" s="2">
        <v>615</v>
      </c>
      <c r="H303" s="5">
        <v>707</v>
      </c>
      <c r="I303" t="s" s="2">
        <v>616</v>
      </c>
      <c r="J303" t="s" s="2">
        <v>47</v>
      </c>
      <c r="K303" t="s" s="2">
        <v>617</v>
      </c>
      <c r="L303" t="s" s="2">
        <v>618</v>
      </c>
      <c r="M303" s="5">
        <v>636141.008</v>
      </c>
      <c r="N303" s="5">
        <v>6275169.863</v>
      </c>
      <c r="O303" t="s" s="2">
        <v>25</v>
      </c>
      <c r="P303" t="s" s="2">
        <v>725</v>
      </c>
      <c r="Q303" t="s" s="2">
        <v>620</v>
      </c>
      <c r="R303" t="s" s="2">
        <f>_xlfn.IFERROR(INDEX('model_byCAP'!$D$2:$D$377,MATCH(Q303,'model_byCAP'!$A$2:$A$377,0)),0)</f>
        <v>621</v>
      </c>
    </row>
    <row r="304" ht="15.35" customHeight="1">
      <c r="A304" t="s" s="2">
        <v>726</v>
      </c>
      <c r="B304" s="4">
        <v>41437</v>
      </c>
      <c r="C304" s="5">
        <v>3600</v>
      </c>
      <c r="D304" s="5">
        <v>120</v>
      </c>
      <c r="E304" s="5">
        <v>81.59999999999999</v>
      </c>
      <c r="F304" t="s" s="2">
        <v>19</v>
      </c>
      <c r="G304" t="s" s="2">
        <v>615</v>
      </c>
      <c r="H304" s="5">
        <v>707</v>
      </c>
      <c r="I304" t="s" s="2">
        <v>616</v>
      </c>
      <c r="J304" t="s" s="2">
        <v>47</v>
      </c>
      <c r="K304" t="s" s="2">
        <v>617</v>
      </c>
      <c r="L304" t="s" s="2">
        <v>618</v>
      </c>
      <c r="M304" s="5">
        <v>635875.203</v>
      </c>
      <c r="N304" s="5">
        <v>6275986.961</v>
      </c>
      <c r="O304" t="s" s="2">
        <v>25</v>
      </c>
      <c r="P304" t="s" s="2">
        <v>727</v>
      </c>
      <c r="Q304" t="s" s="2">
        <v>620</v>
      </c>
      <c r="R304" t="s" s="2">
        <f>_xlfn.IFERROR(INDEX('model_byCAP'!$D$2:$D$377,MATCH(Q304,'model_byCAP'!$A$2:$A$377,0)),0)</f>
        <v>621</v>
      </c>
    </row>
    <row r="305" ht="15.35" customHeight="1">
      <c r="A305" t="s" s="2">
        <v>728</v>
      </c>
      <c r="B305" s="4">
        <v>41406</v>
      </c>
      <c r="C305" s="5">
        <v>3600</v>
      </c>
      <c r="D305" s="5">
        <v>120</v>
      </c>
      <c r="E305" s="5">
        <v>81.59999999999999</v>
      </c>
      <c r="F305" t="s" s="2">
        <v>19</v>
      </c>
      <c r="G305" t="s" s="2">
        <v>615</v>
      </c>
      <c r="H305" s="5">
        <v>707</v>
      </c>
      <c r="I305" t="s" s="2">
        <v>616</v>
      </c>
      <c r="J305" t="s" s="2">
        <v>47</v>
      </c>
      <c r="K305" t="s" s="2">
        <v>617</v>
      </c>
      <c r="L305" t="s" s="2">
        <v>618</v>
      </c>
      <c r="M305" s="5">
        <v>635589</v>
      </c>
      <c r="N305" s="5">
        <v>6276850</v>
      </c>
      <c r="O305" t="s" s="2">
        <v>25</v>
      </c>
      <c r="P305" t="s" s="2">
        <v>729</v>
      </c>
      <c r="Q305" t="s" s="2">
        <v>620</v>
      </c>
      <c r="R305" t="s" s="2">
        <f>_xlfn.IFERROR(INDEX('model_byCAP'!$D$2:$D$377,MATCH(Q305,'model_byCAP'!$A$2:$A$377,0)),0)</f>
        <v>621</v>
      </c>
    </row>
    <row r="306" ht="15.35" customHeight="1">
      <c r="A306" t="s" s="2">
        <v>730</v>
      </c>
      <c r="B306" s="4">
        <v>41439</v>
      </c>
      <c r="C306" s="5">
        <v>3600</v>
      </c>
      <c r="D306" s="5">
        <v>120</v>
      </c>
      <c r="E306" s="5">
        <v>81.59999999999999</v>
      </c>
      <c r="F306" t="s" s="2">
        <v>19</v>
      </c>
      <c r="G306" t="s" s="2">
        <v>615</v>
      </c>
      <c r="H306" s="5">
        <v>707</v>
      </c>
      <c r="I306" t="s" s="2">
        <v>616</v>
      </c>
      <c r="J306" t="s" s="2">
        <v>47</v>
      </c>
      <c r="K306" t="s" s="2">
        <v>617</v>
      </c>
      <c r="L306" t="s" s="2">
        <v>618</v>
      </c>
      <c r="M306" s="5">
        <v>635330.653</v>
      </c>
      <c r="N306" s="5">
        <v>6277616.884</v>
      </c>
      <c r="O306" t="s" s="2">
        <v>25</v>
      </c>
      <c r="P306" t="s" s="2">
        <v>731</v>
      </c>
      <c r="Q306" t="s" s="2">
        <v>620</v>
      </c>
      <c r="R306" t="s" s="2">
        <f>_xlfn.IFERROR(INDEX('model_byCAP'!$D$2:$D$377,MATCH(Q306,'model_byCAP'!$A$2:$A$377,0)),0)</f>
        <v>621</v>
      </c>
    </row>
    <row r="307" ht="15.35" customHeight="1">
      <c r="A307" t="s" s="2">
        <v>732</v>
      </c>
      <c r="B307" s="4">
        <v>41417</v>
      </c>
      <c r="C307" s="5">
        <v>3600</v>
      </c>
      <c r="D307" s="5">
        <v>120</v>
      </c>
      <c r="E307" s="5">
        <v>81.59999999999999</v>
      </c>
      <c r="F307" t="s" s="2">
        <v>19</v>
      </c>
      <c r="G307" t="s" s="2">
        <v>615</v>
      </c>
      <c r="H307" s="5">
        <v>707</v>
      </c>
      <c r="I307" t="s" s="2">
        <v>616</v>
      </c>
      <c r="J307" t="s" s="2">
        <v>47</v>
      </c>
      <c r="K307" t="s" s="2">
        <v>617</v>
      </c>
      <c r="L307" t="s" s="2">
        <v>618</v>
      </c>
      <c r="M307" s="5">
        <v>635051.922</v>
      </c>
      <c r="N307" s="5">
        <v>6278429.663</v>
      </c>
      <c r="O307" t="s" s="2">
        <v>25</v>
      </c>
      <c r="P307" t="s" s="2">
        <v>733</v>
      </c>
      <c r="Q307" t="s" s="2">
        <v>620</v>
      </c>
      <c r="R307" t="s" s="2">
        <f>_xlfn.IFERROR(INDEX('model_byCAP'!$D$2:$D$377,MATCH(Q307,'model_byCAP'!$A$2:$A$377,0)),0)</f>
        <v>621</v>
      </c>
    </row>
    <row r="308" ht="15.35" customHeight="1">
      <c r="A308" t="s" s="2">
        <v>734</v>
      </c>
      <c r="B308" s="4">
        <v>41410</v>
      </c>
      <c r="C308" s="5">
        <v>3600</v>
      </c>
      <c r="D308" s="5">
        <v>120</v>
      </c>
      <c r="E308" s="5">
        <v>81.59999999999999</v>
      </c>
      <c r="F308" t="s" s="2">
        <v>19</v>
      </c>
      <c r="G308" t="s" s="2">
        <v>615</v>
      </c>
      <c r="H308" s="5">
        <v>707</v>
      </c>
      <c r="I308" t="s" s="2">
        <v>616</v>
      </c>
      <c r="J308" t="s" s="2">
        <v>47</v>
      </c>
      <c r="K308" t="s" s="2">
        <v>617</v>
      </c>
      <c r="L308" t="s" s="2">
        <v>618</v>
      </c>
      <c r="M308" s="5">
        <v>634768.898</v>
      </c>
      <c r="N308" s="5">
        <v>6279240.958</v>
      </c>
      <c r="O308" t="s" s="2">
        <v>25</v>
      </c>
      <c r="P308" t="s" s="2">
        <v>735</v>
      </c>
      <c r="Q308" t="s" s="2">
        <v>620</v>
      </c>
      <c r="R308" t="s" s="2">
        <f>_xlfn.IFERROR(INDEX('model_byCAP'!$D$2:$D$377,MATCH(Q308,'model_byCAP'!$A$2:$A$377,0)),0)</f>
        <v>621</v>
      </c>
    </row>
    <row r="309" ht="15.35" customHeight="1">
      <c r="A309" t="s" s="2">
        <v>736</v>
      </c>
      <c r="B309" s="4">
        <v>41408</v>
      </c>
      <c r="C309" s="5">
        <v>3600</v>
      </c>
      <c r="D309" s="5">
        <v>120</v>
      </c>
      <c r="E309" s="5">
        <v>81.59999999999999</v>
      </c>
      <c r="F309" t="s" s="2">
        <v>19</v>
      </c>
      <c r="G309" t="s" s="2">
        <v>615</v>
      </c>
      <c r="H309" s="5">
        <v>707</v>
      </c>
      <c r="I309" t="s" s="2">
        <v>616</v>
      </c>
      <c r="J309" t="s" s="2">
        <v>47</v>
      </c>
      <c r="K309" t="s" s="2">
        <v>617</v>
      </c>
      <c r="L309" t="s" s="2">
        <v>618</v>
      </c>
      <c r="M309" s="5">
        <v>634309</v>
      </c>
      <c r="N309" s="5">
        <v>6280530</v>
      </c>
      <c r="O309" t="s" s="2">
        <v>25</v>
      </c>
      <c r="P309" t="s" s="2">
        <v>737</v>
      </c>
      <c r="Q309" t="s" s="2">
        <v>620</v>
      </c>
      <c r="R309" t="s" s="2">
        <f>_xlfn.IFERROR(INDEX('model_byCAP'!$D$2:$D$377,MATCH(Q309,'model_byCAP'!$A$2:$A$377,0)),0)</f>
        <v>621</v>
      </c>
    </row>
    <row r="310" ht="15.35" customHeight="1">
      <c r="A310" t="s" s="2">
        <v>738</v>
      </c>
      <c r="B310" s="4">
        <v>41435</v>
      </c>
      <c r="C310" s="5">
        <v>3600</v>
      </c>
      <c r="D310" s="5">
        <v>120</v>
      </c>
      <c r="E310" s="5">
        <v>81.59999999999999</v>
      </c>
      <c r="F310" t="s" s="2">
        <v>19</v>
      </c>
      <c r="G310" t="s" s="2">
        <v>615</v>
      </c>
      <c r="H310" s="5">
        <v>707</v>
      </c>
      <c r="I310" t="s" s="2">
        <v>616</v>
      </c>
      <c r="J310" t="s" s="2">
        <v>47</v>
      </c>
      <c r="K310" t="s" s="2">
        <v>617</v>
      </c>
      <c r="L310" t="s" s="2">
        <v>618</v>
      </c>
      <c r="M310" s="5">
        <v>634072</v>
      </c>
      <c r="N310" s="5">
        <v>6281189</v>
      </c>
      <c r="O310" t="s" s="2">
        <v>25</v>
      </c>
      <c r="P310" t="s" s="2">
        <v>739</v>
      </c>
      <c r="Q310" t="s" s="2">
        <v>620</v>
      </c>
      <c r="R310" t="s" s="2">
        <f>_xlfn.IFERROR(INDEX('model_byCAP'!$D$2:$D$377,MATCH(Q310,'model_byCAP'!$A$2:$A$377,0)),0)</f>
        <v>621</v>
      </c>
    </row>
    <row r="311" ht="15.35" customHeight="1">
      <c r="A311" t="s" s="2">
        <v>740</v>
      </c>
      <c r="B311" s="4">
        <v>41424</v>
      </c>
      <c r="C311" s="5">
        <v>3600</v>
      </c>
      <c r="D311" s="5">
        <v>120</v>
      </c>
      <c r="E311" s="5">
        <v>81.59999999999999</v>
      </c>
      <c r="F311" t="s" s="2">
        <v>19</v>
      </c>
      <c r="G311" t="s" s="2">
        <v>615</v>
      </c>
      <c r="H311" s="5">
        <v>707</v>
      </c>
      <c r="I311" t="s" s="2">
        <v>616</v>
      </c>
      <c r="J311" t="s" s="2">
        <v>47</v>
      </c>
      <c r="K311" t="s" s="2">
        <v>617</v>
      </c>
      <c r="L311" t="s" s="2">
        <v>618</v>
      </c>
      <c r="M311" s="5">
        <v>633166</v>
      </c>
      <c r="N311" s="5">
        <v>6283679</v>
      </c>
      <c r="O311" t="s" s="2">
        <v>25</v>
      </c>
      <c r="P311" t="s" s="2">
        <v>741</v>
      </c>
      <c r="Q311" t="s" s="2">
        <v>620</v>
      </c>
      <c r="R311" t="s" s="2">
        <f>_xlfn.IFERROR(INDEX('model_byCAP'!$D$2:$D$377,MATCH(Q311,'model_byCAP'!$A$2:$A$377,0)),0)</f>
        <v>621</v>
      </c>
    </row>
    <row r="312" ht="15.35" customHeight="1">
      <c r="A312" t="s" s="2">
        <v>742</v>
      </c>
      <c r="B312" s="4">
        <v>41388</v>
      </c>
      <c r="C312" s="5">
        <v>3600</v>
      </c>
      <c r="D312" s="5">
        <v>120</v>
      </c>
      <c r="E312" s="5">
        <v>81.59999999999999</v>
      </c>
      <c r="F312" t="s" s="2">
        <v>19</v>
      </c>
      <c r="G312" t="s" s="2">
        <v>615</v>
      </c>
      <c r="H312" s="5">
        <v>707</v>
      </c>
      <c r="I312" t="s" s="2">
        <v>616</v>
      </c>
      <c r="J312" t="s" s="2">
        <v>47</v>
      </c>
      <c r="K312" t="s" s="2">
        <v>617</v>
      </c>
      <c r="L312" t="s" s="2">
        <v>618</v>
      </c>
      <c r="M312" s="5">
        <v>632816</v>
      </c>
      <c r="N312" s="5">
        <v>6284616</v>
      </c>
      <c r="O312" t="s" s="2">
        <v>25</v>
      </c>
      <c r="P312" t="s" s="2">
        <v>743</v>
      </c>
      <c r="Q312" t="s" s="2">
        <v>620</v>
      </c>
      <c r="R312" t="s" s="2">
        <f>_xlfn.IFERROR(INDEX('model_byCAP'!$D$2:$D$377,MATCH(Q312,'model_byCAP'!$A$2:$A$377,0)),0)</f>
        <v>621</v>
      </c>
    </row>
    <row r="313" ht="15.35" customHeight="1">
      <c r="A313" t="s" s="2">
        <v>744</v>
      </c>
      <c r="B313" s="4">
        <v>41431</v>
      </c>
      <c r="C313" s="5">
        <v>3600</v>
      </c>
      <c r="D313" s="5">
        <v>120</v>
      </c>
      <c r="E313" s="5">
        <v>81.59999999999999</v>
      </c>
      <c r="F313" t="s" s="2">
        <v>19</v>
      </c>
      <c r="G313" t="s" s="2">
        <v>615</v>
      </c>
      <c r="H313" s="5">
        <v>707</v>
      </c>
      <c r="I313" t="s" s="2">
        <v>616</v>
      </c>
      <c r="J313" t="s" s="2">
        <v>47</v>
      </c>
      <c r="K313" t="s" s="2">
        <v>617</v>
      </c>
      <c r="L313" t="s" s="2">
        <v>618</v>
      </c>
      <c r="M313" s="5">
        <v>632598.303</v>
      </c>
      <c r="N313" s="5">
        <v>6285195.145</v>
      </c>
      <c r="O313" t="s" s="2">
        <v>25</v>
      </c>
      <c r="P313" t="s" s="2">
        <v>745</v>
      </c>
      <c r="Q313" t="s" s="2">
        <v>620</v>
      </c>
      <c r="R313" t="s" s="2">
        <f>_xlfn.IFERROR(INDEX('model_byCAP'!$D$2:$D$377,MATCH(Q313,'model_byCAP'!$A$2:$A$377,0)),0)</f>
        <v>621</v>
      </c>
    </row>
    <row r="314" ht="15.35" customHeight="1">
      <c r="A314" t="s" s="2">
        <v>746</v>
      </c>
      <c r="B314" s="4">
        <v>41413</v>
      </c>
      <c r="C314" s="5">
        <v>3600</v>
      </c>
      <c r="D314" s="5">
        <v>120</v>
      </c>
      <c r="E314" s="5">
        <v>81.59999999999999</v>
      </c>
      <c r="F314" t="s" s="2">
        <v>19</v>
      </c>
      <c r="G314" t="s" s="2">
        <v>615</v>
      </c>
      <c r="H314" s="5">
        <v>707</v>
      </c>
      <c r="I314" t="s" s="2">
        <v>616</v>
      </c>
      <c r="J314" t="s" s="2">
        <v>47</v>
      </c>
      <c r="K314" t="s" s="2">
        <v>617</v>
      </c>
      <c r="L314" t="s" s="2">
        <v>618</v>
      </c>
      <c r="M314" s="5">
        <v>632383.6899999999</v>
      </c>
      <c r="N314" s="5">
        <v>6285755.45</v>
      </c>
      <c r="O314" t="s" s="2">
        <v>25</v>
      </c>
      <c r="P314" t="s" s="2">
        <v>747</v>
      </c>
      <c r="Q314" t="s" s="2">
        <v>620</v>
      </c>
      <c r="R314" t="s" s="2">
        <f>_xlfn.IFERROR(INDEX('model_byCAP'!$D$2:$D$377,MATCH(Q314,'model_byCAP'!$A$2:$A$377,0)),0)</f>
        <v>621</v>
      </c>
    </row>
    <row r="315" ht="15.35" customHeight="1">
      <c r="A315" t="s" s="2">
        <v>748</v>
      </c>
      <c r="B315" s="4">
        <v>41399</v>
      </c>
      <c r="C315" s="5">
        <v>3600</v>
      </c>
      <c r="D315" s="5">
        <v>120</v>
      </c>
      <c r="E315" s="5">
        <v>81.59999999999999</v>
      </c>
      <c r="F315" t="s" s="2">
        <v>19</v>
      </c>
      <c r="G315" t="s" s="2">
        <v>615</v>
      </c>
      <c r="H315" s="5">
        <v>707</v>
      </c>
      <c r="I315" t="s" s="2">
        <v>616</v>
      </c>
      <c r="J315" t="s" s="2">
        <v>47</v>
      </c>
      <c r="K315" t="s" s="2">
        <v>617</v>
      </c>
      <c r="L315" t="s" s="2">
        <v>618</v>
      </c>
      <c r="M315" s="5">
        <v>632069</v>
      </c>
      <c r="N315" s="5">
        <v>6286316</v>
      </c>
      <c r="O315" t="s" s="2">
        <v>25</v>
      </c>
      <c r="P315" t="s" s="2">
        <v>749</v>
      </c>
      <c r="Q315" t="s" s="2">
        <v>620</v>
      </c>
      <c r="R315" t="s" s="2">
        <f>_xlfn.IFERROR(INDEX('model_byCAP'!$D$2:$D$377,MATCH(Q315,'model_byCAP'!$A$2:$A$377,0)),0)</f>
        <v>621</v>
      </c>
    </row>
    <row r="316" ht="15.35" customHeight="1">
      <c r="A316" t="s" s="2">
        <v>750</v>
      </c>
      <c r="B316" s="4">
        <v>41423</v>
      </c>
      <c r="C316" s="5">
        <v>3600</v>
      </c>
      <c r="D316" s="5">
        <v>120</v>
      </c>
      <c r="E316" s="5">
        <v>81.59999999999999</v>
      </c>
      <c r="F316" t="s" s="2">
        <v>19</v>
      </c>
      <c r="G316" t="s" s="2">
        <v>615</v>
      </c>
      <c r="H316" s="5">
        <v>707</v>
      </c>
      <c r="I316" t="s" s="2">
        <v>616</v>
      </c>
      <c r="J316" t="s" s="2">
        <v>47</v>
      </c>
      <c r="K316" t="s" s="2">
        <v>617</v>
      </c>
      <c r="L316" t="s" s="2">
        <v>618</v>
      </c>
      <c r="M316" s="5">
        <v>638560</v>
      </c>
      <c r="N316" s="5">
        <v>6268538</v>
      </c>
      <c r="O316" t="s" s="2">
        <v>25</v>
      </c>
      <c r="P316" t="s" s="2">
        <v>751</v>
      </c>
      <c r="Q316" t="s" s="2">
        <v>620</v>
      </c>
      <c r="R316" t="s" s="2">
        <f>_xlfn.IFERROR(INDEX('model_byCAP'!$D$2:$D$377,MATCH(Q316,'model_byCAP'!$A$2:$A$377,0)),0)</f>
        <v>621</v>
      </c>
    </row>
    <row r="317" ht="15.35" customHeight="1">
      <c r="A317" t="s" s="2">
        <v>752</v>
      </c>
      <c r="B317" s="4">
        <v>41310</v>
      </c>
      <c r="C317" s="5">
        <v>3600</v>
      </c>
      <c r="D317" s="5">
        <v>120</v>
      </c>
      <c r="E317" s="5">
        <v>81.59999999999999</v>
      </c>
      <c r="F317" t="s" s="2">
        <v>19</v>
      </c>
      <c r="G317" t="s" s="2">
        <v>615</v>
      </c>
      <c r="H317" s="5">
        <v>707</v>
      </c>
      <c r="I317" t="s" s="2">
        <v>616</v>
      </c>
      <c r="J317" t="s" s="2">
        <v>47</v>
      </c>
      <c r="K317" t="s" s="2">
        <v>617</v>
      </c>
      <c r="L317" t="s" s="2">
        <v>618</v>
      </c>
      <c r="M317" s="5">
        <v>639155</v>
      </c>
      <c r="N317" s="5">
        <v>6269079</v>
      </c>
      <c r="O317" t="s" s="2">
        <v>25</v>
      </c>
      <c r="P317" t="s" s="2">
        <v>753</v>
      </c>
      <c r="Q317" t="s" s="2">
        <v>620</v>
      </c>
      <c r="R317" t="s" s="2">
        <f>_xlfn.IFERROR(INDEX('model_byCAP'!$D$2:$D$377,MATCH(Q317,'model_byCAP'!$A$2:$A$377,0)),0)</f>
        <v>621</v>
      </c>
    </row>
    <row r="318" ht="15.35" customHeight="1">
      <c r="A318" t="s" s="2">
        <v>754</v>
      </c>
      <c r="B318" s="4">
        <v>41286</v>
      </c>
      <c r="C318" s="5">
        <v>3600</v>
      </c>
      <c r="D318" s="5">
        <v>120</v>
      </c>
      <c r="E318" s="5">
        <v>81.59999999999999</v>
      </c>
      <c r="F318" t="s" s="2">
        <v>19</v>
      </c>
      <c r="G318" t="s" s="2">
        <v>615</v>
      </c>
      <c r="H318" s="5">
        <v>707</v>
      </c>
      <c r="I318" t="s" s="2">
        <v>616</v>
      </c>
      <c r="J318" t="s" s="2">
        <v>47</v>
      </c>
      <c r="K318" t="s" s="2">
        <v>617</v>
      </c>
      <c r="L318" t="s" s="2">
        <v>618</v>
      </c>
      <c r="M318" s="5">
        <v>639751</v>
      </c>
      <c r="N318" s="5">
        <v>6269619</v>
      </c>
      <c r="O318" t="s" s="2">
        <v>25</v>
      </c>
      <c r="P318" t="s" s="2">
        <v>755</v>
      </c>
      <c r="Q318" t="s" s="2">
        <v>620</v>
      </c>
      <c r="R318" t="s" s="2">
        <f>_xlfn.IFERROR(INDEX('model_byCAP'!$D$2:$D$377,MATCH(Q318,'model_byCAP'!$A$2:$A$377,0)),0)</f>
        <v>621</v>
      </c>
    </row>
    <row r="319" ht="15.35" customHeight="1">
      <c r="A319" t="s" s="2">
        <v>756</v>
      </c>
      <c r="B319" s="4">
        <v>41362</v>
      </c>
      <c r="C319" s="5">
        <v>3600</v>
      </c>
      <c r="D319" s="5">
        <v>120</v>
      </c>
      <c r="E319" s="5">
        <v>81.59999999999999</v>
      </c>
      <c r="F319" t="s" s="2">
        <v>19</v>
      </c>
      <c r="G319" t="s" s="2">
        <v>615</v>
      </c>
      <c r="H319" s="5">
        <v>707</v>
      </c>
      <c r="I319" t="s" s="2">
        <v>616</v>
      </c>
      <c r="J319" t="s" s="2">
        <v>47</v>
      </c>
      <c r="K319" t="s" s="2">
        <v>617</v>
      </c>
      <c r="L319" t="s" s="2">
        <v>618</v>
      </c>
      <c r="M319" s="5">
        <v>639421</v>
      </c>
      <c r="N319" s="5">
        <v>6270433</v>
      </c>
      <c r="O319" t="s" s="2">
        <v>25</v>
      </c>
      <c r="P319" t="s" s="2">
        <v>757</v>
      </c>
      <c r="Q319" t="s" s="2">
        <v>620</v>
      </c>
      <c r="R319" t="s" s="2">
        <f>_xlfn.IFERROR(INDEX('model_byCAP'!$D$2:$D$377,MATCH(Q319,'model_byCAP'!$A$2:$A$377,0)),0)</f>
        <v>621</v>
      </c>
    </row>
    <row r="320" ht="15.35" customHeight="1">
      <c r="A320" t="s" s="2">
        <v>758</v>
      </c>
      <c r="B320" s="4">
        <v>41365</v>
      </c>
      <c r="C320" s="5">
        <v>3600</v>
      </c>
      <c r="D320" s="5">
        <v>120</v>
      </c>
      <c r="E320" s="5">
        <v>81.59999999999999</v>
      </c>
      <c r="F320" t="s" s="2">
        <v>19</v>
      </c>
      <c r="G320" t="s" s="2">
        <v>615</v>
      </c>
      <c r="H320" s="5">
        <v>707</v>
      </c>
      <c r="I320" t="s" s="2">
        <v>616</v>
      </c>
      <c r="J320" t="s" s="2">
        <v>47</v>
      </c>
      <c r="K320" t="s" s="2">
        <v>617</v>
      </c>
      <c r="L320" t="s" s="2">
        <v>618</v>
      </c>
      <c r="M320" s="5">
        <v>639089</v>
      </c>
      <c r="N320" s="5">
        <v>6271245</v>
      </c>
      <c r="O320" t="s" s="2">
        <v>25</v>
      </c>
      <c r="P320" t="s" s="2">
        <v>759</v>
      </c>
      <c r="Q320" t="s" s="2">
        <v>620</v>
      </c>
      <c r="R320" t="s" s="2">
        <f>_xlfn.IFERROR(INDEX('model_byCAP'!$D$2:$D$377,MATCH(Q320,'model_byCAP'!$A$2:$A$377,0)),0)</f>
        <v>621</v>
      </c>
    </row>
    <row r="321" ht="15.35" customHeight="1">
      <c r="A321" t="s" s="2">
        <v>760</v>
      </c>
      <c r="B321" s="4">
        <v>41362</v>
      </c>
      <c r="C321" s="5">
        <v>3600</v>
      </c>
      <c r="D321" s="5">
        <v>120</v>
      </c>
      <c r="E321" s="5">
        <v>81.59999999999999</v>
      </c>
      <c r="F321" t="s" s="2">
        <v>19</v>
      </c>
      <c r="G321" t="s" s="2">
        <v>615</v>
      </c>
      <c r="H321" s="5">
        <v>707</v>
      </c>
      <c r="I321" t="s" s="2">
        <v>616</v>
      </c>
      <c r="J321" t="s" s="2">
        <v>47</v>
      </c>
      <c r="K321" t="s" s="2">
        <v>617</v>
      </c>
      <c r="L321" t="s" s="2">
        <v>618</v>
      </c>
      <c r="M321" s="5">
        <v>638755</v>
      </c>
      <c r="N321" s="5">
        <v>6272056</v>
      </c>
      <c r="O321" t="s" s="2">
        <v>25</v>
      </c>
      <c r="P321" t="s" s="2">
        <v>761</v>
      </c>
      <c r="Q321" t="s" s="2">
        <v>620</v>
      </c>
      <c r="R321" t="s" s="2">
        <f>_xlfn.IFERROR(INDEX('model_byCAP'!$D$2:$D$377,MATCH(Q321,'model_byCAP'!$A$2:$A$377,0)),0)</f>
        <v>621</v>
      </c>
    </row>
    <row r="322" ht="15.35" customHeight="1">
      <c r="A322" t="s" s="2">
        <v>762</v>
      </c>
      <c r="B322" s="4">
        <v>41388</v>
      </c>
      <c r="C322" s="5">
        <v>3600</v>
      </c>
      <c r="D322" s="5">
        <v>120</v>
      </c>
      <c r="E322" s="5">
        <v>81.59999999999999</v>
      </c>
      <c r="F322" t="s" s="2">
        <v>19</v>
      </c>
      <c r="G322" t="s" s="2">
        <v>615</v>
      </c>
      <c r="H322" s="5">
        <v>707</v>
      </c>
      <c r="I322" t="s" s="2">
        <v>616</v>
      </c>
      <c r="J322" t="s" s="2">
        <v>47</v>
      </c>
      <c r="K322" t="s" s="2">
        <v>617</v>
      </c>
      <c r="L322" t="s" s="2">
        <v>618</v>
      </c>
      <c r="M322" s="5">
        <v>638418</v>
      </c>
      <c r="N322" s="5">
        <v>6272866</v>
      </c>
      <c r="O322" t="s" s="2">
        <v>25</v>
      </c>
      <c r="P322" t="s" s="2">
        <v>763</v>
      </c>
      <c r="Q322" t="s" s="2">
        <v>620</v>
      </c>
      <c r="R322" t="s" s="2">
        <f>_xlfn.IFERROR(INDEX('model_byCAP'!$D$2:$D$377,MATCH(Q322,'model_byCAP'!$A$2:$A$377,0)),0)</f>
        <v>621</v>
      </c>
    </row>
    <row r="323" ht="15.35" customHeight="1">
      <c r="A323" t="s" s="2">
        <v>764</v>
      </c>
      <c r="B323" s="4">
        <v>41442</v>
      </c>
      <c r="C323" s="5">
        <v>3600</v>
      </c>
      <c r="D323" s="5">
        <v>120</v>
      </c>
      <c r="E323" s="5">
        <v>81.59999999999999</v>
      </c>
      <c r="F323" t="s" s="2">
        <v>19</v>
      </c>
      <c r="G323" t="s" s="2">
        <v>615</v>
      </c>
      <c r="H323" s="5">
        <v>707</v>
      </c>
      <c r="I323" t="s" s="2">
        <v>616</v>
      </c>
      <c r="J323" t="s" s="2">
        <v>47</v>
      </c>
      <c r="K323" t="s" s="2">
        <v>617</v>
      </c>
      <c r="L323" t="s" s="2">
        <v>618</v>
      </c>
      <c r="M323" s="5">
        <v>637736</v>
      </c>
      <c r="N323" s="5">
        <v>6274483</v>
      </c>
      <c r="O323" t="s" s="2">
        <v>25</v>
      </c>
      <c r="P323" t="s" s="2">
        <v>765</v>
      </c>
      <c r="Q323" t="s" s="2">
        <v>620</v>
      </c>
      <c r="R323" t="s" s="2">
        <f>_xlfn.IFERROR(INDEX('model_byCAP'!$D$2:$D$377,MATCH(Q323,'model_byCAP'!$A$2:$A$377,0)),0)</f>
        <v>621</v>
      </c>
    </row>
    <row r="324" ht="15.35" customHeight="1">
      <c r="A324" t="s" s="2">
        <v>766</v>
      </c>
      <c r="B324" s="4">
        <v>41369</v>
      </c>
      <c r="C324" s="5">
        <v>3600</v>
      </c>
      <c r="D324" s="5">
        <v>120</v>
      </c>
      <c r="E324" s="5">
        <v>81.59999999999999</v>
      </c>
      <c r="F324" t="s" s="2">
        <v>19</v>
      </c>
      <c r="G324" t="s" s="2">
        <v>615</v>
      </c>
      <c r="H324" s="5">
        <v>707</v>
      </c>
      <c r="I324" t="s" s="2">
        <v>616</v>
      </c>
      <c r="J324" t="s" s="2">
        <v>47</v>
      </c>
      <c r="K324" t="s" s="2">
        <v>617</v>
      </c>
      <c r="L324" t="s" s="2">
        <v>618</v>
      </c>
      <c r="M324" s="5">
        <v>637391</v>
      </c>
      <c r="N324" s="5">
        <v>6275290</v>
      </c>
      <c r="O324" t="s" s="2">
        <v>25</v>
      </c>
      <c r="P324" t="s" s="2">
        <v>767</v>
      </c>
      <c r="Q324" t="s" s="2">
        <v>620</v>
      </c>
      <c r="R324" t="s" s="2">
        <f>_xlfn.IFERROR(INDEX('model_byCAP'!$D$2:$D$377,MATCH(Q324,'model_byCAP'!$A$2:$A$377,0)),0)</f>
        <v>621</v>
      </c>
    </row>
    <row r="325" ht="15.35" customHeight="1">
      <c r="A325" t="s" s="2">
        <v>768</v>
      </c>
      <c r="B325" s="4">
        <v>41412</v>
      </c>
      <c r="C325" s="5">
        <v>3600</v>
      </c>
      <c r="D325" s="5">
        <v>120</v>
      </c>
      <c r="E325" s="5">
        <v>81.59999999999999</v>
      </c>
      <c r="F325" t="s" s="2">
        <v>19</v>
      </c>
      <c r="G325" t="s" s="2">
        <v>615</v>
      </c>
      <c r="H325" s="5">
        <v>707</v>
      </c>
      <c r="I325" t="s" s="2">
        <v>616</v>
      </c>
      <c r="J325" t="s" s="2">
        <v>47</v>
      </c>
      <c r="K325" t="s" s="2">
        <v>617</v>
      </c>
      <c r="L325" t="s" s="2">
        <v>618</v>
      </c>
      <c r="M325" s="5">
        <v>636695</v>
      </c>
      <c r="N325" s="5">
        <v>6276901</v>
      </c>
      <c r="O325" t="s" s="2">
        <v>25</v>
      </c>
      <c r="P325" t="s" s="2">
        <v>769</v>
      </c>
      <c r="Q325" t="s" s="2">
        <v>620</v>
      </c>
      <c r="R325" t="s" s="2">
        <f>_xlfn.IFERROR(INDEX('model_byCAP'!$D$2:$D$377,MATCH(Q325,'model_byCAP'!$A$2:$A$377,0)),0)</f>
        <v>621</v>
      </c>
    </row>
    <row r="326" ht="15.35" customHeight="1">
      <c r="A326" t="s" s="2">
        <v>770</v>
      </c>
      <c r="B326" s="4">
        <v>41442</v>
      </c>
      <c r="C326" s="5">
        <v>3600</v>
      </c>
      <c r="D326" s="5">
        <v>120</v>
      </c>
      <c r="E326" s="5">
        <v>81.59999999999999</v>
      </c>
      <c r="F326" t="s" s="2">
        <v>19</v>
      </c>
      <c r="G326" t="s" s="2">
        <v>615</v>
      </c>
      <c r="H326" s="5">
        <v>707</v>
      </c>
      <c r="I326" t="s" s="2">
        <v>616</v>
      </c>
      <c r="J326" t="s" s="2">
        <v>47</v>
      </c>
      <c r="K326" t="s" s="2">
        <v>617</v>
      </c>
      <c r="L326" t="s" s="2">
        <v>618</v>
      </c>
      <c r="M326" s="5">
        <v>632985</v>
      </c>
      <c r="N326" s="5">
        <v>6286311</v>
      </c>
      <c r="O326" t="s" s="2">
        <v>25</v>
      </c>
      <c r="P326" t="s" s="2">
        <v>771</v>
      </c>
      <c r="Q326" t="s" s="2">
        <v>620</v>
      </c>
      <c r="R326" t="s" s="2">
        <f>_xlfn.IFERROR(INDEX('model_byCAP'!$D$2:$D$377,MATCH(Q326,'model_byCAP'!$A$2:$A$377,0)),0)</f>
        <v>621</v>
      </c>
    </row>
    <row r="327" ht="15.35" customHeight="1">
      <c r="A327" t="s" s="2">
        <v>772</v>
      </c>
      <c r="B327" s="4">
        <v>41339</v>
      </c>
      <c r="C327" s="5">
        <v>3600</v>
      </c>
      <c r="D327" s="5">
        <v>120</v>
      </c>
      <c r="E327" s="5">
        <v>81.59999999999999</v>
      </c>
      <c r="F327" t="s" s="2">
        <v>19</v>
      </c>
      <c r="G327" t="s" s="2">
        <v>615</v>
      </c>
      <c r="H327" s="5">
        <v>707</v>
      </c>
      <c r="I327" t="s" s="2">
        <v>616</v>
      </c>
      <c r="J327" t="s" s="2">
        <v>47</v>
      </c>
      <c r="K327" t="s" s="2">
        <v>617</v>
      </c>
      <c r="L327" t="s" s="2">
        <v>618</v>
      </c>
      <c r="M327" s="5">
        <v>640346</v>
      </c>
      <c r="N327" s="5">
        <v>6270160</v>
      </c>
      <c r="O327" t="s" s="2">
        <v>25</v>
      </c>
      <c r="P327" t="s" s="2">
        <v>773</v>
      </c>
      <c r="Q327" t="s" s="2">
        <v>620</v>
      </c>
      <c r="R327" t="s" s="2">
        <f>_xlfn.IFERROR(INDEX('model_byCAP'!$D$2:$D$377,MATCH(Q327,'model_byCAP'!$A$2:$A$377,0)),0)</f>
        <v>621</v>
      </c>
    </row>
    <row r="328" ht="15.35" customHeight="1">
      <c r="A328" t="s" s="2">
        <v>774</v>
      </c>
      <c r="B328" s="4">
        <v>41338</v>
      </c>
      <c r="C328" s="5">
        <v>3600</v>
      </c>
      <c r="D328" s="5">
        <v>120</v>
      </c>
      <c r="E328" s="5">
        <v>81.59999999999999</v>
      </c>
      <c r="F328" t="s" s="2">
        <v>19</v>
      </c>
      <c r="G328" t="s" s="2">
        <v>615</v>
      </c>
      <c r="H328" s="5">
        <v>707</v>
      </c>
      <c r="I328" t="s" s="2">
        <v>616</v>
      </c>
      <c r="J328" t="s" s="2">
        <v>47</v>
      </c>
      <c r="K328" t="s" s="2">
        <v>617</v>
      </c>
      <c r="L328" t="s" s="2">
        <v>618</v>
      </c>
      <c r="M328" s="5">
        <v>640942</v>
      </c>
      <c r="N328" s="5">
        <v>6270701</v>
      </c>
      <c r="O328" t="s" s="2">
        <v>25</v>
      </c>
      <c r="P328" t="s" s="2">
        <v>775</v>
      </c>
      <c r="Q328" t="s" s="2">
        <v>620</v>
      </c>
      <c r="R328" t="s" s="2">
        <f>_xlfn.IFERROR(INDEX('model_byCAP'!$D$2:$D$377,MATCH(Q328,'model_byCAP'!$A$2:$A$377,0)),0)</f>
        <v>621</v>
      </c>
    </row>
    <row r="329" ht="15.35" customHeight="1">
      <c r="A329" t="s" s="2">
        <v>776</v>
      </c>
      <c r="B329" s="4">
        <v>41346</v>
      </c>
      <c r="C329" s="5">
        <v>3600</v>
      </c>
      <c r="D329" s="5">
        <v>120</v>
      </c>
      <c r="E329" s="5">
        <v>81.59999999999999</v>
      </c>
      <c r="F329" t="s" s="2">
        <v>19</v>
      </c>
      <c r="G329" t="s" s="2">
        <v>615</v>
      </c>
      <c r="H329" s="5">
        <v>707</v>
      </c>
      <c r="I329" t="s" s="2">
        <v>616</v>
      </c>
      <c r="J329" t="s" s="2">
        <v>47</v>
      </c>
      <c r="K329" t="s" s="2">
        <v>617</v>
      </c>
      <c r="L329" t="s" s="2">
        <v>618</v>
      </c>
      <c r="M329" s="5">
        <v>641537</v>
      </c>
      <c r="N329" s="5">
        <v>6271242</v>
      </c>
      <c r="O329" t="s" s="2">
        <v>25</v>
      </c>
      <c r="P329" t="s" s="2">
        <v>777</v>
      </c>
      <c r="Q329" t="s" s="2">
        <v>620</v>
      </c>
      <c r="R329" t="s" s="2">
        <f>_xlfn.IFERROR(INDEX('model_byCAP'!$D$2:$D$377,MATCH(Q329,'model_byCAP'!$A$2:$A$377,0)),0)</f>
        <v>621</v>
      </c>
    </row>
    <row r="330" ht="15.35" customHeight="1">
      <c r="A330" t="s" s="2">
        <v>778</v>
      </c>
      <c r="B330" s="4">
        <v>41418</v>
      </c>
      <c r="C330" s="5">
        <v>3600</v>
      </c>
      <c r="D330" s="5">
        <v>120</v>
      </c>
      <c r="E330" s="5">
        <v>81.59999999999999</v>
      </c>
      <c r="F330" t="s" s="2">
        <v>19</v>
      </c>
      <c r="G330" t="s" s="2">
        <v>615</v>
      </c>
      <c r="H330" s="5">
        <v>707</v>
      </c>
      <c r="I330" t="s" s="2">
        <v>616</v>
      </c>
      <c r="J330" t="s" s="2">
        <v>47</v>
      </c>
      <c r="K330" t="s" s="2">
        <v>617</v>
      </c>
      <c r="L330" t="s" s="2">
        <v>618</v>
      </c>
      <c r="M330" s="5">
        <v>640697.848</v>
      </c>
      <c r="N330" s="5">
        <v>6271604.647</v>
      </c>
      <c r="O330" t="s" s="2">
        <v>25</v>
      </c>
      <c r="P330" t="s" s="2">
        <v>779</v>
      </c>
      <c r="Q330" t="s" s="2">
        <v>620</v>
      </c>
      <c r="R330" t="s" s="2">
        <f>_xlfn.IFERROR(INDEX('model_byCAP'!$D$2:$D$377,MATCH(Q330,'model_byCAP'!$A$2:$A$377,0)),0)</f>
        <v>621</v>
      </c>
    </row>
    <row r="331" ht="15.35" customHeight="1">
      <c r="A331" t="s" s="2">
        <v>780</v>
      </c>
      <c r="B331" s="4">
        <v>41334</v>
      </c>
      <c r="C331" s="5">
        <v>3600</v>
      </c>
      <c r="D331" s="5">
        <v>120</v>
      </c>
      <c r="E331" s="5">
        <v>81.59999999999999</v>
      </c>
      <c r="F331" t="s" s="2">
        <v>19</v>
      </c>
      <c r="G331" t="s" s="2">
        <v>615</v>
      </c>
      <c r="H331" s="5">
        <v>707</v>
      </c>
      <c r="I331" t="s" s="2">
        <v>616</v>
      </c>
      <c r="J331" t="s" s="2">
        <v>47</v>
      </c>
      <c r="K331" t="s" s="2">
        <v>617</v>
      </c>
      <c r="L331" t="s" s="2">
        <v>618</v>
      </c>
      <c r="M331" s="5">
        <v>640182.7709999999</v>
      </c>
      <c r="N331" s="5">
        <v>6272259.596</v>
      </c>
      <c r="O331" t="s" s="2">
        <v>25</v>
      </c>
      <c r="P331" t="s" s="2">
        <v>781</v>
      </c>
      <c r="Q331" t="s" s="2">
        <v>620</v>
      </c>
      <c r="R331" t="s" s="2">
        <f>_xlfn.IFERROR(INDEX('model_byCAP'!$D$2:$D$377,MATCH(Q331,'model_byCAP'!$A$2:$A$377,0)),0)</f>
        <v>621</v>
      </c>
    </row>
    <row r="332" ht="15.35" customHeight="1">
      <c r="A332" t="s" s="2">
        <v>782</v>
      </c>
      <c r="B332" s="4">
        <v>41422</v>
      </c>
      <c r="C332" s="5">
        <v>3600</v>
      </c>
      <c r="D332" s="5">
        <v>120</v>
      </c>
      <c r="E332" s="5">
        <v>81.59999999999999</v>
      </c>
      <c r="F332" t="s" s="2">
        <v>19</v>
      </c>
      <c r="G332" t="s" s="2">
        <v>615</v>
      </c>
      <c r="H332" s="5">
        <v>707</v>
      </c>
      <c r="I332" t="s" s="2">
        <v>616</v>
      </c>
      <c r="J332" t="s" s="2">
        <v>47</v>
      </c>
      <c r="K332" t="s" s="2">
        <v>617</v>
      </c>
      <c r="L332" t="s" s="2">
        <v>618</v>
      </c>
      <c r="M332" s="5">
        <v>639695.1459999999</v>
      </c>
      <c r="N332" s="5">
        <v>6272935.231</v>
      </c>
      <c r="O332" t="s" s="2">
        <v>25</v>
      </c>
      <c r="P332" t="s" s="2">
        <v>783</v>
      </c>
      <c r="Q332" t="s" s="2">
        <v>620</v>
      </c>
      <c r="R332" t="s" s="2">
        <f>_xlfn.IFERROR(INDEX('model_byCAP'!$D$2:$D$377,MATCH(Q332,'model_byCAP'!$A$2:$A$377,0)),0)</f>
        <v>621</v>
      </c>
    </row>
    <row r="333" ht="15.35" customHeight="1">
      <c r="A333" t="s" s="2">
        <v>784</v>
      </c>
      <c r="B333" s="4">
        <v>41421</v>
      </c>
      <c r="C333" s="5">
        <v>3600</v>
      </c>
      <c r="D333" s="5">
        <v>120</v>
      </c>
      <c r="E333" s="5">
        <v>81.59999999999999</v>
      </c>
      <c r="F333" t="s" s="2">
        <v>19</v>
      </c>
      <c r="G333" t="s" s="2">
        <v>615</v>
      </c>
      <c r="H333" s="5">
        <v>707</v>
      </c>
      <c r="I333" t="s" s="2">
        <v>616</v>
      </c>
      <c r="J333" t="s" s="2">
        <v>47</v>
      </c>
      <c r="K333" t="s" s="2">
        <v>617</v>
      </c>
      <c r="L333" t="s" s="2">
        <v>618</v>
      </c>
      <c r="M333" s="5">
        <v>639235.801</v>
      </c>
      <c r="N333" s="5">
        <v>6273630.403</v>
      </c>
      <c r="O333" t="s" s="2">
        <v>25</v>
      </c>
      <c r="P333" t="s" s="2">
        <v>785</v>
      </c>
      <c r="Q333" t="s" s="2">
        <v>620</v>
      </c>
      <c r="R333" t="s" s="2">
        <f>_xlfn.IFERROR(INDEX('model_byCAP'!$D$2:$D$377,MATCH(Q333,'model_byCAP'!$A$2:$A$377,0)),0)</f>
        <v>621</v>
      </c>
    </row>
    <row r="334" ht="15.35" customHeight="1">
      <c r="A334" t="s" s="2">
        <v>786</v>
      </c>
      <c r="B334" s="4">
        <v>41379</v>
      </c>
      <c r="C334" s="5">
        <v>3600</v>
      </c>
      <c r="D334" s="5">
        <v>120</v>
      </c>
      <c r="E334" s="5">
        <v>81.59999999999999</v>
      </c>
      <c r="F334" t="s" s="2">
        <v>19</v>
      </c>
      <c r="G334" t="s" s="2">
        <v>615</v>
      </c>
      <c r="H334" s="5">
        <v>707</v>
      </c>
      <c r="I334" t="s" s="2">
        <v>616</v>
      </c>
      <c r="J334" t="s" s="2">
        <v>47</v>
      </c>
      <c r="K334" t="s" s="2">
        <v>617</v>
      </c>
      <c r="L334" t="s" s="2">
        <v>618</v>
      </c>
      <c r="M334" s="5">
        <v>638805.52</v>
      </c>
      <c r="N334" s="5">
        <v>6274343.929</v>
      </c>
      <c r="O334" t="s" s="2">
        <v>25</v>
      </c>
      <c r="P334" t="s" s="2">
        <v>787</v>
      </c>
      <c r="Q334" t="s" s="2">
        <v>620</v>
      </c>
      <c r="R334" t="s" s="2">
        <f>_xlfn.IFERROR(INDEX('model_byCAP'!$D$2:$D$377,MATCH(Q334,'model_byCAP'!$A$2:$A$377,0)),0)</f>
        <v>621</v>
      </c>
    </row>
    <row r="335" ht="15.35" customHeight="1">
      <c r="A335" t="s" s="2">
        <v>788</v>
      </c>
      <c r="B335" s="4">
        <v>41416</v>
      </c>
      <c r="C335" s="5">
        <v>3600</v>
      </c>
      <c r="D335" s="5">
        <v>120</v>
      </c>
      <c r="E335" s="5">
        <v>81.59999999999999</v>
      </c>
      <c r="F335" t="s" s="2">
        <v>19</v>
      </c>
      <c r="G335" t="s" s="2">
        <v>615</v>
      </c>
      <c r="H335" s="5">
        <v>707</v>
      </c>
      <c r="I335" t="s" s="2">
        <v>616</v>
      </c>
      <c r="J335" t="s" s="2">
        <v>47</v>
      </c>
      <c r="K335" t="s" s="2">
        <v>617</v>
      </c>
      <c r="L335" t="s" s="2">
        <v>618</v>
      </c>
      <c r="M335" s="5">
        <v>642114.74</v>
      </c>
      <c r="N335" s="5">
        <v>6271767.153</v>
      </c>
      <c r="O335" t="s" s="2">
        <v>25</v>
      </c>
      <c r="P335" t="s" s="2">
        <v>789</v>
      </c>
      <c r="Q335" t="s" s="2">
        <v>620</v>
      </c>
      <c r="R335" t="s" s="2">
        <f>_xlfn.IFERROR(INDEX('model_byCAP'!$D$2:$D$377,MATCH(Q335,'model_byCAP'!$A$2:$A$377,0)),0)</f>
        <v>621</v>
      </c>
    </row>
    <row r="336" ht="15.35" customHeight="1">
      <c r="A336" t="s" s="2">
        <v>790</v>
      </c>
      <c r="B336" s="4">
        <v>41283</v>
      </c>
      <c r="C336" s="5">
        <v>3600</v>
      </c>
      <c r="D336" s="5">
        <v>120</v>
      </c>
      <c r="E336" s="5">
        <v>81.59999999999999</v>
      </c>
      <c r="F336" t="s" s="2">
        <v>19</v>
      </c>
      <c r="G336" t="s" s="2">
        <v>615</v>
      </c>
      <c r="H336" s="5">
        <v>707</v>
      </c>
      <c r="I336" t="s" s="2">
        <v>616</v>
      </c>
      <c r="J336" t="s" s="2">
        <v>47</v>
      </c>
      <c r="K336" t="s" s="2">
        <v>617</v>
      </c>
      <c r="L336" t="s" s="2">
        <v>618</v>
      </c>
      <c r="M336" s="5">
        <v>642717.969</v>
      </c>
      <c r="N336" s="5">
        <v>6272315.19</v>
      </c>
      <c r="O336" t="s" s="2">
        <v>25</v>
      </c>
      <c r="P336" t="s" s="2">
        <v>791</v>
      </c>
      <c r="Q336" t="s" s="2">
        <v>620</v>
      </c>
      <c r="R336" t="s" s="2">
        <f>_xlfn.IFERROR(INDEX('model_byCAP'!$D$2:$D$377,MATCH(Q336,'model_byCAP'!$A$2:$A$377,0)),0)</f>
        <v>621</v>
      </c>
    </row>
    <row r="337" ht="15.35" customHeight="1">
      <c r="A337" t="s" s="2">
        <v>792</v>
      </c>
      <c r="B337" s="4">
        <v>41407</v>
      </c>
      <c r="C337" s="5">
        <v>3600</v>
      </c>
      <c r="D337" s="5">
        <v>120</v>
      </c>
      <c r="E337" s="5">
        <v>81.59999999999999</v>
      </c>
      <c r="F337" t="s" s="2">
        <v>19</v>
      </c>
      <c r="G337" t="s" s="2">
        <v>615</v>
      </c>
      <c r="H337" s="5">
        <v>707</v>
      </c>
      <c r="I337" t="s" s="2">
        <v>616</v>
      </c>
      <c r="J337" t="s" s="2">
        <v>47</v>
      </c>
      <c r="K337" t="s" s="2">
        <v>617</v>
      </c>
      <c r="L337" t="s" s="2">
        <v>618</v>
      </c>
      <c r="M337" s="5">
        <v>642154.496</v>
      </c>
      <c r="N337" s="5">
        <v>6272717.386</v>
      </c>
      <c r="O337" t="s" s="2">
        <v>25</v>
      </c>
      <c r="P337" t="s" s="2">
        <v>793</v>
      </c>
      <c r="Q337" t="s" s="2">
        <v>620</v>
      </c>
      <c r="R337" t="s" s="2">
        <f>_xlfn.IFERROR(INDEX('model_byCAP'!$D$2:$D$377,MATCH(Q337,'model_byCAP'!$A$2:$A$377,0)),0)</f>
        <v>621</v>
      </c>
    </row>
    <row r="338" ht="15.35" customHeight="1">
      <c r="A338" t="s" s="2">
        <v>794</v>
      </c>
      <c r="B338" s="4">
        <v>41390</v>
      </c>
      <c r="C338" s="5">
        <v>3600</v>
      </c>
      <c r="D338" s="5">
        <v>120</v>
      </c>
      <c r="E338" s="5">
        <v>81.59999999999999</v>
      </c>
      <c r="F338" t="s" s="2">
        <v>19</v>
      </c>
      <c r="G338" t="s" s="2">
        <v>615</v>
      </c>
      <c r="H338" s="5">
        <v>707</v>
      </c>
      <c r="I338" t="s" s="2">
        <v>616</v>
      </c>
      <c r="J338" t="s" s="2">
        <v>47</v>
      </c>
      <c r="K338" t="s" s="2">
        <v>617</v>
      </c>
      <c r="L338" t="s" s="2">
        <v>618</v>
      </c>
      <c r="M338" s="5">
        <v>641593.713</v>
      </c>
      <c r="N338" s="5">
        <v>6273136.249</v>
      </c>
      <c r="O338" t="s" s="2">
        <v>25</v>
      </c>
      <c r="P338" t="s" s="2">
        <v>795</v>
      </c>
      <c r="Q338" t="s" s="2">
        <v>620</v>
      </c>
      <c r="R338" t="s" s="2">
        <f>_xlfn.IFERROR(INDEX('model_byCAP'!$D$2:$D$377,MATCH(Q338,'model_byCAP'!$A$2:$A$377,0)),0)</f>
        <v>621</v>
      </c>
    </row>
    <row r="339" ht="15.35" customHeight="1">
      <c r="A339" t="s" s="2">
        <v>796</v>
      </c>
      <c r="B339" s="4">
        <v>41362</v>
      </c>
      <c r="C339" s="5">
        <v>3600</v>
      </c>
      <c r="D339" s="5">
        <v>120</v>
      </c>
      <c r="E339" s="5">
        <v>81.59999999999999</v>
      </c>
      <c r="F339" t="s" s="2">
        <v>19</v>
      </c>
      <c r="G339" t="s" s="2">
        <v>615</v>
      </c>
      <c r="H339" s="5">
        <v>707</v>
      </c>
      <c r="I339" t="s" s="2">
        <v>616</v>
      </c>
      <c r="J339" t="s" s="2">
        <v>47</v>
      </c>
      <c r="K339" t="s" s="2">
        <v>617</v>
      </c>
      <c r="L339" t="s" s="2">
        <v>618</v>
      </c>
      <c r="M339" s="5">
        <v>641052.714</v>
      </c>
      <c r="N339" s="5">
        <v>6273574.092</v>
      </c>
      <c r="O339" t="s" s="2">
        <v>25</v>
      </c>
      <c r="P339" t="s" s="2">
        <v>797</v>
      </c>
      <c r="Q339" t="s" s="2">
        <v>620</v>
      </c>
      <c r="R339" t="s" s="2">
        <f>_xlfn.IFERROR(INDEX('model_byCAP'!$D$2:$D$377,MATCH(Q339,'model_byCAP'!$A$2:$A$377,0)),0)</f>
        <v>621</v>
      </c>
    </row>
    <row r="340" ht="15.35" customHeight="1">
      <c r="A340" t="s" s="2">
        <v>798</v>
      </c>
      <c r="B340" s="4">
        <v>41334</v>
      </c>
      <c r="C340" s="5">
        <v>3600</v>
      </c>
      <c r="D340" s="5">
        <v>120</v>
      </c>
      <c r="E340" s="5">
        <v>81.59999999999999</v>
      </c>
      <c r="F340" t="s" s="2">
        <v>19</v>
      </c>
      <c r="G340" t="s" s="2">
        <v>615</v>
      </c>
      <c r="H340" s="5">
        <v>707</v>
      </c>
      <c r="I340" t="s" s="2">
        <v>616</v>
      </c>
      <c r="J340" t="s" s="2">
        <v>47</v>
      </c>
      <c r="K340" t="s" s="2">
        <v>617</v>
      </c>
      <c r="L340" t="s" s="2">
        <v>618</v>
      </c>
      <c r="M340" s="5">
        <v>640527.024</v>
      </c>
      <c r="N340" s="5">
        <v>6274034.446</v>
      </c>
      <c r="O340" t="s" s="2">
        <v>25</v>
      </c>
      <c r="P340" t="s" s="2">
        <v>799</v>
      </c>
      <c r="Q340" t="s" s="2">
        <v>620</v>
      </c>
      <c r="R340" t="s" s="2">
        <f>_xlfn.IFERROR(INDEX('model_byCAP'!$D$2:$D$377,MATCH(Q340,'model_byCAP'!$A$2:$A$377,0)),0)</f>
        <v>621</v>
      </c>
    </row>
    <row r="341" ht="15.35" customHeight="1">
      <c r="A341" t="s" s="2">
        <v>800</v>
      </c>
      <c r="B341" s="4">
        <v>41406</v>
      </c>
      <c r="C341" s="5">
        <v>3600</v>
      </c>
      <c r="D341" s="5">
        <v>120</v>
      </c>
      <c r="E341" s="5">
        <v>81.59999999999999</v>
      </c>
      <c r="F341" t="s" s="2">
        <v>19</v>
      </c>
      <c r="G341" t="s" s="2">
        <v>615</v>
      </c>
      <c r="H341" s="5">
        <v>707</v>
      </c>
      <c r="I341" t="s" s="2">
        <v>616</v>
      </c>
      <c r="J341" t="s" s="2">
        <v>47</v>
      </c>
      <c r="K341" t="s" s="2">
        <v>617</v>
      </c>
      <c r="L341" t="s" s="2">
        <v>618</v>
      </c>
      <c r="M341" s="5">
        <v>640021.466</v>
      </c>
      <c r="N341" s="5">
        <v>6274513.106</v>
      </c>
      <c r="O341" t="s" s="2">
        <v>25</v>
      </c>
      <c r="P341" t="s" s="2">
        <v>801</v>
      </c>
      <c r="Q341" t="s" s="2">
        <v>620</v>
      </c>
      <c r="R341" t="s" s="2">
        <f>_xlfn.IFERROR(INDEX('model_byCAP'!$D$2:$D$377,MATCH(Q341,'model_byCAP'!$A$2:$A$377,0)),0)</f>
        <v>621</v>
      </c>
    </row>
    <row r="342" ht="15.35" customHeight="1">
      <c r="A342" t="s" s="2">
        <v>802</v>
      </c>
      <c r="B342" s="4">
        <v>41312</v>
      </c>
      <c r="C342" s="5">
        <v>3600</v>
      </c>
      <c r="D342" s="5">
        <v>120</v>
      </c>
      <c r="E342" s="5">
        <v>81.59999999999999</v>
      </c>
      <c r="F342" t="s" s="2">
        <v>19</v>
      </c>
      <c r="G342" t="s" s="2">
        <v>615</v>
      </c>
      <c r="H342" s="5">
        <v>707</v>
      </c>
      <c r="I342" t="s" s="2">
        <v>616</v>
      </c>
      <c r="J342" t="s" s="2">
        <v>47</v>
      </c>
      <c r="K342" t="s" s="2">
        <v>617</v>
      </c>
      <c r="L342" t="s" s="2">
        <v>618</v>
      </c>
      <c r="M342" s="5">
        <v>639533.039</v>
      </c>
      <c r="N342" s="5">
        <v>6275012.859</v>
      </c>
      <c r="O342" t="s" s="2">
        <v>25</v>
      </c>
      <c r="P342" t="s" s="2">
        <v>803</v>
      </c>
      <c r="Q342" t="s" s="2">
        <v>620</v>
      </c>
      <c r="R342" t="s" s="2">
        <f>_xlfn.IFERROR(INDEX('model_byCAP'!$D$2:$D$377,MATCH(Q342,'model_byCAP'!$A$2:$A$377,0)),0)</f>
        <v>621</v>
      </c>
    </row>
    <row r="343" ht="15.35" customHeight="1">
      <c r="A343" t="s" s="2">
        <v>804</v>
      </c>
      <c r="B343" s="4">
        <v>41434</v>
      </c>
      <c r="C343" s="5">
        <v>3600</v>
      </c>
      <c r="D343" s="5">
        <v>120</v>
      </c>
      <c r="E343" s="5">
        <v>81.59999999999999</v>
      </c>
      <c r="F343" t="s" s="2">
        <v>19</v>
      </c>
      <c r="G343" t="s" s="2">
        <v>615</v>
      </c>
      <c r="H343" s="5">
        <v>707</v>
      </c>
      <c r="I343" t="s" s="2">
        <v>616</v>
      </c>
      <c r="J343" t="s" s="2">
        <v>47</v>
      </c>
      <c r="K343" t="s" s="2">
        <v>617</v>
      </c>
      <c r="L343" t="s" s="2">
        <v>618</v>
      </c>
      <c r="M343" s="5">
        <v>639029.402</v>
      </c>
      <c r="N343" s="5">
        <v>6275571.779</v>
      </c>
      <c r="O343" t="s" s="2">
        <v>25</v>
      </c>
      <c r="P343" t="s" s="2">
        <v>805</v>
      </c>
      <c r="Q343" t="s" s="2">
        <v>620</v>
      </c>
      <c r="R343" t="s" s="2">
        <f>_xlfn.IFERROR(INDEX('model_byCAP'!$D$2:$D$377,MATCH(Q343,'model_byCAP'!$A$2:$A$377,0)),0)</f>
        <v>621</v>
      </c>
    </row>
    <row r="344" ht="15.35" customHeight="1">
      <c r="A344" t="s" s="2">
        <v>806</v>
      </c>
      <c r="B344" s="4">
        <v>41385</v>
      </c>
      <c r="C344" s="5">
        <v>3600</v>
      </c>
      <c r="D344" s="5">
        <v>120</v>
      </c>
      <c r="E344" s="5">
        <v>81.59999999999999</v>
      </c>
      <c r="F344" t="s" s="2">
        <v>19</v>
      </c>
      <c r="G344" t="s" s="2">
        <v>615</v>
      </c>
      <c r="H344" s="5">
        <v>707</v>
      </c>
      <c r="I344" t="s" s="2">
        <v>616</v>
      </c>
      <c r="J344" t="s" s="2">
        <v>47</v>
      </c>
      <c r="K344" t="s" s="2">
        <v>617</v>
      </c>
      <c r="L344" t="s" s="2">
        <v>618</v>
      </c>
      <c r="M344" s="5">
        <v>638562.971</v>
      </c>
      <c r="N344" s="5">
        <v>6276134.386</v>
      </c>
      <c r="O344" t="s" s="2">
        <v>25</v>
      </c>
      <c r="P344" t="s" s="2">
        <v>807</v>
      </c>
      <c r="Q344" t="s" s="2">
        <v>620</v>
      </c>
      <c r="R344" t="s" s="2">
        <f>_xlfn.IFERROR(INDEX('model_byCAP'!$D$2:$D$377,MATCH(Q344,'model_byCAP'!$A$2:$A$377,0)),0)</f>
        <v>621</v>
      </c>
    </row>
    <row r="345" ht="15.35" customHeight="1">
      <c r="A345" t="s" s="2">
        <v>808</v>
      </c>
      <c r="B345" s="4">
        <v>41433</v>
      </c>
      <c r="C345" s="5">
        <v>3600</v>
      </c>
      <c r="D345" s="5">
        <v>120</v>
      </c>
      <c r="E345" s="5">
        <v>81.59999999999999</v>
      </c>
      <c r="F345" t="s" s="2">
        <v>19</v>
      </c>
      <c r="G345" t="s" s="2">
        <v>615</v>
      </c>
      <c r="H345" s="5">
        <v>707</v>
      </c>
      <c r="I345" t="s" s="2">
        <v>616</v>
      </c>
      <c r="J345" t="s" s="2">
        <v>47</v>
      </c>
      <c r="K345" t="s" s="2">
        <v>617</v>
      </c>
      <c r="L345" t="s" s="2">
        <v>618</v>
      </c>
      <c r="M345" s="5">
        <v>638204.835</v>
      </c>
      <c r="N345" s="5">
        <v>6276600.225</v>
      </c>
      <c r="O345" t="s" s="2">
        <v>25</v>
      </c>
      <c r="P345" t="s" s="2">
        <v>809</v>
      </c>
      <c r="Q345" t="s" s="2">
        <v>620</v>
      </c>
      <c r="R345" t="s" s="2">
        <f>_xlfn.IFERROR(INDEX('model_byCAP'!$D$2:$D$377,MATCH(Q345,'model_byCAP'!$A$2:$A$377,0)),0)</f>
        <v>621</v>
      </c>
    </row>
    <row r="346" ht="15.35" customHeight="1">
      <c r="A346" t="s" s="2">
        <v>810</v>
      </c>
      <c r="B346" s="4">
        <v>41401</v>
      </c>
      <c r="C346" s="5">
        <v>3600</v>
      </c>
      <c r="D346" s="5">
        <v>120</v>
      </c>
      <c r="E346" s="5">
        <v>81.59999999999999</v>
      </c>
      <c r="F346" t="s" s="2">
        <v>19</v>
      </c>
      <c r="G346" t="s" s="2">
        <v>615</v>
      </c>
      <c r="H346" s="5">
        <v>707</v>
      </c>
      <c r="I346" t="s" s="2">
        <v>616</v>
      </c>
      <c r="J346" t="s" s="2">
        <v>47</v>
      </c>
      <c r="K346" t="s" s="2">
        <v>617</v>
      </c>
      <c r="L346" t="s" s="2">
        <v>618</v>
      </c>
      <c r="M346" s="5">
        <v>637861.037</v>
      </c>
      <c r="N346" s="5">
        <v>6277079.066</v>
      </c>
      <c r="O346" t="s" s="2">
        <v>25</v>
      </c>
      <c r="P346" t="s" s="2">
        <v>811</v>
      </c>
      <c r="Q346" t="s" s="2">
        <v>620</v>
      </c>
      <c r="R346" t="s" s="2">
        <f>_xlfn.IFERROR(INDEX('model_byCAP'!$D$2:$D$377,MATCH(Q346,'model_byCAP'!$A$2:$A$377,0)),0)</f>
        <v>621</v>
      </c>
    </row>
    <row r="347" ht="15.35" customHeight="1">
      <c r="A347" t="s" s="2">
        <v>812</v>
      </c>
      <c r="B347" s="4">
        <v>41410</v>
      </c>
      <c r="C347" s="5">
        <v>3600</v>
      </c>
      <c r="D347" s="5">
        <v>120</v>
      </c>
      <c r="E347" s="5">
        <v>81.59999999999999</v>
      </c>
      <c r="F347" t="s" s="2">
        <v>19</v>
      </c>
      <c r="G347" t="s" s="2">
        <v>615</v>
      </c>
      <c r="H347" s="5">
        <v>707</v>
      </c>
      <c r="I347" t="s" s="2">
        <v>616</v>
      </c>
      <c r="J347" t="s" s="2">
        <v>47</v>
      </c>
      <c r="K347" t="s" s="2">
        <v>617</v>
      </c>
      <c r="L347" t="s" s="2">
        <v>618</v>
      </c>
      <c r="M347" s="5">
        <v>637533.692</v>
      </c>
      <c r="N347" s="5">
        <v>6277568.078</v>
      </c>
      <c r="O347" t="s" s="2">
        <v>25</v>
      </c>
      <c r="P347" t="s" s="2">
        <v>813</v>
      </c>
      <c r="Q347" t="s" s="2">
        <v>620</v>
      </c>
      <c r="R347" t="s" s="2">
        <f>_xlfn.IFERROR(INDEX('model_byCAP'!$D$2:$D$377,MATCH(Q347,'model_byCAP'!$A$2:$A$377,0)),0)</f>
        <v>621</v>
      </c>
    </row>
    <row r="348" ht="15.35" customHeight="1">
      <c r="A348" t="s" s="2">
        <v>814</v>
      </c>
      <c r="B348" s="4">
        <v>41322</v>
      </c>
      <c r="C348" s="5">
        <v>3600</v>
      </c>
      <c r="D348" s="5">
        <v>120</v>
      </c>
      <c r="E348" s="5">
        <v>81.59999999999999</v>
      </c>
      <c r="F348" t="s" s="2">
        <v>19</v>
      </c>
      <c r="G348" t="s" s="2">
        <v>615</v>
      </c>
      <c r="H348" s="5">
        <v>707</v>
      </c>
      <c r="I348" t="s" s="2">
        <v>616</v>
      </c>
      <c r="J348" t="s" s="2">
        <v>47</v>
      </c>
      <c r="K348" t="s" s="2">
        <v>617</v>
      </c>
      <c r="L348" t="s" s="2">
        <v>618</v>
      </c>
      <c r="M348" s="5">
        <v>637253.912</v>
      </c>
      <c r="N348" s="5">
        <v>6278095.002</v>
      </c>
      <c r="O348" t="s" s="2">
        <v>25</v>
      </c>
      <c r="P348" t="s" s="2">
        <v>815</v>
      </c>
      <c r="Q348" t="s" s="2">
        <v>620</v>
      </c>
      <c r="R348" t="s" s="2">
        <f>_xlfn.IFERROR(INDEX('model_byCAP'!$D$2:$D$377,MATCH(Q348,'model_byCAP'!$A$2:$A$377,0)),0)</f>
        <v>621</v>
      </c>
    </row>
    <row r="349" ht="15.35" customHeight="1">
      <c r="A349" t="s" s="2">
        <v>816</v>
      </c>
      <c r="B349" s="4">
        <v>41398</v>
      </c>
      <c r="C349" s="5">
        <v>3600</v>
      </c>
      <c r="D349" s="5">
        <v>120</v>
      </c>
      <c r="E349" s="5">
        <v>81.59999999999999</v>
      </c>
      <c r="F349" t="s" s="2">
        <v>19</v>
      </c>
      <c r="G349" t="s" s="2">
        <v>615</v>
      </c>
      <c r="H349" s="5">
        <v>707</v>
      </c>
      <c r="I349" t="s" s="2">
        <v>616</v>
      </c>
      <c r="J349" t="s" s="2">
        <v>47</v>
      </c>
      <c r="K349" t="s" s="2">
        <v>617</v>
      </c>
      <c r="L349" t="s" s="2">
        <v>618</v>
      </c>
      <c r="M349" s="5">
        <v>636711</v>
      </c>
      <c r="N349" s="5">
        <v>6279161</v>
      </c>
      <c r="O349" t="s" s="2">
        <v>25</v>
      </c>
      <c r="P349" t="s" s="2">
        <v>817</v>
      </c>
      <c r="Q349" t="s" s="2">
        <v>620</v>
      </c>
      <c r="R349" t="s" s="2">
        <f>_xlfn.IFERROR(INDEX('model_byCAP'!$D$2:$D$377,MATCH(Q349,'model_byCAP'!$A$2:$A$377,0)),0)</f>
        <v>621</v>
      </c>
    </row>
    <row r="350" ht="15.35" customHeight="1">
      <c r="A350" t="s" s="2">
        <v>818</v>
      </c>
      <c r="B350" s="4">
        <v>41416</v>
      </c>
      <c r="C350" s="5">
        <v>3600</v>
      </c>
      <c r="D350" s="5">
        <v>120</v>
      </c>
      <c r="E350" s="5">
        <v>81.59999999999999</v>
      </c>
      <c r="F350" t="s" s="2">
        <v>19</v>
      </c>
      <c r="G350" t="s" s="2">
        <v>615</v>
      </c>
      <c r="H350" s="5">
        <v>707</v>
      </c>
      <c r="I350" t="s" s="2">
        <v>616</v>
      </c>
      <c r="J350" t="s" s="2">
        <v>47</v>
      </c>
      <c r="K350" t="s" s="2">
        <v>617</v>
      </c>
      <c r="L350" t="s" s="2">
        <v>618</v>
      </c>
      <c r="M350" s="5">
        <v>636451</v>
      </c>
      <c r="N350" s="5">
        <v>6279695</v>
      </c>
      <c r="O350" t="s" s="2">
        <v>25</v>
      </c>
      <c r="P350" t="s" s="2">
        <v>819</v>
      </c>
      <c r="Q350" t="s" s="2">
        <v>620</v>
      </c>
      <c r="R350" t="s" s="2">
        <f>_xlfn.IFERROR(INDEX('model_byCAP'!$D$2:$D$377,MATCH(Q350,'model_byCAP'!$A$2:$A$377,0)),0)</f>
        <v>621</v>
      </c>
    </row>
    <row r="351" ht="15.35" customHeight="1">
      <c r="A351" t="s" s="2">
        <v>820</v>
      </c>
      <c r="B351" s="4">
        <v>41418</v>
      </c>
      <c r="C351" s="5">
        <v>3600</v>
      </c>
      <c r="D351" s="5">
        <v>120</v>
      </c>
      <c r="E351" s="5">
        <v>81.59999999999999</v>
      </c>
      <c r="F351" t="s" s="2">
        <v>19</v>
      </c>
      <c r="G351" t="s" s="2">
        <v>615</v>
      </c>
      <c r="H351" s="5">
        <v>707</v>
      </c>
      <c r="I351" t="s" s="2">
        <v>616</v>
      </c>
      <c r="J351" t="s" s="2">
        <v>47</v>
      </c>
      <c r="K351" t="s" s="2">
        <v>617</v>
      </c>
      <c r="L351" t="s" s="2">
        <v>618</v>
      </c>
      <c r="M351" s="5">
        <v>636196</v>
      </c>
      <c r="N351" s="5">
        <v>6280232</v>
      </c>
      <c r="O351" t="s" s="2">
        <v>25</v>
      </c>
      <c r="P351" t="s" s="2">
        <v>821</v>
      </c>
      <c r="Q351" t="s" s="2">
        <v>620</v>
      </c>
      <c r="R351" t="s" s="2">
        <f>_xlfn.IFERROR(INDEX('model_byCAP'!$D$2:$D$377,MATCH(Q351,'model_byCAP'!$A$2:$A$377,0)),0)</f>
        <v>621</v>
      </c>
    </row>
    <row r="352" ht="15.35" customHeight="1">
      <c r="A352" t="s" s="2">
        <v>822</v>
      </c>
      <c r="B352" s="4">
        <v>41422</v>
      </c>
      <c r="C352" s="5">
        <v>3600</v>
      </c>
      <c r="D352" s="5">
        <v>120</v>
      </c>
      <c r="E352" s="5">
        <v>81.59999999999999</v>
      </c>
      <c r="F352" t="s" s="2">
        <v>19</v>
      </c>
      <c r="G352" t="s" s="2">
        <v>615</v>
      </c>
      <c r="H352" s="5">
        <v>707</v>
      </c>
      <c r="I352" t="s" s="2">
        <v>616</v>
      </c>
      <c r="J352" t="s" s="2">
        <v>47</v>
      </c>
      <c r="K352" t="s" s="2">
        <v>617</v>
      </c>
      <c r="L352" t="s" s="2">
        <v>618</v>
      </c>
      <c r="M352" s="5">
        <v>635705</v>
      </c>
      <c r="N352" s="5">
        <v>6281314</v>
      </c>
      <c r="O352" t="s" s="2">
        <v>25</v>
      </c>
      <c r="P352" t="s" s="2">
        <v>823</v>
      </c>
      <c r="Q352" t="s" s="2">
        <v>620</v>
      </c>
      <c r="R352" t="s" s="2">
        <f>_xlfn.IFERROR(INDEX('model_byCAP'!$D$2:$D$377,MATCH(Q352,'model_byCAP'!$A$2:$A$377,0)),0)</f>
        <v>621</v>
      </c>
    </row>
    <row r="353" ht="15.35" customHeight="1">
      <c r="A353" t="s" s="2">
        <v>824</v>
      </c>
      <c r="B353" s="4">
        <v>41386</v>
      </c>
      <c r="C353" s="5">
        <v>3600</v>
      </c>
      <c r="D353" s="5">
        <v>120</v>
      </c>
      <c r="E353" s="5">
        <v>81.59999999999999</v>
      </c>
      <c r="F353" t="s" s="2">
        <v>19</v>
      </c>
      <c r="G353" t="s" s="2">
        <v>615</v>
      </c>
      <c r="H353" s="5">
        <v>707</v>
      </c>
      <c r="I353" t="s" s="2">
        <v>616</v>
      </c>
      <c r="J353" t="s" s="2">
        <v>47</v>
      </c>
      <c r="K353" t="s" s="2">
        <v>617</v>
      </c>
      <c r="L353" t="s" s="2">
        <v>618</v>
      </c>
      <c r="M353" s="5">
        <v>635469</v>
      </c>
      <c r="N353" s="5">
        <v>6281859</v>
      </c>
      <c r="O353" t="s" s="2">
        <v>25</v>
      </c>
      <c r="P353" t="s" s="2">
        <v>825</v>
      </c>
      <c r="Q353" t="s" s="2">
        <v>620</v>
      </c>
      <c r="R353" t="s" s="2">
        <f>_xlfn.IFERROR(INDEX('model_byCAP'!$D$2:$D$377,MATCH(Q353,'model_byCAP'!$A$2:$A$377,0)),0)</f>
        <v>621</v>
      </c>
    </row>
    <row r="354" ht="15.35" customHeight="1">
      <c r="A354" t="s" s="2">
        <v>826</v>
      </c>
      <c r="B354" s="4">
        <v>41414</v>
      </c>
      <c r="C354" s="5">
        <v>3600</v>
      </c>
      <c r="D354" s="5">
        <v>120</v>
      </c>
      <c r="E354" s="5">
        <v>81.59999999999999</v>
      </c>
      <c r="F354" t="s" s="2">
        <v>19</v>
      </c>
      <c r="G354" t="s" s="2">
        <v>615</v>
      </c>
      <c r="H354" s="5">
        <v>707</v>
      </c>
      <c r="I354" t="s" s="2">
        <v>616</v>
      </c>
      <c r="J354" t="s" s="2">
        <v>47</v>
      </c>
      <c r="K354" t="s" s="2">
        <v>617</v>
      </c>
      <c r="L354" t="s" s="2">
        <v>618</v>
      </c>
      <c r="M354" s="5">
        <v>635239</v>
      </c>
      <c r="N354" s="5">
        <v>6282406</v>
      </c>
      <c r="O354" t="s" s="2">
        <v>25</v>
      </c>
      <c r="P354" t="s" s="2">
        <v>827</v>
      </c>
      <c r="Q354" t="s" s="2">
        <v>620</v>
      </c>
      <c r="R354" t="s" s="2">
        <f>_xlfn.IFERROR(INDEX('model_byCAP'!$D$2:$D$377,MATCH(Q354,'model_byCAP'!$A$2:$A$377,0)),0)</f>
        <v>621</v>
      </c>
    </row>
    <row r="355" ht="15.35" customHeight="1">
      <c r="A355" t="s" s="2">
        <v>828</v>
      </c>
      <c r="B355" s="4">
        <v>41417</v>
      </c>
      <c r="C355" s="5">
        <v>3600</v>
      </c>
      <c r="D355" s="5">
        <v>120</v>
      </c>
      <c r="E355" s="5">
        <v>81.59999999999999</v>
      </c>
      <c r="F355" t="s" s="2">
        <v>19</v>
      </c>
      <c r="G355" t="s" s="2">
        <v>615</v>
      </c>
      <c r="H355" s="5">
        <v>707</v>
      </c>
      <c r="I355" t="s" s="2">
        <v>616</v>
      </c>
      <c r="J355" t="s" s="2">
        <v>47</v>
      </c>
      <c r="K355" t="s" s="2">
        <v>617</v>
      </c>
      <c r="L355" t="s" s="2">
        <v>618</v>
      </c>
      <c r="M355" s="5">
        <v>635015</v>
      </c>
      <c r="N355" s="5">
        <v>6282956</v>
      </c>
      <c r="O355" t="s" s="2">
        <v>25</v>
      </c>
      <c r="P355" t="s" s="2">
        <v>829</v>
      </c>
      <c r="Q355" t="s" s="2">
        <v>620</v>
      </c>
      <c r="R355" t="s" s="2">
        <f>_xlfn.IFERROR(INDEX('model_byCAP'!$D$2:$D$377,MATCH(Q355,'model_byCAP'!$A$2:$A$377,0)),0)</f>
        <v>621</v>
      </c>
    </row>
    <row r="356" ht="15.35" customHeight="1">
      <c r="A356" t="s" s="2">
        <v>830</v>
      </c>
      <c r="B356" s="4">
        <v>41408</v>
      </c>
      <c r="C356" s="5">
        <v>3600</v>
      </c>
      <c r="D356" s="5">
        <v>120</v>
      </c>
      <c r="E356" s="5">
        <v>81.59999999999999</v>
      </c>
      <c r="F356" t="s" s="2">
        <v>19</v>
      </c>
      <c r="G356" t="s" s="2">
        <v>615</v>
      </c>
      <c r="H356" s="5">
        <v>707</v>
      </c>
      <c r="I356" t="s" s="2">
        <v>616</v>
      </c>
      <c r="J356" t="s" s="2">
        <v>47</v>
      </c>
      <c r="K356" t="s" s="2">
        <v>617</v>
      </c>
      <c r="L356" t="s" s="2">
        <v>618</v>
      </c>
      <c r="M356" s="5">
        <v>634797</v>
      </c>
      <c r="N356" s="5">
        <v>6283509</v>
      </c>
      <c r="O356" t="s" s="2">
        <v>25</v>
      </c>
      <c r="P356" t="s" s="2">
        <v>831</v>
      </c>
      <c r="Q356" t="s" s="2">
        <v>620</v>
      </c>
      <c r="R356" t="s" s="2">
        <f>_xlfn.IFERROR(INDEX('model_byCAP'!$D$2:$D$377,MATCH(Q356,'model_byCAP'!$A$2:$A$377,0)),0)</f>
        <v>621</v>
      </c>
    </row>
    <row r="357" ht="15.35" customHeight="1">
      <c r="A357" t="s" s="2">
        <v>832</v>
      </c>
      <c r="B357" s="4">
        <v>41422</v>
      </c>
      <c r="C357" s="5">
        <v>3600</v>
      </c>
      <c r="D357" s="5">
        <v>120</v>
      </c>
      <c r="E357" s="5">
        <v>81.59999999999999</v>
      </c>
      <c r="F357" t="s" s="2">
        <v>19</v>
      </c>
      <c r="G357" t="s" s="2">
        <v>615</v>
      </c>
      <c r="H357" s="5">
        <v>707</v>
      </c>
      <c r="I357" t="s" s="2">
        <v>616</v>
      </c>
      <c r="J357" t="s" s="2">
        <v>47</v>
      </c>
      <c r="K357" t="s" s="2">
        <v>617</v>
      </c>
      <c r="L357" t="s" s="2">
        <v>618</v>
      </c>
      <c r="M357" s="5">
        <v>634585</v>
      </c>
      <c r="N357" s="5">
        <v>6284064</v>
      </c>
      <c r="O357" t="s" s="2">
        <v>25</v>
      </c>
      <c r="P357" t="s" s="2">
        <v>833</v>
      </c>
      <c r="Q357" t="s" s="2">
        <v>620</v>
      </c>
      <c r="R357" t="s" s="2">
        <f>_xlfn.IFERROR(INDEX('model_byCAP'!$D$2:$D$377,MATCH(Q357,'model_byCAP'!$A$2:$A$377,0)),0)</f>
        <v>621</v>
      </c>
    </row>
    <row r="358" ht="15.35" customHeight="1">
      <c r="A358" t="s" s="2">
        <v>834</v>
      </c>
      <c r="B358" s="4">
        <v>41418</v>
      </c>
      <c r="C358" s="5">
        <v>3600</v>
      </c>
      <c r="D358" s="5">
        <v>120</v>
      </c>
      <c r="E358" s="5">
        <v>81.59999999999999</v>
      </c>
      <c r="F358" t="s" s="2">
        <v>19</v>
      </c>
      <c r="G358" t="s" s="2">
        <v>615</v>
      </c>
      <c r="H358" s="5">
        <v>707</v>
      </c>
      <c r="I358" t="s" s="2">
        <v>616</v>
      </c>
      <c r="J358" t="s" s="2">
        <v>47</v>
      </c>
      <c r="K358" t="s" s="2">
        <v>617</v>
      </c>
      <c r="L358" t="s" s="2">
        <v>618</v>
      </c>
      <c r="M358" s="5">
        <v>634380</v>
      </c>
      <c r="N358" s="5">
        <v>6284621</v>
      </c>
      <c r="O358" t="s" s="2">
        <v>25</v>
      </c>
      <c r="P358" t="s" s="2">
        <v>835</v>
      </c>
      <c r="Q358" t="s" s="2">
        <v>620</v>
      </c>
      <c r="R358" t="s" s="2">
        <f>_xlfn.IFERROR(INDEX('model_byCAP'!$D$2:$D$377,MATCH(Q358,'model_byCAP'!$A$2:$A$377,0)),0)</f>
        <v>621</v>
      </c>
    </row>
    <row r="359" ht="15.35" customHeight="1">
      <c r="A359" t="s" s="2">
        <v>836</v>
      </c>
      <c r="B359" s="4">
        <v>41405</v>
      </c>
      <c r="C359" s="5">
        <v>3600</v>
      </c>
      <c r="D359" s="5">
        <v>120</v>
      </c>
      <c r="E359" s="5">
        <v>81.59999999999999</v>
      </c>
      <c r="F359" t="s" s="2">
        <v>19</v>
      </c>
      <c r="G359" t="s" s="2">
        <v>615</v>
      </c>
      <c r="H359" s="5">
        <v>707</v>
      </c>
      <c r="I359" t="s" s="2">
        <v>616</v>
      </c>
      <c r="J359" t="s" s="2">
        <v>47</v>
      </c>
      <c r="K359" t="s" s="2">
        <v>617</v>
      </c>
      <c r="L359" t="s" s="2">
        <v>618</v>
      </c>
      <c r="M359" s="5">
        <v>634181</v>
      </c>
      <c r="N359" s="5">
        <v>6285181</v>
      </c>
      <c r="O359" t="s" s="2">
        <v>25</v>
      </c>
      <c r="P359" t="s" s="2">
        <v>837</v>
      </c>
      <c r="Q359" t="s" s="2">
        <v>620</v>
      </c>
      <c r="R359" t="s" s="2">
        <f>_xlfn.IFERROR(INDEX('model_byCAP'!$D$2:$D$377,MATCH(Q359,'model_byCAP'!$A$2:$A$377,0)),0)</f>
        <v>621</v>
      </c>
    </row>
    <row r="360" ht="15.35" customHeight="1">
      <c r="A360" t="s" s="2">
        <v>838</v>
      </c>
      <c r="B360" s="4">
        <v>41381</v>
      </c>
      <c r="C360" s="5">
        <v>3600</v>
      </c>
      <c r="D360" s="5">
        <v>120</v>
      </c>
      <c r="E360" s="5">
        <v>81.59999999999999</v>
      </c>
      <c r="F360" t="s" s="2">
        <v>19</v>
      </c>
      <c r="G360" t="s" s="2">
        <v>615</v>
      </c>
      <c r="H360" s="5">
        <v>707</v>
      </c>
      <c r="I360" t="s" s="2">
        <v>616</v>
      </c>
      <c r="J360" t="s" s="2">
        <v>47</v>
      </c>
      <c r="K360" t="s" s="2">
        <v>617</v>
      </c>
      <c r="L360" t="s" s="2">
        <v>618</v>
      </c>
      <c r="M360" s="5">
        <v>633988</v>
      </c>
      <c r="N360" s="5">
        <v>6285743</v>
      </c>
      <c r="O360" t="s" s="2">
        <v>25</v>
      </c>
      <c r="P360" t="s" s="2">
        <v>839</v>
      </c>
      <c r="Q360" t="s" s="2">
        <v>620</v>
      </c>
      <c r="R360" t="s" s="2">
        <f>_xlfn.IFERROR(INDEX('model_byCAP'!$D$2:$D$377,MATCH(Q360,'model_byCAP'!$A$2:$A$377,0)),0)</f>
        <v>621</v>
      </c>
    </row>
    <row r="361" ht="15.35" customHeight="1">
      <c r="A361" t="s" s="2">
        <v>840</v>
      </c>
      <c r="B361" s="4">
        <v>41387</v>
      </c>
      <c r="C361" s="5">
        <v>3600</v>
      </c>
      <c r="D361" s="5">
        <v>120</v>
      </c>
      <c r="E361" s="5">
        <v>81.59999999999999</v>
      </c>
      <c r="F361" t="s" s="2">
        <v>19</v>
      </c>
      <c r="G361" t="s" s="2">
        <v>615</v>
      </c>
      <c r="H361" s="5">
        <v>707</v>
      </c>
      <c r="I361" t="s" s="2">
        <v>616</v>
      </c>
      <c r="J361" t="s" s="2">
        <v>47</v>
      </c>
      <c r="K361" t="s" s="2">
        <v>617</v>
      </c>
      <c r="L361" t="s" s="2">
        <v>618</v>
      </c>
      <c r="M361" s="5">
        <v>633802</v>
      </c>
      <c r="N361" s="5">
        <v>6286307</v>
      </c>
      <c r="O361" t="s" s="2">
        <v>25</v>
      </c>
      <c r="P361" t="s" s="2">
        <v>841</v>
      </c>
      <c r="Q361" t="s" s="2">
        <v>620</v>
      </c>
      <c r="R361" t="s" s="2">
        <f>_xlfn.IFERROR(INDEX('model_byCAP'!$D$2:$D$377,MATCH(Q361,'model_byCAP'!$A$2:$A$377,0)),0)</f>
        <v>621</v>
      </c>
    </row>
    <row r="362" ht="15.35" customHeight="1">
      <c r="A362" t="s" s="2">
        <v>842</v>
      </c>
      <c r="B362" s="4">
        <v>44132</v>
      </c>
      <c r="C362" s="5">
        <v>3600</v>
      </c>
      <c r="D362" s="5">
        <v>126</v>
      </c>
      <c r="E362" s="5">
        <v>87</v>
      </c>
      <c r="F362" t="s" s="2">
        <v>301</v>
      </c>
      <c r="G362" t="s" s="2">
        <v>509</v>
      </c>
      <c r="H362" s="5">
        <v>730</v>
      </c>
      <c r="I362" t="s" s="2">
        <v>843</v>
      </c>
      <c r="J362" t="s" s="2">
        <v>22</v>
      </c>
      <c r="K362" t="s" s="2">
        <v>844</v>
      </c>
      <c r="L362" t="s" s="2">
        <v>481</v>
      </c>
      <c r="M362" s="5">
        <v>577631.5</v>
      </c>
      <c r="N362" s="5">
        <v>6282402.4</v>
      </c>
      <c r="O362" t="s" s="2">
        <v>25</v>
      </c>
      <c r="P362" s="6"/>
      <c r="Q362" t="s" s="2">
        <v>512</v>
      </c>
      <c r="R362" t="s" s="2">
        <f>_xlfn.IFERROR(INDEX('model_byCAP'!$D$2:$D$377,MATCH(Q362,'model_byCAP'!$A$2:$A$377,0)),0)</f>
        <v>513</v>
      </c>
    </row>
    <row r="363" ht="15.35" customHeight="1">
      <c r="A363" t="s" s="2">
        <v>845</v>
      </c>
      <c r="B363" s="4">
        <v>44139</v>
      </c>
      <c r="C363" s="5">
        <v>3600</v>
      </c>
      <c r="D363" s="5">
        <v>126</v>
      </c>
      <c r="E363" s="5">
        <v>87</v>
      </c>
      <c r="F363" t="s" s="2">
        <v>301</v>
      </c>
      <c r="G363" t="s" s="2">
        <v>509</v>
      </c>
      <c r="H363" s="5">
        <v>730</v>
      </c>
      <c r="I363" t="s" s="2">
        <v>843</v>
      </c>
      <c r="J363" t="s" s="2">
        <v>22</v>
      </c>
      <c r="K363" t="s" s="2">
        <v>844</v>
      </c>
      <c r="L363" t="s" s="2">
        <v>481</v>
      </c>
      <c r="M363" s="5">
        <v>577109</v>
      </c>
      <c r="N363" s="5">
        <v>6282352</v>
      </c>
      <c r="O363" t="s" s="2">
        <v>25</v>
      </c>
      <c r="P363" s="6"/>
      <c r="Q363" t="s" s="2">
        <v>512</v>
      </c>
      <c r="R363" t="s" s="2">
        <f>_xlfn.IFERROR(INDEX('model_byCAP'!$D$2:$D$377,MATCH(Q363,'model_byCAP'!$A$2:$A$377,0)),0)</f>
        <v>513</v>
      </c>
    </row>
    <row r="364" ht="15.35" customHeight="1">
      <c r="A364" t="s" s="2">
        <v>846</v>
      </c>
      <c r="B364" s="4">
        <v>44132</v>
      </c>
      <c r="C364" s="5">
        <v>3600</v>
      </c>
      <c r="D364" s="5">
        <v>126</v>
      </c>
      <c r="E364" s="5">
        <v>87</v>
      </c>
      <c r="F364" t="s" s="2">
        <v>301</v>
      </c>
      <c r="G364" t="s" s="2">
        <v>509</v>
      </c>
      <c r="H364" s="5">
        <v>730</v>
      </c>
      <c r="I364" t="s" s="2">
        <v>843</v>
      </c>
      <c r="J364" t="s" s="2">
        <v>22</v>
      </c>
      <c r="K364" t="s" s="2">
        <v>844</v>
      </c>
      <c r="L364" t="s" s="2">
        <v>481</v>
      </c>
      <c r="M364" s="5">
        <v>578153.9</v>
      </c>
      <c r="N364" s="5">
        <v>6282452.8</v>
      </c>
      <c r="O364" t="s" s="2">
        <v>25</v>
      </c>
      <c r="P364" s="6"/>
      <c r="Q364" t="s" s="2">
        <v>512</v>
      </c>
      <c r="R364" t="s" s="2">
        <f>_xlfn.IFERROR(INDEX('model_byCAP'!$D$2:$D$377,MATCH(Q364,'model_byCAP'!$A$2:$A$377,0)),0)</f>
        <v>513</v>
      </c>
    </row>
    <row r="365" ht="15.35" customHeight="1">
      <c r="A365" t="s" s="2">
        <v>847</v>
      </c>
      <c r="B365" s="4">
        <v>44131</v>
      </c>
      <c r="C365" s="5">
        <v>3600</v>
      </c>
      <c r="D365" s="5">
        <v>126</v>
      </c>
      <c r="E365" s="5">
        <v>87</v>
      </c>
      <c r="F365" t="s" s="2">
        <v>301</v>
      </c>
      <c r="G365" t="s" s="2">
        <v>509</v>
      </c>
      <c r="H365" s="5">
        <v>730</v>
      </c>
      <c r="I365" t="s" s="2">
        <v>843</v>
      </c>
      <c r="J365" t="s" s="2">
        <v>22</v>
      </c>
      <c r="K365" t="s" s="2">
        <v>844</v>
      </c>
      <c r="L365" t="s" s="2">
        <v>500</v>
      </c>
      <c r="M365" s="5">
        <v>578676.3</v>
      </c>
      <c r="N365" s="5">
        <v>6282503.1</v>
      </c>
      <c r="O365" t="s" s="2">
        <v>25</v>
      </c>
      <c r="P365" s="6"/>
      <c r="Q365" t="s" s="2">
        <v>512</v>
      </c>
      <c r="R365" t="s" s="2">
        <f>_xlfn.IFERROR(INDEX('model_byCAP'!$D$2:$D$377,MATCH(Q365,'model_byCAP'!$A$2:$A$377,0)),0)</f>
        <v>513</v>
      </c>
    </row>
    <row r="366" ht="15.35" customHeight="1">
      <c r="A366" t="s" s="2">
        <v>848</v>
      </c>
      <c r="B366" s="4">
        <v>44132</v>
      </c>
      <c r="C366" s="5">
        <v>3600</v>
      </c>
      <c r="D366" s="5">
        <v>126</v>
      </c>
      <c r="E366" s="5">
        <v>87</v>
      </c>
      <c r="F366" t="s" s="2">
        <v>301</v>
      </c>
      <c r="G366" t="s" s="2">
        <v>509</v>
      </c>
      <c r="H366" s="5">
        <v>730</v>
      </c>
      <c r="I366" t="s" s="2">
        <v>843</v>
      </c>
      <c r="J366" t="s" s="2">
        <v>22</v>
      </c>
      <c r="K366" t="s" s="2">
        <v>844</v>
      </c>
      <c r="L366" t="s" s="2">
        <v>500</v>
      </c>
      <c r="M366" s="5">
        <v>577355.4</v>
      </c>
      <c r="N366" s="5">
        <v>6281888.6</v>
      </c>
      <c r="O366" t="s" s="2">
        <v>25</v>
      </c>
      <c r="P366" s="6"/>
      <c r="Q366" t="s" s="2">
        <v>512</v>
      </c>
      <c r="R366" t="s" s="2">
        <f>_xlfn.IFERROR(INDEX('model_byCAP'!$D$2:$D$377,MATCH(Q366,'model_byCAP'!$A$2:$A$377,0)),0)</f>
        <v>513</v>
      </c>
    </row>
    <row r="367" ht="15.35" customHeight="1">
      <c r="A367" t="s" s="2">
        <v>849</v>
      </c>
      <c r="B367" s="4">
        <v>44133</v>
      </c>
      <c r="C367" s="5">
        <v>3600</v>
      </c>
      <c r="D367" s="5">
        <v>126</v>
      </c>
      <c r="E367" s="5">
        <v>87</v>
      </c>
      <c r="F367" t="s" s="2">
        <v>301</v>
      </c>
      <c r="G367" t="s" s="2">
        <v>509</v>
      </c>
      <c r="H367" s="5">
        <v>730</v>
      </c>
      <c r="I367" t="s" s="2">
        <v>843</v>
      </c>
      <c r="J367" t="s" s="2">
        <v>22</v>
      </c>
      <c r="K367" t="s" s="2">
        <v>844</v>
      </c>
      <c r="L367" t="s" s="2">
        <v>850</v>
      </c>
      <c r="M367" s="5">
        <v>577877.8</v>
      </c>
      <c r="N367" s="5">
        <v>6281939</v>
      </c>
      <c r="O367" t="s" s="2">
        <v>25</v>
      </c>
      <c r="P367" s="6"/>
      <c r="Q367" t="s" s="2">
        <v>512</v>
      </c>
      <c r="R367" t="s" s="2">
        <f>_xlfn.IFERROR(INDEX('model_byCAP'!$D$2:$D$377,MATCH(Q367,'model_byCAP'!$A$2:$A$377,0)),0)</f>
        <v>513</v>
      </c>
    </row>
    <row r="368" ht="15.35" customHeight="1">
      <c r="A368" t="s" s="2">
        <v>851</v>
      </c>
      <c r="B368" s="4">
        <v>44133</v>
      </c>
      <c r="C368" s="5">
        <v>3600</v>
      </c>
      <c r="D368" s="5">
        <v>126</v>
      </c>
      <c r="E368" s="5">
        <v>87</v>
      </c>
      <c r="F368" t="s" s="2">
        <v>301</v>
      </c>
      <c r="G368" t="s" s="2">
        <v>509</v>
      </c>
      <c r="H368" s="5">
        <v>730</v>
      </c>
      <c r="I368" t="s" s="2">
        <v>843</v>
      </c>
      <c r="J368" t="s" s="2">
        <v>22</v>
      </c>
      <c r="K368" t="s" s="2">
        <v>844</v>
      </c>
      <c r="L368" t="s" s="2">
        <v>852</v>
      </c>
      <c r="M368" s="5">
        <v>578400.3</v>
      </c>
      <c r="N368" s="5">
        <v>6281989.4</v>
      </c>
      <c r="O368" t="s" s="2">
        <v>25</v>
      </c>
      <c r="P368" s="6"/>
      <c r="Q368" t="s" s="2">
        <v>512</v>
      </c>
      <c r="R368" t="s" s="2">
        <f>_xlfn.IFERROR(INDEX('model_byCAP'!$D$2:$D$377,MATCH(Q368,'model_byCAP'!$A$2:$A$377,0)),0)</f>
        <v>513</v>
      </c>
    </row>
    <row r="369" ht="15.35" customHeight="1">
      <c r="A369" t="s" s="2">
        <v>853</v>
      </c>
      <c r="B369" s="4">
        <v>44135</v>
      </c>
      <c r="C369" s="5">
        <v>3600</v>
      </c>
      <c r="D369" s="5">
        <v>126</v>
      </c>
      <c r="E369" s="5">
        <v>87</v>
      </c>
      <c r="F369" t="s" s="2">
        <v>301</v>
      </c>
      <c r="G369" t="s" s="2">
        <v>509</v>
      </c>
      <c r="H369" s="5">
        <v>730</v>
      </c>
      <c r="I369" t="s" s="2">
        <v>843</v>
      </c>
      <c r="J369" t="s" s="2">
        <v>22</v>
      </c>
      <c r="K369" t="s" s="2">
        <v>844</v>
      </c>
      <c r="L369" t="s" s="2">
        <v>854</v>
      </c>
      <c r="M369" s="5">
        <v>578922.7</v>
      </c>
      <c r="N369" s="5">
        <v>6282039.7</v>
      </c>
      <c r="O369" t="s" s="2">
        <v>25</v>
      </c>
      <c r="P369" s="6"/>
      <c r="Q369" t="s" s="2">
        <v>512</v>
      </c>
      <c r="R369" t="s" s="2">
        <f>_xlfn.IFERROR(INDEX('model_byCAP'!$D$2:$D$377,MATCH(Q369,'model_byCAP'!$A$2:$A$377,0)),0)</f>
        <v>513</v>
      </c>
    </row>
    <row r="370" ht="15.35" customHeight="1">
      <c r="A370" t="s" s="2">
        <v>855</v>
      </c>
      <c r="B370" s="4">
        <v>44134</v>
      </c>
      <c r="C370" s="5">
        <v>3600</v>
      </c>
      <c r="D370" s="5">
        <v>126</v>
      </c>
      <c r="E370" s="5">
        <v>87</v>
      </c>
      <c r="F370" t="s" s="2">
        <v>301</v>
      </c>
      <c r="G370" t="s" s="2">
        <v>509</v>
      </c>
      <c r="H370" s="5">
        <v>730</v>
      </c>
      <c r="I370" t="s" s="2">
        <v>843</v>
      </c>
      <c r="J370" t="s" s="2">
        <v>22</v>
      </c>
      <c r="K370" t="s" s="2">
        <v>844</v>
      </c>
      <c r="L370" t="s" s="2">
        <v>856</v>
      </c>
      <c r="M370" s="5">
        <v>581002.4</v>
      </c>
      <c r="N370" s="5">
        <v>6282240.3</v>
      </c>
      <c r="O370" t="s" s="2">
        <v>25</v>
      </c>
      <c r="P370" s="6"/>
      <c r="Q370" t="s" s="2">
        <v>512</v>
      </c>
      <c r="R370" t="s" s="2">
        <f>_xlfn.IFERROR(INDEX('model_byCAP'!$D$2:$D$377,MATCH(Q370,'model_byCAP'!$A$2:$A$377,0)),0)</f>
        <v>513</v>
      </c>
    </row>
    <row r="371" ht="15.35" customHeight="1">
      <c r="A371" t="s" s="2">
        <v>857</v>
      </c>
      <c r="B371" s="4">
        <v>44133</v>
      </c>
      <c r="C371" s="5">
        <v>3600</v>
      </c>
      <c r="D371" s="5">
        <v>126</v>
      </c>
      <c r="E371" s="5">
        <v>87</v>
      </c>
      <c r="F371" t="s" s="2">
        <v>301</v>
      </c>
      <c r="G371" t="s" s="2">
        <v>509</v>
      </c>
      <c r="H371" s="5">
        <v>730</v>
      </c>
      <c r="I371" t="s" s="2">
        <v>843</v>
      </c>
      <c r="J371" t="s" s="2">
        <v>22</v>
      </c>
      <c r="K371" t="s" s="2">
        <v>844</v>
      </c>
      <c r="L371" t="s" s="2">
        <v>858</v>
      </c>
      <c r="M371" s="5">
        <v>577601.8</v>
      </c>
      <c r="N371" s="5">
        <v>6281425.2</v>
      </c>
      <c r="O371" t="s" s="2">
        <v>25</v>
      </c>
      <c r="P371" s="6"/>
      <c r="Q371" t="s" s="2">
        <v>512</v>
      </c>
      <c r="R371" t="s" s="2">
        <f>_xlfn.IFERROR(INDEX('model_byCAP'!$D$2:$D$377,MATCH(Q371,'model_byCAP'!$A$2:$A$377,0)),0)</f>
        <v>513</v>
      </c>
    </row>
    <row r="372" ht="15.35" customHeight="1">
      <c r="A372" t="s" s="2">
        <v>859</v>
      </c>
      <c r="B372" s="4">
        <v>44139</v>
      </c>
      <c r="C372" s="5">
        <v>3600</v>
      </c>
      <c r="D372" s="5">
        <v>126</v>
      </c>
      <c r="E372" s="5">
        <v>87</v>
      </c>
      <c r="F372" t="s" s="2">
        <v>301</v>
      </c>
      <c r="G372" t="s" s="2">
        <v>509</v>
      </c>
      <c r="H372" s="5">
        <v>730</v>
      </c>
      <c r="I372" t="s" s="2">
        <v>843</v>
      </c>
      <c r="J372" t="s" s="2">
        <v>22</v>
      </c>
      <c r="K372" t="s" s="2">
        <v>844</v>
      </c>
      <c r="L372" t="s" s="2">
        <v>850</v>
      </c>
      <c r="M372" s="5">
        <v>578124.2</v>
      </c>
      <c r="N372" s="5">
        <v>6281475.6</v>
      </c>
      <c r="O372" t="s" s="2">
        <v>25</v>
      </c>
      <c r="P372" s="6"/>
      <c r="Q372" t="s" s="2">
        <v>512</v>
      </c>
      <c r="R372" t="s" s="2">
        <f>_xlfn.IFERROR(INDEX('model_byCAP'!$D$2:$D$377,MATCH(Q372,'model_byCAP'!$A$2:$A$377,0)),0)</f>
        <v>513</v>
      </c>
    </row>
    <row r="373" ht="15.35" customHeight="1">
      <c r="A373" t="s" s="2">
        <v>860</v>
      </c>
      <c r="B373" s="4">
        <v>44134</v>
      </c>
      <c r="C373" s="5">
        <v>3600</v>
      </c>
      <c r="D373" s="5">
        <v>126</v>
      </c>
      <c r="E373" s="5">
        <v>87</v>
      </c>
      <c r="F373" t="s" s="2">
        <v>301</v>
      </c>
      <c r="G373" t="s" s="2">
        <v>509</v>
      </c>
      <c r="H373" s="5">
        <v>730</v>
      </c>
      <c r="I373" t="s" s="2">
        <v>843</v>
      </c>
      <c r="J373" t="s" s="2">
        <v>22</v>
      </c>
      <c r="K373" t="s" s="2">
        <v>844</v>
      </c>
      <c r="L373" t="s" s="2">
        <v>850</v>
      </c>
      <c r="M373" s="5">
        <v>578646</v>
      </c>
      <c r="N373" s="5">
        <v>6281526</v>
      </c>
      <c r="O373" t="s" s="2">
        <v>25</v>
      </c>
      <c r="P373" s="6"/>
      <c r="Q373" t="s" s="2">
        <v>512</v>
      </c>
      <c r="R373" t="s" s="2">
        <f>_xlfn.IFERROR(INDEX('model_byCAP'!$D$2:$D$377,MATCH(Q373,'model_byCAP'!$A$2:$A$377,0)),0)</f>
        <v>513</v>
      </c>
    </row>
    <row r="374" ht="15.35" customHeight="1">
      <c r="A374" t="s" s="2">
        <v>861</v>
      </c>
      <c r="B374" s="4">
        <v>44138</v>
      </c>
      <c r="C374" s="5">
        <v>3600</v>
      </c>
      <c r="D374" s="5">
        <v>126</v>
      </c>
      <c r="E374" s="5">
        <v>87</v>
      </c>
      <c r="F374" t="s" s="2">
        <v>301</v>
      </c>
      <c r="G374" t="s" s="2">
        <v>509</v>
      </c>
      <c r="H374" s="5">
        <v>730</v>
      </c>
      <c r="I374" t="s" s="2">
        <v>843</v>
      </c>
      <c r="J374" t="s" s="2">
        <v>22</v>
      </c>
      <c r="K374" t="s" s="2">
        <v>844</v>
      </c>
      <c r="L374" t="s" s="2">
        <v>862</v>
      </c>
      <c r="M374" s="5">
        <v>579169.1</v>
      </c>
      <c r="N374" s="5">
        <v>6281576.3</v>
      </c>
      <c r="O374" t="s" s="2">
        <v>25</v>
      </c>
      <c r="P374" s="6"/>
      <c r="Q374" t="s" s="2">
        <v>512</v>
      </c>
      <c r="R374" t="s" s="2">
        <f>_xlfn.IFERROR(INDEX('model_byCAP'!$D$2:$D$377,MATCH(Q374,'model_byCAP'!$A$2:$A$377,0)),0)</f>
        <v>513</v>
      </c>
    </row>
    <row r="375" ht="15.35" customHeight="1">
      <c r="A375" t="s" s="2">
        <v>863</v>
      </c>
      <c r="B375" s="4">
        <v>44134</v>
      </c>
      <c r="C375" s="5">
        <v>3600</v>
      </c>
      <c r="D375" s="5">
        <v>126</v>
      </c>
      <c r="E375" s="5">
        <v>87</v>
      </c>
      <c r="F375" t="s" s="2">
        <v>301</v>
      </c>
      <c r="G375" t="s" s="2">
        <v>509</v>
      </c>
      <c r="H375" s="5">
        <v>730</v>
      </c>
      <c r="I375" t="s" s="2">
        <v>843</v>
      </c>
      <c r="J375" t="s" s="2">
        <v>22</v>
      </c>
      <c r="K375" t="s" s="2">
        <v>844</v>
      </c>
      <c r="L375" t="s" s="2">
        <v>864</v>
      </c>
      <c r="M375" s="5">
        <v>581238.8</v>
      </c>
      <c r="N375" s="5">
        <v>6281775.9</v>
      </c>
      <c r="O375" t="s" s="2">
        <v>25</v>
      </c>
      <c r="P375" s="6"/>
      <c r="Q375" t="s" s="2">
        <v>512</v>
      </c>
      <c r="R375" t="s" s="2">
        <f>_xlfn.IFERROR(INDEX('model_byCAP'!$D$2:$D$377,MATCH(Q375,'model_byCAP'!$A$2:$A$377,0)),0)</f>
        <v>513</v>
      </c>
    </row>
    <row r="376" ht="15.35" customHeight="1">
      <c r="A376" t="s" s="2">
        <v>865</v>
      </c>
      <c r="B376" s="4">
        <v>44137</v>
      </c>
      <c r="C376" s="5">
        <v>3600</v>
      </c>
      <c r="D376" s="5">
        <v>126</v>
      </c>
      <c r="E376" s="5">
        <v>87</v>
      </c>
      <c r="F376" t="s" s="2">
        <v>301</v>
      </c>
      <c r="G376" t="s" s="2">
        <v>509</v>
      </c>
      <c r="H376" s="5">
        <v>730</v>
      </c>
      <c r="I376" t="s" s="2">
        <v>843</v>
      </c>
      <c r="J376" t="s" s="2">
        <v>22</v>
      </c>
      <c r="K376" t="s" s="2">
        <v>844</v>
      </c>
      <c r="L376" s="5">
        <v>50</v>
      </c>
      <c r="M376" s="5">
        <v>581475.3</v>
      </c>
      <c r="N376" s="5">
        <v>6281311.5</v>
      </c>
      <c r="O376" t="s" s="2">
        <v>25</v>
      </c>
      <c r="P376" s="6"/>
      <c r="Q376" t="s" s="2">
        <v>512</v>
      </c>
      <c r="R376" t="s" s="2">
        <f>_xlfn.IFERROR(INDEX('model_byCAP'!$D$2:$D$377,MATCH(Q376,'model_byCAP'!$A$2:$A$377,0)),0)</f>
        <v>513</v>
      </c>
    </row>
    <row r="377" ht="15.35" customHeight="1">
      <c r="A377" t="s" s="2">
        <v>866</v>
      </c>
      <c r="B377" s="4">
        <v>44135</v>
      </c>
      <c r="C377" s="5">
        <v>3600</v>
      </c>
      <c r="D377" s="5">
        <v>126</v>
      </c>
      <c r="E377" s="5">
        <v>87</v>
      </c>
      <c r="F377" t="s" s="2">
        <v>301</v>
      </c>
      <c r="G377" t="s" s="2">
        <v>509</v>
      </c>
      <c r="H377" s="5">
        <v>730</v>
      </c>
      <c r="I377" t="s" s="2">
        <v>843</v>
      </c>
      <c r="J377" t="s" s="2">
        <v>22</v>
      </c>
      <c r="K377" t="s" s="2">
        <v>844</v>
      </c>
      <c r="L377" s="5">
        <v>50</v>
      </c>
      <c r="M377" s="5">
        <v>581711.7</v>
      </c>
      <c r="N377" s="5">
        <v>6280847.1</v>
      </c>
      <c r="O377" t="s" s="2">
        <v>25</v>
      </c>
      <c r="P377" s="6"/>
      <c r="Q377" t="s" s="2">
        <v>512</v>
      </c>
      <c r="R377" t="s" s="2">
        <f>_xlfn.IFERROR(INDEX('model_byCAP'!$D$2:$D$377,MATCH(Q377,'model_byCAP'!$A$2:$A$377,0)),0)</f>
        <v>513</v>
      </c>
    </row>
    <row r="378" ht="15.35" customHeight="1">
      <c r="A378" t="s" s="2">
        <v>867</v>
      </c>
      <c r="B378" s="4">
        <v>44525</v>
      </c>
      <c r="C378" s="5">
        <v>3600</v>
      </c>
      <c r="D378" s="5">
        <v>126</v>
      </c>
      <c r="E378" s="5">
        <v>87</v>
      </c>
      <c r="F378" t="s" s="2">
        <v>301</v>
      </c>
      <c r="G378" t="s" s="2">
        <v>509</v>
      </c>
      <c r="H378" s="5">
        <v>730</v>
      </c>
      <c r="I378" t="s" s="2">
        <v>843</v>
      </c>
      <c r="J378" t="s" s="2">
        <v>22</v>
      </c>
      <c r="K378" t="s" s="2">
        <v>868</v>
      </c>
      <c r="L378" t="s" s="2">
        <v>869</v>
      </c>
      <c r="M378" s="5">
        <v>579445.1</v>
      </c>
      <c r="N378" s="5">
        <v>6282090</v>
      </c>
      <c r="O378" t="s" s="2">
        <v>25</v>
      </c>
      <c r="P378" s="6"/>
      <c r="Q378" t="s" s="2">
        <v>512</v>
      </c>
      <c r="R378" t="s" s="2">
        <f>_xlfn.IFERROR(INDEX('model_byCAP'!$D$2:$D$377,MATCH(Q378,'model_byCAP'!$A$2:$A$377,0)),0)</f>
        <v>513</v>
      </c>
    </row>
    <row r="379" ht="15.35" customHeight="1">
      <c r="A379" t="s" s="2">
        <v>870</v>
      </c>
      <c r="B379" s="4">
        <v>44587</v>
      </c>
      <c r="C379" s="5">
        <v>3600</v>
      </c>
      <c r="D379" s="5">
        <v>126</v>
      </c>
      <c r="E379" s="5">
        <v>87</v>
      </c>
      <c r="F379" t="s" s="2">
        <v>301</v>
      </c>
      <c r="G379" t="s" s="2">
        <v>603</v>
      </c>
      <c r="H379" s="5">
        <v>730</v>
      </c>
      <c r="I379" t="s" s="2">
        <v>843</v>
      </c>
      <c r="J379" t="s" s="2">
        <v>22</v>
      </c>
      <c r="K379" t="s" s="2">
        <v>844</v>
      </c>
      <c r="L379" t="s" s="2">
        <v>481</v>
      </c>
      <c r="M379" s="5">
        <v>579197.625</v>
      </c>
      <c r="N379" s="5">
        <v>6282559.516</v>
      </c>
      <c r="O379" t="s" s="2">
        <v>25</v>
      </c>
      <c r="P379" s="6"/>
      <c r="Q379" t="s" s="2">
        <v>606</v>
      </c>
      <c r="R379" t="s" s="2">
        <f>_xlfn.IFERROR(INDEX('model_byCAP'!$D$2:$D$377,MATCH(Q379,'model_byCAP'!$A$2:$A$377,0)),0)</f>
        <v>513</v>
      </c>
    </row>
    <row r="380" ht="15.35" customHeight="1">
      <c r="A380" t="s" s="2">
        <v>871</v>
      </c>
      <c r="B380" s="4">
        <v>44587</v>
      </c>
      <c r="C380" s="5">
        <v>3600</v>
      </c>
      <c r="D380" s="5">
        <v>126</v>
      </c>
      <c r="E380" s="5">
        <v>87</v>
      </c>
      <c r="F380" t="s" s="2">
        <v>301</v>
      </c>
      <c r="G380" t="s" s="2">
        <v>603</v>
      </c>
      <c r="H380" s="5">
        <v>730</v>
      </c>
      <c r="I380" t="s" s="2">
        <v>843</v>
      </c>
      <c r="J380" t="s" s="2">
        <v>22</v>
      </c>
      <c r="K380" t="s" s="2">
        <v>844</v>
      </c>
      <c r="L380" t="s" s="2">
        <v>481</v>
      </c>
      <c r="M380" s="5">
        <v>579721.8</v>
      </c>
      <c r="N380" s="5">
        <v>6282607.7</v>
      </c>
      <c r="O380" t="s" s="2">
        <v>25</v>
      </c>
      <c r="P380" s="6"/>
      <c r="Q380" t="s" s="2">
        <v>606</v>
      </c>
      <c r="R380" t="s" s="2">
        <f>_xlfn.IFERROR(INDEX('model_byCAP'!$D$2:$D$377,MATCH(Q380,'model_byCAP'!$A$2:$A$377,0)),0)</f>
        <v>513</v>
      </c>
    </row>
    <row r="381" ht="15.35" customHeight="1">
      <c r="A381" t="s" s="2">
        <v>872</v>
      </c>
      <c r="B381" s="4">
        <v>44587</v>
      </c>
      <c r="C381" s="5">
        <v>3600</v>
      </c>
      <c r="D381" s="5">
        <v>126</v>
      </c>
      <c r="E381" s="5">
        <v>87</v>
      </c>
      <c r="F381" t="s" s="2">
        <v>301</v>
      </c>
      <c r="G381" t="s" s="2">
        <v>603</v>
      </c>
      <c r="H381" s="5">
        <v>730</v>
      </c>
      <c r="I381" t="s" s="2">
        <v>843</v>
      </c>
      <c r="J381" t="s" s="2">
        <v>22</v>
      </c>
      <c r="K381" t="s" s="2">
        <v>844</v>
      </c>
      <c r="L381" t="s" s="2">
        <v>481</v>
      </c>
      <c r="M381" s="5">
        <v>580261.4</v>
      </c>
      <c r="N381" s="5">
        <v>6282654.9</v>
      </c>
      <c r="O381" t="s" s="2">
        <v>25</v>
      </c>
      <c r="P381" s="6"/>
      <c r="Q381" t="s" s="2">
        <v>606</v>
      </c>
      <c r="R381" t="s" s="2">
        <f>_xlfn.IFERROR(INDEX('model_byCAP'!$D$2:$D$377,MATCH(Q381,'model_byCAP'!$A$2:$A$377,0)),0)</f>
        <v>513</v>
      </c>
    </row>
    <row r="382" ht="15.35" customHeight="1">
      <c r="A382" t="s" s="2">
        <v>873</v>
      </c>
      <c r="B382" s="4">
        <v>44510</v>
      </c>
      <c r="C382" s="5">
        <v>3600</v>
      </c>
      <c r="D382" s="5">
        <v>126</v>
      </c>
      <c r="E382" s="5">
        <v>87</v>
      </c>
      <c r="F382" t="s" s="2">
        <v>301</v>
      </c>
      <c r="G382" t="s" s="2">
        <v>509</v>
      </c>
      <c r="H382" s="5">
        <v>730</v>
      </c>
      <c r="I382" t="s" s="2">
        <v>843</v>
      </c>
      <c r="J382" t="s" s="2">
        <v>22</v>
      </c>
      <c r="K382" t="s" s="2">
        <v>868</v>
      </c>
      <c r="L382" t="s" s="2">
        <v>874</v>
      </c>
      <c r="M382" s="5">
        <v>580214</v>
      </c>
      <c r="N382" s="5">
        <v>6281677</v>
      </c>
      <c r="O382" t="s" s="2">
        <v>25</v>
      </c>
      <c r="P382" s="6"/>
      <c r="Q382" t="s" s="2">
        <v>512</v>
      </c>
      <c r="R382" t="s" s="2">
        <f>_xlfn.IFERROR(INDEX('model_byCAP'!$D$2:$D$377,MATCH(Q382,'model_byCAP'!$A$2:$A$377,0)),0)</f>
        <v>513</v>
      </c>
    </row>
    <row r="383" ht="15.35" customHeight="1">
      <c r="A383" t="s" s="2">
        <v>875</v>
      </c>
      <c r="B383" s="4">
        <v>44512</v>
      </c>
      <c r="C383" s="5">
        <v>3600</v>
      </c>
      <c r="D383" s="5">
        <v>126</v>
      </c>
      <c r="E383" s="5">
        <v>87</v>
      </c>
      <c r="F383" t="s" s="2">
        <v>301</v>
      </c>
      <c r="G383" t="s" s="2">
        <v>509</v>
      </c>
      <c r="H383" s="5">
        <v>730</v>
      </c>
      <c r="I383" t="s" s="2">
        <v>843</v>
      </c>
      <c r="J383" t="s" s="2">
        <v>22</v>
      </c>
      <c r="K383" t="s" s="2">
        <v>844</v>
      </c>
      <c r="L383" t="s" s="2">
        <v>481</v>
      </c>
      <c r="M383" s="5">
        <v>579967</v>
      </c>
      <c r="N383" s="5">
        <v>6282140</v>
      </c>
      <c r="O383" t="s" s="2">
        <v>25</v>
      </c>
      <c r="P383" s="6"/>
      <c r="Q383" t="s" s="2">
        <v>512</v>
      </c>
      <c r="R383" t="s" s="2">
        <f>_xlfn.IFERROR(INDEX('model_byCAP'!$D$2:$D$377,MATCH(Q383,'model_byCAP'!$A$2:$A$377,0)),0)</f>
        <v>513</v>
      </c>
    </row>
    <row r="384" ht="15.35" customHeight="1">
      <c r="A384" t="s" s="2">
        <v>876</v>
      </c>
      <c r="B384" s="4">
        <v>44516</v>
      </c>
      <c r="C384" s="5">
        <v>3600</v>
      </c>
      <c r="D384" s="5">
        <v>126</v>
      </c>
      <c r="E384" s="5">
        <v>87</v>
      </c>
      <c r="F384" t="s" s="2">
        <v>301</v>
      </c>
      <c r="G384" t="s" s="2">
        <v>509</v>
      </c>
      <c r="H384" s="5">
        <v>730</v>
      </c>
      <c r="I384" t="s" s="2">
        <v>843</v>
      </c>
      <c r="J384" t="s" s="2">
        <v>22</v>
      </c>
      <c r="K384" t="s" s="2">
        <v>844</v>
      </c>
      <c r="L384" t="s" s="2">
        <v>856</v>
      </c>
      <c r="M384" s="5">
        <v>580489</v>
      </c>
      <c r="N384" s="5">
        <v>6282191</v>
      </c>
      <c r="O384" t="s" s="2">
        <v>25</v>
      </c>
      <c r="P384" s="6"/>
      <c r="Q384" t="s" s="2">
        <v>512</v>
      </c>
      <c r="R384" t="s" s="2">
        <f>_xlfn.IFERROR(INDEX('model_byCAP'!$D$2:$D$377,MATCH(Q384,'model_byCAP'!$A$2:$A$377,0)),0)</f>
        <v>513</v>
      </c>
    </row>
    <row r="385" ht="15.35" customHeight="1">
      <c r="A385" t="s" s="2">
        <v>877</v>
      </c>
      <c r="B385" s="4">
        <v>44510</v>
      </c>
      <c r="C385" s="5">
        <v>3600</v>
      </c>
      <c r="D385" s="5">
        <v>126</v>
      </c>
      <c r="E385" s="5">
        <v>87</v>
      </c>
      <c r="F385" t="s" s="2">
        <v>301</v>
      </c>
      <c r="G385" t="s" s="2">
        <v>509</v>
      </c>
      <c r="H385" s="5">
        <v>730</v>
      </c>
      <c r="I385" t="s" s="2">
        <v>843</v>
      </c>
      <c r="J385" t="s" s="2">
        <v>22</v>
      </c>
      <c r="K385" t="s" s="2">
        <v>868</v>
      </c>
      <c r="L385" t="s" s="2">
        <v>874</v>
      </c>
      <c r="M385" s="5">
        <v>580736</v>
      </c>
      <c r="N385" s="5">
        <v>6281727</v>
      </c>
      <c r="O385" t="s" s="2">
        <v>25</v>
      </c>
      <c r="P385" s="6"/>
      <c r="Q385" t="s" s="2">
        <v>512</v>
      </c>
      <c r="R385" t="s" s="2">
        <f>_xlfn.IFERROR(INDEX('model_byCAP'!$D$2:$D$377,MATCH(Q385,'model_byCAP'!$A$2:$A$377,0)),0)</f>
        <v>513</v>
      </c>
    </row>
    <row r="386" ht="15.35" customHeight="1">
      <c r="A386" t="s" s="2">
        <v>878</v>
      </c>
      <c r="B386" s="4">
        <v>44587</v>
      </c>
      <c r="C386" s="5">
        <v>3600</v>
      </c>
      <c r="D386" s="5">
        <v>126</v>
      </c>
      <c r="E386" s="5">
        <v>87</v>
      </c>
      <c r="F386" t="s" s="2">
        <v>301</v>
      </c>
      <c r="G386" t="s" s="2">
        <v>603</v>
      </c>
      <c r="H386" s="5">
        <v>730</v>
      </c>
      <c r="I386" t="s" s="2">
        <v>843</v>
      </c>
      <c r="J386" t="s" s="2">
        <v>22</v>
      </c>
      <c r="K386" t="s" s="2">
        <v>844</v>
      </c>
      <c r="L386" t="s" s="2">
        <v>856</v>
      </c>
      <c r="M386" s="5">
        <v>580769.2</v>
      </c>
      <c r="N386" s="5">
        <v>6282709.1</v>
      </c>
      <c r="O386" t="s" s="2">
        <v>25</v>
      </c>
      <c r="P386" s="6"/>
      <c r="Q386" t="s" s="2">
        <v>606</v>
      </c>
      <c r="R386" t="s" s="2">
        <f>_xlfn.IFERROR(INDEX('model_byCAP'!$D$2:$D$377,MATCH(Q386,'model_byCAP'!$A$2:$A$377,0)),0)</f>
        <v>513</v>
      </c>
    </row>
    <row r="387" ht="15.35" customHeight="1">
      <c r="A387" t="s" s="2">
        <v>879</v>
      </c>
      <c r="B387" s="4">
        <v>44513</v>
      </c>
      <c r="C387" s="5">
        <v>3600</v>
      </c>
      <c r="D387" s="5">
        <v>126</v>
      </c>
      <c r="E387" s="5">
        <v>87</v>
      </c>
      <c r="F387" t="s" s="2">
        <v>301</v>
      </c>
      <c r="G387" t="s" s="2">
        <v>509</v>
      </c>
      <c r="H387" s="5">
        <v>730</v>
      </c>
      <c r="I387" t="s" s="2">
        <v>843</v>
      </c>
      <c r="J387" t="s" s="2">
        <v>22</v>
      </c>
      <c r="K387" t="s" s="2">
        <v>868</v>
      </c>
      <c r="L387" t="s" s="2">
        <v>862</v>
      </c>
      <c r="M387" s="5">
        <v>579691</v>
      </c>
      <c r="N387" s="5">
        <v>6281627</v>
      </c>
      <c r="O387" t="s" s="2">
        <v>25</v>
      </c>
      <c r="P387" s="6"/>
      <c r="Q387" t="s" s="2">
        <v>512</v>
      </c>
      <c r="R387" t="s" s="2">
        <f>_xlfn.IFERROR(INDEX('model_byCAP'!$D$2:$D$377,MATCH(Q387,'model_byCAP'!$A$2:$A$377,0)),0)</f>
        <v>513</v>
      </c>
    </row>
    <row r="388" ht="15.35" customHeight="1">
      <c r="A388" t="s" s="2">
        <v>880</v>
      </c>
      <c r="B388" s="4">
        <v>44506</v>
      </c>
      <c r="C388" s="5">
        <v>3600</v>
      </c>
      <c r="D388" s="5">
        <v>126</v>
      </c>
      <c r="E388" s="5">
        <v>150</v>
      </c>
      <c r="F388" t="s" s="2">
        <v>301</v>
      </c>
      <c r="G388" t="s" s="2">
        <v>509</v>
      </c>
      <c r="H388" s="5">
        <v>730</v>
      </c>
      <c r="I388" t="s" s="2">
        <v>843</v>
      </c>
      <c r="J388" t="s" s="2">
        <v>22</v>
      </c>
      <c r="K388" t="s" s="2">
        <v>868</v>
      </c>
      <c r="L388" t="s" s="2">
        <v>881</v>
      </c>
      <c r="M388" s="5">
        <v>579415</v>
      </c>
      <c r="N388" s="5">
        <v>6281112</v>
      </c>
      <c r="O388" t="s" s="2">
        <v>25</v>
      </c>
      <c r="P388" s="6"/>
      <c r="Q388" t="s" s="2">
        <v>512</v>
      </c>
      <c r="R388" t="s" s="2">
        <f>_xlfn.IFERROR(INDEX('model_byCAP'!$D$2:$D$377,MATCH(Q388,'model_byCAP'!$A$2:$A$377,0)),0)</f>
        <v>513</v>
      </c>
    </row>
    <row r="389" ht="15.35" customHeight="1">
      <c r="A389" t="s" s="2">
        <v>882</v>
      </c>
      <c r="B389" s="4">
        <v>44510</v>
      </c>
      <c r="C389" s="5">
        <v>3600</v>
      </c>
      <c r="D389" s="5">
        <v>126</v>
      </c>
      <c r="E389" s="5">
        <v>150</v>
      </c>
      <c r="F389" t="s" s="2">
        <v>301</v>
      </c>
      <c r="G389" t="s" s="2">
        <v>509</v>
      </c>
      <c r="H389" s="5">
        <v>730</v>
      </c>
      <c r="I389" t="s" s="2">
        <v>843</v>
      </c>
      <c r="J389" t="s" s="2">
        <v>22</v>
      </c>
      <c r="K389" t="s" s="2">
        <v>868</v>
      </c>
      <c r="L389" t="s" s="2">
        <v>883</v>
      </c>
      <c r="M389" s="5">
        <v>579937</v>
      </c>
      <c r="N389" s="5">
        <v>6281163</v>
      </c>
      <c r="O389" t="s" s="2">
        <v>25</v>
      </c>
      <c r="P389" s="6"/>
      <c r="Q389" t="s" s="2">
        <v>512</v>
      </c>
      <c r="R389" t="s" s="2">
        <f>_xlfn.IFERROR(INDEX('model_byCAP'!$D$2:$D$377,MATCH(Q389,'model_byCAP'!$A$2:$A$377,0)),0)</f>
        <v>513</v>
      </c>
    </row>
    <row r="390" ht="15.35" customHeight="1">
      <c r="A390" t="s" s="2">
        <v>884</v>
      </c>
      <c r="B390" s="4">
        <v>44515</v>
      </c>
      <c r="C390" s="5">
        <v>3600</v>
      </c>
      <c r="D390" s="5">
        <v>126</v>
      </c>
      <c r="E390" s="5">
        <v>150</v>
      </c>
      <c r="F390" t="s" s="2">
        <v>301</v>
      </c>
      <c r="G390" t="s" s="2">
        <v>509</v>
      </c>
      <c r="H390" s="5">
        <v>730</v>
      </c>
      <c r="I390" t="s" s="2">
        <v>843</v>
      </c>
      <c r="J390" t="s" s="2">
        <v>22</v>
      </c>
      <c r="K390" t="s" s="2">
        <v>868</v>
      </c>
      <c r="L390" t="s" s="2">
        <v>885</v>
      </c>
      <c r="M390" s="5">
        <v>580460</v>
      </c>
      <c r="N390" s="5">
        <v>6281213</v>
      </c>
      <c r="O390" t="s" s="2">
        <v>25</v>
      </c>
      <c r="P390" s="6"/>
      <c r="Q390" t="s" s="2">
        <v>512</v>
      </c>
      <c r="R390" t="s" s="2">
        <f>_xlfn.IFERROR(INDEX('model_byCAP'!$D$2:$D$377,MATCH(Q390,'model_byCAP'!$A$2:$A$377,0)),0)</f>
        <v>513</v>
      </c>
    </row>
    <row r="391" ht="15.35" customHeight="1">
      <c r="A391" t="s" s="2">
        <v>886</v>
      </c>
      <c r="B391" s="4">
        <v>44516</v>
      </c>
      <c r="C391" s="5">
        <v>3600</v>
      </c>
      <c r="D391" s="5">
        <v>126</v>
      </c>
      <c r="E391" s="5">
        <v>150</v>
      </c>
      <c r="F391" t="s" s="2">
        <v>301</v>
      </c>
      <c r="G391" t="s" s="2">
        <v>509</v>
      </c>
      <c r="H391" s="5">
        <v>730</v>
      </c>
      <c r="I391" t="s" s="2">
        <v>843</v>
      </c>
      <c r="J391" t="s" s="2">
        <v>22</v>
      </c>
      <c r="K391" t="s" s="2">
        <v>868</v>
      </c>
      <c r="L391" t="s" s="2">
        <v>887</v>
      </c>
      <c r="M391" s="5">
        <v>580982</v>
      </c>
      <c r="N391" s="5">
        <v>6281264</v>
      </c>
      <c r="O391" t="s" s="2">
        <v>25</v>
      </c>
      <c r="P391" s="6"/>
      <c r="Q391" t="s" s="2">
        <v>512</v>
      </c>
      <c r="R391" t="s" s="2">
        <f>_xlfn.IFERROR(INDEX('model_byCAP'!$D$2:$D$377,MATCH(Q391,'model_byCAP'!$A$2:$A$377,0)),0)</f>
        <v>513</v>
      </c>
    </row>
    <row r="392" ht="15.35" customHeight="1">
      <c r="A392" t="s" s="2">
        <v>888</v>
      </c>
      <c r="B392" s="4">
        <v>44504</v>
      </c>
      <c r="C392" s="5">
        <v>3600</v>
      </c>
      <c r="D392" s="5">
        <v>126</v>
      </c>
      <c r="E392" s="5">
        <v>150</v>
      </c>
      <c r="F392" t="s" s="2">
        <v>301</v>
      </c>
      <c r="G392" t="s" s="2">
        <v>509</v>
      </c>
      <c r="H392" s="5">
        <v>730</v>
      </c>
      <c r="I392" t="s" s="2">
        <v>843</v>
      </c>
      <c r="J392" t="s" s="2">
        <v>22</v>
      </c>
      <c r="K392" t="s" s="2">
        <v>868</v>
      </c>
      <c r="L392" t="s" s="2">
        <v>889</v>
      </c>
      <c r="M392" s="5">
        <v>579661</v>
      </c>
      <c r="N392" s="5">
        <v>6280649</v>
      </c>
      <c r="O392" t="s" s="2">
        <v>25</v>
      </c>
      <c r="P392" s="6"/>
      <c r="Q392" t="s" s="2">
        <v>512</v>
      </c>
      <c r="R392" t="s" s="2">
        <f>_xlfn.IFERROR(INDEX('model_byCAP'!$D$2:$D$377,MATCH(Q392,'model_byCAP'!$A$2:$A$377,0)),0)</f>
        <v>513</v>
      </c>
    </row>
    <row r="393" ht="15.35" customHeight="1">
      <c r="A393" t="s" s="2">
        <v>890</v>
      </c>
      <c r="B393" s="4">
        <v>44516</v>
      </c>
      <c r="C393" s="5">
        <v>3600</v>
      </c>
      <c r="D393" s="5">
        <v>126</v>
      </c>
      <c r="E393" s="5">
        <v>150</v>
      </c>
      <c r="F393" t="s" s="2">
        <v>301</v>
      </c>
      <c r="G393" t="s" s="2">
        <v>509</v>
      </c>
      <c r="H393" s="5">
        <v>730</v>
      </c>
      <c r="I393" t="s" s="2">
        <v>843</v>
      </c>
      <c r="J393" t="s" s="2">
        <v>22</v>
      </c>
      <c r="K393" t="s" s="2">
        <v>868</v>
      </c>
      <c r="L393" t="s" s="2">
        <v>891</v>
      </c>
      <c r="M393" s="5">
        <v>580184</v>
      </c>
      <c r="N393" s="5">
        <v>6280699</v>
      </c>
      <c r="O393" t="s" s="2">
        <v>25</v>
      </c>
      <c r="P393" s="6"/>
      <c r="Q393" t="s" s="2">
        <v>512</v>
      </c>
      <c r="R393" t="s" s="2">
        <f>_xlfn.IFERROR(INDEX('model_byCAP'!$D$2:$D$377,MATCH(Q393,'model_byCAP'!$A$2:$A$377,0)),0)</f>
        <v>513</v>
      </c>
    </row>
    <row r="394" ht="15.35" customHeight="1">
      <c r="A394" t="s" s="2">
        <v>892</v>
      </c>
      <c r="B394" s="4">
        <v>44516</v>
      </c>
      <c r="C394" s="5">
        <v>3600</v>
      </c>
      <c r="D394" s="5">
        <v>126</v>
      </c>
      <c r="E394" s="5">
        <v>150</v>
      </c>
      <c r="F394" t="s" s="2">
        <v>301</v>
      </c>
      <c r="G394" t="s" s="2">
        <v>509</v>
      </c>
      <c r="H394" s="5">
        <v>730</v>
      </c>
      <c r="I394" t="s" s="2">
        <v>843</v>
      </c>
      <c r="J394" t="s" s="2">
        <v>22</v>
      </c>
      <c r="K394" t="s" s="2">
        <v>868</v>
      </c>
      <c r="L394" t="s" s="2">
        <v>893</v>
      </c>
      <c r="M394" s="5">
        <v>580706</v>
      </c>
      <c r="N394" s="5">
        <v>6280750</v>
      </c>
      <c r="O394" t="s" s="2">
        <v>25</v>
      </c>
      <c r="P394" s="6"/>
      <c r="Q394" t="s" s="2">
        <v>512</v>
      </c>
      <c r="R394" t="s" s="2">
        <f>_xlfn.IFERROR(INDEX('model_byCAP'!$D$2:$D$377,MATCH(Q394,'model_byCAP'!$A$2:$A$377,0)),0)</f>
        <v>513</v>
      </c>
    </row>
    <row r="395" ht="15.35" customHeight="1">
      <c r="A395" t="s" s="2">
        <v>894</v>
      </c>
      <c r="B395" s="4">
        <v>44516</v>
      </c>
      <c r="C395" s="5">
        <v>3600</v>
      </c>
      <c r="D395" s="5">
        <v>126</v>
      </c>
      <c r="E395" s="5">
        <v>150</v>
      </c>
      <c r="F395" t="s" s="2">
        <v>301</v>
      </c>
      <c r="G395" t="s" s="2">
        <v>509</v>
      </c>
      <c r="H395" s="5">
        <v>730</v>
      </c>
      <c r="I395" t="s" s="2">
        <v>843</v>
      </c>
      <c r="J395" t="s" s="2">
        <v>22</v>
      </c>
      <c r="K395" t="s" s="2">
        <v>868</v>
      </c>
      <c r="L395" t="s" s="2">
        <v>895</v>
      </c>
      <c r="M395" s="5">
        <v>581229</v>
      </c>
      <c r="N395" s="5">
        <v>6280800</v>
      </c>
      <c r="O395" t="s" s="2">
        <v>25</v>
      </c>
      <c r="P395" s="6"/>
      <c r="Q395" t="s" s="2">
        <v>512</v>
      </c>
      <c r="R395" t="s" s="2">
        <f>_xlfn.IFERROR(INDEX('model_byCAP'!$D$2:$D$377,MATCH(Q395,'model_byCAP'!$A$2:$A$377,0)),0)</f>
        <v>513</v>
      </c>
    </row>
    <row r="396" ht="15.35" customHeight="1">
      <c r="A396" t="s" s="2">
        <v>896</v>
      </c>
      <c r="B396" s="4">
        <v>44508</v>
      </c>
      <c r="C396" s="5">
        <v>3600</v>
      </c>
      <c r="D396" s="5">
        <v>126</v>
      </c>
      <c r="E396" s="5">
        <v>150</v>
      </c>
      <c r="F396" t="s" s="2">
        <v>301</v>
      </c>
      <c r="G396" t="s" s="2">
        <v>509</v>
      </c>
      <c r="H396" s="5">
        <v>730</v>
      </c>
      <c r="I396" t="s" s="2">
        <v>843</v>
      </c>
      <c r="J396" t="s" s="2">
        <v>22</v>
      </c>
      <c r="K396" t="s" s="2">
        <v>868</v>
      </c>
      <c r="L396" t="s" s="2">
        <v>897</v>
      </c>
      <c r="M396" s="5">
        <v>579632</v>
      </c>
      <c r="N396" s="5">
        <v>6279672</v>
      </c>
      <c r="O396" t="s" s="2">
        <v>25</v>
      </c>
      <c r="P396" s="6"/>
      <c r="Q396" t="s" s="2">
        <v>512</v>
      </c>
      <c r="R396" t="s" s="2">
        <f>_xlfn.IFERROR(INDEX('model_byCAP'!$D$2:$D$377,MATCH(Q396,'model_byCAP'!$A$2:$A$377,0)),0)</f>
        <v>513</v>
      </c>
    </row>
    <row r="397" ht="15.35" customHeight="1">
      <c r="A397" t="s" s="2">
        <v>898</v>
      </c>
      <c r="B397" s="4">
        <v>43136</v>
      </c>
      <c r="C397" s="5">
        <v>3600</v>
      </c>
      <c r="D397" s="5">
        <v>117</v>
      </c>
      <c r="E397" s="5">
        <v>91.5</v>
      </c>
      <c r="F397" t="s" s="2">
        <v>301</v>
      </c>
      <c r="G397" t="s" s="2">
        <v>462</v>
      </c>
      <c r="H397" s="5">
        <v>740</v>
      </c>
      <c r="I397" t="s" s="2">
        <v>899</v>
      </c>
      <c r="J397" t="s" s="2">
        <v>22</v>
      </c>
      <c r="K397" t="s" s="2">
        <v>900</v>
      </c>
      <c r="L397" t="s" s="2">
        <v>390</v>
      </c>
      <c r="M397" s="5">
        <v>546013</v>
      </c>
      <c r="N397" s="5">
        <v>6222608</v>
      </c>
      <c r="O397" t="s" s="2">
        <v>305</v>
      </c>
      <c r="P397" s="5">
        <v>4143654</v>
      </c>
      <c r="Q397" t="s" s="2">
        <v>466</v>
      </c>
      <c r="R397" t="s" s="2">
        <f>_xlfn.IFERROR(INDEX('model_byCAP'!$D$2:$D$377,MATCH(Q397,'model_byCAP'!$A$2:$A$377,0)),0)</f>
        <v>467</v>
      </c>
    </row>
    <row r="398" ht="15.35" customHeight="1">
      <c r="A398" t="s" s="2">
        <v>901</v>
      </c>
      <c r="B398" s="4">
        <v>43099</v>
      </c>
      <c r="C398" s="5">
        <v>3600</v>
      </c>
      <c r="D398" s="5">
        <v>117</v>
      </c>
      <c r="E398" s="5">
        <v>91.5</v>
      </c>
      <c r="F398" t="s" s="2">
        <v>301</v>
      </c>
      <c r="G398" t="s" s="2">
        <v>462</v>
      </c>
      <c r="H398" s="5">
        <v>746</v>
      </c>
      <c r="I398" t="s" s="2">
        <v>902</v>
      </c>
      <c r="J398" t="s" s="2">
        <v>22</v>
      </c>
      <c r="K398" t="s" s="2">
        <v>903</v>
      </c>
      <c r="L398" t="s" s="2">
        <v>904</v>
      </c>
      <c r="M398" s="5">
        <v>546830</v>
      </c>
      <c r="N398" s="5">
        <v>6222611</v>
      </c>
      <c r="O398" t="s" s="2">
        <v>305</v>
      </c>
      <c r="P398" s="5">
        <v>4143652</v>
      </c>
      <c r="Q398" t="s" s="2">
        <v>466</v>
      </c>
      <c r="R398" t="s" s="2">
        <f>_xlfn.IFERROR(INDEX('model_byCAP'!$D$2:$D$377,MATCH(Q398,'model_byCAP'!$A$2:$A$377,0)),0)</f>
        <v>467</v>
      </c>
    </row>
    <row r="399" ht="15.35" customHeight="1">
      <c r="A399" t="s" s="2">
        <v>905</v>
      </c>
      <c r="B399" s="4">
        <v>43126</v>
      </c>
      <c r="C399" s="5">
        <v>3600</v>
      </c>
      <c r="D399" s="5">
        <v>117</v>
      </c>
      <c r="E399" s="5">
        <v>91.5</v>
      </c>
      <c r="F399" t="s" s="2">
        <v>301</v>
      </c>
      <c r="G399" t="s" s="2">
        <v>462</v>
      </c>
      <c r="H399" s="5">
        <v>746</v>
      </c>
      <c r="I399" t="s" s="2">
        <v>902</v>
      </c>
      <c r="J399" t="s" s="2">
        <v>22</v>
      </c>
      <c r="K399" t="s" s="2">
        <v>903</v>
      </c>
      <c r="L399" t="s" s="2">
        <v>904</v>
      </c>
      <c r="M399" s="5">
        <v>546422</v>
      </c>
      <c r="N399" s="5">
        <v>6222608</v>
      </c>
      <c r="O399" t="s" s="2">
        <v>305</v>
      </c>
      <c r="P399" s="5">
        <v>4143653</v>
      </c>
      <c r="Q399" t="s" s="2">
        <v>466</v>
      </c>
      <c r="R399" t="s" s="2">
        <f>_xlfn.IFERROR(INDEX('model_byCAP'!$D$2:$D$377,MATCH(Q399,'model_byCAP'!$A$2:$A$377,0)),0)</f>
        <v>467</v>
      </c>
    </row>
    <row r="400" ht="15.35" customHeight="1">
      <c r="A400" t="s" s="2">
        <v>906</v>
      </c>
      <c r="B400" s="4">
        <v>43099</v>
      </c>
      <c r="C400" s="5">
        <v>3600</v>
      </c>
      <c r="D400" s="5">
        <v>126</v>
      </c>
      <c r="E400" s="5">
        <v>87</v>
      </c>
      <c r="F400" t="s" s="2">
        <v>301</v>
      </c>
      <c r="G400" t="s" s="2">
        <v>509</v>
      </c>
      <c r="H400" s="5">
        <v>760</v>
      </c>
      <c r="I400" t="s" s="2">
        <v>331</v>
      </c>
      <c r="J400" t="s" s="2">
        <v>22</v>
      </c>
      <c r="K400" t="s" s="2">
        <v>907</v>
      </c>
      <c r="L400" t="s" s="2">
        <v>908</v>
      </c>
      <c r="M400" s="5">
        <v>458349</v>
      </c>
      <c r="N400" s="5">
        <v>6189557.9</v>
      </c>
      <c r="O400" t="s" s="2">
        <v>305</v>
      </c>
      <c r="P400" s="5">
        <v>344243038</v>
      </c>
      <c r="Q400" t="s" s="2">
        <v>512</v>
      </c>
      <c r="R400" t="s" s="2">
        <f>_xlfn.IFERROR(INDEX('model_byCAP'!$D$2:$D$377,MATCH(Q400,'model_byCAP'!$A$2:$A$377,0)),0)</f>
        <v>513</v>
      </c>
    </row>
    <row r="401" ht="15.35" customHeight="1">
      <c r="A401" t="s" s="2">
        <v>909</v>
      </c>
      <c r="B401" s="4">
        <v>43116</v>
      </c>
      <c r="C401" s="5">
        <v>3600</v>
      </c>
      <c r="D401" s="5">
        <v>126</v>
      </c>
      <c r="E401" s="5">
        <v>87</v>
      </c>
      <c r="F401" t="s" s="2">
        <v>301</v>
      </c>
      <c r="G401" t="s" s="2">
        <v>509</v>
      </c>
      <c r="H401" s="5">
        <v>760</v>
      </c>
      <c r="I401" t="s" s="2">
        <v>331</v>
      </c>
      <c r="J401" t="s" s="2">
        <v>22</v>
      </c>
      <c r="K401" t="s" s="2">
        <v>907</v>
      </c>
      <c r="L401" t="s" s="2">
        <v>910</v>
      </c>
      <c r="M401" s="5">
        <v>458208.9</v>
      </c>
      <c r="N401" s="5">
        <v>6189875.1</v>
      </c>
      <c r="O401" t="s" s="2">
        <v>305</v>
      </c>
      <c r="P401" s="5">
        <v>344243039</v>
      </c>
      <c r="Q401" t="s" s="2">
        <v>512</v>
      </c>
      <c r="R401" t="s" s="2">
        <f>_xlfn.IFERROR(INDEX('model_byCAP'!$D$2:$D$377,MATCH(Q401,'model_byCAP'!$A$2:$A$377,0)),0)</f>
        <v>513</v>
      </c>
    </row>
    <row r="402" ht="15.35" customHeight="1">
      <c r="A402" t="s" s="2">
        <v>911</v>
      </c>
      <c r="B402" s="4">
        <v>43091</v>
      </c>
      <c r="C402" s="5">
        <v>3600</v>
      </c>
      <c r="D402" s="5">
        <v>126</v>
      </c>
      <c r="E402" s="5">
        <v>87</v>
      </c>
      <c r="F402" t="s" s="2">
        <v>301</v>
      </c>
      <c r="G402" t="s" s="2">
        <v>509</v>
      </c>
      <c r="H402" s="5">
        <v>760</v>
      </c>
      <c r="I402" t="s" s="2">
        <v>331</v>
      </c>
      <c r="J402" t="s" s="2">
        <v>22</v>
      </c>
      <c r="K402" t="s" s="2">
        <v>907</v>
      </c>
      <c r="L402" t="s" s="2">
        <v>910</v>
      </c>
      <c r="M402" s="5">
        <v>458068.8</v>
      </c>
      <c r="N402" s="5">
        <v>6190192.4</v>
      </c>
      <c r="O402" t="s" s="2">
        <v>305</v>
      </c>
      <c r="P402" s="5">
        <v>344243040</v>
      </c>
      <c r="Q402" t="s" s="2">
        <v>512</v>
      </c>
      <c r="R402" t="s" s="2">
        <f>_xlfn.IFERROR(INDEX('model_byCAP'!$D$2:$D$377,MATCH(Q402,'model_byCAP'!$A$2:$A$377,0)),0)</f>
        <v>513</v>
      </c>
    </row>
    <row r="403" ht="15.35" customHeight="1">
      <c r="A403" t="s" s="2">
        <v>912</v>
      </c>
      <c r="B403" s="4">
        <v>43097</v>
      </c>
      <c r="C403" s="5">
        <v>3600</v>
      </c>
      <c r="D403" s="5">
        <v>126</v>
      </c>
      <c r="E403" s="5">
        <v>87</v>
      </c>
      <c r="F403" t="s" s="2">
        <v>301</v>
      </c>
      <c r="G403" t="s" s="2">
        <v>509</v>
      </c>
      <c r="H403" s="5">
        <v>760</v>
      </c>
      <c r="I403" t="s" s="2">
        <v>331</v>
      </c>
      <c r="J403" t="s" s="2">
        <v>22</v>
      </c>
      <c r="K403" t="s" s="2">
        <v>913</v>
      </c>
      <c r="L403" t="s" s="2">
        <v>914</v>
      </c>
      <c r="M403" s="5">
        <v>457997.4</v>
      </c>
      <c r="N403" s="5">
        <v>6189470.7</v>
      </c>
      <c r="O403" t="s" s="2">
        <v>305</v>
      </c>
      <c r="P403" s="5">
        <v>344243041</v>
      </c>
      <c r="Q403" t="s" s="2">
        <v>512</v>
      </c>
      <c r="R403" t="s" s="2">
        <f>_xlfn.IFERROR(INDEX('model_byCAP'!$D$2:$D$377,MATCH(Q403,'model_byCAP'!$A$2:$A$377,0)),0)</f>
        <v>513</v>
      </c>
    </row>
    <row r="404" ht="15.35" customHeight="1">
      <c r="A404" t="s" s="2">
        <v>915</v>
      </c>
      <c r="B404" s="4">
        <v>43119</v>
      </c>
      <c r="C404" s="5">
        <v>3600</v>
      </c>
      <c r="D404" s="5">
        <v>126</v>
      </c>
      <c r="E404" s="5">
        <v>87</v>
      </c>
      <c r="F404" t="s" s="2">
        <v>301</v>
      </c>
      <c r="G404" t="s" s="2">
        <v>509</v>
      </c>
      <c r="H404" s="5">
        <v>760</v>
      </c>
      <c r="I404" t="s" s="2">
        <v>331</v>
      </c>
      <c r="J404" t="s" s="2">
        <v>22</v>
      </c>
      <c r="K404" t="s" s="2">
        <v>907</v>
      </c>
      <c r="L404" t="s" s="2">
        <v>910</v>
      </c>
      <c r="M404" s="5">
        <v>457847.7</v>
      </c>
      <c r="N404" s="5">
        <v>6189809.7</v>
      </c>
      <c r="O404" t="s" s="2">
        <v>305</v>
      </c>
      <c r="P404" s="5">
        <v>344243042</v>
      </c>
      <c r="Q404" t="s" s="2">
        <v>512</v>
      </c>
      <c r="R404" t="s" s="2">
        <f>_xlfn.IFERROR(INDEX('model_byCAP'!$D$2:$D$377,MATCH(Q404,'model_byCAP'!$A$2:$A$377,0)),0)</f>
        <v>513</v>
      </c>
    </row>
    <row r="405" ht="15.35" customHeight="1">
      <c r="A405" t="s" s="2">
        <v>916</v>
      </c>
      <c r="B405" s="4">
        <v>43091</v>
      </c>
      <c r="C405" s="5">
        <v>3600</v>
      </c>
      <c r="D405" s="5">
        <v>126</v>
      </c>
      <c r="E405" s="5">
        <v>87</v>
      </c>
      <c r="F405" t="s" s="2">
        <v>301</v>
      </c>
      <c r="G405" t="s" s="2">
        <v>509</v>
      </c>
      <c r="H405" s="5">
        <v>760</v>
      </c>
      <c r="I405" t="s" s="2">
        <v>331</v>
      </c>
      <c r="J405" t="s" s="2">
        <v>22</v>
      </c>
      <c r="K405" t="s" s="2">
        <v>913</v>
      </c>
      <c r="L405" t="s" s="2">
        <v>917</v>
      </c>
      <c r="M405" s="5">
        <v>458149.2</v>
      </c>
      <c r="N405" s="5">
        <v>6189127.1</v>
      </c>
      <c r="O405" t="s" s="2">
        <v>305</v>
      </c>
      <c r="P405" s="5">
        <v>344243043</v>
      </c>
      <c r="Q405" t="s" s="2">
        <v>512</v>
      </c>
      <c r="R405" t="s" s="2">
        <f>_xlfn.IFERROR(INDEX('model_byCAP'!$D$2:$D$377,MATCH(Q405,'model_byCAP'!$A$2:$A$377,0)),0)</f>
        <v>513</v>
      </c>
    </row>
    <row r="406" ht="15.35" customHeight="1">
      <c r="A406" t="s" s="2">
        <v>918</v>
      </c>
      <c r="B406" s="4">
        <v>43090</v>
      </c>
      <c r="C406" s="5">
        <v>3600</v>
      </c>
      <c r="D406" s="5">
        <v>126</v>
      </c>
      <c r="E406" s="5">
        <v>87</v>
      </c>
      <c r="F406" t="s" s="2">
        <v>301</v>
      </c>
      <c r="G406" t="s" s="2">
        <v>509</v>
      </c>
      <c r="H406" s="5">
        <v>760</v>
      </c>
      <c r="I406" t="s" s="2">
        <v>331</v>
      </c>
      <c r="J406" t="s" s="2">
        <v>22</v>
      </c>
      <c r="K406" t="s" s="2">
        <v>919</v>
      </c>
      <c r="L406" t="s" s="2">
        <v>500</v>
      </c>
      <c r="M406" s="5">
        <v>483250</v>
      </c>
      <c r="N406" s="5">
        <v>6186606</v>
      </c>
      <c r="O406" t="s" s="2">
        <v>305</v>
      </c>
      <c r="P406" s="5">
        <v>344243368</v>
      </c>
      <c r="Q406" t="s" s="2">
        <v>512</v>
      </c>
      <c r="R406" t="s" s="2">
        <f>_xlfn.IFERROR(INDEX('model_byCAP'!$D$2:$D$377,MATCH(Q406,'model_byCAP'!$A$2:$A$377,0)),0)</f>
        <v>513</v>
      </c>
    </row>
    <row r="407" ht="15.35" customHeight="1">
      <c r="A407" t="s" s="2">
        <v>920</v>
      </c>
      <c r="B407" s="4">
        <v>43089</v>
      </c>
      <c r="C407" s="5">
        <v>3600</v>
      </c>
      <c r="D407" s="5">
        <v>126</v>
      </c>
      <c r="E407" s="5">
        <v>87</v>
      </c>
      <c r="F407" t="s" s="2">
        <v>301</v>
      </c>
      <c r="G407" t="s" s="2">
        <v>509</v>
      </c>
      <c r="H407" s="5">
        <v>760</v>
      </c>
      <c r="I407" t="s" s="2">
        <v>331</v>
      </c>
      <c r="J407" t="s" s="2">
        <v>22</v>
      </c>
      <c r="K407" t="s" s="2">
        <v>921</v>
      </c>
      <c r="L407" t="s" s="2">
        <v>500</v>
      </c>
      <c r="M407" s="5">
        <v>483285</v>
      </c>
      <c r="N407" s="5">
        <v>6186957</v>
      </c>
      <c r="O407" t="s" s="2">
        <v>305</v>
      </c>
      <c r="P407" s="5">
        <v>344243069</v>
      </c>
      <c r="Q407" t="s" s="2">
        <v>512</v>
      </c>
      <c r="R407" t="s" s="2">
        <f>_xlfn.IFERROR(INDEX('model_byCAP'!$D$2:$D$377,MATCH(Q407,'model_byCAP'!$A$2:$A$377,0)),0)</f>
        <v>513</v>
      </c>
    </row>
    <row r="408" ht="15.35" customHeight="1">
      <c r="A408" t="s" s="2">
        <v>922</v>
      </c>
      <c r="B408" s="4">
        <v>43089</v>
      </c>
      <c r="C408" s="5">
        <v>3600</v>
      </c>
      <c r="D408" s="5">
        <v>126</v>
      </c>
      <c r="E408" s="5">
        <v>87</v>
      </c>
      <c r="F408" t="s" s="2">
        <v>301</v>
      </c>
      <c r="G408" t="s" s="2">
        <v>509</v>
      </c>
      <c r="H408" s="5">
        <v>760</v>
      </c>
      <c r="I408" t="s" s="2">
        <v>331</v>
      </c>
      <c r="J408" t="s" s="2">
        <v>22</v>
      </c>
      <c r="K408" t="s" s="2">
        <v>919</v>
      </c>
      <c r="L408" t="s" s="2">
        <v>500</v>
      </c>
      <c r="M408" s="5">
        <v>483319</v>
      </c>
      <c r="N408" s="5">
        <v>6187308</v>
      </c>
      <c r="O408" t="s" s="2">
        <v>305</v>
      </c>
      <c r="P408" s="5">
        <v>344243070</v>
      </c>
      <c r="Q408" t="s" s="2">
        <v>512</v>
      </c>
      <c r="R408" t="s" s="2">
        <f>_xlfn.IFERROR(INDEX('model_byCAP'!$D$2:$D$377,MATCH(Q408,'model_byCAP'!$A$2:$A$377,0)),0)</f>
        <v>513</v>
      </c>
    </row>
    <row r="409" ht="15.35" customHeight="1">
      <c r="A409" t="s" s="2">
        <v>923</v>
      </c>
      <c r="B409" s="4">
        <v>43091</v>
      </c>
      <c r="C409" s="5">
        <v>3600</v>
      </c>
      <c r="D409" s="5">
        <v>126</v>
      </c>
      <c r="E409" s="5">
        <v>87</v>
      </c>
      <c r="F409" t="s" s="2">
        <v>301</v>
      </c>
      <c r="G409" t="s" s="2">
        <v>509</v>
      </c>
      <c r="H409" s="5">
        <v>760</v>
      </c>
      <c r="I409" t="s" s="2">
        <v>331</v>
      </c>
      <c r="J409" t="s" s="2">
        <v>22</v>
      </c>
      <c r="K409" t="s" s="2">
        <v>919</v>
      </c>
      <c r="L409" t="s" s="2">
        <v>500</v>
      </c>
      <c r="M409" s="5">
        <v>482854</v>
      </c>
      <c r="N409" s="5">
        <v>6186670</v>
      </c>
      <c r="O409" t="s" s="2">
        <v>305</v>
      </c>
      <c r="P409" s="5">
        <v>344243071</v>
      </c>
      <c r="Q409" t="s" s="2">
        <v>512</v>
      </c>
      <c r="R409" t="s" s="2">
        <f>_xlfn.IFERROR(INDEX('model_byCAP'!$D$2:$D$377,MATCH(Q409,'model_byCAP'!$A$2:$A$377,0)),0)</f>
        <v>513</v>
      </c>
    </row>
    <row r="410" ht="15.35" customHeight="1">
      <c r="A410" t="s" s="2">
        <v>924</v>
      </c>
      <c r="B410" s="4">
        <v>43089</v>
      </c>
      <c r="C410" s="5">
        <v>3600</v>
      </c>
      <c r="D410" s="5">
        <v>126</v>
      </c>
      <c r="E410" s="5">
        <v>87</v>
      </c>
      <c r="F410" t="s" s="2">
        <v>301</v>
      </c>
      <c r="G410" t="s" s="2">
        <v>509</v>
      </c>
      <c r="H410" s="5">
        <v>760</v>
      </c>
      <c r="I410" t="s" s="2">
        <v>331</v>
      </c>
      <c r="J410" t="s" s="2">
        <v>22</v>
      </c>
      <c r="K410" t="s" s="2">
        <v>919</v>
      </c>
      <c r="L410" t="s" s="2">
        <v>500</v>
      </c>
      <c r="M410" s="5">
        <v>482888</v>
      </c>
      <c r="N410" s="5">
        <v>6187021</v>
      </c>
      <c r="O410" t="s" s="2">
        <v>305</v>
      </c>
      <c r="P410" s="5">
        <v>344243072</v>
      </c>
      <c r="Q410" t="s" s="2">
        <v>512</v>
      </c>
      <c r="R410" t="s" s="2">
        <f>_xlfn.IFERROR(INDEX('model_byCAP'!$D$2:$D$377,MATCH(Q410,'model_byCAP'!$A$2:$A$377,0)),0)</f>
        <v>513</v>
      </c>
    </row>
    <row r="411" ht="15.35" customHeight="1">
      <c r="A411" t="s" s="2">
        <v>925</v>
      </c>
      <c r="B411" s="4">
        <v>43089</v>
      </c>
      <c r="C411" s="5">
        <v>3600</v>
      </c>
      <c r="D411" s="5">
        <v>126</v>
      </c>
      <c r="E411" s="5">
        <v>87</v>
      </c>
      <c r="F411" t="s" s="2">
        <v>301</v>
      </c>
      <c r="G411" t="s" s="2">
        <v>509</v>
      </c>
      <c r="H411" s="5">
        <v>760</v>
      </c>
      <c r="I411" t="s" s="2">
        <v>331</v>
      </c>
      <c r="J411" t="s" s="2">
        <v>22</v>
      </c>
      <c r="K411" t="s" s="2">
        <v>919</v>
      </c>
      <c r="L411" t="s" s="2">
        <v>500</v>
      </c>
      <c r="M411" s="5">
        <v>482923</v>
      </c>
      <c r="N411" s="5">
        <v>6187373</v>
      </c>
      <c r="O411" t="s" s="2">
        <v>305</v>
      </c>
      <c r="P411" s="5">
        <v>344243073</v>
      </c>
      <c r="Q411" t="s" s="2">
        <v>512</v>
      </c>
      <c r="R411" t="s" s="2">
        <f>_xlfn.IFERROR(INDEX('model_byCAP'!$D$2:$D$377,MATCH(Q411,'model_byCAP'!$A$2:$A$377,0)),0)</f>
        <v>513</v>
      </c>
    </row>
    <row r="412" ht="15.35" customHeight="1">
      <c r="A412" t="s" s="2">
        <v>926</v>
      </c>
      <c r="B412" s="4">
        <v>43091</v>
      </c>
      <c r="C412" s="5">
        <v>3600</v>
      </c>
      <c r="D412" s="5">
        <v>117</v>
      </c>
      <c r="E412" s="5">
        <v>91</v>
      </c>
      <c r="F412" t="s" s="2">
        <v>301</v>
      </c>
      <c r="G412" t="s" s="2">
        <v>462</v>
      </c>
      <c r="H412" s="5">
        <v>760</v>
      </c>
      <c r="I412" t="s" s="2">
        <v>331</v>
      </c>
      <c r="J412" t="s" s="2">
        <v>22</v>
      </c>
      <c r="K412" t="s" s="2">
        <v>927</v>
      </c>
      <c r="L412" t="s" s="2">
        <v>928</v>
      </c>
      <c r="M412" s="5">
        <v>463705.09</v>
      </c>
      <c r="N412" s="5">
        <v>6190611.11</v>
      </c>
      <c r="O412" t="s" s="2">
        <v>305</v>
      </c>
      <c r="P412" s="5">
        <v>344246078</v>
      </c>
      <c r="Q412" t="s" s="2">
        <v>466</v>
      </c>
      <c r="R412" t="s" s="2">
        <f>_xlfn.IFERROR(INDEX('model_byCAP'!$D$2:$D$377,MATCH(Q412,'model_byCAP'!$A$2:$A$377,0)),0)</f>
        <v>467</v>
      </c>
    </row>
    <row r="413" ht="15.35" customHeight="1">
      <c r="A413" t="s" s="2">
        <v>929</v>
      </c>
      <c r="B413" s="4">
        <v>43092</v>
      </c>
      <c r="C413" s="5">
        <v>3600</v>
      </c>
      <c r="D413" s="5">
        <v>117</v>
      </c>
      <c r="E413" s="5">
        <v>91</v>
      </c>
      <c r="F413" t="s" s="2">
        <v>301</v>
      </c>
      <c r="G413" t="s" s="2">
        <v>462</v>
      </c>
      <c r="H413" s="5">
        <v>760</v>
      </c>
      <c r="I413" t="s" s="2">
        <v>331</v>
      </c>
      <c r="J413" t="s" s="2">
        <v>22</v>
      </c>
      <c r="K413" t="s" s="2">
        <v>927</v>
      </c>
      <c r="L413" t="s" s="2">
        <v>928</v>
      </c>
      <c r="M413" s="5">
        <v>463973.12</v>
      </c>
      <c r="N413" s="5">
        <v>6190384.8</v>
      </c>
      <c r="O413" t="s" s="2">
        <v>305</v>
      </c>
      <c r="P413" s="5">
        <v>344246079</v>
      </c>
      <c r="Q413" t="s" s="2">
        <v>466</v>
      </c>
      <c r="R413" t="s" s="2">
        <f>_xlfn.IFERROR(INDEX('model_byCAP'!$D$2:$D$377,MATCH(Q413,'model_byCAP'!$A$2:$A$377,0)),0)</f>
        <v>467</v>
      </c>
    </row>
    <row r="414" ht="15.35" customHeight="1">
      <c r="A414" t="s" s="2">
        <v>930</v>
      </c>
      <c r="B414" s="4">
        <v>43092</v>
      </c>
      <c r="C414" s="5">
        <v>3600</v>
      </c>
      <c r="D414" s="5">
        <v>117</v>
      </c>
      <c r="E414" s="5">
        <v>91</v>
      </c>
      <c r="F414" t="s" s="2">
        <v>301</v>
      </c>
      <c r="G414" t="s" s="2">
        <v>462</v>
      </c>
      <c r="H414" s="5">
        <v>760</v>
      </c>
      <c r="I414" t="s" s="2">
        <v>331</v>
      </c>
      <c r="J414" t="s" s="2">
        <v>22</v>
      </c>
      <c r="K414" t="s" s="2">
        <v>927</v>
      </c>
      <c r="L414" t="s" s="2">
        <v>928</v>
      </c>
      <c r="M414" s="5">
        <v>464242.01</v>
      </c>
      <c r="N414" s="5">
        <v>6190157.01</v>
      </c>
      <c r="O414" t="s" s="2">
        <v>305</v>
      </c>
      <c r="P414" s="5">
        <v>344246080</v>
      </c>
      <c r="Q414" t="s" s="2">
        <v>466</v>
      </c>
      <c r="R414" t="s" s="2">
        <f>_xlfn.IFERROR(INDEX('model_byCAP'!$D$2:$D$377,MATCH(Q414,'model_byCAP'!$A$2:$A$377,0)),0)</f>
        <v>467</v>
      </c>
    </row>
    <row r="415" ht="15.35" customHeight="1">
      <c r="A415" t="s" s="2">
        <v>931</v>
      </c>
      <c r="B415" s="4">
        <v>43105</v>
      </c>
      <c r="C415" s="5">
        <v>3600</v>
      </c>
      <c r="D415" s="5">
        <v>117</v>
      </c>
      <c r="E415" s="5">
        <v>91</v>
      </c>
      <c r="F415" t="s" s="2">
        <v>301</v>
      </c>
      <c r="G415" t="s" s="2">
        <v>462</v>
      </c>
      <c r="H415" s="5">
        <v>760</v>
      </c>
      <c r="I415" t="s" s="2">
        <v>331</v>
      </c>
      <c r="J415" t="s" s="2">
        <v>22</v>
      </c>
      <c r="K415" t="s" s="2">
        <v>927</v>
      </c>
      <c r="L415" t="s" s="2">
        <v>928</v>
      </c>
      <c r="M415" s="5">
        <v>464510.17</v>
      </c>
      <c r="N415" s="5">
        <v>6189930.2</v>
      </c>
      <c r="O415" t="s" s="2">
        <v>305</v>
      </c>
      <c r="P415" s="5">
        <v>344246081</v>
      </c>
      <c r="Q415" t="s" s="2">
        <v>466</v>
      </c>
      <c r="R415" t="s" s="2">
        <f>_xlfn.IFERROR(INDEX('model_byCAP'!$D$2:$D$377,MATCH(Q415,'model_byCAP'!$A$2:$A$377,0)),0)</f>
        <v>467</v>
      </c>
    </row>
    <row r="416" ht="15.35" customHeight="1">
      <c r="A416" t="s" s="2">
        <v>932</v>
      </c>
      <c r="B416" s="4">
        <v>43100</v>
      </c>
      <c r="C416" s="5">
        <v>3600</v>
      </c>
      <c r="D416" s="5">
        <v>117</v>
      </c>
      <c r="E416" s="5">
        <v>91</v>
      </c>
      <c r="F416" t="s" s="2">
        <v>301</v>
      </c>
      <c r="G416" t="s" s="2">
        <v>462</v>
      </c>
      <c r="H416" s="5">
        <v>760</v>
      </c>
      <c r="I416" t="s" s="2">
        <v>331</v>
      </c>
      <c r="J416" t="s" s="2">
        <v>22</v>
      </c>
      <c r="K416" t="s" s="2">
        <v>933</v>
      </c>
      <c r="L416" s="5">
        <v>41</v>
      </c>
      <c r="M416" s="5">
        <v>464777.12</v>
      </c>
      <c r="N416" s="5">
        <v>6189704.77</v>
      </c>
      <c r="O416" t="s" s="2">
        <v>305</v>
      </c>
      <c r="P416" s="5">
        <v>344246082</v>
      </c>
      <c r="Q416" t="s" s="2">
        <v>466</v>
      </c>
      <c r="R416" t="s" s="2">
        <f>_xlfn.IFERROR(INDEX('model_byCAP'!$D$2:$D$377,MATCH(Q416,'model_byCAP'!$A$2:$A$377,0)),0)</f>
        <v>467</v>
      </c>
    </row>
    <row r="417" ht="15.35" customHeight="1">
      <c r="A417" t="s" s="2">
        <v>934</v>
      </c>
      <c r="B417" s="4">
        <v>43138</v>
      </c>
      <c r="C417" s="5">
        <v>3600</v>
      </c>
      <c r="D417" s="5">
        <v>117</v>
      </c>
      <c r="E417" s="5">
        <v>91</v>
      </c>
      <c r="F417" t="s" s="2">
        <v>301</v>
      </c>
      <c r="G417" t="s" s="2">
        <v>462</v>
      </c>
      <c r="H417" s="5">
        <v>760</v>
      </c>
      <c r="I417" t="s" s="2">
        <v>331</v>
      </c>
      <c r="J417" t="s" s="2">
        <v>22</v>
      </c>
      <c r="K417" t="s" s="2">
        <v>933</v>
      </c>
      <c r="L417" s="5">
        <v>43</v>
      </c>
      <c r="M417" s="5">
        <v>465046.01</v>
      </c>
      <c r="N417" s="5">
        <v>6189477.01</v>
      </c>
      <c r="O417" t="s" s="2">
        <v>305</v>
      </c>
      <c r="P417" s="5">
        <v>344246083</v>
      </c>
      <c r="Q417" t="s" s="2">
        <v>466</v>
      </c>
      <c r="R417" t="s" s="2">
        <f>_xlfn.IFERROR(INDEX('model_byCAP'!$D$2:$D$377,MATCH(Q417,'model_byCAP'!$A$2:$A$377,0)),0)</f>
        <v>467</v>
      </c>
    </row>
    <row r="418" ht="15.35" customHeight="1">
      <c r="A418" t="s" s="2">
        <v>935</v>
      </c>
      <c r="B418" s="4">
        <v>43139</v>
      </c>
      <c r="C418" s="5">
        <v>3600</v>
      </c>
      <c r="D418" s="5">
        <v>117</v>
      </c>
      <c r="E418" s="5">
        <v>91</v>
      </c>
      <c r="F418" t="s" s="2">
        <v>301</v>
      </c>
      <c r="G418" t="s" s="2">
        <v>462</v>
      </c>
      <c r="H418" s="5">
        <v>760</v>
      </c>
      <c r="I418" t="s" s="2">
        <v>331</v>
      </c>
      <c r="J418" t="s" s="2">
        <v>22</v>
      </c>
      <c r="K418" t="s" s="2">
        <v>933</v>
      </c>
      <c r="L418" s="5">
        <v>43</v>
      </c>
      <c r="M418" s="5">
        <v>464723.95</v>
      </c>
      <c r="N418" s="5">
        <v>6189203.23</v>
      </c>
      <c r="O418" t="s" s="2">
        <v>305</v>
      </c>
      <c r="P418" s="5">
        <v>344246084</v>
      </c>
      <c r="Q418" t="s" s="2">
        <v>466</v>
      </c>
      <c r="R418" t="s" s="2">
        <f>_xlfn.IFERROR(INDEX('model_byCAP'!$D$2:$D$377,MATCH(Q418,'model_byCAP'!$A$2:$A$377,0)),0)</f>
        <v>467</v>
      </c>
    </row>
    <row r="419" ht="15.35" customHeight="1">
      <c r="A419" t="s" s="2">
        <v>936</v>
      </c>
      <c r="B419" s="4">
        <v>43092</v>
      </c>
      <c r="C419" s="5">
        <v>3600</v>
      </c>
      <c r="D419" s="5">
        <v>117</v>
      </c>
      <c r="E419" s="5">
        <v>91</v>
      </c>
      <c r="F419" t="s" s="2">
        <v>301</v>
      </c>
      <c r="G419" t="s" s="2">
        <v>462</v>
      </c>
      <c r="H419" s="5">
        <v>760</v>
      </c>
      <c r="I419" t="s" s="2">
        <v>331</v>
      </c>
      <c r="J419" t="s" s="2">
        <v>22</v>
      </c>
      <c r="K419" t="s" s="2">
        <v>933</v>
      </c>
      <c r="L419" t="s" s="2">
        <v>937</v>
      </c>
      <c r="M419" s="5">
        <v>463067.76</v>
      </c>
      <c r="N419" s="5">
        <v>6190087.71</v>
      </c>
      <c r="O419" t="s" s="2">
        <v>305</v>
      </c>
      <c r="P419" s="5">
        <v>344246085</v>
      </c>
      <c r="Q419" t="s" s="2">
        <v>466</v>
      </c>
      <c r="R419" t="s" s="2">
        <f>_xlfn.IFERROR(INDEX('model_byCAP'!$D$2:$D$377,MATCH(Q419,'model_byCAP'!$A$2:$A$377,0)),0)</f>
        <v>467</v>
      </c>
    </row>
    <row r="420" ht="15.35" customHeight="1">
      <c r="A420" t="s" s="2">
        <v>938</v>
      </c>
      <c r="B420" s="4">
        <v>43099</v>
      </c>
      <c r="C420" s="5">
        <v>3600</v>
      </c>
      <c r="D420" s="5">
        <v>117</v>
      </c>
      <c r="E420" s="5">
        <v>91</v>
      </c>
      <c r="F420" t="s" s="2">
        <v>301</v>
      </c>
      <c r="G420" t="s" s="2">
        <v>462</v>
      </c>
      <c r="H420" s="5">
        <v>760</v>
      </c>
      <c r="I420" t="s" s="2">
        <v>331</v>
      </c>
      <c r="J420" t="s" s="2">
        <v>22</v>
      </c>
      <c r="K420" t="s" s="2">
        <v>933</v>
      </c>
      <c r="L420" t="s" s="2">
        <v>939</v>
      </c>
      <c r="M420" s="5">
        <v>463336.28</v>
      </c>
      <c r="N420" s="5">
        <v>6189860.66</v>
      </c>
      <c r="O420" t="s" s="2">
        <v>305</v>
      </c>
      <c r="P420" s="5">
        <v>344246086</v>
      </c>
      <c r="Q420" t="s" s="2">
        <v>466</v>
      </c>
      <c r="R420" t="s" s="2">
        <f>_xlfn.IFERROR(INDEX('model_byCAP'!$D$2:$D$377,MATCH(Q420,'model_byCAP'!$A$2:$A$377,0)),0)</f>
        <v>467</v>
      </c>
    </row>
    <row r="421" ht="15.35" customHeight="1">
      <c r="A421" t="s" s="2">
        <v>940</v>
      </c>
      <c r="B421" s="4">
        <v>43098</v>
      </c>
      <c r="C421" s="5">
        <v>3600</v>
      </c>
      <c r="D421" s="5">
        <v>117</v>
      </c>
      <c r="E421" s="5">
        <v>91</v>
      </c>
      <c r="F421" t="s" s="2">
        <v>301</v>
      </c>
      <c r="G421" t="s" s="2">
        <v>462</v>
      </c>
      <c r="H421" s="5">
        <v>760</v>
      </c>
      <c r="I421" t="s" s="2">
        <v>331</v>
      </c>
      <c r="J421" t="s" s="2">
        <v>22</v>
      </c>
      <c r="K421" t="s" s="2">
        <v>933</v>
      </c>
      <c r="L421" t="s" s="2">
        <v>941</v>
      </c>
      <c r="M421" s="5">
        <v>463605.65</v>
      </c>
      <c r="N421" s="5">
        <v>6189629.37</v>
      </c>
      <c r="O421" t="s" s="2">
        <v>305</v>
      </c>
      <c r="P421" s="5">
        <v>344246087</v>
      </c>
      <c r="Q421" t="s" s="2">
        <v>466</v>
      </c>
      <c r="R421" t="s" s="2">
        <f>_xlfn.IFERROR(INDEX('model_byCAP'!$D$2:$D$377,MATCH(Q421,'model_byCAP'!$A$2:$A$377,0)),0)</f>
        <v>467</v>
      </c>
    </row>
    <row r="422" ht="15.35" customHeight="1">
      <c r="A422" t="s" s="2">
        <v>942</v>
      </c>
      <c r="B422" s="4">
        <v>43138</v>
      </c>
      <c r="C422" s="5">
        <v>3600</v>
      </c>
      <c r="D422" s="5">
        <v>117</v>
      </c>
      <c r="E422" s="5">
        <v>91</v>
      </c>
      <c r="F422" t="s" s="2">
        <v>301</v>
      </c>
      <c r="G422" t="s" s="2">
        <v>462</v>
      </c>
      <c r="H422" s="5">
        <v>760</v>
      </c>
      <c r="I422" t="s" s="2">
        <v>331</v>
      </c>
      <c r="J422" t="s" s="2">
        <v>22</v>
      </c>
      <c r="K422" t="s" s="2">
        <v>933</v>
      </c>
      <c r="L422" s="5">
        <v>39</v>
      </c>
      <c r="M422" s="5">
        <v>463876.43</v>
      </c>
      <c r="N422" s="5">
        <v>6189404.13</v>
      </c>
      <c r="O422" t="s" s="2">
        <v>305</v>
      </c>
      <c r="P422" s="5">
        <v>344246088</v>
      </c>
      <c r="Q422" t="s" s="2">
        <v>466</v>
      </c>
      <c r="R422" t="s" s="2">
        <f>_xlfn.IFERROR(INDEX('model_byCAP'!$D$2:$D$377,MATCH(Q422,'model_byCAP'!$A$2:$A$377,0)),0)</f>
        <v>467</v>
      </c>
    </row>
    <row r="423" ht="15.35" customHeight="1">
      <c r="A423" t="s" s="2">
        <v>943</v>
      </c>
      <c r="B423" s="4">
        <v>43138</v>
      </c>
      <c r="C423" s="5">
        <v>3600</v>
      </c>
      <c r="D423" s="5">
        <v>117</v>
      </c>
      <c r="E423" s="5">
        <v>91</v>
      </c>
      <c r="F423" t="s" s="2">
        <v>301</v>
      </c>
      <c r="G423" t="s" s="2">
        <v>462</v>
      </c>
      <c r="H423" s="5">
        <v>760</v>
      </c>
      <c r="I423" t="s" s="2">
        <v>331</v>
      </c>
      <c r="J423" t="s" s="2">
        <v>22</v>
      </c>
      <c r="K423" t="s" s="2">
        <v>933</v>
      </c>
      <c r="L423" s="5">
        <v>39</v>
      </c>
      <c r="M423" s="5">
        <v>464146.98</v>
      </c>
      <c r="N423" s="5">
        <v>6189174.97</v>
      </c>
      <c r="O423" t="s" s="2">
        <v>305</v>
      </c>
      <c r="P423" s="5">
        <v>344246089</v>
      </c>
      <c r="Q423" t="s" s="2">
        <v>466</v>
      </c>
      <c r="R423" t="s" s="2">
        <f>_xlfn.IFERROR(INDEX('model_byCAP'!$D$2:$D$377,MATCH(Q423,'model_byCAP'!$A$2:$A$377,0)),0)</f>
        <v>467</v>
      </c>
    </row>
    <row r="424" ht="15.35" customHeight="1">
      <c r="A424" t="s" s="2">
        <v>944</v>
      </c>
      <c r="B424" s="4">
        <v>43138</v>
      </c>
      <c r="C424" s="5">
        <v>3600</v>
      </c>
      <c r="D424" s="5">
        <v>117</v>
      </c>
      <c r="E424" s="5">
        <v>91</v>
      </c>
      <c r="F424" t="s" s="2">
        <v>301</v>
      </c>
      <c r="G424" t="s" s="2">
        <v>462</v>
      </c>
      <c r="H424" s="5">
        <v>760</v>
      </c>
      <c r="I424" t="s" s="2">
        <v>331</v>
      </c>
      <c r="J424" t="s" s="2">
        <v>22</v>
      </c>
      <c r="K424" t="s" s="2">
        <v>933</v>
      </c>
      <c r="L424" s="5">
        <v>42</v>
      </c>
      <c r="M424" s="5">
        <v>464417.65</v>
      </c>
      <c r="N424" s="5">
        <v>6188946.05</v>
      </c>
      <c r="O424" t="s" s="2">
        <v>305</v>
      </c>
      <c r="P424" s="5">
        <v>344246090</v>
      </c>
      <c r="Q424" t="s" s="2">
        <v>466</v>
      </c>
      <c r="R424" t="s" s="2">
        <f>_xlfn.IFERROR(INDEX('model_byCAP'!$D$2:$D$377,MATCH(Q424,'model_byCAP'!$A$2:$A$377,0)),0)</f>
        <v>467</v>
      </c>
    </row>
    <row r="425" ht="15.35" customHeight="1">
      <c r="A425" t="s" s="2">
        <v>945</v>
      </c>
      <c r="B425" s="4">
        <v>42689</v>
      </c>
      <c r="C425" s="5">
        <v>3600</v>
      </c>
      <c r="D425" s="5">
        <v>117</v>
      </c>
      <c r="E425" s="5">
        <v>91.5</v>
      </c>
      <c r="F425" t="s" s="2">
        <v>301</v>
      </c>
      <c r="G425" t="s" s="2">
        <v>462</v>
      </c>
      <c r="H425" s="5">
        <v>760</v>
      </c>
      <c r="I425" t="s" s="2">
        <v>331</v>
      </c>
      <c r="J425" t="s" s="2">
        <v>22</v>
      </c>
      <c r="K425" t="s" s="2">
        <v>946</v>
      </c>
      <c r="L425" t="s" s="2">
        <v>947</v>
      </c>
      <c r="M425" s="5">
        <v>459536</v>
      </c>
      <c r="N425" s="5">
        <v>6211035.2</v>
      </c>
      <c r="O425" t="s" s="2">
        <v>305</v>
      </c>
      <c r="P425" s="5">
        <v>85181</v>
      </c>
      <c r="Q425" t="s" s="2">
        <v>466</v>
      </c>
      <c r="R425" t="s" s="2">
        <f>_xlfn.IFERROR(INDEX('model_byCAP'!$D$2:$D$377,MATCH(Q425,'model_byCAP'!$A$2:$A$377,0)),0)</f>
        <v>467</v>
      </c>
    </row>
    <row r="426" ht="15.35" customHeight="1">
      <c r="A426" t="s" s="2">
        <v>948</v>
      </c>
      <c r="B426" s="4">
        <v>40140</v>
      </c>
      <c r="C426" s="5">
        <v>3600</v>
      </c>
      <c r="D426" s="5">
        <v>120</v>
      </c>
      <c r="E426" s="5">
        <v>90</v>
      </c>
      <c r="F426" t="s" s="2">
        <v>19</v>
      </c>
      <c r="G426" t="s" s="2">
        <v>587</v>
      </c>
      <c r="H426" s="5">
        <v>167</v>
      </c>
      <c r="I426" t="s" s="2">
        <v>949</v>
      </c>
      <c r="J426" t="s" s="2">
        <v>47</v>
      </c>
      <c r="K426" t="s" s="2">
        <v>950</v>
      </c>
      <c r="L426" t="s" s="2">
        <v>618</v>
      </c>
      <c r="M426" s="5">
        <v>718024.27</v>
      </c>
      <c r="N426" s="5">
        <v>6167250.07</v>
      </c>
      <c r="O426" t="s" s="2">
        <v>305</v>
      </c>
      <c r="P426" s="5">
        <v>0</v>
      </c>
      <c r="Q426" t="s" s="2">
        <v>590</v>
      </c>
      <c r="R426" t="s" s="2">
        <f>_xlfn.IFERROR(INDEX('model_byCAP'!$D$2:$D$377,MATCH(Q426,'model_byCAP'!$A$2:$A$377,0)),0)</f>
        <v>566</v>
      </c>
    </row>
    <row r="427" ht="15.35" customHeight="1">
      <c r="A427" t="s" s="2">
        <v>951</v>
      </c>
      <c r="B427" s="4">
        <v>40140</v>
      </c>
      <c r="C427" s="5">
        <v>3600</v>
      </c>
      <c r="D427" s="5">
        <v>120</v>
      </c>
      <c r="E427" s="5">
        <v>90</v>
      </c>
      <c r="F427" t="s" s="2">
        <v>19</v>
      </c>
      <c r="G427" t="s" s="2">
        <v>587</v>
      </c>
      <c r="H427" s="5">
        <v>167</v>
      </c>
      <c r="I427" t="s" s="2">
        <v>949</v>
      </c>
      <c r="J427" t="s" s="2">
        <v>47</v>
      </c>
      <c r="K427" t="s" s="2">
        <v>950</v>
      </c>
      <c r="L427" t="s" s="2">
        <v>618</v>
      </c>
      <c r="M427" s="5">
        <v>718483.42</v>
      </c>
      <c r="N427" s="5">
        <v>6167213.49</v>
      </c>
      <c r="O427" t="s" s="2">
        <v>305</v>
      </c>
      <c r="P427" s="5">
        <v>0</v>
      </c>
      <c r="Q427" t="s" s="2">
        <v>590</v>
      </c>
      <c r="R427" t="s" s="2">
        <f>_xlfn.IFERROR(INDEX('model_byCAP'!$D$2:$D$377,MATCH(Q427,'model_byCAP'!$A$2:$A$377,0)),0)</f>
        <v>566</v>
      </c>
    </row>
    <row r="428" ht="15.35" customHeight="1">
      <c r="A428" t="s" s="2">
        <v>952</v>
      </c>
      <c r="B428" s="4">
        <v>40812</v>
      </c>
      <c r="C428" s="5">
        <v>3600</v>
      </c>
      <c r="D428" s="5">
        <v>120</v>
      </c>
      <c r="E428" s="5">
        <v>90</v>
      </c>
      <c r="F428" t="s" s="2">
        <v>19</v>
      </c>
      <c r="G428" t="s" s="2">
        <v>615</v>
      </c>
      <c r="H428" s="5">
        <v>167</v>
      </c>
      <c r="I428" t="s" s="2">
        <v>949</v>
      </c>
      <c r="J428" t="s" s="2">
        <v>47</v>
      </c>
      <c r="K428" t="s" s="2">
        <v>953</v>
      </c>
      <c r="L428" t="s" s="2">
        <v>618</v>
      </c>
      <c r="M428" s="5">
        <v>717580.46</v>
      </c>
      <c r="N428" s="5">
        <v>6167277.38</v>
      </c>
      <c r="O428" t="s" s="2">
        <v>305</v>
      </c>
      <c r="P428" s="7">
        <v>5.71e+17</v>
      </c>
      <c r="Q428" t="s" s="2">
        <v>620</v>
      </c>
      <c r="R428" t="s" s="2">
        <f>_xlfn.IFERROR(INDEX('model_byCAP'!$D$2:$D$377,MATCH(Q428,'model_byCAP'!$A$2:$A$377,0)),0)</f>
        <v>621</v>
      </c>
    </row>
    <row r="429" ht="15.35" customHeight="1">
      <c r="A429" t="s" s="2">
        <v>954</v>
      </c>
      <c r="B429" s="4">
        <v>43116</v>
      </c>
      <c r="C429" s="5">
        <v>3600</v>
      </c>
      <c r="D429" s="5">
        <v>126</v>
      </c>
      <c r="E429" s="5">
        <v>87</v>
      </c>
      <c r="F429" t="s" s="2">
        <v>301</v>
      </c>
      <c r="G429" t="s" s="2">
        <v>603</v>
      </c>
      <c r="H429" s="5">
        <v>787</v>
      </c>
      <c r="I429" t="s" s="2">
        <v>21</v>
      </c>
      <c r="J429" t="s" s="2">
        <v>22</v>
      </c>
      <c r="K429" t="s" s="2">
        <v>955</v>
      </c>
      <c r="L429" t="s" s="2">
        <v>956</v>
      </c>
      <c r="M429" s="5">
        <v>476833.4</v>
      </c>
      <c r="N429" s="5">
        <v>6331388.19</v>
      </c>
      <c r="O429" t="s" s="2">
        <v>305</v>
      </c>
      <c r="P429" s="5">
        <v>3809001</v>
      </c>
      <c r="Q429" t="s" s="2">
        <v>606</v>
      </c>
      <c r="R429" t="s" s="2">
        <f>_xlfn.IFERROR(INDEX('model_byCAP'!$D$2:$D$377,MATCH(Q429,'model_byCAP'!$A$2:$A$377,0)),0)</f>
        <v>513</v>
      </c>
    </row>
    <row r="430" ht="15.35" customHeight="1">
      <c r="A430" t="s" s="2">
        <v>957</v>
      </c>
      <c r="B430" s="4">
        <v>43099</v>
      </c>
      <c r="C430" s="5">
        <v>3600</v>
      </c>
      <c r="D430" s="5">
        <v>126</v>
      </c>
      <c r="E430" s="5">
        <v>87</v>
      </c>
      <c r="F430" t="s" s="2">
        <v>301</v>
      </c>
      <c r="G430" t="s" s="2">
        <v>603</v>
      </c>
      <c r="H430" s="5">
        <v>787</v>
      </c>
      <c r="I430" t="s" s="2">
        <v>21</v>
      </c>
      <c r="J430" t="s" s="2">
        <v>22</v>
      </c>
      <c r="K430" t="s" s="2">
        <v>955</v>
      </c>
      <c r="L430" t="s" s="2">
        <v>956</v>
      </c>
      <c r="M430" s="5">
        <v>477326.379</v>
      </c>
      <c r="N430" s="5">
        <v>6331226.074</v>
      </c>
      <c r="O430" t="s" s="2">
        <v>25</v>
      </c>
      <c r="P430" s="5">
        <v>3809002</v>
      </c>
      <c r="Q430" t="s" s="2">
        <v>606</v>
      </c>
      <c r="R430" t="s" s="2">
        <f>_xlfn.IFERROR(INDEX('model_byCAP'!$D$2:$D$377,MATCH(Q430,'model_byCAP'!$A$2:$A$377,0)),0)</f>
        <v>513</v>
      </c>
    </row>
    <row r="431" ht="15.35" customHeight="1">
      <c r="A431" t="s" s="2">
        <v>958</v>
      </c>
      <c r="B431" s="4">
        <v>43098</v>
      </c>
      <c r="C431" s="5">
        <v>3600</v>
      </c>
      <c r="D431" s="5">
        <v>126</v>
      </c>
      <c r="E431" s="5">
        <v>87</v>
      </c>
      <c r="F431" t="s" s="2">
        <v>301</v>
      </c>
      <c r="G431" t="s" s="2">
        <v>603</v>
      </c>
      <c r="H431" s="5">
        <v>787</v>
      </c>
      <c r="I431" t="s" s="2">
        <v>21</v>
      </c>
      <c r="J431" t="s" s="2">
        <v>22</v>
      </c>
      <c r="K431" t="s" s="2">
        <v>955</v>
      </c>
      <c r="L431" t="s" s="2">
        <v>956</v>
      </c>
      <c r="M431" s="5">
        <v>477921.24</v>
      </c>
      <c r="N431" s="5">
        <v>6330981.59</v>
      </c>
      <c r="O431" t="s" s="2">
        <v>305</v>
      </c>
      <c r="P431" s="5">
        <v>3809003</v>
      </c>
      <c r="Q431" t="s" s="2">
        <v>606</v>
      </c>
      <c r="R431" t="s" s="2">
        <f>_xlfn.IFERROR(INDEX('model_byCAP'!$D$2:$D$377,MATCH(Q431,'model_byCAP'!$A$2:$A$377,0)),0)</f>
        <v>513</v>
      </c>
    </row>
    <row r="432" ht="15.35" customHeight="1">
      <c r="A432" t="s" s="2">
        <v>959</v>
      </c>
      <c r="B432" s="4">
        <v>44214</v>
      </c>
      <c r="C432" s="5">
        <v>3600</v>
      </c>
      <c r="D432" s="5">
        <v>117</v>
      </c>
      <c r="E432" s="5">
        <v>91.5</v>
      </c>
      <c r="F432" t="s" s="2">
        <v>301</v>
      </c>
      <c r="G432" t="s" s="2">
        <v>462</v>
      </c>
      <c r="H432" s="5">
        <v>787</v>
      </c>
      <c r="I432" t="s" s="2">
        <v>21</v>
      </c>
      <c r="J432" t="s" s="2">
        <v>22</v>
      </c>
      <c r="K432" t="s" s="2">
        <v>960</v>
      </c>
      <c r="L432" s="5">
        <v>11</v>
      </c>
      <c r="M432" s="5">
        <v>485024.22</v>
      </c>
      <c r="N432" s="5">
        <v>6320313.57</v>
      </c>
      <c r="O432" t="s" s="2">
        <v>25</v>
      </c>
      <c r="P432" s="6"/>
      <c r="Q432" t="s" s="2">
        <v>466</v>
      </c>
      <c r="R432" t="s" s="2">
        <f>_xlfn.IFERROR(INDEX('model_byCAP'!$D$2:$D$377,MATCH(Q432,'model_byCAP'!$A$2:$A$377,0)),0)</f>
        <v>467</v>
      </c>
    </row>
    <row r="433" ht="15.35" customHeight="1">
      <c r="A433" t="s" s="2">
        <v>961</v>
      </c>
      <c r="B433" s="4">
        <v>44215</v>
      </c>
      <c r="C433" s="5">
        <v>3600</v>
      </c>
      <c r="D433" s="5">
        <v>117</v>
      </c>
      <c r="E433" s="5">
        <v>91.5</v>
      </c>
      <c r="F433" t="s" s="2">
        <v>301</v>
      </c>
      <c r="G433" t="s" s="2">
        <v>462</v>
      </c>
      <c r="H433" s="5">
        <v>787</v>
      </c>
      <c r="I433" t="s" s="2">
        <v>21</v>
      </c>
      <c r="J433" t="s" s="2">
        <v>22</v>
      </c>
      <c r="K433" t="s" s="2">
        <v>960</v>
      </c>
      <c r="L433" t="s" s="2">
        <v>962</v>
      </c>
      <c r="M433" s="5">
        <v>485312.408</v>
      </c>
      <c r="N433" s="5">
        <v>6320276.93</v>
      </c>
      <c r="O433" t="s" s="2">
        <v>25</v>
      </c>
      <c r="P433" s="6"/>
      <c r="Q433" t="s" s="2">
        <v>466</v>
      </c>
      <c r="R433" t="s" s="2">
        <f>_xlfn.IFERROR(INDEX('model_byCAP'!$D$2:$D$377,MATCH(Q433,'model_byCAP'!$A$2:$A$377,0)),0)</f>
        <v>467</v>
      </c>
    </row>
    <row r="434" ht="15.35" customHeight="1">
      <c r="A434" t="s" s="2">
        <v>963</v>
      </c>
      <c r="B434" s="4">
        <v>44214</v>
      </c>
      <c r="C434" s="5">
        <v>3600</v>
      </c>
      <c r="D434" s="5">
        <v>117</v>
      </c>
      <c r="E434" s="5">
        <v>91.5</v>
      </c>
      <c r="F434" t="s" s="2">
        <v>301</v>
      </c>
      <c r="G434" t="s" s="2">
        <v>462</v>
      </c>
      <c r="H434" s="5">
        <v>787</v>
      </c>
      <c r="I434" t="s" s="2">
        <v>21</v>
      </c>
      <c r="J434" t="s" s="2">
        <v>22</v>
      </c>
      <c r="K434" t="s" s="2">
        <v>964</v>
      </c>
      <c r="L434" s="5">
        <v>4</v>
      </c>
      <c r="M434" s="5">
        <v>485600.596</v>
      </c>
      <c r="N434" s="5">
        <v>6320240.415</v>
      </c>
      <c r="O434" t="s" s="2">
        <v>25</v>
      </c>
      <c r="P434" s="6"/>
      <c r="Q434" t="s" s="2">
        <v>466</v>
      </c>
      <c r="R434" t="s" s="2">
        <f>_xlfn.IFERROR(INDEX('model_byCAP'!$D$2:$D$377,MATCH(Q434,'model_byCAP'!$A$2:$A$377,0)),0)</f>
        <v>467</v>
      </c>
    </row>
    <row r="435" ht="15.35" customHeight="1">
      <c r="A435" t="s" s="2">
        <v>965</v>
      </c>
      <c r="B435" s="4">
        <v>44214</v>
      </c>
      <c r="C435" s="5">
        <v>3600</v>
      </c>
      <c r="D435" s="5">
        <v>117</v>
      </c>
      <c r="E435" s="5">
        <v>91.5</v>
      </c>
      <c r="F435" t="s" s="2">
        <v>301</v>
      </c>
      <c r="G435" t="s" s="2">
        <v>462</v>
      </c>
      <c r="H435" s="5">
        <v>787</v>
      </c>
      <c r="I435" t="s" s="2">
        <v>21</v>
      </c>
      <c r="J435" t="s" s="2">
        <v>22</v>
      </c>
      <c r="K435" t="s" s="2">
        <v>964</v>
      </c>
      <c r="L435" s="5">
        <v>4</v>
      </c>
      <c r="M435" s="5">
        <v>485888.784</v>
      </c>
      <c r="N435" s="5">
        <v>6320203.837</v>
      </c>
      <c r="O435" t="s" s="2">
        <v>25</v>
      </c>
      <c r="P435" s="6"/>
      <c r="Q435" t="s" s="2">
        <v>466</v>
      </c>
      <c r="R435" t="s" s="2">
        <f>_xlfn.IFERROR(INDEX('model_byCAP'!$D$2:$D$377,MATCH(Q435,'model_byCAP'!$A$2:$A$377,0)),0)</f>
        <v>467</v>
      </c>
    </row>
    <row r="436" ht="15.35" customHeight="1">
      <c r="A436" t="s" s="2">
        <v>966</v>
      </c>
      <c r="B436" s="4">
        <v>44216</v>
      </c>
      <c r="C436" s="5">
        <v>3600</v>
      </c>
      <c r="D436" s="5">
        <v>117</v>
      </c>
      <c r="E436" s="5">
        <v>91.5</v>
      </c>
      <c r="F436" t="s" s="2">
        <v>301</v>
      </c>
      <c r="G436" t="s" s="2">
        <v>462</v>
      </c>
      <c r="H436" s="5">
        <v>787</v>
      </c>
      <c r="I436" t="s" s="2">
        <v>21</v>
      </c>
      <c r="J436" t="s" s="2">
        <v>22</v>
      </c>
      <c r="K436" t="s" s="2">
        <v>967</v>
      </c>
      <c r="L436" t="s" s="2">
        <v>887</v>
      </c>
      <c r="M436" s="5">
        <v>484632.716</v>
      </c>
      <c r="N436" s="5">
        <v>6319938.632</v>
      </c>
      <c r="O436" t="s" s="2">
        <v>25</v>
      </c>
      <c r="P436" s="6"/>
      <c r="Q436" t="s" s="2">
        <v>466</v>
      </c>
      <c r="R436" t="s" s="2">
        <f>_xlfn.IFERROR(INDEX('model_byCAP'!$D$2:$D$377,MATCH(Q436,'model_byCAP'!$A$2:$A$377,0)),0)</f>
        <v>467</v>
      </c>
    </row>
    <row r="437" ht="15.35" customHeight="1">
      <c r="A437" t="s" s="2">
        <v>968</v>
      </c>
      <c r="B437" s="4">
        <v>44216</v>
      </c>
      <c r="C437" s="5">
        <v>3600</v>
      </c>
      <c r="D437" s="5">
        <v>117</v>
      </c>
      <c r="E437" s="5">
        <v>91.5</v>
      </c>
      <c r="F437" t="s" s="2">
        <v>301</v>
      </c>
      <c r="G437" t="s" s="2">
        <v>462</v>
      </c>
      <c r="H437" s="5">
        <v>787</v>
      </c>
      <c r="I437" t="s" s="2">
        <v>21</v>
      </c>
      <c r="J437" t="s" s="2">
        <v>22</v>
      </c>
      <c r="K437" t="s" s="2">
        <v>960</v>
      </c>
      <c r="L437" t="s" s="2">
        <v>969</v>
      </c>
      <c r="M437" s="5">
        <v>484920.904</v>
      </c>
      <c r="N437" s="5">
        <v>6319902.054</v>
      </c>
      <c r="O437" t="s" s="2">
        <v>25</v>
      </c>
      <c r="P437" s="6"/>
      <c r="Q437" t="s" s="2">
        <v>466</v>
      </c>
      <c r="R437" t="s" s="2">
        <f>_xlfn.IFERROR(INDEX('model_byCAP'!$D$2:$D$377,MATCH(Q437,'model_byCAP'!$A$2:$A$377,0)),0)</f>
        <v>467</v>
      </c>
    </row>
    <row r="438" ht="15.35" customHeight="1">
      <c r="A438" t="s" s="2">
        <v>970</v>
      </c>
      <c r="B438" s="4">
        <v>44215</v>
      </c>
      <c r="C438" s="5">
        <v>3600</v>
      </c>
      <c r="D438" s="5">
        <v>117</v>
      </c>
      <c r="E438" s="5">
        <v>91.5</v>
      </c>
      <c r="F438" t="s" s="2">
        <v>301</v>
      </c>
      <c r="G438" t="s" s="2">
        <v>462</v>
      </c>
      <c r="H438" s="5">
        <v>787</v>
      </c>
      <c r="I438" t="s" s="2">
        <v>21</v>
      </c>
      <c r="J438" t="s" s="2">
        <v>22</v>
      </c>
      <c r="K438" t="s" s="2">
        <v>960</v>
      </c>
      <c r="L438" t="s" s="2">
        <v>518</v>
      </c>
      <c r="M438" s="5">
        <v>485209.092</v>
      </c>
      <c r="N438" s="5">
        <v>6319865.476</v>
      </c>
      <c r="O438" t="s" s="2">
        <v>25</v>
      </c>
      <c r="P438" s="6"/>
      <c r="Q438" t="s" s="2">
        <v>466</v>
      </c>
      <c r="R438" t="s" s="2">
        <f>_xlfn.IFERROR(INDEX('model_byCAP'!$D$2:$D$377,MATCH(Q438,'model_byCAP'!$A$2:$A$377,0)),0)</f>
        <v>467</v>
      </c>
    </row>
    <row r="439" ht="15.35" customHeight="1">
      <c r="A439" t="s" s="2">
        <v>971</v>
      </c>
      <c r="B439" s="4">
        <v>44216</v>
      </c>
      <c r="C439" s="5">
        <v>3600</v>
      </c>
      <c r="D439" s="5">
        <v>117</v>
      </c>
      <c r="E439" s="5">
        <v>91.5</v>
      </c>
      <c r="F439" t="s" s="2">
        <v>301</v>
      </c>
      <c r="G439" t="s" s="2">
        <v>462</v>
      </c>
      <c r="H439" s="5">
        <v>787</v>
      </c>
      <c r="I439" t="s" s="2">
        <v>21</v>
      </c>
      <c r="J439" t="s" s="2">
        <v>22</v>
      </c>
      <c r="K439" t="s" s="2">
        <v>964</v>
      </c>
      <c r="L439" t="s" s="2">
        <v>543</v>
      </c>
      <c r="M439" s="5">
        <v>485497.28</v>
      </c>
      <c r="N439" s="5">
        <v>6319828.899</v>
      </c>
      <c r="O439" t="s" s="2">
        <v>25</v>
      </c>
      <c r="P439" s="6"/>
      <c r="Q439" t="s" s="2">
        <v>466</v>
      </c>
      <c r="R439" t="s" s="2">
        <f>_xlfn.IFERROR(INDEX('model_byCAP'!$D$2:$D$377,MATCH(Q439,'model_byCAP'!$A$2:$A$377,0)),0)</f>
        <v>467</v>
      </c>
    </row>
    <row r="440" ht="15.35" customHeight="1">
      <c r="A440" t="s" s="2">
        <v>972</v>
      </c>
      <c r="B440" s="4">
        <v>40367</v>
      </c>
      <c r="C440" s="5">
        <v>3600</v>
      </c>
      <c r="D440" s="5">
        <v>120</v>
      </c>
      <c r="E440" s="5">
        <v>90</v>
      </c>
      <c r="F440" t="s" s="2">
        <v>19</v>
      </c>
      <c r="G440" t="s" s="2">
        <v>615</v>
      </c>
      <c r="H440" s="5">
        <v>840</v>
      </c>
      <c r="I440" t="s" s="2">
        <v>973</v>
      </c>
      <c r="J440" t="s" s="2">
        <v>22</v>
      </c>
      <c r="K440" t="s" s="2">
        <v>974</v>
      </c>
      <c r="L440" t="s" s="2">
        <v>937</v>
      </c>
      <c r="M440" s="5">
        <v>537477.02</v>
      </c>
      <c r="N440" s="5">
        <v>6291210.53</v>
      </c>
      <c r="O440" t="s" s="2">
        <v>305</v>
      </c>
      <c r="P440" s="5">
        <v>541</v>
      </c>
      <c r="Q440" t="s" s="2">
        <v>620</v>
      </c>
      <c r="R440" t="s" s="2">
        <f>_xlfn.IFERROR(INDEX('model_byCAP'!$D$2:$D$377,MATCH(Q440,'model_byCAP'!$A$2:$A$377,0)),0)</f>
        <v>621</v>
      </c>
    </row>
    <row r="441" ht="15.35" customHeight="1">
      <c r="A441" t="s" s="2">
        <v>975</v>
      </c>
      <c r="B441" s="4">
        <v>40367</v>
      </c>
      <c r="C441" s="5">
        <v>3600</v>
      </c>
      <c r="D441" s="5">
        <v>120</v>
      </c>
      <c r="E441" s="5">
        <v>90</v>
      </c>
      <c r="F441" t="s" s="2">
        <v>19</v>
      </c>
      <c r="G441" t="s" s="2">
        <v>615</v>
      </c>
      <c r="H441" s="5">
        <v>840</v>
      </c>
      <c r="I441" t="s" s="2">
        <v>973</v>
      </c>
      <c r="J441" t="s" s="2">
        <v>22</v>
      </c>
      <c r="K441" t="s" s="2">
        <v>974</v>
      </c>
      <c r="L441" t="s" s="2">
        <v>937</v>
      </c>
      <c r="M441" s="5">
        <v>537505.5699999999</v>
      </c>
      <c r="N441" s="5">
        <v>6291547.88</v>
      </c>
      <c r="O441" t="s" s="2">
        <v>305</v>
      </c>
      <c r="P441" s="5">
        <v>542</v>
      </c>
      <c r="Q441" t="s" s="2">
        <v>620</v>
      </c>
      <c r="R441" t="s" s="2">
        <f>_xlfn.IFERROR(INDEX('model_byCAP'!$D$2:$D$377,MATCH(Q441,'model_byCAP'!$A$2:$A$377,0)),0)</f>
        <v>621</v>
      </c>
    </row>
    <row r="442" ht="15.35" customHeight="1">
      <c r="A442" t="s" s="2">
        <v>976</v>
      </c>
      <c r="B442" s="4">
        <v>40367</v>
      </c>
      <c r="C442" s="5">
        <v>3600</v>
      </c>
      <c r="D442" s="5">
        <v>120</v>
      </c>
      <c r="E442" s="5">
        <v>90</v>
      </c>
      <c r="F442" t="s" s="2">
        <v>19</v>
      </c>
      <c r="G442" t="s" s="2">
        <v>615</v>
      </c>
      <c r="H442" s="5">
        <v>840</v>
      </c>
      <c r="I442" t="s" s="2">
        <v>973</v>
      </c>
      <c r="J442" t="s" s="2">
        <v>22</v>
      </c>
      <c r="K442" t="s" s="2">
        <v>974</v>
      </c>
      <c r="L442" s="5">
        <v>15</v>
      </c>
      <c r="M442" s="5">
        <v>537533.8100000001</v>
      </c>
      <c r="N442" s="5">
        <v>6291884.44</v>
      </c>
      <c r="O442" t="s" s="2">
        <v>305</v>
      </c>
      <c r="P442" s="5">
        <v>543</v>
      </c>
      <c r="Q442" t="s" s="2">
        <v>620</v>
      </c>
      <c r="R442" t="s" s="2">
        <f>_xlfn.IFERROR(INDEX('model_byCAP'!$D$2:$D$377,MATCH(Q442,'model_byCAP'!$A$2:$A$377,0)),0)</f>
        <v>621</v>
      </c>
    </row>
    <row r="443" ht="15.35" customHeight="1">
      <c r="A443" t="s" s="2">
        <v>977</v>
      </c>
      <c r="B443" s="4">
        <v>40819</v>
      </c>
      <c r="C443" s="5">
        <v>3600</v>
      </c>
      <c r="D443" s="5">
        <v>120</v>
      </c>
      <c r="E443" s="5">
        <v>90</v>
      </c>
      <c r="F443" t="s" s="2">
        <v>19</v>
      </c>
      <c r="G443" t="s" s="2">
        <v>615</v>
      </c>
      <c r="H443" s="5">
        <v>840</v>
      </c>
      <c r="I443" t="s" s="2">
        <v>973</v>
      </c>
      <c r="J443" t="s" s="2">
        <v>22</v>
      </c>
      <c r="K443" t="s" s="2">
        <v>978</v>
      </c>
      <c r="L443" t="s" s="2">
        <v>979</v>
      </c>
      <c r="M443" s="5">
        <v>537587.83</v>
      </c>
      <c r="N443" s="5">
        <v>6292556.44</v>
      </c>
      <c r="O443" t="s" s="2">
        <v>305</v>
      </c>
      <c r="P443" s="5">
        <v>556</v>
      </c>
      <c r="Q443" t="s" s="2">
        <v>620</v>
      </c>
      <c r="R443" t="s" s="2">
        <f>_xlfn.IFERROR(INDEX('model_byCAP'!$D$2:$D$377,MATCH(Q443,'model_byCAP'!$A$2:$A$377,0)),0)</f>
        <v>621</v>
      </c>
    </row>
    <row r="444" ht="15.35" customHeight="1">
      <c r="A444" t="s" s="2">
        <v>980</v>
      </c>
      <c r="B444" s="4">
        <v>40833</v>
      </c>
      <c r="C444" s="5">
        <v>3600</v>
      </c>
      <c r="D444" s="5">
        <v>120</v>
      </c>
      <c r="E444" s="5">
        <v>90</v>
      </c>
      <c r="F444" t="s" s="2">
        <v>19</v>
      </c>
      <c r="G444" t="s" s="2">
        <v>615</v>
      </c>
      <c r="H444" s="5">
        <v>840</v>
      </c>
      <c r="I444" t="s" s="2">
        <v>973</v>
      </c>
      <c r="J444" t="s" s="2">
        <v>22</v>
      </c>
      <c r="K444" t="s" s="2">
        <v>978</v>
      </c>
      <c r="L444" t="s" s="2">
        <v>979</v>
      </c>
      <c r="M444" s="5">
        <v>537561.95</v>
      </c>
      <c r="N444" s="5">
        <v>6292221.56</v>
      </c>
      <c r="O444" t="s" s="2">
        <v>305</v>
      </c>
      <c r="P444" s="5">
        <v>557</v>
      </c>
      <c r="Q444" t="s" s="2">
        <v>620</v>
      </c>
      <c r="R444" t="s" s="2">
        <f>_xlfn.IFERROR(INDEX('model_byCAP'!$D$2:$D$377,MATCH(Q444,'model_byCAP'!$A$2:$A$377,0)),0)</f>
        <v>621</v>
      </c>
    </row>
    <row r="445" ht="15.35" customHeight="1">
      <c r="A445" t="s" s="2">
        <v>981</v>
      </c>
      <c r="B445" s="4">
        <v>43091</v>
      </c>
      <c r="C445" s="5">
        <v>3600</v>
      </c>
      <c r="D445" s="5">
        <v>126</v>
      </c>
      <c r="E445" s="5">
        <v>87</v>
      </c>
      <c r="F445" t="s" s="2">
        <v>301</v>
      </c>
      <c r="G445" t="s" s="2">
        <v>509</v>
      </c>
      <c r="H445" s="5">
        <v>846</v>
      </c>
      <c r="I445" t="s" s="2">
        <v>429</v>
      </c>
      <c r="J445" t="s" s="2">
        <v>22</v>
      </c>
      <c r="K445" t="s" s="2">
        <v>982</v>
      </c>
      <c r="L445" t="s" s="2">
        <v>983</v>
      </c>
      <c r="M445" s="5">
        <v>553694</v>
      </c>
      <c r="N445" s="5">
        <v>6269379</v>
      </c>
      <c r="O445" t="s" s="2">
        <v>305</v>
      </c>
      <c r="P445" s="5">
        <v>4143661</v>
      </c>
      <c r="Q445" t="s" s="2">
        <v>512</v>
      </c>
      <c r="R445" t="s" s="2">
        <f>_xlfn.IFERROR(INDEX('model_byCAP'!$D$2:$D$377,MATCH(Q445,'model_byCAP'!$A$2:$A$377,0)),0)</f>
        <v>513</v>
      </c>
    </row>
    <row r="446" ht="15.35" customHeight="1">
      <c r="A446" t="s" s="2">
        <v>984</v>
      </c>
      <c r="B446" s="4">
        <v>43123</v>
      </c>
      <c r="C446" s="5">
        <v>3600</v>
      </c>
      <c r="D446" s="5">
        <v>126</v>
      </c>
      <c r="E446" s="5">
        <v>87</v>
      </c>
      <c r="F446" t="s" s="2">
        <v>301</v>
      </c>
      <c r="G446" t="s" s="2">
        <v>509</v>
      </c>
      <c r="H446" s="5">
        <v>846</v>
      </c>
      <c r="I446" t="s" s="2">
        <v>429</v>
      </c>
      <c r="J446" t="s" s="2">
        <v>22</v>
      </c>
      <c r="K446" t="s" s="2">
        <v>982</v>
      </c>
      <c r="L446" t="s" s="2">
        <v>985</v>
      </c>
      <c r="M446" s="5">
        <v>553439.83</v>
      </c>
      <c r="N446" s="5">
        <v>6269696.16</v>
      </c>
      <c r="O446" t="s" s="2">
        <v>305</v>
      </c>
      <c r="P446" s="5">
        <v>4143662</v>
      </c>
      <c r="Q446" t="s" s="2">
        <v>512</v>
      </c>
      <c r="R446" t="s" s="2">
        <f>_xlfn.IFERROR(INDEX('model_byCAP'!$D$2:$D$377,MATCH(Q446,'model_byCAP'!$A$2:$A$377,0)),0)</f>
        <v>513</v>
      </c>
    </row>
    <row r="447" ht="15.35" customHeight="1">
      <c r="A447" t="s" s="2">
        <v>986</v>
      </c>
      <c r="B447" s="4">
        <v>43099</v>
      </c>
      <c r="C447" s="5">
        <v>3600</v>
      </c>
      <c r="D447" s="5">
        <v>126</v>
      </c>
      <c r="E447" s="5">
        <v>87</v>
      </c>
      <c r="F447" t="s" s="2">
        <v>301</v>
      </c>
      <c r="G447" t="s" s="2">
        <v>509</v>
      </c>
      <c r="H447" s="5">
        <v>846</v>
      </c>
      <c r="I447" t="s" s="2">
        <v>429</v>
      </c>
      <c r="J447" t="s" s="2">
        <v>22</v>
      </c>
      <c r="K447" t="s" s="2">
        <v>982</v>
      </c>
      <c r="L447" t="s" s="2">
        <v>987</v>
      </c>
      <c r="M447" s="5">
        <v>553186</v>
      </c>
      <c r="N447" s="5">
        <v>6270012</v>
      </c>
      <c r="O447" t="s" s="2">
        <v>305</v>
      </c>
      <c r="P447" s="5">
        <v>4143663</v>
      </c>
      <c r="Q447" t="s" s="2">
        <v>512</v>
      </c>
      <c r="R447" t="s" s="2">
        <f>_xlfn.IFERROR(INDEX('model_byCAP'!$D$2:$D$377,MATCH(Q447,'model_byCAP'!$A$2:$A$377,0)),0)</f>
        <v>513</v>
      </c>
    </row>
    <row r="448" ht="15.35" customHeight="1">
      <c r="A448" t="s" s="2">
        <v>988</v>
      </c>
      <c r="B448" s="4">
        <v>43096</v>
      </c>
      <c r="C448" s="5">
        <v>3600</v>
      </c>
      <c r="D448" s="5">
        <v>126</v>
      </c>
      <c r="E448" s="5">
        <v>87</v>
      </c>
      <c r="F448" t="s" s="2">
        <v>301</v>
      </c>
      <c r="G448" t="s" s="2">
        <v>509</v>
      </c>
      <c r="H448" s="5">
        <v>846</v>
      </c>
      <c r="I448" t="s" s="2">
        <v>429</v>
      </c>
      <c r="J448" t="s" s="2">
        <v>22</v>
      </c>
      <c r="K448" t="s" s="2">
        <v>982</v>
      </c>
      <c r="L448" t="s" s="2">
        <v>401</v>
      </c>
      <c r="M448" s="5">
        <v>553905</v>
      </c>
      <c r="N448" s="5">
        <v>6269808</v>
      </c>
      <c r="O448" t="s" s="2">
        <v>305</v>
      </c>
      <c r="P448" s="6"/>
      <c r="Q448" t="s" s="2">
        <v>512</v>
      </c>
      <c r="R448" t="s" s="2">
        <f>_xlfn.IFERROR(INDEX('model_byCAP'!$D$2:$D$377,MATCH(Q448,'model_byCAP'!$A$2:$A$377,0)),0)</f>
        <v>513</v>
      </c>
    </row>
    <row r="449" ht="15.35" customHeight="1">
      <c r="A449" t="s" s="2">
        <v>989</v>
      </c>
      <c r="B449" s="4">
        <v>43133</v>
      </c>
      <c r="C449" s="5">
        <v>3600</v>
      </c>
      <c r="D449" s="5">
        <v>126</v>
      </c>
      <c r="E449" s="5">
        <v>87</v>
      </c>
      <c r="F449" t="s" s="2">
        <v>301</v>
      </c>
      <c r="G449" t="s" s="2">
        <v>509</v>
      </c>
      <c r="H449" s="5">
        <v>846</v>
      </c>
      <c r="I449" t="s" s="2">
        <v>429</v>
      </c>
      <c r="J449" t="s" s="2">
        <v>22</v>
      </c>
      <c r="K449" t="s" s="2">
        <v>982</v>
      </c>
      <c r="L449" t="s" s="2">
        <v>990</v>
      </c>
      <c r="M449" s="5">
        <v>553651.17</v>
      </c>
      <c r="N449" s="5">
        <v>6270125.16</v>
      </c>
      <c r="O449" t="s" s="2">
        <v>305</v>
      </c>
      <c r="P449" s="5">
        <v>4143665</v>
      </c>
      <c r="Q449" t="s" s="2">
        <v>512</v>
      </c>
      <c r="R449" t="s" s="2">
        <f>_xlfn.IFERROR(INDEX('model_byCAP'!$D$2:$D$377,MATCH(Q449,'model_byCAP'!$A$2:$A$377,0)),0)</f>
        <v>513</v>
      </c>
    </row>
    <row r="450" ht="15.35" customHeight="1">
      <c r="A450" t="s" s="2">
        <v>991</v>
      </c>
      <c r="B450" s="4">
        <v>43105</v>
      </c>
      <c r="C450" s="5">
        <v>3600</v>
      </c>
      <c r="D450" s="5">
        <v>126</v>
      </c>
      <c r="E450" s="5">
        <v>87</v>
      </c>
      <c r="F450" t="s" s="2">
        <v>301</v>
      </c>
      <c r="G450" t="s" s="2">
        <v>509</v>
      </c>
      <c r="H450" s="5">
        <v>846</v>
      </c>
      <c r="I450" t="s" s="2">
        <v>429</v>
      </c>
      <c r="J450" t="s" s="2">
        <v>22</v>
      </c>
      <c r="K450" t="s" s="2">
        <v>982</v>
      </c>
      <c r="L450" t="s" s="2">
        <v>992</v>
      </c>
      <c r="M450" s="5">
        <v>553397.12</v>
      </c>
      <c r="N450" s="5">
        <v>6270439.33</v>
      </c>
      <c r="O450" t="s" s="2">
        <v>305</v>
      </c>
      <c r="P450" s="5">
        <v>4143666</v>
      </c>
      <c r="Q450" t="s" s="2">
        <v>512</v>
      </c>
      <c r="R450" t="s" s="2">
        <f>_xlfn.IFERROR(INDEX('model_byCAP'!$D$2:$D$377,MATCH(Q450,'model_byCAP'!$A$2:$A$377,0)),0)</f>
        <v>513</v>
      </c>
    </row>
    <row r="451" ht="15.35" customHeight="1">
      <c r="A451" t="s" s="2">
        <v>993</v>
      </c>
      <c r="B451" s="4">
        <v>43076</v>
      </c>
      <c r="C451" s="8">
        <v>3600</v>
      </c>
      <c r="D451" s="5">
        <v>117</v>
      </c>
      <c r="E451" s="5">
        <v>92</v>
      </c>
      <c r="F451" t="s" s="2">
        <v>301</v>
      </c>
      <c r="G451" t="s" s="2">
        <v>462</v>
      </c>
      <c r="H451" s="5">
        <v>860</v>
      </c>
      <c r="I451" t="s" s="2">
        <v>449</v>
      </c>
      <c r="J451" t="s" s="2">
        <v>22</v>
      </c>
      <c r="K451" t="s" s="2">
        <v>994</v>
      </c>
      <c r="L451" t="s" s="2">
        <v>995</v>
      </c>
      <c r="M451" s="8">
        <v>567928</v>
      </c>
      <c r="N451" s="8">
        <v>6366046</v>
      </c>
      <c r="O451" t="s" s="2">
        <v>305</v>
      </c>
      <c r="P451" s="8">
        <v>51851</v>
      </c>
      <c r="Q451" t="s" s="2">
        <v>466</v>
      </c>
      <c r="R451" t="s" s="2">
        <f>_xlfn.IFERROR(INDEX('model_byCAP'!$D$2:$D$377,MATCH(Q451,'model_byCAP'!$A$2:$A$377,0)),0)</f>
        <v>467</v>
      </c>
    </row>
    <row r="452" ht="15.35" customHeight="1">
      <c r="A452" t="s" s="2">
        <v>996</v>
      </c>
      <c r="B452" s="4">
        <v>43073</v>
      </c>
      <c r="C452" s="8">
        <v>3600</v>
      </c>
      <c r="D452" s="5">
        <v>117</v>
      </c>
      <c r="E452" s="5">
        <v>92</v>
      </c>
      <c r="F452" t="s" s="2">
        <v>301</v>
      </c>
      <c r="G452" t="s" s="2">
        <v>462</v>
      </c>
      <c r="H452" s="5">
        <v>860</v>
      </c>
      <c r="I452" t="s" s="2">
        <v>449</v>
      </c>
      <c r="J452" t="s" s="2">
        <v>22</v>
      </c>
      <c r="K452" t="s" s="2">
        <v>994</v>
      </c>
      <c r="L452" t="s" s="2">
        <v>997</v>
      </c>
      <c r="M452" s="8">
        <v>567771</v>
      </c>
      <c r="N452" s="8">
        <v>6366326</v>
      </c>
      <c r="O452" t="s" s="2">
        <v>305</v>
      </c>
      <c r="P452" s="8">
        <v>51852</v>
      </c>
      <c r="Q452" t="s" s="2">
        <v>466</v>
      </c>
      <c r="R452" t="s" s="2">
        <f>_xlfn.IFERROR(INDEX('model_byCAP'!$D$2:$D$377,MATCH(Q452,'model_byCAP'!$A$2:$A$377,0)),0)</f>
        <v>467</v>
      </c>
    </row>
    <row r="453" ht="15.35" customHeight="1">
      <c r="A453" t="s" s="2">
        <v>998</v>
      </c>
      <c r="B453" s="4">
        <v>43073</v>
      </c>
      <c r="C453" s="8">
        <v>3600</v>
      </c>
      <c r="D453" s="5">
        <v>117</v>
      </c>
      <c r="E453" s="5">
        <v>92</v>
      </c>
      <c r="F453" t="s" s="2">
        <v>301</v>
      </c>
      <c r="G453" t="s" s="2">
        <v>462</v>
      </c>
      <c r="H453" s="5">
        <v>860</v>
      </c>
      <c r="I453" t="s" s="2">
        <v>449</v>
      </c>
      <c r="J453" t="s" s="2">
        <v>22</v>
      </c>
      <c r="K453" t="s" s="2">
        <v>994</v>
      </c>
      <c r="L453" t="s" s="2">
        <v>374</v>
      </c>
      <c r="M453" s="8">
        <v>567614</v>
      </c>
      <c r="N453" s="8">
        <v>6366606</v>
      </c>
      <c r="O453" t="s" s="2">
        <v>305</v>
      </c>
      <c r="P453" s="8">
        <v>51853</v>
      </c>
      <c r="Q453" t="s" s="2">
        <v>466</v>
      </c>
      <c r="R453" t="s" s="2">
        <f>_xlfn.IFERROR(INDEX('model_byCAP'!$D$2:$D$377,MATCH(Q453,'model_byCAP'!$A$2:$A$377,0)),0)</f>
        <v>467</v>
      </c>
    </row>
    <row r="454" ht="15.35" customHeight="1">
      <c r="A454" t="s" s="2">
        <v>999</v>
      </c>
      <c r="B454" s="4">
        <v>43074</v>
      </c>
      <c r="C454" s="8">
        <v>3600</v>
      </c>
      <c r="D454" s="5">
        <v>117</v>
      </c>
      <c r="E454" s="5">
        <v>92</v>
      </c>
      <c r="F454" t="s" s="2">
        <v>301</v>
      </c>
      <c r="G454" t="s" s="2">
        <v>462</v>
      </c>
      <c r="H454" s="5">
        <v>860</v>
      </c>
      <c r="I454" t="s" s="2">
        <v>449</v>
      </c>
      <c r="J454" t="s" s="2">
        <v>22</v>
      </c>
      <c r="K454" t="s" s="2">
        <v>994</v>
      </c>
      <c r="L454" t="s" s="2">
        <v>1000</v>
      </c>
      <c r="M454" s="8">
        <v>567458</v>
      </c>
      <c r="N454" s="8">
        <v>6366887</v>
      </c>
      <c r="O454" t="s" s="2">
        <v>305</v>
      </c>
      <c r="P454" s="8">
        <v>51854</v>
      </c>
      <c r="Q454" t="s" s="2">
        <v>466</v>
      </c>
      <c r="R454" t="s" s="2">
        <f>_xlfn.IFERROR(INDEX('model_byCAP'!$D$2:$D$377,MATCH(Q454,'model_byCAP'!$A$2:$A$377,0)),0)</f>
        <v>467</v>
      </c>
    </row>
    <row r="455" ht="15.35" customHeight="1">
      <c r="A455" t="s" s="2">
        <v>1001</v>
      </c>
      <c r="B455" s="4">
        <v>43072</v>
      </c>
      <c r="C455" s="8">
        <v>3600</v>
      </c>
      <c r="D455" s="5">
        <v>117</v>
      </c>
      <c r="E455" s="5">
        <v>92</v>
      </c>
      <c r="F455" t="s" s="2">
        <v>301</v>
      </c>
      <c r="G455" t="s" s="2">
        <v>462</v>
      </c>
      <c r="H455" s="5">
        <v>860</v>
      </c>
      <c r="I455" t="s" s="2">
        <v>449</v>
      </c>
      <c r="J455" t="s" s="2">
        <v>22</v>
      </c>
      <c r="K455" t="s" s="2">
        <v>994</v>
      </c>
      <c r="L455" t="s" s="2">
        <v>1002</v>
      </c>
      <c r="M455" s="8">
        <v>567301</v>
      </c>
      <c r="N455" s="8">
        <v>6367167</v>
      </c>
      <c r="O455" t="s" s="2">
        <v>305</v>
      </c>
      <c r="P455" s="8">
        <v>51855</v>
      </c>
      <c r="Q455" t="s" s="2">
        <v>466</v>
      </c>
      <c r="R455" t="s" s="2">
        <f>_xlfn.IFERROR(INDEX('model_byCAP'!$D$2:$D$377,MATCH(Q455,'model_byCAP'!$A$2:$A$377,0)),0)</f>
        <v>467</v>
      </c>
    </row>
    <row r="456" ht="15.35" customHeight="1">
      <c r="A456" t="s" s="2">
        <v>1003</v>
      </c>
      <c r="B456" s="4">
        <v>43072</v>
      </c>
      <c r="C456" s="5">
        <v>3600</v>
      </c>
      <c r="D456" s="5">
        <v>117</v>
      </c>
      <c r="E456" s="5">
        <v>91.5</v>
      </c>
      <c r="F456" t="s" s="2">
        <v>301</v>
      </c>
      <c r="G456" t="s" s="2">
        <v>462</v>
      </c>
      <c r="H456" s="5">
        <v>860</v>
      </c>
      <c r="I456" t="s" s="2">
        <v>449</v>
      </c>
      <c r="J456" t="s" s="2">
        <v>22</v>
      </c>
      <c r="K456" t="s" s="2">
        <v>994</v>
      </c>
      <c r="L456" t="s" s="2">
        <v>928</v>
      </c>
      <c r="M456" s="5">
        <v>567144</v>
      </c>
      <c r="N456" s="5">
        <v>6367447</v>
      </c>
      <c r="O456" t="s" s="2">
        <v>305</v>
      </c>
      <c r="P456" s="5">
        <v>51856</v>
      </c>
      <c r="Q456" t="s" s="2">
        <v>466</v>
      </c>
      <c r="R456" t="s" s="2">
        <f>_xlfn.IFERROR(INDEX('model_byCAP'!$D$2:$D$377,MATCH(Q456,'model_byCAP'!$A$2:$A$377,0)),0)</f>
        <v>467</v>
      </c>
    </row>
    <row r="457" ht="15.35" customHeight="1">
      <c r="A457" t="s" s="2">
        <v>1004</v>
      </c>
      <c r="B457" s="4">
        <v>42719</v>
      </c>
      <c r="C457" s="5">
        <v>3450</v>
      </c>
      <c r="D457" s="5">
        <v>117</v>
      </c>
      <c r="E457" s="5">
        <v>91.5</v>
      </c>
      <c r="F457" t="s" s="2">
        <v>301</v>
      </c>
      <c r="G457" t="s" s="2">
        <v>1005</v>
      </c>
      <c r="H457" s="5">
        <v>320</v>
      </c>
      <c r="I457" t="s" s="2">
        <v>1006</v>
      </c>
      <c r="J457" t="s" s="2">
        <v>22</v>
      </c>
      <c r="K457" t="s" s="2">
        <v>1007</v>
      </c>
      <c r="L457" t="s" s="2">
        <v>1008</v>
      </c>
      <c r="M457" s="5">
        <v>696574</v>
      </c>
      <c r="N457" s="5">
        <v>6138249</v>
      </c>
      <c r="O457" t="s" s="2">
        <v>305</v>
      </c>
      <c r="P457" s="5">
        <v>61063008</v>
      </c>
      <c r="Q457" t="s" s="2">
        <v>1009</v>
      </c>
      <c r="R457" t="s" s="2">
        <f>_xlfn.IFERROR(INDEX('model_byCAP'!$D$2:$D$377,MATCH(Q457,'model_byCAP'!$A$2:$A$377,0)),0)</f>
        <v>467</v>
      </c>
    </row>
    <row r="458" ht="15.35" customHeight="1">
      <c r="A458" t="s" s="2">
        <v>1010</v>
      </c>
      <c r="B458" s="4">
        <v>42719</v>
      </c>
      <c r="C458" s="5">
        <v>3450</v>
      </c>
      <c r="D458" s="5">
        <v>117</v>
      </c>
      <c r="E458" s="5">
        <v>91.5</v>
      </c>
      <c r="F458" t="s" s="2">
        <v>301</v>
      </c>
      <c r="G458" t="s" s="2">
        <v>1005</v>
      </c>
      <c r="H458" s="5">
        <v>320</v>
      </c>
      <c r="I458" t="s" s="2">
        <v>1006</v>
      </c>
      <c r="J458" t="s" s="2">
        <v>22</v>
      </c>
      <c r="K458" t="s" s="2">
        <v>1007</v>
      </c>
      <c r="L458" t="s" s="2">
        <v>1008</v>
      </c>
      <c r="M458" s="5">
        <v>696496</v>
      </c>
      <c r="N458" s="5">
        <v>6138644</v>
      </c>
      <c r="O458" t="s" s="2">
        <v>305</v>
      </c>
      <c r="P458" s="5">
        <v>61063009</v>
      </c>
      <c r="Q458" t="s" s="2">
        <v>1009</v>
      </c>
      <c r="R458" t="s" s="2">
        <f>_xlfn.IFERROR(INDEX('model_byCAP'!$D$2:$D$377,MATCH(Q458,'model_byCAP'!$A$2:$A$377,0)),0)</f>
        <v>467</v>
      </c>
    </row>
    <row r="459" ht="15.35" customHeight="1">
      <c r="A459" t="s" s="2">
        <v>1011</v>
      </c>
      <c r="B459" s="4">
        <v>42719</v>
      </c>
      <c r="C459" s="5">
        <v>3450</v>
      </c>
      <c r="D459" s="5">
        <v>117</v>
      </c>
      <c r="E459" s="5">
        <v>91.5</v>
      </c>
      <c r="F459" t="s" s="2">
        <v>301</v>
      </c>
      <c r="G459" t="s" s="2">
        <v>1005</v>
      </c>
      <c r="H459" s="5">
        <v>320</v>
      </c>
      <c r="I459" t="s" s="2">
        <v>1006</v>
      </c>
      <c r="J459" t="s" s="2">
        <v>22</v>
      </c>
      <c r="K459" t="s" s="2">
        <v>1007</v>
      </c>
      <c r="L459" t="s" s="2">
        <v>1008</v>
      </c>
      <c r="M459" s="5">
        <v>696417</v>
      </c>
      <c r="N459" s="5">
        <v>6139038</v>
      </c>
      <c r="O459" t="s" s="2">
        <v>305</v>
      </c>
      <c r="P459" s="5">
        <v>61063010</v>
      </c>
      <c r="Q459" t="s" s="2">
        <v>1009</v>
      </c>
      <c r="R459" t="s" s="2">
        <f>_xlfn.IFERROR(INDEX('model_byCAP'!$D$2:$D$377,MATCH(Q459,'model_byCAP'!$A$2:$A$377,0)),0)</f>
        <v>467</v>
      </c>
    </row>
    <row r="460" ht="15.35" customHeight="1">
      <c r="A460" t="s" s="2">
        <v>1012</v>
      </c>
      <c r="B460" s="4">
        <v>42576</v>
      </c>
      <c r="C460" s="5">
        <v>3450</v>
      </c>
      <c r="D460" s="5">
        <v>117</v>
      </c>
      <c r="E460" s="5">
        <v>91.5</v>
      </c>
      <c r="F460" t="s" s="2">
        <v>301</v>
      </c>
      <c r="G460" t="s" s="2">
        <v>1005</v>
      </c>
      <c r="H460" s="5">
        <v>360</v>
      </c>
      <c r="I460" t="s" s="2">
        <v>463</v>
      </c>
      <c r="J460" t="s" s="2">
        <v>22</v>
      </c>
      <c r="K460" t="s" s="2">
        <v>1013</v>
      </c>
      <c r="L460" t="s" s="2">
        <v>1014</v>
      </c>
      <c r="M460" s="5">
        <v>646586.9399999999</v>
      </c>
      <c r="N460" s="5">
        <v>6066679.93</v>
      </c>
      <c r="O460" t="s" s="2">
        <v>305</v>
      </c>
      <c r="P460" s="5">
        <v>61043152</v>
      </c>
      <c r="Q460" t="s" s="2">
        <v>1009</v>
      </c>
      <c r="R460" t="s" s="2">
        <f>_xlfn.IFERROR(INDEX('model_byCAP'!$D$2:$D$377,MATCH(Q460,'model_byCAP'!$A$2:$A$377,0)),0)</f>
        <v>467</v>
      </c>
    </row>
    <row r="461" ht="15.35" customHeight="1">
      <c r="A461" t="s" s="2">
        <v>1015</v>
      </c>
      <c r="B461" s="4">
        <v>42576</v>
      </c>
      <c r="C461" s="5">
        <v>3450</v>
      </c>
      <c r="D461" s="5">
        <v>117</v>
      </c>
      <c r="E461" s="5">
        <v>91.5</v>
      </c>
      <c r="F461" t="s" s="2">
        <v>301</v>
      </c>
      <c r="G461" t="s" s="2">
        <v>1005</v>
      </c>
      <c r="H461" s="5">
        <v>360</v>
      </c>
      <c r="I461" t="s" s="2">
        <v>463</v>
      </c>
      <c r="J461" t="s" s="2">
        <v>22</v>
      </c>
      <c r="K461" t="s" s="2">
        <v>1013</v>
      </c>
      <c r="L461" t="s" s="2">
        <v>1016</v>
      </c>
      <c r="M461" s="5">
        <v>646899.91</v>
      </c>
      <c r="N461" s="5">
        <v>6066564.34</v>
      </c>
      <c r="O461" t="s" s="2">
        <v>305</v>
      </c>
      <c r="P461" s="5">
        <v>61043161</v>
      </c>
      <c r="Q461" t="s" s="2">
        <v>1009</v>
      </c>
      <c r="R461" t="s" s="2">
        <f>_xlfn.IFERROR(INDEX('model_byCAP'!$D$2:$D$377,MATCH(Q461,'model_byCAP'!$A$2:$A$377,0)),0)</f>
        <v>467</v>
      </c>
    </row>
    <row r="462" ht="15.35" customHeight="1">
      <c r="A462" t="s" s="2">
        <v>1017</v>
      </c>
      <c r="B462" s="4">
        <v>42569</v>
      </c>
      <c r="C462" s="5">
        <v>3450</v>
      </c>
      <c r="D462" s="5">
        <v>117</v>
      </c>
      <c r="E462" s="5">
        <v>91.5</v>
      </c>
      <c r="F462" t="s" s="2">
        <v>301</v>
      </c>
      <c r="G462" t="s" s="2">
        <v>1005</v>
      </c>
      <c r="H462" s="5">
        <v>360</v>
      </c>
      <c r="I462" t="s" s="2">
        <v>463</v>
      </c>
      <c r="J462" t="s" s="2">
        <v>22</v>
      </c>
      <c r="K462" t="s" s="2">
        <v>1013</v>
      </c>
      <c r="L462" s="5">
        <v>55</v>
      </c>
      <c r="M462" s="5">
        <v>647202.15</v>
      </c>
      <c r="N462" s="5">
        <v>6066441.65</v>
      </c>
      <c r="O462" t="s" s="2">
        <v>305</v>
      </c>
      <c r="P462" s="5">
        <v>61043169</v>
      </c>
      <c r="Q462" t="s" s="2">
        <v>1009</v>
      </c>
      <c r="R462" t="s" s="2">
        <f>_xlfn.IFERROR(INDEX('model_byCAP'!$D$2:$D$377,MATCH(Q462,'model_byCAP'!$A$2:$A$377,0)),0)</f>
        <v>467</v>
      </c>
    </row>
    <row r="463" ht="15.35" customHeight="1">
      <c r="A463" t="s" s="2">
        <v>1018</v>
      </c>
      <c r="B463" s="4">
        <v>42556</v>
      </c>
      <c r="C463" s="5">
        <v>3450</v>
      </c>
      <c r="D463" s="5">
        <v>117</v>
      </c>
      <c r="E463" s="5">
        <v>91.5</v>
      </c>
      <c r="F463" t="s" s="2">
        <v>301</v>
      </c>
      <c r="G463" t="s" s="2">
        <v>1005</v>
      </c>
      <c r="H463" s="5">
        <v>360</v>
      </c>
      <c r="I463" t="s" s="2">
        <v>463</v>
      </c>
      <c r="J463" t="s" s="2">
        <v>22</v>
      </c>
      <c r="K463" t="s" s="2">
        <v>1013</v>
      </c>
      <c r="L463" s="5">
        <v>72</v>
      </c>
      <c r="M463" s="5">
        <v>647528.21</v>
      </c>
      <c r="N463" s="5">
        <v>6066316.53</v>
      </c>
      <c r="O463" t="s" s="2">
        <v>305</v>
      </c>
      <c r="P463" s="5">
        <v>61043171</v>
      </c>
      <c r="Q463" t="s" s="2">
        <v>1009</v>
      </c>
      <c r="R463" t="s" s="2">
        <f>_xlfn.IFERROR(INDEX('model_byCAP'!$D$2:$D$377,MATCH(Q463,'model_byCAP'!$A$2:$A$377,0)),0)</f>
        <v>467</v>
      </c>
    </row>
    <row r="464" ht="15.35" customHeight="1">
      <c r="A464" t="s" s="2">
        <v>1019</v>
      </c>
      <c r="B464" s="4">
        <v>42552</v>
      </c>
      <c r="C464" s="5">
        <v>3450</v>
      </c>
      <c r="D464" s="5">
        <v>117</v>
      </c>
      <c r="E464" s="5">
        <v>91.5</v>
      </c>
      <c r="F464" t="s" s="2">
        <v>301</v>
      </c>
      <c r="G464" t="s" s="2">
        <v>1005</v>
      </c>
      <c r="H464" s="5">
        <v>360</v>
      </c>
      <c r="I464" t="s" s="2">
        <v>463</v>
      </c>
      <c r="J464" t="s" s="2">
        <v>22</v>
      </c>
      <c r="K464" t="s" s="2">
        <v>1013</v>
      </c>
      <c r="L464" s="5">
        <v>72</v>
      </c>
      <c r="M464" s="5">
        <v>647835.6</v>
      </c>
      <c r="N464" s="5">
        <v>6066196</v>
      </c>
      <c r="O464" t="s" s="2">
        <v>305</v>
      </c>
      <c r="P464" s="5">
        <v>61043174</v>
      </c>
      <c r="Q464" t="s" s="2">
        <v>1009</v>
      </c>
      <c r="R464" t="s" s="2">
        <f>_xlfn.IFERROR(INDEX('model_byCAP'!$D$2:$D$377,MATCH(Q464,'model_byCAP'!$A$2:$A$377,0)),0)</f>
        <v>467</v>
      </c>
    </row>
    <row r="465" ht="15.35" customHeight="1">
      <c r="A465" t="s" s="2">
        <v>1020</v>
      </c>
      <c r="B465" s="4">
        <v>42552</v>
      </c>
      <c r="C465" s="5">
        <v>3450</v>
      </c>
      <c r="D465" s="5">
        <v>117</v>
      </c>
      <c r="E465" s="5">
        <v>91.5</v>
      </c>
      <c r="F465" t="s" s="2">
        <v>301</v>
      </c>
      <c r="G465" t="s" s="2">
        <v>1005</v>
      </c>
      <c r="H465" s="5">
        <v>360</v>
      </c>
      <c r="I465" t="s" s="2">
        <v>463</v>
      </c>
      <c r="J465" t="s" s="2">
        <v>22</v>
      </c>
      <c r="K465" t="s" s="2">
        <v>1013</v>
      </c>
      <c r="L465" t="s" s="2">
        <v>1021</v>
      </c>
      <c r="M465" s="5">
        <v>648159.64</v>
      </c>
      <c r="N465" s="5">
        <v>6066073.96</v>
      </c>
      <c r="O465" t="s" s="2">
        <v>305</v>
      </c>
      <c r="P465" s="5">
        <v>61043183</v>
      </c>
      <c r="Q465" t="s" s="2">
        <v>1009</v>
      </c>
      <c r="R465" t="s" s="2">
        <f>_xlfn.IFERROR(INDEX('model_byCAP'!$D$2:$D$377,MATCH(Q465,'model_byCAP'!$A$2:$A$377,0)),0)</f>
        <v>467</v>
      </c>
    </row>
    <row r="466" ht="15.35" customHeight="1">
      <c r="A466" t="s" s="2">
        <v>1022</v>
      </c>
      <c r="B466" s="4">
        <v>42552</v>
      </c>
      <c r="C466" s="5">
        <v>3450</v>
      </c>
      <c r="D466" s="5">
        <v>117</v>
      </c>
      <c r="E466" s="5">
        <v>91.5</v>
      </c>
      <c r="F466" t="s" s="2">
        <v>301</v>
      </c>
      <c r="G466" t="s" s="2">
        <v>1005</v>
      </c>
      <c r="H466" s="5">
        <v>360</v>
      </c>
      <c r="I466" t="s" s="2">
        <v>463</v>
      </c>
      <c r="J466" t="s" s="2">
        <v>22</v>
      </c>
      <c r="K466" t="s" s="2">
        <v>1013</v>
      </c>
      <c r="L466" s="5">
        <v>61</v>
      </c>
      <c r="M466" s="5">
        <v>648476.23</v>
      </c>
      <c r="N466" s="5">
        <v>6065949.05</v>
      </c>
      <c r="O466" t="s" s="2">
        <v>305</v>
      </c>
      <c r="P466" s="5">
        <v>61043185</v>
      </c>
      <c r="Q466" t="s" s="2">
        <v>1009</v>
      </c>
      <c r="R466" t="s" s="2">
        <f>_xlfn.IFERROR(INDEX('model_byCAP'!$D$2:$D$377,MATCH(Q466,'model_byCAP'!$A$2:$A$377,0)),0)</f>
        <v>467</v>
      </c>
    </row>
    <row r="467" ht="15.35" customHeight="1">
      <c r="A467" t="s" s="2">
        <v>1023</v>
      </c>
      <c r="B467" s="4">
        <v>42552</v>
      </c>
      <c r="C467" s="5">
        <v>3450</v>
      </c>
      <c r="D467" s="5">
        <v>117</v>
      </c>
      <c r="E467" s="5">
        <v>91.5</v>
      </c>
      <c r="F467" t="s" s="2">
        <v>301</v>
      </c>
      <c r="G467" t="s" s="2">
        <v>1005</v>
      </c>
      <c r="H467" s="5">
        <v>360</v>
      </c>
      <c r="I467" t="s" s="2">
        <v>463</v>
      </c>
      <c r="J467" t="s" s="2">
        <v>22</v>
      </c>
      <c r="K467" t="s" s="2">
        <v>1013</v>
      </c>
      <c r="L467" t="s" s="2">
        <v>1024</v>
      </c>
      <c r="M467" s="5">
        <v>648796.6800000001</v>
      </c>
      <c r="N467" s="5">
        <v>6065824.82</v>
      </c>
      <c r="O467" t="s" s="2">
        <v>305</v>
      </c>
      <c r="P467" s="5">
        <v>61043187</v>
      </c>
      <c r="Q467" t="s" s="2">
        <v>1009</v>
      </c>
      <c r="R467" t="s" s="2">
        <f>_xlfn.IFERROR(INDEX('model_byCAP'!$D$2:$D$377,MATCH(Q467,'model_byCAP'!$A$2:$A$377,0)),0)</f>
        <v>467</v>
      </c>
    </row>
    <row r="468" ht="15.35" customHeight="1">
      <c r="A468" t="s" s="2">
        <v>1025</v>
      </c>
      <c r="B468" s="4">
        <v>42552</v>
      </c>
      <c r="C468" s="5">
        <v>3450</v>
      </c>
      <c r="D468" s="5">
        <v>117</v>
      </c>
      <c r="E468" s="5">
        <v>91.5</v>
      </c>
      <c r="F468" t="s" s="2">
        <v>301</v>
      </c>
      <c r="G468" t="s" s="2">
        <v>1005</v>
      </c>
      <c r="H468" s="5">
        <v>360</v>
      </c>
      <c r="I468" t="s" s="2">
        <v>463</v>
      </c>
      <c r="J468" t="s" s="2">
        <v>22</v>
      </c>
      <c r="K468" t="s" s="2">
        <v>1013</v>
      </c>
      <c r="L468" t="s" s="2">
        <v>1026</v>
      </c>
      <c r="M468" s="5">
        <v>649107.8100000001</v>
      </c>
      <c r="N468" s="5">
        <v>6065722.62</v>
      </c>
      <c r="O468" t="s" s="2">
        <v>305</v>
      </c>
      <c r="P468" s="5">
        <v>61043191</v>
      </c>
      <c r="Q468" t="s" s="2">
        <v>1009</v>
      </c>
      <c r="R468" t="s" s="2">
        <f>_xlfn.IFERROR(INDEX('model_byCAP'!$D$2:$D$377,MATCH(Q468,'model_byCAP'!$A$2:$A$377,0)),0)</f>
        <v>467</v>
      </c>
    </row>
    <row r="469" ht="15.35" customHeight="1">
      <c r="A469" t="s" s="2">
        <v>1027</v>
      </c>
      <c r="B469" s="4">
        <v>42552</v>
      </c>
      <c r="C469" s="5">
        <v>3450</v>
      </c>
      <c r="D469" s="5">
        <v>117</v>
      </c>
      <c r="E469" s="5">
        <v>91.5</v>
      </c>
      <c r="F469" t="s" s="2">
        <v>301</v>
      </c>
      <c r="G469" t="s" s="2">
        <v>1005</v>
      </c>
      <c r="H469" s="5">
        <v>360</v>
      </c>
      <c r="I469" t="s" s="2">
        <v>463</v>
      </c>
      <c r="J469" t="s" s="2">
        <v>22</v>
      </c>
      <c r="K469" t="s" s="2">
        <v>1013</v>
      </c>
      <c r="L469" t="s" s="2">
        <v>431</v>
      </c>
      <c r="M469" s="5">
        <v>649452.79</v>
      </c>
      <c r="N469" s="5">
        <v>6065643.82</v>
      </c>
      <c r="O469" t="s" s="2">
        <v>305</v>
      </c>
      <c r="P469" s="5">
        <v>61043195</v>
      </c>
      <c r="Q469" t="s" s="2">
        <v>1009</v>
      </c>
      <c r="R469" t="s" s="2">
        <f>_xlfn.IFERROR(INDEX('model_byCAP'!$D$2:$D$377,MATCH(Q469,'model_byCAP'!$A$2:$A$377,0)),0)</f>
        <v>467</v>
      </c>
    </row>
    <row r="470" ht="15.35" customHeight="1">
      <c r="A470" t="s" s="2">
        <v>1028</v>
      </c>
      <c r="B470" s="4">
        <v>42552</v>
      </c>
      <c r="C470" s="5">
        <v>3450</v>
      </c>
      <c r="D470" s="5">
        <v>117</v>
      </c>
      <c r="E470" s="5">
        <v>91.5</v>
      </c>
      <c r="F470" t="s" s="2">
        <v>301</v>
      </c>
      <c r="G470" t="s" s="2">
        <v>1005</v>
      </c>
      <c r="H470" s="5">
        <v>360</v>
      </c>
      <c r="I470" t="s" s="2">
        <v>463</v>
      </c>
      <c r="J470" t="s" s="2">
        <v>22</v>
      </c>
      <c r="K470" t="s" s="2">
        <v>1013</v>
      </c>
      <c r="L470" s="5">
        <v>24</v>
      </c>
      <c r="M470" s="5">
        <v>649804.36</v>
      </c>
      <c r="N470" s="5">
        <v>6065587.49</v>
      </c>
      <c r="O470" t="s" s="2">
        <v>305</v>
      </c>
      <c r="P470" s="5">
        <v>61043196</v>
      </c>
      <c r="Q470" t="s" s="2">
        <v>1009</v>
      </c>
      <c r="R470" t="s" s="2">
        <f>_xlfn.IFERROR(INDEX('model_byCAP'!$D$2:$D$377,MATCH(Q470,'model_byCAP'!$A$2:$A$377,0)),0)</f>
        <v>467</v>
      </c>
    </row>
    <row r="471" ht="15.35" customHeight="1">
      <c r="A471" t="s" s="2">
        <v>1029</v>
      </c>
      <c r="B471" s="4">
        <v>42892</v>
      </c>
      <c r="C471" s="5">
        <v>3450</v>
      </c>
      <c r="D471" s="5">
        <v>117</v>
      </c>
      <c r="E471" s="5">
        <v>91.5</v>
      </c>
      <c r="F471" t="s" s="2">
        <v>301</v>
      </c>
      <c r="G471" t="s" s="2">
        <v>1005</v>
      </c>
      <c r="H471" s="5">
        <v>360</v>
      </c>
      <c r="I471" t="s" s="2">
        <v>463</v>
      </c>
      <c r="J471" t="s" s="2">
        <v>22</v>
      </c>
      <c r="K471" t="s" s="2">
        <v>1030</v>
      </c>
      <c r="L471" s="5">
        <v>2</v>
      </c>
      <c r="M471" s="5">
        <v>630408.75</v>
      </c>
      <c r="N471" s="5">
        <v>6085230.91</v>
      </c>
      <c r="O471" t="s" s="2">
        <v>305</v>
      </c>
      <c r="P471" s="5">
        <v>61069377</v>
      </c>
      <c r="Q471" t="s" s="2">
        <v>1009</v>
      </c>
      <c r="R471" t="s" s="2">
        <f>_xlfn.IFERROR(INDEX('model_byCAP'!$D$2:$D$377,MATCH(Q471,'model_byCAP'!$A$2:$A$377,0)),0)</f>
        <v>467</v>
      </c>
    </row>
    <row r="472" ht="15.35" customHeight="1">
      <c r="A472" t="s" s="2">
        <v>1031</v>
      </c>
      <c r="B472" s="4">
        <v>42900</v>
      </c>
      <c r="C472" s="5">
        <v>3450</v>
      </c>
      <c r="D472" s="5">
        <v>117</v>
      </c>
      <c r="E472" s="5">
        <v>91.5</v>
      </c>
      <c r="F472" t="s" s="2">
        <v>301</v>
      </c>
      <c r="G472" t="s" s="2">
        <v>1005</v>
      </c>
      <c r="H472" s="5">
        <v>360</v>
      </c>
      <c r="I472" t="s" s="2">
        <v>463</v>
      </c>
      <c r="J472" t="s" s="2">
        <v>22</v>
      </c>
      <c r="K472" t="s" s="2">
        <v>1030</v>
      </c>
      <c r="L472" s="5">
        <v>2</v>
      </c>
      <c r="M472" s="5">
        <v>630254.15</v>
      </c>
      <c r="N472" s="5">
        <v>6085520.11</v>
      </c>
      <c r="O472" t="s" s="2">
        <v>305</v>
      </c>
      <c r="P472" s="5">
        <v>61069384</v>
      </c>
      <c r="Q472" t="s" s="2">
        <v>1009</v>
      </c>
      <c r="R472" t="s" s="2">
        <f>_xlfn.IFERROR(INDEX('model_byCAP'!$D$2:$D$377,MATCH(Q472,'model_byCAP'!$A$2:$A$377,0)),0)</f>
        <v>467</v>
      </c>
    </row>
    <row r="473" ht="15.35" customHeight="1">
      <c r="A473" t="s" s="2">
        <v>1032</v>
      </c>
      <c r="B473" s="4">
        <v>42896</v>
      </c>
      <c r="C473" s="5">
        <v>3450</v>
      </c>
      <c r="D473" s="5">
        <v>117</v>
      </c>
      <c r="E473" s="5">
        <v>91.5</v>
      </c>
      <c r="F473" t="s" s="2">
        <v>301</v>
      </c>
      <c r="G473" t="s" s="2">
        <v>1005</v>
      </c>
      <c r="H473" s="5">
        <v>360</v>
      </c>
      <c r="I473" t="s" s="2">
        <v>463</v>
      </c>
      <c r="J473" t="s" s="2">
        <v>22</v>
      </c>
      <c r="K473" t="s" s="2">
        <v>1030</v>
      </c>
      <c r="L473" s="5">
        <v>2</v>
      </c>
      <c r="M473" s="5">
        <v>630162.4</v>
      </c>
      <c r="N473" s="5">
        <v>6085834.71</v>
      </c>
      <c r="O473" t="s" s="2">
        <v>305</v>
      </c>
      <c r="P473" s="5">
        <v>61069387</v>
      </c>
      <c r="Q473" t="s" s="2">
        <v>1009</v>
      </c>
      <c r="R473" t="s" s="2">
        <f>_xlfn.IFERROR(INDEX('model_byCAP'!$D$2:$D$377,MATCH(Q473,'model_byCAP'!$A$2:$A$377,0)),0)</f>
        <v>467</v>
      </c>
    </row>
    <row r="474" ht="15.35" customHeight="1">
      <c r="A474" t="s" s="2">
        <v>1033</v>
      </c>
      <c r="B474" s="4">
        <v>42901</v>
      </c>
      <c r="C474" s="5">
        <v>3450</v>
      </c>
      <c r="D474" s="5">
        <v>117</v>
      </c>
      <c r="E474" s="5">
        <v>91.5</v>
      </c>
      <c r="F474" t="s" s="2">
        <v>301</v>
      </c>
      <c r="G474" t="s" s="2">
        <v>1005</v>
      </c>
      <c r="H474" s="5">
        <v>360</v>
      </c>
      <c r="I474" t="s" s="2">
        <v>463</v>
      </c>
      <c r="J474" t="s" s="2">
        <v>22</v>
      </c>
      <c r="K474" t="s" s="2">
        <v>1030</v>
      </c>
      <c r="L474" t="s" s="2">
        <v>481</v>
      </c>
      <c r="M474" s="5">
        <v>630138.02</v>
      </c>
      <c r="N474" s="5">
        <v>6086162.08</v>
      </c>
      <c r="O474" t="s" s="2">
        <v>305</v>
      </c>
      <c r="P474" s="5">
        <v>61069393</v>
      </c>
      <c r="Q474" t="s" s="2">
        <v>1009</v>
      </c>
      <c r="R474" t="s" s="2">
        <f>_xlfn.IFERROR(INDEX('model_byCAP'!$D$2:$D$377,MATCH(Q474,'model_byCAP'!$A$2:$A$377,0)),0)</f>
        <v>467</v>
      </c>
    </row>
    <row r="475" ht="15.35" customHeight="1">
      <c r="A475" t="s" s="2">
        <v>1034</v>
      </c>
      <c r="B475" s="4">
        <v>42892</v>
      </c>
      <c r="C475" s="5">
        <v>3450</v>
      </c>
      <c r="D475" s="5">
        <v>117</v>
      </c>
      <c r="E475" s="5">
        <v>91.5</v>
      </c>
      <c r="F475" t="s" s="2">
        <v>301</v>
      </c>
      <c r="G475" t="s" s="2">
        <v>1005</v>
      </c>
      <c r="H475" s="5">
        <v>360</v>
      </c>
      <c r="I475" t="s" s="2">
        <v>463</v>
      </c>
      <c r="J475" t="s" s="2">
        <v>22</v>
      </c>
      <c r="K475" t="s" s="2">
        <v>1030</v>
      </c>
      <c r="L475" t="s" s="2">
        <v>481</v>
      </c>
      <c r="M475" s="5">
        <v>630185.77</v>
      </c>
      <c r="N475" s="5">
        <v>6086482.9</v>
      </c>
      <c r="O475" t="s" s="2">
        <v>305</v>
      </c>
      <c r="P475" s="5">
        <v>61069394</v>
      </c>
      <c r="Q475" t="s" s="2">
        <v>1009</v>
      </c>
      <c r="R475" t="s" s="2">
        <f>_xlfn.IFERROR(INDEX('model_byCAP'!$D$2:$D$377,MATCH(Q475,'model_byCAP'!$A$2:$A$377,0)),0)</f>
        <v>467</v>
      </c>
    </row>
    <row r="476" ht="15.35" customHeight="1">
      <c r="A476" t="s" s="2">
        <v>1035</v>
      </c>
      <c r="B476" s="4">
        <v>42887</v>
      </c>
      <c r="C476" s="5">
        <v>3450</v>
      </c>
      <c r="D476" s="5">
        <v>117</v>
      </c>
      <c r="E476" s="5">
        <v>91.5</v>
      </c>
      <c r="F476" t="s" s="2">
        <v>301</v>
      </c>
      <c r="G476" t="s" s="2">
        <v>1005</v>
      </c>
      <c r="H476" s="5">
        <v>360</v>
      </c>
      <c r="I476" t="s" s="2">
        <v>463</v>
      </c>
      <c r="J476" t="s" s="2">
        <v>22</v>
      </c>
      <c r="K476" t="s" s="2">
        <v>1030</v>
      </c>
      <c r="L476" t="s" s="2">
        <v>481</v>
      </c>
      <c r="M476" s="5">
        <v>630290.3</v>
      </c>
      <c r="N476" s="5">
        <v>6086794.51</v>
      </c>
      <c r="O476" t="s" s="2">
        <v>305</v>
      </c>
      <c r="P476" s="5">
        <v>61069396</v>
      </c>
      <c r="Q476" t="s" s="2">
        <v>1009</v>
      </c>
      <c r="R476" t="s" s="2">
        <f>_xlfn.IFERROR(INDEX('model_byCAP'!$D$2:$D$377,MATCH(Q476,'model_byCAP'!$A$2:$A$377,0)),0)</f>
        <v>467</v>
      </c>
    </row>
    <row r="477" ht="15.35" customHeight="1">
      <c r="A477" t="s" s="2">
        <v>1036</v>
      </c>
      <c r="B477" s="4">
        <v>42844</v>
      </c>
      <c r="C477" s="5">
        <v>3450</v>
      </c>
      <c r="D477" s="5">
        <v>126</v>
      </c>
      <c r="E477" s="5">
        <v>117</v>
      </c>
      <c r="F477" t="s" s="2">
        <v>301</v>
      </c>
      <c r="G477" t="s" s="2">
        <v>603</v>
      </c>
      <c r="H477" s="5">
        <v>360</v>
      </c>
      <c r="I477" t="s" s="2">
        <v>463</v>
      </c>
      <c r="J477" t="s" s="2">
        <v>22</v>
      </c>
      <c r="K477" t="s" s="2">
        <v>464</v>
      </c>
      <c r="L477" t="s" s="2">
        <v>458</v>
      </c>
      <c r="M477" s="5">
        <v>629191.1899999999</v>
      </c>
      <c r="N477" s="5">
        <v>6070251.75</v>
      </c>
      <c r="O477" t="s" s="2">
        <v>305</v>
      </c>
      <c r="P477" s="5">
        <v>61070558</v>
      </c>
      <c r="Q477" t="s" s="2">
        <v>606</v>
      </c>
      <c r="R477" t="s" s="2">
        <f>_xlfn.IFERROR(INDEX('model_byCAP'!$D$2:$D$377,MATCH(Q477,'model_byCAP'!$A$2:$A$377,0)),0)</f>
        <v>513</v>
      </c>
    </row>
    <row r="478" ht="15.35" customHeight="1">
      <c r="A478" t="s" s="2">
        <v>1037</v>
      </c>
      <c r="B478" s="4">
        <v>43140</v>
      </c>
      <c r="C478" s="5">
        <v>3450</v>
      </c>
      <c r="D478" s="5">
        <v>117</v>
      </c>
      <c r="E478" s="5">
        <v>91.2</v>
      </c>
      <c r="F478" t="s" s="2">
        <v>301</v>
      </c>
      <c r="G478" t="s" s="2">
        <v>1005</v>
      </c>
      <c r="H478" s="5">
        <v>440</v>
      </c>
      <c r="I478" t="s" s="2">
        <v>1038</v>
      </c>
      <c r="J478" t="s" s="2">
        <v>22</v>
      </c>
      <c r="K478" t="s" s="2">
        <v>1039</v>
      </c>
      <c r="L478" s="5">
        <v>10</v>
      </c>
      <c r="M478" s="5">
        <v>598179.87</v>
      </c>
      <c r="N478" s="5">
        <v>6148789.2</v>
      </c>
      <c r="O478" t="s" s="2">
        <v>305</v>
      </c>
      <c r="P478" s="5">
        <v>18754</v>
      </c>
      <c r="Q478" t="s" s="2">
        <v>1009</v>
      </c>
      <c r="R478" t="s" s="2">
        <f>_xlfn.IFERROR(INDEX('model_byCAP'!$D$2:$D$377,MATCH(Q478,'model_byCAP'!$A$2:$A$377,0)),0)</f>
        <v>467</v>
      </c>
    </row>
    <row r="479" ht="15.35" customHeight="1">
      <c r="A479" t="s" s="2">
        <v>1040</v>
      </c>
      <c r="B479" s="4">
        <v>42597</v>
      </c>
      <c r="C479" s="5">
        <v>3450</v>
      </c>
      <c r="D479" s="5">
        <v>117</v>
      </c>
      <c r="E479" s="5">
        <v>91</v>
      </c>
      <c r="F479" t="s" s="2">
        <v>301</v>
      </c>
      <c r="G479" t="s" s="2">
        <v>1005</v>
      </c>
      <c r="H479" s="5">
        <v>573</v>
      </c>
      <c r="I479" t="s" s="2">
        <v>1041</v>
      </c>
      <c r="J479" t="s" s="2">
        <v>22</v>
      </c>
      <c r="K479" t="s" s="2">
        <v>1042</v>
      </c>
      <c r="L479" t="s" s="2">
        <v>1043</v>
      </c>
      <c r="M479" s="5">
        <v>474336.46</v>
      </c>
      <c r="N479" s="5">
        <v>6161551.01</v>
      </c>
      <c r="O479" t="s" s="2">
        <v>305</v>
      </c>
      <c r="P479" s="5">
        <v>344241980</v>
      </c>
      <c r="Q479" t="s" s="2">
        <v>1009</v>
      </c>
      <c r="R479" t="s" s="2">
        <f>_xlfn.IFERROR(INDEX('model_byCAP'!$D$2:$D$377,MATCH(Q479,'model_byCAP'!$A$2:$A$377,0)),0)</f>
        <v>467</v>
      </c>
    </row>
    <row r="480" ht="15.35" customHeight="1">
      <c r="A480" t="s" s="2">
        <v>1044</v>
      </c>
      <c r="B480" s="4">
        <v>42604</v>
      </c>
      <c r="C480" s="5">
        <v>3450</v>
      </c>
      <c r="D480" s="5">
        <v>117</v>
      </c>
      <c r="E480" s="5">
        <v>91</v>
      </c>
      <c r="F480" t="s" s="2">
        <v>301</v>
      </c>
      <c r="G480" t="s" s="2">
        <v>1005</v>
      </c>
      <c r="H480" s="5">
        <v>573</v>
      </c>
      <c r="I480" t="s" s="2">
        <v>1041</v>
      </c>
      <c r="J480" t="s" s="2">
        <v>22</v>
      </c>
      <c r="K480" t="s" s="2">
        <v>1042</v>
      </c>
      <c r="L480" t="s" s="2">
        <v>1045</v>
      </c>
      <c r="M480" s="5">
        <v>474776.2</v>
      </c>
      <c r="N480" s="5">
        <v>6161405.96</v>
      </c>
      <c r="O480" t="s" s="2">
        <v>305</v>
      </c>
      <c r="P480" s="5">
        <v>344241981</v>
      </c>
      <c r="Q480" t="s" s="2">
        <v>1009</v>
      </c>
      <c r="R480" t="s" s="2">
        <f>_xlfn.IFERROR(INDEX('model_byCAP'!$D$2:$D$377,MATCH(Q480,'model_byCAP'!$A$2:$A$377,0)),0)</f>
        <v>467</v>
      </c>
    </row>
    <row r="481" ht="15.35" customHeight="1">
      <c r="A481" t="s" s="2">
        <v>1046</v>
      </c>
      <c r="B481" s="4">
        <v>42598</v>
      </c>
      <c r="C481" s="5">
        <v>3450</v>
      </c>
      <c r="D481" s="5">
        <v>117</v>
      </c>
      <c r="E481" s="5">
        <v>91</v>
      </c>
      <c r="F481" t="s" s="2">
        <v>301</v>
      </c>
      <c r="G481" t="s" s="2">
        <v>1005</v>
      </c>
      <c r="H481" s="5">
        <v>573</v>
      </c>
      <c r="I481" t="s" s="2">
        <v>1041</v>
      </c>
      <c r="J481" t="s" s="2">
        <v>22</v>
      </c>
      <c r="K481" t="s" s="2">
        <v>1042</v>
      </c>
      <c r="L481" t="s" s="2">
        <v>1047</v>
      </c>
      <c r="M481" s="5">
        <v>475242.83</v>
      </c>
      <c r="N481" s="5">
        <v>6161337.65</v>
      </c>
      <c r="O481" t="s" s="2">
        <v>305</v>
      </c>
      <c r="P481" s="5">
        <v>344241982</v>
      </c>
      <c r="Q481" t="s" s="2">
        <v>1009</v>
      </c>
      <c r="R481" t="s" s="2">
        <f>_xlfn.IFERROR(INDEX('model_byCAP'!$D$2:$D$377,MATCH(Q481,'model_byCAP'!$A$2:$A$377,0)),0)</f>
        <v>467</v>
      </c>
    </row>
    <row r="482" ht="15.35" customHeight="1">
      <c r="A482" t="s" s="2">
        <v>1048</v>
      </c>
      <c r="B482" s="4">
        <v>42600</v>
      </c>
      <c r="C482" s="5">
        <v>3450</v>
      </c>
      <c r="D482" s="5">
        <v>117</v>
      </c>
      <c r="E482" s="5">
        <v>91</v>
      </c>
      <c r="F482" t="s" s="2">
        <v>301</v>
      </c>
      <c r="G482" t="s" s="2">
        <v>1005</v>
      </c>
      <c r="H482" s="5">
        <v>573</v>
      </c>
      <c r="I482" t="s" s="2">
        <v>1041</v>
      </c>
      <c r="J482" t="s" s="2">
        <v>22</v>
      </c>
      <c r="K482" t="s" s="2">
        <v>1042</v>
      </c>
      <c r="L482" t="s" s="2">
        <v>1049</v>
      </c>
      <c r="M482" s="5">
        <v>475707.92</v>
      </c>
      <c r="N482" s="5">
        <v>6161321.66</v>
      </c>
      <c r="O482" t="s" s="2">
        <v>305</v>
      </c>
      <c r="P482" s="5">
        <v>344241983</v>
      </c>
      <c r="Q482" t="s" s="2">
        <v>1009</v>
      </c>
      <c r="R482" t="s" s="2">
        <f>_xlfn.IFERROR(INDEX('model_byCAP'!$D$2:$D$377,MATCH(Q482,'model_byCAP'!$A$2:$A$377,0)),0)</f>
        <v>467</v>
      </c>
    </row>
    <row r="483" ht="15.35" customHeight="1">
      <c r="A483" t="s" s="2">
        <v>1050</v>
      </c>
      <c r="B483" s="4">
        <v>42607</v>
      </c>
      <c r="C483" s="5">
        <v>3450</v>
      </c>
      <c r="D483" s="5">
        <v>117</v>
      </c>
      <c r="E483" s="5">
        <v>91</v>
      </c>
      <c r="F483" t="s" s="2">
        <v>301</v>
      </c>
      <c r="G483" t="s" s="2">
        <v>1005</v>
      </c>
      <c r="H483" s="5">
        <v>573</v>
      </c>
      <c r="I483" t="s" s="2">
        <v>1041</v>
      </c>
      <c r="J483" t="s" s="2">
        <v>22</v>
      </c>
      <c r="K483" t="s" s="2">
        <v>1051</v>
      </c>
      <c r="L483" s="5">
        <v>81</v>
      </c>
      <c r="M483" s="5">
        <v>476183.87</v>
      </c>
      <c r="N483" s="5">
        <v>6161357.03</v>
      </c>
      <c r="O483" t="s" s="2">
        <v>305</v>
      </c>
      <c r="P483" s="5">
        <v>344241984</v>
      </c>
      <c r="Q483" t="s" s="2">
        <v>1009</v>
      </c>
      <c r="R483" t="s" s="2">
        <f>_xlfn.IFERROR(INDEX('model_byCAP'!$D$2:$D$377,MATCH(Q483,'model_byCAP'!$A$2:$A$377,0)),0)</f>
        <v>467</v>
      </c>
    </row>
    <row r="484" ht="15.35" customHeight="1">
      <c r="A484" t="s" s="2">
        <v>1052</v>
      </c>
      <c r="B484" s="4">
        <v>42612</v>
      </c>
      <c r="C484" s="5">
        <v>3450</v>
      </c>
      <c r="D484" s="5">
        <v>117</v>
      </c>
      <c r="E484" s="5">
        <v>91</v>
      </c>
      <c r="F484" t="s" s="2">
        <v>301</v>
      </c>
      <c r="G484" t="s" s="2">
        <v>1005</v>
      </c>
      <c r="H484" s="5">
        <v>573</v>
      </c>
      <c r="I484" t="s" s="2">
        <v>1041</v>
      </c>
      <c r="J484" t="s" s="2">
        <v>22</v>
      </c>
      <c r="K484" t="s" s="2">
        <v>1051</v>
      </c>
      <c r="L484" t="s" s="2">
        <v>1053</v>
      </c>
      <c r="M484" s="5">
        <v>476660.18</v>
      </c>
      <c r="N484" s="5">
        <v>6161457.89</v>
      </c>
      <c r="O484" t="s" s="2">
        <v>305</v>
      </c>
      <c r="P484" s="5">
        <v>344241985</v>
      </c>
      <c r="Q484" t="s" s="2">
        <v>1009</v>
      </c>
      <c r="R484" t="s" s="2">
        <f>_xlfn.IFERROR(INDEX('model_byCAP'!$D$2:$D$377,MATCH(Q484,'model_byCAP'!$A$2:$A$377,0)),0)</f>
        <v>467</v>
      </c>
    </row>
    <row r="485" ht="15.35" customHeight="1">
      <c r="A485" t="s" s="2">
        <v>1054</v>
      </c>
      <c r="B485" s="4">
        <v>42612</v>
      </c>
      <c r="C485" s="5">
        <v>3450</v>
      </c>
      <c r="D485" s="5">
        <v>117</v>
      </c>
      <c r="E485" s="5">
        <v>91</v>
      </c>
      <c r="F485" t="s" s="2">
        <v>301</v>
      </c>
      <c r="G485" t="s" s="2">
        <v>1005</v>
      </c>
      <c r="H485" s="5">
        <v>573</v>
      </c>
      <c r="I485" t="s" s="2">
        <v>1041</v>
      </c>
      <c r="J485" t="s" s="2">
        <v>22</v>
      </c>
      <c r="K485" t="s" s="2">
        <v>1051</v>
      </c>
      <c r="L485" t="s" s="2">
        <v>1055</v>
      </c>
      <c r="M485" s="5">
        <v>477117.28</v>
      </c>
      <c r="N485" s="5">
        <v>6161625.44</v>
      </c>
      <c r="O485" t="s" s="2">
        <v>305</v>
      </c>
      <c r="P485" s="5">
        <v>344241986</v>
      </c>
      <c r="Q485" t="s" s="2">
        <v>1009</v>
      </c>
      <c r="R485" t="s" s="2">
        <f>_xlfn.IFERROR(INDEX('model_byCAP'!$D$2:$D$377,MATCH(Q485,'model_byCAP'!$A$2:$A$377,0)),0)</f>
        <v>467</v>
      </c>
    </row>
    <row r="486" ht="15.35" customHeight="1">
      <c r="A486" t="s" s="2">
        <v>1056</v>
      </c>
      <c r="B486" s="4">
        <v>42614</v>
      </c>
      <c r="C486" s="5">
        <v>3450</v>
      </c>
      <c r="D486" s="5">
        <v>117</v>
      </c>
      <c r="E486" s="5">
        <v>91</v>
      </c>
      <c r="F486" t="s" s="2">
        <v>301</v>
      </c>
      <c r="G486" t="s" s="2">
        <v>1005</v>
      </c>
      <c r="H486" s="5">
        <v>573</v>
      </c>
      <c r="I486" t="s" s="2">
        <v>1041</v>
      </c>
      <c r="J486" t="s" s="2">
        <v>22</v>
      </c>
      <c r="K486" t="s" s="2">
        <v>1051</v>
      </c>
      <c r="L486" t="s" s="2">
        <v>1057</v>
      </c>
      <c r="M486" s="5">
        <v>477533.11</v>
      </c>
      <c r="N486" s="5">
        <v>6161850.13</v>
      </c>
      <c r="O486" t="s" s="2">
        <v>305</v>
      </c>
      <c r="P486" s="5">
        <v>344241987</v>
      </c>
      <c r="Q486" t="s" s="2">
        <v>1009</v>
      </c>
      <c r="R486" t="s" s="2">
        <f>_xlfn.IFERROR(INDEX('model_byCAP'!$D$2:$D$377,MATCH(Q486,'model_byCAP'!$A$2:$A$377,0)),0)</f>
        <v>467</v>
      </c>
    </row>
    <row r="487" ht="15.35" customHeight="1">
      <c r="A487" t="s" s="2">
        <v>1058</v>
      </c>
      <c r="B487" s="4">
        <v>42625</v>
      </c>
      <c r="C487" s="5">
        <v>3450</v>
      </c>
      <c r="D487" s="5">
        <v>117</v>
      </c>
      <c r="E487" s="5">
        <v>91</v>
      </c>
      <c r="F487" t="s" s="2">
        <v>301</v>
      </c>
      <c r="G487" t="s" s="2">
        <v>1005</v>
      </c>
      <c r="H487" s="5">
        <v>573</v>
      </c>
      <c r="I487" t="s" s="2">
        <v>1041</v>
      </c>
      <c r="J487" t="s" s="2">
        <v>22</v>
      </c>
      <c r="K487" t="s" s="2">
        <v>1051</v>
      </c>
      <c r="L487" t="s" s="2">
        <v>1059</v>
      </c>
      <c r="M487" s="5">
        <v>477935.15</v>
      </c>
      <c r="N487" s="5">
        <v>6162082.75</v>
      </c>
      <c r="O487" t="s" s="2">
        <v>305</v>
      </c>
      <c r="P487" s="5">
        <v>344241988</v>
      </c>
      <c r="Q487" t="s" s="2">
        <v>1009</v>
      </c>
      <c r="R487" t="s" s="2">
        <f>_xlfn.IFERROR(INDEX('model_byCAP'!$D$2:$D$377,MATCH(Q487,'model_byCAP'!$A$2:$A$377,0)),0)</f>
        <v>467</v>
      </c>
    </row>
    <row r="488" ht="15.35" customHeight="1">
      <c r="A488" t="s" s="2">
        <v>1060</v>
      </c>
      <c r="B488" s="4">
        <v>42625</v>
      </c>
      <c r="C488" s="5">
        <v>3450</v>
      </c>
      <c r="D488" s="5">
        <v>117</v>
      </c>
      <c r="E488" s="5">
        <v>91</v>
      </c>
      <c r="F488" t="s" s="2">
        <v>301</v>
      </c>
      <c r="G488" t="s" s="2">
        <v>1005</v>
      </c>
      <c r="H488" s="5">
        <v>573</v>
      </c>
      <c r="I488" t="s" s="2">
        <v>1041</v>
      </c>
      <c r="J488" t="s" s="2">
        <v>22</v>
      </c>
      <c r="K488" t="s" s="2">
        <v>1051</v>
      </c>
      <c r="L488" t="s" s="2">
        <v>1061</v>
      </c>
      <c r="M488" s="5">
        <v>478320.24</v>
      </c>
      <c r="N488" s="5">
        <v>6162360.66</v>
      </c>
      <c r="O488" t="s" s="2">
        <v>305</v>
      </c>
      <c r="P488" s="5">
        <v>344241989</v>
      </c>
      <c r="Q488" t="s" s="2">
        <v>1009</v>
      </c>
      <c r="R488" t="s" s="2">
        <f>_xlfn.IFERROR(INDEX('model_byCAP'!$D$2:$D$377,MATCH(Q488,'model_byCAP'!$A$2:$A$377,0)),0)</f>
        <v>467</v>
      </c>
    </row>
    <row r="489" ht="15.35" customHeight="1">
      <c r="A489" t="s" s="2">
        <v>1062</v>
      </c>
      <c r="B489" s="4">
        <v>42356</v>
      </c>
      <c r="C489" s="5">
        <v>3450</v>
      </c>
      <c r="D489" s="5">
        <v>112</v>
      </c>
      <c r="E489" s="5">
        <v>84</v>
      </c>
      <c r="F489" t="s" s="2">
        <v>301</v>
      </c>
      <c r="G489" t="s" s="2">
        <v>1063</v>
      </c>
      <c r="H489" s="5">
        <v>661</v>
      </c>
      <c r="I489" t="s" s="2">
        <v>562</v>
      </c>
      <c r="J489" t="s" s="2">
        <v>22</v>
      </c>
      <c r="K489" t="s" s="2">
        <v>1064</v>
      </c>
      <c r="L489" t="s" s="2">
        <v>1065</v>
      </c>
      <c r="M489" s="5">
        <v>460175.21</v>
      </c>
      <c r="N489" s="5">
        <v>6247273.4</v>
      </c>
      <c r="O489" t="s" s="2">
        <v>305</v>
      </c>
      <c r="P489" s="5">
        <v>40298</v>
      </c>
      <c r="Q489" t="s" s="2">
        <v>1066</v>
      </c>
      <c r="R489" t="s" s="2">
        <f>_xlfn.IFERROR(INDEX('model_byCAP'!$D$2:$D$377,MATCH(Q489,'model_byCAP'!$A$2:$A$377,0)),0)</f>
        <v>1067</v>
      </c>
    </row>
    <row r="490" ht="15.35" customHeight="1">
      <c r="A490" t="s" s="2">
        <v>1068</v>
      </c>
      <c r="B490" s="4">
        <v>42356</v>
      </c>
      <c r="C490" s="5">
        <v>3450</v>
      </c>
      <c r="D490" s="5">
        <v>112</v>
      </c>
      <c r="E490" s="5">
        <v>84</v>
      </c>
      <c r="F490" t="s" s="2">
        <v>301</v>
      </c>
      <c r="G490" t="s" s="2">
        <v>1063</v>
      </c>
      <c r="H490" s="5">
        <v>661</v>
      </c>
      <c r="I490" t="s" s="2">
        <v>562</v>
      </c>
      <c r="J490" t="s" s="2">
        <v>22</v>
      </c>
      <c r="K490" t="s" s="2">
        <v>1064</v>
      </c>
      <c r="L490" t="s" s="2">
        <v>1069</v>
      </c>
      <c r="M490" s="5">
        <v>460161.22</v>
      </c>
      <c r="N490" s="5">
        <v>6247580.61</v>
      </c>
      <c r="O490" t="s" s="2">
        <v>305</v>
      </c>
      <c r="P490" s="5">
        <v>40299</v>
      </c>
      <c r="Q490" t="s" s="2">
        <v>1066</v>
      </c>
      <c r="R490" t="s" s="2">
        <f>_xlfn.IFERROR(INDEX('model_byCAP'!$D$2:$D$377,MATCH(Q490,'model_byCAP'!$A$2:$A$377,0)),0)</f>
        <v>1067</v>
      </c>
    </row>
    <row r="491" ht="15.35" customHeight="1">
      <c r="A491" t="s" s="2">
        <v>1070</v>
      </c>
      <c r="B491" s="4">
        <v>42356</v>
      </c>
      <c r="C491" s="5">
        <v>3450</v>
      </c>
      <c r="D491" s="5">
        <v>112</v>
      </c>
      <c r="E491" s="5">
        <v>84</v>
      </c>
      <c r="F491" t="s" s="2">
        <v>301</v>
      </c>
      <c r="G491" t="s" s="2">
        <v>1063</v>
      </c>
      <c r="H491" s="5">
        <v>661</v>
      </c>
      <c r="I491" t="s" s="2">
        <v>562</v>
      </c>
      <c r="J491" t="s" s="2">
        <v>22</v>
      </c>
      <c r="K491" t="s" s="2">
        <v>1064</v>
      </c>
      <c r="L491" t="s" s="2">
        <v>1071</v>
      </c>
      <c r="M491" s="5">
        <v>460146.06</v>
      </c>
      <c r="N491" s="5">
        <v>6247914.35</v>
      </c>
      <c r="O491" t="s" s="2">
        <v>305</v>
      </c>
      <c r="P491" s="5">
        <v>40300</v>
      </c>
      <c r="Q491" t="s" s="2">
        <v>1066</v>
      </c>
      <c r="R491" t="s" s="2">
        <f>_xlfn.IFERROR(INDEX('model_byCAP'!$D$2:$D$377,MATCH(Q491,'model_byCAP'!$A$2:$A$377,0)),0)</f>
        <v>1067</v>
      </c>
    </row>
    <row r="492" ht="15.35" customHeight="1">
      <c r="A492" t="s" s="2">
        <v>1072</v>
      </c>
      <c r="B492" s="4">
        <v>42362</v>
      </c>
      <c r="C492" s="5">
        <v>3450</v>
      </c>
      <c r="D492" s="5">
        <v>112</v>
      </c>
      <c r="E492" s="5">
        <v>84</v>
      </c>
      <c r="F492" t="s" s="2">
        <v>301</v>
      </c>
      <c r="G492" t="s" s="2">
        <v>1063</v>
      </c>
      <c r="H492" s="5">
        <v>661</v>
      </c>
      <c r="I492" t="s" s="2">
        <v>562</v>
      </c>
      <c r="J492" t="s" s="2">
        <v>22</v>
      </c>
      <c r="K492" t="s" s="2">
        <v>1064</v>
      </c>
      <c r="L492" t="s" s="2">
        <v>1073</v>
      </c>
      <c r="M492" s="5">
        <v>460625.23</v>
      </c>
      <c r="N492" s="5">
        <v>6247356.3</v>
      </c>
      <c r="O492" t="s" s="2">
        <v>305</v>
      </c>
      <c r="P492" s="5">
        <v>40301</v>
      </c>
      <c r="Q492" t="s" s="2">
        <v>1066</v>
      </c>
      <c r="R492" t="s" s="2">
        <f>_xlfn.IFERROR(INDEX('model_byCAP'!$D$2:$D$377,MATCH(Q492,'model_byCAP'!$A$2:$A$377,0)),0)</f>
        <v>1067</v>
      </c>
    </row>
    <row r="493" ht="15.35" customHeight="1">
      <c r="A493" t="s" s="2">
        <v>1074</v>
      </c>
      <c r="B493" s="4">
        <v>42356</v>
      </c>
      <c r="C493" s="5">
        <v>3450</v>
      </c>
      <c r="D493" s="5">
        <v>112</v>
      </c>
      <c r="E493" s="5">
        <v>84</v>
      </c>
      <c r="F493" t="s" s="2">
        <v>301</v>
      </c>
      <c r="G493" t="s" s="2">
        <v>1063</v>
      </c>
      <c r="H493" s="5">
        <v>661</v>
      </c>
      <c r="I493" t="s" s="2">
        <v>562</v>
      </c>
      <c r="J493" t="s" s="2">
        <v>22</v>
      </c>
      <c r="K493" t="s" s="2">
        <v>1064</v>
      </c>
      <c r="L493" t="s" s="2">
        <v>1075</v>
      </c>
      <c r="M493" s="5">
        <v>460610.2</v>
      </c>
      <c r="N493" s="5">
        <v>6247664.28</v>
      </c>
      <c r="O493" t="s" s="2">
        <v>305</v>
      </c>
      <c r="P493" s="5">
        <v>40302</v>
      </c>
      <c r="Q493" t="s" s="2">
        <v>1066</v>
      </c>
      <c r="R493" t="s" s="2">
        <f>_xlfn.IFERROR(INDEX('model_byCAP'!$D$2:$D$377,MATCH(Q493,'model_byCAP'!$A$2:$A$377,0)),0)</f>
        <v>1067</v>
      </c>
    </row>
    <row r="494" ht="15.35" customHeight="1">
      <c r="A494" t="s" s="2">
        <v>1076</v>
      </c>
      <c r="B494" s="4">
        <v>42355</v>
      </c>
      <c r="C494" s="5">
        <v>3450</v>
      </c>
      <c r="D494" s="5">
        <v>112</v>
      </c>
      <c r="E494" s="5">
        <v>84</v>
      </c>
      <c r="F494" t="s" s="2">
        <v>301</v>
      </c>
      <c r="G494" t="s" s="2">
        <v>1063</v>
      </c>
      <c r="H494" s="5">
        <v>661</v>
      </c>
      <c r="I494" t="s" s="2">
        <v>562</v>
      </c>
      <c r="J494" t="s" s="2">
        <v>22</v>
      </c>
      <c r="K494" t="s" s="2">
        <v>1064</v>
      </c>
      <c r="L494" t="s" s="2">
        <v>1077</v>
      </c>
      <c r="M494" s="5">
        <v>460594.68</v>
      </c>
      <c r="N494" s="5">
        <v>6247991.17</v>
      </c>
      <c r="O494" t="s" s="2">
        <v>305</v>
      </c>
      <c r="P494" s="5">
        <v>40303</v>
      </c>
      <c r="Q494" t="s" s="2">
        <v>1066</v>
      </c>
      <c r="R494" t="s" s="2">
        <f>_xlfn.IFERROR(INDEX('model_byCAP'!$D$2:$D$377,MATCH(Q494,'model_byCAP'!$A$2:$A$377,0)),0)</f>
        <v>1067</v>
      </c>
    </row>
    <row r="495" ht="15.35" customHeight="1">
      <c r="A495" t="s" s="2">
        <v>1078</v>
      </c>
      <c r="B495" s="4">
        <v>42361</v>
      </c>
      <c r="C495" s="5">
        <v>3450</v>
      </c>
      <c r="D495" s="5">
        <v>112</v>
      </c>
      <c r="E495" s="5">
        <v>84</v>
      </c>
      <c r="F495" t="s" s="2">
        <v>301</v>
      </c>
      <c r="G495" t="s" s="2">
        <v>1063</v>
      </c>
      <c r="H495" s="5">
        <v>661</v>
      </c>
      <c r="I495" t="s" s="2">
        <v>562</v>
      </c>
      <c r="J495" t="s" s="2">
        <v>22</v>
      </c>
      <c r="K495" t="s" s="2">
        <v>1064</v>
      </c>
      <c r="L495" t="s" s="2">
        <v>1079</v>
      </c>
      <c r="M495" s="5">
        <v>461190.95</v>
      </c>
      <c r="N495" s="5">
        <v>6247460.18</v>
      </c>
      <c r="O495" t="s" s="2">
        <v>305</v>
      </c>
      <c r="P495" s="5">
        <v>40304</v>
      </c>
      <c r="Q495" t="s" s="2">
        <v>1066</v>
      </c>
      <c r="R495" t="s" s="2">
        <f>_xlfn.IFERROR(INDEX('model_byCAP'!$D$2:$D$377,MATCH(Q495,'model_byCAP'!$A$2:$A$377,0)),0)</f>
        <v>1067</v>
      </c>
    </row>
    <row r="496" ht="15.35" customHeight="1">
      <c r="A496" t="s" s="2">
        <v>1080</v>
      </c>
      <c r="B496" s="4">
        <v>42366</v>
      </c>
      <c r="C496" s="5">
        <v>3450</v>
      </c>
      <c r="D496" s="5">
        <v>112</v>
      </c>
      <c r="E496" s="5">
        <v>84</v>
      </c>
      <c r="F496" t="s" s="2">
        <v>301</v>
      </c>
      <c r="G496" t="s" s="2">
        <v>1063</v>
      </c>
      <c r="H496" s="5">
        <v>661</v>
      </c>
      <c r="I496" t="s" s="2">
        <v>562</v>
      </c>
      <c r="J496" t="s" s="2">
        <v>22</v>
      </c>
      <c r="K496" t="s" s="2">
        <v>1064</v>
      </c>
      <c r="L496" t="s" s="2">
        <v>1081</v>
      </c>
      <c r="M496" s="5">
        <v>461174.87</v>
      </c>
      <c r="N496" s="5">
        <v>6247769.33</v>
      </c>
      <c r="O496" t="s" s="2">
        <v>305</v>
      </c>
      <c r="P496" s="5">
        <v>40305</v>
      </c>
      <c r="Q496" t="s" s="2">
        <v>1066</v>
      </c>
      <c r="R496" t="s" s="2">
        <f>_xlfn.IFERROR(INDEX('model_byCAP'!$D$2:$D$377,MATCH(Q496,'model_byCAP'!$A$2:$A$377,0)),0)</f>
        <v>1067</v>
      </c>
    </row>
    <row r="497" ht="15.35" customHeight="1">
      <c r="A497" t="s" s="2">
        <v>1082</v>
      </c>
      <c r="B497" s="4">
        <v>42360</v>
      </c>
      <c r="C497" s="5">
        <v>3450</v>
      </c>
      <c r="D497" s="5">
        <v>112</v>
      </c>
      <c r="E497" s="5">
        <v>84</v>
      </c>
      <c r="F497" t="s" s="2">
        <v>301</v>
      </c>
      <c r="G497" t="s" s="2">
        <v>1063</v>
      </c>
      <c r="H497" s="5">
        <v>661</v>
      </c>
      <c r="I497" t="s" s="2">
        <v>562</v>
      </c>
      <c r="J497" t="s" s="2">
        <v>22</v>
      </c>
      <c r="K497" t="s" s="2">
        <v>1064</v>
      </c>
      <c r="L497" t="s" s="2">
        <v>1083</v>
      </c>
      <c r="M497" s="5">
        <v>461157.91</v>
      </c>
      <c r="N497" s="5">
        <v>6248087.85</v>
      </c>
      <c r="O497" t="s" s="2">
        <v>305</v>
      </c>
      <c r="P497" s="5">
        <v>40305</v>
      </c>
      <c r="Q497" t="s" s="2">
        <v>1066</v>
      </c>
      <c r="R497" t="s" s="2">
        <f>_xlfn.IFERROR(INDEX('model_byCAP'!$D$2:$D$377,MATCH(Q497,'model_byCAP'!$A$2:$A$377,0)),0)</f>
        <v>1067</v>
      </c>
    </row>
    <row r="498" ht="15.35" customHeight="1">
      <c r="A498" t="s" s="2">
        <v>1084</v>
      </c>
      <c r="B498" s="4">
        <v>42361</v>
      </c>
      <c r="C498" s="5">
        <v>3450</v>
      </c>
      <c r="D498" s="5">
        <v>112</v>
      </c>
      <c r="E498" s="5">
        <v>84</v>
      </c>
      <c r="F498" t="s" s="2">
        <v>301</v>
      </c>
      <c r="G498" t="s" s="2">
        <v>1063</v>
      </c>
      <c r="H498" s="5">
        <v>661</v>
      </c>
      <c r="I498" t="s" s="2">
        <v>562</v>
      </c>
      <c r="J498" t="s" s="2">
        <v>22</v>
      </c>
      <c r="K498" t="s" s="2">
        <v>1085</v>
      </c>
      <c r="L498" t="s" s="2">
        <v>1086</v>
      </c>
      <c r="M498" s="5">
        <v>461710.62</v>
      </c>
      <c r="N498" s="5">
        <v>6247555.75</v>
      </c>
      <c r="O498" t="s" s="2">
        <v>305</v>
      </c>
      <c r="P498" s="5">
        <v>40307</v>
      </c>
      <c r="Q498" t="s" s="2">
        <v>1066</v>
      </c>
      <c r="R498" t="s" s="2">
        <f>_xlfn.IFERROR(INDEX('model_byCAP'!$D$2:$D$377,MATCH(Q498,'model_byCAP'!$A$2:$A$377,0)),0)</f>
        <v>1067</v>
      </c>
    </row>
    <row r="499" ht="15.35" customHeight="1">
      <c r="A499" t="s" s="2">
        <v>1087</v>
      </c>
      <c r="B499" s="4">
        <v>42360</v>
      </c>
      <c r="C499" s="5">
        <v>3450</v>
      </c>
      <c r="D499" s="5">
        <v>112</v>
      </c>
      <c r="E499" s="5">
        <v>84</v>
      </c>
      <c r="F499" t="s" s="2">
        <v>301</v>
      </c>
      <c r="G499" t="s" s="2">
        <v>1063</v>
      </c>
      <c r="H499" s="5">
        <v>661</v>
      </c>
      <c r="I499" t="s" s="2">
        <v>562</v>
      </c>
      <c r="J499" t="s" s="2">
        <v>22</v>
      </c>
      <c r="K499" t="s" s="2">
        <v>1085</v>
      </c>
      <c r="L499" t="s" s="2">
        <v>1088</v>
      </c>
      <c r="M499" s="5">
        <v>461695.49</v>
      </c>
      <c r="N499" s="5">
        <v>6247865.94</v>
      </c>
      <c r="O499" t="s" s="2">
        <v>305</v>
      </c>
      <c r="P499" s="5">
        <v>40308</v>
      </c>
      <c r="Q499" t="s" s="2">
        <v>1066</v>
      </c>
      <c r="R499" t="s" s="2">
        <f>_xlfn.IFERROR(INDEX('model_byCAP'!$D$2:$D$377,MATCH(Q499,'model_byCAP'!$A$2:$A$377,0)),0)</f>
        <v>1067</v>
      </c>
    </row>
    <row r="500" ht="15.35" customHeight="1">
      <c r="A500" t="s" s="2">
        <v>1089</v>
      </c>
      <c r="B500" s="4">
        <v>42359</v>
      </c>
      <c r="C500" s="5">
        <v>3450</v>
      </c>
      <c r="D500" s="5">
        <v>112</v>
      </c>
      <c r="E500" s="5">
        <v>84</v>
      </c>
      <c r="F500" t="s" s="2">
        <v>301</v>
      </c>
      <c r="G500" t="s" s="2">
        <v>1063</v>
      </c>
      <c r="H500" s="5">
        <v>661</v>
      </c>
      <c r="I500" t="s" s="2">
        <v>562</v>
      </c>
      <c r="J500" t="s" s="2">
        <v>22</v>
      </c>
      <c r="K500" t="s" s="2">
        <v>1085</v>
      </c>
      <c r="L500" t="s" s="2">
        <v>1090</v>
      </c>
      <c r="M500" s="5">
        <v>461679.14</v>
      </c>
      <c r="N500" s="5">
        <v>6248177</v>
      </c>
      <c r="O500" t="s" s="2">
        <v>305</v>
      </c>
      <c r="P500" s="5">
        <v>40309</v>
      </c>
      <c r="Q500" t="s" s="2">
        <v>1066</v>
      </c>
      <c r="R500" t="s" s="2">
        <f>_xlfn.IFERROR(INDEX('model_byCAP'!$D$2:$D$377,MATCH(Q500,'model_byCAP'!$A$2:$A$377,0)),0)</f>
        <v>1067</v>
      </c>
    </row>
    <row r="501" ht="15.35" customHeight="1">
      <c r="A501" t="s" s="2">
        <v>1091</v>
      </c>
      <c r="B501" s="4">
        <v>43141</v>
      </c>
      <c r="C501" s="5">
        <v>3450</v>
      </c>
      <c r="D501" s="5">
        <v>112</v>
      </c>
      <c r="E501" s="5">
        <v>84</v>
      </c>
      <c r="F501" t="s" s="2">
        <v>301</v>
      </c>
      <c r="G501" t="s" s="2">
        <v>1063</v>
      </c>
      <c r="H501" s="5">
        <v>661</v>
      </c>
      <c r="I501" t="s" s="2">
        <v>562</v>
      </c>
      <c r="J501" t="s" s="2">
        <v>22</v>
      </c>
      <c r="K501" t="s" s="2">
        <v>1092</v>
      </c>
      <c r="L501" t="s" s="2">
        <v>349</v>
      </c>
      <c r="M501" s="5">
        <v>466747</v>
      </c>
      <c r="N501" s="5">
        <v>6242046</v>
      </c>
      <c r="O501" t="s" s="2">
        <v>305</v>
      </c>
      <c r="P501" s="5">
        <v>40433</v>
      </c>
      <c r="Q501" t="s" s="2">
        <v>1066</v>
      </c>
      <c r="R501" t="s" s="2">
        <f>_xlfn.IFERROR(INDEX('model_byCAP'!$D$2:$D$377,MATCH(Q501,'model_byCAP'!$A$2:$A$377,0)),0)</f>
        <v>1067</v>
      </c>
    </row>
    <row r="502" ht="15.35" customHeight="1">
      <c r="A502" t="s" s="2">
        <v>1093</v>
      </c>
      <c r="B502" s="4">
        <v>43146</v>
      </c>
      <c r="C502" s="5">
        <v>3450</v>
      </c>
      <c r="D502" s="5">
        <v>112</v>
      </c>
      <c r="E502" s="5">
        <v>84</v>
      </c>
      <c r="F502" t="s" s="2">
        <v>301</v>
      </c>
      <c r="G502" t="s" s="2">
        <v>1094</v>
      </c>
      <c r="H502" s="5">
        <v>661</v>
      </c>
      <c r="I502" t="s" s="2">
        <v>562</v>
      </c>
      <c r="J502" t="s" s="2">
        <v>22</v>
      </c>
      <c r="K502" t="s" s="2">
        <v>1095</v>
      </c>
      <c r="L502" s="5">
        <v>36</v>
      </c>
      <c r="M502" s="5">
        <v>466506</v>
      </c>
      <c r="N502" s="5">
        <v>6241794</v>
      </c>
      <c r="O502" t="s" s="2">
        <v>305</v>
      </c>
      <c r="P502" s="5">
        <v>40434</v>
      </c>
      <c r="Q502" t="s" s="2">
        <v>1096</v>
      </c>
      <c r="R502" t="s" s="2">
        <f>_xlfn.IFERROR(INDEX('model_byCAP'!$D$2:$D$377,MATCH(Q502,'model_byCAP'!$A$2:$A$377,0)),0)</f>
        <v>1097</v>
      </c>
    </row>
    <row r="503" ht="15.35" customHeight="1">
      <c r="A503" t="s" s="2">
        <v>1098</v>
      </c>
      <c r="B503" s="4">
        <v>43141</v>
      </c>
      <c r="C503" s="5">
        <v>3450</v>
      </c>
      <c r="D503" s="5">
        <v>112</v>
      </c>
      <c r="E503" s="5">
        <v>84</v>
      </c>
      <c r="F503" t="s" s="2">
        <v>301</v>
      </c>
      <c r="G503" t="s" s="2">
        <v>1063</v>
      </c>
      <c r="H503" s="5">
        <v>661</v>
      </c>
      <c r="I503" t="s" s="2">
        <v>562</v>
      </c>
      <c r="J503" t="s" s="2">
        <v>22</v>
      </c>
      <c r="K503" t="s" s="2">
        <v>1095</v>
      </c>
      <c r="L503" t="s" s="2">
        <v>1099</v>
      </c>
      <c r="M503" s="5">
        <v>466652</v>
      </c>
      <c r="N503" s="5">
        <v>6241525</v>
      </c>
      <c r="O503" t="s" s="2">
        <v>305</v>
      </c>
      <c r="P503" s="5">
        <v>40435</v>
      </c>
      <c r="Q503" t="s" s="2">
        <v>1066</v>
      </c>
      <c r="R503" t="s" s="2">
        <f>_xlfn.IFERROR(INDEX('model_byCAP'!$D$2:$D$377,MATCH(Q503,'model_byCAP'!$A$2:$A$377,0)),0)</f>
        <v>1067</v>
      </c>
    </row>
    <row r="504" ht="15.35" customHeight="1">
      <c r="A504" t="s" s="2">
        <v>1100</v>
      </c>
      <c r="B504" s="4">
        <v>43141</v>
      </c>
      <c r="C504" s="5">
        <v>3450</v>
      </c>
      <c r="D504" s="5">
        <v>112</v>
      </c>
      <c r="E504" s="5">
        <v>84</v>
      </c>
      <c r="F504" t="s" s="2">
        <v>301</v>
      </c>
      <c r="G504" t="s" s="2">
        <v>1063</v>
      </c>
      <c r="H504" s="5">
        <v>661</v>
      </c>
      <c r="I504" t="s" s="2">
        <v>562</v>
      </c>
      <c r="J504" t="s" s="2">
        <v>22</v>
      </c>
      <c r="K504" t="s" s="2">
        <v>1095</v>
      </c>
      <c r="L504" t="s" s="2">
        <v>1099</v>
      </c>
      <c r="M504" s="5">
        <v>466893</v>
      </c>
      <c r="N504" s="5">
        <v>6241777</v>
      </c>
      <c r="O504" t="s" s="2">
        <v>305</v>
      </c>
      <c r="P504" s="5">
        <v>40436</v>
      </c>
      <c r="Q504" t="s" s="2">
        <v>1066</v>
      </c>
      <c r="R504" t="s" s="2">
        <f>_xlfn.IFERROR(INDEX('model_byCAP'!$D$2:$D$377,MATCH(Q504,'model_byCAP'!$A$2:$A$377,0)),0)</f>
        <v>1067</v>
      </c>
    </row>
    <row r="505" ht="15.35" customHeight="1">
      <c r="A505" t="s" s="2">
        <v>1101</v>
      </c>
      <c r="B505" s="4">
        <v>42697</v>
      </c>
      <c r="C505" s="5">
        <v>3450</v>
      </c>
      <c r="D505" s="5">
        <v>112</v>
      </c>
      <c r="E505" s="5">
        <v>84</v>
      </c>
      <c r="F505" t="s" s="2">
        <v>301</v>
      </c>
      <c r="G505" t="s" s="2">
        <v>1005</v>
      </c>
      <c r="H505" s="5">
        <v>810</v>
      </c>
      <c r="I505" t="s" s="2">
        <v>1102</v>
      </c>
      <c r="J505" t="s" s="2">
        <v>22</v>
      </c>
      <c r="K505" t="s" s="2">
        <v>1103</v>
      </c>
      <c r="L505" t="s" s="2">
        <v>32</v>
      </c>
      <c r="M505" s="5">
        <v>558044.92</v>
      </c>
      <c r="N505" s="5">
        <v>6342987.99</v>
      </c>
      <c r="O505" t="s" s="2">
        <v>305</v>
      </c>
      <c r="P505" s="5">
        <v>50981</v>
      </c>
      <c r="Q505" t="s" s="2">
        <v>1009</v>
      </c>
      <c r="R505" t="s" s="2">
        <f>_xlfn.IFERROR(INDEX('model_byCAP'!$D$2:$D$377,MATCH(Q505,'model_byCAP'!$A$2:$A$377,0)),0)</f>
        <v>467</v>
      </c>
    </row>
    <row r="506" ht="15.35" customHeight="1">
      <c r="A506" t="s" s="2">
        <v>1104</v>
      </c>
      <c r="B506" s="4">
        <v>42689</v>
      </c>
      <c r="C506" s="5">
        <v>3450</v>
      </c>
      <c r="D506" s="5">
        <v>112</v>
      </c>
      <c r="E506" s="5">
        <v>84</v>
      </c>
      <c r="F506" t="s" s="2">
        <v>301</v>
      </c>
      <c r="G506" t="s" s="2">
        <v>1005</v>
      </c>
      <c r="H506" s="5">
        <v>810</v>
      </c>
      <c r="I506" t="s" s="2">
        <v>1102</v>
      </c>
      <c r="J506" t="s" s="2">
        <v>22</v>
      </c>
      <c r="K506" t="s" s="2">
        <v>1103</v>
      </c>
      <c r="L506" t="s" s="2">
        <v>1105</v>
      </c>
      <c r="M506" s="5">
        <v>557749.11</v>
      </c>
      <c r="N506" s="5">
        <v>6343146.48</v>
      </c>
      <c r="O506" t="s" s="2">
        <v>305</v>
      </c>
      <c r="P506" s="5">
        <v>50982</v>
      </c>
      <c r="Q506" t="s" s="2">
        <v>1009</v>
      </c>
      <c r="R506" t="s" s="2">
        <f>_xlfn.IFERROR(INDEX('model_byCAP'!$D$2:$D$377,MATCH(Q506,'model_byCAP'!$A$2:$A$377,0)),0)</f>
        <v>467</v>
      </c>
    </row>
    <row r="507" ht="15.35" customHeight="1">
      <c r="A507" t="s" s="2">
        <v>1106</v>
      </c>
      <c r="B507" s="4">
        <v>42689</v>
      </c>
      <c r="C507" s="5">
        <v>3450</v>
      </c>
      <c r="D507" s="5">
        <v>112</v>
      </c>
      <c r="E507" s="5">
        <v>84</v>
      </c>
      <c r="F507" t="s" s="2">
        <v>301</v>
      </c>
      <c r="G507" t="s" s="2">
        <v>1005</v>
      </c>
      <c r="H507" s="5">
        <v>810</v>
      </c>
      <c r="I507" t="s" s="2">
        <v>1102</v>
      </c>
      <c r="J507" t="s" s="2">
        <v>22</v>
      </c>
      <c r="K507" t="s" s="2">
        <v>1103</v>
      </c>
      <c r="L507" t="s" s="2">
        <v>1107</v>
      </c>
      <c r="M507" s="5">
        <v>557450.89</v>
      </c>
      <c r="N507" s="5">
        <v>6343304.01</v>
      </c>
      <c r="O507" t="s" s="2">
        <v>305</v>
      </c>
      <c r="P507" s="5">
        <v>50983</v>
      </c>
      <c r="Q507" t="s" s="2">
        <v>1009</v>
      </c>
      <c r="R507" t="s" s="2">
        <f>_xlfn.IFERROR(INDEX('model_byCAP'!$D$2:$D$377,MATCH(Q507,'model_byCAP'!$A$2:$A$377,0)),0)</f>
        <v>467</v>
      </c>
    </row>
    <row r="508" ht="15.35" customHeight="1">
      <c r="A508" t="s" s="2">
        <v>1108</v>
      </c>
      <c r="B508" s="4">
        <v>43091</v>
      </c>
      <c r="C508" s="5">
        <v>3450</v>
      </c>
      <c r="D508" s="5">
        <v>112</v>
      </c>
      <c r="E508" s="5">
        <v>84</v>
      </c>
      <c r="F508" t="s" s="2">
        <v>301</v>
      </c>
      <c r="G508" t="s" s="2">
        <v>1109</v>
      </c>
      <c r="H508" s="5">
        <v>810</v>
      </c>
      <c r="I508" t="s" s="2">
        <v>1102</v>
      </c>
      <c r="J508" t="s" s="2">
        <v>22</v>
      </c>
      <c r="K508" t="s" s="2">
        <v>1110</v>
      </c>
      <c r="L508" t="s" s="2">
        <v>492</v>
      </c>
      <c r="M508" s="5">
        <v>584549</v>
      </c>
      <c r="N508" s="5">
        <v>6336638</v>
      </c>
      <c r="O508" t="s" s="2">
        <v>305</v>
      </c>
      <c r="P508" s="5">
        <v>53263</v>
      </c>
      <c r="Q508" t="s" s="2">
        <v>1111</v>
      </c>
      <c r="R508" t="s" s="2">
        <f>_xlfn.IFERROR(INDEX('model_byCAP'!$D$2:$D$377,MATCH(Q508,'model_byCAP'!$A$2:$A$377,0)),0)</f>
        <v>1112</v>
      </c>
    </row>
    <row r="509" ht="15.35" customHeight="1">
      <c r="A509" t="s" s="2">
        <v>1113</v>
      </c>
      <c r="B509" s="4">
        <v>43091</v>
      </c>
      <c r="C509" s="5">
        <v>3450</v>
      </c>
      <c r="D509" s="5">
        <v>112</v>
      </c>
      <c r="E509" s="5">
        <v>84</v>
      </c>
      <c r="F509" t="s" s="2">
        <v>301</v>
      </c>
      <c r="G509" t="s" s="2">
        <v>1109</v>
      </c>
      <c r="H509" s="5">
        <v>810</v>
      </c>
      <c r="I509" t="s" s="2">
        <v>1102</v>
      </c>
      <c r="J509" t="s" s="2">
        <v>22</v>
      </c>
      <c r="K509" t="s" s="2">
        <v>1114</v>
      </c>
      <c r="L509" t="s" s="2">
        <v>492</v>
      </c>
      <c r="M509" s="5">
        <v>584887</v>
      </c>
      <c r="N509" s="5">
        <v>6336681</v>
      </c>
      <c r="O509" t="s" s="2">
        <v>305</v>
      </c>
      <c r="P509" s="5">
        <v>53264</v>
      </c>
      <c r="Q509" t="s" s="2">
        <v>1111</v>
      </c>
      <c r="R509" t="s" s="2">
        <f>_xlfn.IFERROR(INDEX('model_byCAP'!$D$2:$D$377,MATCH(Q509,'model_byCAP'!$A$2:$A$377,0)),0)</f>
        <v>1112</v>
      </c>
    </row>
    <row r="510" ht="15.35" customHeight="1">
      <c r="A510" t="s" s="2">
        <v>1115</v>
      </c>
      <c r="B510" s="4">
        <v>43129</v>
      </c>
      <c r="C510" s="5">
        <v>3450</v>
      </c>
      <c r="D510" s="5">
        <v>112</v>
      </c>
      <c r="E510" s="5">
        <v>84</v>
      </c>
      <c r="F510" t="s" s="2">
        <v>301</v>
      </c>
      <c r="G510" t="s" s="2">
        <v>1109</v>
      </c>
      <c r="H510" s="5">
        <v>810</v>
      </c>
      <c r="I510" t="s" s="2">
        <v>1102</v>
      </c>
      <c r="J510" t="s" s="2">
        <v>22</v>
      </c>
      <c r="K510" t="s" s="2">
        <v>1116</v>
      </c>
      <c r="L510" t="s" s="2">
        <v>492</v>
      </c>
      <c r="M510" s="5">
        <v>585210.21</v>
      </c>
      <c r="N510" s="5">
        <v>6336783.94</v>
      </c>
      <c r="O510" t="s" s="2">
        <v>305</v>
      </c>
      <c r="P510" s="5">
        <v>53265</v>
      </c>
      <c r="Q510" t="s" s="2">
        <v>1111</v>
      </c>
      <c r="R510" t="s" s="2">
        <f>_xlfn.IFERROR(INDEX('model_byCAP'!$D$2:$D$377,MATCH(Q510,'model_byCAP'!$A$2:$A$377,0)),0)</f>
        <v>1112</v>
      </c>
    </row>
    <row r="511" ht="15.35" customHeight="1">
      <c r="A511" t="s" s="2">
        <v>1117</v>
      </c>
      <c r="B511" s="4">
        <v>43132</v>
      </c>
      <c r="C511" s="5">
        <v>3450</v>
      </c>
      <c r="D511" s="5">
        <v>112</v>
      </c>
      <c r="E511" s="5">
        <v>84</v>
      </c>
      <c r="F511" t="s" s="2">
        <v>301</v>
      </c>
      <c r="G511" t="s" s="2">
        <v>1109</v>
      </c>
      <c r="H511" s="5">
        <v>810</v>
      </c>
      <c r="I511" t="s" s="2">
        <v>1102</v>
      </c>
      <c r="J511" t="s" s="2">
        <v>22</v>
      </c>
      <c r="K511" t="s" s="2">
        <v>1118</v>
      </c>
      <c r="L511" t="s" s="2">
        <v>1119</v>
      </c>
      <c r="M511" s="5">
        <v>585511.64</v>
      </c>
      <c r="N511" s="5">
        <v>6336941.12</v>
      </c>
      <c r="O511" t="s" s="2">
        <v>305</v>
      </c>
      <c r="P511" s="5">
        <v>53266</v>
      </c>
      <c r="Q511" t="s" s="2">
        <v>1111</v>
      </c>
      <c r="R511" t="s" s="2">
        <f>_xlfn.IFERROR(INDEX('model_byCAP'!$D$2:$D$377,MATCH(Q511,'model_byCAP'!$A$2:$A$377,0)),0)</f>
        <v>1112</v>
      </c>
    </row>
    <row r="512" ht="15.35" customHeight="1">
      <c r="A512" t="s" s="2">
        <v>1120</v>
      </c>
      <c r="B512" s="4">
        <v>43132</v>
      </c>
      <c r="C512" s="5">
        <v>3450</v>
      </c>
      <c r="D512" s="5">
        <v>112</v>
      </c>
      <c r="E512" s="5">
        <v>84</v>
      </c>
      <c r="F512" t="s" s="2">
        <v>301</v>
      </c>
      <c r="G512" t="s" s="2">
        <v>1109</v>
      </c>
      <c r="H512" s="5">
        <v>810</v>
      </c>
      <c r="I512" t="s" s="2">
        <v>1102</v>
      </c>
      <c r="J512" t="s" s="2">
        <v>22</v>
      </c>
      <c r="K512" t="s" s="2">
        <v>1121</v>
      </c>
      <c r="L512" t="s" s="2">
        <v>1122</v>
      </c>
      <c r="M512" s="5">
        <v>585778.55</v>
      </c>
      <c r="N512" s="5">
        <v>6337149.8</v>
      </c>
      <c r="O512" t="s" s="2">
        <v>305</v>
      </c>
      <c r="P512" s="5">
        <v>53267</v>
      </c>
      <c r="Q512" t="s" s="2">
        <v>1111</v>
      </c>
      <c r="R512" t="s" s="2">
        <f>_xlfn.IFERROR(INDEX('model_byCAP'!$D$2:$D$377,MATCH(Q512,'model_byCAP'!$A$2:$A$377,0)),0)</f>
        <v>1112</v>
      </c>
    </row>
    <row r="513" ht="15.35" customHeight="1">
      <c r="A513" t="s" s="2">
        <v>1123</v>
      </c>
      <c r="B513" s="4">
        <v>42725</v>
      </c>
      <c r="C513" s="8">
        <v>3450</v>
      </c>
      <c r="D513" s="5">
        <v>126</v>
      </c>
      <c r="E513" s="5">
        <v>87</v>
      </c>
      <c r="F513" t="s" s="2">
        <v>301</v>
      </c>
      <c r="G513" t="s" s="2">
        <v>603</v>
      </c>
      <c r="H513" s="5">
        <v>860</v>
      </c>
      <c r="I513" t="s" s="2">
        <v>449</v>
      </c>
      <c r="J513" t="s" s="2">
        <v>22</v>
      </c>
      <c r="K513" t="s" s="2">
        <v>1124</v>
      </c>
      <c r="L513" t="s" s="2">
        <v>524</v>
      </c>
      <c r="M513" s="8">
        <v>554655</v>
      </c>
      <c r="N513" s="8">
        <v>6373053</v>
      </c>
      <c r="O513" t="s" s="2">
        <v>305</v>
      </c>
      <c r="P513" s="8">
        <v>51471</v>
      </c>
      <c r="Q513" t="s" s="2">
        <v>606</v>
      </c>
      <c r="R513" t="s" s="2">
        <f>_xlfn.IFERROR(INDEX('model_byCAP'!$D$2:$D$377,MATCH(Q513,'model_byCAP'!$A$2:$A$377,0)),0)</f>
        <v>513</v>
      </c>
    </row>
    <row r="514" ht="15.35" customHeight="1">
      <c r="A514" t="s" s="2">
        <v>1125</v>
      </c>
      <c r="B514" s="4">
        <v>42726</v>
      </c>
      <c r="C514" s="8">
        <v>3450</v>
      </c>
      <c r="D514" s="5">
        <v>126</v>
      </c>
      <c r="E514" s="5">
        <v>87</v>
      </c>
      <c r="F514" t="s" s="2">
        <v>301</v>
      </c>
      <c r="G514" t="s" s="2">
        <v>603</v>
      </c>
      <c r="H514" s="5">
        <v>860</v>
      </c>
      <c r="I514" t="s" s="2">
        <v>449</v>
      </c>
      <c r="J514" t="s" s="2">
        <v>22</v>
      </c>
      <c r="K514" t="s" s="2">
        <v>1124</v>
      </c>
      <c r="L514" t="s" s="2">
        <v>524</v>
      </c>
      <c r="M514" s="8">
        <v>554871</v>
      </c>
      <c r="N514" s="8">
        <v>6372796</v>
      </c>
      <c r="O514" t="s" s="2">
        <v>305</v>
      </c>
      <c r="P514" s="8">
        <v>51472</v>
      </c>
      <c r="Q514" t="s" s="2">
        <v>606</v>
      </c>
      <c r="R514" t="s" s="2">
        <f>_xlfn.IFERROR(INDEX('model_byCAP'!$D$2:$D$377,MATCH(Q514,'model_byCAP'!$A$2:$A$377,0)),0)</f>
        <v>513</v>
      </c>
    </row>
    <row r="515" ht="15.35" customHeight="1">
      <c r="A515" t="s" s="2">
        <v>1126</v>
      </c>
      <c r="B515" s="4">
        <v>42726</v>
      </c>
      <c r="C515" s="8">
        <v>3450</v>
      </c>
      <c r="D515" s="5">
        <v>126</v>
      </c>
      <c r="E515" s="5">
        <v>87</v>
      </c>
      <c r="F515" t="s" s="2">
        <v>301</v>
      </c>
      <c r="G515" t="s" s="2">
        <v>603</v>
      </c>
      <c r="H515" s="5">
        <v>860</v>
      </c>
      <c r="I515" t="s" s="2">
        <v>449</v>
      </c>
      <c r="J515" t="s" s="2">
        <v>22</v>
      </c>
      <c r="K515" t="s" s="2">
        <v>1124</v>
      </c>
      <c r="L515" t="s" s="2">
        <v>518</v>
      </c>
      <c r="M515" s="8">
        <v>555081</v>
      </c>
      <c r="N515" s="8">
        <v>6372536</v>
      </c>
      <c r="O515" t="s" s="2">
        <v>305</v>
      </c>
      <c r="P515" s="8">
        <v>51473</v>
      </c>
      <c r="Q515" t="s" s="2">
        <v>606</v>
      </c>
      <c r="R515" t="s" s="2">
        <f>_xlfn.IFERROR(INDEX('model_byCAP'!$D$2:$D$377,MATCH(Q515,'model_byCAP'!$A$2:$A$377,0)),0)</f>
        <v>513</v>
      </c>
    </row>
    <row r="516" ht="15.35" customHeight="1">
      <c r="A516" t="s" s="2">
        <v>1127</v>
      </c>
      <c r="B516" s="4">
        <v>42825</v>
      </c>
      <c r="C516" s="8">
        <v>3450</v>
      </c>
      <c r="D516" s="5">
        <v>117</v>
      </c>
      <c r="E516" s="5">
        <v>92</v>
      </c>
      <c r="F516" t="s" s="2">
        <v>301</v>
      </c>
      <c r="G516" t="s" s="2">
        <v>1005</v>
      </c>
      <c r="H516" s="5">
        <v>860</v>
      </c>
      <c r="I516" t="s" s="2">
        <v>449</v>
      </c>
      <c r="J516" t="s" s="2">
        <v>22</v>
      </c>
      <c r="K516" t="s" s="2">
        <v>1128</v>
      </c>
      <c r="L516" t="s" s="2">
        <v>1129</v>
      </c>
      <c r="M516" s="8">
        <v>561901</v>
      </c>
      <c r="N516" s="8">
        <v>6359548</v>
      </c>
      <c r="O516" t="s" s="2">
        <v>305</v>
      </c>
      <c r="P516" s="8">
        <v>51474</v>
      </c>
      <c r="Q516" t="s" s="2">
        <v>1009</v>
      </c>
      <c r="R516" t="s" s="2">
        <f>_xlfn.IFERROR(INDEX('model_byCAP'!$D$2:$D$377,MATCH(Q516,'model_byCAP'!$A$2:$A$377,0)),0)</f>
        <v>467</v>
      </c>
    </row>
    <row r="517" ht="15.35" customHeight="1">
      <c r="A517" t="s" s="2">
        <v>1130</v>
      </c>
      <c r="B517" s="4">
        <v>42821</v>
      </c>
      <c r="C517" s="8">
        <v>3450</v>
      </c>
      <c r="D517" s="5">
        <v>117</v>
      </c>
      <c r="E517" s="5">
        <v>92</v>
      </c>
      <c r="F517" t="s" s="2">
        <v>301</v>
      </c>
      <c r="G517" t="s" s="2">
        <v>1005</v>
      </c>
      <c r="H517" s="5">
        <v>860</v>
      </c>
      <c r="I517" t="s" s="2">
        <v>449</v>
      </c>
      <c r="J517" t="s" s="2">
        <v>22</v>
      </c>
      <c r="K517" t="s" s="2">
        <v>1128</v>
      </c>
      <c r="L517" t="s" s="2">
        <v>1131</v>
      </c>
      <c r="M517" s="8">
        <v>561956</v>
      </c>
      <c r="N517" s="8">
        <v>6359873</v>
      </c>
      <c r="O517" t="s" s="2">
        <v>305</v>
      </c>
      <c r="P517" s="8">
        <v>51475</v>
      </c>
      <c r="Q517" t="s" s="2">
        <v>1009</v>
      </c>
      <c r="R517" t="s" s="2">
        <f>_xlfn.IFERROR(INDEX('model_byCAP'!$D$2:$D$377,MATCH(Q517,'model_byCAP'!$A$2:$A$377,0)),0)</f>
        <v>467</v>
      </c>
    </row>
    <row r="518" ht="15.35" customHeight="1">
      <c r="A518" t="s" s="2">
        <v>1132</v>
      </c>
      <c r="B518" s="4">
        <v>42820</v>
      </c>
      <c r="C518" s="8">
        <v>3450</v>
      </c>
      <c r="D518" s="5">
        <v>117</v>
      </c>
      <c r="E518" s="5">
        <v>92</v>
      </c>
      <c r="F518" t="s" s="2">
        <v>301</v>
      </c>
      <c r="G518" t="s" s="2">
        <v>1005</v>
      </c>
      <c r="H518" s="5">
        <v>860</v>
      </c>
      <c r="I518" t="s" s="2">
        <v>449</v>
      </c>
      <c r="J518" t="s" s="2">
        <v>22</v>
      </c>
      <c r="K518" t="s" s="2">
        <v>1128</v>
      </c>
      <c r="L518" t="s" s="2">
        <v>597</v>
      </c>
      <c r="M518" s="8">
        <v>562012</v>
      </c>
      <c r="N518" s="8">
        <v>6360199</v>
      </c>
      <c r="O518" t="s" s="2">
        <v>305</v>
      </c>
      <c r="P518" s="8">
        <v>51476</v>
      </c>
      <c r="Q518" t="s" s="2">
        <v>1009</v>
      </c>
      <c r="R518" t="s" s="2">
        <f>_xlfn.IFERROR(INDEX('model_byCAP'!$D$2:$D$377,MATCH(Q518,'model_byCAP'!$A$2:$A$377,0)),0)</f>
        <v>467</v>
      </c>
    </row>
    <row r="519" ht="15.35" customHeight="1">
      <c r="A519" t="s" s="2">
        <v>1133</v>
      </c>
      <c r="B519" s="4">
        <v>42823</v>
      </c>
      <c r="C519" s="8">
        <v>3450</v>
      </c>
      <c r="D519" s="5">
        <v>117</v>
      </c>
      <c r="E519" s="5">
        <v>92</v>
      </c>
      <c r="F519" t="s" s="2">
        <v>301</v>
      </c>
      <c r="G519" t="s" s="2">
        <v>1005</v>
      </c>
      <c r="H519" s="5">
        <v>860</v>
      </c>
      <c r="I519" t="s" s="2">
        <v>449</v>
      </c>
      <c r="J519" t="s" s="2">
        <v>22</v>
      </c>
      <c r="K519" t="s" s="2">
        <v>1134</v>
      </c>
      <c r="L519" t="s" s="2">
        <v>1135</v>
      </c>
      <c r="M519" s="8">
        <v>562066</v>
      </c>
      <c r="N519" s="8">
        <v>6360524</v>
      </c>
      <c r="O519" t="s" s="2">
        <v>305</v>
      </c>
      <c r="P519" s="8">
        <v>51477</v>
      </c>
      <c r="Q519" t="s" s="2">
        <v>1009</v>
      </c>
      <c r="R519" t="s" s="2">
        <f>_xlfn.IFERROR(INDEX('model_byCAP'!$D$2:$D$377,MATCH(Q519,'model_byCAP'!$A$2:$A$377,0)),0)</f>
        <v>467</v>
      </c>
    </row>
    <row r="520" ht="15.35" customHeight="1">
      <c r="A520" t="s" s="2">
        <v>1136</v>
      </c>
      <c r="B520" s="4">
        <v>42805</v>
      </c>
      <c r="C520" s="8">
        <v>3450</v>
      </c>
      <c r="D520" s="5">
        <v>117</v>
      </c>
      <c r="E520" s="5">
        <v>92</v>
      </c>
      <c r="F520" t="s" s="2">
        <v>301</v>
      </c>
      <c r="G520" t="s" s="2">
        <v>1005</v>
      </c>
      <c r="H520" s="5">
        <v>860</v>
      </c>
      <c r="I520" t="s" s="2">
        <v>449</v>
      </c>
      <c r="J520" t="s" s="2">
        <v>22</v>
      </c>
      <c r="K520" t="s" s="2">
        <v>1134</v>
      </c>
      <c r="L520" s="5">
        <v>34</v>
      </c>
      <c r="M520" s="8">
        <v>562121</v>
      </c>
      <c r="N520" s="8">
        <v>6360849</v>
      </c>
      <c r="O520" t="s" s="2">
        <v>305</v>
      </c>
      <c r="P520" s="8">
        <v>51478</v>
      </c>
      <c r="Q520" t="s" s="2">
        <v>1009</v>
      </c>
      <c r="R520" t="s" s="2">
        <f>_xlfn.IFERROR(INDEX('model_byCAP'!$D$2:$D$377,MATCH(Q520,'model_byCAP'!$A$2:$A$377,0)),0)</f>
        <v>467</v>
      </c>
    </row>
    <row r="521" ht="15.35" customHeight="1">
      <c r="A521" t="s" s="2">
        <v>1137</v>
      </c>
      <c r="B521" s="4">
        <v>43045</v>
      </c>
      <c r="C521" s="5">
        <v>3400</v>
      </c>
      <c r="D521" s="5">
        <v>113</v>
      </c>
      <c r="E521" s="5">
        <v>83.5</v>
      </c>
      <c r="F521" t="s" s="2">
        <v>19</v>
      </c>
      <c r="G521" t="s" s="2">
        <v>1138</v>
      </c>
      <c r="H521" s="5">
        <v>851</v>
      </c>
      <c r="I521" t="s" s="2">
        <v>1139</v>
      </c>
      <c r="J521" t="s" s="2">
        <v>22</v>
      </c>
      <c r="K521" t="s" s="2">
        <v>1140</v>
      </c>
      <c r="L521" t="s" s="2">
        <v>1053</v>
      </c>
      <c r="M521" s="5">
        <v>569662</v>
      </c>
      <c r="N521" s="5">
        <v>6331602</v>
      </c>
      <c r="O521" t="s" s="2">
        <v>305</v>
      </c>
      <c r="P521" s="5">
        <v>51864</v>
      </c>
      <c r="Q521" t="s" s="2">
        <v>1141</v>
      </c>
      <c r="R521" t="s" s="2">
        <f>_xlfn.IFERROR(INDEX('model_byCAP'!$D$2:$D$377,MATCH(Q521,'model_byCAP'!$A$2:$A$377,0)),0)</f>
        <v>27</v>
      </c>
    </row>
    <row r="522" ht="15.35" customHeight="1">
      <c r="A522" t="s" s="2">
        <v>1142</v>
      </c>
      <c r="B522" s="4">
        <v>43045</v>
      </c>
      <c r="C522" s="5">
        <v>3400</v>
      </c>
      <c r="D522" s="5">
        <v>113</v>
      </c>
      <c r="E522" s="5">
        <v>83.5</v>
      </c>
      <c r="F522" t="s" s="2">
        <v>19</v>
      </c>
      <c r="G522" t="s" s="2">
        <v>1138</v>
      </c>
      <c r="H522" s="5">
        <v>851</v>
      </c>
      <c r="I522" t="s" s="2">
        <v>1139</v>
      </c>
      <c r="J522" t="s" s="2">
        <v>22</v>
      </c>
      <c r="K522" t="s" s="2">
        <v>1140</v>
      </c>
      <c r="L522" t="s" s="2">
        <v>1143</v>
      </c>
      <c r="M522" s="5">
        <v>569344</v>
      </c>
      <c r="N522" s="5">
        <v>6331730</v>
      </c>
      <c r="O522" t="s" s="2">
        <v>305</v>
      </c>
      <c r="P522" s="5">
        <v>51863</v>
      </c>
      <c r="Q522" t="s" s="2">
        <v>1141</v>
      </c>
      <c r="R522" t="s" s="2">
        <f>_xlfn.IFERROR(INDEX('model_byCAP'!$D$2:$D$377,MATCH(Q522,'model_byCAP'!$A$2:$A$377,0)),0)</f>
        <v>27</v>
      </c>
    </row>
    <row r="523" ht="15.35" customHeight="1">
      <c r="A523" t="s" s="2">
        <v>1144</v>
      </c>
      <c r="B523" s="4">
        <v>43061</v>
      </c>
      <c r="C523" s="5">
        <v>3400</v>
      </c>
      <c r="D523" s="5">
        <v>113</v>
      </c>
      <c r="E523" s="5">
        <v>83.5</v>
      </c>
      <c r="F523" t="s" s="2">
        <v>19</v>
      </c>
      <c r="G523" t="s" s="2">
        <v>1138</v>
      </c>
      <c r="H523" s="5">
        <v>851</v>
      </c>
      <c r="I523" t="s" s="2">
        <v>1139</v>
      </c>
      <c r="J523" t="s" s="2">
        <v>22</v>
      </c>
      <c r="K523" t="s" s="2">
        <v>1140</v>
      </c>
      <c r="L523" t="s" s="2">
        <v>1145</v>
      </c>
      <c r="M523" s="5">
        <v>569026</v>
      </c>
      <c r="N523" s="5">
        <v>6331857</v>
      </c>
      <c r="O523" t="s" s="2">
        <v>305</v>
      </c>
      <c r="P523" s="5">
        <v>51862</v>
      </c>
      <c r="Q523" t="s" s="2">
        <v>1141</v>
      </c>
      <c r="R523" t="s" s="2">
        <f>_xlfn.IFERROR(INDEX('model_byCAP'!$D$2:$D$377,MATCH(Q523,'model_byCAP'!$A$2:$A$377,0)),0)</f>
        <v>27</v>
      </c>
    </row>
    <row r="524" ht="15.35" customHeight="1">
      <c r="A524" t="s" s="2">
        <v>1146</v>
      </c>
      <c r="B524" s="4">
        <v>43045</v>
      </c>
      <c r="C524" s="5">
        <v>3400</v>
      </c>
      <c r="D524" s="5">
        <v>113</v>
      </c>
      <c r="E524" s="5">
        <v>83.5</v>
      </c>
      <c r="F524" t="s" s="2">
        <v>19</v>
      </c>
      <c r="G524" t="s" s="2">
        <v>1138</v>
      </c>
      <c r="H524" s="5">
        <v>851</v>
      </c>
      <c r="I524" t="s" s="2">
        <v>1139</v>
      </c>
      <c r="J524" t="s" s="2">
        <v>22</v>
      </c>
      <c r="K524" t="s" s="2">
        <v>1140</v>
      </c>
      <c r="L524" t="s" s="2">
        <v>1147</v>
      </c>
      <c r="M524" s="5">
        <v>568708</v>
      </c>
      <c r="N524" s="5">
        <v>6331985</v>
      </c>
      <c r="O524" t="s" s="2">
        <v>305</v>
      </c>
      <c r="P524" s="5">
        <v>51861</v>
      </c>
      <c r="Q524" t="s" s="2">
        <v>1141</v>
      </c>
      <c r="R524" t="s" s="2">
        <f>_xlfn.IFERROR(INDEX('model_byCAP'!$D$2:$D$377,MATCH(Q524,'model_byCAP'!$A$2:$A$377,0)),0)</f>
        <v>27</v>
      </c>
    </row>
    <row r="525" ht="15.35" customHeight="1">
      <c r="A525" t="s" s="2">
        <v>1148</v>
      </c>
      <c r="B525" s="4">
        <v>43053</v>
      </c>
      <c r="C525" s="5">
        <v>3400</v>
      </c>
      <c r="D525" s="5">
        <v>113</v>
      </c>
      <c r="E525" s="5">
        <v>83.5</v>
      </c>
      <c r="F525" t="s" s="2">
        <v>19</v>
      </c>
      <c r="G525" t="s" s="2">
        <v>1138</v>
      </c>
      <c r="H525" s="5">
        <v>851</v>
      </c>
      <c r="I525" t="s" s="2">
        <v>1139</v>
      </c>
      <c r="J525" t="s" s="2">
        <v>22</v>
      </c>
      <c r="K525" t="s" s="2">
        <v>1149</v>
      </c>
      <c r="L525" t="s" s="2">
        <v>405</v>
      </c>
      <c r="M525" s="5">
        <v>568390</v>
      </c>
      <c r="N525" s="5">
        <v>6332113</v>
      </c>
      <c r="O525" t="s" s="2">
        <v>305</v>
      </c>
      <c r="P525" s="5">
        <v>51860</v>
      </c>
      <c r="Q525" t="s" s="2">
        <v>1141</v>
      </c>
      <c r="R525" t="s" s="2">
        <f>_xlfn.IFERROR(INDEX('model_byCAP'!$D$2:$D$377,MATCH(Q525,'model_byCAP'!$A$2:$A$377,0)),0)</f>
        <v>27</v>
      </c>
    </row>
    <row r="526" ht="15.35" customHeight="1">
      <c r="A526" t="s" s="2">
        <v>1150</v>
      </c>
      <c r="B526" s="4">
        <v>43056</v>
      </c>
      <c r="C526" s="5">
        <v>3400</v>
      </c>
      <c r="D526" s="5">
        <v>113</v>
      </c>
      <c r="E526" s="5">
        <v>83.5</v>
      </c>
      <c r="F526" t="s" s="2">
        <v>19</v>
      </c>
      <c r="G526" t="s" s="2">
        <v>1138</v>
      </c>
      <c r="H526" s="5">
        <v>851</v>
      </c>
      <c r="I526" t="s" s="2">
        <v>1139</v>
      </c>
      <c r="J526" t="s" s="2">
        <v>22</v>
      </c>
      <c r="K526" t="s" s="2">
        <v>1140</v>
      </c>
      <c r="L526" t="s" s="2">
        <v>597</v>
      </c>
      <c r="M526" s="5">
        <v>568072</v>
      </c>
      <c r="N526" s="5">
        <v>6332240</v>
      </c>
      <c r="O526" t="s" s="2">
        <v>305</v>
      </c>
      <c r="P526" s="5">
        <v>51859</v>
      </c>
      <c r="Q526" t="s" s="2">
        <v>1141</v>
      </c>
      <c r="R526" t="s" s="2">
        <f>_xlfn.IFERROR(INDEX('model_byCAP'!$D$2:$D$377,MATCH(Q526,'model_byCAP'!$A$2:$A$377,0)),0)</f>
        <v>27</v>
      </c>
    </row>
    <row r="527" ht="15.35" customHeight="1">
      <c r="A527" t="s" s="2">
        <v>1151</v>
      </c>
      <c r="B527" s="4">
        <v>43053</v>
      </c>
      <c r="C527" s="5">
        <v>3400</v>
      </c>
      <c r="D527" s="5">
        <v>113</v>
      </c>
      <c r="E527" s="5">
        <v>83.5</v>
      </c>
      <c r="F527" t="s" s="2">
        <v>19</v>
      </c>
      <c r="G527" t="s" s="2">
        <v>1138</v>
      </c>
      <c r="H527" s="5">
        <v>851</v>
      </c>
      <c r="I527" t="s" s="2">
        <v>1139</v>
      </c>
      <c r="J527" t="s" s="2">
        <v>22</v>
      </c>
      <c r="K527" t="s" s="2">
        <v>1140</v>
      </c>
      <c r="L527" t="s" s="2">
        <v>504</v>
      </c>
      <c r="M527" s="5">
        <v>567762</v>
      </c>
      <c r="N527" s="5">
        <v>6332365</v>
      </c>
      <c r="O527" t="s" s="2">
        <v>305</v>
      </c>
      <c r="P527" s="5">
        <v>51858</v>
      </c>
      <c r="Q527" t="s" s="2">
        <v>1141</v>
      </c>
      <c r="R527" t="s" s="2">
        <f>_xlfn.IFERROR(INDEX('model_byCAP'!$D$2:$D$377,MATCH(Q527,'model_byCAP'!$A$2:$A$377,0)),0)</f>
        <v>27</v>
      </c>
    </row>
    <row r="528" ht="15.35" customHeight="1">
      <c r="A528" t="s" s="2">
        <v>1152</v>
      </c>
      <c r="B528" s="4">
        <v>43053</v>
      </c>
      <c r="C528" s="5">
        <v>3400</v>
      </c>
      <c r="D528" s="5">
        <v>113</v>
      </c>
      <c r="E528" s="5">
        <v>83.5</v>
      </c>
      <c r="F528" t="s" s="2">
        <v>19</v>
      </c>
      <c r="G528" t="s" s="2">
        <v>1138</v>
      </c>
      <c r="H528" s="5">
        <v>851</v>
      </c>
      <c r="I528" t="s" s="2">
        <v>1139</v>
      </c>
      <c r="J528" t="s" s="2">
        <v>22</v>
      </c>
      <c r="K528" t="s" s="2">
        <v>1140</v>
      </c>
      <c r="L528" t="s" s="2">
        <v>1153</v>
      </c>
      <c r="M528" s="5">
        <v>567452</v>
      </c>
      <c r="N528" s="5">
        <v>6332489</v>
      </c>
      <c r="O528" t="s" s="2">
        <v>305</v>
      </c>
      <c r="P528" s="5">
        <v>51857</v>
      </c>
      <c r="Q528" t="s" s="2">
        <v>1141</v>
      </c>
      <c r="R528" t="s" s="2">
        <f>_xlfn.IFERROR(INDEX('model_byCAP'!$D$2:$D$377,MATCH(Q528,'model_byCAP'!$A$2:$A$377,0)),0)</f>
        <v>27</v>
      </c>
    </row>
    <row r="529" ht="15.35" customHeight="1">
      <c r="A529" t="s" s="2">
        <v>1154</v>
      </c>
      <c r="B529" s="4">
        <v>42719</v>
      </c>
      <c r="C529" s="5">
        <v>3300</v>
      </c>
      <c r="D529" s="5">
        <v>117</v>
      </c>
      <c r="E529" s="5">
        <v>91.5</v>
      </c>
      <c r="F529" t="s" s="2">
        <v>301</v>
      </c>
      <c r="G529" t="s" s="2">
        <v>1155</v>
      </c>
      <c r="H529" s="5">
        <v>320</v>
      </c>
      <c r="I529" t="s" s="2">
        <v>1006</v>
      </c>
      <c r="J529" t="s" s="2">
        <v>22</v>
      </c>
      <c r="K529" t="s" s="2">
        <v>1007</v>
      </c>
      <c r="L529" t="s" s="2">
        <v>518</v>
      </c>
      <c r="M529" s="5">
        <v>696339</v>
      </c>
      <c r="N529" s="5">
        <v>6139432</v>
      </c>
      <c r="O529" t="s" s="2">
        <v>305</v>
      </c>
      <c r="P529" s="5">
        <v>61063011</v>
      </c>
      <c r="Q529" t="s" s="2">
        <v>1156</v>
      </c>
      <c r="R529" t="s" s="2">
        <f>_xlfn.IFERROR(INDEX('model_byCAP'!$D$2:$D$377,MATCH(Q529,'model_byCAP'!$A$2:$A$377,0)),0)</f>
        <v>467</v>
      </c>
    </row>
    <row r="530" ht="15.35" customHeight="1">
      <c r="A530" t="s" s="2">
        <v>1157</v>
      </c>
      <c r="B530" s="4">
        <v>42725</v>
      </c>
      <c r="C530" s="5">
        <v>3300</v>
      </c>
      <c r="D530" s="5">
        <v>117</v>
      </c>
      <c r="E530" s="5">
        <v>91.5</v>
      </c>
      <c r="F530" t="s" s="2">
        <v>301</v>
      </c>
      <c r="G530" t="s" s="2">
        <v>1155</v>
      </c>
      <c r="H530" s="5">
        <v>320</v>
      </c>
      <c r="I530" t="s" s="2">
        <v>1006</v>
      </c>
      <c r="J530" t="s" s="2">
        <v>22</v>
      </c>
      <c r="K530" t="s" s="2">
        <v>1007</v>
      </c>
      <c r="L530" t="s" s="2">
        <v>518</v>
      </c>
      <c r="M530" s="5">
        <v>696261</v>
      </c>
      <c r="N530" s="5">
        <v>6139827</v>
      </c>
      <c r="O530" t="s" s="2">
        <v>305</v>
      </c>
      <c r="P530" s="5">
        <v>61063012</v>
      </c>
      <c r="Q530" t="s" s="2">
        <v>1156</v>
      </c>
      <c r="R530" t="s" s="2">
        <f>_xlfn.IFERROR(INDEX('model_byCAP'!$D$2:$D$377,MATCH(Q530,'model_byCAP'!$A$2:$A$377,0)),0)</f>
        <v>467</v>
      </c>
    </row>
    <row r="531" ht="15.35" customHeight="1">
      <c r="A531" t="s" s="2">
        <v>1158</v>
      </c>
      <c r="B531" s="4">
        <v>42021</v>
      </c>
      <c r="C531" s="5">
        <v>3300</v>
      </c>
      <c r="D531" s="5">
        <v>112</v>
      </c>
      <c r="E531" s="5">
        <v>84</v>
      </c>
      <c r="F531" t="s" s="2">
        <v>301</v>
      </c>
      <c r="G531" t="s" s="2">
        <v>1063</v>
      </c>
      <c r="H531" s="5">
        <v>360</v>
      </c>
      <c r="I531" t="s" s="2">
        <v>463</v>
      </c>
      <c r="J531" t="s" s="2">
        <v>22</v>
      </c>
      <c r="K531" t="s" s="2">
        <v>1159</v>
      </c>
      <c r="L531" t="s" s="2">
        <v>551</v>
      </c>
      <c r="M531" s="5">
        <v>660669</v>
      </c>
      <c r="N531" s="5">
        <v>6076312</v>
      </c>
      <c r="O531" t="s" s="2">
        <v>305</v>
      </c>
      <c r="P531" s="5">
        <v>60725336</v>
      </c>
      <c r="Q531" t="s" s="2">
        <v>1066</v>
      </c>
      <c r="R531" t="s" s="2">
        <f>_xlfn.IFERROR(INDEX('model_byCAP'!$D$2:$D$377,MATCH(Q531,'model_byCAP'!$A$2:$A$377,0)),0)</f>
        <v>1067</v>
      </c>
    </row>
    <row r="532" ht="15.35" customHeight="1">
      <c r="A532" t="s" s="2">
        <v>1160</v>
      </c>
      <c r="B532" s="4">
        <v>42025</v>
      </c>
      <c r="C532" s="5">
        <v>3300</v>
      </c>
      <c r="D532" s="5">
        <v>112</v>
      </c>
      <c r="E532" s="5">
        <v>84</v>
      </c>
      <c r="F532" t="s" s="2">
        <v>301</v>
      </c>
      <c r="G532" t="s" s="2">
        <v>1063</v>
      </c>
      <c r="H532" s="5">
        <v>360</v>
      </c>
      <c r="I532" t="s" s="2">
        <v>463</v>
      </c>
      <c r="J532" t="s" s="2">
        <v>22</v>
      </c>
      <c r="K532" t="s" s="2">
        <v>1159</v>
      </c>
      <c r="L532" t="s" s="2">
        <v>1161</v>
      </c>
      <c r="M532" s="5">
        <v>660602.79</v>
      </c>
      <c r="N532" s="5">
        <v>6076615.34</v>
      </c>
      <c r="O532" t="s" s="2">
        <v>305</v>
      </c>
      <c r="P532" s="5">
        <v>60725339</v>
      </c>
      <c r="Q532" t="s" s="2">
        <v>1066</v>
      </c>
      <c r="R532" t="s" s="2">
        <f>_xlfn.IFERROR(INDEX('model_byCAP'!$D$2:$D$377,MATCH(Q532,'model_byCAP'!$A$2:$A$377,0)),0)</f>
        <v>1067</v>
      </c>
    </row>
    <row r="533" ht="15.35" customHeight="1">
      <c r="A533" t="s" s="2">
        <v>1162</v>
      </c>
      <c r="B533" s="4">
        <v>42002</v>
      </c>
      <c r="C533" s="5">
        <v>3300</v>
      </c>
      <c r="D533" s="5">
        <v>112</v>
      </c>
      <c r="E533" s="5">
        <v>84</v>
      </c>
      <c r="F533" t="s" s="2">
        <v>301</v>
      </c>
      <c r="G533" t="s" s="2">
        <v>1063</v>
      </c>
      <c r="H533" s="5">
        <v>360</v>
      </c>
      <c r="I533" t="s" s="2">
        <v>463</v>
      </c>
      <c r="J533" t="s" s="2">
        <v>22</v>
      </c>
      <c r="K533" t="s" s="2">
        <v>1159</v>
      </c>
      <c r="L533" t="s" s="2">
        <v>1161</v>
      </c>
      <c r="M533" s="5">
        <v>660536</v>
      </c>
      <c r="N533" s="5">
        <v>6076918</v>
      </c>
      <c r="O533" t="s" s="2">
        <v>305</v>
      </c>
      <c r="P533" s="5">
        <v>60725342</v>
      </c>
      <c r="Q533" t="s" s="2">
        <v>1066</v>
      </c>
      <c r="R533" t="s" s="2">
        <f>_xlfn.IFERROR(INDEX('model_byCAP'!$D$2:$D$377,MATCH(Q533,'model_byCAP'!$A$2:$A$377,0)),0)</f>
        <v>1067</v>
      </c>
    </row>
    <row r="534" ht="15.35" customHeight="1">
      <c r="A534" t="s" s="2">
        <v>1163</v>
      </c>
      <c r="B534" s="4">
        <v>42114</v>
      </c>
      <c r="C534" s="5">
        <v>3300</v>
      </c>
      <c r="D534" s="5">
        <v>117</v>
      </c>
      <c r="E534" s="5">
        <v>91.5</v>
      </c>
      <c r="F534" t="s" s="2">
        <v>301</v>
      </c>
      <c r="G534" t="s" s="2">
        <v>1063</v>
      </c>
      <c r="H534" s="5">
        <v>370</v>
      </c>
      <c r="I534" t="s" s="2">
        <v>520</v>
      </c>
      <c r="J534" t="s" s="2">
        <v>22</v>
      </c>
      <c r="K534" t="s" s="2">
        <v>1164</v>
      </c>
      <c r="L534" t="s" s="2">
        <v>1165</v>
      </c>
      <c r="M534" s="5">
        <v>688986</v>
      </c>
      <c r="N534" s="5">
        <v>6114768</v>
      </c>
      <c r="O534" t="s" s="2">
        <v>305</v>
      </c>
      <c r="P534" s="5">
        <v>60742528</v>
      </c>
      <c r="Q534" t="s" s="2">
        <v>1066</v>
      </c>
      <c r="R534" t="s" s="2">
        <f>_xlfn.IFERROR(INDEX('model_byCAP'!$D$2:$D$377,MATCH(Q534,'model_byCAP'!$A$2:$A$377,0)),0)</f>
        <v>1067</v>
      </c>
    </row>
    <row r="535" ht="15.35" customHeight="1">
      <c r="A535" t="s" s="2">
        <v>1166</v>
      </c>
      <c r="B535" s="4">
        <v>42116</v>
      </c>
      <c r="C535" s="5">
        <v>3300</v>
      </c>
      <c r="D535" s="5">
        <v>117</v>
      </c>
      <c r="E535" s="5">
        <v>91.5</v>
      </c>
      <c r="F535" t="s" s="2">
        <v>301</v>
      </c>
      <c r="G535" t="s" s="2">
        <v>1063</v>
      </c>
      <c r="H535" s="5">
        <v>370</v>
      </c>
      <c r="I535" t="s" s="2">
        <v>520</v>
      </c>
      <c r="J535" t="s" s="2">
        <v>22</v>
      </c>
      <c r="K535" t="s" s="2">
        <v>1164</v>
      </c>
      <c r="L535" t="s" s="2">
        <v>1165</v>
      </c>
      <c r="M535" s="5">
        <v>688759</v>
      </c>
      <c r="N535" s="5">
        <v>6115015</v>
      </c>
      <c r="O535" t="s" s="2">
        <v>305</v>
      </c>
      <c r="P535" s="5">
        <v>60742526</v>
      </c>
      <c r="Q535" t="s" s="2">
        <v>1066</v>
      </c>
      <c r="R535" t="s" s="2">
        <f>_xlfn.IFERROR(INDEX('model_byCAP'!$D$2:$D$377,MATCH(Q535,'model_byCAP'!$A$2:$A$377,0)),0)</f>
        <v>1067</v>
      </c>
    </row>
    <row r="536" ht="15.35" customHeight="1">
      <c r="A536" t="s" s="2">
        <v>1167</v>
      </c>
      <c r="B536" s="4">
        <v>42118</v>
      </c>
      <c r="C536" s="5">
        <v>3300</v>
      </c>
      <c r="D536" s="5">
        <v>117</v>
      </c>
      <c r="E536" s="5">
        <v>91.5</v>
      </c>
      <c r="F536" t="s" s="2">
        <v>301</v>
      </c>
      <c r="G536" t="s" s="2">
        <v>1063</v>
      </c>
      <c r="H536" s="5">
        <v>370</v>
      </c>
      <c r="I536" t="s" s="2">
        <v>520</v>
      </c>
      <c r="J536" t="s" s="2">
        <v>22</v>
      </c>
      <c r="K536" t="s" s="2">
        <v>1164</v>
      </c>
      <c r="L536" t="s" s="2">
        <v>1165</v>
      </c>
      <c r="M536" s="5">
        <v>688532</v>
      </c>
      <c r="N536" s="5">
        <v>6115262</v>
      </c>
      <c r="O536" t="s" s="2">
        <v>305</v>
      </c>
      <c r="P536" s="5">
        <v>60742524</v>
      </c>
      <c r="Q536" t="s" s="2">
        <v>1066</v>
      </c>
      <c r="R536" t="s" s="2">
        <f>_xlfn.IFERROR(INDEX('model_byCAP'!$D$2:$D$377,MATCH(Q536,'model_byCAP'!$A$2:$A$377,0)),0)</f>
        <v>1067</v>
      </c>
    </row>
    <row r="537" ht="15.35" customHeight="1">
      <c r="A537" t="s" s="2">
        <v>1168</v>
      </c>
      <c r="B537" s="4">
        <v>43139</v>
      </c>
      <c r="C537" s="5">
        <v>3300</v>
      </c>
      <c r="D537" s="5">
        <v>117</v>
      </c>
      <c r="E537" s="5">
        <v>91.5</v>
      </c>
      <c r="F537" t="s" s="2">
        <v>301</v>
      </c>
      <c r="G537" t="s" s="2">
        <v>1155</v>
      </c>
      <c r="H537" s="5">
        <v>440</v>
      </c>
      <c r="I537" t="s" s="2">
        <v>1038</v>
      </c>
      <c r="J537" t="s" s="2">
        <v>22</v>
      </c>
      <c r="K537" t="s" s="2">
        <v>1039</v>
      </c>
      <c r="L537" s="5">
        <v>10</v>
      </c>
      <c r="M537" s="5">
        <v>598420.11</v>
      </c>
      <c r="N537" s="5">
        <v>6149118.87</v>
      </c>
      <c r="O537" t="s" s="2">
        <v>305</v>
      </c>
      <c r="P537" s="5">
        <v>18753</v>
      </c>
      <c r="Q537" t="s" s="2">
        <v>1156</v>
      </c>
      <c r="R537" t="s" s="2">
        <f>_xlfn.IFERROR(INDEX('model_byCAP'!$D$2:$D$377,MATCH(Q537,'model_byCAP'!$A$2:$A$377,0)),0)</f>
        <v>467</v>
      </c>
    </row>
    <row r="538" ht="15.35" customHeight="1">
      <c r="A538" t="s" s="2">
        <v>1169</v>
      </c>
      <c r="B538" s="4">
        <v>43141</v>
      </c>
      <c r="C538" s="5">
        <v>3300</v>
      </c>
      <c r="D538" s="5">
        <v>117</v>
      </c>
      <c r="E538" s="5">
        <v>91.5</v>
      </c>
      <c r="F538" t="s" s="2">
        <v>301</v>
      </c>
      <c r="G538" t="s" s="2">
        <v>1063</v>
      </c>
      <c r="H538" s="5">
        <v>440</v>
      </c>
      <c r="I538" t="s" s="2">
        <v>1038</v>
      </c>
      <c r="J538" t="s" s="2">
        <v>22</v>
      </c>
      <c r="K538" t="s" s="2">
        <v>1170</v>
      </c>
      <c r="L538" s="5">
        <v>10</v>
      </c>
      <c r="M538" s="5">
        <v>598134.26</v>
      </c>
      <c r="N538" s="5">
        <v>6148389.11</v>
      </c>
      <c r="O538" t="s" s="2">
        <v>305</v>
      </c>
      <c r="P538" s="5">
        <v>18755</v>
      </c>
      <c r="Q538" t="s" s="2">
        <v>1066</v>
      </c>
      <c r="R538" t="s" s="2">
        <f>_xlfn.IFERROR(INDEX('model_byCAP'!$D$2:$D$377,MATCH(Q538,'model_byCAP'!$A$2:$A$377,0)),0)</f>
        <v>1067</v>
      </c>
    </row>
    <row r="539" ht="15.35" customHeight="1">
      <c r="A539" t="s" s="2">
        <v>1171</v>
      </c>
      <c r="B539" s="4">
        <v>41817</v>
      </c>
      <c r="C539" s="5">
        <v>3300</v>
      </c>
      <c r="D539" s="5">
        <v>117</v>
      </c>
      <c r="E539" s="5">
        <v>91.5</v>
      </c>
      <c r="F539" t="s" s="2">
        <v>301</v>
      </c>
      <c r="G539" t="s" s="2">
        <v>1155</v>
      </c>
      <c r="H539" s="5">
        <v>661</v>
      </c>
      <c r="I539" t="s" s="2">
        <v>562</v>
      </c>
      <c r="J539" t="s" s="2">
        <v>22</v>
      </c>
      <c r="K539" t="s" s="2">
        <v>1172</v>
      </c>
      <c r="L539" t="s" s="2">
        <v>481</v>
      </c>
      <c r="M539" s="5">
        <v>485490.6</v>
      </c>
      <c r="N539" s="5">
        <v>6242085.57</v>
      </c>
      <c r="O539" t="s" s="2">
        <v>305</v>
      </c>
      <c r="P539" s="5">
        <v>40260</v>
      </c>
      <c r="Q539" t="s" s="2">
        <v>1156</v>
      </c>
      <c r="R539" t="s" s="2">
        <f>_xlfn.IFERROR(INDEX('model_byCAP'!$D$2:$D$377,MATCH(Q539,'model_byCAP'!$A$2:$A$377,0)),0)</f>
        <v>467</v>
      </c>
    </row>
    <row r="540" ht="15.35" customHeight="1">
      <c r="A540" t="s" s="2">
        <v>1173</v>
      </c>
      <c r="B540" s="4">
        <v>41815</v>
      </c>
      <c r="C540" s="5">
        <v>3300</v>
      </c>
      <c r="D540" s="5">
        <v>117</v>
      </c>
      <c r="E540" s="5">
        <v>91.5</v>
      </c>
      <c r="F540" t="s" s="2">
        <v>301</v>
      </c>
      <c r="G540" t="s" s="2">
        <v>1155</v>
      </c>
      <c r="H540" s="5">
        <v>661</v>
      </c>
      <c r="I540" t="s" s="2">
        <v>562</v>
      </c>
      <c r="J540" t="s" s="2">
        <v>22</v>
      </c>
      <c r="K540" t="s" s="2">
        <v>1174</v>
      </c>
      <c r="L540" t="s" s="2">
        <v>481</v>
      </c>
      <c r="M540" s="5">
        <v>485656.9</v>
      </c>
      <c r="N540" s="5">
        <v>6241805.93</v>
      </c>
      <c r="O540" t="s" s="2">
        <v>305</v>
      </c>
      <c r="P540" s="5">
        <v>40261</v>
      </c>
      <c r="Q540" t="s" s="2">
        <v>1156</v>
      </c>
      <c r="R540" t="s" s="2">
        <f>_xlfn.IFERROR(INDEX('model_byCAP'!$D$2:$D$377,MATCH(Q540,'model_byCAP'!$A$2:$A$377,0)),0)</f>
        <v>467</v>
      </c>
    </row>
    <row r="541" ht="15.35" customHeight="1">
      <c r="A541" t="s" s="2">
        <v>1175</v>
      </c>
      <c r="B541" s="4">
        <v>41813</v>
      </c>
      <c r="C541" s="5">
        <v>3300</v>
      </c>
      <c r="D541" s="5">
        <v>117</v>
      </c>
      <c r="E541" s="5">
        <v>91.5</v>
      </c>
      <c r="F541" t="s" s="2">
        <v>301</v>
      </c>
      <c r="G541" t="s" s="2">
        <v>1155</v>
      </c>
      <c r="H541" s="5">
        <v>661</v>
      </c>
      <c r="I541" t="s" s="2">
        <v>562</v>
      </c>
      <c r="J541" t="s" s="2">
        <v>22</v>
      </c>
      <c r="K541" t="s" s="2">
        <v>1174</v>
      </c>
      <c r="L541" t="s" s="2">
        <v>481</v>
      </c>
      <c r="M541" s="5">
        <v>485820.37</v>
      </c>
      <c r="N541" s="5">
        <v>6241527.09</v>
      </c>
      <c r="O541" t="s" s="2">
        <v>305</v>
      </c>
      <c r="P541" s="5">
        <v>40262</v>
      </c>
      <c r="Q541" t="s" s="2">
        <v>1156</v>
      </c>
      <c r="R541" t="s" s="2">
        <f>_xlfn.IFERROR(INDEX('model_byCAP'!$D$2:$D$377,MATCH(Q541,'model_byCAP'!$A$2:$A$377,0)),0)</f>
        <v>467</v>
      </c>
    </row>
    <row r="542" ht="15.35" customHeight="1">
      <c r="A542" t="s" s="2">
        <v>1176</v>
      </c>
      <c r="B542" s="4">
        <v>41810</v>
      </c>
      <c r="C542" s="5">
        <v>3300</v>
      </c>
      <c r="D542" s="5">
        <v>117</v>
      </c>
      <c r="E542" s="5">
        <v>91.5</v>
      </c>
      <c r="F542" t="s" s="2">
        <v>301</v>
      </c>
      <c r="G542" t="s" s="2">
        <v>1155</v>
      </c>
      <c r="H542" s="5">
        <v>661</v>
      </c>
      <c r="I542" t="s" s="2">
        <v>562</v>
      </c>
      <c r="J542" t="s" s="2">
        <v>22</v>
      </c>
      <c r="K542" t="s" s="2">
        <v>1174</v>
      </c>
      <c r="L542" t="s" s="2">
        <v>481</v>
      </c>
      <c r="M542" s="5">
        <v>485987.01</v>
      </c>
      <c r="N542" s="5">
        <v>6241247.99</v>
      </c>
      <c r="O542" t="s" s="2">
        <v>305</v>
      </c>
      <c r="P542" s="5">
        <v>40263</v>
      </c>
      <c r="Q542" t="s" s="2">
        <v>1156</v>
      </c>
      <c r="R542" t="s" s="2">
        <f>_xlfn.IFERROR(INDEX('model_byCAP'!$D$2:$D$377,MATCH(Q542,'model_byCAP'!$A$2:$A$377,0)),0)</f>
        <v>467</v>
      </c>
    </row>
    <row r="543" ht="15.35" customHeight="1">
      <c r="A543" t="s" s="2">
        <v>1177</v>
      </c>
      <c r="B543" s="4">
        <v>41615</v>
      </c>
      <c r="C543" s="5">
        <v>3300</v>
      </c>
      <c r="D543" s="5">
        <v>117</v>
      </c>
      <c r="E543" s="5">
        <v>91.5</v>
      </c>
      <c r="F543" t="s" s="2">
        <v>42</v>
      </c>
      <c r="G543" t="s" s="2">
        <v>42</v>
      </c>
      <c r="H543" s="5">
        <v>665</v>
      </c>
      <c r="I543" t="s" s="2">
        <v>316</v>
      </c>
      <c r="J543" t="s" s="2">
        <v>22</v>
      </c>
      <c r="K543" t="s" s="2">
        <v>1178</v>
      </c>
      <c r="L543" t="s" s="2">
        <v>858</v>
      </c>
      <c r="M543" s="5">
        <v>457689.56</v>
      </c>
      <c r="N543" s="5">
        <v>6246799.81</v>
      </c>
      <c r="O543" t="s" s="2">
        <v>305</v>
      </c>
      <c r="P543" s="5">
        <v>40238</v>
      </c>
      <c r="Q543" t="s" s="2">
        <v>43</v>
      </c>
      <c r="R543" s="5">
        <f>_xlfn.IFERROR(INDEX('model_byCAP'!$D$2:$D$377,MATCH(Q543,'model_byCAP'!$A$2:$A$377,0)),0)</f>
        <v>0</v>
      </c>
    </row>
    <row r="544" ht="15.35" customHeight="1">
      <c r="A544" t="s" s="2">
        <v>1179</v>
      </c>
      <c r="B544" s="4">
        <v>41620</v>
      </c>
      <c r="C544" s="5">
        <v>3300</v>
      </c>
      <c r="D544" s="5">
        <v>117</v>
      </c>
      <c r="E544" s="5">
        <v>91.5</v>
      </c>
      <c r="F544" t="s" s="2">
        <v>42</v>
      </c>
      <c r="G544" t="s" s="2">
        <v>42</v>
      </c>
      <c r="H544" s="5">
        <v>665</v>
      </c>
      <c r="I544" t="s" s="2">
        <v>316</v>
      </c>
      <c r="J544" t="s" s="2">
        <v>22</v>
      </c>
      <c r="K544" t="s" s="2">
        <v>1178</v>
      </c>
      <c r="L544" t="s" s="2">
        <v>858</v>
      </c>
      <c r="M544" s="5">
        <v>457768.02</v>
      </c>
      <c r="N544" s="5">
        <v>6247171.14</v>
      </c>
      <c r="O544" t="s" s="2">
        <v>305</v>
      </c>
      <c r="P544" s="5">
        <v>40239</v>
      </c>
      <c r="Q544" t="s" s="2">
        <v>43</v>
      </c>
      <c r="R544" s="5">
        <f>_xlfn.IFERROR(INDEX('model_byCAP'!$D$2:$D$377,MATCH(Q544,'model_byCAP'!$A$2:$A$377,0)),0)</f>
        <v>0</v>
      </c>
    </row>
    <row r="545" ht="15.35" customHeight="1">
      <c r="A545" t="s" s="2">
        <v>1180</v>
      </c>
      <c r="B545" s="4">
        <v>41618</v>
      </c>
      <c r="C545" s="5">
        <v>3300</v>
      </c>
      <c r="D545" s="5">
        <v>117</v>
      </c>
      <c r="E545" s="5">
        <v>91.5</v>
      </c>
      <c r="F545" t="s" s="2">
        <v>301</v>
      </c>
      <c r="G545" t="s" s="2">
        <v>1063</v>
      </c>
      <c r="H545" s="5">
        <v>665</v>
      </c>
      <c r="I545" t="s" s="2">
        <v>316</v>
      </c>
      <c r="J545" t="s" s="2">
        <v>22</v>
      </c>
      <c r="K545" t="s" s="2">
        <v>1178</v>
      </c>
      <c r="L545" t="s" s="2">
        <v>1181</v>
      </c>
      <c r="M545" s="5">
        <v>457841</v>
      </c>
      <c r="N545" s="5">
        <v>6247542</v>
      </c>
      <c r="O545" t="s" s="2">
        <v>305</v>
      </c>
      <c r="P545" s="5">
        <v>40240</v>
      </c>
      <c r="Q545" t="s" s="2">
        <v>1066</v>
      </c>
      <c r="R545" t="s" s="2">
        <f>_xlfn.IFERROR(INDEX('model_byCAP'!$D$2:$D$377,MATCH(Q545,'model_byCAP'!$A$2:$A$377,0)),0)</f>
        <v>1067</v>
      </c>
    </row>
    <row r="546" ht="15.35" customHeight="1">
      <c r="A546" t="s" s="2">
        <v>1182</v>
      </c>
      <c r="B546" s="4">
        <v>41622</v>
      </c>
      <c r="C546" s="5">
        <v>3300</v>
      </c>
      <c r="D546" s="5">
        <v>117</v>
      </c>
      <c r="E546" s="5">
        <v>91.5</v>
      </c>
      <c r="F546" t="s" s="2">
        <v>42</v>
      </c>
      <c r="G546" t="s" s="2">
        <v>42</v>
      </c>
      <c r="H546" s="5">
        <v>665</v>
      </c>
      <c r="I546" t="s" s="2">
        <v>316</v>
      </c>
      <c r="J546" t="s" s="2">
        <v>22</v>
      </c>
      <c r="K546" t="s" s="2">
        <v>1178</v>
      </c>
      <c r="L546" t="s" s="2">
        <v>1181</v>
      </c>
      <c r="M546" s="5">
        <v>457920.98</v>
      </c>
      <c r="N546" s="5">
        <v>6247913.37</v>
      </c>
      <c r="O546" t="s" s="2">
        <v>305</v>
      </c>
      <c r="P546" s="5">
        <v>40241</v>
      </c>
      <c r="Q546" t="s" s="2">
        <v>43</v>
      </c>
      <c r="R546" s="5">
        <f>_xlfn.IFERROR(INDEX('model_byCAP'!$D$2:$D$377,MATCH(Q546,'model_byCAP'!$A$2:$A$377,0)),0)</f>
        <v>0</v>
      </c>
    </row>
    <row r="547" ht="15.35" customHeight="1">
      <c r="A547" t="s" s="2">
        <v>1183</v>
      </c>
      <c r="B547" s="4">
        <v>41622</v>
      </c>
      <c r="C547" s="5">
        <v>3300</v>
      </c>
      <c r="D547" s="5">
        <v>117</v>
      </c>
      <c r="E547" s="5">
        <v>91.5</v>
      </c>
      <c r="F547" t="s" s="2">
        <v>42</v>
      </c>
      <c r="G547" t="s" s="2">
        <v>42</v>
      </c>
      <c r="H547" s="5">
        <v>665</v>
      </c>
      <c r="I547" t="s" s="2">
        <v>316</v>
      </c>
      <c r="J547" t="s" s="2">
        <v>22</v>
      </c>
      <c r="K547" t="s" s="2">
        <v>1178</v>
      </c>
      <c r="L547" t="s" s="2">
        <v>1184</v>
      </c>
      <c r="M547" s="5">
        <v>457996.09</v>
      </c>
      <c r="N547" s="5">
        <v>6248284.37</v>
      </c>
      <c r="O547" t="s" s="2">
        <v>305</v>
      </c>
      <c r="P547" s="5">
        <v>40241</v>
      </c>
      <c r="Q547" t="s" s="2">
        <v>43</v>
      </c>
      <c r="R547" s="5">
        <f>_xlfn.IFERROR(INDEX('model_byCAP'!$D$2:$D$377,MATCH(Q547,'model_byCAP'!$A$2:$A$377,0)),0)</f>
        <v>0</v>
      </c>
    </row>
    <row r="548" ht="15.35" customHeight="1">
      <c r="A548" t="s" s="2">
        <v>1185</v>
      </c>
      <c r="B548" s="4">
        <v>41995</v>
      </c>
      <c r="C548" s="5">
        <v>3300</v>
      </c>
      <c r="D548" s="5">
        <v>117</v>
      </c>
      <c r="E548" s="5">
        <v>91.5</v>
      </c>
      <c r="F548" t="s" s="2">
        <v>301</v>
      </c>
      <c r="G548" t="s" s="2">
        <v>1186</v>
      </c>
      <c r="H548" s="5">
        <v>665</v>
      </c>
      <c r="I548" t="s" s="2">
        <v>316</v>
      </c>
      <c r="J548" t="s" s="2">
        <v>22</v>
      </c>
      <c r="K548" t="s" s="2">
        <v>1187</v>
      </c>
      <c r="L548" t="s" s="2">
        <v>1188</v>
      </c>
      <c r="M548" s="5">
        <v>449951.21</v>
      </c>
      <c r="N548" s="5">
        <v>6257251.05</v>
      </c>
      <c r="O548" t="s" s="2">
        <v>305</v>
      </c>
      <c r="P548" s="5">
        <v>40266</v>
      </c>
      <c r="Q548" t="s" s="2">
        <v>1189</v>
      </c>
      <c r="R548" t="s" s="2">
        <f>_xlfn.IFERROR(INDEX('model_byCAP'!$D$2:$D$377,MATCH(Q548,'model_byCAP'!$A$2:$A$377,0)),0)</f>
        <v>1067</v>
      </c>
    </row>
    <row r="549" ht="15.35" customHeight="1">
      <c r="A549" t="s" s="2">
        <v>1190</v>
      </c>
      <c r="B549" s="4">
        <v>41992</v>
      </c>
      <c r="C549" s="5">
        <v>3300</v>
      </c>
      <c r="D549" s="5">
        <v>117</v>
      </c>
      <c r="E549" s="5">
        <v>91.5</v>
      </c>
      <c r="F549" t="s" s="2">
        <v>301</v>
      </c>
      <c r="G549" t="s" s="2">
        <v>1186</v>
      </c>
      <c r="H549" s="5">
        <v>665</v>
      </c>
      <c r="I549" t="s" s="2">
        <v>316</v>
      </c>
      <c r="J549" t="s" s="2">
        <v>22</v>
      </c>
      <c r="K549" t="s" s="2">
        <v>1187</v>
      </c>
      <c r="L549" t="s" s="2">
        <v>1188</v>
      </c>
      <c r="M549" s="5">
        <v>450271.98</v>
      </c>
      <c r="N549" s="5">
        <v>6257365.98</v>
      </c>
      <c r="O549" t="s" s="2">
        <v>305</v>
      </c>
      <c r="P549" s="5">
        <v>40267</v>
      </c>
      <c r="Q549" t="s" s="2">
        <v>1189</v>
      </c>
      <c r="R549" t="s" s="2">
        <f>_xlfn.IFERROR(INDEX('model_byCAP'!$D$2:$D$377,MATCH(Q549,'model_byCAP'!$A$2:$A$377,0)),0)</f>
        <v>1067</v>
      </c>
    </row>
    <row r="550" ht="15.35" customHeight="1">
      <c r="A550" t="s" s="2">
        <v>1191</v>
      </c>
      <c r="B550" s="4">
        <v>42019</v>
      </c>
      <c r="C550" s="5">
        <v>3300</v>
      </c>
      <c r="D550" s="5">
        <v>117</v>
      </c>
      <c r="E550" s="5">
        <v>91.5</v>
      </c>
      <c r="F550" t="s" s="2">
        <v>301</v>
      </c>
      <c r="G550" t="s" s="2">
        <v>1186</v>
      </c>
      <c r="H550" s="5">
        <v>665</v>
      </c>
      <c r="I550" t="s" s="2">
        <v>316</v>
      </c>
      <c r="J550" t="s" s="2">
        <v>22</v>
      </c>
      <c r="K550" t="s" s="2">
        <v>1187</v>
      </c>
      <c r="L550" t="s" s="2">
        <v>1192</v>
      </c>
      <c r="M550" s="5">
        <v>450592.13</v>
      </c>
      <c r="N550" s="5">
        <v>6257480.57</v>
      </c>
      <c r="O550" t="s" s="2">
        <v>305</v>
      </c>
      <c r="P550" s="5">
        <v>40268</v>
      </c>
      <c r="Q550" t="s" s="2">
        <v>1189</v>
      </c>
      <c r="R550" t="s" s="2">
        <f>_xlfn.IFERROR(INDEX('model_byCAP'!$D$2:$D$377,MATCH(Q550,'model_byCAP'!$A$2:$A$377,0)),0)</f>
        <v>1067</v>
      </c>
    </row>
    <row r="551" ht="15.35" customHeight="1">
      <c r="A551" t="s" s="2">
        <v>1193</v>
      </c>
      <c r="B551" s="4">
        <v>41988</v>
      </c>
      <c r="C551" s="5">
        <v>3300</v>
      </c>
      <c r="D551" s="5">
        <v>117</v>
      </c>
      <c r="E551" s="5">
        <v>91.5</v>
      </c>
      <c r="F551" t="s" s="2">
        <v>301</v>
      </c>
      <c r="G551" t="s" s="2">
        <v>1186</v>
      </c>
      <c r="H551" s="5">
        <v>665</v>
      </c>
      <c r="I551" t="s" s="2">
        <v>316</v>
      </c>
      <c r="J551" t="s" s="2">
        <v>22</v>
      </c>
      <c r="K551" t="s" s="2">
        <v>1187</v>
      </c>
      <c r="L551" t="s" s="2">
        <v>1194</v>
      </c>
      <c r="M551" s="5">
        <v>450913.53</v>
      </c>
      <c r="N551" s="5">
        <v>6257595.86</v>
      </c>
      <c r="O551" t="s" s="2">
        <v>305</v>
      </c>
      <c r="P551" s="5">
        <v>40269</v>
      </c>
      <c r="Q551" t="s" s="2">
        <v>1189</v>
      </c>
      <c r="R551" t="s" s="2">
        <f>_xlfn.IFERROR(INDEX('model_byCAP'!$D$2:$D$377,MATCH(Q551,'model_byCAP'!$A$2:$A$377,0)),0)</f>
        <v>1067</v>
      </c>
    </row>
    <row r="552" ht="15.35" customHeight="1">
      <c r="A552" t="s" s="2">
        <v>1195</v>
      </c>
      <c r="B552" s="4">
        <v>42001</v>
      </c>
      <c r="C552" s="5">
        <v>3300</v>
      </c>
      <c r="D552" s="5">
        <v>117</v>
      </c>
      <c r="E552" s="5">
        <v>91.5</v>
      </c>
      <c r="F552" t="s" s="2">
        <v>301</v>
      </c>
      <c r="G552" t="s" s="2">
        <v>1186</v>
      </c>
      <c r="H552" s="5">
        <v>665</v>
      </c>
      <c r="I552" t="s" s="2">
        <v>316</v>
      </c>
      <c r="J552" t="s" s="2">
        <v>22</v>
      </c>
      <c r="K552" t="s" s="2">
        <v>1187</v>
      </c>
      <c r="L552" t="s" s="2">
        <v>1196</v>
      </c>
      <c r="M552" s="5">
        <v>451233.8</v>
      </c>
      <c r="N552" s="5">
        <v>6257710.26</v>
      </c>
      <c r="O552" t="s" s="2">
        <v>305</v>
      </c>
      <c r="P552" s="5">
        <v>40270</v>
      </c>
      <c r="Q552" t="s" s="2">
        <v>1189</v>
      </c>
      <c r="R552" t="s" s="2">
        <f>_xlfn.IFERROR(INDEX('model_byCAP'!$D$2:$D$377,MATCH(Q552,'model_byCAP'!$A$2:$A$377,0)),0)</f>
        <v>1067</v>
      </c>
    </row>
    <row r="553" ht="15.35" customHeight="1">
      <c r="A553" t="s" s="2">
        <v>1197</v>
      </c>
      <c r="B553" s="4">
        <v>41990</v>
      </c>
      <c r="C553" s="5">
        <v>3300</v>
      </c>
      <c r="D553" s="5">
        <v>117</v>
      </c>
      <c r="E553" s="5">
        <v>91.5</v>
      </c>
      <c r="F553" t="s" s="2">
        <v>301</v>
      </c>
      <c r="G553" t="s" s="2">
        <v>1186</v>
      </c>
      <c r="H553" s="5">
        <v>665</v>
      </c>
      <c r="I553" t="s" s="2">
        <v>316</v>
      </c>
      <c r="J553" t="s" s="2">
        <v>22</v>
      </c>
      <c r="K553" t="s" s="2">
        <v>1187</v>
      </c>
      <c r="L553" t="s" s="2">
        <v>1198</v>
      </c>
      <c r="M553" s="5">
        <v>451554.9</v>
      </c>
      <c r="N553" s="5">
        <v>6257825.09</v>
      </c>
      <c r="O553" t="s" s="2">
        <v>305</v>
      </c>
      <c r="P553" s="5">
        <v>40271</v>
      </c>
      <c r="Q553" t="s" s="2">
        <v>1189</v>
      </c>
      <c r="R553" t="s" s="2">
        <f>_xlfn.IFERROR(INDEX('model_byCAP'!$D$2:$D$377,MATCH(Q553,'model_byCAP'!$A$2:$A$377,0)),0)</f>
        <v>1067</v>
      </c>
    </row>
    <row r="554" ht="15.35" customHeight="1">
      <c r="A554" t="s" s="2">
        <v>1199</v>
      </c>
      <c r="B554" s="4">
        <v>41263</v>
      </c>
      <c r="C554" s="5">
        <v>3300</v>
      </c>
      <c r="D554" s="5">
        <v>112</v>
      </c>
      <c r="E554" s="5">
        <v>94</v>
      </c>
      <c r="F554" t="s" s="2">
        <v>301</v>
      </c>
      <c r="G554" t="s" s="2">
        <v>1109</v>
      </c>
      <c r="H554" s="5">
        <v>760</v>
      </c>
      <c r="I554" t="s" s="2">
        <v>331</v>
      </c>
      <c r="J554" t="s" s="2">
        <v>22</v>
      </c>
      <c r="K554" t="s" s="2">
        <v>1200</v>
      </c>
      <c r="L554" t="s" s="2">
        <v>1201</v>
      </c>
      <c r="M554" s="5">
        <v>459424.16</v>
      </c>
      <c r="N554" s="5">
        <v>6211327.43</v>
      </c>
      <c r="O554" t="s" s="2">
        <v>305</v>
      </c>
      <c r="P554" s="5">
        <v>85118</v>
      </c>
      <c r="Q554" t="s" s="2">
        <v>1111</v>
      </c>
      <c r="R554" t="s" s="2">
        <f>_xlfn.IFERROR(INDEX('model_byCAP'!$D$2:$D$377,MATCH(Q554,'model_byCAP'!$A$2:$A$377,0)),0)</f>
        <v>1112</v>
      </c>
    </row>
    <row r="555" ht="15.35" customHeight="1">
      <c r="A555" t="s" s="2">
        <v>1202</v>
      </c>
      <c r="B555" s="4">
        <v>41618</v>
      </c>
      <c r="C555" s="5">
        <v>3300</v>
      </c>
      <c r="D555" s="5">
        <v>112</v>
      </c>
      <c r="E555" s="5">
        <v>94</v>
      </c>
      <c r="F555" t="s" s="2">
        <v>301</v>
      </c>
      <c r="G555" t="s" s="2">
        <v>1063</v>
      </c>
      <c r="H555" s="5">
        <v>760</v>
      </c>
      <c r="I555" t="s" s="2">
        <v>331</v>
      </c>
      <c r="J555" t="s" s="2">
        <v>22</v>
      </c>
      <c r="K555" t="s" s="2">
        <v>1203</v>
      </c>
      <c r="L555" t="s" s="2">
        <v>1204</v>
      </c>
      <c r="M555" s="5">
        <v>462102.09</v>
      </c>
      <c r="N555" s="5">
        <v>6215999.77</v>
      </c>
      <c r="O555" t="s" s="2">
        <v>305</v>
      </c>
      <c r="P555" s="5">
        <v>85149</v>
      </c>
      <c r="Q555" t="s" s="2">
        <v>1066</v>
      </c>
      <c r="R555" t="s" s="2">
        <f>_xlfn.IFERROR(INDEX('model_byCAP'!$D$2:$D$377,MATCH(Q555,'model_byCAP'!$A$2:$A$377,0)),0)</f>
        <v>1067</v>
      </c>
    </row>
    <row r="556" ht="15.35" customHeight="1">
      <c r="A556" t="s" s="2">
        <v>1205</v>
      </c>
      <c r="B556" s="4">
        <v>41618</v>
      </c>
      <c r="C556" s="5">
        <v>3300</v>
      </c>
      <c r="D556" s="5">
        <v>112</v>
      </c>
      <c r="E556" s="5">
        <v>94</v>
      </c>
      <c r="F556" t="s" s="2">
        <v>301</v>
      </c>
      <c r="G556" t="s" s="2">
        <v>1063</v>
      </c>
      <c r="H556" s="5">
        <v>760</v>
      </c>
      <c r="I556" t="s" s="2">
        <v>331</v>
      </c>
      <c r="J556" t="s" s="2">
        <v>22</v>
      </c>
      <c r="K556" t="s" s="2">
        <v>1203</v>
      </c>
      <c r="L556" t="s" s="2">
        <v>1206</v>
      </c>
      <c r="M556" s="5">
        <v>461797.39</v>
      </c>
      <c r="N556" s="5">
        <v>6216175.17</v>
      </c>
      <c r="O556" t="s" s="2">
        <v>305</v>
      </c>
      <c r="P556" s="5">
        <v>85150</v>
      </c>
      <c r="Q556" t="s" s="2">
        <v>1066</v>
      </c>
      <c r="R556" t="s" s="2">
        <f>_xlfn.IFERROR(INDEX('model_byCAP'!$D$2:$D$377,MATCH(Q556,'model_byCAP'!$A$2:$A$377,0)),0)</f>
        <v>1067</v>
      </c>
    </row>
    <row r="557" ht="15.35" customHeight="1">
      <c r="A557" t="s" s="2">
        <v>1207</v>
      </c>
      <c r="B557" s="4">
        <v>41619</v>
      </c>
      <c r="C557" s="5">
        <v>3300</v>
      </c>
      <c r="D557" s="5">
        <v>112</v>
      </c>
      <c r="E557" s="5">
        <v>94</v>
      </c>
      <c r="F557" t="s" s="2">
        <v>301</v>
      </c>
      <c r="G557" t="s" s="2">
        <v>1063</v>
      </c>
      <c r="H557" s="5">
        <v>760</v>
      </c>
      <c r="I557" t="s" s="2">
        <v>331</v>
      </c>
      <c r="J557" t="s" s="2">
        <v>22</v>
      </c>
      <c r="K557" t="s" s="2">
        <v>1203</v>
      </c>
      <c r="L557" t="s" s="2">
        <v>1208</v>
      </c>
      <c r="M557" s="5">
        <v>461492.93</v>
      </c>
      <c r="N557" s="5">
        <v>6216350.36</v>
      </c>
      <c r="O557" t="s" s="2">
        <v>305</v>
      </c>
      <c r="P557" s="5">
        <v>85151</v>
      </c>
      <c r="Q557" t="s" s="2">
        <v>1066</v>
      </c>
      <c r="R557" t="s" s="2">
        <f>_xlfn.IFERROR(INDEX('model_byCAP'!$D$2:$D$377,MATCH(Q557,'model_byCAP'!$A$2:$A$377,0)),0)</f>
        <v>1067</v>
      </c>
    </row>
    <row r="558" ht="15.35" customHeight="1">
      <c r="A558" t="s" s="2">
        <v>1209</v>
      </c>
      <c r="B558" s="4">
        <v>41585</v>
      </c>
      <c r="C558" s="5">
        <v>3300</v>
      </c>
      <c r="D558" s="5">
        <v>112</v>
      </c>
      <c r="E558" s="5">
        <v>94</v>
      </c>
      <c r="F558" t="s" s="2">
        <v>301</v>
      </c>
      <c r="G558" t="s" s="2">
        <v>1063</v>
      </c>
      <c r="H558" s="5">
        <v>760</v>
      </c>
      <c r="I558" t="s" s="2">
        <v>331</v>
      </c>
      <c r="J558" t="s" s="2">
        <v>22</v>
      </c>
      <c r="K558" t="s" s="2">
        <v>1203</v>
      </c>
      <c r="L558" t="s" s="2">
        <v>1210</v>
      </c>
      <c r="M558" s="5">
        <v>461188.3</v>
      </c>
      <c r="N558" s="5">
        <v>6216525.1</v>
      </c>
      <c r="O558" t="s" s="2">
        <v>305</v>
      </c>
      <c r="P558" s="5">
        <v>85152</v>
      </c>
      <c r="Q558" t="s" s="2">
        <v>1066</v>
      </c>
      <c r="R558" t="s" s="2">
        <f>_xlfn.IFERROR(INDEX('model_byCAP'!$D$2:$D$377,MATCH(Q558,'model_byCAP'!$A$2:$A$377,0)),0)</f>
        <v>1067</v>
      </c>
    </row>
    <row r="559" ht="15.35" customHeight="1">
      <c r="A559" t="s" s="2">
        <v>1211</v>
      </c>
      <c r="B559" s="4">
        <v>41579</v>
      </c>
      <c r="C559" s="5">
        <v>3300</v>
      </c>
      <c r="D559" s="5">
        <v>112</v>
      </c>
      <c r="E559" s="5">
        <v>94</v>
      </c>
      <c r="F559" t="s" s="2">
        <v>301</v>
      </c>
      <c r="G559" t="s" s="2">
        <v>1063</v>
      </c>
      <c r="H559" s="5">
        <v>760</v>
      </c>
      <c r="I559" t="s" s="2">
        <v>331</v>
      </c>
      <c r="J559" t="s" s="2">
        <v>22</v>
      </c>
      <c r="K559" t="s" s="2">
        <v>1203</v>
      </c>
      <c r="L559" t="s" s="2">
        <v>1212</v>
      </c>
      <c r="M559" s="5">
        <v>460883.75</v>
      </c>
      <c r="N559" s="5">
        <v>6216701.09</v>
      </c>
      <c r="O559" t="s" s="2">
        <v>305</v>
      </c>
      <c r="P559" s="5">
        <v>85153</v>
      </c>
      <c r="Q559" t="s" s="2">
        <v>1066</v>
      </c>
      <c r="R559" t="s" s="2">
        <f>_xlfn.IFERROR(INDEX('model_byCAP'!$D$2:$D$377,MATCH(Q559,'model_byCAP'!$A$2:$A$377,0)),0)</f>
        <v>1067</v>
      </c>
    </row>
    <row r="560" ht="15.35" customHeight="1">
      <c r="A560" t="s" s="2">
        <v>1213</v>
      </c>
      <c r="B560" s="4">
        <v>41579</v>
      </c>
      <c r="C560" s="5">
        <v>3300</v>
      </c>
      <c r="D560" s="5">
        <v>112</v>
      </c>
      <c r="E560" s="5">
        <v>94</v>
      </c>
      <c r="F560" t="s" s="2">
        <v>301</v>
      </c>
      <c r="G560" t="s" s="2">
        <v>1063</v>
      </c>
      <c r="H560" s="5">
        <v>760</v>
      </c>
      <c r="I560" t="s" s="2">
        <v>331</v>
      </c>
      <c r="J560" t="s" s="2">
        <v>22</v>
      </c>
      <c r="K560" t="s" s="2">
        <v>1203</v>
      </c>
      <c r="L560" t="s" s="2">
        <v>1214</v>
      </c>
      <c r="M560" s="5">
        <v>460578.7</v>
      </c>
      <c r="N560" s="5">
        <v>6216876.12</v>
      </c>
      <c r="O560" t="s" s="2">
        <v>305</v>
      </c>
      <c r="P560" s="5">
        <v>85154</v>
      </c>
      <c r="Q560" t="s" s="2">
        <v>1066</v>
      </c>
      <c r="R560" t="s" s="2">
        <f>_xlfn.IFERROR(INDEX('model_byCAP'!$D$2:$D$377,MATCH(Q560,'model_byCAP'!$A$2:$A$377,0)),0)</f>
        <v>1067</v>
      </c>
    </row>
    <row r="561" ht="15.35" customHeight="1">
      <c r="A561" t="s" s="2">
        <v>1215</v>
      </c>
      <c r="B561" s="4">
        <v>41621</v>
      </c>
      <c r="C561" s="5">
        <v>3300</v>
      </c>
      <c r="D561" s="5">
        <v>112</v>
      </c>
      <c r="E561" s="5">
        <v>94</v>
      </c>
      <c r="F561" t="s" s="2">
        <v>301</v>
      </c>
      <c r="G561" t="s" s="2">
        <v>1063</v>
      </c>
      <c r="H561" s="5">
        <v>760</v>
      </c>
      <c r="I561" t="s" s="2">
        <v>331</v>
      </c>
      <c r="J561" t="s" s="2">
        <v>22</v>
      </c>
      <c r="K561" t="s" s="2">
        <v>1203</v>
      </c>
      <c r="L561" t="s" s="2">
        <v>1216</v>
      </c>
      <c r="M561" s="5">
        <v>460275.41</v>
      </c>
      <c r="N561" s="5">
        <v>6217050.92</v>
      </c>
      <c r="O561" t="s" s="2">
        <v>305</v>
      </c>
      <c r="P561" s="5">
        <v>85155</v>
      </c>
      <c r="Q561" t="s" s="2">
        <v>1066</v>
      </c>
      <c r="R561" t="s" s="2">
        <f>_xlfn.IFERROR(INDEX('model_byCAP'!$D$2:$D$377,MATCH(Q561,'model_byCAP'!$A$2:$A$377,0)),0)</f>
        <v>1067</v>
      </c>
    </row>
    <row r="562" ht="15.35" customHeight="1">
      <c r="A562" t="s" s="2">
        <v>1217</v>
      </c>
      <c r="B562" s="4">
        <v>41622</v>
      </c>
      <c r="C562" s="5">
        <v>3300</v>
      </c>
      <c r="D562" s="5">
        <v>112</v>
      </c>
      <c r="E562" s="5">
        <v>94</v>
      </c>
      <c r="F562" t="s" s="2">
        <v>301</v>
      </c>
      <c r="G562" t="s" s="2">
        <v>1063</v>
      </c>
      <c r="H562" s="5">
        <v>760</v>
      </c>
      <c r="I562" t="s" s="2">
        <v>331</v>
      </c>
      <c r="J562" t="s" s="2">
        <v>22</v>
      </c>
      <c r="K562" t="s" s="2">
        <v>1218</v>
      </c>
      <c r="L562" t="s" s="2">
        <v>1219</v>
      </c>
      <c r="M562" s="5">
        <v>459970.13</v>
      </c>
      <c r="N562" s="5">
        <v>6217226.59</v>
      </c>
      <c r="O562" t="s" s="2">
        <v>305</v>
      </c>
      <c r="P562" s="5">
        <v>85156</v>
      </c>
      <c r="Q562" t="s" s="2">
        <v>1066</v>
      </c>
      <c r="R562" t="s" s="2">
        <f>_xlfn.IFERROR(INDEX('model_byCAP'!$D$2:$D$377,MATCH(Q562,'model_byCAP'!$A$2:$A$377,0)),0)</f>
        <v>1067</v>
      </c>
    </row>
    <row r="563" ht="15.35" customHeight="1">
      <c r="A563" t="s" s="2">
        <v>1220</v>
      </c>
      <c r="B563" s="4">
        <v>41598</v>
      </c>
      <c r="C563" s="5">
        <v>3300</v>
      </c>
      <c r="D563" s="5">
        <v>112</v>
      </c>
      <c r="E563" s="5">
        <v>94</v>
      </c>
      <c r="F563" t="s" s="2">
        <v>301</v>
      </c>
      <c r="G563" t="s" s="2">
        <v>1063</v>
      </c>
      <c r="H563" s="5">
        <v>760</v>
      </c>
      <c r="I563" t="s" s="2">
        <v>331</v>
      </c>
      <c r="J563" t="s" s="2">
        <v>22</v>
      </c>
      <c r="K563" t="s" s="2">
        <v>1218</v>
      </c>
      <c r="L563" t="s" s="2">
        <v>1221</v>
      </c>
      <c r="M563" s="5">
        <v>459666.25</v>
      </c>
      <c r="N563" s="5">
        <v>6217401.13</v>
      </c>
      <c r="O563" t="s" s="2">
        <v>305</v>
      </c>
      <c r="P563" s="5">
        <v>85157</v>
      </c>
      <c r="Q563" t="s" s="2">
        <v>1066</v>
      </c>
      <c r="R563" t="s" s="2">
        <f>_xlfn.IFERROR(INDEX('model_byCAP'!$D$2:$D$377,MATCH(Q563,'model_byCAP'!$A$2:$A$377,0)),0)</f>
        <v>1067</v>
      </c>
    </row>
    <row r="564" ht="15.35" customHeight="1">
      <c r="A564" t="s" s="2">
        <v>1222</v>
      </c>
      <c r="B564" s="4">
        <v>41600</v>
      </c>
      <c r="C564" s="5">
        <v>3300</v>
      </c>
      <c r="D564" s="5">
        <v>112</v>
      </c>
      <c r="E564" s="5">
        <v>94</v>
      </c>
      <c r="F564" t="s" s="2">
        <v>301</v>
      </c>
      <c r="G564" t="s" s="2">
        <v>1063</v>
      </c>
      <c r="H564" s="5">
        <v>760</v>
      </c>
      <c r="I564" t="s" s="2">
        <v>331</v>
      </c>
      <c r="J564" t="s" s="2">
        <v>22</v>
      </c>
      <c r="K564" t="s" s="2">
        <v>1218</v>
      </c>
      <c r="L564" t="s" s="2">
        <v>1223</v>
      </c>
      <c r="M564" s="5">
        <v>459360.79</v>
      </c>
      <c r="N564" s="5">
        <v>6217576.27</v>
      </c>
      <c r="O564" t="s" s="2">
        <v>305</v>
      </c>
      <c r="P564" s="5">
        <v>85158</v>
      </c>
      <c r="Q564" t="s" s="2">
        <v>1066</v>
      </c>
      <c r="R564" t="s" s="2">
        <f>_xlfn.IFERROR(INDEX('model_byCAP'!$D$2:$D$377,MATCH(Q564,'model_byCAP'!$A$2:$A$377,0)),0)</f>
        <v>1067</v>
      </c>
    </row>
    <row r="565" ht="15.35" customHeight="1">
      <c r="A565" t="s" s="2">
        <v>1224</v>
      </c>
      <c r="B565" s="4">
        <v>41606</v>
      </c>
      <c r="C565" s="5">
        <v>3300</v>
      </c>
      <c r="D565" s="5">
        <v>112</v>
      </c>
      <c r="E565" s="5">
        <v>94</v>
      </c>
      <c r="F565" t="s" s="2">
        <v>301</v>
      </c>
      <c r="G565" t="s" s="2">
        <v>1063</v>
      </c>
      <c r="H565" s="5">
        <v>760</v>
      </c>
      <c r="I565" t="s" s="2">
        <v>331</v>
      </c>
      <c r="J565" t="s" s="2">
        <v>22</v>
      </c>
      <c r="K565" t="s" s="2">
        <v>1218</v>
      </c>
      <c r="L565" t="s" s="2">
        <v>1225</v>
      </c>
      <c r="M565" s="5">
        <v>459057.24</v>
      </c>
      <c r="N565" s="5">
        <v>6217751.65</v>
      </c>
      <c r="O565" t="s" s="2">
        <v>305</v>
      </c>
      <c r="P565" s="5">
        <v>85159</v>
      </c>
      <c r="Q565" t="s" s="2">
        <v>1066</v>
      </c>
      <c r="R565" t="s" s="2">
        <f>_xlfn.IFERROR(INDEX('model_byCAP'!$D$2:$D$377,MATCH(Q565,'model_byCAP'!$A$2:$A$377,0)),0)</f>
        <v>1067</v>
      </c>
    </row>
    <row r="566" ht="15.35" customHeight="1">
      <c r="A566" t="s" s="2">
        <v>1226</v>
      </c>
      <c r="B566" s="4">
        <v>41611</v>
      </c>
      <c r="C566" s="5">
        <v>3300</v>
      </c>
      <c r="D566" s="5">
        <v>112</v>
      </c>
      <c r="E566" s="5">
        <v>94</v>
      </c>
      <c r="F566" t="s" s="2">
        <v>301</v>
      </c>
      <c r="G566" t="s" s="2">
        <v>1063</v>
      </c>
      <c r="H566" s="5">
        <v>760</v>
      </c>
      <c r="I566" t="s" s="2">
        <v>331</v>
      </c>
      <c r="J566" t="s" s="2">
        <v>22</v>
      </c>
      <c r="K566" t="s" s="2">
        <v>1203</v>
      </c>
      <c r="L566" t="s" s="2">
        <v>1227</v>
      </c>
      <c r="M566" s="5">
        <v>462503.35</v>
      </c>
      <c r="N566" s="5">
        <v>6216313.58</v>
      </c>
      <c r="O566" t="s" s="2">
        <v>305</v>
      </c>
      <c r="P566" s="5">
        <v>85160</v>
      </c>
      <c r="Q566" t="s" s="2">
        <v>1066</v>
      </c>
      <c r="R566" t="s" s="2">
        <f>_xlfn.IFERROR(INDEX('model_byCAP'!$D$2:$D$377,MATCH(Q566,'model_byCAP'!$A$2:$A$377,0)),0)</f>
        <v>1067</v>
      </c>
    </row>
    <row r="567" ht="15.35" customHeight="1">
      <c r="A567" t="s" s="2">
        <v>1228</v>
      </c>
      <c r="B567" s="4">
        <v>41611</v>
      </c>
      <c r="C567" s="5">
        <v>3300</v>
      </c>
      <c r="D567" s="5">
        <v>112</v>
      </c>
      <c r="E567" s="5">
        <v>94</v>
      </c>
      <c r="F567" t="s" s="2">
        <v>301</v>
      </c>
      <c r="G567" t="s" s="2">
        <v>1063</v>
      </c>
      <c r="H567" s="5">
        <v>760</v>
      </c>
      <c r="I567" t="s" s="2">
        <v>331</v>
      </c>
      <c r="J567" t="s" s="2">
        <v>22</v>
      </c>
      <c r="K567" t="s" s="2">
        <v>1203</v>
      </c>
      <c r="L567" t="s" s="2">
        <v>1229</v>
      </c>
      <c r="M567" s="5">
        <v>462189.75</v>
      </c>
      <c r="N567" s="5">
        <v>6216494.4</v>
      </c>
      <c r="O567" t="s" s="2">
        <v>305</v>
      </c>
      <c r="P567" s="5">
        <v>85161</v>
      </c>
      <c r="Q567" t="s" s="2">
        <v>1066</v>
      </c>
      <c r="R567" t="s" s="2">
        <f>_xlfn.IFERROR(INDEX('model_byCAP'!$D$2:$D$377,MATCH(Q567,'model_byCAP'!$A$2:$A$377,0)),0)</f>
        <v>1067</v>
      </c>
    </row>
    <row r="568" ht="15.35" customHeight="1">
      <c r="A568" t="s" s="2">
        <v>1230</v>
      </c>
      <c r="B568" s="4">
        <v>41611</v>
      </c>
      <c r="C568" s="5">
        <v>3300</v>
      </c>
      <c r="D568" s="5">
        <v>112</v>
      </c>
      <c r="E568" s="5">
        <v>94</v>
      </c>
      <c r="F568" t="s" s="2">
        <v>301</v>
      </c>
      <c r="G568" t="s" s="2">
        <v>1063</v>
      </c>
      <c r="H568" s="5">
        <v>760</v>
      </c>
      <c r="I568" t="s" s="2">
        <v>331</v>
      </c>
      <c r="J568" t="s" s="2">
        <v>22</v>
      </c>
      <c r="K568" t="s" s="2">
        <v>1203</v>
      </c>
      <c r="L568" t="s" s="2">
        <v>1231</v>
      </c>
      <c r="M568" s="5">
        <v>461876.4</v>
      </c>
      <c r="N568" s="5">
        <v>6216673.9</v>
      </c>
      <c r="O568" t="s" s="2">
        <v>305</v>
      </c>
      <c r="P568" s="5">
        <v>85162</v>
      </c>
      <c r="Q568" t="s" s="2">
        <v>1066</v>
      </c>
      <c r="R568" t="s" s="2">
        <f>_xlfn.IFERROR(INDEX('model_byCAP'!$D$2:$D$377,MATCH(Q568,'model_byCAP'!$A$2:$A$377,0)),0)</f>
        <v>1067</v>
      </c>
    </row>
    <row r="569" ht="15.35" customHeight="1">
      <c r="A569" t="s" s="2">
        <v>1232</v>
      </c>
      <c r="B569" s="4">
        <v>41605</v>
      </c>
      <c r="C569" s="5">
        <v>3300</v>
      </c>
      <c r="D569" s="5">
        <v>112</v>
      </c>
      <c r="E569" s="5">
        <v>94</v>
      </c>
      <c r="F569" t="s" s="2">
        <v>301</v>
      </c>
      <c r="G569" t="s" s="2">
        <v>1063</v>
      </c>
      <c r="H569" s="5">
        <v>760</v>
      </c>
      <c r="I569" t="s" s="2">
        <v>331</v>
      </c>
      <c r="J569" t="s" s="2">
        <v>22</v>
      </c>
      <c r="K569" t="s" s="2">
        <v>1203</v>
      </c>
      <c r="L569" t="s" s="2">
        <v>1233</v>
      </c>
      <c r="M569" s="5">
        <v>461563.31</v>
      </c>
      <c r="N569" s="5">
        <v>6216854.58</v>
      </c>
      <c r="O569" t="s" s="2">
        <v>305</v>
      </c>
      <c r="P569" s="5">
        <v>85163</v>
      </c>
      <c r="Q569" t="s" s="2">
        <v>1066</v>
      </c>
      <c r="R569" t="s" s="2">
        <f>_xlfn.IFERROR(INDEX('model_byCAP'!$D$2:$D$377,MATCH(Q569,'model_byCAP'!$A$2:$A$377,0)),0)</f>
        <v>1067</v>
      </c>
    </row>
    <row r="570" ht="15.35" customHeight="1">
      <c r="A570" t="s" s="2">
        <v>1234</v>
      </c>
      <c r="B570" s="4">
        <v>41627</v>
      </c>
      <c r="C570" s="5">
        <v>3300</v>
      </c>
      <c r="D570" s="5">
        <v>112</v>
      </c>
      <c r="E570" s="5">
        <v>94</v>
      </c>
      <c r="F570" t="s" s="2">
        <v>301</v>
      </c>
      <c r="G570" t="s" s="2">
        <v>1063</v>
      </c>
      <c r="H570" s="5">
        <v>760</v>
      </c>
      <c r="I570" t="s" s="2">
        <v>331</v>
      </c>
      <c r="J570" t="s" s="2">
        <v>22</v>
      </c>
      <c r="K570" t="s" s="2">
        <v>1203</v>
      </c>
      <c r="L570" t="s" s="2">
        <v>1235</v>
      </c>
      <c r="M570" s="5">
        <v>461250.42</v>
      </c>
      <c r="N570" s="5">
        <v>6217033.97</v>
      </c>
      <c r="O570" t="s" s="2">
        <v>305</v>
      </c>
      <c r="P570" s="5">
        <v>85164</v>
      </c>
      <c r="Q570" t="s" s="2">
        <v>1066</v>
      </c>
      <c r="R570" t="s" s="2">
        <f>_xlfn.IFERROR(INDEX('model_byCAP'!$D$2:$D$377,MATCH(Q570,'model_byCAP'!$A$2:$A$377,0)),0)</f>
        <v>1067</v>
      </c>
    </row>
    <row r="571" ht="15.35" customHeight="1">
      <c r="A571" t="s" s="2">
        <v>1236</v>
      </c>
      <c r="B571" s="4">
        <v>41587</v>
      </c>
      <c r="C571" s="5">
        <v>3300</v>
      </c>
      <c r="D571" s="5">
        <v>112</v>
      </c>
      <c r="E571" s="5">
        <v>94</v>
      </c>
      <c r="F571" t="s" s="2">
        <v>301</v>
      </c>
      <c r="G571" t="s" s="2">
        <v>1063</v>
      </c>
      <c r="H571" s="5">
        <v>760</v>
      </c>
      <c r="I571" t="s" s="2">
        <v>331</v>
      </c>
      <c r="J571" t="s" s="2">
        <v>22</v>
      </c>
      <c r="K571" t="s" s="2">
        <v>1203</v>
      </c>
      <c r="L571" t="s" s="2">
        <v>1237</v>
      </c>
      <c r="M571" s="5">
        <v>460939.89</v>
      </c>
      <c r="N571" s="5">
        <v>6217214.66</v>
      </c>
      <c r="O571" t="s" s="2">
        <v>305</v>
      </c>
      <c r="P571" s="5">
        <v>85165</v>
      </c>
      <c r="Q571" t="s" s="2">
        <v>1066</v>
      </c>
      <c r="R571" t="s" s="2">
        <f>_xlfn.IFERROR(INDEX('model_byCAP'!$D$2:$D$377,MATCH(Q571,'model_byCAP'!$A$2:$A$377,0)),0)</f>
        <v>1067</v>
      </c>
    </row>
    <row r="572" ht="15.35" customHeight="1">
      <c r="A572" t="s" s="2">
        <v>1238</v>
      </c>
      <c r="B572" s="4">
        <v>41625</v>
      </c>
      <c r="C572" s="5">
        <v>3300</v>
      </c>
      <c r="D572" s="5">
        <v>112</v>
      </c>
      <c r="E572" s="5">
        <v>94</v>
      </c>
      <c r="F572" t="s" s="2">
        <v>301</v>
      </c>
      <c r="G572" t="s" s="2">
        <v>1063</v>
      </c>
      <c r="H572" s="5">
        <v>760</v>
      </c>
      <c r="I572" t="s" s="2">
        <v>331</v>
      </c>
      <c r="J572" t="s" s="2">
        <v>22</v>
      </c>
      <c r="K572" t="s" s="2">
        <v>1203</v>
      </c>
      <c r="L572" t="s" s="2">
        <v>1239</v>
      </c>
      <c r="M572" s="5">
        <v>460623.61</v>
      </c>
      <c r="N572" s="5">
        <v>6217394.85</v>
      </c>
      <c r="O572" t="s" s="2">
        <v>305</v>
      </c>
      <c r="P572" s="5">
        <v>85166</v>
      </c>
      <c r="Q572" t="s" s="2">
        <v>1066</v>
      </c>
      <c r="R572" t="s" s="2">
        <f>_xlfn.IFERROR(INDEX('model_byCAP'!$D$2:$D$377,MATCH(Q572,'model_byCAP'!$A$2:$A$377,0)),0)</f>
        <v>1067</v>
      </c>
    </row>
    <row r="573" ht="15.35" customHeight="1">
      <c r="A573" t="s" s="2">
        <v>1240</v>
      </c>
      <c r="B573" s="4">
        <v>41625</v>
      </c>
      <c r="C573" s="5">
        <v>3300</v>
      </c>
      <c r="D573" s="5">
        <v>112</v>
      </c>
      <c r="E573" s="5">
        <v>94</v>
      </c>
      <c r="F573" t="s" s="2">
        <v>301</v>
      </c>
      <c r="G573" t="s" s="2">
        <v>1063</v>
      </c>
      <c r="H573" s="5">
        <v>760</v>
      </c>
      <c r="I573" t="s" s="2">
        <v>331</v>
      </c>
      <c r="J573" t="s" s="2">
        <v>22</v>
      </c>
      <c r="K573" t="s" s="2">
        <v>1203</v>
      </c>
      <c r="L573" t="s" s="2">
        <v>1241</v>
      </c>
      <c r="M573" s="5">
        <v>460309.42</v>
      </c>
      <c r="N573" s="5">
        <v>6217575.93</v>
      </c>
      <c r="O573" t="s" s="2">
        <v>305</v>
      </c>
      <c r="P573" s="5">
        <v>85167</v>
      </c>
      <c r="Q573" t="s" s="2">
        <v>1066</v>
      </c>
      <c r="R573" t="s" s="2">
        <f>_xlfn.IFERROR(INDEX('model_byCAP'!$D$2:$D$377,MATCH(Q573,'model_byCAP'!$A$2:$A$377,0)),0)</f>
        <v>1067</v>
      </c>
    </row>
    <row r="574" ht="15.35" customHeight="1">
      <c r="A574" t="s" s="2">
        <v>1242</v>
      </c>
      <c r="B574" s="4">
        <v>41624</v>
      </c>
      <c r="C574" s="5">
        <v>3300</v>
      </c>
      <c r="D574" s="5">
        <v>112</v>
      </c>
      <c r="E574" s="5">
        <v>94</v>
      </c>
      <c r="F574" t="s" s="2">
        <v>301</v>
      </c>
      <c r="G574" t="s" s="2">
        <v>1063</v>
      </c>
      <c r="H574" s="5">
        <v>760</v>
      </c>
      <c r="I574" t="s" s="2">
        <v>331</v>
      </c>
      <c r="J574" t="s" s="2">
        <v>22</v>
      </c>
      <c r="K574" t="s" s="2">
        <v>1218</v>
      </c>
      <c r="L574" t="s" s="2">
        <v>1243</v>
      </c>
      <c r="M574" s="5">
        <v>460001.2</v>
      </c>
      <c r="N574" s="5">
        <v>6217756.08</v>
      </c>
      <c r="O574" t="s" s="2">
        <v>305</v>
      </c>
      <c r="P574" s="5">
        <v>85168</v>
      </c>
      <c r="Q574" t="s" s="2">
        <v>1066</v>
      </c>
      <c r="R574" t="s" s="2">
        <f>_xlfn.IFERROR(INDEX('model_byCAP'!$D$2:$D$377,MATCH(Q574,'model_byCAP'!$A$2:$A$377,0)),0)</f>
        <v>1067</v>
      </c>
    </row>
    <row r="575" ht="15.35" customHeight="1">
      <c r="A575" t="s" s="2">
        <v>1244</v>
      </c>
      <c r="B575" s="4">
        <v>41625</v>
      </c>
      <c r="C575" s="5">
        <v>3300</v>
      </c>
      <c r="D575" s="5">
        <v>112</v>
      </c>
      <c r="E575" s="5">
        <v>94</v>
      </c>
      <c r="F575" t="s" s="2">
        <v>301</v>
      </c>
      <c r="G575" t="s" s="2">
        <v>1063</v>
      </c>
      <c r="H575" s="5">
        <v>760</v>
      </c>
      <c r="I575" t="s" s="2">
        <v>331</v>
      </c>
      <c r="J575" t="s" s="2">
        <v>22</v>
      </c>
      <c r="K575" t="s" s="2">
        <v>1218</v>
      </c>
      <c r="L575" t="s" s="2">
        <v>1245</v>
      </c>
      <c r="M575" s="5">
        <v>459684.34</v>
      </c>
      <c r="N575" s="5">
        <v>6217935.34</v>
      </c>
      <c r="O575" t="s" s="2">
        <v>305</v>
      </c>
      <c r="P575" s="5">
        <v>85169</v>
      </c>
      <c r="Q575" t="s" s="2">
        <v>1066</v>
      </c>
      <c r="R575" t="s" s="2">
        <f>_xlfn.IFERROR(INDEX('model_byCAP'!$D$2:$D$377,MATCH(Q575,'model_byCAP'!$A$2:$A$377,0)),0)</f>
        <v>1067</v>
      </c>
    </row>
    <row r="576" ht="15.35" customHeight="1">
      <c r="A576" t="s" s="2">
        <v>1246</v>
      </c>
      <c r="B576" s="4">
        <v>41622</v>
      </c>
      <c r="C576" s="5">
        <v>3300</v>
      </c>
      <c r="D576" s="5">
        <v>112</v>
      </c>
      <c r="E576" s="5">
        <v>94</v>
      </c>
      <c r="F576" t="s" s="2">
        <v>301</v>
      </c>
      <c r="G576" t="s" s="2">
        <v>1063</v>
      </c>
      <c r="H576" s="5">
        <v>760</v>
      </c>
      <c r="I576" t="s" s="2">
        <v>331</v>
      </c>
      <c r="J576" t="s" s="2">
        <v>22</v>
      </c>
      <c r="K576" t="s" s="2">
        <v>1218</v>
      </c>
      <c r="L576" t="s" s="2">
        <v>1247</v>
      </c>
      <c r="M576" s="5">
        <v>459370.12</v>
      </c>
      <c r="N576" s="5">
        <v>6218116.25</v>
      </c>
      <c r="O576" t="s" s="2">
        <v>305</v>
      </c>
      <c r="P576" s="5">
        <v>85170</v>
      </c>
      <c r="Q576" t="s" s="2">
        <v>1066</v>
      </c>
      <c r="R576" t="s" s="2">
        <f>_xlfn.IFERROR(INDEX('model_byCAP'!$D$2:$D$377,MATCH(Q576,'model_byCAP'!$A$2:$A$377,0)),0)</f>
        <v>1067</v>
      </c>
    </row>
    <row r="577" ht="15.35" customHeight="1">
      <c r="A577" t="s" s="2">
        <v>1248</v>
      </c>
      <c r="B577" s="4">
        <v>44456</v>
      </c>
      <c r="C577" s="5">
        <v>3300</v>
      </c>
      <c r="D577" s="5">
        <v>155</v>
      </c>
      <c r="E577" s="5">
        <v>140.3</v>
      </c>
      <c r="F577" t="s" s="2">
        <v>301</v>
      </c>
      <c r="G577" t="s" s="2">
        <v>1249</v>
      </c>
      <c r="H577" s="5">
        <v>787</v>
      </c>
      <c r="I577" t="s" s="2">
        <v>21</v>
      </c>
      <c r="J577" t="s" s="2">
        <v>22</v>
      </c>
      <c r="K577" t="s" s="2">
        <v>23</v>
      </c>
      <c r="L577" t="s" s="2">
        <v>1250</v>
      </c>
      <c r="M577" s="5">
        <v>492926.99</v>
      </c>
      <c r="N577" s="5">
        <v>6324369.19</v>
      </c>
      <c r="O577" t="s" s="2">
        <v>25</v>
      </c>
      <c r="P577" s="6"/>
      <c r="Q577" t="s" s="2">
        <v>1251</v>
      </c>
      <c r="R577" t="s" s="2">
        <f>_xlfn.IFERROR(INDEX('model_byCAP'!$D$2:$D$377,MATCH(Q577,'model_byCAP'!$A$2:$A$377,0)),0)</f>
        <v>1112</v>
      </c>
    </row>
    <row r="578" ht="15.35" customHeight="1">
      <c r="A578" t="s" s="2">
        <v>1252</v>
      </c>
      <c r="B578" s="4">
        <v>42180</v>
      </c>
      <c r="C578" s="5">
        <v>3300</v>
      </c>
      <c r="D578" s="5">
        <v>112</v>
      </c>
      <c r="E578" s="5">
        <v>94</v>
      </c>
      <c r="F578" t="s" s="2">
        <v>301</v>
      </c>
      <c r="G578" t="s" s="2">
        <v>1063</v>
      </c>
      <c r="H578" s="5">
        <v>849</v>
      </c>
      <c r="I578" t="s" s="2">
        <v>411</v>
      </c>
      <c r="J578" t="s" s="2">
        <v>22</v>
      </c>
      <c r="K578" t="s" s="2">
        <v>1253</v>
      </c>
      <c r="L578" t="s" s="2">
        <v>481</v>
      </c>
      <c r="M578" s="5">
        <v>540038.4</v>
      </c>
      <c r="N578" s="5">
        <v>6346405.28</v>
      </c>
      <c r="O578" t="s" s="2">
        <v>305</v>
      </c>
      <c r="P578" s="5">
        <v>161271</v>
      </c>
      <c r="Q578" t="s" s="2">
        <v>1066</v>
      </c>
      <c r="R578" t="s" s="2">
        <f>_xlfn.IFERROR(INDEX('model_byCAP'!$D$2:$D$377,MATCH(Q578,'model_byCAP'!$A$2:$A$377,0)),0)</f>
        <v>1067</v>
      </c>
    </row>
    <row r="579" ht="15.35" customHeight="1">
      <c r="A579" t="s" s="2">
        <v>1254</v>
      </c>
      <c r="B579" s="4">
        <v>42182</v>
      </c>
      <c r="C579" s="5">
        <v>3300</v>
      </c>
      <c r="D579" s="5">
        <v>112</v>
      </c>
      <c r="E579" s="5">
        <v>94</v>
      </c>
      <c r="F579" t="s" s="2">
        <v>301</v>
      </c>
      <c r="G579" t="s" s="2">
        <v>1063</v>
      </c>
      <c r="H579" s="5">
        <v>849</v>
      </c>
      <c r="I579" t="s" s="2">
        <v>411</v>
      </c>
      <c r="J579" t="s" s="2">
        <v>22</v>
      </c>
      <c r="K579" t="s" s="2">
        <v>1253</v>
      </c>
      <c r="L579" t="s" s="2">
        <v>481</v>
      </c>
      <c r="M579" s="5">
        <v>540268.88</v>
      </c>
      <c r="N579" s="5">
        <v>6346162.03</v>
      </c>
      <c r="O579" t="s" s="2">
        <v>305</v>
      </c>
      <c r="P579" s="5">
        <v>161270</v>
      </c>
      <c r="Q579" t="s" s="2">
        <v>1066</v>
      </c>
      <c r="R579" t="s" s="2">
        <f>_xlfn.IFERROR(INDEX('model_byCAP'!$D$2:$D$377,MATCH(Q579,'model_byCAP'!$A$2:$A$377,0)),0)</f>
        <v>1067</v>
      </c>
    </row>
    <row r="580" ht="15.35" customHeight="1">
      <c r="A580" t="s" s="2">
        <v>1255</v>
      </c>
      <c r="B580" s="4">
        <v>42198</v>
      </c>
      <c r="C580" s="5">
        <v>3300</v>
      </c>
      <c r="D580" s="5">
        <v>112</v>
      </c>
      <c r="E580" s="5">
        <v>94</v>
      </c>
      <c r="F580" t="s" s="2">
        <v>301</v>
      </c>
      <c r="G580" t="s" s="2">
        <v>1063</v>
      </c>
      <c r="H580" s="5">
        <v>849</v>
      </c>
      <c r="I580" t="s" s="2">
        <v>411</v>
      </c>
      <c r="J580" t="s" s="2">
        <v>22</v>
      </c>
      <c r="K580" t="s" s="2">
        <v>1253</v>
      </c>
      <c r="L580" t="s" s="2">
        <v>1256</v>
      </c>
      <c r="M580" s="5">
        <v>540494.97</v>
      </c>
      <c r="N580" s="5">
        <v>6345919.22</v>
      </c>
      <c r="O580" t="s" s="2">
        <v>305</v>
      </c>
      <c r="P580" s="5">
        <v>161269</v>
      </c>
      <c r="Q580" t="s" s="2">
        <v>1066</v>
      </c>
      <c r="R580" t="s" s="2">
        <f>_xlfn.IFERROR(INDEX('model_byCAP'!$D$2:$D$377,MATCH(Q580,'model_byCAP'!$A$2:$A$377,0)),0)</f>
        <v>1067</v>
      </c>
    </row>
    <row r="581" ht="15.35" customHeight="1">
      <c r="A581" t="s" s="2">
        <v>1257</v>
      </c>
      <c r="B581" s="4">
        <v>42189</v>
      </c>
      <c r="C581" s="5">
        <v>3300</v>
      </c>
      <c r="D581" s="5">
        <v>112</v>
      </c>
      <c r="E581" s="5">
        <v>94</v>
      </c>
      <c r="F581" t="s" s="2">
        <v>301</v>
      </c>
      <c r="G581" t="s" s="2">
        <v>1063</v>
      </c>
      <c r="H581" s="5">
        <v>849</v>
      </c>
      <c r="I581" t="s" s="2">
        <v>411</v>
      </c>
      <c r="J581" t="s" s="2">
        <v>22</v>
      </c>
      <c r="K581" t="s" s="2">
        <v>1253</v>
      </c>
      <c r="L581" t="s" s="2">
        <v>1258</v>
      </c>
      <c r="M581" s="5">
        <v>540726.0699999999</v>
      </c>
      <c r="N581" s="5">
        <v>6345675.4</v>
      </c>
      <c r="O581" t="s" s="2">
        <v>305</v>
      </c>
      <c r="P581" s="5">
        <v>161268</v>
      </c>
      <c r="Q581" t="s" s="2">
        <v>1066</v>
      </c>
      <c r="R581" t="s" s="2">
        <f>_xlfn.IFERROR(INDEX('model_byCAP'!$D$2:$D$377,MATCH(Q581,'model_byCAP'!$A$2:$A$377,0)),0)</f>
        <v>1067</v>
      </c>
    </row>
    <row r="582" ht="15.35" customHeight="1">
      <c r="A582" t="s" s="2">
        <v>1259</v>
      </c>
      <c r="B582" s="4">
        <v>42173</v>
      </c>
      <c r="C582" s="5">
        <v>3300</v>
      </c>
      <c r="D582" s="5">
        <v>112</v>
      </c>
      <c r="E582" s="5">
        <v>94</v>
      </c>
      <c r="F582" t="s" s="2">
        <v>301</v>
      </c>
      <c r="G582" t="s" s="2">
        <v>1063</v>
      </c>
      <c r="H582" s="5">
        <v>849</v>
      </c>
      <c r="I582" t="s" s="2">
        <v>411</v>
      </c>
      <c r="J582" t="s" s="2">
        <v>22</v>
      </c>
      <c r="K582" t="s" s="2">
        <v>1253</v>
      </c>
      <c r="L582" t="s" s="2">
        <v>1260</v>
      </c>
      <c r="M582" s="5">
        <v>540957.39</v>
      </c>
      <c r="N582" s="5">
        <v>6345431.1</v>
      </c>
      <c r="O582" t="s" s="2">
        <v>305</v>
      </c>
      <c r="P582" s="5">
        <v>161267</v>
      </c>
      <c r="Q582" t="s" s="2">
        <v>1066</v>
      </c>
      <c r="R582" t="s" s="2">
        <f>_xlfn.IFERROR(INDEX('model_byCAP'!$D$2:$D$377,MATCH(Q582,'model_byCAP'!$A$2:$A$377,0)),0)</f>
        <v>1067</v>
      </c>
    </row>
    <row r="583" ht="15.35" customHeight="1">
      <c r="A583" t="s" s="2">
        <v>1261</v>
      </c>
      <c r="B583" s="4">
        <v>42175</v>
      </c>
      <c r="C583" s="5">
        <v>3300</v>
      </c>
      <c r="D583" s="5">
        <v>112</v>
      </c>
      <c r="E583" s="5">
        <v>94</v>
      </c>
      <c r="F583" t="s" s="2">
        <v>301</v>
      </c>
      <c r="G583" t="s" s="2">
        <v>1063</v>
      </c>
      <c r="H583" s="5">
        <v>849</v>
      </c>
      <c r="I583" t="s" s="2">
        <v>411</v>
      </c>
      <c r="J583" t="s" s="2">
        <v>22</v>
      </c>
      <c r="K583" t="s" s="2">
        <v>1253</v>
      </c>
      <c r="L583" t="s" s="2">
        <v>1061</v>
      </c>
      <c r="M583" s="5">
        <v>541187.8</v>
      </c>
      <c r="N583" s="5">
        <v>6345186.88</v>
      </c>
      <c r="O583" t="s" s="2">
        <v>305</v>
      </c>
      <c r="P583" s="5">
        <v>161266</v>
      </c>
      <c r="Q583" t="s" s="2">
        <v>1066</v>
      </c>
      <c r="R583" t="s" s="2">
        <f>_xlfn.IFERROR(INDEX('model_byCAP'!$D$2:$D$377,MATCH(Q583,'model_byCAP'!$A$2:$A$377,0)),0)</f>
        <v>1067</v>
      </c>
    </row>
    <row r="584" ht="15.35" customHeight="1">
      <c r="A584" t="s" s="2">
        <v>1262</v>
      </c>
      <c r="B584" s="4">
        <v>42383</v>
      </c>
      <c r="C584" s="5">
        <v>3200</v>
      </c>
      <c r="D584" s="5">
        <v>113</v>
      </c>
      <c r="E584" s="5">
        <v>83.5</v>
      </c>
      <c r="F584" t="s" s="2">
        <v>19</v>
      </c>
      <c r="G584" t="s" s="2">
        <v>1138</v>
      </c>
      <c r="H584" s="5">
        <v>326</v>
      </c>
      <c r="I584" t="s" s="2">
        <v>1263</v>
      </c>
      <c r="J584" t="s" s="2">
        <v>22</v>
      </c>
      <c r="K584" t="s" s="2">
        <v>1264</v>
      </c>
      <c r="L584" t="s" s="2">
        <v>481</v>
      </c>
      <c r="M584" s="5">
        <v>640273.4</v>
      </c>
      <c r="N584" s="5">
        <v>6159298.61</v>
      </c>
      <c r="O584" t="s" s="2">
        <v>305</v>
      </c>
      <c r="P584" s="5">
        <v>60737712</v>
      </c>
      <c r="Q584" t="s" s="2">
        <v>1141</v>
      </c>
      <c r="R584" t="s" s="2">
        <f>_xlfn.IFERROR(INDEX('model_byCAP'!$D$2:$D$377,MATCH(Q584,'model_byCAP'!$A$2:$A$377,0)),0)</f>
        <v>27</v>
      </c>
    </row>
    <row r="585" ht="15.35" customHeight="1">
      <c r="A585" t="s" s="2">
        <v>1265</v>
      </c>
      <c r="B585" s="4">
        <v>42354</v>
      </c>
      <c r="C585" s="5">
        <v>3200</v>
      </c>
      <c r="D585" s="5">
        <v>113</v>
      </c>
      <c r="E585" s="5">
        <v>83.5</v>
      </c>
      <c r="F585" t="s" s="2">
        <v>19</v>
      </c>
      <c r="G585" t="s" s="2">
        <v>1138</v>
      </c>
      <c r="H585" s="5">
        <v>326</v>
      </c>
      <c r="I585" t="s" s="2">
        <v>1263</v>
      </c>
      <c r="J585" t="s" s="2">
        <v>22</v>
      </c>
      <c r="K585" t="s" s="2">
        <v>1266</v>
      </c>
      <c r="L585" s="5">
        <v>1</v>
      </c>
      <c r="M585" s="5">
        <v>640618.8100000001</v>
      </c>
      <c r="N585" s="5">
        <v>6159657.38</v>
      </c>
      <c r="O585" t="s" s="2">
        <v>305</v>
      </c>
      <c r="P585" s="5">
        <v>60737715</v>
      </c>
      <c r="Q585" t="s" s="2">
        <v>1141</v>
      </c>
      <c r="R585" t="s" s="2">
        <f>_xlfn.IFERROR(INDEX('model_byCAP'!$D$2:$D$377,MATCH(Q585,'model_byCAP'!$A$2:$A$377,0)),0)</f>
        <v>27</v>
      </c>
    </row>
    <row r="586" ht="15.35" customHeight="1">
      <c r="A586" t="s" s="2">
        <v>1267</v>
      </c>
      <c r="B586" s="4">
        <v>42982</v>
      </c>
      <c r="C586" s="5">
        <v>3200</v>
      </c>
      <c r="D586" s="5">
        <v>113</v>
      </c>
      <c r="E586" s="5">
        <v>83.5</v>
      </c>
      <c r="F586" t="s" s="2">
        <v>19</v>
      </c>
      <c r="G586" t="s" s="2">
        <v>1138</v>
      </c>
      <c r="H586" s="5">
        <v>630</v>
      </c>
      <c r="I586" t="s" s="2">
        <v>1268</v>
      </c>
      <c r="J586" t="s" s="2">
        <v>22</v>
      </c>
      <c r="K586" t="s" s="2">
        <v>1269</v>
      </c>
      <c r="L586" t="s" s="2">
        <v>939</v>
      </c>
      <c r="M586" s="5">
        <v>505842</v>
      </c>
      <c r="N586" s="5">
        <v>6187749</v>
      </c>
      <c r="O586" t="s" s="2">
        <v>305</v>
      </c>
      <c r="P586" s="5">
        <v>16196</v>
      </c>
      <c r="Q586" t="s" s="2">
        <v>1141</v>
      </c>
      <c r="R586" t="s" s="2">
        <f>_xlfn.IFERROR(INDEX('model_byCAP'!$D$2:$D$377,MATCH(Q586,'model_byCAP'!$A$2:$A$377,0)),0)</f>
        <v>27</v>
      </c>
    </row>
    <row r="587" ht="15.35" customHeight="1">
      <c r="A587" t="s" s="2">
        <v>1270</v>
      </c>
      <c r="B587" s="4">
        <v>42977</v>
      </c>
      <c r="C587" s="5">
        <v>3200</v>
      </c>
      <c r="D587" s="5">
        <v>113</v>
      </c>
      <c r="E587" s="5">
        <v>83.5</v>
      </c>
      <c r="F587" t="s" s="2">
        <v>19</v>
      </c>
      <c r="G587" t="s" s="2">
        <v>1138</v>
      </c>
      <c r="H587" s="5">
        <v>630</v>
      </c>
      <c r="I587" t="s" s="2">
        <v>1268</v>
      </c>
      <c r="J587" t="s" s="2">
        <v>22</v>
      </c>
      <c r="K587" t="s" s="2">
        <v>1269</v>
      </c>
      <c r="L587" t="s" s="2">
        <v>1271</v>
      </c>
      <c r="M587" s="5">
        <v>505163</v>
      </c>
      <c r="N587" s="5">
        <v>6187152</v>
      </c>
      <c r="O587" t="s" s="2">
        <v>305</v>
      </c>
      <c r="P587" s="5">
        <v>16197</v>
      </c>
      <c r="Q587" t="s" s="2">
        <v>1141</v>
      </c>
      <c r="R587" t="s" s="2">
        <f>_xlfn.IFERROR(INDEX('model_byCAP'!$D$2:$D$377,MATCH(Q587,'model_byCAP'!$A$2:$A$377,0)),0)</f>
        <v>27</v>
      </c>
    </row>
    <row r="588" ht="15.35" customHeight="1">
      <c r="A588" t="s" s="2">
        <v>1272</v>
      </c>
      <c r="B588" s="4">
        <v>42978</v>
      </c>
      <c r="C588" s="5">
        <v>3200</v>
      </c>
      <c r="D588" s="5">
        <v>113</v>
      </c>
      <c r="E588" s="5">
        <v>83.5</v>
      </c>
      <c r="F588" t="s" s="2">
        <v>19</v>
      </c>
      <c r="G588" t="s" s="2">
        <v>1138</v>
      </c>
      <c r="H588" s="5">
        <v>630</v>
      </c>
      <c r="I588" t="s" s="2">
        <v>1268</v>
      </c>
      <c r="J588" t="s" s="2">
        <v>22</v>
      </c>
      <c r="K588" t="s" s="2">
        <v>1269</v>
      </c>
      <c r="L588" t="s" s="2">
        <v>502</v>
      </c>
      <c r="M588" s="5">
        <v>505003</v>
      </c>
      <c r="N588" s="5">
        <v>6187451</v>
      </c>
      <c r="O588" t="s" s="2">
        <v>305</v>
      </c>
      <c r="P588" s="5">
        <v>16198</v>
      </c>
      <c r="Q588" t="s" s="2">
        <v>1141</v>
      </c>
      <c r="R588" t="s" s="2">
        <f>_xlfn.IFERROR(INDEX('model_byCAP'!$D$2:$D$377,MATCH(Q588,'model_byCAP'!$A$2:$A$377,0)),0)</f>
        <v>27</v>
      </c>
    </row>
    <row r="589" ht="15.35" customHeight="1">
      <c r="A589" t="s" s="2">
        <v>1273</v>
      </c>
      <c r="B589" s="4">
        <v>43118</v>
      </c>
      <c r="C589" s="5">
        <v>3200</v>
      </c>
      <c r="D589" s="5">
        <v>101</v>
      </c>
      <c r="E589" s="5">
        <v>79.5</v>
      </c>
      <c r="F589" t="s" s="2">
        <v>29</v>
      </c>
      <c r="G589" t="s" s="2">
        <v>1274</v>
      </c>
      <c r="H589" s="5">
        <v>630</v>
      </c>
      <c r="I589" t="s" s="2">
        <v>1268</v>
      </c>
      <c r="J589" t="s" s="2">
        <v>22</v>
      </c>
      <c r="K589" t="s" s="2">
        <v>1275</v>
      </c>
      <c r="L589" t="s" s="2">
        <v>1276</v>
      </c>
      <c r="M589" s="5">
        <v>513014</v>
      </c>
      <c r="N589" s="5">
        <v>6195890</v>
      </c>
      <c r="O589" t="s" s="2">
        <v>305</v>
      </c>
      <c r="P589" s="5">
        <v>516199</v>
      </c>
      <c r="Q589" t="s" s="2">
        <v>1277</v>
      </c>
      <c r="R589" t="s" s="2">
        <f>_xlfn.IFERROR(INDEX('model_byCAP'!$D$2:$D$377,MATCH(Q589,'model_byCAP'!$A$2:$A$377,0)),0)</f>
        <v>27</v>
      </c>
    </row>
    <row r="590" ht="15.35" customHeight="1">
      <c r="A590" t="s" s="2">
        <v>1278</v>
      </c>
      <c r="B590" s="4">
        <v>43119</v>
      </c>
      <c r="C590" s="5">
        <v>3200</v>
      </c>
      <c r="D590" s="5">
        <v>101</v>
      </c>
      <c r="E590" s="5">
        <v>79.5</v>
      </c>
      <c r="F590" t="s" s="2">
        <v>29</v>
      </c>
      <c r="G590" t="s" s="2">
        <v>1274</v>
      </c>
      <c r="H590" s="5">
        <v>630</v>
      </c>
      <c r="I590" t="s" s="2">
        <v>1268</v>
      </c>
      <c r="J590" t="s" s="2">
        <v>22</v>
      </c>
      <c r="K590" t="s" s="2">
        <v>1279</v>
      </c>
      <c r="L590" t="s" s="2">
        <v>551</v>
      </c>
      <c r="M590" s="5">
        <v>512759</v>
      </c>
      <c r="N590" s="5">
        <v>6196085</v>
      </c>
      <c r="O590" t="s" s="2">
        <v>305</v>
      </c>
      <c r="P590" s="5">
        <v>516200</v>
      </c>
      <c r="Q590" t="s" s="2">
        <v>1277</v>
      </c>
      <c r="R590" t="s" s="2">
        <f>_xlfn.IFERROR(INDEX('model_byCAP'!$D$2:$D$377,MATCH(Q590,'model_byCAP'!$A$2:$A$377,0)),0)</f>
        <v>27</v>
      </c>
    </row>
    <row r="591" ht="15.35" customHeight="1">
      <c r="A591" t="s" s="2">
        <v>1280</v>
      </c>
      <c r="B591" s="4">
        <v>43120</v>
      </c>
      <c r="C591" s="5">
        <v>3200</v>
      </c>
      <c r="D591" s="5">
        <v>101</v>
      </c>
      <c r="E591" s="5">
        <v>79.5</v>
      </c>
      <c r="F591" t="s" s="2">
        <v>29</v>
      </c>
      <c r="G591" t="s" s="2">
        <v>1274</v>
      </c>
      <c r="H591" s="5">
        <v>630</v>
      </c>
      <c r="I591" t="s" s="2">
        <v>1268</v>
      </c>
      <c r="J591" t="s" s="2">
        <v>22</v>
      </c>
      <c r="K591" t="s" s="2">
        <v>1279</v>
      </c>
      <c r="L591" t="s" s="2">
        <v>1276</v>
      </c>
      <c r="M591" s="5">
        <v>512502</v>
      </c>
      <c r="N591" s="5">
        <v>6196280</v>
      </c>
      <c r="O591" t="s" s="2">
        <v>25</v>
      </c>
      <c r="P591" s="5">
        <v>516201</v>
      </c>
      <c r="Q591" t="s" s="2">
        <v>1277</v>
      </c>
      <c r="R591" t="s" s="2">
        <f>_xlfn.IFERROR(INDEX('model_byCAP'!$D$2:$D$377,MATCH(Q591,'model_byCAP'!$A$2:$A$377,0)),0)</f>
        <v>27</v>
      </c>
    </row>
    <row r="592" ht="15.35" customHeight="1">
      <c r="A592" t="s" s="2">
        <v>1281</v>
      </c>
      <c r="B592" s="4">
        <v>43120</v>
      </c>
      <c r="C592" s="5">
        <v>3200</v>
      </c>
      <c r="D592" s="5">
        <v>101</v>
      </c>
      <c r="E592" s="5">
        <v>79.5</v>
      </c>
      <c r="F592" t="s" s="2">
        <v>29</v>
      </c>
      <c r="G592" t="s" s="2">
        <v>1274</v>
      </c>
      <c r="H592" s="5">
        <v>630</v>
      </c>
      <c r="I592" t="s" s="2">
        <v>1268</v>
      </c>
      <c r="J592" t="s" s="2">
        <v>22</v>
      </c>
      <c r="K592" t="s" s="2">
        <v>1279</v>
      </c>
      <c r="L592" t="s" s="2">
        <v>1276</v>
      </c>
      <c r="M592" s="5">
        <v>512233</v>
      </c>
      <c r="N592" s="5">
        <v>6196480</v>
      </c>
      <c r="O592" t="s" s="2">
        <v>25</v>
      </c>
      <c r="P592" s="5">
        <v>516202</v>
      </c>
      <c r="Q592" t="s" s="2">
        <v>1277</v>
      </c>
      <c r="R592" t="s" s="2">
        <f>_xlfn.IFERROR(INDEX('model_byCAP'!$D$2:$D$377,MATCH(Q592,'model_byCAP'!$A$2:$A$377,0)),0)</f>
        <v>27</v>
      </c>
    </row>
    <row r="593" ht="15.35" customHeight="1">
      <c r="A593" t="s" s="2">
        <v>1282</v>
      </c>
      <c r="B593" s="4">
        <v>42411</v>
      </c>
      <c r="C593" s="5">
        <v>3200</v>
      </c>
      <c r="D593" s="5">
        <v>101</v>
      </c>
      <c r="E593" s="5">
        <v>79.5</v>
      </c>
      <c r="F593" t="s" s="2">
        <v>29</v>
      </c>
      <c r="G593" t="s" s="2">
        <v>1274</v>
      </c>
      <c r="H593" s="5">
        <v>730</v>
      </c>
      <c r="I593" t="s" s="2">
        <v>843</v>
      </c>
      <c r="J593" t="s" s="2">
        <v>22</v>
      </c>
      <c r="K593" t="s" s="2">
        <v>1283</v>
      </c>
      <c r="L593" t="s" s="2">
        <v>24</v>
      </c>
      <c r="M593" s="5">
        <v>554072.12</v>
      </c>
      <c r="N593" s="5">
        <v>6266034.95</v>
      </c>
      <c r="O593" t="s" s="2">
        <v>305</v>
      </c>
      <c r="P593" s="5">
        <v>4070327</v>
      </c>
      <c r="Q593" t="s" s="2">
        <v>1277</v>
      </c>
      <c r="R593" t="s" s="2">
        <f>_xlfn.IFERROR(INDEX('model_byCAP'!$D$2:$D$377,MATCH(Q593,'model_byCAP'!$A$2:$A$377,0)),0)</f>
        <v>27</v>
      </c>
    </row>
    <row r="594" ht="15.35" customHeight="1">
      <c r="A594" t="s" s="2">
        <v>1284</v>
      </c>
      <c r="B594" s="4">
        <v>42403</v>
      </c>
      <c r="C594" s="5">
        <v>3200</v>
      </c>
      <c r="D594" s="5">
        <v>101</v>
      </c>
      <c r="E594" s="5">
        <v>79.5</v>
      </c>
      <c r="F594" t="s" s="2">
        <v>29</v>
      </c>
      <c r="G594" t="s" s="2">
        <v>1274</v>
      </c>
      <c r="H594" s="5">
        <v>730</v>
      </c>
      <c r="I594" t="s" s="2">
        <v>843</v>
      </c>
      <c r="J594" t="s" s="2">
        <v>22</v>
      </c>
      <c r="K594" t="s" s="2">
        <v>1283</v>
      </c>
      <c r="L594" t="s" s="2">
        <v>1285</v>
      </c>
      <c r="M594" s="5">
        <v>554362.45</v>
      </c>
      <c r="N594" s="5">
        <v>6265892.84</v>
      </c>
      <c r="O594" t="s" s="2">
        <v>305</v>
      </c>
      <c r="P594" s="5">
        <v>4070328</v>
      </c>
      <c r="Q594" t="s" s="2">
        <v>1277</v>
      </c>
      <c r="R594" t="s" s="2">
        <f>_xlfn.IFERROR(INDEX('model_byCAP'!$D$2:$D$377,MATCH(Q594,'model_byCAP'!$A$2:$A$377,0)),0)</f>
        <v>27</v>
      </c>
    </row>
    <row r="595" ht="15.35" customHeight="1">
      <c r="A595" t="s" s="2">
        <v>1286</v>
      </c>
      <c r="B595" s="4">
        <v>42395</v>
      </c>
      <c r="C595" s="5">
        <v>3200</v>
      </c>
      <c r="D595" s="5">
        <v>101</v>
      </c>
      <c r="E595" s="5">
        <v>79.5</v>
      </c>
      <c r="F595" t="s" s="2">
        <v>29</v>
      </c>
      <c r="G595" t="s" s="2">
        <v>1274</v>
      </c>
      <c r="H595" s="5">
        <v>730</v>
      </c>
      <c r="I595" t="s" s="2">
        <v>843</v>
      </c>
      <c r="J595" t="s" s="2">
        <v>22</v>
      </c>
      <c r="K595" t="s" s="2">
        <v>1283</v>
      </c>
      <c r="L595" t="s" s="2">
        <v>1287</v>
      </c>
      <c r="M595" s="5">
        <v>554652.58</v>
      </c>
      <c r="N595" s="5">
        <v>6265751.17</v>
      </c>
      <c r="O595" t="s" s="2">
        <v>305</v>
      </c>
      <c r="P595" s="5">
        <v>4070329</v>
      </c>
      <c r="Q595" t="s" s="2">
        <v>1277</v>
      </c>
      <c r="R595" t="s" s="2">
        <f>_xlfn.IFERROR(INDEX('model_byCAP'!$D$2:$D$377,MATCH(Q595,'model_byCAP'!$A$2:$A$377,0)),0)</f>
        <v>27</v>
      </c>
    </row>
    <row r="596" ht="15.35" customHeight="1">
      <c r="A596" t="s" s="2">
        <v>1288</v>
      </c>
      <c r="B596" s="4">
        <v>41458</v>
      </c>
      <c r="C596" s="5">
        <v>3200</v>
      </c>
      <c r="D596" s="5">
        <v>108</v>
      </c>
      <c r="E596" s="5">
        <v>89.5</v>
      </c>
      <c r="F596" t="s" s="2">
        <v>19</v>
      </c>
      <c r="G596" t="s" s="2">
        <v>1289</v>
      </c>
      <c r="H596" s="5">
        <v>756</v>
      </c>
      <c r="I596" t="s" s="2">
        <v>456</v>
      </c>
      <c r="J596" t="s" s="2">
        <v>22</v>
      </c>
      <c r="K596" t="s" s="2">
        <v>1290</v>
      </c>
      <c r="L596" t="s" s="2">
        <v>1291</v>
      </c>
      <c r="M596" s="5">
        <v>507651.8</v>
      </c>
      <c r="N596" s="5">
        <v>6203647.47</v>
      </c>
      <c r="O596" t="s" s="2">
        <v>305</v>
      </c>
      <c r="P596" s="5">
        <v>16111</v>
      </c>
      <c r="Q596" t="s" s="2">
        <v>1292</v>
      </c>
      <c r="R596" t="s" s="2">
        <f>_xlfn.IFERROR(INDEX('model_byCAP'!$D$2:$D$377,MATCH(Q596,'model_byCAP'!$A$2:$A$377,0)),0)</f>
        <v>1293</v>
      </c>
    </row>
    <row r="597" ht="15.35" customHeight="1">
      <c r="A597" t="s" s="2">
        <v>1294</v>
      </c>
      <c r="B597" s="4">
        <v>42962</v>
      </c>
      <c r="C597" s="5">
        <v>3200</v>
      </c>
      <c r="D597" s="5">
        <v>113</v>
      </c>
      <c r="E597" s="5">
        <v>83.5</v>
      </c>
      <c r="F597" t="s" s="2">
        <v>19</v>
      </c>
      <c r="G597" t="s" s="2">
        <v>1138</v>
      </c>
      <c r="H597" s="5">
        <v>756</v>
      </c>
      <c r="I597" t="s" s="2">
        <v>456</v>
      </c>
      <c r="J597" t="s" s="2">
        <v>22</v>
      </c>
      <c r="K597" t="s" s="2">
        <v>1295</v>
      </c>
      <c r="L597" t="s" s="2">
        <v>1296</v>
      </c>
      <c r="M597" s="5">
        <v>515139.01</v>
      </c>
      <c r="N597" s="5">
        <v>6202616.74</v>
      </c>
      <c r="O597" t="s" s="2">
        <v>305</v>
      </c>
      <c r="P597" s="5">
        <v>16194</v>
      </c>
      <c r="Q597" t="s" s="2">
        <v>1141</v>
      </c>
      <c r="R597" t="s" s="2">
        <f>_xlfn.IFERROR(INDEX('model_byCAP'!$D$2:$D$377,MATCH(Q597,'model_byCAP'!$A$2:$A$377,0)),0)</f>
        <v>27</v>
      </c>
    </row>
    <row r="598" ht="15.35" customHeight="1">
      <c r="A598" t="s" s="2">
        <v>1297</v>
      </c>
      <c r="B598" s="4">
        <v>42961</v>
      </c>
      <c r="C598" s="5">
        <v>3200</v>
      </c>
      <c r="D598" s="5">
        <v>113</v>
      </c>
      <c r="E598" s="5">
        <v>83.5</v>
      </c>
      <c r="F598" t="s" s="2">
        <v>19</v>
      </c>
      <c r="G598" t="s" s="2">
        <v>1138</v>
      </c>
      <c r="H598" s="5">
        <v>756</v>
      </c>
      <c r="I598" t="s" s="2">
        <v>456</v>
      </c>
      <c r="J598" t="s" s="2">
        <v>22</v>
      </c>
      <c r="K598" t="s" s="2">
        <v>1295</v>
      </c>
      <c r="L598" t="s" s="2">
        <v>1296</v>
      </c>
      <c r="M598" s="5">
        <v>515100.58</v>
      </c>
      <c r="N598" s="5">
        <v>6202288.44</v>
      </c>
      <c r="O598" t="s" s="2">
        <v>305</v>
      </c>
      <c r="P598" s="5">
        <v>16195</v>
      </c>
      <c r="Q598" t="s" s="2">
        <v>1141</v>
      </c>
      <c r="R598" t="s" s="2">
        <f>_xlfn.IFERROR(INDEX('model_byCAP'!$D$2:$D$377,MATCH(Q598,'model_byCAP'!$A$2:$A$377,0)),0)</f>
        <v>27</v>
      </c>
    </row>
    <row r="599" ht="15.35" customHeight="1">
      <c r="A599" t="s" s="2">
        <v>1298</v>
      </c>
      <c r="B599" s="4">
        <v>43126</v>
      </c>
      <c r="C599" s="5">
        <v>3200</v>
      </c>
      <c r="D599" s="5">
        <v>101</v>
      </c>
      <c r="E599" s="5">
        <v>79.5</v>
      </c>
      <c r="F599" t="s" s="2">
        <v>29</v>
      </c>
      <c r="G599" t="s" s="2">
        <v>1274</v>
      </c>
      <c r="H599" s="5">
        <v>756</v>
      </c>
      <c r="I599" t="s" s="2">
        <v>456</v>
      </c>
      <c r="J599" t="s" s="2">
        <v>22</v>
      </c>
      <c r="K599" t="s" s="2">
        <v>1279</v>
      </c>
      <c r="L599" t="s" s="2">
        <v>500</v>
      </c>
      <c r="M599" s="5">
        <v>511979</v>
      </c>
      <c r="N599" s="5">
        <v>6196480</v>
      </c>
      <c r="O599" t="s" s="2">
        <v>25</v>
      </c>
      <c r="P599" s="5">
        <v>516203</v>
      </c>
      <c r="Q599" t="s" s="2">
        <v>1277</v>
      </c>
      <c r="R599" t="s" s="2">
        <f>_xlfn.IFERROR(INDEX('model_byCAP'!$D$2:$D$377,MATCH(Q599,'model_byCAP'!$A$2:$A$377,0)),0)</f>
        <v>27</v>
      </c>
    </row>
    <row r="600" ht="15.35" customHeight="1">
      <c r="A600" t="s" s="2">
        <v>1299</v>
      </c>
      <c r="B600" s="4">
        <v>43127</v>
      </c>
      <c r="C600" s="5">
        <v>3200</v>
      </c>
      <c r="D600" s="5">
        <v>101</v>
      </c>
      <c r="E600" s="5">
        <v>79.5</v>
      </c>
      <c r="F600" t="s" s="2">
        <v>29</v>
      </c>
      <c r="G600" t="s" s="2">
        <v>1274</v>
      </c>
      <c r="H600" s="5">
        <v>756</v>
      </c>
      <c r="I600" t="s" s="2">
        <v>456</v>
      </c>
      <c r="J600" t="s" s="2">
        <v>22</v>
      </c>
      <c r="K600" t="s" s="2">
        <v>1279</v>
      </c>
      <c r="L600" t="s" s="2">
        <v>500</v>
      </c>
      <c r="M600" s="5">
        <v>511717</v>
      </c>
      <c r="N600" s="5">
        <v>6196881</v>
      </c>
      <c r="O600" t="s" s="2">
        <v>305</v>
      </c>
      <c r="P600" s="5">
        <v>516204</v>
      </c>
      <c r="Q600" t="s" s="2">
        <v>1277</v>
      </c>
      <c r="R600" t="s" s="2">
        <f>_xlfn.IFERROR(INDEX('model_byCAP'!$D$2:$D$377,MATCH(Q600,'model_byCAP'!$A$2:$A$377,0)),0)</f>
        <v>27</v>
      </c>
    </row>
    <row r="601" ht="15.35" customHeight="1">
      <c r="A601" t="s" s="2">
        <v>1300</v>
      </c>
      <c r="B601" s="4">
        <v>43129</v>
      </c>
      <c r="C601" s="5">
        <v>3200</v>
      </c>
      <c r="D601" s="5">
        <v>101</v>
      </c>
      <c r="E601" s="5">
        <v>79.5</v>
      </c>
      <c r="F601" t="s" s="2">
        <v>29</v>
      </c>
      <c r="G601" t="s" s="2">
        <v>1274</v>
      </c>
      <c r="H601" s="5">
        <v>756</v>
      </c>
      <c r="I601" t="s" s="2">
        <v>456</v>
      </c>
      <c r="J601" t="s" s="2">
        <v>22</v>
      </c>
      <c r="K601" t="s" s="2">
        <v>1279</v>
      </c>
      <c r="L601" t="s" s="2">
        <v>1301</v>
      </c>
      <c r="M601" s="5">
        <v>511433</v>
      </c>
      <c r="N601" s="5">
        <v>6197115</v>
      </c>
      <c r="O601" t="s" s="2">
        <v>25</v>
      </c>
      <c r="P601" s="5">
        <v>516205</v>
      </c>
      <c r="Q601" t="s" s="2">
        <v>1277</v>
      </c>
      <c r="R601" t="s" s="2">
        <f>_xlfn.IFERROR(INDEX('model_byCAP'!$D$2:$D$377,MATCH(Q601,'model_byCAP'!$A$2:$A$377,0)),0)</f>
        <v>27</v>
      </c>
    </row>
    <row r="602" ht="15.35" customHeight="1">
      <c r="A602" t="s" s="2">
        <v>1302</v>
      </c>
      <c r="B602" s="4">
        <v>43138</v>
      </c>
      <c r="C602" s="5">
        <v>3200</v>
      </c>
      <c r="D602" s="5">
        <v>101</v>
      </c>
      <c r="E602" s="5">
        <v>79.5</v>
      </c>
      <c r="F602" t="s" s="2">
        <v>29</v>
      </c>
      <c r="G602" t="s" s="2">
        <v>1274</v>
      </c>
      <c r="H602" s="5">
        <v>756</v>
      </c>
      <c r="I602" t="s" s="2">
        <v>456</v>
      </c>
      <c r="J602" t="s" s="2">
        <v>22</v>
      </c>
      <c r="K602" t="s" s="2">
        <v>1279</v>
      </c>
      <c r="L602" t="s" s="2">
        <v>1301</v>
      </c>
      <c r="M602" s="5">
        <v>511180</v>
      </c>
      <c r="N602" s="5">
        <v>6197293</v>
      </c>
      <c r="O602" t="s" s="2">
        <v>25</v>
      </c>
      <c r="P602" s="5">
        <v>516206</v>
      </c>
      <c r="Q602" t="s" s="2">
        <v>1277</v>
      </c>
      <c r="R602" t="s" s="2">
        <f>_xlfn.IFERROR(INDEX('model_byCAP'!$D$2:$D$377,MATCH(Q602,'model_byCAP'!$A$2:$A$377,0)),0)</f>
        <v>27</v>
      </c>
    </row>
    <row r="603" ht="15.35" customHeight="1">
      <c r="A603" t="s" s="2">
        <v>1303</v>
      </c>
      <c r="B603" s="4">
        <v>43138</v>
      </c>
      <c r="C603" s="5">
        <v>3200</v>
      </c>
      <c r="D603" s="5">
        <v>101</v>
      </c>
      <c r="E603" s="5">
        <v>79.5</v>
      </c>
      <c r="F603" t="s" s="2">
        <v>29</v>
      </c>
      <c r="G603" t="s" s="2">
        <v>1274</v>
      </c>
      <c r="H603" s="5">
        <v>756</v>
      </c>
      <c r="I603" t="s" s="2">
        <v>456</v>
      </c>
      <c r="J603" t="s" s="2">
        <v>22</v>
      </c>
      <c r="K603" t="s" s="2">
        <v>1279</v>
      </c>
      <c r="L603" t="s" s="2">
        <v>1304</v>
      </c>
      <c r="M603" s="5">
        <v>510896</v>
      </c>
      <c r="N603" s="5">
        <v>6197509</v>
      </c>
      <c r="O603" t="s" s="2">
        <v>305</v>
      </c>
      <c r="P603" s="5">
        <v>516207</v>
      </c>
      <c r="Q603" t="s" s="2">
        <v>1277</v>
      </c>
      <c r="R603" t="s" s="2">
        <f>_xlfn.IFERROR(INDEX('model_byCAP'!$D$2:$D$377,MATCH(Q603,'model_byCAP'!$A$2:$A$377,0)),0)</f>
        <v>27</v>
      </c>
    </row>
    <row r="604" ht="15.35" customHeight="1">
      <c r="A604" t="s" s="2">
        <v>1305</v>
      </c>
      <c r="B604" s="4">
        <v>43138</v>
      </c>
      <c r="C604" s="5">
        <v>3200</v>
      </c>
      <c r="D604" s="5">
        <v>101</v>
      </c>
      <c r="E604" s="5">
        <v>79.5</v>
      </c>
      <c r="F604" t="s" s="2">
        <v>29</v>
      </c>
      <c r="G604" t="s" s="2">
        <v>1274</v>
      </c>
      <c r="H604" s="5">
        <v>756</v>
      </c>
      <c r="I604" t="s" s="2">
        <v>456</v>
      </c>
      <c r="J604" t="s" s="2">
        <v>22</v>
      </c>
      <c r="K604" t="s" s="2">
        <v>1279</v>
      </c>
      <c r="L604" t="s" s="2">
        <v>1306</v>
      </c>
      <c r="M604" s="5">
        <v>510633</v>
      </c>
      <c r="N604" s="5">
        <v>6197709</v>
      </c>
      <c r="O604" t="s" s="2">
        <v>305</v>
      </c>
      <c r="P604" s="5">
        <v>516208</v>
      </c>
      <c r="Q604" t="s" s="2">
        <v>1277</v>
      </c>
      <c r="R604" t="s" s="2">
        <f>_xlfn.IFERROR(INDEX('model_byCAP'!$D$2:$D$377,MATCH(Q604,'model_byCAP'!$A$2:$A$377,0)),0)</f>
        <v>27</v>
      </c>
    </row>
    <row r="605" ht="15.35" customHeight="1">
      <c r="A605" t="s" s="2">
        <v>1307</v>
      </c>
      <c r="B605" s="4">
        <v>42988</v>
      </c>
      <c r="C605" s="5">
        <v>3200</v>
      </c>
      <c r="D605" s="5">
        <v>113</v>
      </c>
      <c r="E605" s="5">
        <v>83.5</v>
      </c>
      <c r="F605" t="s" s="2">
        <v>19</v>
      </c>
      <c r="G605" t="s" s="2">
        <v>1138</v>
      </c>
      <c r="H605" s="5">
        <v>779</v>
      </c>
      <c r="I605" t="s" s="2">
        <v>1308</v>
      </c>
      <c r="J605" t="s" s="2">
        <v>22</v>
      </c>
      <c r="K605" t="s" s="2">
        <v>1309</v>
      </c>
      <c r="L605" t="s" s="2">
        <v>1310</v>
      </c>
      <c r="M605" s="5">
        <v>492274</v>
      </c>
      <c r="N605" s="5">
        <v>6281898</v>
      </c>
      <c r="O605" t="s" s="2">
        <v>305</v>
      </c>
      <c r="P605" s="5">
        <v>4097080</v>
      </c>
      <c r="Q605" t="s" s="2">
        <v>1141</v>
      </c>
      <c r="R605" t="s" s="2">
        <f>_xlfn.IFERROR(INDEX('model_byCAP'!$D$2:$D$377,MATCH(Q605,'model_byCAP'!$A$2:$A$377,0)),0)</f>
        <v>27</v>
      </c>
    </row>
    <row r="606" ht="15.35" customHeight="1">
      <c r="A606" t="s" s="2">
        <v>1311</v>
      </c>
      <c r="B606" s="4">
        <v>42997</v>
      </c>
      <c r="C606" s="5">
        <v>3200</v>
      </c>
      <c r="D606" s="5">
        <v>113</v>
      </c>
      <c r="E606" s="5">
        <v>83.5</v>
      </c>
      <c r="F606" t="s" s="2">
        <v>19</v>
      </c>
      <c r="G606" t="s" s="2">
        <v>1138</v>
      </c>
      <c r="H606" s="5">
        <v>779</v>
      </c>
      <c r="I606" t="s" s="2">
        <v>1308</v>
      </c>
      <c r="J606" t="s" s="2">
        <v>22</v>
      </c>
      <c r="K606" t="s" s="2">
        <v>1309</v>
      </c>
      <c r="L606" t="s" s="2">
        <v>546</v>
      </c>
      <c r="M606" s="5">
        <v>492604</v>
      </c>
      <c r="N606" s="5">
        <v>6281694</v>
      </c>
      <c r="O606" t="s" s="2">
        <v>305</v>
      </c>
      <c r="P606" s="5">
        <v>4097081</v>
      </c>
      <c r="Q606" t="s" s="2">
        <v>1141</v>
      </c>
      <c r="R606" t="s" s="2">
        <f>_xlfn.IFERROR(INDEX('model_byCAP'!$D$2:$D$377,MATCH(Q606,'model_byCAP'!$A$2:$A$377,0)),0)</f>
        <v>27</v>
      </c>
    </row>
    <row r="607" ht="15.35" customHeight="1">
      <c r="A607" t="s" s="2">
        <v>1312</v>
      </c>
      <c r="B607" s="4">
        <v>42997</v>
      </c>
      <c r="C607" s="5">
        <v>3200</v>
      </c>
      <c r="D607" s="5">
        <v>113</v>
      </c>
      <c r="E607" s="5">
        <v>83.5</v>
      </c>
      <c r="F607" t="s" s="2">
        <v>19</v>
      </c>
      <c r="G607" t="s" s="2">
        <v>1138</v>
      </c>
      <c r="H607" s="5">
        <v>779</v>
      </c>
      <c r="I607" t="s" s="2">
        <v>1308</v>
      </c>
      <c r="J607" t="s" s="2">
        <v>22</v>
      </c>
      <c r="K607" t="s" s="2">
        <v>1309</v>
      </c>
      <c r="L607" t="s" s="2">
        <v>548</v>
      </c>
      <c r="M607" s="5">
        <v>492935</v>
      </c>
      <c r="N607" s="5">
        <v>6281490</v>
      </c>
      <c r="O607" t="s" s="2">
        <v>305</v>
      </c>
      <c r="P607" s="5">
        <v>4097082</v>
      </c>
      <c r="Q607" t="s" s="2">
        <v>1141</v>
      </c>
      <c r="R607" t="s" s="2">
        <f>_xlfn.IFERROR(INDEX('model_byCAP'!$D$2:$D$377,MATCH(Q607,'model_byCAP'!$A$2:$A$377,0)),0)</f>
        <v>27</v>
      </c>
    </row>
    <row r="608" ht="15.35" customHeight="1">
      <c r="A608" t="s" s="2">
        <v>1313</v>
      </c>
      <c r="B608" s="4">
        <v>42475</v>
      </c>
      <c r="C608" s="5">
        <v>3200</v>
      </c>
      <c r="D608" s="5">
        <v>113</v>
      </c>
      <c r="E608" s="5">
        <v>83.5</v>
      </c>
      <c r="F608" t="s" s="2">
        <v>19</v>
      </c>
      <c r="G608" t="s" s="2">
        <v>1138</v>
      </c>
      <c r="H608" s="5">
        <v>840</v>
      </c>
      <c r="I608" t="s" s="2">
        <v>973</v>
      </c>
      <c r="J608" t="s" s="2">
        <v>22</v>
      </c>
      <c r="K608" t="s" s="2">
        <v>1314</v>
      </c>
      <c r="L608" t="s" s="2">
        <v>1315</v>
      </c>
      <c r="M608" s="5">
        <v>543672.8</v>
      </c>
      <c r="N608" s="5">
        <v>6281078.71</v>
      </c>
      <c r="O608" t="s" s="2">
        <v>305</v>
      </c>
      <c r="P608" s="5">
        <v>623</v>
      </c>
      <c r="Q608" t="s" s="2">
        <v>1141</v>
      </c>
      <c r="R608" t="s" s="2">
        <f>_xlfn.IFERROR(INDEX('model_byCAP'!$D$2:$D$377,MATCH(Q608,'model_byCAP'!$A$2:$A$377,0)),0)</f>
        <v>27</v>
      </c>
    </row>
    <row r="609" ht="15.35" customHeight="1">
      <c r="A609" t="s" s="2">
        <v>1316</v>
      </c>
      <c r="B609" s="4">
        <v>42480</v>
      </c>
      <c r="C609" s="5">
        <v>3200</v>
      </c>
      <c r="D609" s="5">
        <v>113</v>
      </c>
      <c r="E609" s="5">
        <v>83.5</v>
      </c>
      <c r="F609" t="s" s="2">
        <v>19</v>
      </c>
      <c r="G609" t="s" s="2">
        <v>1138</v>
      </c>
      <c r="H609" s="5">
        <v>840</v>
      </c>
      <c r="I609" t="s" s="2">
        <v>973</v>
      </c>
      <c r="J609" t="s" s="2">
        <v>22</v>
      </c>
      <c r="K609" t="s" s="2">
        <v>1314</v>
      </c>
      <c r="L609" t="s" s="2">
        <v>1008</v>
      </c>
      <c r="M609" s="5">
        <v>544044.53</v>
      </c>
      <c r="N609" s="5">
        <v>6281227.96</v>
      </c>
      <c r="O609" t="s" s="2">
        <v>305</v>
      </c>
      <c r="P609" s="5">
        <v>622</v>
      </c>
      <c r="Q609" t="s" s="2">
        <v>1141</v>
      </c>
      <c r="R609" t="s" s="2">
        <f>_xlfn.IFERROR(INDEX('model_byCAP'!$D$2:$D$377,MATCH(Q609,'model_byCAP'!$A$2:$A$377,0)),0)</f>
        <v>27</v>
      </c>
    </row>
    <row r="610" ht="15.35" customHeight="1">
      <c r="A610" t="s" s="2">
        <v>1317</v>
      </c>
      <c r="B610" s="4">
        <v>42488</v>
      </c>
      <c r="C610" s="5">
        <v>3200</v>
      </c>
      <c r="D610" s="5">
        <v>113</v>
      </c>
      <c r="E610" s="5">
        <v>83.5</v>
      </c>
      <c r="F610" t="s" s="2">
        <v>19</v>
      </c>
      <c r="G610" t="s" s="2">
        <v>1138</v>
      </c>
      <c r="H610" s="5">
        <v>840</v>
      </c>
      <c r="I610" t="s" s="2">
        <v>973</v>
      </c>
      <c r="J610" t="s" s="2">
        <v>22</v>
      </c>
      <c r="K610" t="s" s="2">
        <v>1314</v>
      </c>
      <c r="L610" t="s" s="2">
        <v>1318</v>
      </c>
      <c r="M610" s="5">
        <v>544131.41</v>
      </c>
      <c r="N610" s="5">
        <v>6281547.15</v>
      </c>
      <c r="O610" t="s" s="2">
        <v>305</v>
      </c>
      <c r="P610" s="6"/>
      <c r="Q610" t="s" s="2">
        <v>1141</v>
      </c>
      <c r="R610" t="s" s="2">
        <f>_xlfn.IFERROR(INDEX('model_byCAP'!$D$2:$D$377,MATCH(Q610,'model_byCAP'!$A$2:$A$377,0)),0)</f>
        <v>27</v>
      </c>
    </row>
    <row r="611" ht="15.35" customHeight="1">
      <c r="A611" t="s" s="2">
        <v>1319</v>
      </c>
      <c r="B611" s="4">
        <v>42488</v>
      </c>
      <c r="C611" s="5">
        <v>3200</v>
      </c>
      <c r="D611" s="5">
        <v>113</v>
      </c>
      <c r="E611" s="5">
        <v>83.5</v>
      </c>
      <c r="F611" t="s" s="2">
        <v>19</v>
      </c>
      <c r="G611" t="s" s="2">
        <v>1138</v>
      </c>
      <c r="H611" s="5">
        <v>840</v>
      </c>
      <c r="I611" t="s" s="2">
        <v>973</v>
      </c>
      <c r="J611" t="s" s="2">
        <v>22</v>
      </c>
      <c r="K611" t="s" s="2">
        <v>1314</v>
      </c>
      <c r="L611" t="s" s="2">
        <v>1320</v>
      </c>
      <c r="M611" s="5">
        <v>543760.3100000001</v>
      </c>
      <c r="N611" s="5">
        <v>6281398.39</v>
      </c>
      <c r="O611" t="s" s="2">
        <v>305</v>
      </c>
      <c r="P611" s="6"/>
      <c r="Q611" t="s" s="2">
        <v>1141</v>
      </c>
      <c r="R611" t="s" s="2">
        <f>_xlfn.IFERROR(INDEX('model_byCAP'!$D$2:$D$377,MATCH(Q611,'model_byCAP'!$A$2:$A$377,0)),0)</f>
        <v>27</v>
      </c>
    </row>
    <row r="612" ht="15.35" customHeight="1">
      <c r="A612" t="s" s="2">
        <v>1321</v>
      </c>
      <c r="B612" s="4">
        <v>42468</v>
      </c>
      <c r="C612" s="5">
        <v>3200</v>
      </c>
      <c r="D612" s="5">
        <v>113</v>
      </c>
      <c r="E612" s="5">
        <v>83.5</v>
      </c>
      <c r="F612" t="s" s="2">
        <v>19</v>
      </c>
      <c r="G612" t="s" s="2">
        <v>1138</v>
      </c>
      <c r="H612" s="5">
        <v>846</v>
      </c>
      <c r="I612" t="s" s="2">
        <v>429</v>
      </c>
      <c r="J612" t="s" s="2">
        <v>22</v>
      </c>
      <c r="K612" t="s" s="2">
        <v>1322</v>
      </c>
      <c r="L612" t="s" s="2">
        <v>1323</v>
      </c>
      <c r="M612" s="5">
        <v>544416.1800000001</v>
      </c>
      <c r="N612" s="5">
        <v>6281376.08</v>
      </c>
      <c r="O612" t="s" s="2">
        <v>305</v>
      </c>
      <c r="P612" s="5">
        <v>621</v>
      </c>
      <c r="Q612" t="s" s="2">
        <v>1141</v>
      </c>
      <c r="R612" t="s" s="2">
        <f>_xlfn.IFERROR(INDEX('model_byCAP'!$D$2:$D$377,MATCH(Q612,'model_byCAP'!$A$2:$A$377,0)),0)</f>
        <v>27</v>
      </c>
    </row>
    <row r="613" ht="15.35" customHeight="1">
      <c r="A613" t="s" s="2">
        <v>1324</v>
      </c>
      <c r="B613" s="4">
        <v>42222</v>
      </c>
      <c r="C613" s="5">
        <v>3200</v>
      </c>
      <c r="D613" s="5">
        <v>113</v>
      </c>
      <c r="E613" s="5">
        <v>92.5</v>
      </c>
      <c r="F613" t="s" s="2">
        <v>19</v>
      </c>
      <c r="G613" t="s" s="2">
        <v>1138</v>
      </c>
      <c r="H613" s="5">
        <v>849</v>
      </c>
      <c r="I613" t="s" s="2">
        <v>411</v>
      </c>
      <c r="J613" t="s" s="2">
        <v>22</v>
      </c>
      <c r="K613" t="s" s="2">
        <v>1325</v>
      </c>
      <c r="L613" t="s" s="2">
        <v>1326</v>
      </c>
      <c r="M613" s="5">
        <v>508681.01</v>
      </c>
      <c r="N613" s="5">
        <v>6325113.58</v>
      </c>
      <c r="O613" t="s" s="2">
        <v>305</v>
      </c>
      <c r="P613" s="5">
        <v>161323</v>
      </c>
      <c r="Q613" t="s" s="2">
        <v>1141</v>
      </c>
      <c r="R613" t="s" s="2">
        <f>_xlfn.IFERROR(INDEX('model_byCAP'!$D$2:$D$377,MATCH(Q613,'model_byCAP'!$A$2:$A$377,0)),0)</f>
        <v>27</v>
      </c>
    </row>
    <row r="614" ht="15.35" customHeight="1">
      <c r="A614" t="s" s="2">
        <v>1327</v>
      </c>
      <c r="B614" s="4">
        <v>42209</v>
      </c>
      <c r="C614" s="5">
        <v>3200</v>
      </c>
      <c r="D614" s="5">
        <v>113</v>
      </c>
      <c r="E614" s="5">
        <v>92.5</v>
      </c>
      <c r="F614" t="s" s="2">
        <v>19</v>
      </c>
      <c r="G614" t="s" s="2">
        <v>1138</v>
      </c>
      <c r="H614" s="5">
        <v>849</v>
      </c>
      <c r="I614" t="s" s="2">
        <v>411</v>
      </c>
      <c r="J614" t="s" s="2">
        <v>22</v>
      </c>
      <c r="K614" t="s" s="2">
        <v>1325</v>
      </c>
      <c r="L614" t="s" s="2">
        <v>1328</v>
      </c>
      <c r="M614" s="5">
        <v>508872.67</v>
      </c>
      <c r="N614" s="5">
        <v>6324908.17</v>
      </c>
      <c r="O614" t="s" s="2">
        <v>305</v>
      </c>
      <c r="P614" s="5">
        <v>161324</v>
      </c>
      <c r="Q614" t="s" s="2">
        <v>1141</v>
      </c>
      <c r="R614" t="s" s="2">
        <f>_xlfn.IFERROR(INDEX('model_byCAP'!$D$2:$D$377,MATCH(Q614,'model_byCAP'!$A$2:$A$377,0)),0)</f>
        <v>27</v>
      </c>
    </row>
    <row r="615" ht="15.35" customHeight="1">
      <c r="A615" t="s" s="2">
        <v>1329</v>
      </c>
      <c r="B615" s="4">
        <v>42235</v>
      </c>
      <c r="C615" s="5">
        <v>3200</v>
      </c>
      <c r="D615" s="5">
        <v>113</v>
      </c>
      <c r="E615" s="5">
        <v>92.5</v>
      </c>
      <c r="F615" t="s" s="2">
        <v>19</v>
      </c>
      <c r="G615" t="s" s="2">
        <v>1138</v>
      </c>
      <c r="H615" s="5">
        <v>849</v>
      </c>
      <c r="I615" t="s" s="2">
        <v>411</v>
      </c>
      <c r="J615" t="s" s="2">
        <v>22</v>
      </c>
      <c r="K615" t="s" s="2">
        <v>1325</v>
      </c>
      <c r="L615" t="s" s="2">
        <v>1330</v>
      </c>
      <c r="M615" s="5">
        <v>509062.19</v>
      </c>
      <c r="N615" s="5">
        <v>6324702.46</v>
      </c>
      <c r="O615" t="s" s="2">
        <v>305</v>
      </c>
      <c r="P615" s="5">
        <v>161325</v>
      </c>
      <c r="Q615" t="s" s="2">
        <v>1141</v>
      </c>
      <c r="R615" t="s" s="2">
        <f>_xlfn.IFERROR(INDEX('model_byCAP'!$D$2:$D$377,MATCH(Q615,'model_byCAP'!$A$2:$A$377,0)),0)</f>
        <v>27</v>
      </c>
    </row>
    <row r="616" ht="15.35" customHeight="1">
      <c r="A616" t="s" s="2">
        <v>1331</v>
      </c>
      <c r="B616" s="4">
        <v>42270</v>
      </c>
      <c r="C616" s="5">
        <v>3200</v>
      </c>
      <c r="D616" s="5">
        <v>113</v>
      </c>
      <c r="E616" s="5">
        <v>92.5</v>
      </c>
      <c r="F616" t="s" s="2">
        <v>19</v>
      </c>
      <c r="G616" t="s" s="2">
        <v>1138</v>
      </c>
      <c r="H616" s="5">
        <v>849</v>
      </c>
      <c r="I616" t="s" s="2">
        <v>411</v>
      </c>
      <c r="J616" t="s" s="2">
        <v>22</v>
      </c>
      <c r="K616" t="s" s="2">
        <v>1325</v>
      </c>
      <c r="L616" t="s" s="2">
        <v>1332</v>
      </c>
      <c r="M616" s="5">
        <v>509252.4</v>
      </c>
      <c r="N616" s="5">
        <v>6324496.38</v>
      </c>
      <c r="O616" t="s" s="2">
        <v>305</v>
      </c>
      <c r="P616" s="5">
        <v>161326</v>
      </c>
      <c r="Q616" t="s" s="2">
        <v>1141</v>
      </c>
      <c r="R616" t="s" s="2">
        <f>_xlfn.IFERROR(INDEX('model_byCAP'!$D$2:$D$377,MATCH(Q616,'model_byCAP'!$A$2:$A$377,0)),0)</f>
        <v>27</v>
      </c>
    </row>
    <row r="617" ht="15.35" customHeight="1">
      <c r="A617" t="s" s="2">
        <v>1333</v>
      </c>
      <c r="B617" s="4">
        <v>42269</v>
      </c>
      <c r="C617" s="5">
        <v>3200</v>
      </c>
      <c r="D617" s="5">
        <v>113</v>
      </c>
      <c r="E617" s="5">
        <v>92.5</v>
      </c>
      <c r="F617" t="s" s="2">
        <v>19</v>
      </c>
      <c r="G617" t="s" s="2">
        <v>1138</v>
      </c>
      <c r="H617" s="5">
        <v>849</v>
      </c>
      <c r="I617" t="s" s="2">
        <v>411</v>
      </c>
      <c r="J617" t="s" s="2">
        <v>22</v>
      </c>
      <c r="K617" t="s" s="2">
        <v>1325</v>
      </c>
      <c r="L617" t="s" s="2">
        <v>1332</v>
      </c>
      <c r="M617" s="5">
        <v>509443.45</v>
      </c>
      <c r="N617" s="5">
        <v>6324290.33</v>
      </c>
      <c r="O617" t="s" s="2">
        <v>305</v>
      </c>
      <c r="P617" s="5">
        <v>161327</v>
      </c>
      <c r="Q617" t="s" s="2">
        <v>1141</v>
      </c>
      <c r="R617" t="s" s="2">
        <f>_xlfn.IFERROR(INDEX('model_byCAP'!$D$2:$D$377,MATCH(Q617,'model_byCAP'!$A$2:$A$377,0)),0)</f>
        <v>27</v>
      </c>
    </row>
    <row r="618" ht="15.35" customHeight="1">
      <c r="A618" t="s" s="2">
        <v>1334</v>
      </c>
      <c r="B618" s="4">
        <v>42264</v>
      </c>
      <c r="C618" s="5">
        <v>3200</v>
      </c>
      <c r="D618" s="5">
        <v>113</v>
      </c>
      <c r="E618" s="5">
        <v>92.5</v>
      </c>
      <c r="F618" t="s" s="2">
        <v>19</v>
      </c>
      <c r="G618" t="s" s="2">
        <v>1138</v>
      </c>
      <c r="H618" s="5">
        <v>849</v>
      </c>
      <c r="I618" t="s" s="2">
        <v>411</v>
      </c>
      <c r="J618" t="s" s="2">
        <v>22</v>
      </c>
      <c r="K618" t="s" s="2">
        <v>1325</v>
      </c>
      <c r="L618" t="s" s="2">
        <v>518</v>
      </c>
      <c r="M618" s="5">
        <v>509634.32</v>
      </c>
      <c r="N618" s="5">
        <v>6324084.19</v>
      </c>
      <c r="O618" t="s" s="2">
        <v>305</v>
      </c>
      <c r="P618" s="5">
        <v>161328</v>
      </c>
      <c r="Q618" t="s" s="2">
        <v>1141</v>
      </c>
      <c r="R618" t="s" s="2">
        <f>_xlfn.IFERROR(INDEX('model_byCAP'!$D$2:$D$377,MATCH(Q618,'model_byCAP'!$A$2:$A$377,0)),0)</f>
        <v>27</v>
      </c>
    </row>
    <row r="619" ht="15.35" customHeight="1">
      <c r="A619" t="s" s="2">
        <v>1335</v>
      </c>
      <c r="B619" s="4">
        <v>42272</v>
      </c>
      <c r="C619" s="5">
        <v>3200</v>
      </c>
      <c r="D619" s="5">
        <v>113</v>
      </c>
      <c r="E619" s="5">
        <v>92.5</v>
      </c>
      <c r="F619" t="s" s="2">
        <v>19</v>
      </c>
      <c r="G619" t="s" s="2">
        <v>1138</v>
      </c>
      <c r="H619" s="5">
        <v>849</v>
      </c>
      <c r="I619" t="s" s="2">
        <v>411</v>
      </c>
      <c r="J619" t="s" s="2">
        <v>22</v>
      </c>
      <c r="K619" t="s" s="2">
        <v>1325</v>
      </c>
      <c r="L619" t="s" s="2">
        <v>518</v>
      </c>
      <c r="M619" s="5">
        <v>509824.93</v>
      </c>
      <c r="N619" s="5">
        <v>6323878.91</v>
      </c>
      <c r="O619" t="s" s="2">
        <v>305</v>
      </c>
      <c r="P619" s="5">
        <v>161329</v>
      </c>
      <c r="Q619" t="s" s="2">
        <v>1141</v>
      </c>
      <c r="R619" t="s" s="2">
        <f>_xlfn.IFERROR(INDEX('model_byCAP'!$D$2:$D$377,MATCH(Q619,'model_byCAP'!$A$2:$A$377,0)),0)</f>
        <v>27</v>
      </c>
    </row>
    <row r="620" ht="15.35" customHeight="1">
      <c r="A620" t="s" s="2">
        <v>1336</v>
      </c>
      <c r="B620" s="4">
        <v>42257</v>
      </c>
      <c r="C620" s="5">
        <v>3200</v>
      </c>
      <c r="D620" s="5">
        <v>113</v>
      </c>
      <c r="E620" s="5">
        <v>92.5</v>
      </c>
      <c r="F620" t="s" s="2">
        <v>19</v>
      </c>
      <c r="G620" t="s" s="2">
        <v>1138</v>
      </c>
      <c r="H620" s="5">
        <v>849</v>
      </c>
      <c r="I620" t="s" s="2">
        <v>411</v>
      </c>
      <c r="J620" t="s" s="2">
        <v>22</v>
      </c>
      <c r="K620" t="s" s="2">
        <v>1325</v>
      </c>
      <c r="L620" t="s" s="2">
        <v>518</v>
      </c>
      <c r="M620" s="5">
        <v>510015.74</v>
      </c>
      <c r="N620" s="5">
        <v>6323672.16</v>
      </c>
      <c r="O620" t="s" s="2">
        <v>305</v>
      </c>
      <c r="P620" s="5">
        <v>161330</v>
      </c>
      <c r="Q620" t="s" s="2">
        <v>1141</v>
      </c>
      <c r="R620" t="s" s="2">
        <f>_xlfn.IFERROR(INDEX('model_byCAP'!$D$2:$D$377,MATCH(Q620,'model_byCAP'!$A$2:$A$377,0)),0)</f>
        <v>27</v>
      </c>
    </row>
    <row r="621" ht="15.35" customHeight="1">
      <c r="A621" t="s" s="2">
        <v>1337</v>
      </c>
      <c r="B621" s="4">
        <v>42182</v>
      </c>
      <c r="C621" s="5">
        <v>3200</v>
      </c>
      <c r="D621" s="5">
        <v>113</v>
      </c>
      <c r="E621" s="5">
        <v>92.5</v>
      </c>
      <c r="F621" t="s" s="2">
        <v>19</v>
      </c>
      <c r="G621" t="s" s="2">
        <v>1138</v>
      </c>
      <c r="H621" s="5">
        <v>849</v>
      </c>
      <c r="I621" t="s" s="2">
        <v>411</v>
      </c>
      <c r="J621" t="s" s="2">
        <v>22</v>
      </c>
      <c r="K621" t="s" s="2">
        <v>1338</v>
      </c>
      <c r="L621" t="s" s="2">
        <v>1339</v>
      </c>
      <c r="M621" s="5">
        <v>507501.43</v>
      </c>
      <c r="N621" s="5">
        <v>6325558.73</v>
      </c>
      <c r="O621" t="s" s="2">
        <v>305</v>
      </c>
      <c r="P621" s="5">
        <v>161331</v>
      </c>
      <c r="Q621" t="s" s="2">
        <v>1141</v>
      </c>
      <c r="R621" t="s" s="2">
        <f>_xlfn.IFERROR(INDEX('model_byCAP'!$D$2:$D$377,MATCH(Q621,'model_byCAP'!$A$2:$A$377,0)),0)</f>
        <v>27</v>
      </c>
    </row>
    <row r="622" ht="15.35" customHeight="1">
      <c r="A622" t="s" s="2">
        <v>1340</v>
      </c>
      <c r="B622" s="4">
        <v>42187</v>
      </c>
      <c r="C622" s="5">
        <v>3200</v>
      </c>
      <c r="D622" s="5">
        <v>113</v>
      </c>
      <c r="E622" s="5">
        <v>92.5</v>
      </c>
      <c r="F622" t="s" s="2">
        <v>19</v>
      </c>
      <c r="G622" t="s" s="2">
        <v>1138</v>
      </c>
      <c r="H622" s="5">
        <v>849</v>
      </c>
      <c r="I622" t="s" s="2">
        <v>411</v>
      </c>
      <c r="J622" t="s" s="2">
        <v>22</v>
      </c>
      <c r="K622" t="s" s="2">
        <v>1338</v>
      </c>
      <c r="L622" t="s" s="2">
        <v>1339</v>
      </c>
      <c r="M622" s="5">
        <v>507694.96</v>
      </c>
      <c r="N622" s="5">
        <v>6325351.68</v>
      </c>
      <c r="O622" t="s" s="2">
        <v>305</v>
      </c>
      <c r="P622" s="5">
        <v>161332</v>
      </c>
      <c r="Q622" t="s" s="2">
        <v>1141</v>
      </c>
      <c r="R622" t="s" s="2">
        <f>_xlfn.IFERROR(INDEX('model_byCAP'!$D$2:$D$377,MATCH(Q622,'model_byCAP'!$A$2:$A$377,0)),0)</f>
        <v>27</v>
      </c>
    </row>
    <row r="623" ht="15.35" customHeight="1">
      <c r="A623" t="s" s="2">
        <v>1341</v>
      </c>
      <c r="B623" s="4">
        <v>42189</v>
      </c>
      <c r="C623" s="5">
        <v>3200</v>
      </c>
      <c r="D623" s="5">
        <v>113</v>
      </c>
      <c r="E623" s="5">
        <v>92.5</v>
      </c>
      <c r="F623" t="s" s="2">
        <v>19</v>
      </c>
      <c r="G623" t="s" s="2">
        <v>1138</v>
      </c>
      <c r="H623" s="5">
        <v>849</v>
      </c>
      <c r="I623" t="s" s="2">
        <v>411</v>
      </c>
      <c r="J623" t="s" s="2">
        <v>22</v>
      </c>
      <c r="K623" t="s" s="2">
        <v>1342</v>
      </c>
      <c r="L623" t="s" s="2">
        <v>1143</v>
      </c>
      <c r="M623" s="5">
        <v>507882.16</v>
      </c>
      <c r="N623" s="5">
        <v>6325146.37</v>
      </c>
      <c r="O623" t="s" s="2">
        <v>305</v>
      </c>
      <c r="P623" s="5">
        <v>161333</v>
      </c>
      <c r="Q623" t="s" s="2">
        <v>1141</v>
      </c>
      <c r="R623" t="s" s="2">
        <f>_xlfn.IFERROR(INDEX('model_byCAP'!$D$2:$D$377,MATCH(Q623,'model_byCAP'!$A$2:$A$377,0)),0)</f>
        <v>27</v>
      </c>
    </row>
    <row r="624" ht="15.35" customHeight="1">
      <c r="A624" t="s" s="2">
        <v>1343</v>
      </c>
      <c r="B624" s="4">
        <v>42189</v>
      </c>
      <c r="C624" s="5">
        <v>3200</v>
      </c>
      <c r="D624" s="5">
        <v>113</v>
      </c>
      <c r="E624" s="5">
        <v>92.5</v>
      </c>
      <c r="F624" t="s" s="2">
        <v>19</v>
      </c>
      <c r="G624" t="s" s="2">
        <v>1138</v>
      </c>
      <c r="H624" s="5">
        <v>849</v>
      </c>
      <c r="I624" t="s" s="2">
        <v>411</v>
      </c>
      <c r="J624" t="s" s="2">
        <v>22</v>
      </c>
      <c r="K624" t="s" s="2">
        <v>1342</v>
      </c>
      <c r="L624" t="s" s="2">
        <v>1143</v>
      </c>
      <c r="M624" s="5">
        <v>508074.4</v>
      </c>
      <c r="N624" s="5">
        <v>6324939.61</v>
      </c>
      <c r="O624" t="s" s="2">
        <v>305</v>
      </c>
      <c r="P624" s="5">
        <v>161334</v>
      </c>
      <c r="Q624" t="s" s="2">
        <v>1141</v>
      </c>
      <c r="R624" t="s" s="2">
        <f>_xlfn.IFERROR(INDEX('model_byCAP'!$D$2:$D$377,MATCH(Q624,'model_byCAP'!$A$2:$A$377,0)),0)</f>
        <v>27</v>
      </c>
    </row>
    <row r="625" ht="15.35" customHeight="1">
      <c r="A625" t="s" s="2">
        <v>1344</v>
      </c>
      <c r="B625" s="4">
        <v>42199</v>
      </c>
      <c r="C625" s="5">
        <v>3200</v>
      </c>
      <c r="D625" s="5">
        <v>113</v>
      </c>
      <c r="E625" s="5">
        <v>92.5</v>
      </c>
      <c r="F625" t="s" s="2">
        <v>19</v>
      </c>
      <c r="G625" t="s" s="2">
        <v>1138</v>
      </c>
      <c r="H625" s="5">
        <v>849</v>
      </c>
      <c r="I625" t="s" s="2">
        <v>411</v>
      </c>
      <c r="J625" t="s" s="2">
        <v>22</v>
      </c>
      <c r="K625" t="s" s="2">
        <v>1342</v>
      </c>
      <c r="L625" t="s" s="2">
        <v>1345</v>
      </c>
      <c r="M625" s="5">
        <v>508266.16</v>
      </c>
      <c r="N625" s="5">
        <v>6324733.27</v>
      </c>
      <c r="O625" t="s" s="2">
        <v>305</v>
      </c>
      <c r="P625" s="5">
        <v>161335</v>
      </c>
      <c r="Q625" t="s" s="2">
        <v>1141</v>
      </c>
      <c r="R625" t="s" s="2">
        <f>_xlfn.IFERROR(INDEX('model_byCAP'!$D$2:$D$377,MATCH(Q625,'model_byCAP'!$A$2:$A$377,0)),0)</f>
        <v>27</v>
      </c>
    </row>
    <row r="626" ht="15.35" customHeight="1">
      <c r="A626" t="s" s="2">
        <v>1346</v>
      </c>
      <c r="B626" s="4">
        <v>42222</v>
      </c>
      <c r="C626" s="5">
        <v>3200</v>
      </c>
      <c r="D626" s="5">
        <v>113</v>
      </c>
      <c r="E626" s="5">
        <v>92.5</v>
      </c>
      <c r="F626" t="s" s="2">
        <v>19</v>
      </c>
      <c r="G626" t="s" s="2">
        <v>1138</v>
      </c>
      <c r="H626" s="5">
        <v>849</v>
      </c>
      <c r="I626" t="s" s="2">
        <v>411</v>
      </c>
      <c r="J626" t="s" s="2">
        <v>22</v>
      </c>
      <c r="K626" t="s" s="2">
        <v>1325</v>
      </c>
      <c r="L626" t="s" s="2">
        <v>1326</v>
      </c>
      <c r="M626" s="5">
        <v>508458.48</v>
      </c>
      <c r="N626" s="5">
        <v>6324526.93</v>
      </c>
      <c r="O626" t="s" s="2">
        <v>305</v>
      </c>
      <c r="P626" s="5">
        <v>161336</v>
      </c>
      <c r="Q626" t="s" s="2">
        <v>1141</v>
      </c>
      <c r="R626" t="s" s="2">
        <f>_xlfn.IFERROR(INDEX('model_byCAP'!$D$2:$D$377,MATCH(Q626,'model_byCAP'!$A$2:$A$377,0)),0)</f>
        <v>27</v>
      </c>
    </row>
    <row r="627" ht="15.35" customHeight="1">
      <c r="A627" t="s" s="2">
        <v>1347</v>
      </c>
      <c r="B627" s="4">
        <v>42222</v>
      </c>
      <c r="C627" s="5">
        <v>3200</v>
      </c>
      <c r="D627" s="5">
        <v>113</v>
      </c>
      <c r="E627" s="5">
        <v>92.5</v>
      </c>
      <c r="F627" t="s" s="2">
        <v>19</v>
      </c>
      <c r="G627" t="s" s="2">
        <v>1138</v>
      </c>
      <c r="H627" s="5">
        <v>849</v>
      </c>
      <c r="I627" t="s" s="2">
        <v>411</v>
      </c>
      <c r="J627" t="s" s="2">
        <v>22</v>
      </c>
      <c r="K627" t="s" s="2">
        <v>1325</v>
      </c>
      <c r="L627" t="s" s="2">
        <v>1328</v>
      </c>
      <c r="M627" s="5">
        <v>508648.72</v>
      </c>
      <c r="N627" s="5">
        <v>6324320.82</v>
      </c>
      <c r="O627" t="s" s="2">
        <v>305</v>
      </c>
      <c r="P627" s="5">
        <v>161337</v>
      </c>
      <c r="Q627" t="s" s="2">
        <v>1141</v>
      </c>
      <c r="R627" t="s" s="2">
        <f>_xlfn.IFERROR(INDEX('model_byCAP'!$D$2:$D$377,MATCH(Q627,'model_byCAP'!$A$2:$A$377,0)),0)</f>
        <v>27</v>
      </c>
    </row>
    <row r="628" ht="15.35" customHeight="1">
      <c r="A628" t="s" s="2">
        <v>1348</v>
      </c>
      <c r="B628" s="4">
        <v>42237</v>
      </c>
      <c r="C628" s="5">
        <v>3200</v>
      </c>
      <c r="D628" s="5">
        <v>113</v>
      </c>
      <c r="E628" s="5">
        <v>92.5</v>
      </c>
      <c r="F628" t="s" s="2">
        <v>19</v>
      </c>
      <c r="G628" t="s" s="2">
        <v>1138</v>
      </c>
      <c r="H628" s="5">
        <v>849</v>
      </c>
      <c r="I628" t="s" s="2">
        <v>411</v>
      </c>
      <c r="J628" t="s" s="2">
        <v>22</v>
      </c>
      <c r="K628" t="s" s="2">
        <v>1325</v>
      </c>
      <c r="L628" t="s" s="2">
        <v>1349</v>
      </c>
      <c r="M628" s="5">
        <v>508838.45</v>
      </c>
      <c r="N628" s="5">
        <v>6324115.15</v>
      </c>
      <c r="O628" t="s" s="2">
        <v>305</v>
      </c>
      <c r="P628" s="5">
        <v>161338</v>
      </c>
      <c r="Q628" t="s" s="2">
        <v>1141</v>
      </c>
      <c r="R628" t="s" s="2">
        <f>_xlfn.IFERROR(INDEX('model_byCAP'!$D$2:$D$377,MATCH(Q628,'model_byCAP'!$A$2:$A$377,0)),0)</f>
        <v>27</v>
      </c>
    </row>
    <row r="629" ht="15.35" customHeight="1">
      <c r="A629" t="s" s="2">
        <v>1350</v>
      </c>
      <c r="B629" s="4">
        <v>42247</v>
      </c>
      <c r="C629" s="5">
        <v>3200</v>
      </c>
      <c r="D629" s="5">
        <v>113</v>
      </c>
      <c r="E629" s="5">
        <v>92.5</v>
      </c>
      <c r="F629" t="s" s="2">
        <v>19</v>
      </c>
      <c r="G629" t="s" s="2">
        <v>1138</v>
      </c>
      <c r="H629" s="5">
        <v>849</v>
      </c>
      <c r="I629" t="s" s="2">
        <v>411</v>
      </c>
      <c r="J629" t="s" s="2">
        <v>22</v>
      </c>
      <c r="K629" t="s" s="2">
        <v>1325</v>
      </c>
      <c r="L629" t="s" s="2">
        <v>1330</v>
      </c>
      <c r="M629" s="5">
        <v>509028.68</v>
      </c>
      <c r="N629" s="5">
        <v>6323908.68</v>
      </c>
      <c r="O629" t="s" s="2">
        <v>305</v>
      </c>
      <c r="P629" s="5">
        <v>161339</v>
      </c>
      <c r="Q629" t="s" s="2">
        <v>1141</v>
      </c>
      <c r="R629" t="s" s="2">
        <f>_xlfn.IFERROR(INDEX('model_byCAP'!$D$2:$D$377,MATCH(Q629,'model_byCAP'!$A$2:$A$377,0)),0)</f>
        <v>27</v>
      </c>
    </row>
    <row r="630" ht="15.35" customHeight="1">
      <c r="A630" t="s" s="2">
        <v>1351</v>
      </c>
      <c r="B630" s="4">
        <v>42250</v>
      </c>
      <c r="C630" s="5">
        <v>3200</v>
      </c>
      <c r="D630" s="5">
        <v>113</v>
      </c>
      <c r="E630" s="5">
        <v>92.5</v>
      </c>
      <c r="F630" t="s" s="2">
        <v>19</v>
      </c>
      <c r="G630" t="s" s="2">
        <v>1138</v>
      </c>
      <c r="H630" s="5">
        <v>849</v>
      </c>
      <c r="I630" t="s" s="2">
        <v>411</v>
      </c>
      <c r="J630" t="s" s="2">
        <v>22</v>
      </c>
      <c r="K630" t="s" s="2">
        <v>1325</v>
      </c>
      <c r="L630" t="s" s="2">
        <v>1332</v>
      </c>
      <c r="M630" s="5">
        <v>509219.03</v>
      </c>
      <c r="N630" s="5">
        <v>6323702.48</v>
      </c>
      <c r="O630" t="s" s="2">
        <v>305</v>
      </c>
      <c r="P630" s="5">
        <v>161340</v>
      </c>
      <c r="Q630" t="s" s="2">
        <v>1141</v>
      </c>
      <c r="R630" t="s" s="2">
        <f>_xlfn.IFERROR(INDEX('model_byCAP'!$D$2:$D$377,MATCH(Q630,'model_byCAP'!$A$2:$A$377,0)),0)</f>
        <v>27</v>
      </c>
    </row>
    <row r="631" ht="15.35" customHeight="1">
      <c r="A631" t="s" s="2">
        <v>1352</v>
      </c>
      <c r="B631" s="4">
        <v>42264</v>
      </c>
      <c r="C631" s="5">
        <v>3200</v>
      </c>
      <c r="D631" s="5">
        <v>113</v>
      </c>
      <c r="E631" s="5">
        <v>92.5</v>
      </c>
      <c r="F631" t="s" s="2">
        <v>19</v>
      </c>
      <c r="G631" t="s" s="2">
        <v>1138</v>
      </c>
      <c r="H631" s="5">
        <v>849</v>
      </c>
      <c r="I631" t="s" s="2">
        <v>411</v>
      </c>
      <c r="J631" t="s" s="2">
        <v>22</v>
      </c>
      <c r="K631" t="s" s="2">
        <v>1325</v>
      </c>
      <c r="L631" t="s" s="2">
        <v>1332</v>
      </c>
      <c r="M631" s="5">
        <v>509410.01</v>
      </c>
      <c r="N631" s="5">
        <v>6323496.33</v>
      </c>
      <c r="O631" t="s" s="2">
        <v>305</v>
      </c>
      <c r="P631" s="5">
        <v>161341</v>
      </c>
      <c r="Q631" t="s" s="2">
        <v>1141</v>
      </c>
      <c r="R631" t="s" s="2">
        <f>_xlfn.IFERROR(INDEX('model_byCAP'!$D$2:$D$377,MATCH(Q631,'model_byCAP'!$A$2:$A$377,0)),0)</f>
        <v>27</v>
      </c>
    </row>
    <row r="632" ht="15.35" customHeight="1">
      <c r="A632" t="s" s="2">
        <v>1353</v>
      </c>
      <c r="B632" s="4">
        <v>42258</v>
      </c>
      <c r="C632" s="5">
        <v>3200</v>
      </c>
      <c r="D632" s="5">
        <v>113</v>
      </c>
      <c r="E632" s="5">
        <v>92.5</v>
      </c>
      <c r="F632" t="s" s="2">
        <v>19</v>
      </c>
      <c r="G632" t="s" s="2">
        <v>1138</v>
      </c>
      <c r="H632" s="5">
        <v>849</v>
      </c>
      <c r="I632" t="s" s="2">
        <v>411</v>
      </c>
      <c r="J632" t="s" s="2">
        <v>22</v>
      </c>
      <c r="K632" t="s" s="2">
        <v>1325</v>
      </c>
      <c r="L632" t="s" s="2">
        <v>518</v>
      </c>
      <c r="M632" s="5">
        <v>509600.38</v>
      </c>
      <c r="N632" s="5">
        <v>6323290.53</v>
      </c>
      <c r="O632" t="s" s="2">
        <v>305</v>
      </c>
      <c r="P632" s="5">
        <v>161342</v>
      </c>
      <c r="Q632" t="s" s="2">
        <v>1141</v>
      </c>
      <c r="R632" t="s" s="2">
        <f>_xlfn.IFERROR(INDEX('model_byCAP'!$D$2:$D$377,MATCH(Q632,'model_byCAP'!$A$2:$A$377,0)),0)</f>
        <v>27</v>
      </c>
    </row>
    <row r="633" ht="15.35" customHeight="1">
      <c r="A633" t="s" s="2">
        <v>1354</v>
      </c>
      <c r="B633" s="4">
        <v>42201</v>
      </c>
      <c r="C633" s="5">
        <v>3200</v>
      </c>
      <c r="D633" s="5">
        <v>113</v>
      </c>
      <c r="E633" s="5">
        <v>92.5</v>
      </c>
      <c r="F633" t="s" s="2">
        <v>19</v>
      </c>
      <c r="G633" t="s" s="2">
        <v>1138</v>
      </c>
      <c r="H633" s="5">
        <v>849</v>
      </c>
      <c r="I633" t="s" s="2">
        <v>411</v>
      </c>
      <c r="J633" t="s" s="2">
        <v>22</v>
      </c>
      <c r="K633" t="s" s="2">
        <v>1342</v>
      </c>
      <c r="L633" t="s" s="2">
        <v>1143</v>
      </c>
      <c r="M633" s="5">
        <v>508490.94</v>
      </c>
      <c r="N633" s="5">
        <v>6325320.05</v>
      </c>
      <c r="O633" t="s" s="2">
        <v>305</v>
      </c>
      <c r="P633" s="5">
        <v>161343</v>
      </c>
      <c r="Q633" t="s" s="2">
        <v>1141</v>
      </c>
      <c r="R633" t="s" s="2">
        <f>_xlfn.IFERROR(INDEX('model_byCAP'!$D$2:$D$377,MATCH(Q633,'model_byCAP'!$A$2:$A$377,0)),0)</f>
        <v>27</v>
      </c>
    </row>
    <row r="634" ht="15.35" customHeight="1">
      <c r="A634" t="s" s="2">
        <v>1355</v>
      </c>
      <c r="B634" s="4">
        <v>42194</v>
      </c>
      <c r="C634" s="5">
        <v>3200</v>
      </c>
      <c r="D634" s="5">
        <v>113</v>
      </c>
      <c r="E634" s="5">
        <v>92.5</v>
      </c>
      <c r="F634" t="s" s="2">
        <v>19</v>
      </c>
      <c r="G634" t="s" s="2">
        <v>1138</v>
      </c>
      <c r="H634" s="5">
        <v>849</v>
      </c>
      <c r="I634" t="s" s="2">
        <v>411</v>
      </c>
      <c r="J634" t="s" s="2">
        <v>22</v>
      </c>
      <c r="K634" t="s" s="2">
        <v>1342</v>
      </c>
      <c r="L634" t="s" s="2">
        <v>1143</v>
      </c>
      <c r="M634" s="5">
        <v>508302.01</v>
      </c>
      <c r="N634" s="5">
        <v>6325525.94</v>
      </c>
      <c r="O634" t="s" s="2">
        <v>305</v>
      </c>
      <c r="P634" s="5">
        <v>161360</v>
      </c>
      <c r="Q634" t="s" s="2">
        <v>1141</v>
      </c>
      <c r="R634" t="s" s="2">
        <f>_xlfn.IFERROR(INDEX('model_byCAP'!$D$2:$D$377,MATCH(Q634,'model_byCAP'!$A$2:$A$377,0)),0)</f>
        <v>27</v>
      </c>
    </row>
    <row r="635" ht="15.35" customHeight="1">
      <c r="A635" t="s" s="2">
        <v>1356</v>
      </c>
      <c r="B635" s="4">
        <v>41226</v>
      </c>
      <c r="C635" s="5">
        <v>3075</v>
      </c>
      <c r="D635" s="5">
        <v>112</v>
      </c>
      <c r="E635" s="5">
        <v>84</v>
      </c>
      <c r="F635" t="s" s="2">
        <v>301</v>
      </c>
      <c r="G635" t="s" s="2">
        <v>1094</v>
      </c>
      <c r="H635" s="5">
        <v>530</v>
      </c>
      <c r="I635" t="s" s="2">
        <v>1357</v>
      </c>
      <c r="J635" t="s" s="2">
        <v>22</v>
      </c>
      <c r="K635" t="s" s="2">
        <v>1358</v>
      </c>
      <c r="L635" t="s" s="2">
        <v>1359</v>
      </c>
      <c r="M635" s="5">
        <v>490581.03</v>
      </c>
      <c r="N635" s="5">
        <v>6181838.54</v>
      </c>
      <c r="O635" t="s" s="2">
        <v>305</v>
      </c>
      <c r="P635" s="5">
        <v>344238898</v>
      </c>
      <c r="Q635" t="s" s="2">
        <v>1096</v>
      </c>
      <c r="R635" t="s" s="2">
        <f>_xlfn.IFERROR(INDEX('model_byCAP'!$D$2:$D$377,MATCH(Q635,'model_byCAP'!$A$2:$A$377,0)),0)</f>
        <v>1097</v>
      </c>
    </row>
    <row r="636" ht="15.35" customHeight="1">
      <c r="A636" t="s" s="2">
        <v>1360</v>
      </c>
      <c r="B636" s="4">
        <v>41218</v>
      </c>
      <c r="C636" s="5">
        <v>3075</v>
      </c>
      <c r="D636" s="5">
        <v>112</v>
      </c>
      <c r="E636" s="5">
        <v>84</v>
      </c>
      <c r="F636" t="s" s="2">
        <v>301</v>
      </c>
      <c r="G636" t="s" s="2">
        <v>1094</v>
      </c>
      <c r="H636" s="5">
        <v>530</v>
      </c>
      <c r="I636" t="s" s="2">
        <v>1357</v>
      </c>
      <c r="J636" t="s" s="2">
        <v>22</v>
      </c>
      <c r="K636" t="s" s="2">
        <v>1358</v>
      </c>
      <c r="L636" t="s" s="2">
        <v>1359</v>
      </c>
      <c r="M636" s="5">
        <v>490315</v>
      </c>
      <c r="N636" s="5">
        <v>6182045.95</v>
      </c>
      <c r="O636" t="s" s="2">
        <v>305</v>
      </c>
      <c r="P636" s="5">
        <v>344238899</v>
      </c>
      <c r="Q636" t="s" s="2">
        <v>1096</v>
      </c>
      <c r="R636" t="s" s="2">
        <f>_xlfn.IFERROR(INDEX('model_byCAP'!$D$2:$D$377,MATCH(Q636,'model_byCAP'!$A$2:$A$377,0)),0)</f>
        <v>1097</v>
      </c>
    </row>
    <row r="637" ht="15.35" customHeight="1">
      <c r="A637" t="s" s="2">
        <v>1361</v>
      </c>
      <c r="B637" s="4">
        <v>41221</v>
      </c>
      <c r="C637" s="5">
        <v>3075</v>
      </c>
      <c r="D637" s="5">
        <v>112</v>
      </c>
      <c r="E637" s="5">
        <v>84</v>
      </c>
      <c r="F637" t="s" s="2">
        <v>301</v>
      </c>
      <c r="G637" t="s" s="2">
        <v>1094</v>
      </c>
      <c r="H637" s="5">
        <v>530</v>
      </c>
      <c r="I637" t="s" s="2">
        <v>1357</v>
      </c>
      <c r="J637" t="s" s="2">
        <v>22</v>
      </c>
      <c r="K637" t="s" s="2">
        <v>1362</v>
      </c>
      <c r="L637" t="s" s="2">
        <v>1363</v>
      </c>
      <c r="M637" s="5">
        <v>490048.63</v>
      </c>
      <c r="N637" s="5">
        <v>6182253.01</v>
      </c>
      <c r="O637" t="s" s="2">
        <v>305</v>
      </c>
      <c r="P637" s="5">
        <v>344238900</v>
      </c>
      <c r="Q637" t="s" s="2">
        <v>1096</v>
      </c>
      <c r="R637" t="s" s="2">
        <f>_xlfn.IFERROR(INDEX('model_byCAP'!$D$2:$D$377,MATCH(Q637,'model_byCAP'!$A$2:$A$377,0)),0)</f>
        <v>1097</v>
      </c>
    </row>
    <row r="638" ht="15.35" customHeight="1">
      <c r="A638" t="s" s="2">
        <v>1364</v>
      </c>
      <c r="B638" s="4">
        <v>41352</v>
      </c>
      <c r="C638" s="5">
        <v>3075</v>
      </c>
      <c r="D638" s="5">
        <v>112</v>
      </c>
      <c r="E638" s="5">
        <v>94</v>
      </c>
      <c r="F638" t="s" s="2">
        <v>301</v>
      </c>
      <c r="G638" t="s" s="2">
        <v>1094</v>
      </c>
      <c r="H638" s="5">
        <v>530</v>
      </c>
      <c r="I638" t="s" s="2">
        <v>1357</v>
      </c>
      <c r="J638" t="s" s="2">
        <v>22</v>
      </c>
      <c r="K638" t="s" s="2">
        <v>1365</v>
      </c>
      <c r="L638" t="s" s="2">
        <v>394</v>
      </c>
      <c r="M638" s="5">
        <v>486575.21</v>
      </c>
      <c r="N638" s="5">
        <v>6185007.78</v>
      </c>
      <c r="O638" t="s" s="2">
        <v>305</v>
      </c>
      <c r="P638" s="5">
        <v>344239076</v>
      </c>
      <c r="Q638" t="s" s="2">
        <v>1096</v>
      </c>
      <c r="R638" t="s" s="2">
        <f>_xlfn.IFERROR(INDEX('model_byCAP'!$D$2:$D$377,MATCH(Q638,'model_byCAP'!$A$2:$A$377,0)),0)</f>
        <v>1097</v>
      </c>
    </row>
    <row r="639" ht="15.35" customHeight="1">
      <c r="A639" t="s" s="2">
        <v>1366</v>
      </c>
      <c r="B639" s="4">
        <v>41352</v>
      </c>
      <c r="C639" s="5">
        <v>3075</v>
      </c>
      <c r="D639" s="5">
        <v>112</v>
      </c>
      <c r="E639" s="5">
        <v>94</v>
      </c>
      <c r="F639" t="s" s="2">
        <v>301</v>
      </c>
      <c r="G639" t="s" s="2">
        <v>1094</v>
      </c>
      <c r="H639" s="5">
        <v>530</v>
      </c>
      <c r="I639" t="s" s="2">
        <v>1357</v>
      </c>
      <c r="J639" t="s" s="2">
        <v>22</v>
      </c>
      <c r="K639" t="s" s="2">
        <v>1365</v>
      </c>
      <c r="L639" t="s" s="2">
        <v>394</v>
      </c>
      <c r="M639" s="5">
        <v>486598.28</v>
      </c>
      <c r="N639" s="5">
        <v>6184649.43</v>
      </c>
      <c r="O639" t="s" s="2">
        <v>305</v>
      </c>
      <c r="P639" s="5">
        <v>344239077</v>
      </c>
      <c r="Q639" t="s" s="2">
        <v>1096</v>
      </c>
      <c r="R639" t="s" s="2">
        <f>_xlfn.IFERROR(INDEX('model_byCAP'!$D$2:$D$377,MATCH(Q639,'model_byCAP'!$A$2:$A$377,0)),0)</f>
        <v>1097</v>
      </c>
    </row>
    <row r="640" ht="15.35" customHeight="1">
      <c r="A640" t="s" s="2">
        <v>1367</v>
      </c>
      <c r="B640" s="4">
        <v>41352</v>
      </c>
      <c r="C640" s="5">
        <v>3075</v>
      </c>
      <c r="D640" s="5">
        <v>112</v>
      </c>
      <c r="E640" s="5">
        <v>94</v>
      </c>
      <c r="F640" t="s" s="2">
        <v>301</v>
      </c>
      <c r="G640" t="s" s="2">
        <v>1094</v>
      </c>
      <c r="H640" s="5">
        <v>530</v>
      </c>
      <c r="I640" t="s" s="2">
        <v>1357</v>
      </c>
      <c r="J640" t="s" s="2">
        <v>22</v>
      </c>
      <c r="K640" t="s" s="2">
        <v>1365</v>
      </c>
      <c r="L640" t="s" s="2">
        <v>394</v>
      </c>
      <c r="M640" s="5">
        <v>486621.31</v>
      </c>
      <c r="N640" s="5">
        <v>6184297.97</v>
      </c>
      <c r="O640" t="s" s="2">
        <v>305</v>
      </c>
      <c r="P640" s="5">
        <v>344239078</v>
      </c>
      <c r="Q640" t="s" s="2">
        <v>1096</v>
      </c>
      <c r="R640" t="s" s="2">
        <f>_xlfn.IFERROR(INDEX('model_byCAP'!$D$2:$D$377,MATCH(Q640,'model_byCAP'!$A$2:$A$377,0)),0)</f>
        <v>1097</v>
      </c>
    </row>
    <row r="641" ht="15.35" customHeight="1">
      <c r="A641" t="s" s="2">
        <v>1368</v>
      </c>
      <c r="B641" s="4">
        <v>41354</v>
      </c>
      <c r="C641" s="5">
        <v>3075</v>
      </c>
      <c r="D641" s="5">
        <v>112</v>
      </c>
      <c r="E641" s="5">
        <v>94</v>
      </c>
      <c r="F641" t="s" s="2">
        <v>301</v>
      </c>
      <c r="G641" t="s" s="2">
        <v>1094</v>
      </c>
      <c r="H641" s="5">
        <v>530</v>
      </c>
      <c r="I641" t="s" s="2">
        <v>1357</v>
      </c>
      <c r="J641" t="s" s="2">
        <v>22</v>
      </c>
      <c r="K641" t="s" s="2">
        <v>1365</v>
      </c>
      <c r="L641" t="s" s="2">
        <v>394</v>
      </c>
      <c r="M641" s="5">
        <v>487059.07</v>
      </c>
      <c r="N641" s="5">
        <v>6185157.14</v>
      </c>
      <c r="O641" t="s" s="2">
        <v>305</v>
      </c>
      <c r="P641" s="5">
        <v>344239079</v>
      </c>
      <c r="Q641" t="s" s="2">
        <v>1096</v>
      </c>
      <c r="R641" t="s" s="2">
        <f>_xlfn.IFERROR(INDEX('model_byCAP'!$D$2:$D$377,MATCH(Q641,'model_byCAP'!$A$2:$A$377,0)),0)</f>
        <v>1097</v>
      </c>
    </row>
    <row r="642" ht="15.35" customHeight="1">
      <c r="A642" t="s" s="2">
        <v>1369</v>
      </c>
      <c r="B642" s="4">
        <v>41354</v>
      </c>
      <c r="C642" s="5">
        <v>3075</v>
      </c>
      <c r="D642" s="5">
        <v>112</v>
      </c>
      <c r="E642" s="5">
        <v>94</v>
      </c>
      <c r="F642" t="s" s="2">
        <v>301</v>
      </c>
      <c r="G642" t="s" s="2">
        <v>1094</v>
      </c>
      <c r="H642" s="5">
        <v>530</v>
      </c>
      <c r="I642" t="s" s="2">
        <v>1357</v>
      </c>
      <c r="J642" t="s" s="2">
        <v>22</v>
      </c>
      <c r="K642" t="s" s="2">
        <v>1365</v>
      </c>
      <c r="L642" t="s" s="2">
        <v>394</v>
      </c>
      <c r="M642" s="5">
        <v>487081.85</v>
      </c>
      <c r="N642" s="5">
        <v>6184800.65</v>
      </c>
      <c r="O642" t="s" s="2">
        <v>305</v>
      </c>
      <c r="P642" s="5">
        <v>344239080</v>
      </c>
      <c r="Q642" t="s" s="2">
        <v>1096</v>
      </c>
      <c r="R642" t="s" s="2">
        <f>_xlfn.IFERROR(INDEX('model_byCAP'!$D$2:$D$377,MATCH(Q642,'model_byCAP'!$A$2:$A$377,0)),0)</f>
        <v>1097</v>
      </c>
    </row>
    <row r="643" ht="15.35" customHeight="1">
      <c r="A643" t="s" s="2">
        <v>1370</v>
      </c>
      <c r="B643" s="4">
        <v>41355</v>
      </c>
      <c r="C643" s="5">
        <v>3075</v>
      </c>
      <c r="D643" s="5">
        <v>112</v>
      </c>
      <c r="E643" s="5">
        <v>94</v>
      </c>
      <c r="F643" t="s" s="2">
        <v>301</v>
      </c>
      <c r="G643" t="s" s="2">
        <v>1094</v>
      </c>
      <c r="H643" s="5">
        <v>530</v>
      </c>
      <c r="I643" t="s" s="2">
        <v>1357</v>
      </c>
      <c r="J643" t="s" s="2">
        <v>22</v>
      </c>
      <c r="K643" t="s" s="2">
        <v>1365</v>
      </c>
      <c r="L643" t="s" s="2">
        <v>394</v>
      </c>
      <c r="M643" s="5">
        <v>487105.52</v>
      </c>
      <c r="N643" s="5">
        <v>6184447.52</v>
      </c>
      <c r="O643" t="s" s="2">
        <v>305</v>
      </c>
      <c r="P643" s="5">
        <v>344239081</v>
      </c>
      <c r="Q643" t="s" s="2">
        <v>1096</v>
      </c>
      <c r="R643" t="s" s="2">
        <f>_xlfn.IFERROR(INDEX('model_byCAP'!$D$2:$D$377,MATCH(Q643,'model_byCAP'!$A$2:$A$377,0)),0)</f>
        <v>1097</v>
      </c>
    </row>
    <row r="644" ht="15.35" customHeight="1">
      <c r="A644" t="s" s="2">
        <v>1371</v>
      </c>
      <c r="B644" s="4">
        <v>41241</v>
      </c>
      <c r="C644" s="5">
        <v>3075</v>
      </c>
      <c r="D644" s="5">
        <v>112</v>
      </c>
      <c r="E644" s="5">
        <v>94</v>
      </c>
      <c r="F644" t="s" s="2">
        <v>301</v>
      </c>
      <c r="G644" t="s" s="2">
        <v>1094</v>
      </c>
      <c r="H644" s="5">
        <v>657</v>
      </c>
      <c r="I644" t="s" s="2">
        <v>541</v>
      </c>
      <c r="J644" t="s" s="2">
        <v>22</v>
      </c>
      <c r="K644" t="s" s="2">
        <v>1372</v>
      </c>
      <c r="L644" t="s" s="2">
        <v>1373</v>
      </c>
      <c r="M644" s="5">
        <v>486697.28</v>
      </c>
      <c r="N644" s="5">
        <v>6229212.13</v>
      </c>
      <c r="O644" t="s" s="2">
        <v>305</v>
      </c>
      <c r="P644" s="5">
        <v>4044285</v>
      </c>
      <c r="Q644" t="s" s="2">
        <v>1096</v>
      </c>
      <c r="R644" t="s" s="2">
        <f>_xlfn.IFERROR(INDEX('model_byCAP'!$D$2:$D$377,MATCH(Q644,'model_byCAP'!$A$2:$A$377,0)),0)</f>
        <v>1097</v>
      </c>
    </row>
    <row r="645" ht="15.35" customHeight="1">
      <c r="A645" t="s" s="2">
        <v>1374</v>
      </c>
      <c r="B645" s="4">
        <v>41247</v>
      </c>
      <c r="C645" s="5">
        <v>3075</v>
      </c>
      <c r="D645" s="5">
        <v>112</v>
      </c>
      <c r="E645" s="5">
        <v>94</v>
      </c>
      <c r="F645" t="s" s="2">
        <v>301</v>
      </c>
      <c r="G645" t="s" s="2">
        <v>1094</v>
      </c>
      <c r="H645" s="5">
        <v>657</v>
      </c>
      <c r="I645" t="s" s="2">
        <v>541</v>
      </c>
      <c r="J645" t="s" s="2">
        <v>22</v>
      </c>
      <c r="K645" t="s" s="2">
        <v>1372</v>
      </c>
      <c r="L645" t="s" s="2">
        <v>1375</v>
      </c>
      <c r="M645" s="5">
        <v>486841.55</v>
      </c>
      <c r="N645" s="5">
        <v>6229526.42</v>
      </c>
      <c r="O645" t="s" s="2">
        <v>305</v>
      </c>
      <c r="P645" s="5">
        <v>4044286</v>
      </c>
      <c r="Q645" t="s" s="2">
        <v>1096</v>
      </c>
      <c r="R645" t="s" s="2">
        <f>_xlfn.IFERROR(INDEX('model_byCAP'!$D$2:$D$377,MATCH(Q645,'model_byCAP'!$A$2:$A$377,0)),0)</f>
        <v>1097</v>
      </c>
    </row>
    <row r="646" ht="15.35" customHeight="1">
      <c r="A646" t="s" s="2">
        <v>1376</v>
      </c>
      <c r="B646" s="4">
        <v>41250</v>
      </c>
      <c r="C646" s="5">
        <v>3075</v>
      </c>
      <c r="D646" s="5">
        <v>112</v>
      </c>
      <c r="E646" s="5">
        <v>94</v>
      </c>
      <c r="F646" t="s" s="2">
        <v>301</v>
      </c>
      <c r="G646" t="s" s="2">
        <v>1094</v>
      </c>
      <c r="H646" s="5">
        <v>657</v>
      </c>
      <c r="I646" t="s" s="2">
        <v>541</v>
      </c>
      <c r="J646" t="s" s="2">
        <v>22</v>
      </c>
      <c r="K646" t="s" s="2">
        <v>1372</v>
      </c>
      <c r="L646" t="s" s="2">
        <v>447</v>
      </c>
      <c r="M646" s="5">
        <v>486986.06</v>
      </c>
      <c r="N646" s="5">
        <v>6229841.06</v>
      </c>
      <c r="O646" t="s" s="2">
        <v>305</v>
      </c>
      <c r="P646" s="5">
        <v>4044287</v>
      </c>
      <c r="Q646" t="s" s="2">
        <v>1096</v>
      </c>
      <c r="R646" t="s" s="2">
        <f>_xlfn.IFERROR(INDEX('model_byCAP'!$D$2:$D$377,MATCH(Q646,'model_byCAP'!$A$2:$A$377,0)),0)</f>
        <v>1097</v>
      </c>
    </row>
    <row r="647" ht="15.35" customHeight="1">
      <c r="A647" t="s" s="2">
        <v>1377</v>
      </c>
      <c r="B647" s="4">
        <v>41541</v>
      </c>
      <c r="C647" s="5">
        <v>3075</v>
      </c>
      <c r="D647" s="5">
        <v>112</v>
      </c>
      <c r="E647" s="5">
        <v>94</v>
      </c>
      <c r="F647" t="s" s="2">
        <v>301</v>
      </c>
      <c r="G647" t="s" s="2">
        <v>1094</v>
      </c>
      <c r="H647" s="5">
        <v>657</v>
      </c>
      <c r="I647" t="s" s="2">
        <v>541</v>
      </c>
      <c r="J647" t="s" s="2">
        <v>22</v>
      </c>
      <c r="K647" t="s" s="2">
        <v>1378</v>
      </c>
      <c r="L647" t="s" s="2">
        <v>1379</v>
      </c>
      <c r="M647" s="5">
        <v>477245</v>
      </c>
      <c r="N647" s="5">
        <v>6221677</v>
      </c>
      <c r="O647" t="s" s="2">
        <v>305</v>
      </c>
      <c r="P647" s="5">
        <v>85141</v>
      </c>
      <c r="Q647" t="s" s="2">
        <v>1096</v>
      </c>
      <c r="R647" t="s" s="2">
        <f>_xlfn.IFERROR(INDEX('model_byCAP'!$D$2:$D$377,MATCH(Q647,'model_byCAP'!$A$2:$A$377,0)),0)</f>
        <v>1097</v>
      </c>
    </row>
    <row r="648" ht="15.35" customHeight="1">
      <c r="A648" t="s" s="2">
        <v>1380</v>
      </c>
      <c r="B648" s="4">
        <v>41541</v>
      </c>
      <c r="C648" s="5">
        <v>3075</v>
      </c>
      <c r="D648" s="5">
        <v>112</v>
      </c>
      <c r="E648" s="5">
        <v>94</v>
      </c>
      <c r="F648" t="s" s="2">
        <v>301</v>
      </c>
      <c r="G648" t="s" s="2">
        <v>1094</v>
      </c>
      <c r="H648" s="5">
        <v>657</v>
      </c>
      <c r="I648" t="s" s="2">
        <v>541</v>
      </c>
      <c r="J648" t="s" s="2">
        <v>22</v>
      </c>
      <c r="K648" t="s" s="2">
        <v>1378</v>
      </c>
      <c r="L648" t="s" s="2">
        <v>1381</v>
      </c>
      <c r="M648" s="5">
        <v>477044.02</v>
      </c>
      <c r="N648" s="5">
        <v>6221981.93</v>
      </c>
      <c r="O648" t="s" s="2">
        <v>305</v>
      </c>
      <c r="P648" s="5">
        <v>85142</v>
      </c>
      <c r="Q648" t="s" s="2">
        <v>1096</v>
      </c>
      <c r="R648" t="s" s="2">
        <f>_xlfn.IFERROR(INDEX('model_byCAP'!$D$2:$D$377,MATCH(Q648,'model_byCAP'!$A$2:$A$377,0)),0)</f>
        <v>1097</v>
      </c>
    </row>
    <row r="649" ht="15.35" customHeight="1">
      <c r="A649" t="s" s="2">
        <v>1382</v>
      </c>
      <c r="B649" s="4">
        <v>41541</v>
      </c>
      <c r="C649" s="5">
        <v>3075</v>
      </c>
      <c r="D649" s="5">
        <v>112</v>
      </c>
      <c r="E649" s="5">
        <v>94</v>
      </c>
      <c r="F649" t="s" s="2">
        <v>301</v>
      </c>
      <c r="G649" t="s" s="2">
        <v>1094</v>
      </c>
      <c r="H649" s="5">
        <v>657</v>
      </c>
      <c r="I649" t="s" s="2">
        <v>541</v>
      </c>
      <c r="J649" t="s" s="2">
        <v>22</v>
      </c>
      <c r="K649" t="s" s="2">
        <v>1378</v>
      </c>
      <c r="L649" t="s" s="2">
        <v>1383</v>
      </c>
      <c r="M649" s="5">
        <v>476841.5</v>
      </c>
      <c r="N649" s="5">
        <v>6222287.72</v>
      </c>
      <c r="O649" t="s" s="2">
        <v>305</v>
      </c>
      <c r="P649" s="5">
        <v>85143</v>
      </c>
      <c r="Q649" t="s" s="2">
        <v>1096</v>
      </c>
      <c r="R649" t="s" s="2">
        <f>_xlfn.IFERROR(INDEX('model_byCAP'!$D$2:$D$377,MATCH(Q649,'model_byCAP'!$A$2:$A$377,0)),0)</f>
        <v>1097</v>
      </c>
    </row>
    <row r="650" ht="15.35" customHeight="1">
      <c r="A650" t="s" s="2">
        <v>1384</v>
      </c>
      <c r="B650" s="4">
        <v>41541</v>
      </c>
      <c r="C650" s="5">
        <v>3075</v>
      </c>
      <c r="D650" s="5">
        <v>112</v>
      </c>
      <c r="E650" s="5">
        <v>94</v>
      </c>
      <c r="F650" t="s" s="2">
        <v>301</v>
      </c>
      <c r="G650" t="s" s="2">
        <v>1094</v>
      </c>
      <c r="H650" s="5">
        <v>657</v>
      </c>
      <c r="I650" t="s" s="2">
        <v>541</v>
      </c>
      <c r="J650" t="s" s="2">
        <v>22</v>
      </c>
      <c r="K650" t="s" s="2">
        <v>1378</v>
      </c>
      <c r="L650" t="s" s="2">
        <v>1385</v>
      </c>
      <c r="M650" s="5">
        <v>476640.11</v>
      </c>
      <c r="N650" s="5">
        <v>6222592.04</v>
      </c>
      <c r="O650" t="s" s="2">
        <v>305</v>
      </c>
      <c r="P650" s="5">
        <v>85144</v>
      </c>
      <c r="Q650" t="s" s="2">
        <v>1096</v>
      </c>
      <c r="R650" t="s" s="2">
        <f>_xlfn.IFERROR(INDEX('model_byCAP'!$D$2:$D$377,MATCH(Q650,'model_byCAP'!$A$2:$A$377,0)),0)</f>
        <v>1097</v>
      </c>
    </row>
    <row r="651" ht="15.35" customHeight="1">
      <c r="A651" t="s" s="2">
        <v>1386</v>
      </c>
      <c r="B651" s="4">
        <v>40863</v>
      </c>
      <c r="C651" s="5">
        <v>3075</v>
      </c>
      <c r="D651" s="5">
        <v>112</v>
      </c>
      <c r="E651" s="5">
        <v>84</v>
      </c>
      <c r="F651" t="s" s="2">
        <v>301</v>
      </c>
      <c r="G651" t="s" s="2">
        <v>1387</v>
      </c>
      <c r="H651" s="5">
        <v>665</v>
      </c>
      <c r="I651" t="s" s="2">
        <v>316</v>
      </c>
      <c r="J651" t="s" s="2">
        <v>22</v>
      </c>
      <c r="K651" t="s" s="2">
        <v>1388</v>
      </c>
      <c r="L651" t="s" s="2">
        <v>1214</v>
      </c>
      <c r="M651" s="5">
        <v>456683.27</v>
      </c>
      <c r="N651" s="5">
        <v>6249935.4</v>
      </c>
      <c r="O651" t="s" s="2">
        <v>305</v>
      </c>
      <c r="P651" s="5">
        <v>40213</v>
      </c>
      <c r="Q651" t="s" s="2">
        <v>1389</v>
      </c>
      <c r="R651" t="s" s="2">
        <f>_xlfn.IFERROR(INDEX('model_byCAP'!$D$2:$D$377,MATCH(Q651,'model_byCAP'!$A$2:$A$377,0)),0)</f>
        <v>1097</v>
      </c>
    </row>
    <row r="652" ht="15.35" customHeight="1">
      <c r="A652" t="s" s="2">
        <v>1390</v>
      </c>
      <c r="B652" s="4">
        <v>40864</v>
      </c>
      <c r="C652" s="5">
        <v>3075</v>
      </c>
      <c r="D652" s="5">
        <v>112</v>
      </c>
      <c r="E652" s="5">
        <v>84</v>
      </c>
      <c r="F652" t="s" s="2">
        <v>301</v>
      </c>
      <c r="G652" t="s" s="2">
        <v>1387</v>
      </c>
      <c r="H652" s="5">
        <v>665</v>
      </c>
      <c r="I652" t="s" s="2">
        <v>316</v>
      </c>
      <c r="J652" t="s" s="2">
        <v>22</v>
      </c>
      <c r="K652" t="s" s="2">
        <v>1388</v>
      </c>
      <c r="L652" t="s" s="2">
        <v>1391</v>
      </c>
      <c r="M652" s="5">
        <v>456468.11</v>
      </c>
      <c r="N652" s="5">
        <v>6250142.33</v>
      </c>
      <c r="O652" t="s" s="2">
        <v>305</v>
      </c>
      <c r="P652" s="5">
        <v>40214</v>
      </c>
      <c r="Q652" t="s" s="2">
        <v>1389</v>
      </c>
      <c r="R652" t="s" s="2">
        <f>_xlfn.IFERROR(INDEX('model_byCAP'!$D$2:$D$377,MATCH(Q652,'model_byCAP'!$A$2:$A$377,0)),0)</f>
        <v>1097</v>
      </c>
    </row>
    <row r="653" ht="15.35" customHeight="1">
      <c r="A653" t="s" s="2">
        <v>1392</v>
      </c>
      <c r="B653" s="4">
        <v>40865</v>
      </c>
      <c r="C653" s="5">
        <v>3075</v>
      </c>
      <c r="D653" s="5">
        <v>112</v>
      </c>
      <c r="E653" s="5">
        <v>84</v>
      </c>
      <c r="F653" t="s" s="2">
        <v>301</v>
      </c>
      <c r="G653" t="s" s="2">
        <v>1387</v>
      </c>
      <c r="H653" s="5">
        <v>665</v>
      </c>
      <c r="I653" t="s" s="2">
        <v>316</v>
      </c>
      <c r="J653" t="s" s="2">
        <v>22</v>
      </c>
      <c r="K653" t="s" s="2">
        <v>1388</v>
      </c>
      <c r="L653" t="s" s="2">
        <v>613</v>
      </c>
      <c r="M653" s="5">
        <v>456252.7</v>
      </c>
      <c r="N653" s="5">
        <v>6250348.77</v>
      </c>
      <c r="O653" t="s" s="2">
        <v>305</v>
      </c>
      <c r="P653" s="5">
        <v>40215</v>
      </c>
      <c r="Q653" t="s" s="2">
        <v>1389</v>
      </c>
      <c r="R653" t="s" s="2">
        <f>_xlfn.IFERROR(INDEX('model_byCAP'!$D$2:$D$377,MATCH(Q653,'model_byCAP'!$A$2:$A$377,0)),0)</f>
        <v>1097</v>
      </c>
    </row>
    <row r="654" ht="15.35" customHeight="1">
      <c r="A654" t="s" s="2">
        <v>1393</v>
      </c>
      <c r="B654" s="4">
        <v>41159</v>
      </c>
      <c r="C654" s="5">
        <v>3075</v>
      </c>
      <c r="D654" s="5">
        <v>112</v>
      </c>
      <c r="E654" s="5">
        <v>84</v>
      </c>
      <c r="F654" t="s" s="2">
        <v>301</v>
      </c>
      <c r="G654" t="s" s="2">
        <v>1094</v>
      </c>
      <c r="H654" s="5">
        <v>671</v>
      </c>
      <c r="I654" t="s" s="2">
        <v>378</v>
      </c>
      <c r="J654" t="s" s="2">
        <v>22</v>
      </c>
      <c r="K654" t="s" s="2">
        <v>1394</v>
      </c>
      <c r="L654" t="s" s="2">
        <v>481</v>
      </c>
      <c r="M654" s="5">
        <v>475793.19</v>
      </c>
      <c r="N654" s="5">
        <v>6253994.33</v>
      </c>
      <c r="O654" t="s" s="2">
        <v>305</v>
      </c>
      <c r="P654" s="5">
        <v>40230</v>
      </c>
      <c r="Q654" t="s" s="2">
        <v>1096</v>
      </c>
      <c r="R654" t="s" s="2">
        <f>_xlfn.IFERROR(INDEX('model_byCAP'!$D$2:$D$377,MATCH(Q654,'model_byCAP'!$A$2:$A$377,0)),0)</f>
        <v>1097</v>
      </c>
    </row>
    <row r="655" ht="15.35" customHeight="1">
      <c r="A655" t="s" s="2">
        <v>1395</v>
      </c>
      <c r="B655" s="4">
        <v>41163</v>
      </c>
      <c r="C655" s="5">
        <v>3075</v>
      </c>
      <c r="D655" s="5">
        <v>112</v>
      </c>
      <c r="E655" s="5">
        <v>84</v>
      </c>
      <c r="F655" t="s" s="2">
        <v>301</v>
      </c>
      <c r="G655" t="s" s="2">
        <v>1094</v>
      </c>
      <c r="H655" s="5">
        <v>671</v>
      </c>
      <c r="I655" t="s" s="2">
        <v>378</v>
      </c>
      <c r="J655" t="s" s="2">
        <v>22</v>
      </c>
      <c r="K655" t="s" s="2">
        <v>1394</v>
      </c>
      <c r="L655" t="s" s="2">
        <v>856</v>
      </c>
      <c r="M655" s="5">
        <v>475809.9</v>
      </c>
      <c r="N655" s="5">
        <v>6253631.51</v>
      </c>
      <c r="O655" t="s" s="2">
        <v>305</v>
      </c>
      <c r="P655" s="5">
        <v>40231</v>
      </c>
      <c r="Q655" t="s" s="2">
        <v>1096</v>
      </c>
      <c r="R655" t="s" s="2">
        <f>_xlfn.IFERROR(INDEX('model_byCAP'!$D$2:$D$377,MATCH(Q655,'model_byCAP'!$A$2:$A$377,0)),0)</f>
        <v>1097</v>
      </c>
    </row>
    <row r="656" ht="15.35" customHeight="1">
      <c r="A656" t="s" s="2">
        <v>1396</v>
      </c>
      <c r="B656" s="4">
        <v>41163</v>
      </c>
      <c r="C656" s="5">
        <v>3075</v>
      </c>
      <c r="D656" s="5">
        <v>112</v>
      </c>
      <c r="E656" s="5">
        <v>84</v>
      </c>
      <c r="F656" t="s" s="2">
        <v>301</v>
      </c>
      <c r="G656" t="s" s="2">
        <v>1094</v>
      </c>
      <c r="H656" s="5">
        <v>671</v>
      </c>
      <c r="I656" t="s" s="2">
        <v>378</v>
      </c>
      <c r="J656" t="s" s="2">
        <v>22</v>
      </c>
      <c r="K656" t="s" s="2">
        <v>1394</v>
      </c>
      <c r="L656" t="s" s="2">
        <v>856</v>
      </c>
      <c r="M656" s="5">
        <v>475826.15</v>
      </c>
      <c r="N656" s="5">
        <v>6253271.04</v>
      </c>
      <c r="O656" t="s" s="2">
        <v>305</v>
      </c>
      <c r="P656" s="5">
        <v>40232</v>
      </c>
      <c r="Q656" t="s" s="2">
        <v>1096</v>
      </c>
      <c r="R656" t="s" s="2">
        <f>_xlfn.IFERROR(INDEX('model_byCAP'!$D$2:$D$377,MATCH(Q656,'model_byCAP'!$A$2:$A$377,0)),0)</f>
        <v>1097</v>
      </c>
    </row>
    <row r="657" ht="15.35" customHeight="1">
      <c r="A657" t="s" s="2">
        <v>1397</v>
      </c>
      <c r="B657" s="4">
        <v>41157</v>
      </c>
      <c r="C657" s="5">
        <v>3075</v>
      </c>
      <c r="D657" s="5">
        <v>112</v>
      </c>
      <c r="E657" s="5">
        <v>84</v>
      </c>
      <c r="F657" t="s" s="2">
        <v>301</v>
      </c>
      <c r="G657" t="s" s="2">
        <v>1094</v>
      </c>
      <c r="H657" s="5">
        <v>671</v>
      </c>
      <c r="I657" t="s" s="2">
        <v>378</v>
      </c>
      <c r="J657" t="s" s="2">
        <v>22</v>
      </c>
      <c r="K657" t="s" s="2">
        <v>1394</v>
      </c>
      <c r="L657" t="s" s="2">
        <v>1260</v>
      </c>
      <c r="M657" s="5">
        <v>475842.38</v>
      </c>
      <c r="N657" s="5">
        <v>6252909.05</v>
      </c>
      <c r="O657" t="s" s="2">
        <v>305</v>
      </c>
      <c r="P657" s="5">
        <v>40233</v>
      </c>
      <c r="Q657" t="s" s="2">
        <v>1096</v>
      </c>
      <c r="R657" t="s" s="2">
        <f>_xlfn.IFERROR(INDEX('model_byCAP'!$D$2:$D$377,MATCH(Q657,'model_byCAP'!$A$2:$A$377,0)),0)</f>
        <v>1097</v>
      </c>
    </row>
    <row r="658" ht="15.35" customHeight="1">
      <c r="A658" t="s" s="2">
        <v>1398</v>
      </c>
      <c r="B658" s="4">
        <v>40900</v>
      </c>
      <c r="C658" s="5">
        <v>3075</v>
      </c>
      <c r="D658" s="5">
        <v>112</v>
      </c>
      <c r="E658" s="5">
        <v>94</v>
      </c>
      <c r="F658" t="s" s="2">
        <v>301</v>
      </c>
      <c r="G658" t="s" s="2">
        <v>1094</v>
      </c>
      <c r="H658" s="5">
        <v>760</v>
      </c>
      <c r="I658" t="s" s="2">
        <v>331</v>
      </c>
      <c r="J658" t="s" s="2">
        <v>22</v>
      </c>
      <c r="K658" t="s" s="2">
        <v>1399</v>
      </c>
      <c r="L658" t="s" s="2">
        <v>1400</v>
      </c>
      <c r="M658" s="5">
        <v>460170.26</v>
      </c>
      <c r="N658" s="5">
        <v>6210725.68</v>
      </c>
      <c r="O658" t="s" s="2">
        <v>305</v>
      </c>
      <c r="P658" s="5">
        <v>85105</v>
      </c>
      <c r="Q658" t="s" s="2">
        <v>1096</v>
      </c>
      <c r="R658" t="s" s="2">
        <f>_xlfn.IFERROR(INDEX('model_byCAP'!$D$2:$D$377,MATCH(Q658,'model_byCAP'!$A$2:$A$377,0)),0)</f>
        <v>1097</v>
      </c>
    </row>
    <row r="659" ht="15.35" customHeight="1">
      <c r="A659" t="s" s="2">
        <v>1401</v>
      </c>
      <c r="B659" s="4">
        <v>40904</v>
      </c>
      <c r="C659" s="5">
        <v>3075</v>
      </c>
      <c r="D659" s="5">
        <v>112</v>
      </c>
      <c r="E659" s="5">
        <v>94</v>
      </c>
      <c r="F659" t="s" s="2">
        <v>301</v>
      </c>
      <c r="G659" t="s" s="2">
        <v>1094</v>
      </c>
      <c r="H659" s="5">
        <v>760</v>
      </c>
      <c r="I659" t="s" s="2">
        <v>331</v>
      </c>
      <c r="J659" t="s" s="2">
        <v>22</v>
      </c>
      <c r="K659" t="s" s="2">
        <v>1399</v>
      </c>
      <c r="L659" t="s" s="2">
        <v>1402</v>
      </c>
      <c r="M659" s="5">
        <v>460068.35</v>
      </c>
      <c r="N659" s="5">
        <v>6211008.16</v>
      </c>
      <c r="O659" t="s" s="2">
        <v>305</v>
      </c>
      <c r="P659" s="5">
        <v>85106</v>
      </c>
      <c r="Q659" t="s" s="2">
        <v>1096</v>
      </c>
      <c r="R659" t="s" s="2">
        <f>_xlfn.IFERROR(INDEX('model_byCAP'!$D$2:$D$377,MATCH(Q659,'model_byCAP'!$A$2:$A$377,0)),0)</f>
        <v>1097</v>
      </c>
    </row>
    <row r="660" ht="15.35" customHeight="1">
      <c r="A660" t="s" s="2">
        <v>1403</v>
      </c>
      <c r="B660" s="4">
        <v>40898</v>
      </c>
      <c r="C660" s="5">
        <v>3075</v>
      </c>
      <c r="D660" s="5">
        <v>112</v>
      </c>
      <c r="E660" s="5">
        <v>94</v>
      </c>
      <c r="F660" t="s" s="2">
        <v>301</v>
      </c>
      <c r="G660" t="s" s="2">
        <v>1094</v>
      </c>
      <c r="H660" s="5">
        <v>760</v>
      </c>
      <c r="I660" t="s" s="2">
        <v>331</v>
      </c>
      <c r="J660" t="s" s="2">
        <v>22</v>
      </c>
      <c r="K660" t="s" s="2">
        <v>1399</v>
      </c>
      <c r="L660" t="s" s="2">
        <v>1404</v>
      </c>
      <c r="M660" s="5">
        <v>459961.14</v>
      </c>
      <c r="N660" s="5">
        <v>6211305.04</v>
      </c>
      <c r="O660" t="s" s="2">
        <v>305</v>
      </c>
      <c r="P660" s="5">
        <v>85107</v>
      </c>
      <c r="Q660" t="s" s="2">
        <v>1096</v>
      </c>
      <c r="R660" t="s" s="2">
        <f>_xlfn.IFERROR(INDEX('model_byCAP'!$D$2:$D$377,MATCH(Q660,'model_byCAP'!$A$2:$A$377,0)),0)</f>
        <v>1097</v>
      </c>
    </row>
    <row r="661" ht="15.35" customHeight="1">
      <c r="A661" t="s" s="2">
        <v>1405</v>
      </c>
      <c r="B661" s="4">
        <v>40907</v>
      </c>
      <c r="C661" s="5">
        <v>3075</v>
      </c>
      <c r="D661" s="5">
        <v>112</v>
      </c>
      <c r="E661" s="5">
        <v>94</v>
      </c>
      <c r="F661" t="s" s="2">
        <v>301</v>
      </c>
      <c r="G661" t="s" s="2">
        <v>1094</v>
      </c>
      <c r="H661" s="5">
        <v>760</v>
      </c>
      <c r="I661" t="s" s="2">
        <v>331</v>
      </c>
      <c r="J661" t="s" s="2">
        <v>22</v>
      </c>
      <c r="K661" t="s" s="2">
        <v>1399</v>
      </c>
      <c r="L661" t="s" s="2">
        <v>1235</v>
      </c>
      <c r="M661" s="5">
        <v>459856.46</v>
      </c>
      <c r="N661" s="5">
        <v>6211595.22</v>
      </c>
      <c r="O661" t="s" s="2">
        <v>305</v>
      </c>
      <c r="P661" s="5">
        <v>85108</v>
      </c>
      <c r="Q661" t="s" s="2">
        <v>1096</v>
      </c>
      <c r="R661" t="s" s="2">
        <f>_xlfn.IFERROR(INDEX('model_byCAP'!$D$2:$D$377,MATCH(Q661,'model_byCAP'!$A$2:$A$377,0)),0)</f>
        <v>1097</v>
      </c>
    </row>
    <row r="662" ht="15.35" customHeight="1">
      <c r="A662" t="s" s="2">
        <v>1406</v>
      </c>
      <c r="B662" s="4">
        <v>40907</v>
      </c>
      <c r="C662" s="5">
        <v>3075</v>
      </c>
      <c r="D662" s="5">
        <v>112</v>
      </c>
      <c r="E662" s="5">
        <v>94</v>
      </c>
      <c r="F662" t="s" s="2">
        <v>301</v>
      </c>
      <c r="G662" t="s" s="2">
        <v>1094</v>
      </c>
      <c r="H662" s="5">
        <v>760</v>
      </c>
      <c r="I662" t="s" s="2">
        <v>331</v>
      </c>
      <c r="J662" t="s" s="2">
        <v>22</v>
      </c>
      <c r="K662" t="s" s="2">
        <v>1407</v>
      </c>
      <c r="L662" t="s" s="2">
        <v>1408</v>
      </c>
      <c r="M662" s="5">
        <v>459751.87</v>
      </c>
      <c r="N662" s="5">
        <v>6211885.66</v>
      </c>
      <c r="O662" t="s" s="2">
        <v>305</v>
      </c>
      <c r="P662" s="5">
        <v>85109</v>
      </c>
      <c r="Q662" t="s" s="2">
        <v>1096</v>
      </c>
      <c r="R662" t="s" s="2">
        <f>_xlfn.IFERROR(INDEX('model_byCAP'!$D$2:$D$377,MATCH(Q662,'model_byCAP'!$A$2:$A$377,0)),0)</f>
        <v>1097</v>
      </c>
    </row>
    <row r="663" ht="15.35" customHeight="1">
      <c r="A663" t="s" s="2">
        <v>1409</v>
      </c>
      <c r="B663" s="4">
        <v>40904</v>
      </c>
      <c r="C663" s="5">
        <v>3075</v>
      </c>
      <c r="D663" s="5">
        <v>112</v>
      </c>
      <c r="E663" s="5">
        <v>94</v>
      </c>
      <c r="F663" t="s" s="2">
        <v>301</v>
      </c>
      <c r="G663" t="s" s="2">
        <v>1094</v>
      </c>
      <c r="H663" s="5">
        <v>760</v>
      </c>
      <c r="I663" t="s" s="2">
        <v>331</v>
      </c>
      <c r="J663" t="s" s="2">
        <v>22</v>
      </c>
      <c r="K663" t="s" s="2">
        <v>1399</v>
      </c>
      <c r="L663" t="s" s="2">
        <v>1410</v>
      </c>
      <c r="M663" s="5">
        <v>459654.75</v>
      </c>
      <c r="N663" s="5">
        <v>6210731.07</v>
      </c>
      <c r="O663" t="s" s="2">
        <v>305</v>
      </c>
      <c r="P663" s="5">
        <v>85110</v>
      </c>
      <c r="Q663" t="s" s="2">
        <v>1096</v>
      </c>
      <c r="R663" t="s" s="2">
        <f>_xlfn.IFERROR(INDEX('model_byCAP'!$D$2:$D$377,MATCH(Q663,'model_byCAP'!$A$2:$A$377,0)),0)</f>
        <v>1097</v>
      </c>
    </row>
    <row r="664" ht="15.35" customHeight="1">
      <c r="A664" t="s" s="2">
        <v>1411</v>
      </c>
      <c r="B664" s="4">
        <v>40907</v>
      </c>
      <c r="C664" s="5">
        <v>3075</v>
      </c>
      <c r="D664" s="5">
        <v>112</v>
      </c>
      <c r="E664" s="5">
        <v>94</v>
      </c>
      <c r="F664" t="s" s="2">
        <v>301</v>
      </c>
      <c r="G664" t="s" s="2">
        <v>1094</v>
      </c>
      <c r="H664" s="5">
        <v>760</v>
      </c>
      <c r="I664" t="s" s="2">
        <v>331</v>
      </c>
      <c r="J664" t="s" s="2">
        <v>22</v>
      </c>
      <c r="K664" t="s" s="2">
        <v>1412</v>
      </c>
      <c r="L664" t="s" s="2">
        <v>1413</v>
      </c>
      <c r="M664" s="5">
        <v>459188.84</v>
      </c>
      <c r="N664" s="5">
        <v>6211936.76</v>
      </c>
      <c r="O664" t="s" s="2">
        <v>305</v>
      </c>
      <c r="P664" s="5">
        <v>85113</v>
      </c>
      <c r="Q664" t="s" s="2">
        <v>1096</v>
      </c>
      <c r="R664" t="s" s="2">
        <f>_xlfn.IFERROR(INDEX('model_byCAP'!$D$2:$D$377,MATCH(Q664,'model_byCAP'!$A$2:$A$377,0)),0)</f>
        <v>1097</v>
      </c>
    </row>
    <row r="665" ht="15.35" customHeight="1">
      <c r="A665" t="s" s="2">
        <v>1414</v>
      </c>
      <c r="B665" s="4">
        <v>40905</v>
      </c>
      <c r="C665" s="5">
        <v>3075</v>
      </c>
      <c r="D665" s="5">
        <v>112</v>
      </c>
      <c r="E665" s="5">
        <v>94</v>
      </c>
      <c r="F665" t="s" s="2">
        <v>301</v>
      </c>
      <c r="G665" t="s" s="2">
        <v>1094</v>
      </c>
      <c r="H665" s="5">
        <v>760</v>
      </c>
      <c r="I665" t="s" s="2">
        <v>331</v>
      </c>
      <c r="J665" t="s" s="2">
        <v>22</v>
      </c>
      <c r="K665" t="s" s="2">
        <v>1412</v>
      </c>
      <c r="L665" t="s" s="2">
        <v>1415</v>
      </c>
      <c r="M665" s="5">
        <v>459074.49</v>
      </c>
      <c r="N665" s="5">
        <v>6212232.2</v>
      </c>
      <c r="O665" t="s" s="2">
        <v>305</v>
      </c>
      <c r="P665" s="5">
        <v>85114</v>
      </c>
      <c r="Q665" t="s" s="2">
        <v>1096</v>
      </c>
      <c r="R665" t="s" s="2">
        <f>_xlfn.IFERROR(INDEX('model_byCAP'!$D$2:$D$377,MATCH(Q665,'model_byCAP'!$A$2:$A$377,0)),0)</f>
        <v>1097</v>
      </c>
    </row>
    <row r="666" ht="15.35" customHeight="1">
      <c r="A666" t="s" s="2">
        <v>1416</v>
      </c>
      <c r="B666" s="4">
        <v>40906</v>
      </c>
      <c r="C666" s="5">
        <v>3075</v>
      </c>
      <c r="D666" s="5">
        <v>112</v>
      </c>
      <c r="E666" s="5">
        <v>85</v>
      </c>
      <c r="F666" t="s" s="2">
        <v>301</v>
      </c>
      <c r="G666" t="s" s="2">
        <v>1094</v>
      </c>
      <c r="H666" s="5">
        <v>760</v>
      </c>
      <c r="I666" t="s" s="2">
        <v>331</v>
      </c>
      <c r="J666" t="s" s="2">
        <v>22</v>
      </c>
      <c r="K666" t="s" s="2">
        <v>1417</v>
      </c>
      <c r="L666" s="5">
        <v>40</v>
      </c>
      <c r="M666" s="5">
        <v>464456.79</v>
      </c>
      <c r="N666" s="5">
        <v>6189428.58</v>
      </c>
      <c r="O666" t="s" s="2">
        <v>305</v>
      </c>
      <c r="P666" s="5">
        <v>344238226</v>
      </c>
      <c r="Q666" t="s" s="2">
        <v>1096</v>
      </c>
      <c r="R666" t="s" s="2">
        <f>_xlfn.IFERROR(INDEX('model_byCAP'!$D$2:$D$377,MATCH(Q666,'model_byCAP'!$A$2:$A$377,0)),0)</f>
        <v>1097</v>
      </c>
    </row>
    <row r="667" ht="15.35" customHeight="1">
      <c r="A667" t="s" s="2">
        <v>1418</v>
      </c>
      <c r="B667" s="4">
        <v>40907</v>
      </c>
      <c r="C667" s="5">
        <v>3075</v>
      </c>
      <c r="D667" s="5">
        <v>112</v>
      </c>
      <c r="E667" s="5">
        <v>85</v>
      </c>
      <c r="F667" t="s" s="2">
        <v>301</v>
      </c>
      <c r="G667" t="s" s="2">
        <v>1094</v>
      </c>
      <c r="H667" s="5">
        <v>760</v>
      </c>
      <c r="I667" t="s" s="2">
        <v>331</v>
      </c>
      <c r="J667" t="s" s="2">
        <v>22</v>
      </c>
      <c r="K667" t="s" s="2">
        <v>1417</v>
      </c>
      <c r="L667" t="s" s="2">
        <v>1419</v>
      </c>
      <c r="M667" s="5">
        <v>464186.82</v>
      </c>
      <c r="N667" s="5">
        <v>6189656.72</v>
      </c>
      <c r="O667" t="s" s="2">
        <v>305</v>
      </c>
      <c r="P667" s="5">
        <v>344238227</v>
      </c>
      <c r="Q667" t="s" s="2">
        <v>1096</v>
      </c>
      <c r="R667" t="s" s="2">
        <f>_xlfn.IFERROR(INDEX('model_byCAP'!$D$2:$D$377,MATCH(Q667,'model_byCAP'!$A$2:$A$377,0)),0)</f>
        <v>1097</v>
      </c>
    </row>
    <row r="668" ht="15.35" customHeight="1">
      <c r="A668" t="s" s="2">
        <v>1420</v>
      </c>
      <c r="B668" s="4">
        <v>40906</v>
      </c>
      <c r="C668" s="5">
        <v>3075</v>
      </c>
      <c r="D668" s="5">
        <v>112</v>
      </c>
      <c r="E668" s="5">
        <v>85</v>
      </c>
      <c r="F668" t="s" s="2">
        <v>301</v>
      </c>
      <c r="G668" t="s" s="2">
        <v>1094</v>
      </c>
      <c r="H668" s="5">
        <v>760</v>
      </c>
      <c r="I668" t="s" s="2">
        <v>331</v>
      </c>
      <c r="J668" t="s" s="2">
        <v>22</v>
      </c>
      <c r="K668" t="s" s="2">
        <v>1417</v>
      </c>
      <c r="L668" s="5">
        <v>40</v>
      </c>
      <c r="M668" s="5">
        <v>463916.73</v>
      </c>
      <c r="N668" s="5">
        <v>6189884.9</v>
      </c>
      <c r="O668" t="s" s="2">
        <v>305</v>
      </c>
      <c r="P668" s="5">
        <v>344238228</v>
      </c>
      <c r="Q668" t="s" s="2">
        <v>1096</v>
      </c>
      <c r="R668" t="s" s="2">
        <f>_xlfn.IFERROR(INDEX('model_byCAP'!$D$2:$D$377,MATCH(Q668,'model_byCAP'!$A$2:$A$377,0)),0)</f>
        <v>1097</v>
      </c>
    </row>
    <row r="669" ht="15.35" customHeight="1">
      <c r="A669" t="s" s="2">
        <v>1421</v>
      </c>
      <c r="B669" s="4">
        <v>40905</v>
      </c>
      <c r="C669" s="5">
        <v>3075</v>
      </c>
      <c r="D669" s="5">
        <v>112</v>
      </c>
      <c r="E669" s="5">
        <v>85</v>
      </c>
      <c r="F669" t="s" s="2">
        <v>301</v>
      </c>
      <c r="G669" t="s" s="2">
        <v>1094</v>
      </c>
      <c r="H669" s="5">
        <v>760</v>
      </c>
      <c r="I669" t="s" s="2">
        <v>331</v>
      </c>
      <c r="J669" t="s" s="2">
        <v>22</v>
      </c>
      <c r="K669" t="s" s="2">
        <v>1417</v>
      </c>
      <c r="L669" t="s" s="2">
        <v>1422</v>
      </c>
      <c r="M669" s="5">
        <v>463647.03</v>
      </c>
      <c r="N669" s="5">
        <v>6190113.28</v>
      </c>
      <c r="O669" t="s" s="2">
        <v>305</v>
      </c>
      <c r="P669" s="5">
        <v>344238229</v>
      </c>
      <c r="Q669" t="s" s="2">
        <v>1096</v>
      </c>
      <c r="R669" t="s" s="2">
        <f>_xlfn.IFERROR(INDEX('model_byCAP'!$D$2:$D$377,MATCH(Q669,'model_byCAP'!$A$2:$A$377,0)),0)</f>
        <v>1097</v>
      </c>
    </row>
    <row r="670" ht="15.35" customHeight="1">
      <c r="A670" t="s" s="2">
        <v>1423</v>
      </c>
      <c r="B670" s="4">
        <v>40906</v>
      </c>
      <c r="C670" s="5">
        <v>3075</v>
      </c>
      <c r="D670" s="5">
        <v>112</v>
      </c>
      <c r="E670" s="5">
        <v>85</v>
      </c>
      <c r="F670" t="s" s="2">
        <v>301</v>
      </c>
      <c r="G670" t="s" s="2">
        <v>1094</v>
      </c>
      <c r="H670" s="5">
        <v>760</v>
      </c>
      <c r="I670" t="s" s="2">
        <v>331</v>
      </c>
      <c r="J670" t="s" s="2">
        <v>22</v>
      </c>
      <c r="K670" t="s" s="2">
        <v>1417</v>
      </c>
      <c r="L670" t="s" s="2">
        <v>1424</v>
      </c>
      <c r="M670" s="5">
        <v>463377.36</v>
      </c>
      <c r="N670" s="5">
        <v>6190342.24</v>
      </c>
      <c r="O670" t="s" s="2">
        <v>305</v>
      </c>
      <c r="P670" s="5">
        <v>344238230</v>
      </c>
      <c r="Q670" t="s" s="2">
        <v>1096</v>
      </c>
      <c r="R670" t="s" s="2">
        <f>_xlfn.IFERROR(INDEX('model_byCAP'!$D$2:$D$377,MATCH(Q670,'model_byCAP'!$A$2:$A$377,0)),0)</f>
        <v>1097</v>
      </c>
    </row>
    <row r="671" ht="15.35" customHeight="1">
      <c r="A671" t="s" s="2">
        <v>1425</v>
      </c>
      <c r="B671" s="4">
        <v>40900</v>
      </c>
      <c r="C671" s="5">
        <v>3075</v>
      </c>
      <c r="D671" s="5">
        <v>112</v>
      </c>
      <c r="E671" s="5">
        <v>85</v>
      </c>
      <c r="F671" t="s" s="2">
        <v>301</v>
      </c>
      <c r="G671" t="s" s="2">
        <v>1094</v>
      </c>
      <c r="H671" s="5">
        <v>760</v>
      </c>
      <c r="I671" t="s" s="2">
        <v>331</v>
      </c>
      <c r="J671" t="s" s="2">
        <v>22</v>
      </c>
      <c r="K671" t="s" s="2">
        <v>1417</v>
      </c>
      <c r="L671" t="s" s="2">
        <v>1424</v>
      </c>
      <c r="M671" s="5">
        <v>463107.62</v>
      </c>
      <c r="N671" s="5">
        <v>6190569.26</v>
      </c>
      <c r="O671" t="s" s="2">
        <v>305</v>
      </c>
      <c r="P671" s="5">
        <v>344238231</v>
      </c>
      <c r="Q671" t="s" s="2">
        <v>1096</v>
      </c>
      <c r="R671" t="s" s="2">
        <f>_xlfn.IFERROR(INDEX('model_byCAP'!$D$2:$D$377,MATCH(Q671,'model_byCAP'!$A$2:$A$377,0)),0)</f>
        <v>1097</v>
      </c>
    </row>
    <row r="672" ht="15.35" customHeight="1">
      <c r="A672" t="s" s="2">
        <v>1426</v>
      </c>
      <c r="B672" s="4">
        <v>40898</v>
      </c>
      <c r="C672" s="5">
        <v>3075</v>
      </c>
      <c r="D672" s="5">
        <v>112</v>
      </c>
      <c r="E672" s="5">
        <v>85</v>
      </c>
      <c r="F672" t="s" s="2">
        <v>301</v>
      </c>
      <c r="G672" t="s" s="2">
        <v>1094</v>
      </c>
      <c r="H672" s="5">
        <v>760</v>
      </c>
      <c r="I672" t="s" s="2">
        <v>331</v>
      </c>
      <c r="J672" t="s" s="2">
        <v>22</v>
      </c>
      <c r="K672" t="s" s="2">
        <v>1417</v>
      </c>
      <c r="L672" t="s" s="2">
        <v>1424</v>
      </c>
      <c r="M672" s="5">
        <v>462838.02</v>
      </c>
      <c r="N672" s="5">
        <v>6190798.16</v>
      </c>
      <c r="O672" t="s" s="2">
        <v>305</v>
      </c>
      <c r="P672" s="5">
        <v>344238232</v>
      </c>
      <c r="Q672" t="s" s="2">
        <v>1096</v>
      </c>
      <c r="R672" t="s" s="2">
        <f>_xlfn.IFERROR(INDEX('model_byCAP'!$D$2:$D$377,MATCH(Q672,'model_byCAP'!$A$2:$A$377,0)),0)</f>
        <v>1097</v>
      </c>
    </row>
    <row r="673" ht="15.35" customHeight="1">
      <c r="A673" t="s" s="2">
        <v>1427</v>
      </c>
      <c r="B673" s="4">
        <v>40898</v>
      </c>
      <c r="C673" s="5">
        <v>3075</v>
      </c>
      <c r="D673" s="5">
        <v>112</v>
      </c>
      <c r="E673" s="5">
        <v>88</v>
      </c>
      <c r="F673" t="s" s="2">
        <v>301</v>
      </c>
      <c r="G673" t="s" s="2">
        <v>1094</v>
      </c>
      <c r="H673" s="5">
        <v>760</v>
      </c>
      <c r="I673" t="s" s="2">
        <v>331</v>
      </c>
      <c r="J673" t="s" s="2">
        <v>22</v>
      </c>
      <c r="K673" t="s" s="2">
        <v>1428</v>
      </c>
      <c r="L673" t="s" s="2">
        <v>1429</v>
      </c>
      <c r="M673" s="5">
        <v>444712.68</v>
      </c>
      <c r="N673" s="5">
        <v>6206577.5</v>
      </c>
      <c r="O673" t="s" s="2">
        <v>305</v>
      </c>
      <c r="P673" s="5">
        <v>85115</v>
      </c>
      <c r="Q673" t="s" s="2">
        <v>1096</v>
      </c>
      <c r="R673" t="s" s="2">
        <f>_xlfn.IFERROR(INDEX('model_byCAP'!$D$2:$D$377,MATCH(Q673,'model_byCAP'!$A$2:$A$377,0)),0)</f>
        <v>1097</v>
      </c>
    </row>
    <row r="674" ht="15.35" customHeight="1">
      <c r="A674" t="s" s="2">
        <v>1430</v>
      </c>
      <c r="B674" s="4">
        <v>40899</v>
      </c>
      <c r="C674" s="5">
        <v>3075</v>
      </c>
      <c r="D674" s="5">
        <v>112</v>
      </c>
      <c r="E674" s="5">
        <v>88</v>
      </c>
      <c r="F674" t="s" s="2">
        <v>301</v>
      </c>
      <c r="G674" t="s" s="2">
        <v>1094</v>
      </c>
      <c r="H674" s="5">
        <v>760</v>
      </c>
      <c r="I674" t="s" s="2">
        <v>331</v>
      </c>
      <c r="J674" t="s" s="2">
        <v>22</v>
      </c>
      <c r="K674" t="s" s="2">
        <v>1428</v>
      </c>
      <c r="L674" t="s" s="2">
        <v>1431</v>
      </c>
      <c r="M674" s="5">
        <v>444640.95</v>
      </c>
      <c r="N674" s="5">
        <v>6206937.89</v>
      </c>
      <c r="O674" t="s" s="2">
        <v>305</v>
      </c>
      <c r="P674" s="5">
        <v>85116</v>
      </c>
      <c r="Q674" t="s" s="2">
        <v>1096</v>
      </c>
      <c r="R674" t="s" s="2">
        <f>_xlfn.IFERROR(INDEX('model_byCAP'!$D$2:$D$377,MATCH(Q674,'model_byCAP'!$A$2:$A$377,0)),0)</f>
        <v>1097</v>
      </c>
    </row>
    <row r="675" ht="15.35" customHeight="1">
      <c r="A675" t="s" s="2">
        <v>1432</v>
      </c>
      <c r="B675" s="4">
        <v>40907</v>
      </c>
      <c r="C675" s="5">
        <v>3075</v>
      </c>
      <c r="D675" s="5">
        <v>112</v>
      </c>
      <c r="E675" s="5">
        <v>88</v>
      </c>
      <c r="F675" t="s" s="2">
        <v>301</v>
      </c>
      <c r="G675" t="s" s="2">
        <v>1094</v>
      </c>
      <c r="H675" s="5">
        <v>760</v>
      </c>
      <c r="I675" t="s" s="2">
        <v>331</v>
      </c>
      <c r="J675" t="s" s="2">
        <v>22</v>
      </c>
      <c r="K675" t="s" s="2">
        <v>1428</v>
      </c>
      <c r="L675" t="s" s="2">
        <v>1433</v>
      </c>
      <c r="M675" s="5">
        <v>444566.53</v>
      </c>
      <c r="N675" s="5">
        <v>6207293.53</v>
      </c>
      <c r="O675" t="s" s="2">
        <v>305</v>
      </c>
      <c r="P675" s="5">
        <v>85117</v>
      </c>
      <c r="Q675" t="s" s="2">
        <v>1096</v>
      </c>
      <c r="R675" t="s" s="2">
        <f>_xlfn.IFERROR(INDEX('model_byCAP'!$D$2:$D$377,MATCH(Q675,'model_byCAP'!$A$2:$A$377,0)),0)</f>
        <v>1097</v>
      </c>
    </row>
    <row r="676" ht="15.35" customHeight="1">
      <c r="A676" t="s" s="2">
        <v>1434</v>
      </c>
      <c r="B676" s="4">
        <v>41087</v>
      </c>
      <c r="C676" s="5">
        <v>3075</v>
      </c>
      <c r="D676" s="5">
        <v>112</v>
      </c>
      <c r="E676" s="5">
        <v>94</v>
      </c>
      <c r="F676" t="s" s="2">
        <v>301</v>
      </c>
      <c r="G676" t="s" s="2">
        <v>1094</v>
      </c>
      <c r="H676" s="5">
        <v>760</v>
      </c>
      <c r="I676" t="s" s="2">
        <v>331</v>
      </c>
      <c r="J676" t="s" s="2">
        <v>22</v>
      </c>
      <c r="K676" t="s" s="2">
        <v>1435</v>
      </c>
      <c r="L676" t="s" s="2">
        <v>200</v>
      </c>
      <c r="M676" s="5">
        <v>483797.43</v>
      </c>
      <c r="N676" s="5">
        <v>6207163.36</v>
      </c>
      <c r="O676" t="s" s="2">
        <v>305</v>
      </c>
      <c r="P676" s="5">
        <v>4039868</v>
      </c>
      <c r="Q676" t="s" s="2">
        <v>1096</v>
      </c>
      <c r="R676" t="s" s="2">
        <f>_xlfn.IFERROR(INDEX('model_byCAP'!$D$2:$D$377,MATCH(Q676,'model_byCAP'!$A$2:$A$377,0)),0)</f>
        <v>1097</v>
      </c>
    </row>
    <row r="677" ht="15.35" customHeight="1">
      <c r="A677" t="s" s="2">
        <v>1436</v>
      </c>
      <c r="B677" s="4">
        <v>41087</v>
      </c>
      <c r="C677" s="5">
        <v>3075</v>
      </c>
      <c r="D677" s="5">
        <v>112</v>
      </c>
      <c r="E677" s="5">
        <v>94</v>
      </c>
      <c r="F677" t="s" s="2">
        <v>301</v>
      </c>
      <c r="G677" t="s" s="2">
        <v>1094</v>
      </c>
      <c r="H677" s="5">
        <v>760</v>
      </c>
      <c r="I677" t="s" s="2">
        <v>331</v>
      </c>
      <c r="J677" t="s" s="2">
        <v>22</v>
      </c>
      <c r="K677" t="s" s="2">
        <v>1437</v>
      </c>
      <c r="L677" t="s" s="2">
        <v>498</v>
      </c>
      <c r="M677" s="5">
        <v>483934.37</v>
      </c>
      <c r="N677" s="5">
        <v>6207596.61</v>
      </c>
      <c r="O677" t="s" s="2">
        <v>305</v>
      </c>
      <c r="P677" s="5">
        <v>4039869</v>
      </c>
      <c r="Q677" t="s" s="2">
        <v>1096</v>
      </c>
      <c r="R677" t="s" s="2">
        <f>_xlfn.IFERROR(INDEX('model_byCAP'!$D$2:$D$377,MATCH(Q677,'model_byCAP'!$A$2:$A$377,0)),0)</f>
        <v>1097</v>
      </c>
    </row>
    <row r="678" ht="15.35" customHeight="1">
      <c r="A678" t="s" s="2">
        <v>1438</v>
      </c>
      <c r="B678" s="4">
        <v>41087</v>
      </c>
      <c r="C678" s="5">
        <v>3075</v>
      </c>
      <c r="D678" s="5">
        <v>112</v>
      </c>
      <c r="E678" s="5">
        <v>94</v>
      </c>
      <c r="F678" t="s" s="2">
        <v>301</v>
      </c>
      <c r="G678" t="s" s="2">
        <v>1094</v>
      </c>
      <c r="H678" s="5">
        <v>760</v>
      </c>
      <c r="I678" t="s" s="2">
        <v>331</v>
      </c>
      <c r="J678" t="s" s="2">
        <v>22</v>
      </c>
      <c r="K678" t="s" s="2">
        <v>1439</v>
      </c>
      <c r="L678" t="s" s="2">
        <v>498</v>
      </c>
      <c r="M678" s="5">
        <v>484066.65</v>
      </c>
      <c r="N678" s="5">
        <v>6208036.82</v>
      </c>
      <c r="O678" t="s" s="2">
        <v>305</v>
      </c>
      <c r="P678" s="5">
        <v>4039870</v>
      </c>
      <c r="Q678" t="s" s="2">
        <v>1096</v>
      </c>
      <c r="R678" t="s" s="2">
        <f>_xlfn.IFERROR(INDEX('model_byCAP'!$D$2:$D$377,MATCH(Q678,'model_byCAP'!$A$2:$A$377,0)),0)</f>
        <v>1097</v>
      </c>
    </row>
    <row r="679" ht="15.35" customHeight="1">
      <c r="A679" t="s" s="2">
        <v>1440</v>
      </c>
      <c r="B679" s="4">
        <v>41087</v>
      </c>
      <c r="C679" s="5">
        <v>3075</v>
      </c>
      <c r="D679" s="5">
        <v>112</v>
      </c>
      <c r="E679" s="5">
        <v>94</v>
      </c>
      <c r="F679" t="s" s="2">
        <v>301</v>
      </c>
      <c r="G679" t="s" s="2">
        <v>1094</v>
      </c>
      <c r="H679" s="5">
        <v>760</v>
      </c>
      <c r="I679" t="s" s="2">
        <v>331</v>
      </c>
      <c r="J679" t="s" s="2">
        <v>22</v>
      </c>
      <c r="K679" t="s" s="2">
        <v>1439</v>
      </c>
      <c r="L679" t="s" s="2">
        <v>1441</v>
      </c>
      <c r="M679" s="5">
        <v>484199.97</v>
      </c>
      <c r="N679" s="5">
        <v>6208463.86</v>
      </c>
      <c r="O679" t="s" s="2">
        <v>305</v>
      </c>
      <c r="P679" s="5">
        <v>4039871</v>
      </c>
      <c r="Q679" t="s" s="2">
        <v>1096</v>
      </c>
      <c r="R679" t="s" s="2">
        <f>_xlfn.IFERROR(INDEX('model_byCAP'!$D$2:$D$377,MATCH(Q679,'model_byCAP'!$A$2:$A$377,0)),0)</f>
        <v>1097</v>
      </c>
    </row>
    <row r="680" ht="15.35" customHeight="1">
      <c r="A680" t="s" s="2">
        <v>1442</v>
      </c>
      <c r="B680" s="4">
        <v>41087</v>
      </c>
      <c r="C680" s="5">
        <v>3075</v>
      </c>
      <c r="D680" s="5">
        <v>112</v>
      </c>
      <c r="E680" s="5">
        <v>94</v>
      </c>
      <c r="F680" t="s" s="2">
        <v>301</v>
      </c>
      <c r="G680" t="s" s="2">
        <v>1094</v>
      </c>
      <c r="H680" s="5">
        <v>760</v>
      </c>
      <c r="I680" t="s" s="2">
        <v>331</v>
      </c>
      <c r="J680" t="s" s="2">
        <v>22</v>
      </c>
      <c r="K680" t="s" s="2">
        <v>1443</v>
      </c>
      <c r="L680" t="s" s="2">
        <v>200</v>
      </c>
      <c r="M680" s="5">
        <v>483511.76</v>
      </c>
      <c r="N680" s="5">
        <v>6207713.3</v>
      </c>
      <c r="O680" t="s" s="2">
        <v>305</v>
      </c>
      <c r="P680" s="5">
        <v>4039872</v>
      </c>
      <c r="Q680" t="s" s="2">
        <v>1096</v>
      </c>
      <c r="R680" t="s" s="2">
        <f>_xlfn.IFERROR(INDEX('model_byCAP'!$D$2:$D$377,MATCH(Q680,'model_byCAP'!$A$2:$A$377,0)),0)</f>
        <v>1097</v>
      </c>
    </row>
    <row r="681" ht="15.35" customHeight="1">
      <c r="A681" t="s" s="2">
        <v>1444</v>
      </c>
      <c r="B681" s="4">
        <v>41087</v>
      </c>
      <c r="C681" s="5">
        <v>3075</v>
      </c>
      <c r="D681" s="5">
        <v>112</v>
      </c>
      <c r="E681" s="5">
        <v>94</v>
      </c>
      <c r="F681" t="s" s="2">
        <v>301</v>
      </c>
      <c r="G681" t="s" s="2">
        <v>1094</v>
      </c>
      <c r="H681" s="5">
        <v>760</v>
      </c>
      <c r="I681" t="s" s="2">
        <v>331</v>
      </c>
      <c r="J681" t="s" s="2">
        <v>22</v>
      </c>
      <c r="K681" t="s" s="2">
        <v>1435</v>
      </c>
      <c r="L681" t="s" s="2">
        <v>1445</v>
      </c>
      <c r="M681" s="5">
        <v>483225.57</v>
      </c>
      <c r="N681" s="5">
        <v>6208270.36</v>
      </c>
      <c r="O681" t="s" s="2">
        <v>305</v>
      </c>
      <c r="P681" s="5">
        <v>4039873</v>
      </c>
      <c r="Q681" t="s" s="2">
        <v>1096</v>
      </c>
      <c r="R681" t="s" s="2">
        <f>_xlfn.IFERROR(INDEX('model_byCAP'!$D$2:$D$377,MATCH(Q681,'model_byCAP'!$A$2:$A$377,0)),0)</f>
        <v>1097</v>
      </c>
    </row>
    <row r="682" ht="15.35" customHeight="1">
      <c r="A682" t="s" s="2">
        <v>1446</v>
      </c>
      <c r="B682" s="4">
        <v>41449</v>
      </c>
      <c r="C682" s="5">
        <v>3075</v>
      </c>
      <c r="D682" s="5">
        <v>112</v>
      </c>
      <c r="E682" s="5">
        <v>84</v>
      </c>
      <c r="F682" t="s" s="2">
        <v>301</v>
      </c>
      <c r="G682" t="s" s="2">
        <v>1094</v>
      </c>
      <c r="H682" s="5">
        <v>791</v>
      </c>
      <c r="I682" t="s" s="2">
        <v>1447</v>
      </c>
      <c r="J682" t="s" s="2">
        <v>22</v>
      </c>
      <c r="K682" t="s" s="2">
        <v>1448</v>
      </c>
      <c r="L682" t="s" s="2">
        <v>1449</v>
      </c>
      <c r="M682" s="5">
        <v>504684.35</v>
      </c>
      <c r="N682" s="5">
        <v>6256732.88</v>
      </c>
      <c r="O682" t="s" s="2">
        <v>305</v>
      </c>
      <c r="P682" s="5">
        <v>4050713</v>
      </c>
      <c r="Q682" t="s" s="2">
        <v>1096</v>
      </c>
      <c r="R682" t="s" s="2">
        <f>_xlfn.IFERROR(INDEX('model_byCAP'!$D$2:$D$377,MATCH(Q682,'model_byCAP'!$A$2:$A$377,0)),0)</f>
        <v>1097</v>
      </c>
    </row>
    <row r="683" ht="15.35" customHeight="1">
      <c r="A683" t="s" s="2">
        <v>1450</v>
      </c>
      <c r="B683" s="4">
        <v>41446</v>
      </c>
      <c r="C683" s="5">
        <v>3075</v>
      </c>
      <c r="D683" s="5">
        <v>112</v>
      </c>
      <c r="E683" s="5">
        <v>84</v>
      </c>
      <c r="F683" t="s" s="2">
        <v>301</v>
      </c>
      <c r="G683" t="s" s="2">
        <v>1094</v>
      </c>
      <c r="H683" s="5">
        <v>791</v>
      </c>
      <c r="I683" t="s" s="2">
        <v>1447</v>
      </c>
      <c r="J683" t="s" s="2">
        <v>22</v>
      </c>
      <c r="K683" t="s" s="2">
        <v>1448</v>
      </c>
      <c r="L683" t="s" s="2">
        <v>1451</v>
      </c>
      <c r="M683" s="5">
        <v>504899.22</v>
      </c>
      <c r="N683" s="5">
        <v>6256465.84</v>
      </c>
      <c r="O683" t="s" s="2">
        <v>305</v>
      </c>
      <c r="P683" s="5">
        <v>4050714</v>
      </c>
      <c r="Q683" t="s" s="2">
        <v>1096</v>
      </c>
      <c r="R683" t="s" s="2">
        <f>_xlfn.IFERROR(INDEX('model_byCAP'!$D$2:$D$377,MATCH(Q683,'model_byCAP'!$A$2:$A$377,0)),0)</f>
        <v>1097</v>
      </c>
    </row>
    <row r="684" ht="15.35" customHeight="1">
      <c r="A684" t="s" s="2">
        <v>1452</v>
      </c>
      <c r="B684" s="4">
        <v>41037</v>
      </c>
      <c r="C684" s="5">
        <v>3075</v>
      </c>
      <c r="D684" s="5">
        <v>112</v>
      </c>
      <c r="E684" s="5">
        <v>94</v>
      </c>
      <c r="F684" t="s" s="2">
        <v>301</v>
      </c>
      <c r="G684" t="s" s="2">
        <v>1094</v>
      </c>
      <c r="H684" s="5">
        <v>810</v>
      </c>
      <c r="I684" t="s" s="2">
        <v>1102</v>
      </c>
      <c r="J684" t="s" s="2">
        <v>22</v>
      </c>
      <c r="K684" t="s" s="2">
        <v>1453</v>
      </c>
      <c r="L684" t="s" s="2">
        <v>1454</v>
      </c>
      <c r="M684" s="5">
        <v>574455.88</v>
      </c>
      <c r="N684" s="5">
        <v>6332204.92</v>
      </c>
      <c r="O684" t="s" s="2">
        <v>305</v>
      </c>
      <c r="P684" s="5">
        <v>71403</v>
      </c>
      <c r="Q684" t="s" s="2">
        <v>1096</v>
      </c>
      <c r="R684" t="s" s="2">
        <f>_xlfn.IFERROR(INDEX('model_byCAP'!$D$2:$D$377,MATCH(Q684,'model_byCAP'!$A$2:$A$377,0)),0)</f>
        <v>1097</v>
      </c>
    </row>
    <row r="685" ht="15.35" customHeight="1">
      <c r="A685" t="s" s="2">
        <v>1455</v>
      </c>
      <c r="B685" s="4">
        <v>41061</v>
      </c>
      <c r="C685" s="5">
        <v>3075</v>
      </c>
      <c r="D685" s="5">
        <v>112</v>
      </c>
      <c r="E685" s="5">
        <v>94</v>
      </c>
      <c r="F685" t="s" s="2">
        <v>301</v>
      </c>
      <c r="G685" t="s" s="2">
        <v>1094</v>
      </c>
      <c r="H685" s="5">
        <v>810</v>
      </c>
      <c r="I685" t="s" s="2">
        <v>1102</v>
      </c>
      <c r="J685" t="s" s="2">
        <v>22</v>
      </c>
      <c r="K685" t="s" s="2">
        <v>1453</v>
      </c>
      <c r="L685" t="s" s="2">
        <v>1456</v>
      </c>
      <c r="M685" s="5">
        <v>574859</v>
      </c>
      <c r="N685" s="5">
        <v>6332452.56</v>
      </c>
      <c r="O685" t="s" s="2">
        <v>305</v>
      </c>
      <c r="P685" s="5">
        <v>71404</v>
      </c>
      <c r="Q685" t="s" s="2">
        <v>1096</v>
      </c>
      <c r="R685" t="s" s="2">
        <f>_xlfn.IFERROR(INDEX('model_byCAP'!$D$2:$D$377,MATCH(Q685,'model_byCAP'!$A$2:$A$377,0)),0)</f>
        <v>1097</v>
      </c>
    </row>
    <row r="686" ht="15.35" customHeight="1">
      <c r="A686" t="s" s="2">
        <v>1457</v>
      </c>
      <c r="B686" s="4">
        <v>41044</v>
      </c>
      <c r="C686" s="5">
        <v>3075</v>
      </c>
      <c r="D686" s="5">
        <v>112</v>
      </c>
      <c r="E686" s="5">
        <v>94</v>
      </c>
      <c r="F686" t="s" s="2">
        <v>301</v>
      </c>
      <c r="G686" t="s" s="2">
        <v>1094</v>
      </c>
      <c r="H686" s="5">
        <v>810</v>
      </c>
      <c r="I686" t="s" s="2">
        <v>1102</v>
      </c>
      <c r="J686" t="s" s="2">
        <v>22</v>
      </c>
      <c r="K686" t="s" s="2">
        <v>1453</v>
      </c>
      <c r="L686" t="s" s="2">
        <v>1458</v>
      </c>
      <c r="M686" s="5">
        <v>575262.37</v>
      </c>
      <c r="N686" s="5">
        <v>6332700.38</v>
      </c>
      <c r="O686" t="s" s="2">
        <v>305</v>
      </c>
      <c r="P686" s="5">
        <v>71405</v>
      </c>
      <c r="Q686" t="s" s="2">
        <v>1096</v>
      </c>
      <c r="R686" t="s" s="2">
        <f>_xlfn.IFERROR(INDEX('model_byCAP'!$D$2:$D$377,MATCH(Q686,'model_byCAP'!$A$2:$A$377,0)),0)</f>
        <v>1097</v>
      </c>
    </row>
    <row r="687" ht="15.35" customHeight="1">
      <c r="A687" t="s" s="2">
        <v>1459</v>
      </c>
      <c r="B687" s="4">
        <v>41418</v>
      </c>
      <c r="C687" s="5">
        <v>3075</v>
      </c>
      <c r="D687" s="5">
        <v>112</v>
      </c>
      <c r="E687" s="5">
        <v>84</v>
      </c>
      <c r="F687" t="s" s="2">
        <v>301</v>
      </c>
      <c r="G687" t="s" s="2">
        <v>1094</v>
      </c>
      <c r="H687" s="5">
        <v>810</v>
      </c>
      <c r="I687" t="s" s="2">
        <v>1102</v>
      </c>
      <c r="J687" t="s" s="2">
        <v>22</v>
      </c>
      <c r="K687" t="s" s="2">
        <v>1460</v>
      </c>
      <c r="L687" t="s" s="2">
        <v>1461</v>
      </c>
      <c r="M687" s="5">
        <v>558016.66</v>
      </c>
      <c r="N687" s="5">
        <v>6342461.21</v>
      </c>
      <c r="O687" t="s" s="2">
        <v>305</v>
      </c>
      <c r="P687" s="5">
        <v>71411</v>
      </c>
      <c r="Q687" t="s" s="2">
        <v>1096</v>
      </c>
      <c r="R687" t="s" s="2">
        <f>_xlfn.IFERROR(INDEX('model_byCAP'!$D$2:$D$377,MATCH(Q687,'model_byCAP'!$A$2:$A$377,0)),0)</f>
        <v>1097</v>
      </c>
    </row>
    <row r="688" ht="15.35" customHeight="1">
      <c r="A688" t="s" s="2">
        <v>1462</v>
      </c>
      <c r="B688" s="4">
        <v>41418</v>
      </c>
      <c r="C688" s="5">
        <v>3075</v>
      </c>
      <c r="D688" s="5">
        <v>112</v>
      </c>
      <c r="E688" s="5">
        <v>84</v>
      </c>
      <c r="F688" t="s" s="2">
        <v>301</v>
      </c>
      <c r="G688" t="s" s="2">
        <v>1094</v>
      </c>
      <c r="H688" s="5">
        <v>810</v>
      </c>
      <c r="I688" t="s" s="2">
        <v>1102</v>
      </c>
      <c r="J688" t="s" s="2">
        <v>22</v>
      </c>
      <c r="K688" t="s" s="2">
        <v>1460</v>
      </c>
      <c r="L688" t="s" s="2">
        <v>1461</v>
      </c>
      <c r="M688" s="5">
        <v>557738.04</v>
      </c>
      <c r="N688" s="5">
        <v>6342610.07</v>
      </c>
      <c r="O688" t="s" s="2">
        <v>305</v>
      </c>
      <c r="P688" s="5">
        <v>71412</v>
      </c>
      <c r="Q688" t="s" s="2">
        <v>1096</v>
      </c>
      <c r="R688" t="s" s="2">
        <f>_xlfn.IFERROR(INDEX('model_byCAP'!$D$2:$D$377,MATCH(Q688,'model_byCAP'!$A$2:$A$377,0)),0)</f>
        <v>1097</v>
      </c>
    </row>
    <row r="689" ht="15.35" customHeight="1">
      <c r="A689" t="s" s="2">
        <v>1463</v>
      </c>
      <c r="B689" s="4">
        <v>41418</v>
      </c>
      <c r="C689" s="5">
        <v>3075</v>
      </c>
      <c r="D689" s="5">
        <v>112</v>
      </c>
      <c r="E689" s="5">
        <v>84</v>
      </c>
      <c r="F689" t="s" s="2">
        <v>301</v>
      </c>
      <c r="G689" t="s" s="2">
        <v>1094</v>
      </c>
      <c r="H689" s="5">
        <v>810</v>
      </c>
      <c r="I689" t="s" s="2">
        <v>1102</v>
      </c>
      <c r="J689" t="s" s="2">
        <v>22</v>
      </c>
      <c r="K689" t="s" s="2">
        <v>1460</v>
      </c>
      <c r="L689" t="s" s="2">
        <v>405</v>
      </c>
      <c r="M689" s="5">
        <v>557459.33</v>
      </c>
      <c r="N689" s="5">
        <v>6342758.85</v>
      </c>
      <c r="O689" t="s" s="2">
        <v>305</v>
      </c>
      <c r="P689" s="5">
        <v>71413</v>
      </c>
      <c r="Q689" t="s" s="2">
        <v>1096</v>
      </c>
      <c r="R689" t="s" s="2">
        <f>_xlfn.IFERROR(INDEX('model_byCAP'!$D$2:$D$377,MATCH(Q689,'model_byCAP'!$A$2:$A$377,0)),0)</f>
        <v>1097</v>
      </c>
    </row>
    <row r="690" ht="15.35" customHeight="1">
      <c r="A690" t="s" s="2">
        <v>1464</v>
      </c>
      <c r="B690" s="4">
        <v>41418</v>
      </c>
      <c r="C690" s="5">
        <v>3075</v>
      </c>
      <c r="D690" s="5">
        <v>112</v>
      </c>
      <c r="E690" s="5">
        <v>84</v>
      </c>
      <c r="F690" t="s" s="2">
        <v>301</v>
      </c>
      <c r="G690" t="s" s="2">
        <v>1094</v>
      </c>
      <c r="H690" s="5">
        <v>810</v>
      </c>
      <c r="I690" t="s" s="2">
        <v>1102</v>
      </c>
      <c r="J690" t="s" s="2">
        <v>22</v>
      </c>
      <c r="K690" t="s" s="2">
        <v>1460</v>
      </c>
      <c r="L690" t="s" s="2">
        <v>405</v>
      </c>
      <c r="M690" s="5">
        <v>557180.7</v>
      </c>
      <c r="N690" s="5">
        <v>6342907.71</v>
      </c>
      <c r="O690" t="s" s="2">
        <v>305</v>
      </c>
      <c r="P690" s="5">
        <v>71414</v>
      </c>
      <c r="Q690" t="s" s="2">
        <v>1096</v>
      </c>
      <c r="R690" t="s" s="2">
        <f>_xlfn.IFERROR(INDEX('model_byCAP'!$D$2:$D$377,MATCH(Q690,'model_byCAP'!$A$2:$A$377,0)),0)</f>
        <v>1097</v>
      </c>
    </row>
    <row r="691" ht="15.35" customHeight="1">
      <c r="A691" t="s" s="2">
        <v>1465</v>
      </c>
      <c r="B691" s="4">
        <v>41452</v>
      </c>
      <c r="C691" s="5">
        <v>3075</v>
      </c>
      <c r="D691" s="5">
        <v>112</v>
      </c>
      <c r="E691" s="5">
        <v>84</v>
      </c>
      <c r="F691" t="s" s="2">
        <v>301</v>
      </c>
      <c r="G691" t="s" s="2">
        <v>1094</v>
      </c>
      <c r="H691" s="5">
        <v>820</v>
      </c>
      <c r="I691" t="s" s="2">
        <v>388</v>
      </c>
      <c r="J691" t="s" s="2">
        <v>22</v>
      </c>
      <c r="K691" t="s" s="2">
        <v>1466</v>
      </c>
      <c r="L691" t="s" s="2">
        <v>481</v>
      </c>
      <c r="M691" s="5">
        <v>523427.66</v>
      </c>
      <c r="N691" s="5">
        <v>6300323.59</v>
      </c>
      <c r="O691" t="s" s="2">
        <v>305</v>
      </c>
      <c r="P691" s="5">
        <v>566</v>
      </c>
      <c r="Q691" t="s" s="2">
        <v>1096</v>
      </c>
      <c r="R691" t="s" s="2">
        <f>_xlfn.IFERROR(INDEX('model_byCAP'!$D$2:$D$377,MATCH(Q691,'model_byCAP'!$A$2:$A$377,0)),0)</f>
        <v>1097</v>
      </c>
    </row>
    <row r="692" ht="15.35" customHeight="1">
      <c r="A692" t="s" s="2">
        <v>1467</v>
      </c>
      <c r="B692" s="4">
        <v>41453</v>
      </c>
      <c r="C692" s="5">
        <v>3075</v>
      </c>
      <c r="D692" s="5">
        <v>112</v>
      </c>
      <c r="E692" s="5">
        <v>94</v>
      </c>
      <c r="F692" t="s" s="2">
        <v>301</v>
      </c>
      <c r="G692" t="s" s="2">
        <v>1094</v>
      </c>
      <c r="H692" s="5">
        <v>820</v>
      </c>
      <c r="I692" t="s" s="2">
        <v>388</v>
      </c>
      <c r="J692" t="s" s="2">
        <v>22</v>
      </c>
      <c r="K692" t="s" s="2">
        <v>1468</v>
      </c>
      <c r="L692" t="s" s="2">
        <v>1469</v>
      </c>
      <c r="M692" s="5">
        <v>523633.43</v>
      </c>
      <c r="N692" s="5">
        <v>6300065.07</v>
      </c>
      <c r="O692" t="s" s="2">
        <v>305</v>
      </c>
      <c r="P692" s="5">
        <v>567</v>
      </c>
      <c r="Q692" t="s" s="2">
        <v>1096</v>
      </c>
      <c r="R692" t="s" s="2">
        <f>_xlfn.IFERROR(INDEX('model_byCAP'!$D$2:$D$377,MATCH(Q692,'model_byCAP'!$A$2:$A$377,0)),0)</f>
        <v>1097</v>
      </c>
    </row>
    <row r="693" ht="15.35" customHeight="1">
      <c r="A693" t="s" s="2">
        <v>1470</v>
      </c>
      <c r="B693" s="4">
        <v>41451</v>
      </c>
      <c r="C693" s="5">
        <v>3075</v>
      </c>
      <c r="D693" s="5">
        <v>112</v>
      </c>
      <c r="E693" s="5">
        <v>94</v>
      </c>
      <c r="F693" t="s" s="2">
        <v>301</v>
      </c>
      <c r="G693" t="s" s="2">
        <v>1094</v>
      </c>
      <c r="H693" s="5">
        <v>820</v>
      </c>
      <c r="I693" t="s" s="2">
        <v>388</v>
      </c>
      <c r="J693" t="s" s="2">
        <v>22</v>
      </c>
      <c r="K693" t="s" s="2">
        <v>1468</v>
      </c>
      <c r="L693" t="s" s="2">
        <v>1469</v>
      </c>
      <c r="M693" s="5">
        <v>523840.77</v>
      </c>
      <c r="N693" s="5">
        <v>6299804.83</v>
      </c>
      <c r="O693" t="s" s="2">
        <v>305</v>
      </c>
      <c r="P693" s="5">
        <v>570</v>
      </c>
      <c r="Q693" t="s" s="2">
        <v>1096</v>
      </c>
      <c r="R693" t="s" s="2">
        <f>_xlfn.IFERROR(INDEX('model_byCAP'!$D$2:$D$377,MATCH(Q693,'model_byCAP'!$A$2:$A$377,0)),0)</f>
        <v>1097</v>
      </c>
    </row>
    <row r="694" ht="15.35" customHeight="1">
      <c r="A694" t="s" s="2">
        <v>1471</v>
      </c>
      <c r="B694" s="4">
        <v>41451</v>
      </c>
      <c r="C694" s="5">
        <v>3075</v>
      </c>
      <c r="D694" s="5">
        <v>112</v>
      </c>
      <c r="E694" s="5">
        <v>94</v>
      </c>
      <c r="F694" t="s" s="2">
        <v>301</v>
      </c>
      <c r="G694" t="s" s="2">
        <v>1094</v>
      </c>
      <c r="H694" s="5">
        <v>820</v>
      </c>
      <c r="I694" t="s" s="2">
        <v>388</v>
      </c>
      <c r="J694" t="s" s="2">
        <v>22</v>
      </c>
      <c r="K694" t="s" s="2">
        <v>1468</v>
      </c>
      <c r="L694" t="s" s="2">
        <v>1256</v>
      </c>
      <c r="M694" s="5">
        <v>524047.24</v>
      </c>
      <c r="N694" s="5">
        <v>6299546.02</v>
      </c>
      <c r="O694" t="s" s="2">
        <v>305</v>
      </c>
      <c r="P694" s="5">
        <v>571</v>
      </c>
      <c r="Q694" t="s" s="2">
        <v>1096</v>
      </c>
      <c r="R694" t="s" s="2">
        <f>_xlfn.IFERROR(INDEX('model_byCAP'!$D$2:$D$377,MATCH(Q694,'model_byCAP'!$A$2:$A$377,0)),0)</f>
        <v>1097</v>
      </c>
    </row>
    <row r="695" ht="15.35" customHeight="1">
      <c r="A695" t="s" s="2">
        <v>1472</v>
      </c>
      <c r="B695" s="4">
        <v>40970</v>
      </c>
      <c r="C695" s="5">
        <v>3000</v>
      </c>
      <c r="D695" s="5">
        <v>101</v>
      </c>
      <c r="E695" s="5">
        <v>79.5</v>
      </c>
      <c r="F695" t="s" s="2">
        <v>19</v>
      </c>
      <c r="G695" t="s" s="2">
        <v>1289</v>
      </c>
      <c r="H695" s="5">
        <v>326</v>
      </c>
      <c r="I695" t="s" s="2">
        <v>1263</v>
      </c>
      <c r="J695" t="s" s="2">
        <v>22</v>
      </c>
      <c r="K695" t="s" s="2">
        <v>1473</v>
      </c>
      <c r="L695" t="s" s="2">
        <v>481</v>
      </c>
      <c r="M695" s="5">
        <v>629598.24</v>
      </c>
      <c r="N695" s="5">
        <v>6169596.28</v>
      </c>
      <c r="O695" t="s" s="2">
        <v>305</v>
      </c>
      <c r="P695" s="5">
        <v>30560347</v>
      </c>
      <c r="Q695" t="s" s="2">
        <v>1292</v>
      </c>
      <c r="R695" t="s" s="2">
        <f>_xlfn.IFERROR(INDEX('model_byCAP'!$D$2:$D$377,MATCH(Q695,'model_byCAP'!$A$2:$A$377,0)),0)</f>
        <v>1293</v>
      </c>
    </row>
    <row r="696" ht="15.35" customHeight="1">
      <c r="A696" t="s" s="2">
        <v>1474</v>
      </c>
      <c r="B696" s="4">
        <v>40977</v>
      </c>
      <c r="C696" s="5">
        <v>3000</v>
      </c>
      <c r="D696" s="5">
        <v>101</v>
      </c>
      <c r="E696" s="5">
        <v>79.5</v>
      </c>
      <c r="F696" t="s" s="2">
        <v>19</v>
      </c>
      <c r="G696" t="s" s="2">
        <v>1289</v>
      </c>
      <c r="H696" s="5">
        <v>326</v>
      </c>
      <c r="I696" t="s" s="2">
        <v>1263</v>
      </c>
      <c r="J696" t="s" s="2">
        <v>22</v>
      </c>
      <c r="K696" t="s" s="2">
        <v>1473</v>
      </c>
      <c r="L696" t="s" s="2">
        <v>481</v>
      </c>
      <c r="M696" s="5">
        <v>629303.16</v>
      </c>
      <c r="N696" s="5">
        <v>6169767.03</v>
      </c>
      <c r="O696" t="s" s="2">
        <v>305</v>
      </c>
      <c r="P696" s="5">
        <v>60560358</v>
      </c>
      <c r="Q696" t="s" s="2">
        <v>1292</v>
      </c>
      <c r="R696" t="s" s="2">
        <f>_xlfn.IFERROR(INDEX('model_byCAP'!$D$2:$D$377,MATCH(Q696,'model_byCAP'!$A$2:$A$377,0)),0)</f>
        <v>1293</v>
      </c>
    </row>
    <row r="697" ht="15.35" customHeight="1">
      <c r="A697" t="s" s="2">
        <v>1475</v>
      </c>
      <c r="B697" s="4">
        <v>40962</v>
      </c>
      <c r="C697" s="5">
        <v>3000</v>
      </c>
      <c r="D697" s="5">
        <v>101</v>
      </c>
      <c r="E697" s="5">
        <v>79.5</v>
      </c>
      <c r="F697" t="s" s="2">
        <v>19</v>
      </c>
      <c r="G697" t="s" s="2">
        <v>1289</v>
      </c>
      <c r="H697" s="5">
        <v>326</v>
      </c>
      <c r="I697" t="s" s="2">
        <v>1263</v>
      </c>
      <c r="J697" t="s" s="2">
        <v>22</v>
      </c>
      <c r="K697" t="s" s="2">
        <v>1476</v>
      </c>
      <c r="L697" t="s" s="2">
        <v>481</v>
      </c>
      <c r="M697" s="5">
        <v>629893</v>
      </c>
      <c r="N697" s="5">
        <v>6169425.74</v>
      </c>
      <c r="O697" t="s" s="2">
        <v>305</v>
      </c>
      <c r="P697" s="5">
        <v>60560360</v>
      </c>
      <c r="Q697" t="s" s="2">
        <v>1292</v>
      </c>
      <c r="R697" t="s" s="2">
        <f>_xlfn.IFERROR(INDEX('model_byCAP'!$D$2:$D$377,MATCH(Q697,'model_byCAP'!$A$2:$A$377,0)),0)</f>
        <v>1293</v>
      </c>
    </row>
    <row r="698" ht="15.35" customHeight="1">
      <c r="A698" t="s" s="2">
        <v>1477</v>
      </c>
      <c r="B698" s="4">
        <v>40983</v>
      </c>
      <c r="C698" s="5">
        <v>3000</v>
      </c>
      <c r="D698" s="5">
        <v>101</v>
      </c>
      <c r="E698" s="5">
        <v>79.5</v>
      </c>
      <c r="F698" t="s" s="2">
        <v>19</v>
      </c>
      <c r="G698" t="s" s="2">
        <v>1289</v>
      </c>
      <c r="H698" s="5">
        <v>326</v>
      </c>
      <c r="I698" t="s" s="2">
        <v>1263</v>
      </c>
      <c r="J698" t="s" s="2">
        <v>22</v>
      </c>
      <c r="K698" t="s" s="2">
        <v>1478</v>
      </c>
      <c r="L698" t="s" s="2">
        <v>481</v>
      </c>
      <c r="M698" s="5">
        <v>629007.95</v>
      </c>
      <c r="N698" s="5">
        <v>6169937.83</v>
      </c>
      <c r="O698" t="s" s="2">
        <v>305</v>
      </c>
      <c r="P698" s="5">
        <v>60560371</v>
      </c>
      <c r="Q698" t="s" s="2">
        <v>1292</v>
      </c>
      <c r="R698" t="s" s="2">
        <f>_xlfn.IFERROR(INDEX('model_byCAP'!$D$2:$D$377,MATCH(Q698,'model_byCAP'!$A$2:$A$377,0)),0)</f>
        <v>1293</v>
      </c>
    </row>
    <row r="699" ht="15.35" customHeight="1">
      <c r="A699" t="s" s="2">
        <v>1479</v>
      </c>
      <c r="B699" s="4">
        <v>40994</v>
      </c>
      <c r="C699" s="5">
        <v>3000</v>
      </c>
      <c r="D699" s="5">
        <v>101</v>
      </c>
      <c r="E699" s="5">
        <v>79.5</v>
      </c>
      <c r="F699" t="s" s="2">
        <v>19</v>
      </c>
      <c r="G699" t="s" s="2">
        <v>1289</v>
      </c>
      <c r="H699" s="5">
        <v>326</v>
      </c>
      <c r="I699" t="s" s="2">
        <v>1263</v>
      </c>
      <c r="J699" t="s" s="2">
        <v>22</v>
      </c>
      <c r="K699" t="s" s="2">
        <v>1473</v>
      </c>
      <c r="L699" t="s" s="2">
        <v>481</v>
      </c>
      <c r="M699" s="5">
        <v>628418.33</v>
      </c>
      <c r="N699" s="5">
        <v>6170279.27</v>
      </c>
      <c r="O699" t="s" s="2">
        <v>305</v>
      </c>
      <c r="P699" s="5">
        <v>60560375</v>
      </c>
      <c r="Q699" t="s" s="2">
        <v>1292</v>
      </c>
      <c r="R699" t="s" s="2">
        <f>_xlfn.IFERROR(INDEX('model_byCAP'!$D$2:$D$377,MATCH(Q699,'model_byCAP'!$A$2:$A$377,0)),0)</f>
        <v>1293</v>
      </c>
    </row>
    <row r="700" ht="15.35" customHeight="1">
      <c r="A700" t="s" s="2">
        <v>1480</v>
      </c>
      <c r="B700" s="4">
        <v>40988</v>
      </c>
      <c r="C700" s="5">
        <v>3000</v>
      </c>
      <c r="D700" s="5">
        <v>101</v>
      </c>
      <c r="E700" s="5">
        <v>79.5</v>
      </c>
      <c r="F700" t="s" s="2">
        <v>19</v>
      </c>
      <c r="G700" t="s" s="2">
        <v>1289</v>
      </c>
      <c r="H700" s="5">
        <v>326</v>
      </c>
      <c r="I700" t="s" s="2">
        <v>1263</v>
      </c>
      <c r="J700" t="s" s="2">
        <v>22</v>
      </c>
      <c r="K700" t="s" s="2">
        <v>1473</v>
      </c>
      <c r="L700" t="s" s="2">
        <v>481</v>
      </c>
      <c r="M700" s="5">
        <v>628713.86</v>
      </c>
      <c r="N700" s="5">
        <v>6170108.53</v>
      </c>
      <c r="O700" t="s" s="2">
        <v>305</v>
      </c>
      <c r="P700" s="5">
        <v>60560373</v>
      </c>
      <c r="Q700" t="s" s="2">
        <v>1292</v>
      </c>
      <c r="R700" t="s" s="2">
        <f>_xlfn.IFERROR(INDEX('model_byCAP'!$D$2:$D$377,MATCH(Q700,'model_byCAP'!$A$2:$A$377,0)),0)</f>
        <v>1293</v>
      </c>
    </row>
    <row r="701" ht="15.35" customHeight="1">
      <c r="A701" t="s" s="2">
        <v>1481</v>
      </c>
      <c r="B701" s="4">
        <v>41030</v>
      </c>
      <c r="C701" s="5">
        <v>3000</v>
      </c>
      <c r="D701" s="5">
        <v>101</v>
      </c>
      <c r="E701" s="5">
        <v>89.5</v>
      </c>
      <c r="F701" t="s" s="2">
        <v>42</v>
      </c>
      <c r="G701" t="s" s="2">
        <v>42</v>
      </c>
      <c r="H701" s="5">
        <v>326</v>
      </c>
      <c r="I701" t="s" s="2">
        <v>1263</v>
      </c>
      <c r="J701" t="s" s="2">
        <v>22</v>
      </c>
      <c r="K701" t="s" s="2">
        <v>1482</v>
      </c>
      <c r="L701" t="s" s="2">
        <v>1165</v>
      </c>
      <c r="M701" s="5">
        <v>651590.4399999999</v>
      </c>
      <c r="N701" s="5">
        <v>6153075.88</v>
      </c>
      <c r="O701" t="s" s="2">
        <v>305</v>
      </c>
      <c r="P701" s="5">
        <v>60574893</v>
      </c>
      <c r="Q701" t="s" s="2">
        <v>43</v>
      </c>
      <c r="R701" s="5">
        <f>_xlfn.IFERROR(INDEX('model_byCAP'!$D$2:$D$377,MATCH(Q701,'model_byCAP'!$A$2:$A$377,0)),0)</f>
        <v>0</v>
      </c>
    </row>
    <row r="702" ht="15.35" customHeight="1">
      <c r="A702" t="s" s="2">
        <v>1483</v>
      </c>
      <c r="B702" s="4">
        <v>41029</v>
      </c>
      <c r="C702" s="5">
        <v>3000</v>
      </c>
      <c r="D702" s="5">
        <v>101</v>
      </c>
      <c r="E702" s="5">
        <v>89.5</v>
      </c>
      <c r="F702" t="s" s="2">
        <v>42</v>
      </c>
      <c r="G702" t="s" s="2">
        <v>42</v>
      </c>
      <c r="H702" s="5">
        <v>326</v>
      </c>
      <c r="I702" t="s" s="2">
        <v>1263</v>
      </c>
      <c r="J702" t="s" s="2">
        <v>22</v>
      </c>
      <c r="K702" t="s" s="2">
        <v>1484</v>
      </c>
      <c r="L702" t="s" s="2">
        <v>1165</v>
      </c>
      <c r="M702" s="5">
        <v>651333.24</v>
      </c>
      <c r="N702" s="5">
        <v>6153241.69</v>
      </c>
      <c r="O702" t="s" s="2">
        <v>305</v>
      </c>
      <c r="P702" s="5">
        <v>60574895</v>
      </c>
      <c r="Q702" t="s" s="2">
        <v>43</v>
      </c>
      <c r="R702" s="5">
        <f>_xlfn.IFERROR(INDEX('model_byCAP'!$D$2:$D$377,MATCH(Q702,'model_byCAP'!$A$2:$A$377,0)),0)</f>
        <v>0</v>
      </c>
    </row>
    <row r="703" ht="15.35" customHeight="1">
      <c r="A703" t="s" s="2">
        <v>1485</v>
      </c>
      <c r="B703" s="4">
        <v>41016</v>
      </c>
      <c r="C703" s="5">
        <v>3000</v>
      </c>
      <c r="D703" s="5">
        <v>101</v>
      </c>
      <c r="E703" s="5">
        <v>89.5</v>
      </c>
      <c r="F703" t="s" s="2">
        <v>42</v>
      </c>
      <c r="G703" t="s" s="2">
        <v>42</v>
      </c>
      <c r="H703" s="5">
        <v>326</v>
      </c>
      <c r="I703" t="s" s="2">
        <v>1263</v>
      </c>
      <c r="J703" t="s" s="2">
        <v>22</v>
      </c>
      <c r="K703" t="s" s="2">
        <v>1482</v>
      </c>
      <c r="L703" t="s" s="2">
        <v>1165</v>
      </c>
      <c r="M703" s="5">
        <v>651075.55</v>
      </c>
      <c r="N703" s="5">
        <v>6153407.4</v>
      </c>
      <c r="O703" t="s" s="2">
        <v>305</v>
      </c>
      <c r="P703" s="5">
        <v>60574897</v>
      </c>
      <c r="Q703" t="s" s="2">
        <v>43</v>
      </c>
      <c r="R703" s="5">
        <f>_xlfn.IFERROR(INDEX('model_byCAP'!$D$2:$D$377,MATCH(Q703,'model_byCAP'!$A$2:$A$377,0)),0)</f>
        <v>0</v>
      </c>
    </row>
    <row r="704" ht="15.35" customHeight="1">
      <c r="A704" t="s" s="2">
        <v>1486</v>
      </c>
      <c r="B704" s="4">
        <v>41038</v>
      </c>
      <c r="C704" s="5">
        <v>3000</v>
      </c>
      <c r="D704" s="5">
        <v>101</v>
      </c>
      <c r="E704" s="5">
        <v>89.5</v>
      </c>
      <c r="F704" t="s" s="2">
        <v>42</v>
      </c>
      <c r="G704" t="s" s="2">
        <v>42</v>
      </c>
      <c r="H704" s="5">
        <v>326</v>
      </c>
      <c r="I704" t="s" s="2">
        <v>1263</v>
      </c>
      <c r="J704" t="s" s="2">
        <v>22</v>
      </c>
      <c r="K704" t="s" s="2">
        <v>1482</v>
      </c>
      <c r="L704" t="s" s="2">
        <v>1165</v>
      </c>
      <c r="M704" s="5">
        <v>651847.4</v>
      </c>
      <c r="N704" s="5">
        <v>6152910.44</v>
      </c>
      <c r="O704" t="s" s="2">
        <v>305</v>
      </c>
      <c r="P704" s="5">
        <v>60574899</v>
      </c>
      <c r="Q704" t="s" s="2">
        <v>43</v>
      </c>
      <c r="R704" s="5">
        <f>_xlfn.IFERROR(INDEX('model_byCAP'!$D$2:$D$377,MATCH(Q704,'model_byCAP'!$A$2:$A$377,0)),0)</f>
        <v>0</v>
      </c>
    </row>
    <row r="705" ht="15.35" customHeight="1">
      <c r="A705" t="s" s="2">
        <v>1487</v>
      </c>
      <c r="B705" s="4">
        <v>41039</v>
      </c>
      <c r="C705" s="5">
        <v>3000</v>
      </c>
      <c r="D705" s="5">
        <v>101</v>
      </c>
      <c r="E705" s="5">
        <v>89.5</v>
      </c>
      <c r="F705" t="s" s="2">
        <v>42</v>
      </c>
      <c r="G705" t="s" s="2">
        <v>42</v>
      </c>
      <c r="H705" s="5">
        <v>326</v>
      </c>
      <c r="I705" t="s" s="2">
        <v>1263</v>
      </c>
      <c r="J705" t="s" s="2">
        <v>22</v>
      </c>
      <c r="K705" t="s" s="2">
        <v>1482</v>
      </c>
      <c r="L705" t="s" s="2">
        <v>1165</v>
      </c>
      <c r="M705" s="5">
        <v>652105.4</v>
      </c>
      <c r="N705" s="5">
        <v>6152744.57</v>
      </c>
      <c r="O705" t="s" s="2">
        <v>305</v>
      </c>
      <c r="P705" s="5">
        <v>60574901</v>
      </c>
      <c r="Q705" t="s" s="2">
        <v>43</v>
      </c>
      <c r="R705" s="5">
        <f>_xlfn.IFERROR(INDEX('model_byCAP'!$D$2:$D$377,MATCH(Q705,'model_byCAP'!$A$2:$A$377,0)),0)</f>
        <v>0</v>
      </c>
    </row>
    <row r="706" ht="15.35" customHeight="1">
      <c r="A706" t="s" s="2">
        <v>1488</v>
      </c>
      <c r="B706" s="4">
        <v>41045</v>
      </c>
      <c r="C706" s="5">
        <v>3000</v>
      </c>
      <c r="D706" s="5">
        <v>101</v>
      </c>
      <c r="E706" s="5">
        <v>89.5</v>
      </c>
      <c r="F706" t="s" s="2">
        <v>42</v>
      </c>
      <c r="G706" t="s" s="2">
        <v>42</v>
      </c>
      <c r="H706" s="5">
        <v>326</v>
      </c>
      <c r="I706" t="s" s="2">
        <v>1263</v>
      </c>
      <c r="J706" t="s" s="2">
        <v>22</v>
      </c>
      <c r="K706" t="s" s="2">
        <v>1482</v>
      </c>
      <c r="L706" t="s" s="2">
        <v>1165</v>
      </c>
      <c r="M706" s="5">
        <v>652358.8199999999</v>
      </c>
      <c r="N706" s="5">
        <v>6152578.59</v>
      </c>
      <c r="O706" t="s" s="2">
        <v>305</v>
      </c>
      <c r="P706" s="5">
        <v>60574903</v>
      </c>
      <c r="Q706" t="s" s="2">
        <v>43</v>
      </c>
      <c r="R706" s="5">
        <f>_xlfn.IFERROR(INDEX('model_byCAP'!$D$2:$D$377,MATCH(Q706,'model_byCAP'!$A$2:$A$377,0)),0)</f>
        <v>0</v>
      </c>
    </row>
    <row r="707" ht="15.35" customHeight="1">
      <c r="A707" t="s" s="2">
        <v>1489</v>
      </c>
      <c r="B707" s="4">
        <v>40114</v>
      </c>
      <c r="C707" s="5">
        <v>3000</v>
      </c>
      <c r="D707" s="5">
        <v>90</v>
      </c>
      <c r="E707" s="5">
        <v>80</v>
      </c>
      <c r="F707" t="s" s="2">
        <v>301</v>
      </c>
      <c r="G707" t="s" s="2">
        <v>1490</v>
      </c>
      <c r="H707" s="5">
        <v>330</v>
      </c>
      <c r="I707" t="s" s="2">
        <v>1491</v>
      </c>
      <c r="J707" t="s" s="2">
        <v>47</v>
      </c>
      <c r="K707" t="s" s="2">
        <v>42</v>
      </c>
      <c r="L707" s="5">
        <v>0</v>
      </c>
      <c r="M707" s="5">
        <v>625628</v>
      </c>
      <c r="N707" s="5">
        <v>6135118.11</v>
      </c>
      <c r="O707" t="s" s="2">
        <v>1492</v>
      </c>
      <c r="P707" s="5">
        <v>1</v>
      </c>
      <c r="Q707" t="s" s="2">
        <v>1493</v>
      </c>
      <c r="R707" t="s" s="2">
        <f>_xlfn.IFERROR(INDEX('model_byCAP'!$D$2:$D$377,MATCH(Q707,'model_byCAP'!$A$2:$A$377,0)),0)</f>
        <v>1494</v>
      </c>
    </row>
    <row r="708" ht="15.35" customHeight="1">
      <c r="A708" t="s" s="2">
        <v>1495</v>
      </c>
      <c r="B708" s="4">
        <v>40114</v>
      </c>
      <c r="C708" s="5">
        <v>3000</v>
      </c>
      <c r="D708" s="5">
        <v>90</v>
      </c>
      <c r="E708" s="5">
        <v>80</v>
      </c>
      <c r="F708" t="s" s="2">
        <v>301</v>
      </c>
      <c r="G708" t="s" s="2">
        <v>1490</v>
      </c>
      <c r="H708" s="5">
        <v>330</v>
      </c>
      <c r="I708" t="s" s="2">
        <v>1491</v>
      </c>
      <c r="J708" t="s" s="2">
        <v>47</v>
      </c>
      <c r="K708" t="s" s="2">
        <v>42</v>
      </c>
      <c r="L708" s="5">
        <v>0</v>
      </c>
      <c r="M708" s="5">
        <v>625193.1899999999</v>
      </c>
      <c r="N708" s="5">
        <v>6135007.6</v>
      </c>
      <c r="O708" t="s" s="2">
        <v>1492</v>
      </c>
      <c r="P708" s="5">
        <v>1</v>
      </c>
      <c r="Q708" t="s" s="2">
        <v>1493</v>
      </c>
      <c r="R708" t="s" s="2">
        <f>_xlfn.IFERROR(INDEX('model_byCAP'!$D$2:$D$377,MATCH(Q708,'model_byCAP'!$A$2:$A$377,0)),0)</f>
        <v>1494</v>
      </c>
    </row>
    <row r="709" ht="15.35" customHeight="1">
      <c r="A709" t="s" s="2">
        <v>1496</v>
      </c>
      <c r="B709" s="4">
        <v>40114</v>
      </c>
      <c r="C709" s="5">
        <v>3000</v>
      </c>
      <c r="D709" s="5">
        <v>90</v>
      </c>
      <c r="E709" s="5">
        <v>80</v>
      </c>
      <c r="F709" t="s" s="2">
        <v>301</v>
      </c>
      <c r="G709" t="s" s="2">
        <v>1490</v>
      </c>
      <c r="H709" s="5">
        <v>330</v>
      </c>
      <c r="I709" t="s" s="2">
        <v>1491</v>
      </c>
      <c r="J709" t="s" s="2">
        <v>47</v>
      </c>
      <c r="K709" t="s" s="2">
        <v>42</v>
      </c>
      <c r="L709" s="5">
        <v>0</v>
      </c>
      <c r="M709" s="5">
        <v>624757.1899999999</v>
      </c>
      <c r="N709" s="5">
        <v>6134897.6</v>
      </c>
      <c r="O709" t="s" s="2">
        <v>1492</v>
      </c>
      <c r="P709" s="5">
        <v>1</v>
      </c>
      <c r="Q709" t="s" s="2">
        <v>1493</v>
      </c>
      <c r="R709" t="s" s="2">
        <f>_xlfn.IFERROR(INDEX('model_byCAP'!$D$2:$D$377,MATCH(Q709,'model_byCAP'!$A$2:$A$377,0)),0)</f>
        <v>1494</v>
      </c>
    </row>
    <row r="710" ht="15.35" customHeight="1">
      <c r="A710" t="s" s="2">
        <v>1497</v>
      </c>
      <c r="B710" s="4">
        <v>40114</v>
      </c>
      <c r="C710" s="5">
        <v>3000</v>
      </c>
      <c r="D710" s="5">
        <v>90</v>
      </c>
      <c r="E710" s="5">
        <v>80</v>
      </c>
      <c r="F710" t="s" s="2">
        <v>301</v>
      </c>
      <c r="G710" t="s" s="2">
        <v>1490</v>
      </c>
      <c r="H710" s="5">
        <v>330</v>
      </c>
      <c r="I710" t="s" s="2">
        <v>1491</v>
      </c>
      <c r="J710" t="s" s="2">
        <v>47</v>
      </c>
      <c r="K710" t="s" s="2">
        <v>42</v>
      </c>
      <c r="L710" s="5">
        <v>0</v>
      </c>
      <c r="M710" s="5">
        <v>624321.12</v>
      </c>
      <c r="N710" s="5">
        <v>6134788.11</v>
      </c>
      <c r="O710" t="s" s="2">
        <v>1492</v>
      </c>
      <c r="P710" s="5">
        <v>1</v>
      </c>
      <c r="Q710" t="s" s="2">
        <v>1493</v>
      </c>
      <c r="R710" t="s" s="2">
        <f>_xlfn.IFERROR(INDEX('model_byCAP'!$D$2:$D$377,MATCH(Q710,'model_byCAP'!$A$2:$A$377,0)),0)</f>
        <v>1494</v>
      </c>
    </row>
    <row r="711" ht="15.35" customHeight="1">
      <c r="A711" t="s" s="2">
        <v>1498</v>
      </c>
      <c r="B711" s="4">
        <v>40114</v>
      </c>
      <c r="C711" s="5">
        <v>3000</v>
      </c>
      <c r="D711" s="5">
        <v>90</v>
      </c>
      <c r="E711" s="5">
        <v>80</v>
      </c>
      <c r="F711" t="s" s="2">
        <v>301</v>
      </c>
      <c r="G711" t="s" s="2">
        <v>1490</v>
      </c>
      <c r="H711" s="5">
        <v>330</v>
      </c>
      <c r="I711" t="s" s="2">
        <v>1491</v>
      </c>
      <c r="J711" t="s" s="2">
        <v>47</v>
      </c>
      <c r="K711" t="s" s="2">
        <v>42</v>
      </c>
      <c r="L711" s="5">
        <v>0</v>
      </c>
      <c r="M711" s="5">
        <v>623885.1899999999</v>
      </c>
      <c r="N711" s="5">
        <v>6134677.61</v>
      </c>
      <c r="O711" t="s" s="2">
        <v>1492</v>
      </c>
      <c r="P711" s="5">
        <v>1</v>
      </c>
      <c r="Q711" t="s" s="2">
        <v>1493</v>
      </c>
      <c r="R711" t="s" s="2">
        <f>_xlfn.IFERROR(INDEX('model_byCAP'!$D$2:$D$377,MATCH(Q711,'model_byCAP'!$A$2:$A$377,0)),0)</f>
        <v>1494</v>
      </c>
    </row>
    <row r="712" ht="15.35" customHeight="1">
      <c r="A712" t="s" s="2">
        <v>1499</v>
      </c>
      <c r="B712" s="4">
        <v>40114</v>
      </c>
      <c r="C712" s="5">
        <v>3000</v>
      </c>
      <c r="D712" s="5">
        <v>90</v>
      </c>
      <c r="E712" s="5">
        <v>80</v>
      </c>
      <c r="F712" t="s" s="2">
        <v>301</v>
      </c>
      <c r="G712" t="s" s="2">
        <v>1490</v>
      </c>
      <c r="H712" s="5">
        <v>330</v>
      </c>
      <c r="I712" t="s" s="2">
        <v>1491</v>
      </c>
      <c r="J712" t="s" s="2">
        <v>47</v>
      </c>
      <c r="K712" t="s" s="2">
        <v>42</v>
      </c>
      <c r="L712" s="5">
        <v>0</v>
      </c>
      <c r="M712" s="5">
        <v>623448.1899999999</v>
      </c>
      <c r="N712" s="5">
        <v>6134567.6</v>
      </c>
      <c r="O712" t="s" s="2">
        <v>1492</v>
      </c>
      <c r="P712" s="5">
        <v>1</v>
      </c>
      <c r="Q712" t="s" s="2">
        <v>1493</v>
      </c>
      <c r="R712" t="s" s="2">
        <f>_xlfn.IFERROR(INDEX('model_byCAP'!$D$2:$D$377,MATCH(Q712,'model_byCAP'!$A$2:$A$377,0)),0)</f>
        <v>1494</v>
      </c>
    </row>
    <row r="713" ht="15.35" customHeight="1">
      <c r="A713" t="s" s="2">
        <v>1500</v>
      </c>
      <c r="B713" s="4">
        <v>40114</v>
      </c>
      <c r="C713" s="5">
        <v>3000</v>
      </c>
      <c r="D713" s="5">
        <v>90</v>
      </c>
      <c r="E713" s="5">
        <v>80</v>
      </c>
      <c r="F713" t="s" s="2">
        <v>301</v>
      </c>
      <c r="G713" t="s" s="2">
        <v>1490</v>
      </c>
      <c r="H713" s="5">
        <v>330</v>
      </c>
      <c r="I713" t="s" s="2">
        <v>1491</v>
      </c>
      <c r="J713" t="s" s="2">
        <v>47</v>
      </c>
      <c r="K713" t="s" s="2">
        <v>42</v>
      </c>
      <c r="L713" s="5">
        <v>0</v>
      </c>
      <c r="M713" s="5">
        <v>623011.9399999999</v>
      </c>
      <c r="N713" s="5">
        <v>6134457.11</v>
      </c>
      <c r="O713" t="s" s="2">
        <v>1492</v>
      </c>
      <c r="P713" s="5">
        <v>1</v>
      </c>
      <c r="Q713" t="s" s="2">
        <v>1493</v>
      </c>
      <c r="R713" t="s" s="2">
        <f>_xlfn.IFERROR(INDEX('model_byCAP'!$D$2:$D$377,MATCH(Q713,'model_byCAP'!$A$2:$A$377,0)),0)</f>
        <v>1494</v>
      </c>
    </row>
    <row r="714" ht="15.35" customHeight="1">
      <c r="A714" t="s" s="2">
        <v>1501</v>
      </c>
      <c r="B714" s="4">
        <v>37611</v>
      </c>
      <c r="C714" s="5">
        <v>3000</v>
      </c>
      <c r="D714" s="5">
        <v>90</v>
      </c>
      <c r="E714" s="5">
        <v>80</v>
      </c>
      <c r="F714" t="s" s="2">
        <v>301</v>
      </c>
      <c r="G714" t="s" s="2">
        <v>1502</v>
      </c>
      <c r="H714" s="5">
        <v>360</v>
      </c>
      <c r="I714" t="s" s="2">
        <v>463</v>
      </c>
      <c r="J714" t="s" s="2">
        <v>22</v>
      </c>
      <c r="K714" t="s" s="2">
        <v>1503</v>
      </c>
      <c r="L714" t="s" s="2">
        <v>1504</v>
      </c>
      <c r="M714" s="5">
        <v>635589.29</v>
      </c>
      <c r="N714" s="5">
        <v>6076241.83</v>
      </c>
      <c r="O714" t="s" s="2">
        <v>305</v>
      </c>
      <c r="P714" s="5">
        <v>2001376</v>
      </c>
      <c r="Q714" t="s" s="2">
        <v>1505</v>
      </c>
      <c r="R714" t="s" s="2">
        <f>_xlfn.IFERROR(INDEX('model_byCAP'!$D$2:$D$377,MATCH(Q714,'model_byCAP'!$A$2:$A$377,0)),0)</f>
        <v>1494</v>
      </c>
    </row>
    <row r="715" ht="15.35" customHeight="1">
      <c r="A715" t="s" s="2">
        <v>1506</v>
      </c>
      <c r="B715" s="4">
        <v>37611</v>
      </c>
      <c r="C715" s="5">
        <v>3000</v>
      </c>
      <c r="D715" s="5">
        <v>90</v>
      </c>
      <c r="E715" s="5">
        <v>80</v>
      </c>
      <c r="F715" t="s" s="2">
        <v>301</v>
      </c>
      <c r="G715" t="s" s="2">
        <v>1502</v>
      </c>
      <c r="H715" s="5">
        <v>360</v>
      </c>
      <c r="I715" t="s" s="2">
        <v>463</v>
      </c>
      <c r="J715" t="s" s="2">
        <v>22</v>
      </c>
      <c r="K715" t="s" s="2">
        <v>1503</v>
      </c>
      <c r="L715" t="s" s="2">
        <v>1504</v>
      </c>
      <c r="M715" s="5">
        <v>635437.62</v>
      </c>
      <c r="N715" s="5">
        <v>6076487.46</v>
      </c>
      <c r="O715" t="s" s="2">
        <v>305</v>
      </c>
      <c r="P715" s="5">
        <v>2001372</v>
      </c>
      <c r="Q715" t="s" s="2">
        <v>1505</v>
      </c>
      <c r="R715" t="s" s="2">
        <f>_xlfn.IFERROR(INDEX('model_byCAP'!$D$2:$D$377,MATCH(Q715,'model_byCAP'!$A$2:$A$377,0)),0)</f>
        <v>1494</v>
      </c>
    </row>
    <row r="716" ht="15.35" customHeight="1">
      <c r="A716" t="s" s="2">
        <v>1507</v>
      </c>
      <c r="B716" s="4">
        <v>37611</v>
      </c>
      <c r="C716" s="5">
        <v>3000</v>
      </c>
      <c r="D716" s="5">
        <v>90</v>
      </c>
      <c r="E716" s="5">
        <v>80</v>
      </c>
      <c r="F716" t="s" s="2">
        <v>301</v>
      </c>
      <c r="G716" t="s" s="2">
        <v>1502</v>
      </c>
      <c r="H716" s="5">
        <v>360</v>
      </c>
      <c r="I716" t="s" s="2">
        <v>463</v>
      </c>
      <c r="J716" t="s" s="2">
        <v>22</v>
      </c>
      <c r="K716" t="s" s="2">
        <v>1503</v>
      </c>
      <c r="L716" t="s" s="2">
        <v>1504</v>
      </c>
      <c r="M716" s="5">
        <v>635286.52</v>
      </c>
      <c r="N716" s="5">
        <v>6076731.89</v>
      </c>
      <c r="O716" t="s" s="2">
        <v>305</v>
      </c>
      <c r="P716" s="5">
        <v>2001371</v>
      </c>
      <c r="Q716" t="s" s="2">
        <v>1505</v>
      </c>
      <c r="R716" t="s" s="2">
        <f>_xlfn.IFERROR(INDEX('model_byCAP'!$D$2:$D$377,MATCH(Q716,'model_byCAP'!$A$2:$A$377,0)),0)</f>
        <v>1494</v>
      </c>
    </row>
    <row r="717" ht="15.35" customHeight="1">
      <c r="A717" t="s" s="2">
        <v>1508</v>
      </c>
      <c r="B717" s="4">
        <v>41670</v>
      </c>
      <c r="C717" s="5">
        <v>3000</v>
      </c>
      <c r="D717" s="5">
        <v>113</v>
      </c>
      <c r="E717" s="5">
        <v>93</v>
      </c>
      <c r="F717" t="s" s="2">
        <v>19</v>
      </c>
      <c r="G717" t="s" s="2">
        <v>1509</v>
      </c>
      <c r="H717" s="5">
        <v>360</v>
      </c>
      <c r="I717" t="s" s="2">
        <v>463</v>
      </c>
      <c r="J717" t="s" s="2">
        <v>22</v>
      </c>
      <c r="K717" t="s" s="2">
        <v>1510</v>
      </c>
      <c r="L717" t="s" s="2">
        <v>1161</v>
      </c>
      <c r="M717" s="5">
        <v>638899.6</v>
      </c>
      <c r="N717" s="5">
        <v>6090476.33</v>
      </c>
      <c r="O717" t="s" s="2">
        <v>305</v>
      </c>
      <c r="P717" s="5">
        <v>60701737</v>
      </c>
      <c r="Q717" t="s" s="2">
        <v>1511</v>
      </c>
      <c r="R717" t="s" s="2">
        <f>_xlfn.IFERROR(INDEX('model_byCAP'!$D$2:$D$377,MATCH(Q717,'model_byCAP'!$A$2:$A$377,0)),0)</f>
        <v>1293</v>
      </c>
    </row>
    <row r="718" ht="15.35" customHeight="1">
      <c r="A718" t="s" s="2">
        <v>1512</v>
      </c>
      <c r="B718" s="4">
        <v>41676</v>
      </c>
      <c r="C718" s="5">
        <v>3000</v>
      </c>
      <c r="D718" s="5">
        <v>113</v>
      </c>
      <c r="E718" s="5">
        <v>93</v>
      </c>
      <c r="F718" t="s" s="2">
        <v>19</v>
      </c>
      <c r="G718" t="s" s="2">
        <v>1509</v>
      </c>
      <c r="H718" s="5">
        <v>360</v>
      </c>
      <c r="I718" t="s" s="2">
        <v>463</v>
      </c>
      <c r="J718" t="s" s="2">
        <v>22</v>
      </c>
      <c r="K718" t="s" s="2">
        <v>1510</v>
      </c>
      <c r="L718" t="s" s="2">
        <v>1161</v>
      </c>
      <c r="M718" s="5">
        <v>639037</v>
      </c>
      <c r="N718" s="5">
        <v>6090156</v>
      </c>
      <c r="O718" t="s" s="2">
        <v>305</v>
      </c>
      <c r="P718" s="5">
        <v>60701741</v>
      </c>
      <c r="Q718" t="s" s="2">
        <v>1511</v>
      </c>
      <c r="R718" t="s" s="2">
        <f>_xlfn.IFERROR(INDEX('model_byCAP'!$D$2:$D$377,MATCH(Q718,'model_byCAP'!$A$2:$A$377,0)),0)</f>
        <v>1293</v>
      </c>
    </row>
    <row r="719" ht="15.35" customHeight="1">
      <c r="A719" t="s" s="2">
        <v>1513</v>
      </c>
      <c r="B719" s="4">
        <v>41670</v>
      </c>
      <c r="C719" s="5">
        <v>3000</v>
      </c>
      <c r="D719" s="5">
        <v>113</v>
      </c>
      <c r="E719" s="5">
        <v>93</v>
      </c>
      <c r="F719" t="s" s="2">
        <v>19</v>
      </c>
      <c r="G719" t="s" s="2">
        <v>1509</v>
      </c>
      <c r="H719" s="5">
        <v>360</v>
      </c>
      <c r="I719" t="s" s="2">
        <v>463</v>
      </c>
      <c r="J719" t="s" s="2">
        <v>22</v>
      </c>
      <c r="K719" t="s" s="2">
        <v>1510</v>
      </c>
      <c r="L719" t="s" s="2">
        <v>1161</v>
      </c>
      <c r="M719" s="5">
        <v>639176.6</v>
      </c>
      <c r="N719" s="5">
        <v>6089833.16</v>
      </c>
      <c r="O719" t="s" s="2">
        <v>305</v>
      </c>
      <c r="P719" s="5">
        <v>60701743</v>
      </c>
      <c r="Q719" t="s" s="2">
        <v>1511</v>
      </c>
      <c r="R719" t="s" s="2">
        <f>_xlfn.IFERROR(INDEX('model_byCAP'!$D$2:$D$377,MATCH(Q719,'model_byCAP'!$A$2:$A$377,0)),0)</f>
        <v>1293</v>
      </c>
    </row>
    <row r="720" ht="15.35" customHeight="1">
      <c r="A720" t="s" s="2">
        <v>1514</v>
      </c>
      <c r="B720" s="4">
        <v>41677</v>
      </c>
      <c r="C720" s="5">
        <v>3000</v>
      </c>
      <c r="D720" s="5">
        <v>113</v>
      </c>
      <c r="E720" s="5">
        <v>93</v>
      </c>
      <c r="F720" t="s" s="2">
        <v>19</v>
      </c>
      <c r="G720" t="s" s="2">
        <v>1509</v>
      </c>
      <c r="H720" s="5">
        <v>360</v>
      </c>
      <c r="I720" t="s" s="2">
        <v>463</v>
      </c>
      <c r="J720" t="s" s="2">
        <v>22</v>
      </c>
      <c r="K720" t="s" s="2">
        <v>1515</v>
      </c>
      <c r="L720" s="5">
        <v>9</v>
      </c>
      <c r="M720" s="5">
        <v>639315</v>
      </c>
      <c r="N720" s="5">
        <v>6089511</v>
      </c>
      <c r="O720" t="s" s="2">
        <v>305</v>
      </c>
      <c r="P720" s="5">
        <v>60701745</v>
      </c>
      <c r="Q720" t="s" s="2">
        <v>1511</v>
      </c>
      <c r="R720" t="s" s="2">
        <f>_xlfn.IFERROR(INDEX('model_byCAP'!$D$2:$D$377,MATCH(Q720,'model_byCAP'!$A$2:$A$377,0)),0)</f>
        <v>1293</v>
      </c>
    </row>
    <row r="721" ht="15.35" customHeight="1">
      <c r="A721" t="s" s="2">
        <v>1516</v>
      </c>
      <c r="B721" s="4">
        <v>41694</v>
      </c>
      <c r="C721" s="5">
        <v>3000</v>
      </c>
      <c r="D721" s="5">
        <v>113</v>
      </c>
      <c r="E721" s="5">
        <v>93</v>
      </c>
      <c r="F721" t="s" s="2">
        <v>19</v>
      </c>
      <c r="G721" t="s" s="2">
        <v>1509</v>
      </c>
      <c r="H721" s="5">
        <v>360</v>
      </c>
      <c r="I721" t="s" s="2">
        <v>463</v>
      </c>
      <c r="J721" t="s" s="2">
        <v>22</v>
      </c>
      <c r="K721" t="s" s="2">
        <v>1517</v>
      </c>
      <c r="L721" t="s" s="2">
        <v>1161</v>
      </c>
      <c r="M721" s="5">
        <v>639454</v>
      </c>
      <c r="N721" s="5">
        <v>6089190</v>
      </c>
      <c r="O721" t="s" s="2">
        <v>305</v>
      </c>
      <c r="P721" s="5">
        <v>60701747</v>
      </c>
      <c r="Q721" t="s" s="2">
        <v>1511</v>
      </c>
      <c r="R721" t="s" s="2">
        <f>_xlfn.IFERROR(INDEX('model_byCAP'!$D$2:$D$377,MATCH(Q721,'model_byCAP'!$A$2:$A$377,0)),0)</f>
        <v>1293</v>
      </c>
    </row>
    <row r="722" ht="15.35" customHeight="1">
      <c r="A722" t="s" s="2">
        <v>1518</v>
      </c>
      <c r="B722" s="4">
        <v>41914</v>
      </c>
      <c r="C722" s="5">
        <v>3000</v>
      </c>
      <c r="D722" s="5">
        <v>101</v>
      </c>
      <c r="E722" s="5">
        <v>89.5</v>
      </c>
      <c r="F722" t="s" s="2">
        <v>19</v>
      </c>
      <c r="G722" t="s" s="2">
        <v>1289</v>
      </c>
      <c r="H722" s="5">
        <v>360</v>
      </c>
      <c r="I722" t="s" s="2">
        <v>463</v>
      </c>
      <c r="J722" t="s" s="2">
        <v>22</v>
      </c>
      <c r="K722" t="s" s="2">
        <v>1519</v>
      </c>
      <c r="L722" t="s" s="2">
        <v>546</v>
      </c>
      <c r="M722" s="5">
        <v>647897</v>
      </c>
      <c r="N722" s="5">
        <v>6078512</v>
      </c>
      <c r="O722" t="s" s="2">
        <v>305</v>
      </c>
      <c r="P722" s="5">
        <v>60709673</v>
      </c>
      <c r="Q722" t="s" s="2">
        <v>1292</v>
      </c>
      <c r="R722" t="s" s="2">
        <f>_xlfn.IFERROR(INDEX('model_byCAP'!$D$2:$D$377,MATCH(Q722,'model_byCAP'!$A$2:$A$377,0)),0)</f>
        <v>1293</v>
      </c>
    </row>
    <row r="723" ht="15.35" customHeight="1">
      <c r="A723" t="s" s="2">
        <v>1520</v>
      </c>
      <c r="B723" s="4">
        <v>41912</v>
      </c>
      <c r="C723" s="5">
        <v>3000</v>
      </c>
      <c r="D723" s="5">
        <v>101</v>
      </c>
      <c r="E723" s="5">
        <v>89.5</v>
      </c>
      <c r="F723" t="s" s="2">
        <v>19</v>
      </c>
      <c r="G723" t="s" s="2">
        <v>1289</v>
      </c>
      <c r="H723" s="5">
        <v>360</v>
      </c>
      <c r="I723" t="s" s="2">
        <v>463</v>
      </c>
      <c r="J723" t="s" s="2">
        <v>22</v>
      </c>
      <c r="K723" t="s" s="2">
        <v>1519</v>
      </c>
      <c r="L723" t="s" s="2">
        <v>546</v>
      </c>
      <c r="M723" s="5">
        <v>647806</v>
      </c>
      <c r="N723" s="5">
        <v>6078870</v>
      </c>
      <c r="O723" t="s" s="2">
        <v>305</v>
      </c>
      <c r="P723" s="5">
        <v>60709669</v>
      </c>
      <c r="Q723" t="s" s="2">
        <v>1292</v>
      </c>
      <c r="R723" t="s" s="2">
        <f>_xlfn.IFERROR(INDEX('model_byCAP'!$D$2:$D$377,MATCH(Q723,'model_byCAP'!$A$2:$A$377,0)),0)</f>
        <v>1293</v>
      </c>
    </row>
    <row r="724" ht="15.35" customHeight="1">
      <c r="A724" t="s" s="2">
        <v>1521</v>
      </c>
      <c r="B724" s="4">
        <v>41904</v>
      </c>
      <c r="C724" s="5">
        <v>3000</v>
      </c>
      <c r="D724" s="5">
        <v>101</v>
      </c>
      <c r="E724" s="5">
        <v>89.5</v>
      </c>
      <c r="F724" t="s" s="2">
        <v>19</v>
      </c>
      <c r="G724" t="s" s="2">
        <v>1289</v>
      </c>
      <c r="H724" s="5">
        <v>360</v>
      </c>
      <c r="I724" t="s" s="2">
        <v>463</v>
      </c>
      <c r="J724" t="s" s="2">
        <v>22</v>
      </c>
      <c r="K724" t="s" s="2">
        <v>1519</v>
      </c>
      <c r="L724" t="s" s="2">
        <v>546</v>
      </c>
      <c r="M724" s="5">
        <v>647715</v>
      </c>
      <c r="N724" s="5">
        <v>6079228</v>
      </c>
      <c r="O724" t="s" s="2">
        <v>305</v>
      </c>
      <c r="P724" s="5">
        <v>60709677</v>
      </c>
      <c r="Q724" t="s" s="2">
        <v>1292</v>
      </c>
      <c r="R724" t="s" s="2">
        <f>_xlfn.IFERROR(INDEX('model_byCAP'!$D$2:$D$377,MATCH(Q724,'model_byCAP'!$A$2:$A$377,0)),0)</f>
        <v>1293</v>
      </c>
    </row>
    <row r="725" ht="15.35" customHeight="1">
      <c r="A725" t="s" s="2">
        <v>1522</v>
      </c>
      <c r="B725" s="4">
        <v>40532</v>
      </c>
      <c r="C725" s="5">
        <v>3000</v>
      </c>
      <c r="D725" s="5">
        <v>101</v>
      </c>
      <c r="E725" s="5">
        <v>90</v>
      </c>
      <c r="F725" t="s" s="2">
        <v>19</v>
      </c>
      <c r="G725" t="s" s="2">
        <v>1289</v>
      </c>
      <c r="H725" s="5">
        <v>482</v>
      </c>
      <c r="I725" t="s" s="2">
        <v>1523</v>
      </c>
      <c r="J725" t="s" s="2">
        <v>22</v>
      </c>
      <c r="K725" t="s" s="2">
        <v>1524</v>
      </c>
      <c r="L725" t="s" s="2">
        <v>440</v>
      </c>
      <c r="M725" s="5">
        <v>621401.99</v>
      </c>
      <c r="N725" s="5">
        <v>6099065.87</v>
      </c>
      <c r="O725" t="s" s="2">
        <v>305</v>
      </c>
      <c r="P725" s="5">
        <v>32565103</v>
      </c>
      <c r="Q725" t="s" s="2">
        <v>1292</v>
      </c>
      <c r="R725" t="s" s="2">
        <f>_xlfn.IFERROR(INDEX('model_byCAP'!$D$2:$D$377,MATCH(Q725,'model_byCAP'!$A$2:$A$377,0)),0)</f>
        <v>1293</v>
      </c>
    </row>
    <row r="726" ht="15.35" customHeight="1">
      <c r="A726" t="s" s="2">
        <v>1525</v>
      </c>
      <c r="B726" s="4">
        <v>40546</v>
      </c>
      <c r="C726" s="5">
        <v>3000</v>
      </c>
      <c r="D726" s="5">
        <v>101</v>
      </c>
      <c r="E726" s="5">
        <v>80</v>
      </c>
      <c r="F726" t="s" s="2">
        <v>19</v>
      </c>
      <c r="G726" t="s" s="2">
        <v>1289</v>
      </c>
      <c r="H726" s="5">
        <v>482</v>
      </c>
      <c r="I726" t="s" s="2">
        <v>1523</v>
      </c>
      <c r="J726" t="s" s="2">
        <v>22</v>
      </c>
      <c r="K726" t="s" s="2">
        <v>1524</v>
      </c>
      <c r="L726" t="s" s="2">
        <v>1526</v>
      </c>
      <c r="M726" s="5">
        <v>621331.91</v>
      </c>
      <c r="N726" s="5">
        <v>6098747.69</v>
      </c>
      <c r="O726" t="s" s="2">
        <v>305</v>
      </c>
      <c r="P726" s="5">
        <v>32565105</v>
      </c>
      <c r="Q726" t="s" s="2">
        <v>1292</v>
      </c>
      <c r="R726" t="s" s="2">
        <f>_xlfn.IFERROR(INDEX('model_byCAP'!$D$2:$D$377,MATCH(Q726,'model_byCAP'!$A$2:$A$377,0)),0)</f>
        <v>1293</v>
      </c>
    </row>
    <row r="727" ht="15.35" customHeight="1">
      <c r="A727" t="s" s="2">
        <v>1527</v>
      </c>
      <c r="B727" s="4">
        <v>40539</v>
      </c>
      <c r="C727" s="5">
        <v>3000</v>
      </c>
      <c r="D727" s="5">
        <v>101</v>
      </c>
      <c r="E727" s="5">
        <v>80</v>
      </c>
      <c r="F727" t="s" s="2">
        <v>19</v>
      </c>
      <c r="G727" t="s" s="2">
        <v>1289</v>
      </c>
      <c r="H727" s="5">
        <v>482</v>
      </c>
      <c r="I727" t="s" s="2">
        <v>1523</v>
      </c>
      <c r="J727" t="s" s="2">
        <v>22</v>
      </c>
      <c r="K727" t="s" s="2">
        <v>1524</v>
      </c>
      <c r="L727" t="s" s="2">
        <v>1528</v>
      </c>
      <c r="M727" s="5">
        <v>621261.14</v>
      </c>
      <c r="N727" s="5">
        <v>6098428.77</v>
      </c>
      <c r="O727" t="s" s="2">
        <v>305</v>
      </c>
      <c r="P727" s="5">
        <v>32565102</v>
      </c>
      <c r="Q727" t="s" s="2">
        <v>1292</v>
      </c>
      <c r="R727" t="s" s="2">
        <f>_xlfn.IFERROR(INDEX('model_byCAP'!$D$2:$D$377,MATCH(Q727,'model_byCAP'!$A$2:$A$377,0)),0)</f>
        <v>1293</v>
      </c>
    </row>
    <row r="728" ht="15.35" customHeight="1">
      <c r="A728" t="s" s="2">
        <v>1529</v>
      </c>
      <c r="B728" s="4">
        <v>41233</v>
      </c>
      <c r="C728" s="5">
        <v>3000</v>
      </c>
      <c r="D728" s="5">
        <v>90</v>
      </c>
      <c r="E728" s="5">
        <v>80</v>
      </c>
      <c r="F728" t="s" s="2">
        <v>301</v>
      </c>
      <c r="G728" t="s" s="2">
        <v>1502</v>
      </c>
      <c r="H728" s="5">
        <v>530</v>
      </c>
      <c r="I728" t="s" s="2">
        <v>1357</v>
      </c>
      <c r="J728" t="s" s="2">
        <v>22</v>
      </c>
      <c r="K728" t="s" s="2">
        <v>1530</v>
      </c>
      <c r="L728" t="s" s="2">
        <v>481</v>
      </c>
      <c r="M728" s="5">
        <v>503496.19</v>
      </c>
      <c r="N728" s="5">
        <v>6169445.68</v>
      </c>
      <c r="O728" t="s" s="2">
        <v>305</v>
      </c>
      <c r="P728" s="5">
        <v>344238861</v>
      </c>
      <c r="Q728" t="s" s="2">
        <v>1505</v>
      </c>
      <c r="R728" t="s" s="2">
        <f>_xlfn.IFERROR(INDEX('model_byCAP'!$D$2:$D$377,MATCH(Q728,'model_byCAP'!$A$2:$A$377,0)),0)</f>
        <v>1494</v>
      </c>
    </row>
    <row r="729" ht="15.35" customHeight="1">
      <c r="A729" t="s" s="2">
        <v>1531</v>
      </c>
      <c r="B729" s="4">
        <v>41233</v>
      </c>
      <c r="C729" s="5">
        <v>3000</v>
      </c>
      <c r="D729" s="5">
        <v>90</v>
      </c>
      <c r="E729" s="5">
        <v>80</v>
      </c>
      <c r="F729" t="s" s="2">
        <v>301</v>
      </c>
      <c r="G729" t="s" s="2">
        <v>1502</v>
      </c>
      <c r="H729" s="5">
        <v>530</v>
      </c>
      <c r="I729" t="s" s="2">
        <v>1357</v>
      </c>
      <c r="J729" t="s" s="2">
        <v>22</v>
      </c>
      <c r="K729" t="s" s="2">
        <v>1530</v>
      </c>
      <c r="L729" t="s" s="2">
        <v>481</v>
      </c>
      <c r="M729" s="5">
        <v>503231.91</v>
      </c>
      <c r="N729" s="5">
        <v>6169583.76</v>
      </c>
      <c r="O729" t="s" s="2">
        <v>305</v>
      </c>
      <c r="P729" s="5">
        <v>344238864</v>
      </c>
      <c r="Q729" t="s" s="2">
        <v>1505</v>
      </c>
      <c r="R729" t="s" s="2">
        <f>_xlfn.IFERROR(INDEX('model_byCAP'!$D$2:$D$377,MATCH(Q729,'model_byCAP'!$A$2:$A$377,0)),0)</f>
        <v>1494</v>
      </c>
    </row>
    <row r="730" ht="15.35" customHeight="1">
      <c r="A730" t="s" s="2">
        <v>1532</v>
      </c>
      <c r="B730" s="4">
        <v>41234</v>
      </c>
      <c r="C730" s="5">
        <v>3000</v>
      </c>
      <c r="D730" s="5">
        <v>90</v>
      </c>
      <c r="E730" s="5">
        <v>80</v>
      </c>
      <c r="F730" t="s" s="2">
        <v>301</v>
      </c>
      <c r="G730" t="s" s="2">
        <v>1502</v>
      </c>
      <c r="H730" s="5">
        <v>530</v>
      </c>
      <c r="I730" t="s" s="2">
        <v>1357</v>
      </c>
      <c r="J730" t="s" s="2">
        <v>22</v>
      </c>
      <c r="K730" t="s" s="2">
        <v>1530</v>
      </c>
      <c r="L730" t="s" s="2">
        <v>524</v>
      </c>
      <c r="M730" s="5">
        <v>502968.3</v>
      </c>
      <c r="N730" s="5">
        <v>6169720.72</v>
      </c>
      <c r="O730" t="s" s="2">
        <v>305</v>
      </c>
      <c r="P730" s="5">
        <v>344238865</v>
      </c>
      <c r="Q730" t="s" s="2">
        <v>1505</v>
      </c>
      <c r="R730" t="s" s="2">
        <f>_xlfn.IFERROR(INDEX('model_byCAP'!$D$2:$D$377,MATCH(Q730,'model_byCAP'!$A$2:$A$377,0)),0)</f>
        <v>1494</v>
      </c>
    </row>
    <row r="731" ht="15.35" customHeight="1">
      <c r="A731" t="s" s="2">
        <v>1533</v>
      </c>
      <c r="B731" s="4">
        <v>41233</v>
      </c>
      <c r="C731" s="5">
        <v>3000</v>
      </c>
      <c r="D731" s="5">
        <v>90</v>
      </c>
      <c r="E731" s="5">
        <v>80</v>
      </c>
      <c r="F731" t="s" s="2">
        <v>301</v>
      </c>
      <c r="G731" t="s" s="2">
        <v>1502</v>
      </c>
      <c r="H731" s="5">
        <v>530</v>
      </c>
      <c r="I731" t="s" s="2">
        <v>1357</v>
      </c>
      <c r="J731" t="s" s="2">
        <v>22</v>
      </c>
      <c r="K731" t="s" s="2">
        <v>1530</v>
      </c>
      <c r="L731" t="s" s="2">
        <v>1534</v>
      </c>
      <c r="M731" s="5">
        <v>502702.81</v>
      </c>
      <c r="N731" s="5">
        <v>6169860.47</v>
      </c>
      <c r="O731" t="s" s="2">
        <v>305</v>
      </c>
      <c r="P731" s="5">
        <v>344238866</v>
      </c>
      <c r="Q731" t="s" s="2">
        <v>1505</v>
      </c>
      <c r="R731" t="s" s="2">
        <f>_xlfn.IFERROR(INDEX('model_byCAP'!$D$2:$D$377,MATCH(Q731,'model_byCAP'!$A$2:$A$377,0)),0)</f>
        <v>1494</v>
      </c>
    </row>
    <row r="732" ht="15.35" customHeight="1">
      <c r="A732" t="s" s="2">
        <v>1535</v>
      </c>
      <c r="B732" s="4">
        <v>41259</v>
      </c>
      <c r="C732" s="5">
        <v>3000</v>
      </c>
      <c r="D732" s="5">
        <v>101</v>
      </c>
      <c r="E732" s="5">
        <v>89.5</v>
      </c>
      <c r="F732" t="s" s="2">
        <v>19</v>
      </c>
      <c r="G732" t="s" s="2">
        <v>1289</v>
      </c>
      <c r="H732" s="5">
        <v>573</v>
      </c>
      <c r="I732" t="s" s="2">
        <v>1041</v>
      </c>
      <c r="J732" t="s" s="2">
        <v>22</v>
      </c>
      <c r="K732" t="s" s="2">
        <v>1536</v>
      </c>
      <c r="L732" t="s" s="2">
        <v>1537</v>
      </c>
      <c r="M732" s="5">
        <v>470396.58</v>
      </c>
      <c r="N732" s="5">
        <v>6171374.46</v>
      </c>
      <c r="O732" t="s" s="2">
        <v>305</v>
      </c>
      <c r="P732" s="5">
        <v>344238870</v>
      </c>
      <c r="Q732" t="s" s="2">
        <v>1292</v>
      </c>
      <c r="R732" t="s" s="2">
        <f>_xlfn.IFERROR(INDEX('model_byCAP'!$D$2:$D$377,MATCH(Q732,'model_byCAP'!$A$2:$A$377,0)),0)</f>
        <v>1293</v>
      </c>
    </row>
    <row r="733" ht="15.35" customHeight="1">
      <c r="A733" t="s" s="2">
        <v>1538</v>
      </c>
      <c r="B733" s="4">
        <v>41255</v>
      </c>
      <c r="C733" s="5">
        <v>3000</v>
      </c>
      <c r="D733" s="5">
        <v>101</v>
      </c>
      <c r="E733" s="5">
        <v>89.5</v>
      </c>
      <c r="F733" t="s" s="2">
        <v>19</v>
      </c>
      <c r="G733" t="s" s="2">
        <v>1289</v>
      </c>
      <c r="H733" s="5">
        <v>573</v>
      </c>
      <c r="I733" t="s" s="2">
        <v>1041</v>
      </c>
      <c r="J733" t="s" s="2">
        <v>22</v>
      </c>
      <c r="K733" t="s" s="2">
        <v>1536</v>
      </c>
      <c r="L733" t="s" s="2">
        <v>941</v>
      </c>
      <c r="M733" s="5">
        <v>470144.36</v>
      </c>
      <c r="N733" s="5">
        <v>6171563.76</v>
      </c>
      <c r="O733" t="s" s="2">
        <v>305</v>
      </c>
      <c r="P733" s="5">
        <v>344238871</v>
      </c>
      <c r="Q733" t="s" s="2">
        <v>1292</v>
      </c>
      <c r="R733" t="s" s="2">
        <f>_xlfn.IFERROR(INDEX('model_byCAP'!$D$2:$D$377,MATCH(Q733,'model_byCAP'!$A$2:$A$377,0)),0)</f>
        <v>1293</v>
      </c>
    </row>
    <row r="734" ht="15.35" customHeight="1">
      <c r="A734" t="s" s="2">
        <v>1539</v>
      </c>
      <c r="B734" s="4">
        <v>41260</v>
      </c>
      <c r="C734" s="5">
        <v>3000</v>
      </c>
      <c r="D734" s="5">
        <v>101</v>
      </c>
      <c r="E734" s="5">
        <v>89.5</v>
      </c>
      <c r="F734" t="s" s="2">
        <v>19</v>
      </c>
      <c r="G734" t="s" s="2">
        <v>1289</v>
      </c>
      <c r="H734" s="5">
        <v>573</v>
      </c>
      <c r="I734" t="s" s="2">
        <v>1041</v>
      </c>
      <c r="J734" t="s" s="2">
        <v>22</v>
      </c>
      <c r="K734" t="s" s="2">
        <v>1536</v>
      </c>
      <c r="L734" t="s" s="2">
        <v>908</v>
      </c>
      <c r="M734" s="5">
        <v>469894.23</v>
      </c>
      <c r="N734" s="5">
        <v>6171752.49</v>
      </c>
      <c r="O734" t="s" s="2">
        <v>305</v>
      </c>
      <c r="P734" s="5">
        <v>344238872</v>
      </c>
      <c r="Q734" t="s" s="2">
        <v>1292</v>
      </c>
      <c r="R734" t="s" s="2">
        <f>_xlfn.IFERROR(INDEX('model_byCAP'!$D$2:$D$377,MATCH(Q734,'model_byCAP'!$A$2:$A$377,0)),0)</f>
        <v>1293</v>
      </c>
    </row>
    <row r="735" ht="15.35" customHeight="1">
      <c r="A735" t="s" s="2">
        <v>1540</v>
      </c>
      <c r="B735" s="4">
        <v>41261</v>
      </c>
      <c r="C735" s="5">
        <v>3000</v>
      </c>
      <c r="D735" s="5">
        <v>101</v>
      </c>
      <c r="E735" s="5">
        <v>89.5</v>
      </c>
      <c r="F735" t="s" s="2">
        <v>19</v>
      </c>
      <c r="G735" t="s" s="2">
        <v>1289</v>
      </c>
      <c r="H735" s="5">
        <v>573</v>
      </c>
      <c r="I735" t="s" s="2">
        <v>1041</v>
      </c>
      <c r="J735" t="s" s="2">
        <v>22</v>
      </c>
      <c r="K735" t="s" s="2">
        <v>1536</v>
      </c>
      <c r="L735" t="s" s="2">
        <v>1147</v>
      </c>
      <c r="M735" s="5">
        <v>469642.7</v>
      </c>
      <c r="N735" s="5">
        <v>6171943.38</v>
      </c>
      <c r="O735" t="s" s="2">
        <v>305</v>
      </c>
      <c r="P735" s="5">
        <v>344238873</v>
      </c>
      <c r="Q735" t="s" s="2">
        <v>1292</v>
      </c>
      <c r="R735" t="s" s="2">
        <f>_xlfn.IFERROR(INDEX('model_byCAP'!$D$2:$D$377,MATCH(Q735,'model_byCAP'!$A$2:$A$377,0)),0)</f>
        <v>1293</v>
      </c>
    </row>
    <row r="736" ht="15.35" customHeight="1">
      <c r="A736" t="s" s="2">
        <v>1541</v>
      </c>
      <c r="B736" s="4">
        <v>40522</v>
      </c>
      <c r="C736" s="5">
        <v>3000</v>
      </c>
      <c r="D736" s="5">
        <v>90</v>
      </c>
      <c r="E736" s="5">
        <v>80</v>
      </c>
      <c r="F736" t="s" s="2">
        <v>301</v>
      </c>
      <c r="G736" t="s" s="2">
        <v>1502</v>
      </c>
      <c r="H736" s="5">
        <v>580</v>
      </c>
      <c r="I736" t="s" s="2">
        <v>1542</v>
      </c>
      <c r="J736" t="s" s="2">
        <v>22</v>
      </c>
      <c r="K736" t="s" s="2">
        <v>1543</v>
      </c>
      <c r="L736" s="5">
        <v>254</v>
      </c>
      <c r="M736" s="5">
        <v>504286.38</v>
      </c>
      <c r="N736" s="5">
        <v>6080646.72</v>
      </c>
      <c r="O736" t="s" s="2">
        <v>305</v>
      </c>
      <c r="P736" s="5">
        <v>44197341</v>
      </c>
      <c r="Q736" t="s" s="2">
        <v>1505</v>
      </c>
      <c r="R736" t="s" s="2">
        <f>_xlfn.IFERROR(INDEX('model_byCAP'!$D$2:$D$377,MATCH(Q736,'model_byCAP'!$A$2:$A$377,0)),0)</f>
        <v>1494</v>
      </c>
    </row>
    <row r="737" ht="15.35" customHeight="1">
      <c r="A737" t="s" s="2">
        <v>1544</v>
      </c>
      <c r="B737" s="4">
        <v>40532</v>
      </c>
      <c r="C737" s="5">
        <v>3000</v>
      </c>
      <c r="D737" s="5">
        <v>90</v>
      </c>
      <c r="E737" s="5">
        <v>80</v>
      </c>
      <c r="F737" t="s" s="2">
        <v>301</v>
      </c>
      <c r="G737" t="s" s="2">
        <v>1502</v>
      </c>
      <c r="H737" s="5">
        <v>580</v>
      </c>
      <c r="I737" t="s" s="2">
        <v>1542</v>
      </c>
      <c r="J737" t="s" s="2">
        <v>22</v>
      </c>
      <c r="K737" t="s" s="2">
        <v>1543</v>
      </c>
      <c r="L737" s="5">
        <v>682</v>
      </c>
      <c r="M737" s="5">
        <v>503915.3</v>
      </c>
      <c r="N737" s="5">
        <v>6080732.18</v>
      </c>
      <c r="O737" t="s" s="2">
        <v>305</v>
      </c>
      <c r="P737" s="5">
        <v>44197342</v>
      </c>
      <c r="Q737" t="s" s="2">
        <v>1505</v>
      </c>
      <c r="R737" t="s" s="2">
        <f>_xlfn.IFERROR(INDEX('model_byCAP'!$D$2:$D$377,MATCH(Q737,'model_byCAP'!$A$2:$A$377,0)),0)</f>
        <v>1494</v>
      </c>
    </row>
    <row r="738" ht="15.35" customHeight="1">
      <c r="A738" t="s" s="2">
        <v>1545</v>
      </c>
      <c r="B738" s="4">
        <v>40522</v>
      </c>
      <c r="C738" s="5">
        <v>3000</v>
      </c>
      <c r="D738" s="5">
        <v>90</v>
      </c>
      <c r="E738" s="5">
        <v>80</v>
      </c>
      <c r="F738" t="s" s="2">
        <v>301</v>
      </c>
      <c r="G738" t="s" s="2">
        <v>1502</v>
      </c>
      <c r="H738" s="5">
        <v>580</v>
      </c>
      <c r="I738" t="s" s="2">
        <v>1542</v>
      </c>
      <c r="J738" t="s" s="2">
        <v>22</v>
      </c>
      <c r="K738" t="s" s="2">
        <v>1543</v>
      </c>
      <c r="L738" s="5">
        <v>762</v>
      </c>
      <c r="M738" s="5">
        <v>503544.91</v>
      </c>
      <c r="N738" s="5">
        <v>6080817.87</v>
      </c>
      <c r="O738" t="s" s="2">
        <v>305</v>
      </c>
      <c r="P738" s="8">
        <v>44197343</v>
      </c>
      <c r="Q738" t="s" s="2">
        <v>1505</v>
      </c>
      <c r="R738" t="s" s="2">
        <f>_xlfn.IFERROR(INDEX('model_byCAP'!$D$2:$D$377,MATCH(Q738,'model_byCAP'!$A$2:$A$377,0)),0)</f>
        <v>1494</v>
      </c>
    </row>
    <row r="739" ht="15.35" customHeight="1">
      <c r="A739" t="s" s="2">
        <v>1546</v>
      </c>
      <c r="B739" s="4">
        <v>40522</v>
      </c>
      <c r="C739" s="5">
        <v>3000</v>
      </c>
      <c r="D739" s="5">
        <v>90</v>
      </c>
      <c r="E739" s="5">
        <v>80</v>
      </c>
      <c r="F739" t="s" s="2">
        <v>301</v>
      </c>
      <c r="G739" t="s" s="2">
        <v>1502</v>
      </c>
      <c r="H739" s="5">
        <v>580</v>
      </c>
      <c r="I739" t="s" s="2">
        <v>1542</v>
      </c>
      <c r="J739" t="s" s="2">
        <v>22</v>
      </c>
      <c r="K739" t="s" s="2">
        <v>1543</v>
      </c>
      <c r="L739" s="5">
        <v>171</v>
      </c>
      <c r="M739" s="5">
        <v>503173.12</v>
      </c>
      <c r="N739" s="5">
        <v>6080903.76</v>
      </c>
      <c r="O739" t="s" s="2">
        <v>305</v>
      </c>
      <c r="P739" s="8">
        <v>44197344</v>
      </c>
      <c r="Q739" t="s" s="2">
        <v>1505</v>
      </c>
      <c r="R739" t="s" s="2">
        <f>_xlfn.IFERROR(INDEX('model_byCAP'!$D$2:$D$377,MATCH(Q739,'model_byCAP'!$A$2:$A$377,0)),0)</f>
        <v>1494</v>
      </c>
    </row>
    <row r="740" ht="15.35" customHeight="1">
      <c r="A740" t="s" s="2">
        <v>1547</v>
      </c>
      <c r="B740" s="4">
        <v>40522</v>
      </c>
      <c r="C740" s="5">
        <v>3000</v>
      </c>
      <c r="D740" s="5">
        <v>90</v>
      </c>
      <c r="E740" s="5">
        <v>80</v>
      </c>
      <c r="F740" t="s" s="2">
        <v>301</v>
      </c>
      <c r="G740" t="s" s="2">
        <v>1502</v>
      </c>
      <c r="H740" s="5">
        <v>580</v>
      </c>
      <c r="I740" t="s" s="2">
        <v>1542</v>
      </c>
      <c r="J740" t="s" s="2">
        <v>22</v>
      </c>
      <c r="K740" t="s" s="2">
        <v>1543</v>
      </c>
      <c r="L740" s="5">
        <v>639</v>
      </c>
      <c r="M740" s="5">
        <v>502802.93</v>
      </c>
      <c r="N740" s="5">
        <v>6080989.34</v>
      </c>
      <c r="O740" t="s" s="2">
        <v>305</v>
      </c>
      <c r="P740" s="8">
        <v>44197345</v>
      </c>
      <c r="Q740" t="s" s="2">
        <v>1505</v>
      </c>
      <c r="R740" t="s" s="2">
        <f>_xlfn.IFERROR(INDEX('model_byCAP'!$D$2:$D$377,MATCH(Q740,'model_byCAP'!$A$2:$A$377,0)),0)</f>
        <v>1494</v>
      </c>
    </row>
    <row r="741" ht="15.35" customHeight="1">
      <c r="A741" t="s" s="2">
        <v>1548</v>
      </c>
      <c r="B741" s="4">
        <v>41402</v>
      </c>
      <c r="C741" s="5">
        <v>3000</v>
      </c>
      <c r="D741" s="5">
        <v>90</v>
      </c>
      <c r="E741" s="5">
        <v>80</v>
      </c>
      <c r="F741" t="s" s="2">
        <v>301</v>
      </c>
      <c r="G741" t="s" s="2">
        <v>1502</v>
      </c>
      <c r="H741" s="5">
        <v>657</v>
      </c>
      <c r="I741" t="s" s="2">
        <v>541</v>
      </c>
      <c r="J741" t="s" s="2">
        <v>22</v>
      </c>
      <c r="K741" t="s" s="2">
        <v>1549</v>
      </c>
      <c r="L741" t="s" s="2">
        <v>1550</v>
      </c>
      <c r="M741" s="5">
        <v>486844.91</v>
      </c>
      <c r="N741" s="5">
        <v>6206735.5</v>
      </c>
      <c r="O741" t="s" s="2">
        <v>305</v>
      </c>
      <c r="P741" s="5">
        <v>4049196</v>
      </c>
      <c r="Q741" t="s" s="2">
        <v>1505</v>
      </c>
      <c r="R741" t="s" s="2">
        <f>_xlfn.IFERROR(INDEX('model_byCAP'!$D$2:$D$377,MATCH(Q741,'model_byCAP'!$A$2:$A$377,0)),0)</f>
        <v>1494</v>
      </c>
    </row>
    <row r="742" ht="15.35" customHeight="1">
      <c r="A742" t="s" s="2">
        <v>1551</v>
      </c>
      <c r="B742" s="4">
        <v>41404</v>
      </c>
      <c r="C742" s="5">
        <v>3000</v>
      </c>
      <c r="D742" s="5">
        <v>90</v>
      </c>
      <c r="E742" s="5">
        <v>80</v>
      </c>
      <c r="F742" t="s" s="2">
        <v>301</v>
      </c>
      <c r="G742" t="s" s="2">
        <v>1502</v>
      </c>
      <c r="H742" s="5">
        <v>657</v>
      </c>
      <c r="I742" t="s" s="2">
        <v>541</v>
      </c>
      <c r="J742" t="s" s="2">
        <v>22</v>
      </c>
      <c r="K742" t="s" s="2">
        <v>1549</v>
      </c>
      <c r="L742" t="s" s="2">
        <v>1552</v>
      </c>
      <c r="M742" s="5">
        <v>486615.69</v>
      </c>
      <c r="N742" s="5">
        <v>6206871.66</v>
      </c>
      <c r="O742" t="s" s="2">
        <v>305</v>
      </c>
      <c r="P742" s="5">
        <v>4049201</v>
      </c>
      <c r="Q742" t="s" s="2">
        <v>1505</v>
      </c>
      <c r="R742" t="s" s="2">
        <f>_xlfn.IFERROR(INDEX('model_byCAP'!$D$2:$D$377,MATCH(Q742,'model_byCAP'!$A$2:$A$377,0)),0)</f>
        <v>1494</v>
      </c>
    </row>
    <row r="743" ht="15.35" customHeight="1">
      <c r="A743" t="s" s="2">
        <v>1553</v>
      </c>
      <c r="B743" s="4">
        <v>41408</v>
      </c>
      <c r="C743" s="5">
        <v>3000</v>
      </c>
      <c r="D743" s="5">
        <v>90</v>
      </c>
      <c r="E743" s="5">
        <v>80</v>
      </c>
      <c r="F743" t="s" s="2">
        <v>301</v>
      </c>
      <c r="G743" t="s" s="2">
        <v>1502</v>
      </c>
      <c r="H743" s="5">
        <v>657</v>
      </c>
      <c r="I743" t="s" s="2">
        <v>541</v>
      </c>
      <c r="J743" t="s" s="2">
        <v>22</v>
      </c>
      <c r="K743" t="s" s="2">
        <v>1549</v>
      </c>
      <c r="L743" t="s" s="2">
        <v>1554</v>
      </c>
      <c r="M743" s="5">
        <v>486386.81</v>
      </c>
      <c r="N743" s="5">
        <v>6207007.66</v>
      </c>
      <c r="O743" t="s" s="2">
        <v>305</v>
      </c>
      <c r="P743" s="5">
        <v>4049203</v>
      </c>
      <c r="Q743" t="s" s="2">
        <v>1505</v>
      </c>
      <c r="R743" t="s" s="2">
        <f>_xlfn.IFERROR(INDEX('model_byCAP'!$D$2:$D$377,MATCH(Q743,'model_byCAP'!$A$2:$A$377,0)),0)</f>
        <v>1494</v>
      </c>
    </row>
    <row r="744" ht="15.35" customHeight="1">
      <c r="A744" t="s" s="2">
        <v>1555</v>
      </c>
      <c r="B744" s="4">
        <v>40149</v>
      </c>
      <c r="C744" s="5">
        <v>3000</v>
      </c>
      <c r="D744" s="5">
        <v>90</v>
      </c>
      <c r="E744" s="5">
        <v>80</v>
      </c>
      <c r="F744" t="s" s="2">
        <v>301</v>
      </c>
      <c r="G744" t="s" s="2">
        <v>1556</v>
      </c>
      <c r="H744" s="5">
        <v>665</v>
      </c>
      <c r="I744" t="s" s="2">
        <v>316</v>
      </c>
      <c r="J744" t="s" s="2">
        <v>22</v>
      </c>
      <c r="K744" t="s" s="2">
        <v>1557</v>
      </c>
      <c r="L744" t="s" s="2">
        <v>198</v>
      </c>
      <c r="M744" s="5">
        <v>453877.94</v>
      </c>
      <c r="N744" s="5">
        <v>6248434.94</v>
      </c>
      <c r="O744" t="s" s="2">
        <v>305</v>
      </c>
      <c r="P744" s="5">
        <v>40208386</v>
      </c>
      <c r="Q744" t="s" s="2">
        <v>1558</v>
      </c>
      <c r="R744" t="s" s="2">
        <f>_xlfn.IFERROR(INDEX('model_byCAP'!$D$2:$D$377,MATCH(Q744,'model_byCAP'!$A$2:$A$377,0)),0)</f>
        <v>1097</v>
      </c>
    </row>
    <row r="745" ht="15.35" customHeight="1">
      <c r="A745" t="s" s="2">
        <v>1559</v>
      </c>
      <c r="B745" s="4">
        <v>40164</v>
      </c>
      <c r="C745" s="5">
        <v>3000</v>
      </c>
      <c r="D745" s="5">
        <v>90</v>
      </c>
      <c r="E745" s="5">
        <v>80</v>
      </c>
      <c r="F745" t="s" s="2">
        <v>301</v>
      </c>
      <c r="G745" t="s" s="2">
        <v>1556</v>
      </c>
      <c r="H745" s="5">
        <v>665</v>
      </c>
      <c r="I745" t="s" s="2">
        <v>316</v>
      </c>
      <c r="J745" t="s" s="2">
        <v>22</v>
      </c>
      <c r="K745" t="s" s="2">
        <v>1557</v>
      </c>
      <c r="L745" t="s" s="2">
        <v>1560</v>
      </c>
      <c r="M745" s="5">
        <v>453536.43</v>
      </c>
      <c r="N745" s="5">
        <v>6248462.74</v>
      </c>
      <c r="O745" t="s" s="2">
        <v>305</v>
      </c>
      <c r="P745" s="5">
        <v>40202387</v>
      </c>
      <c r="Q745" t="s" s="2">
        <v>1558</v>
      </c>
      <c r="R745" t="s" s="2">
        <f>_xlfn.IFERROR(INDEX('model_byCAP'!$D$2:$D$377,MATCH(Q745,'model_byCAP'!$A$2:$A$377,0)),0)</f>
        <v>1097</v>
      </c>
    </row>
    <row r="746" ht="15.35" customHeight="1">
      <c r="A746" t="s" s="2">
        <v>1561</v>
      </c>
      <c r="B746" s="4">
        <v>40154</v>
      </c>
      <c r="C746" s="5">
        <v>3000</v>
      </c>
      <c r="D746" s="5">
        <v>90</v>
      </c>
      <c r="E746" s="5">
        <v>80</v>
      </c>
      <c r="F746" t="s" s="2">
        <v>301</v>
      </c>
      <c r="G746" t="s" s="2">
        <v>1556</v>
      </c>
      <c r="H746" s="5">
        <v>665</v>
      </c>
      <c r="I746" t="s" s="2">
        <v>316</v>
      </c>
      <c r="J746" t="s" s="2">
        <v>22</v>
      </c>
      <c r="K746" t="s" s="2">
        <v>1557</v>
      </c>
      <c r="L746" t="s" s="2">
        <v>1562</v>
      </c>
      <c r="M746" s="5">
        <v>453205.25</v>
      </c>
      <c r="N746" s="5">
        <v>6248489.55</v>
      </c>
      <c r="O746" t="s" s="2">
        <v>305</v>
      </c>
      <c r="P746" s="5">
        <v>40202388</v>
      </c>
      <c r="Q746" t="s" s="2">
        <v>1558</v>
      </c>
      <c r="R746" t="s" s="2">
        <f>_xlfn.IFERROR(INDEX('model_byCAP'!$D$2:$D$377,MATCH(Q746,'model_byCAP'!$A$2:$A$377,0)),0)</f>
        <v>1097</v>
      </c>
    </row>
    <row r="747" ht="15.35" customHeight="1">
      <c r="A747" t="s" s="2">
        <v>1563</v>
      </c>
      <c r="B747" s="4">
        <v>41050</v>
      </c>
      <c r="C747" s="5">
        <v>3000</v>
      </c>
      <c r="D747" s="5">
        <v>101</v>
      </c>
      <c r="E747" s="5">
        <v>79.5</v>
      </c>
      <c r="F747" t="s" s="2">
        <v>19</v>
      </c>
      <c r="G747" t="s" s="2">
        <v>1289</v>
      </c>
      <c r="H747" s="5">
        <v>671</v>
      </c>
      <c r="I747" t="s" s="2">
        <v>378</v>
      </c>
      <c r="J747" t="s" s="2">
        <v>22</v>
      </c>
      <c r="K747" t="s" s="2">
        <v>1564</v>
      </c>
      <c r="L747" t="s" s="2">
        <v>1565</v>
      </c>
      <c r="M747" s="5">
        <v>476862.02</v>
      </c>
      <c r="N747" s="5">
        <v>6257044.55</v>
      </c>
      <c r="O747" t="s" s="2">
        <v>305</v>
      </c>
      <c r="P747" s="5">
        <v>40227</v>
      </c>
      <c r="Q747" t="s" s="2">
        <v>1292</v>
      </c>
      <c r="R747" t="s" s="2">
        <f>_xlfn.IFERROR(INDEX('model_byCAP'!$D$2:$D$377,MATCH(Q747,'model_byCAP'!$A$2:$A$377,0)),0)</f>
        <v>1293</v>
      </c>
    </row>
    <row r="748" ht="15.35" customHeight="1">
      <c r="A748" t="s" s="2">
        <v>1566</v>
      </c>
      <c r="B748" s="4">
        <v>41053</v>
      </c>
      <c r="C748" s="5">
        <v>3000</v>
      </c>
      <c r="D748" s="5">
        <v>101</v>
      </c>
      <c r="E748" s="5">
        <v>79.5</v>
      </c>
      <c r="F748" t="s" s="2">
        <v>19</v>
      </c>
      <c r="G748" t="s" s="2">
        <v>1289</v>
      </c>
      <c r="H748" s="5">
        <v>671</v>
      </c>
      <c r="I748" t="s" s="2">
        <v>378</v>
      </c>
      <c r="J748" t="s" s="2">
        <v>22</v>
      </c>
      <c r="K748" t="s" s="2">
        <v>1564</v>
      </c>
      <c r="L748" t="s" s="2">
        <v>1567</v>
      </c>
      <c r="M748" s="5">
        <v>476799.9</v>
      </c>
      <c r="N748" s="5">
        <v>6257303.12</v>
      </c>
      <c r="O748" t="s" s="2">
        <v>305</v>
      </c>
      <c r="P748" s="5">
        <v>40228</v>
      </c>
      <c r="Q748" t="s" s="2">
        <v>1292</v>
      </c>
      <c r="R748" t="s" s="2">
        <f>_xlfn.IFERROR(INDEX('model_byCAP'!$D$2:$D$377,MATCH(Q748,'model_byCAP'!$A$2:$A$377,0)),0)</f>
        <v>1293</v>
      </c>
    </row>
    <row r="749" ht="15.35" customHeight="1">
      <c r="A749" t="s" s="2">
        <v>1568</v>
      </c>
      <c r="B749" s="4">
        <v>41057</v>
      </c>
      <c r="C749" s="5">
        <v>3000</v>
      </c>
      <c r="D749" s="5">
        <v>101</v>
      </c>
      <c r="E749" s="5">
        <v>79.5</v>
      </c>
      <c r="F749" t="s" s="2">
        <v>19</v>
      </c>
      <c r="G749" t="s" s="2">
        <v>1289</v>
      </c>
      <c r="H749" s="5">
        <v>671</v>
      </c>
      <c r="I749" t="s" s="2">
        <v>378</v>
      </c>
      <c r="J749" t="s" s="2">
        <v>22</v>
      </c>
      <c r="K749" t="s" s="2">
        <v>1569</v>
      </c>
      <c r="L749" t="s" s="2">
        <v>1567</v>
      </c>
      <c r="M749" s="5">
        <v>476735.88</v>
      </c>
      <c r="N749" s="5">
        <v>6257559.03</v>
      </c>
      <c r="O749" t="s" s="2">
        <v>305</v>
      </c>
      <c r="P749" s="5">
        <v>40229</v>
      </c>
      <c r="Q749" t="s" s="2">
        <v>1292</v>
      </c>
      <c r="R749" t="s" s="2">
        <f>_xlfn.IFERROR(INDEX('model_byCAP'!$D$2:$D$377,MATCH(Q749,'model_byCAP'!$A$2:$A$377,0)),0)</f>
        <v>1293</v>
      </c>
    </row>
    <row r="750" ht="15.35" customHeight="1">
      <c r="A750" t="s" s="2">
        <v>1570</v>
      </c>
      <c r="B750" s="4">
        <v>41456</v>
      </c>
      <c r="C750" s="5">
        <v>3000</v>
      </c>
      <c r="D750" s="5">
        <v>113</v>
      </c>
      <c r="E750" s="5">
        <v>89.5</v>
      </c>
      <c r="F750" t="s" s="2">
        <v>19</v>
      </c>
      <c r="G750" t="s" s="2">
        <v>1289</v>
      </c>
      <c r="H750" s="5">
        <v>756</v>
      </c>
      <c r="I750" t="s" s="2">
        <v>456</v>
      </c>
      <c r="J750" t="s" s="2">
        <v>22</v>
      </c>
      <c r="K750" t="s" s="2">
        <v>1290</v>
      </c>
      <c r="L750" t="s" s="2">
        <v>1276</v>
      </c>
      <c r="M750" s="5">
        <v>508044.94</v>
      </c>
      <c r="N750" s="5">
        <v>6203063.59</v>
      </c>
      <c r="O750" t="s" s="2">
        <v>305</v>
      </c>
      <c r="P750" s="5">
        <v>16109</v>
      </c>
      <c r="Q750" t="s" s="2">
        <v>1292</v>
      </c>
      <c r="R750" t="s" s="2">
        <f>_xlfn.IFERROR(INDEX('model_byCAP'!$D$2:$D$377,MATCH(Q750,'model_byCAP'!$A$2:$A$377,0)),0)</f>
        <v>1293</v>
      </c>
    </row>
    <row r="751" ht="15.35" customHeight="1">
      <c r="A751" t="s" s="2">
        <v>1571</v>
      </c>
      <c r="B751" s="4">
        <v>41456</v>
      </c>
      <c r="C751" s="5">
        <v>3000</v>
      </c>
      <c r="D751" s="5">
        <v>113</v>
      </c>
      <c r="E751" s="5">
        <v>89.5</v>
      </c>
      <c r="F751" t="s" s="2">
        <v>19</v>
      </c>
      <c r="G751" t="s" s="2">
        <v>1289</v>
      </c>
      <c r="H751" s="5">
        <v>756</v>
      </c>
      <c r="I751" t="s" s="2">
        <v>456</v>
      </c>
      <c r="J751" t="s" s="2">
        <v>22</v>
      </c>
      <c r="K751" t="s" s="2">
        <v>1290</v>
      </c>
      <c r="L751" t="s" s="2">
        <v>502</v>
      </c>
      <c r="M751" s="5">
        <v>507848.19</v>
      </c>
      <c r="N751" s="5">
        <v>6203353.7</v>
      </c>
      <c r="O751" t="s" s="2">
        <v>305</v>
      </c>
      <c r="P751" s="5">
        <v>16110</v>
      </c>
      <c r="Q751" t="s" s="2">
        <v>1292</v>
      </c>
      <c r="R751" t="s" s="2">
        <f>_xlfn.IFERROR(INDEX('model_byCAP'!$D$2:$D$377,MATCH(Q751,'model_byCAP'!$A$2:$A$377,0)),0)</f>
        <v>1293</v>
      </c>
    </row>
    <row r="752" ht="15.35" customHeight="1">
      <c r="A752" t="s" s="2">
        <v>1572</v>
      </c>
      <c r="B752" s="4">
        <v>41458</v>
      </c>
      <c r="C752" s="5">
        <v>3000</v>
      </c>
      <c r="D752" s="5">
        <v>108</v>
      </c>
      <c r="E752" s="5">
        <v>89.5</v>
      </c>
      <c r="F752" t="s" s="2">
        <v>19</v>
      </c>
      <c r="G752" t="s" s="2">
        <v>1289</v>
      </c>
      <c r="H752" s="5">
        <v>756</v>
      </c>
      <c r="I752" t="s" s="2">
        <v>456</v>
      </c>
      <c r="J752" t="s" s="2">
        <v>22</v>
      </c>
      <c r="K752" t="s" s="2">
        <v>1290</v>
      </c>
      <c r="L752" t="s" s="2">
        <v>987</v>
      </c>
      <c r="M752" s="5">
        <v>507456.11</v>
      </c>
      <c r="N752" s="5">
        <v>6203941.81</v>
      </c>
      <c r="O752" t="s" s="2">
        <v>305</v>
      </c>
      <c r="P752" s="5">
        <v>16112</v>
      </c>
      <c r="Q752" t="s" s="2">
        <v>1292</v>
      </c>
      <c r="R752" t="s" s="2">
        <f>_xlfn.IFERROR(INDEX('model_byCAP'!$D$2:$D$377,MATCH(Q752,'model_byCAP'!$A$2:$A$377,0)),0)</f>
        <v>1293</v>
      </c>
    </row>
    <row r="753" ht="15.35" customHeight="1">
      <c r="A753" t="s" s="2">
        <v>1573</v>
      </c>
      <c r="B753" s="4">
        <v>40081</v>
      </c>
      <c r="C753" s="5">
        <v>3000</v>
      </c>
      <c r="D753" s="5">
        <v>90</v>
      </c>
      <c r="E753" s="5">
        <v>80</v>
      </c>
      <c r="F753" t="s" s="2">
        <v>301</v>
      </c>
      <c r="G753" t="s" s="2">
        <v>1490</v>
      </c>
      <c r="H753" s="5">
        <v>760</v>
      </c>
      <c r="I753" t="s" s="2">
        <v>331</v>
      </c>
      <c r="J753" t="s" s="2">
        <v>22</v>
      </c>
      <c r="K753" t="s" s="2">
        <v>1574</v>
      </c>
      <c r="L753" t="s" s="2">
        <v>1422</v>
      </c>
      <c r="M753" s="5">
        <v>472483.66</v>
      </c>
      <c r="N753" s="5">
        <v>6201619.99</v>
      </c>
      <c r="O753" t="s" s="2">
        <v>305</v>
      </c>
      <c r="P753" s="5">
        <v>27023266</v>
      </c>
      <c r="Q753" t="s" s="2">
        <v>1493</v>
      </c>
      <c r="R753" t="s" s="2">
        <f>_xlfn.IFERROR(INDEX('model_byCAP'!$D$2:$D$377,MATCH(Q753,'model_byCAP'!$A$2:$A$377,0)),0)</f>
        <v>1494</v>
      </c>
    </row>
    <row r="754" ht="15.35" customHeight="1">
      <c r="A754" t="s" s="2">
        <v>1575</v>
      </c>
      <c r="B754" s="4">
        <v>40085</v>
      </c>
      <c r="C754" s="5">
        <v>3000</v>
      </c>
      <c r="D754" s="5">
        <v>90</v>
      </c>
      <c r="E754" s="5">
        <v>80</v>
      </c>
      <c r="F754" t="s" s="2">
        <v>301</v>
      </c>
      <c r="G754" t="s" s="2">
        <v>1490</v>
      </c>
      <c r="H754" s="5">
        <v>760</v>
      </c>
      <c r="I754" t="s" s="2">
        <v>331</v>
      </c>
      <c r="J754" t="s" s="2">
        <v>22</v>
      </c>
      <c r="K754" t="s" s="2">
        <v>1574</v>
      </c>
      <c r="L754" t="s" s="2">
        <v>992</v>
      </c>
      <c r="M754" s="5">
        <v>472436.92</v>
      </c>
      <c r="N754" s="5">
        <v>6201886.98</v>
      </c>
      <c r="O754" t="s" s="2">
        <v>305</v>
      </c>
      <c r="P754" s="5">
        <v>27023268</v>
      </c>
      <c r="Q754" t="s" s="2">
        <v>1493</v>
      </c>
      <c r="R754" t="s" s="2">
        <f>_xlfn.IFERROR(INDEX('model_byCAP'!$D$2:$D$377,MATCH(Q754,'model_byCAP'!$A$2:$A$377,0)),0)</f>
        <v>1494</v>
      </c>
    </row>
    <row r="755" ht="15.35" customHeight="1">
      <c r="A755" t="s" s="2">
        <v>1576</v>
      </c>
      <c r="B755" s="4">
        <v>40081</v>
      </c>
      <c r="C755" s="5">
        <v>3000</v>
      </c>
      <c r="D755" s="5">
        <v>90</v>
      </c>
      <c r="E755" s="5">
        <v>80</v>
      </c>
      <c r="F755" t="s" s="2">
        <v>301</v>
      </c>
      <c r="G755" t="s" s="2">
        <v>1490</v>
      </c>
      <c r="H755" s="5">
        <v>760</v>
      </c>
      <c r="I755" t="s" s="2">
        <v>331</v>
      </c>
      <c r="J755" t="s" s="2">
        <v>22</v>
      </c>
      <c r="K755" t="s" s="2">
        <v>1574</v>
      </c>
      <c r="L755" t="s" s="2">
        <v>1422</v>
      </c>
      <c r="M755" s="5">
        <v>472389.71</v>
      </c>
      <c r="N755" s="5">
        <v>6202153.63</v>
      </c>
      <c r="O755" t="s" s="2">
        <v>305</v>
      </c>
      <c r="P755" s="5">
        <v>27023270</v>
      </c>
      <c r="Q755" t="s" s="2">
        <v>1493</v>
      </c>
      <c r="R755" t="s" s="2">
        <f>_xlfn.IFERROR(INDEX('model_byCAP'!$D$2:$D$377,MATCH(Q755,'model_byCAP'!$A$2:$A$377,0)),0)</f>
        <v>1494</v>
      </c>
    </row>
    <row r="756" ht="15.35" customHeight="1">
      <c r="A756" t="s" s="2">
        <v>1577</v>
      </c>
      <c r="B756" s="4">
        <v>40358</v>
      </c>
      <c r="C756" s="5">
        <v>3000</v>
      </c>
      <c r="D756" s="5">
        <v>90</v>
      </c>
      <c r="E756" s="5">
        <v>80</v>
      </c>
      <c r="F756" t="s" s="2">
        <v>301</v>
      </c>
      <c r="G756" t="s" s="2">
        <v>1490</v>
      </c>
      <c r="H756" s="5">
        <v>760</v>
      </c>
      <c r="I756" t="s" s="2">
        <v>331</v>
      </c>
      <c r="J756" t="s" s="2">
        <v>22</v>
      </c>
      <c r="K756" t="s" s="2">
        <v>1578</v>
      </c>
      <c r="L756" t="s" s="2">
        <v>1579</v>
      </c>
      <c r="M756" s="5">
        <v>452308.05</v>
      </c>
      <c r="N756" s="5">
        <v>6220383.75</v>
      </c>
      <c r="O756" t="s" s="2">
        <v>305</v>
      </c>
      <c r="P756" s="5">
        <v>85095</v>
      </c>
      <c r="Q756" t="s" s="2">
        <v>1493</v>
      </c>
      <c r="R756" t="s" s="2">
        <f>_xlfn.IFERROR(INDEX('model_byCAP'!$D$2:$D$377,MATCH(Q756,'model_byCAP'!$A$2:$A$377,0)),0)</f>
        <v>1494</v>
      </c>
    </row>
    <row r="757" ht="15.35" customHeight="1">
      <c r="A757" t="s" s="2">
        <v>1580</v>
      </c>
      <c r="B757" s="4">
        <v>40361</v>
      </c>
      <c r="C757" s="5">
        <v>3000</v>
      </c>
      <c r="D757" s="5">
        <v>90</v>
      </c>
      <c r="E757" s="5">
        <v>80</v>
      </c>
      <c r="F757" t="s" s="2">
        <v>301</v>
      </c>
      <c r="G757" t="s" s="2">
        <v>1490</v>
      </c>
      <c r="H757" s="5">
        <v>760</v>
      </c>
      <c r="I757" t="s" s="2">
        <v>331</v>
      </c>
      <c r="J757" t="s" s="2">
        <v>22</v>
      </c>
      <c r="K757" t="s" s="2">
        <v>1578</v>
      </c>
      <c r="L757" t="s" s="2">
        <v>1581</v>
      </c>
      <c r="M757" s="5">
        <v>452293.95</v>
      </c>
      <c r="N757" s="5">
        <v>6220065.05</v>
      </c>
      <c r="O757" t="s" s="2">
        <v>305</v>
      </c>
      <c r="P757" s="5">
        <v>85096</v>
      </c>
      <c r="Q757" t="s" s="2">
        <v>1493</v>
      </c>
      <c r="R757" t="s" s="2">
        <f>_xlfn.IFERROR(INDEX('model_byCAP'!$D$2:$D$377,MATCH(Q757,'model_byCAP'!$A$2:$A$377,0)),0)</f>
        <v>1494</v>
      </c>
    </row>
    <row r="758" ht="15.35" customHeight="1">
      <c r="A758" t="s" s="2">
        <v>1582</v>
      </c>
      <c r="B758" s="4">
        <v>40352</v>
      </c>
      <c r="C758" s="5">
        <v>3000</v>
      </c>
      <c r="D758" s="5">
        <v>90</v>
      </c>
      <c r="E758" s="5">
        <v>80</v>
      </c>
      <c r="F758" t="s" s="2">
        <v>301</v>
      </c>
      <c r="G758" t="s" s="2">
        <v>1490</v>
      </c>
      <c r="H758" s="5">
        <v>760</v>
      </c>
      <c r="I758" t="s" s="2">
        <v>331</v>
      </c>
      <c r="J758" t="s" s="2">
        <v>22</v>
      </c>
      <c r="K758" t="s" s="2">
        <v>1578</v>
      </c>
      <c r="L758" t="s" s="2">
        <v>1583</v>
      </c>
      <c r="M758" s="5">
        <v>452280.18</v>
      </c>
      <c r="N758" s="5">
        <v>6219747.06</v>
      </c>
      <c r="O758" t="s" s="2">
        <v>305</v>
      </c>
      <c r="P758" s="5">
        <v>85097</v>
      </c>
      <c r="Q758" t="s" s="2">
        <v>1493</v>
      </c>
      <c r="R758" t="s" s="2">
        <f>_xlfn.IFERROR(INDEX('model_byCAP'!$D$2:$D$377,MATCH(Q758,'model_byCAP'!$A$2:$A$377,0)),0)</f>
        <v>1494</v>
      </c>
    </row>
    <row r="759" ht="15.35" customHeight="1">
      <c r="A759" t="s" s="2">
        <v>1584</v>
      </c>
      <c r="B759" s="4">
        <v>40358</v>
      </c>
      <c r="C759" s="5">
        <v>3000</v>
      </c>
      <c r="D759" s="5">
        <v>90</v>
      </c>
      <c r="E759" s="5">
        <v>80</v>
      </c>
      <c r="F759" t="s" s="2">
        <v>301</v>
      </c>
      <c r="G759" t="s" s="2">
        <v>1490</v>
      </c>
      <c r="H759" s="5">
        <v>760</v>
      </c>
      <c r="I759" t="s" s="2">
        <v>331</v>
      </c>
      <c r="J759" t="s" s="2">
        <v>22</v>
      </c>
      <c r="K759" t="s" s="2">
        <v>1585</v>
      </c>
      <c r="L759" t="s" s="2">
        <v>1586</v>
      </c>
      <c r="M759" s="5">
        <v>452266.08</v>
      </c>
      <c r="N759" s="5">
        <v>6219428.81</v>
      </c>
      <c r="O759" t="s" s="2">
        <v>305</v>
      </c>
      <c r="P759" s="5">
        <v>85098</v>
      </c>
      <c r="Q759" t="s" s="2">
        <v>1493</v>
      </c>
      <c r="R759" t="s" s="2">
        <f>_xlfn.IFERROR(INDEX('model_byCAP'!$D$2:$D$377,MATCH(Q759,'model_byCAP'!$A$2:$A$377,0)),0)</f>
        <v>1494</v>
      </c>
    </row>
    <row r="760" ht="15.35" customHeight="1">
      <c r="A760" t="s" s="2">
        <v>1587</v>
      </c>
      <c r="B760" s="4">
        <v>40353</v>
      </c>
      <c r="C760" s="5">
        <v>3000</v>
      </c>
      <c r="D760" s="5">
        <v>90</v>
      </c>
      <c r="E760" s="5">
        <v>80</v>
      </c>
      <c r="F760" t="s" s="2">
        <v>301</v>
      </c>
      <c r="G760" t="s" s="2">
        <v>1490</v>
      </c>
      <c r="H760" s="5">
        <v>760</v>
      </c>
      <c r="I760" t="s" s="2">
        <v>331</v>
      </c>
      <c r="J760" t="s" s="2">
        <v>22</v>
      </c>
      <c r="K760" t="s" s="2">
        <v>1585</v>
      </c>
      <c r="L760" t="s" s="2">
        <v>1588</v>
      </c>
      <c r="M760" s="5">
        <v>452252.39</v>
      </c>
      <c r="N760" s="5">
        <v>6219119.56</v>
      </c>
      <c r="O760" t="s" s="2">
        <v>305</v>
      </c>
      <c r="P760" s="5">
        <v>85099</v>
      </c>
      <c r="Q760" t="s" s="2">
        <v>1493</v>
      </c>
      <c r="R760" t="s" s="2">
        <f>_xlfn.IFERROR(INDEX('model_byCAP'!$D$2:$D$377,MATCH(Q760,'model_byCAP'!$A$2:$A$377,0)),0)</f>
        <v>1494</v>
      </c>
    </row>
    <row r="761" ht="15.35" customHeight="1">
      <c r="A761" t="s" s="2">
        <v>1589</v>
      </c>
      <c r="B761" s="4">
        <v>40533</v>
      </c>
      <c r="C761" s="5">
        <v>3000</v>
      </c>
      <c r="D761" s="5">
        <v>90</v>
      </c>
      <c r="E761" s="5">
        <v>80</v>
      </c>
      <c r="F761" t="s" s="2">
        <v>301</v>
      </c>
      <c r="G761" t="s" s="2">
        <v>1502</v>
      </c>
      <c r="H761" s="5">
        <v>760</v>
      </c>
      <c r="I761" t="s" s="2">
        <v>331</v>
      </c>
      <c r="J761" t="s" s="2">
        <v>22</v>
      </c>
      <c r="K761" t="s" s="2">
        <v>1590</v>
      </c>
      <c r="L761" t="s" s="2">
        <v>1591</v>
      </c>
      <c r="M761" s="5">
        <v>457700.12</v>
      </c>
      <c r="N761" s="5">
        <v>6190144.57</v>
      </c>
      <c r="O761" t="s" s="2">
        <v>305</v>
      </c>
      <c r="P761" s="5">
        <v>344237340</v>
      </c>
      <c r="Q761" t="s" s="2">
        <v>1505</v>
      </c>
      <c r="R761" t="s" s="2">
        <f>_xlfn.IFERROR(INDEX('model_byCAP'!$D$2:$D$377,MATCH(Q761,'model_byCAP'!$A$2:$A$377,0)),0)</f>
        <v>1494</v>
      </c>
    </row>
    <row r="762" ht="15.35" customHeight="1">
      <c r="A762" t="s" s="2">
        <v>1592</v>
      </c>
      <c r="B762" s="4">
        <v>40533</v>
      </c>
      <c r="C762" s="5">
        <v>3000</v>
      </c>
      <c r="D762" s="5">
        <v>90</v>
      </c>
      <c r="E762" s="5">
        <v>80</v>
      </c>
      <c r="F762" t="s" s="2">
        <v>301</v>
      </c>
      <c r="G762" t="s" s="2">
        <v>1502</v>
      </c>
      <c r="H762" s="5">
        <v>760</v>
      </c>
      <c r="I762" t="s" s="2">
        <v>331</v>
      </c>
      <c r="J762" t="s" s="2">
        <v>22</v>
      </c>
      <c r="K762" t="s" s="2">
        <v>1590</v>
      </c>
      <c r="L762" t="s" s="2">
        <v>1593</v>
      </c>
      <c r="M762" s="5">
        <v>457554.25</v>
      </c>
      <c r="N762" s="5">
        <v>6190474.47</v>
      </c>
      <c r="O762" t="s" s="2">
        <v>305</v>
      </c>
      <c r="P762" s="5">
        <v>344237341</v>
      </c>
      <c r="Q762" t="s" s="2">
        <v>1505</v>
      </c>
      <c r="R762" t="s" s="2">
        <f>_xlfn.IFERROR(INDEX('model_byCAP'!$D$2:$D$377,MATCH(Q762,'model_byCAP'!$A$2:$A$377,0)),0)</f>
        <v>1494</v>
      </c>
    </row>
    <row r="763" ht="15.35" customHeight="1">
      <c r="A763" t="s" s="2">
        <v>1594</v>
      </c>
      <c r="B763" s="4">
        <v>40533</v>
      </c>
      <c r="C763" s="5">
        <v>3000</v>
      </c>
      <c r="D763" s="5">
        <v>90</v>
      </c>
      <c r="E763" s="5">
        <v>80</v>
      </c>
      <c r="F763" t="s" s="2">
        <v>301</v>
      </c>
      <c r="G763" t="s" s="2">
        <v>1502</v>
      </c>
      <c r="H763" s="5">
        <v>760</v>
      </c>
      <c r="I763" t="s" s="2">
        <v>331</v>
      </c>
      <c r="J763" t="s" s="2">
        <v>22</v>
      </c>
      <c r="K763" t="s" s="2">
        <v>913</v>
      </c>
      <c r="L763" s="5">
        <v>85</v>
      </c>
      <c r="M763" s="5">
        <v>457408.4</v>
      </c>
      <c r="N763" s="5">
        <v>6190803.54</v>
      </c>
      <c r="O763" t="s" s="2">
        <v>305</v>
      </c>
      <c r="P763" s="5">
        <v>344237342</v>
      </c>
      <c r="Q763" t="s" s="2">
        <v>1505</v>
      </c>
      <c r="R763" t="s" s="2">
        <f>_xlfn.IFERROR(INDEX('model_byCAP'!$D$2:$D$377,MATCH(Q763,'model_byCAP'!$A$2:$A$377,0)),0)</f>
        <v>1494</v>
      </c>
    </row>
    <row r="764" ht="15.35" customHeight="1">
      <c r="A764" t="s" s="2">
        <v>1595</v>
      </c>
      <c r="B764" s="4">
        <v>40534</v>
      </c>
      <c r="C764" s="5">
        <v>3000</v>
      </c>
      <c r="D764" s="5">
        <v>90</v>
      </c>
      <c r="E764" s="5">
        <v>80</v>
      </c>
      <c r="F764" t="s" s="2">
        <v>301</v>
      </c>
      <c r="G764" t="s" s="2">
        <v>1502</v>
      </c>
      <c r="H764" s="5">
        <v>760</v>
      </c>
      <c r="I764" t="s" s="2">
        <v>331</v>
      </c>
      <c r="J764" t="s" s="2">
        <v>22</v>
      </c>
      <c r="K764" t="s" s="2">
        <v>907</v>
      </c>
      <c r="L764" t="s" s="2">
        <v>1596</v>
      </c>
      <c r="M764" s="5">
        <v>457928.12</v>
      </c>
      <c r="N764" s="5">
        <v>6190509.08</v>
      </c>
      <c r="O764" t="s" s="2">
        <v>305</v>
      </c>
      <c r="P764" s="5">
        <v>344237343</v>
      </c>
      <c r="Q764" t="s" s="2">
        <v>1505</v>
      </c>
      <c r="R764" t="s" s="2">
        <f>_xlfn.IFERROR(INDEX('model_byCAP'!$D$2:$D$377,MATCH(Q764,'model_byCAP'!$A$2:$A$377,0)),0)</f>
        <v>1494</v>
      </c>
    </row>
    <row r="765" ht="15.35" customHeight="1">
      <c r="A765" t="s" s="2">
        <v>1597</v>
      </c>
      <c r="B765" s="4">
        <v>40533</v>
      </c>
      <c r="C765" s="5">
        <v>3000</v>
      </c>
      <c r="D765" s="5">
        <v>90</v>
      </c>
      <c r="E765" s="5">
        <v>80</v>
      </c>
      <c r="F765" t="s" s="2">
        <v>301</v>
      </c>
      <c r="G765" t="s" s="2">
        <v>1502</v>
      </c>
      <c r="H765" s="5">
        <v>760</v>
      </c>
      <c r="I765" t="s" s="2">
        <v>331</v>
      </c>
      <c r="J765" t="s" s="2">
        <v>22</v>
      </c>
      <c r="K765" t="s" s="2">
        <v>907</v>
      </c>
      <c r="L765" t="s" s="2">
        <v>1598</v>
      </c>
      <c r="M765" s="5">
        <v>457782.31</v>
      </c>
      <c r="N765" s="5">
        <v>6190836.78</v>
      </c>
      <c r="O765" t="s" s="2">
        <v>305</v>
      </c>
      <c r="P765" s="5">
        <v>344237344</v>
      </c>
      <c r="Q765" t="s" s="2">
        <v>1505</v>
      </c>
      <c r="R765" t="s" s="2">
        <f>_xlfn.IFERROR(INDEX('model_byCAP'!$D$2:$D$377,MATCH(Q765,'model_byCAP'!$A$2:$A$377,0)),0)</f>
        <v>1494</v>
      </c>
    </row>
    <row r="766" ht="15.35" customHeight="1">
      <c r="A766" t="s" s="2">
        <v>1599</v>
      </c>
      <c r="B766" s="4">
        <v>40533</v>
      </c>
      <c r="C766" s="5">
        <v>3000</v>
      </c>
      <c r="D766" s="5">
        <v>90</v>
      </c>
      <c r="E766" s="5">
        <v>80</v>
      </c>
      <c r="F766" t="s" s="2">
        <v>301</v>
      </c>
      <c r="G766" t="s" s="2">
        <v>1502</v>
      </c>
      <c r="H766" s="5">
        <v>760</v>
      </c>
      <c r="I766" t="s" s="2">
        <v>331</v>
      </c>
      <c r="J766" t="s" s="2">
        <v>22</v>
      </c>
      <c r="K766" t="s" s="2">
        <v>907</v>
      </c>
      <c r="L766" t="s" s="2">
        <v>1600</v>
      </c>
      <c r="M766" s="5">
        <v>457634.66</v>
      </c>
      <c r="N766" s="5">
        <v>6191173.24</v>
      </c>
      <c r="O766" t="s" s="2">
        <v>305</v>
      </c>
      <c r="P766" s="5">
        <v>344237345</v>
      </c>
      <c r="Q766" t="s" s="2">
        <v>1505</v>
      </c>
      <c r="R766" t="s" s="2">
        <f>_xlfn.IFERROR(INDEX('model_byCAP'!$D$2:$D$377,MATCH(Q766,'model_byCAP'!$A$2:$A$377,0)),0)</f>
        <v>1494</v>
      </c>
    </row>
    <row r="767" ht="15.35" customHeight="1">
      <c r="A767" t="s" s="2">
        <v>1601</v>
      </c>
      <c r="B767" s="4">
        <v>40529</v>
      </c>
      <c r="C767" s="5">
        <v>3000</v>
      </c>
      <c r="D767" s="5">
        <v>90</v>
      </c>
      <c r="E767" s="5">
        <v>80</v>
      </c>
      <c r="F767" t="s" s="2">
        <v>301</v>
      </c>
      <c r="G767" t="s" s="2">
        <v>1502</v>
      </c>
      <c r="H767" s="5">
        <v>760</v>
      </c>
      <c r="I767" t="s" s="2">
        <v>331</v>
      </c>
      <c r="J767" t="s" s="2">
        <v>22</v>
      </c>
      <c r="K767" t="s" s="2">
        <v>1602</v>
      </c>
      <c r="L767" t="s" s="2">
        <v>1603</v>
      </c>
      <c r="M767" s="5">
        <v>474857.16</v>
      </c>
      <c r="N767" s="5">
        <v>6194137.61</v>
      </c>
      <c r="O767" t="s" s="2">
        <v>305</v>
      </c>
      <c r="P767" s="5">
        <v>344237346</v>
      </c>
      <c r="Q767" t="s" s="2">
        <v>1505</v>
      </c>
      <c r="R767" t="s" s="2">
        <f>_xlfn.IFERROR(INDEX('model_byCAP'!$D$2:$D$377,MATCH(Q767,'model_byCAP'!$A$2:$A$377,0)),0)</f>
        <v>1494</v>
      </c>
    </row>
    <row r="768" ht="15.35" customHeight="1">
      <c r="A768" t="s" s="2">
        <v>1604</v>
      </c>
      <c r="B768" s="4">
        <v>40528</v>
      </c>
      <c r="C768" s="5">
        <v>3000</v>
      </c>
      <c r="D768" s="5">
        <v>90</v>
      </c>
      <c r="E768" s="5">
        <v>80</v>
      </c>
      <c r="F768" t="s" s="2">
        <v>301</v>
      </c>
      <c r="G768" t="s" s="2">
        <v>1502</v>
      </c>
      <c r="H768" s="5">
        <v>760</v>
      </c>
      <c r="I768" t="s" s="2">
        <v>331</v>
      </c>
      <c r="J768" t="s" s="2">
        <v>22</v>
      </c>
      <c r="K768" t="s" s="2">
        <v>1602</v>
      </c>
      <c r="L768" t="s" s="2">
        <v>492</v>
      </c>
      <c r="M768" s="5">
        <v>474599.76</v>
      </c>
      <c r="N768" s="5">
        <v>6194268.31</v>
      </c>
      <c r="O768" t="s" s="2">
        <v>25</v>
      </c>
      <c r="P768" s="5">
        <v>344237347</v>
      </c>
      <c r="Q768" t="s" s="2">
        <v>1505</v>
      </c>
      <c r="R768" t="s" s="2">
        <f>_xlfn.IFERROR(INDEX('model_byCAP'!$D$2:$D$377,MATCH(Q768,'model_byCAP'!$A$2:$A$377,0)),0)</f>
        <v>1494</v>
      </c>
    </row>
    <row r="769" ht="15.35" customHeight="1">
      <c r="A769" t="s" s="2">
        <v>1605</v>
      </c>
      <c r="B769" s="4">
        <v>40528</v>
      </c>
      <c r="C769" s="5">
        <v>3000</v>
      </c>
      <c r="D769" s="5">
        <v>90</v>
      </c>
      <c r="E769" s="5">
        <v>80</v>
      </c>
      <c r="F769" t="s" s="2">
        <v>301</v>
      </c>
      <c r="G769" t="s" s="2">
        <v>1502</v>
      </c>
      <c r="H769" s="5">
        <v>760</v>
      </c>
      <c r="I769" t="s" s="2">
        <v>331</v>
      </c>
      <c r="J769" t="s" s="2">
        <v>22</v>
      </c>
      <c r="K769" t="s" s="2">
        <v>1602</v>
      </c>
      <c r="L769" t="s" s="2">
        <v>1194</v>
      </c>
      <c r="M769" s="5">
        <v>474343.77</v>
      </c>
      <c r="N769" s="5">
        <v>6194406.23</v>
      </c>
      <c r="O769" t="s" s="2">
        <v>25</v>
      </c>
      <c r="P769" s="5">
        <v>344237348</v>
      </c>
      <c r="Q769" t="s" s="2">
        <v>1505</v>
      </c>
      <c r="R769" t="s" s="2">
        <f>_xlfn.IFERROR(INDEX('model_byCAP'!$D$2:$D$377,MATCH(Q769,'model_byCAP'!$A$2:$A$377,0)),0)</f>
        <v>1494</v>
      </c>
    </row>
    <row r="770" ht="15.35" customHeight="1">
      <c r="A770" t="s" s="2">
        <v>1606</v>
      </c>
      <c r="B770" s="4">
        <v>40528</v>
      </c>
      <c r="C770" s="5">
        <v>3000</v>
      </c>
      <c r="D770" s="5">
        <v>90</v>
      </c>
      <c r="E770" s="5">
        <v>80</v>
      </c>
      <c r="F770" t="s" s="2">
        <v>301</v>
      </c>
      <c r="G770" t="s" s="2">
        <v>1502</v>
      </c>
      <c r="H770" s="5">
        <v>760</v>
      </c>
      <c r="I770" t="s" s="2">
        <v>331</v>
      </c>
      <c r="J770" t="s" s="2">
        <v>22</v>
      </c>
      <c r="K770" t="s" s="2">
        <v>1602</v>
      </c>
      <c r="L770" t="s" s="2">
        <v>1596</v>
      </c>
      <c r="M770" s="5">
        <v>474089.44</v>
      </c>
      <c r="N770" s="5">
        <v>6194538.52</v>
      </c>
      <c r="O770" t="s" s="2">
        <v>25</v>
      </c>
      <c r="P770" s="5">
        <v>344237349</v>
      </c>
      <c r="Q770" t="s" s="2">
        <v>1505</v>
      </c>
      <c r="R770" t="s" s="2">
        <f>_xlfn.IFERROR(INDEX('model_byCAP'!$D$2:$D$377,MATCH(Q770,'model_byCAP'!$A$2:$A$377,0)),0)</f>
        <v>1494</v>
      </c>
    </row>
    <row r="771" ht="15.35" customHeight="1">
      <c r="A771" t="s" s="2">
        <v>1607</v>
      </c>
      <c r="B771" s="4">
        <v>40528</v>
      </c>
      <c r="C771" s="5">
        <v>3000</v>
      </c>
      <c r="D771" s="5">
        <v>90</v>
      </c>
      <c r="E771" s="5">
        <v>80</v>
      </c>
      <c r="F771" t="s" s="2">
        <v>301</v>
      </c>
      <c r="G771" t="s" s="2">
        <v>1502</v>
      </c>
      <c r="H771" s="5">
        <v>760</v>
      </c>
      <c r="I771" t="s" s="2">
        <v>331</v>
      </c>
      <c r="J771" t="s" s="2">
        <v>22</v>
      </c>
      <c r="K771" t="s" s="2">
        <v>1602</v>
      </c>
      <c r="L771" t="s" s="2">
        <v>1608</v>
      </c>
      <c r="M771" s="5">
        <v>474674.83</v>
      </c>
      <c r="N771" s="5">
        <v>6193879.04</v>
      </c>
      <c r="O771" t="s" s="2">
        <v>25</v>
      </c>
      <c r="P771" s="5">
        <v>344237350</v>
      </c>
      <c r="Q771" t="s" s="2">
        <v>1505</v>
      </c>
      <c r="R771" t="s" s="2">
        <f>_xlfn.IFERROR(INDEX('model_byCAP'!$D$2:$D$377,MATCH(Q771,'model_byCAP'!$A$2:$A$377,0)),0)</f>
        <v>1494</v>
      </c>
    </row>
    <row r="772" ht="15.35" customHeight="1">
      <c r="A772" t="s" s="2">
        <v>1609</v>
      </c>
      <c r="B772" s="4">
        <v>40528</v>
      </c>
      <c r="C772" s="5">
        <v>3000</v>
      </c>
      <c r="D772" s="5">
        <v>90</v>
      </c>
      <c r="E772" s="5">
        <v>80</v>
      </c>
      <c r="F772" t="s" s="2">
        <v>301</v>
      </c>
      <c r="G772" t="s" s="2">
        <v>1502</v>
      </c>
      <c r="H772" s="5">
        <v>760</v>
      </c>
      <c r="I772" t="s" s="2">
        <v>331</v>
      </c>
      <c r="J772" t="s" s="2">
        <v>22</v>
      </c>
      <c r="K772" t="s" s="2">
        <v>1602</v>
      </c>
      <c r="L772" t="s" s="2">
        <v>492</v>
      </c>
      <c r="M772" s="5">
        <v>474398.01</v>
      </c>
      <c r="N772" s="5">
        <v>6194015.3</v>
      </c>
      <c r="O772" t="s" s="2">
        <v>25</v>
      </c>
      <c r="P772" s="5">
        <v>344237351</v>
      </c>
      <c r="Q772" t="s" s="2">
        <v>1505</v>
      </c>
      <c r="R772" t="s" s="2">
        <f>_xlfn.IFERROR(INDEX('model_byCAP'!$D$2:$D$377,MATCH(Q772,'model_byCAP'!$A$2:$A$377,0)),0)</f>
        <v>1494</v>
      </c>
    </row>
    <row r="773" ht="15.35" customHeight="1">
      <c r="A773" t="s" s="2">
        <v>1610</v>
      </c>
      <c r="B773" s="4">
        <v>40527</v>
      </c>
      <c r="C773" s="5">
        <v>3000</v>
      </c>
      <c r="D773" s="5">
        <v>90</v>
      </c>
      <c r="E773" s="5">
        <v>80</v>
      </c>
      <c r="F773" t="s" s="2">
        <v>301</v>
      </c>
      <c r="G773" t="s" s="2">
        <v>1502</v>
      </c>
      <c r="H773" s="5">
        <v>760</v>
      </c>
      <c r="I773" t="s" s="2">
        <v>331</v>
      </c>
      <c r="J773" t="s" s="2">
        <v>22</v>
      </c>
      <c r="K773" t="s" s="2">
        <v>1602</v>
      </c>
      <c r="L773" t="s" s="2">
        <v>1611</v>
      </c>
      <c r="M773" s="5">
        <v>474134.26</v>
      </c>
      <c r="N773" s="5">
        <v>6194144.52</v>
      </c>
      <c r="O773" t="s" s="2">
        <v>305</v>
      </c>
      <c r="P773" s="5">
        <v>344237352</v>
      </c>
      <c r="Q773" t="s" s="2">
        <v>1505</v>
      </c>
      <c r="R773" t="s" s="2">
        <f>_xlfn.IFERROR(INDEX('model_byCAP'!$D$2:$D$377,MATCH(Q773,'model_byCAP'!$A$2:$A$377,0)),0)</f>
        <v>1494</v>
      </c>
    </row>
    <row r="774" ht="15.35" customHeight="1">
      <c r="A774" t="s" s="2">
        <v>1612</v>
      </c>
      <c r="B774" s="4">
        <v>40528</v>
      </c>
      <c r="C774" s="5">
        <v>3000</v>
      </c>
      <c r="D774" s="5">
        <v>90</v>
      </c>
      <c r="E774" s="5">
        <v>80</v>
      </c>
      <c r="F774" t="s" s="2">
        <v>301</v>
      </c>
      <c r="G774" t="s" s="2">
        <v>1502</v>
      </c>
      <c r="H774" s="5">
        <v>760</v>
      </c>
      <c r="I774" t="s" s="2">
        <v>331</v>
      </c>
      <c r="J774" t="s" s="2">
        <v>22</v>
      </c>
      <c r="K774" t="s" s="2">
        <v>1602</v>
      </c>
      <c r="L774" t="s" s="2">
        <v>979</v>
      </c>
      <c r="M774" s="5">
        <v>473871.16</v>
      </c>
      <c r="N774" s="5">
        <v>6194272.61</v>
      </c>
      <c r="O774" t="s" s="2">
        <v>25</v>
      </c>
      <c r="P774" s="5">
        <v>344237353</v>
      </c>
      <c r="Q774" t="s" s="2">
        <v>1505</v>
      </c>
      <c r="R774" t="s" s="2">
        <f>_xlfn.IFERROR(INDEX('model_byCAP'!$D$2:$D$377,MATCH(Q774,'model_byCAP'!$A$2:$A$377,0)),0)</f>
        <v>1494</v>
      </c>
    </row>
    <row r="775" ht="15.35" customHeight="1">
      <c r="A775" t="s" s="2">
        <v>1613</v>
      </c>
      <c r="B775" s="4">
        <v>40723</v>
      </c>
      <c r="C775" s="5">
        <v>3000</v>
      </c>
      <c r="D775" s="5">
        <v>101</v>
      </c>
      <c r="E775" s="5">
        <v>90</v>
      </c>
      <c r="F775" t="s" s="2">
        <v>19</v>
      </c>
      <c r="G775" t="s" s="2">
        <v>1289</v>
      </c>
      <c r="H775" s="5">
        <v>760</v>
      </c>
      <c r="I775" t="s" s="2">
        <v>331</v>
      </c>
      <c r="J775" t="s" s="2">
        <v>22</v>
      </c>
      <c r="K775" t="s" s="2">
        <v>1614</v>
      </c>
      <c r="L775" t="s" s="2">
        <v>1615</v>
      </c>
      <c r="M775" s="5">
        <v>479963.08</v>
      </c>
      <c r="N775" s="5">
        <v>6220755.14</v>
      </c>
      <c r="O775" t="s" s="2">
        <v>305</v>
      </c>
      <c r="P775" s="5">
        <v>4031973</v>
      </c>
      <c r="Q775" t="s" s="2">
        <v>1292</v>
      </c>
      <c r="R775" t="s" s="2">
        <f>_xlfn.IFERROR(INDEX('model_byCAP'!$D$2:$D$377,MATCH(Q775,'model_byCAP'!$A$2:$A$377,0)),0)</f>
        <v>1293</v>
      </c>
    </row>
    <row r="776" ht="15.35" customHeight="1">
      <c r="A776" t="s" s="2">
        <v>1616</v>
      </c>
      <c r="B776" s="4">
        <v>40710</v>
      </c>
      <c r="C776" s="5">
        <v>3000</v>
      </c>
      <c r="D776" s="5">
        <v>101</v>
      </c>
      <c r="E776" s="5">
        <v>90</v>
      </c>
      <c r="F776" t="s" s="2">
        <v>19</v>
      </c>
      <c r="G776" t="s" s="2">
        <v>1289</v>
      </c>
      <c r="H776" s="5">
        <v>760</v>
      </c>
      <c r="I776" t="s" s="2">
        <v>331</v>
      </c>
      <c r="J776" t="s" s="2">
        <v>22</v>
      </c>
      <c r="K776" t="s" s="2">
        <v>1614</v>
      </c>
      <c r="L776" t="s" s="2">
        <v>1617</v>
      </c>
      <c r="M776" s="5">
        <v>479732.85</v>
      </c>
      <c r="N776" s="5">
        <v>6220945.79</v>
      </c>
      <c r="O776" t="s" s="2">
        <v>305</v>
      </c>
      <c r="P776" s="5">
        <v>4031974</v>
      </c>
      <c r="Q776" t="s" s="2">
        <v>1292</v>
      </c>
      <c r="R776" t="s" s="2">
        <f>_xlfn.IFERROR(INDEX('model_byCAP'!$D$2:$D$377,MATCH(Q776,'model_byCAP'!$A$2:$A$377,0)),0)</f>
        <v>1293</v>
      </c>
    </row>
    <row r="777" ht="15.35" customHeight="1">
      <c r="A777" t="s" s="2">
        <v>1618</v>
      </c>
      <c r="B777" s="4">
        <v>40700</v>
      </c>
      <c r="C777" s="5">
        <v>3000</v>
      </c>
      <c r="D777" s="5">
        <v>101</v>
      </c>
      <c r="E777" s="5">
        <v>90</v>
      </c>
      <c r="F777" t="s" s="2">
        <v>19</v>
      </c>
      <c r="G777" t="s" s="2">
        <v>1289</v>
      </c>
      <c r="H777" s="5">
        <v>760</v>
      </c>
      <c r="I777" t="s" s="2">
        <v>331</v>
      </c>
      <c r="J777" t="s" s="2">
        <v>22</v>
      </c>
      <c r="K777" t="s" s="2">
        <v>1614</v>
      </c>
      <c r="L777" t="s" s="2">
        <v>1617</v>
      </c>
      <c r="M777" s="5">
        <v>479502.91</v>
      </c>
      <c r="N777" s="5">
        <v>6221137</v>
      </c>
      <c r="O777" t="s" s="2">
        <v>305</v>
      </c>
      <c r="P777" s="5">
        <v>4031975</v>
      </c>
      <c r="Q777" t="s" s="2">
        <v>1292</v>
      </c>
      <c r="R777" t="s" s="2">
        <f>_xlfn.IFERROR(INDEX('model_byCAP'!$D$2:$D$377,MATCH(Q777,'model_byCAP'!$A$2:$A$377,0)),0)</f>
        <v>1293</v>
      </c>
    </row>
    <row r="778" ht="15.35" customHeight="1">
      <c r="A778" t="s" s="2">
        <v>1619</v>
      </c>
      <c r="B778" s="4">
        <v>40724</v>
      </c>
      <c r="C778" s="5">
        <v>3000</v>
      </c>
      <c r="D778" s="5">
        <v>101</v>
      </c>
      <c r="E778" s="5">
        <v>90</v>
      </c>
      <c r="F778" t="s" s="2">
        <v>19</v>
      </c>
      <c r="G778" t="s" s="2">
        <v>1289</v>
      </c>
      <c r="H778" s="5">
        <v>760</v>
      </c>
      <c r="I778" t="s" s="2">
        <v>331</v>
      </c>
      <c r="J778" t="s" s="2">
        <v>22</v>
      </c>
      <c r="K778" t="s" s="2">
        <v>1614</v>
      </c>
      <c r="L778" t="s" s="2">
        <v>1615</v>
      </c>
      <c r="M778" s="5">
        <v>480422.35</v>
      </c>
      <c r="N778" s="5">
        <v>6220373.68</v>
      </c>
      <c r="O778" t="s" s="2">
        <v>305</v>
      </c>
      <c r="P778" s="5">
        <v>4031971</v>
      </c>
      <c r="Q778" t="s" s="2">
        <v>1292</v>
      </c>
      <c r="R778" t="s" s="2">
        <f>_xlfn.IFERROR(INDEX('model_byCAP'!$D$2:$D$377,MATCH(Q778,'model_byCAP'!$A$2:$A$377,0)),0)</f>
        <v>1293</v>
      </c>
    </row>
    <row r="779" ht="15.35" customHeight="1">
      <c r="A779" t="s" s="2">
        <v>1620</v>
      </c>
      <c r="B779" s="4">
        <v>40606</v>
      </c>
      <c r="C779" s="5">
        <v>3000</v>
      </c>
      <c r="D779" s="5">
        <v>101</v>
      </c>
      <c r="E779" s="5">
        <v>90</v>
      </c>
      <c r="F779" t="s" s="2">
        <v>19</v>
      </c>
      <c r="G779" t="s" s="2">
        <v>1289</v>
      </c>
      <c r="H779" s="5">
        <v>760</v>
      </c>
      <c r="I779" t="s" s="2">
        <v>331</v>
      </c>
      <c r="J779" t="s" s="2">
        <v>22</v>
      </c>
      <c r="K779" t="s" s="2">
        <v>1614</v>
      </c>
      <c r="L779" t="s" s="2">
        <v>1615</v>
      </c>
      <c r="M779" s="5">
        <v>480192.68</v>
      </c>
      <c r="N779" s="5">
        <v>6220564.35</v>
      </c>
      <c r="O779" t="s" s="2">
        <v>305</v>
      </c>
      <c r="P779" s="5">
        <v>4031972</v>
      </c>
      <c r="Q779" t="s" s="2">
        <v>1292</v>
      </c>
      <c r="R779" t="s" s="2">
        <f>_xlfn.IFERROR(INDEX('model_byCAP'!$D$2:$D$377,MATCH(Q779,'model_byCAP'!$A$2:$A$377,0)),0)</f>
        <v>1293</v>
      </c>
    </row>
    <row r="780" ht="15.35" customHeight="1">
      <c r="A780" t="s" s="2">
        <v>1621</v>
      </c>
      <c r="B780" s="4">
        <v>41498</v>
      </c>
      <c r="C780" s="5">
        <v>3000</v>
      </c>
      <c r="D780" s="5">
        <v>90</v>
      </c>
      <c r="E780" s="5">
        <v>80</v>
      </c>
      <c r="F780" t="s" s="2">
        <v>301</v>
      </c>
      <c r="G780" t="s" s="2">
        <v>1502</v>
      </c>
      <c r="H780" s="5">
        <v>760</v>
      </c>
      <c r="I780" t="s" s="2">
        <v>331</v>
      </c>
      <c r="J780" t="s" s="2">
        <v>22</v>
      </c>
      <c r="K780" t="s" s="2">
        <v>1622</v>
      </c>
      <c r="L780" t="s" s="2">
        <v>1623</v>
      </c>
      <c r="M780" s="5">
        <v>479023.36</v>
      </c>
      <c r="N780" s="5">
        <v>6207801.74</v>
      </c>
      <c r="O780" t="s" s="2">
        <v>305</v>
      </c>
      <c r="P780" s="5">
        <v>85138</v>
      </c>
      <c r="Q780" t="s" s="2">
        <v>1505</v>
      </c>
      <c r="R780" t="s" s="2">
        <f>_xlfn.IFERROR(INDEX('model_byCAP'!$D$2:$D$377,MATCH(Q780,'model_byCAP'!$A$2:$A$377,0)),0)</f>
        <v>1494</v>
      </c>
    </row>
    <row r="781" ht="15.35" customHeight="1">
      <c r="A781" t="s" s="2">
        <v>1624</v>
      </c>
      <c r="B781" s="4">
        <v>41499</v>
      </c>
      <c r="C781" s="5">
        <v>3000</v>
      </c>
      <c r="D781" s="5">
        <v>90</v>
      </c>
      <c r="E781" s="5">
        <v>80</v>
      </c>
      <c r="F781" t="s" s="2">
        <v>301</v>
      </c>
      <c r="G781" t="s" s="2">
        <v>1502</v>
      </c>
      <c r="H781" s="5">
        <v>760</v>
      </c>
      <c r="I781" t="s" s="2">
        <v>331</v>
      </c>
      <c r="J781" t="s" s="2">
        <v>22</v>
      </c>
      <c r="K781" t="s" s="2">
        <v>1622</v>
      </c>
      <c r="L781" t="s" s="2">
        <v>1623</v>
      </c>
      <c r="M781" s="5">
        <v>479344.29</v>
      </c>
      <c r="N781" s="5">
        <v>6207695.81</v>
      </c>
      <c r="O781" t="s" s="2">
        <v>305</v>
      </c>
      <c r="P781" s="5">
        <v>85139</v>
      </c>
      <c r="Q781" t="s" s="2">
        <v>1505</v>
      </c>
      <c r="R781" t="s" s="2">
        <f>_xlfn.IFERROR(INDEX('model_byCAP'!$D$2:$D$377,MATCH(Q781,'model_byCAP'!$A$2:$A$377,0)),0)</f>
        <v>1494</v>
      </c>
    </row>
    <row r="782" ht="15.35" customHeight="1">
      <c r="A782" t="s" s="2">
        <v>1625</v>
      </c>
      <c r="B782" s="4">
        <v>41500</v>
      </c>
      <c r="C782" s="5">
        <v>3000</v>
      </c>
      <c r="D782" s="5">
        <v>90</v>
      </c>
      <c r="E782" s="5">
        <v>80</v>
      </c>
      <c r="F782" t="s" s="2">
        <v>301</v>
      </c>
      <c r="G782" t="s" s="2">
        <v>1502</v>
      </c>
      <c r="H782" s="5">
        <v>760</v>
      </c>
      <c r="I782" t="s" s="2">
        <v>331</v>
      </c>
      <c r="J782" t="s" s="2">
        <v>22</v>
      </c>
      <c r="K782" t="s" s="2">
        <v>1622</v>
      </c>
      <c r="L782" t="s" s="2">
        <v>1626</v>
      </c>
      <c r="M782" s="5">
        <v>479666.13</v>
      </c>
      <c r="N782" s="5">
        <v>6207588.5</v>
      </c>
      <c r="O782" t="s" s="2">
        <v>305</v>
      </c>
      <c r="P782" s="5">
        <v>85140</v>
      </c>
      <c r="Q782" t="s" s="2">
        <v>1505</v>
      </c>
      <c r="R782" t="s" s="2">
        <f>_xlfn.IFERROR(INDEX('model_byCAP'!$D$2:$D$377,MATCH(Q782,'model_byCAP'!$A$2:$A$377,0)),0)</f>
        <v>1494</v>
      </c>
    </row>
    <row r="783" ht="15.35" customHeight="1">
      <c r="A783" t="s" s="2">
        <v>1627</v>
      </c>
      <c r="B783" s="4">
        <v>41554</v>
      </c>
      <c r="C783" s="5">
        <v>3000</v>
      </c>
      <c r="D783" s="5">
        <v>101</v>
      </c>
      <c r="E783" s="5">
        <v>89.5</v>
      </c>
      <c r="F783" t="s" s="2">
        <v>19</v>
      </c>
      <c r="G783" t="s" s="2">
        <v>1289</v>
      </c>
      <c r="H783" s="5">
        <v>760</v>
      </c>
      <c r="I783" t="s" s="2">
        <v>331</v>
      </c>
      <c r="J783" t="s" s="2">
        <v>22</v>
      </c>
      <c r="K783" t="s" s="2">
        <v>1628</v>
      </c>
      <c r="L783" t="s" s="2">
        <v>1629</v>
      </c>
      <c r="M783" s="5">
        <v>475881.22</v>
      </c>
      <c r="N783" s="5">
        <v>6218681.7</v>
      </c>
      <c r="O783" t="s" s="2">
        <v>305</v>
      </c>
      <c r="P783" s="5">
        <v>85145</v>
      </c>
      <c r="Q783" t="s" s="2">
        <v>1292</v>
      </c>
      <c r="R783" t="s" s="2">
        <f>_xlfn.IFERROR(INDEX('model_byCAP'!$D$2:$D$377,MATCH(Q783,'model_byCAP'!$A$2:$A$377,0)),0)</f>
        <v>1293</v>
      </c>
    </row>
    <row r="784" ht="15.35" customHeight="1">
      <c r="A784" t="s" s="2">
        <v>1630</v>
      </c>
      <c r="B784" s="4">
        <v>41550</v>
      </c>
      <c r="C784" s="5">
        <v>3000</v>
      </c>
      <c r="D784" s="5">
        <v>101</v>
      </c>
      <c r="E784" s="5">
        <v>89.5</v>
      </c>
      <c r="F784" t="s" s="2">
        <v>19</v>
      </c>
      <c r="G784" t="s" s="2">
        <v>1289</v>
      </c>
      <c r="H784" s="5">
        <v>760</v>
      </c>
      <c r="I784" t="s" s="2">
        <v>331</v>
      </c>
      <c r="J784" t="s" s="2">
        <v>22</v>
      </c>
      <c r="K784" t="s" s="2">
        <v>1628</v>
      </c>
      <c r="L784" t="s" s="2">
        <v>1631</v>
      </c>
      <c r="M784" s="5">
        <v>476260.56</v>
      </c>
      <c r="N784" s="5">
        <v>6218711.87</v>
      </c>
      <c r="O784" t="s" s="2">
        <v>305</v>
      </c>
      <c r="P784" s="5">
        <v>85146</v>
      </c>
      <c r="Q784" t="s" s="2">
        <v>1292</v>
      </c>
      <c r="R784" t="s" s="2">
        <f>_xlfn.IFERROR(INDEX('model_byCAP'!$D$2:$D$377,MATCH(Q784,'model_byCAP'!$A$2:$A$377,0)),0)</f>
        <v>1293</v>
      </c>
    </row>
    <row r="785" ht="15.35" customHeight="1">
      <c r="A785" t="s" s="2">
        <v>1632</v>
      </c>
      <c r="B785" s="4">
        <v>41548</v>
      </c>
      <c r="C785" s="5">
        <v>3000</v>
      </c>
      <c r="D785" s="5">
        <v>101</v>
      </c>
      <c r="E785" s="5">
        <v>89.5</v>
      </c>
      <c r="F785" t="s" s="2">
        <v>19</v>
      </c>
      <c r="G785" t="s" s="2">
        <v>1289</v>
      </c>
      <c r="H785" s="5">
        <v>760</v>
      </c>
      <c r="I785" t="s" s="2">
        <v>331</v>
      </c>
      <c r="J785" t="s" s="2">
        <v>22</v>
      </c>
      <c r="K785" t="s" s="2">
        <v>1628</v>
      </c>
      <c r="L785" t="s" s="2">
        <v>1633</v>
      </c>
      <c r="M785" s="5">
        <v>476639.01</v>
      </c>
      <c r="N785" s="5">
        <v>6218741.59</v>
      </c>
      <c r="O785" t="s" s="2">
        <v>305</v>
      </c>
      <c r="P785" s="5">
        <v>85147</v>
      </c>
      <c r="Q785" t="s" s="2">
        <v>1292</v>
      </c>
      <c r="R785" t="s" s="2">
        <f>_xlfn.IFERROR(INDEX('model_byCAP'!$D$2:$D$377,MATCH(Q785,'model_byCAP'!$A$2:$A$377,0)),0)</f>
        <v>1293</v>
      </c>
    </row>
    <row r="786" ht="15.35" customHeight="1">
      <c r="A786" t="s" s="2">
        <v>1634</v>
      </c>
      <c r="B786" s="4">
        <v>41548</v>
      </c>
      <c r="C786" s="5">
        <v>3000</v>
      </c>
      <c r="D786" s="5">
        <v>101</v>
      </c>
      <c r="E786" s="5">
        <v>89.5</v>
      </c>
      <c r="F786" t="s" s="2">
        <v>19</v>
      </c>
      <c r="G786" t="s" s="2">
        <v>1289</v>
      </c>
      <c r="H786" s="5">
        <v>760</v>
      </c>
      <c r="I786" t="s" s="2">
        <v>331</v>
      </c>
      <c r="J786" t="s" s="2">
        <v>22</v>
      </c>
      <c r="K786" t="s" s="2">
        <v>1628</v>
      </c>
      <c r="L786" t="s" s="2">
        <v>1635</v>
      </c>
      <c r="M786" s="5">
        <v>477018.81</v>
      </c>
      <c r="N786" s="5">
        <v>6218772.05</v>
      </c>
      <c r="O786" t="s" s="2">
        <v>305</v>
      </c>
      <c r="P786" s="5">
        <v>85148</v>
      </c>
      <c r="Q786" t="s" s="2">
        <v>1292</v>
      </c>
      <c r="R786" t="s" s="2">
        <f>_xlfn.IFERROR(INDEX('model_byCAP'!$D$2:$D$377,MATCH(Q786,'model_byCAP'!$A$2:$A$377,0)),0)</f>
        <v>1293</v>
      </c>
    </row>
    <row r="787" ht="15.35" customHeight="1">
      <c r="A787" t="s" s="2">
        <v>1636</v>
      </c>
      <c r="B787" s="4">
        <v>42334</v>
      </c>
      <c r="C787" s="5">
        <v>3000</v>
      </c>
      <c r="D787" s="5">
        <v>90</v>
      </c>
      <c r="E787" s="5">
        <v>80</v>
      </c>
      <c r="F787" t="s" s="2">
        <v>301</v>
      </c>
      <c r="G787" t="s" s="2">
        <v>1502</v>
      </c>
      <c r="H787" s="5">
        <v>760</v>
      </c>
      <c r="I787" t="s" s="2">
        <v>331</v>
      </c>
      <c r="J787" t="s" s="2">
        <v>22</v>
      </c>
      <c r="K787" t="s" s="2">
        <v>1637</v>
      </c>
      <c r="L787" t="s" s="2">
        <v>1638</v>
      </c>
      <c r="M787" s="5">
        <v>452793.37</v>
      </c>
      <c r="N787" s="5">
        <v>6220184.11</v>
      </c>
      <c r="O787" t="s" s="2">
        <v>305</v>
      </c>
      <c r="P787" s="5">
        <v>85174</v>
      </c>
      <c r="Q787" t="s" s="2">
        <v>1505</v>
      </c>
      <c r="R787" t="s" s="2">
        <f>_xlfn.IFERROR(INDEX('model_byCAP'!$D$2:$D$377,MATCH(Q787,'model_byCAP'!$A$2:$A$377,0)),0)</f>
        <v>1494</v>
      </c>
    </row>
    <row r="788" ht="15.35" customHeight="1">
      <c r="A788" t="s" s="2">
        <v>1639</v>
      </c>
      <c r="B788" s="4">
        <v>42367</v>
      </c>
      <c r="C788" s="5">
        <v>3000</v>
      </c>
      <c r="D788" s="5">
        <v>90</v>
      </c>
      <c r="E788" s="5">
        <v>80</v>
      </c>
      <c r="F788" t="s" s="2">
        <v>301</v>
      </c>
      <c r="G788" t="s" s="2">
        <v>1502</v>
      </c>
      <c r="H788" s="5">
        <v>760</v>
      </c>
      <c r="I788" t="s" s="2">
        <v>331</v>
      </c>
      <c r="J788" t="s" s="2">
        <v>22</v>
      </c>
      <c r="K788" t="s" s="2">
        <v>1637</v>
      </c>
      <c r="L788" t="s" s="2">
        <v>1640</v>
      </c>
      <c r="M788" s="5">
        <v>452781.72</v>
      </c>
      <c r="N788" s="5">
        <v>6219864.72</v>
      </c>
      <c r="O788" t="s" s="2">
        <v>305</v>
      </c>
      <c r="P788" s="5">
        <v>85175</v>
      </c>
      <c r="Q788" t="s" s="2">
        <v>1505</v>
      </c>
      <c r="R788" t="s" s="2">
        <f>_xlfn.IFERROR(INDEX('model_byCAP'!$D$2:$D$377,MATCH(Q788,'model_byCAP'!$A$2:$A$377,0)),0)</f>
        <v>1494</v>
      </c>
    </row>
    <row r="789" ht="15.35" customHeight="1">
      <c r="A789" t="s" s="2">
        <v>1641</v>
      </c>
      <c r="B789" s="4">
        <v>42345</v>
      </c>
      <c r="C789" s="5">
        <v>3000</v>
      </c>
      <c r="D789" s="5">
        <v>90</v>
      </c>
      <c r="E789" s="5">
        <v>80</v>
      </c>
      <c r="F789" t="s" s="2">
        <v>301</v>
      </c>
      <c r="G789" t="s" s="2">
        <v>1502</v>
      </c>
      <c r="H789" s="5">
        <v>760</v>
      </c>
      <c r="I789" t="s" s="2">
        <v>331</v>
      </c>
      <c r="J789" t="s" s="2">
        <v>22</v>
      </c>
      <c r="K789" t="s" s="2">
        <v>1637</v>
      </c>
      <c r="L789" t="s" s="2">
        <v>1642</v>
      </c>
      <c r="M789" s="5">
        <v>452769.21</v>
      </c>
      <c r="N789" s="5">
        <v>6219544.64</v>
      </c>
      <c r="O789" t="s" s="2">
        <v>305</v>
      </c>
      <c r="P789" s="5">
        <v>85176</v>
      </c>
      <c r="Q789" t="s" s="2">
        <v>1505</v>
      </c>
      <c r="R789" t="s" s="2">
        <f>_xlfn.IFERROR(INDEX('model_byCAP'!$D$2:$D$377,MATCH(Q789,'model_byCAP'!$A$2:$A$377,0)),0)</f>
        <v>1494</v>
      </c>
    </row>
    <row r="790" ht="15.35" customHeight="1">
      <c r="A790" t="s" s="2">
        <v>1643</v>
      </c>
      <c r="B790" s="4">
        <v>42354</v>
      </c>
      <c r="C790" s="5">
        <v>3000</v>
      </c>
      <c r="D790" s="5">
        <v>90</v>
      </c>
      <c r="E790" s="5">
        <v>80</v>
      </c>
      <c r="F790" t="s" s="2">
        <v>301</v>
      </c>
      <c r="G790" t="s" s="2">
        <v>1502</v>
      </c>
      <c r="H790" s="5">
        <v>760</v>
      </c>
      <c r="I790" t="s" s="2">
        <v>331</v>
      </c>
      <c r="J790" t="s" s="2">
        <v>22</v>
      </c>
      <c r="K790" t="s" s="2">
        <v>1637</v>
      </c>
      <c r="L790" t="s" s="2">
        <v>1644</v>
      </c>
      <c r="M790" s="5">
        <v>452756.84</v>
      </c>
      <c r="N790" s="5">
        <v>6219225.23</v>
      </c>
      <c r="O790" t="s" s="2">
        <v>305</v>
      </c>
      <c r="P790" s="5">
        <v>85177</v>
      </c>
      <c r="Q790" t="s" s="2">
        <v>1505</v>
      </c>
      <c r="R790" t="s" s="2">
        <f>_xlfn.IFERROR(INDEX('model_byCAP'!$D$2:$D$377,MATCH(Q790,'model_byCAP'!$A$2:$A$377,0)),0)</f>
        <v>1494</v>
      </c>
    </row>
    <row r="791" ht="15.35" customHeight="1">
      <c r="A791" t="s" s="2">
        <v>1645</v>
      </c>
      <c r="B791" s="4">
        <v>42356</v>
      </c>
      <c r="C791" s="5">
        <v>3000</v>
      </c>
      <c r="D791" s="5">
        <v>90</v>
      </c>
      <c r="E791" s="5">
        <v>80</v>
      </c>
      <c r="F791" t="s" s="2">
        <v>301</v>
      </c>
      <c r="G791" t="s" s="2">
        <v>1502</v>
      </c>
      <c r="H791" s="5">
        <v>760</v>
      </c>
      <c r="I791" t="s" s="2">
        <v>331</v>
      </c>
      <c r="J791" t="s" s="2">
        <v>22</v>
      </c>
      <c r="K791" t="s" s="2">
        <v>1637</v>
      </c>
      <c r="L791" t="s" s="2">
        <v>1646</v>
      </c>
      <c r="M791" s="5">
        <v>452744.83</v>
      </c>
      <c r="N791" s="5">
        <v>6218905.86</v>
      </c>
      <c r="O791" t="s" s="2">
        <v>305</v>
      </c>
      <c r="P791" s="5">
        <v>85178</v>
      </c>
      <c r="Q791" t="s" s="2">
        <v>1505</v>
      </c>
      <c r="R791" t="s" s="2">
        <f>_xlfn.IFERROR(INDEX('model_byCAP'!$D$2:$D$377,MATCH(Q791,'model_byCAP'!$A$2:$A$377,0)),0)</f>
        <v>1494</v>
      </c>
    </row>
    <row r="792" ht="15.35" customHeight="1">
      <c r="A792" t="s" s="2">
        <v>1647</v>
      </c>
      <c r="B792" s="4">
        <v>41974</v>
      </c>
      <c r="C792" s="5">
        <v>3000</v>
      </c>
      <c r="D792" s="5">
        <v>101</v>
      </c>
      <c r="E792" s="5">
        <v>89.5</v>
      </c>
      <c r="F792" t="s" s="2">
        <v>19</v>
      </c>
      <c r="G792" t="s" s="2">
        <v>1289</v>
      </c>
      <c r="H792" s="5">
        <v>773</v>
      </c>
      <c r="I792" t="s" s="2">
        <v>1648</v>
      </c>
      <c r="J792" t="s" s="2">
        <v>22</v>
      </c>
      <c r="K792" t="s" s="2">
        <v>1649</v>
      </c>
      <c r="L792" t="s" s="2">
        <v>1650</v>
      </c>
      <c r="M792" s="5">
        <v>479806.4</v>
      </c>
      <c r="N792" s="5">
        <v>6291340.41</v>
      </c>
      <c r="O792" t="s" s="2">
        <v>305</v>
      </c>
      <c r="P792" s="5">
        <v>225322</v>
      </c>
      <c r="Q792" t="s" s="2">
        <v>1292</v>
      </c>
      <c r="R792" t="s" s="2">
        <f>_xlfn.IFERROR(INDEX('model_byCAP'!$D$2:$D$377,MATCH(Q792,'model_byCAP'!$A$2:$A$377,0)),0)</f>
        <v>1293</v>
      </c>
    </row>
    <row r="793" ht="15.35" customHeight="1">
      <c r="A793" t="s" s="2">
        <v>1651</v>
      </c>
      <c r="B793" s="4">
        <v>41966</v>
      </c>
      <c r="C793" s="5">
        <v>3000</v>
      </c>
      <c r="D793" s="5">
        <v>101</v>
      </c>
      <c r="E793" s="5">
        <v>89.5</v>
      </c>
      <c r="F793" t="s" s="2">
        <v>19</v>
      </c>
      <c r="G793" t="s" s="2">
        <v>1289</v>
      </c>
      <c r="H793" s="5">
        <v>773</v>
      </c>
      <c r="I793" t="s" s="2">
        <v>1648</v>
      </c>
      <c r="J793" t="s" s="2">
        <v>22</v>
      </c>
      <c r="K793" t="s" s="2">
        <v>1649</v>
      </c>
      <c r="L793" t="s" s="2">
        <v>1650</v>
      </c>
      <c r="M793" s="5">
        <v>479625.1</v>
      </c>
      <c r="N793" s="5">
        <v>6291025.88</v>
      </c>
      <c r="O793" t="s" s="2">
        <v>305</v>
      </c>
      <c r="P793" s="5">
        <v>225324</v>
      </c>
      <c r="Q793" t="s" s="2">
        <v>1292</v>
      </c>
      <c r="R793" t="s" s="2">
        <f>_xlfn.IFERROR(INDEX('model_byCAP'!$D$2:$D$377,MATCH(Q793,'model_byCAP'!$A$2:$A$377,0)),0)</f>
        <v>1293</v>
      </c>
    </row>
    <row r="794" ht="15.35" customHeight="1">
      <c r="A794" t="s" s="2">
        <v>1652</v>
      </c>
      <c r="B794" s="4">
        <v>41960</v>
      </c>
      <c r="C794" s="5">
        <v>3000</v>
      </c>
      <c r="D794" s="5">
        <v>101</v>
      </c>
      <c r="E794" s="5">
        <v>89.5</v>
      </c>
      <c r="F794" t="s" s="2">
        <v>19</v>
      </c>
      <c r="G794" t="s" s="2">
        <v>1289</v>
      </c>
      <c r="H794" s="5">
        <v>773</v>
      </c>
      <c r="I794" t="s" s="2">
        <v>1648</v>
      </c>
      <c r="J794" t="s" s="2">
        <v>22</v>
      </c>
      <c r="K794" t="s" s="2">
        <v>1653</v>
      </c>
      <c r="L794" t="s" s="2">
        <v>1301</v>
      </c>
      <c r="M794" s="5">
        <v>479376.76</v>
      </c>
      <c r="N794" s="5">
        <v>6290759.65</v>
      </c>
      <c r="O794" t="s" s="2">
        <v>305</v>
      </c>
      <c r="P794" s="5">
        <v>225326</v>
      </c>
      <c r="Q794" t="s" s="2">
        <v>1292</v>
      </c>
      <c r="R794" t="s" s="2">
        <f>_xlfn.IFERROR(INDEX('model_byCAP'!$D$2:$D$377,MATCH(Q794,'model_byCAP'!$A$2:$A$377,0)),0)</f>
        <v>1293</v>
      </c>
    </row>
    <row r="795" ht="15.35" customHeight="1">
      <c r="A795" t="s" s="2">
        <v>1654</v>
      </c>
      <c r="B795" s="4">
        <v>41960</v>
      </c>
      <c r="C795" s="5">
        <v>3000</v>
      </c>
      <c r="D795" s="5">
        <v>101</v>
      </c>
      <c r="E795" s="5">
        <v>89.5</v>
      </c>
      <c r="F795" t="s" s="2">
        <v>19</v>
      </c>
      <c r="G795" t="s" s="2">
        <v>1289</v>
      </c>
      <c r="H795" s="5">
        <v>773</v>
      </c>
      <c r="I795" t="s" s="2">
        <v>1648</v>
      </c>
      <c r="J795" t="s" s="2">
        <v>22</v>
      </c>
      <c r="K795" t="s" s="2">
        <v>1655</v>
      </c>
      <c r="L795" t="s" s="2">
        <v>1656</v>
      </c>
      <c r="M795" s="5">
        <v>479056</v>
      </c>
      <c r="N795" s="5">
        <v>6290542.56</v>
      </c>
      <c r="O795" t="s" s="2">
        <v>305</v>
      </c>
      <c r="P795" s="5">
        <v>225328</v>
      </c>
      <c r="Q795" t="s" s="2">
        <v>1292</v>
      </c>
      <c r="R795" t="s" s="2">
        <f>_xlfn.IFERROR(INDEX('model_byCAP'!$D$2:$D$377,MATCH(Q795,'model_byCAP'!$A$2:$A$377,0)),0)</f>
        <v>1293</v>
      </c>
    </row>
    <row r="796" ht="15.35" customHeight="1">
      <c r="A796" t="s" s="2">
        <v>1657</v>
      </c>
      <c r="B796" s="4">
        <v>41989</v>
      </c>
      <c r="C796" s="5">
        <v>3000</v>
      </c>
      <c r="D796" s="5">
        <v>101</v>
      </c>
      <c r="E796" s="5">
        <v>89.5</v>
      </c>
      <c r="F796" t="s" s="2">
        <v>19</v>
      </c>
      <c r="G796" t="s" s="2">
        <v>1289</v>
      </c>
      <c r="H796" s="5">
        <v>773</v>
      </c>
      <c r="I796" t="s" s="2">
        <v>1648</v>
      </c>
      <c r="J796" t="s" s="2">
        <v>22</v>
      </c>
      <c r="K796" t="s" s="2">
        <v>1655</v>
      </c>
      <c r="L796" t="s" s="2">
        <v>1658</v>
      </c>
      <c r="M796" s="5">
        <v>478690.46</v>
      </c>
      <c r="N796" s="5">
        <v>6290407.3</v>
      </c>
      <c r="O796" t="s" s="2">
        <v>305</v>
      </c>
      <c r="P796" s="5">
        <v>225330</v>
      </c>
      <c r="Q796" t="s" s="2">
        <v>1292</v>
      </c>
      <c r="R796" t="s" s="2">
        <f>_xlfn.IFERROR(INDEX('model_byCAP'!$D$2:$D$377,MATCH(Q796,'model_byCAP'!$A$2:$A$377,0)),0)</f>
        <v>1293</v>
      </c>
    </row>
    <row r="797" ht="15.35" customHeight="1">
      <c r="A797" t="s" s="2">
        <v>1659</v>
      </c>
      <c r="B797" s="4">
        <v>41981</v>
      </c>
      <c r="C797" s="5">
        <v>3000</v>
      </c>
      <c r="D797" s="5">
        <v>101</v>
      </c>
      <c r="E797" s="5">
        <v>89.5</v>
      </c>
      <c r="F797" t="s" s="2">
        <v>19</v>
      </c>
      <c r="G797" t="s" s="2">
        <v>1289</v>
      </c>
      <c r="H797" s="5">
        <v>773</v>
      </c>
      <c r="I797" t="s" s="2">
        <v>1648</v>
      </c>
      <c r="J797" t="s" s="2">
        <v>22</v>
      </c>
      <c r="K797" t="s" s="2">
        <v>1655</v>
      </c>
      <c r="L797" t="s" s="2">
        <v>1660</v>
      </c>
      <c r="M797" s="5">
        <v>478303.38</v>
      </c>
      <c r="N797" s="5">
        <v>6290362.46</v>
      </c>
      <c r="O797" t="s" s="2">
        <v>305</v>
      </c>
      <c r="P797" s="5">
        <v>225332</v>
      </c>
      <c r="Q797" t="s" s="2">
        <v>1292</v>
      </c>
      <c r="R797" t="s" s="2">
        <f>_xlfn.IFERROR(INDEX('model_byCAP'!$D$2:$D$377,MATCH(Q797,'model_byCAP'!$A$2:$A$377,0)),0)</f>
        <v>1293</v>
      </c>
    </row>
    <row r="798" ht="15.35" customHeight="1">
      <c r="A798" t="s" s="2">
        <v>1661</v>
      </c>
      <c r="B798" s="4">
        <v>41232</v>
      </c>
      <c r="C798" s="5">
        <v>3000</v>
      </c>
      <c r="D798" s="5">
        <v>101</v>
      </c>
      <c r="E798" s="5">
        <v>89.5</v>
      </c>
      <c r="F798" t="s" s="2">
        <v>19</v>
      </c>
      <c r="G798" t="s" s="2">
        <v>1289</v>
      </c>
      <c r="H798" s="5">
        <v>779</v>
      </c>
      <c r="I798" t="s" s="2">
        <v>1308</v>
      </c>
      <c r="J798" t="s" s="2">
        <v>22</v>
      </c>
      <c r="K798" t="s" s="2">
        <v>1662</v>
      </c>
      <c r="L798" t="s" s="2">
        <v>1663</v>
      </c>
      <c r="M798" s="5">
        <v>499432.97</v>
      </c>
      <c r="N798" s="5">
        <v>6290695.01</v>
      </c>
      <c r="O798" t="s" s="2">
        <v>305</v>
      </c>
      <c r="P798" s="5">
        <v>4043124</v>
      </c>
      <c r="Q798" t="s" s="2">
        <v>1292</v>
      </c>
      <c r="R798" t="s" s="2">
        <f>_xlfn.IFERROR(INDEX('model_byCAP'!$D$2:$D$377,MATCH(Q798,'model_byCAP'!$A$2:$A$377,0)),0)</f>
        <v>1293</v>
      </c>
    </row>
    <row r="799" ht="15.35" customHeight="1">
      <c r="A799" t="s" s="2">
        <v>1664</v>
      </c>
      <c r="B799" s="4">
        <v>41232</v>
      </c>
      <c r="C799" s="5">
        <v>3000</v>
      </c>
      <c r="D799" s="5">
        <v>101</v>
      </c>
      <c r="E799" s="5">
        <v>89.5</v>
      </c>
      <c r="F799" t="s" s="2">
        <v>19</v>
      </c>
      <c r="G799" t="s" s="2">
        <v>1289</v>
      </c>
      <c r="H799" s="5">
        <v>779</v>
      </c>
      <c r="I799" t="s" s="2">
        <v>1308</v>
      </c>
      <c r="J799" t="s" s="2">
        <v>22</v>
      </c>
      <c r="K799" t="s" s="2">
        <v>1662</v>
      </c>
      <c r="L799" t="s" s="2">
        <v>1665</v>
      </c>
      <c r="M799" s="5">
        <v>499754.57</v>
      </c>
      <c r="N799" s="5">
        <v>6290490.65</v>
      </c>
      <c r="O799" t="s" s="2">
        <v>305</v>
      </c>
      <c r="P799" s="5">
        <v>4043125</v>
      </c>
      <c r="Q799" t="s" s="2">
        <v>1292</v>
      </c>
      <c r="R799" t="s" s="2">
        <f>_xlfn.IFERROR(INDEX('model_byCAP'!$D$2:$D$377,MATCH(Q799,'model_byCAP'!$A$2:$A$377,0)),0)</f>
        <v>1293</v>
      </c>
    </row>
    <row r="800" ht="15.35" customHeight="1">
      <c r="A800" t="s" s="2">
        <v>1666</v>
      </c>
      <c r="B800" s="4">
        <v>41236</v>
      </c>
      <c r="C800" s="5">
        <v>3000</v>
      </c>
      <c r="D800" s="5">
        <v>101</v>
      </c>
      <c r="E800" s="5">
        <v>89.5</v>
      </c>
      <c r="F800" t="s" s="2">
        <v>19</v>
      </c>
      <c r="G800" t="s" s="2">
        <v>1289</v>
      </c>
      <c r="H800" s="5">
        <v>779</v>
      </c>
      <c r="I800" t="s" s="2">
        <v>1308</v>
      </c>
      <c r="J800" t="s" s="2">
        <v>22</v>
      </c>
      <c r="K800" t="s" s="2">
        <v>1662</v>
      </c>
      <c r="L800" t="s" s="2">
        <v>1667</v>
      </c>
      <c r="M800" s="5">
        <v>500076.73</v>
      </c>
      <c r="N800" s="5">
        <v>6290286.3</v>
      </c>
      <c r="O800" t="s" s="2">
        <v>305</v>
      </c>
      <c r="P800" s="5">
        <v>4043127</v>
      </c>
      <c r="Q800" t="s" s="2">
        <v>1292</v>
      </c>
      <c r="R800" t="s" s="2">
        <f>_xlfn.IFERROR(INDEX('model_byCAP'!$D$2:$D$377,MATCH(Q800,'model_byCAP'!$A$2:$A$377,0)),0)</f>
        <v>1293</v>
      </c>
    </row>
    <row r="801" ht="15.35" customHeight="1">
      <c r="A801" t="s" s="2">
        <v>1668</v>
      </c>
      <c r="B801" s="4">
        <v>41240</v>
      </c>
      <c r="C801" s="5">
        <v>3000</v>
      </c>
      <c r="D801" s="5">
        <v>101</v>
      </c>
      <c r="E801" s="5">
        <v>89.5</v>
      </c>
      <c r="F801" t="s" s="2">
        <v>19</v>
      </c>
      <c r="G801" t="s" s="2">
        <v>1289</v>
      </c>
      <c r="H801" s="5">
        <v>779</v>
      </c>
      <c r="I801" t="s" s="2">
        <v>1308</v>
      </c>
      <c r="J801" t="s" s="2">
        <v>22</v>
      </c>
      <c r="K801" t="s" s="2">
        <v>1662</v>
      </c>
      <c r="L801" t="s" s="2">
        <v>1669</v>
      </c>
      <c r="M801" s="5">
        <v>500399.04</v>
      </c>
      <c r="N801" s="5">
        <v>6290082.06</v>
      </c>
      <c r="O801" t="s" s="2">
        <v>305</v>
      </c>
      <c r="P801" s="5">
        <v>4043128</v>
      </c>
      <c r="Q801" t="s" s="2">
        <v>1292</v>
      </c>
      <c r="R801" t="s" s="2">
        <f>_xlfn.IFERROR(INDEX('model_byCAP'!$D$2:$D$377,MATCH(Q801,'model_byCAP'!$A$2:$A$377,0)),0)</f>
        <v>1293</v>
      </c>
    </row>
    <row r="802" ht="15.35" customHeight="1">
      <c r="A802" t="s" s="2">
        <v>1670</v>
      </c>
      <c r="B802" s="4">
        <v>41611</v>
      </c>
      <c r="C802" s="5">
        <v>3000</v>
      </c>
      <c r="D802" s="5">
        <v>101</v>
      </c>
      <c r="E802" s="5">
        <v>79.5</v>
      </c>
      <c r="F802" t="s" s="2">
        <v>19</v>
      </c>
      <c r="G802" t="s" s="2">
        <v>1289</v>
      </c>
      <c r="H802" s="5">
        <v>779</v>
      </c>
      <c r="I802" t="s" s="2">
        <v>1308</v>
      </c>
      <c r="J802" t="s" s="2">
        <v>22</v>
      </c>
      <c r="K802" t="s" s="2">
        <v>1671</v>
      </c>
      <c r="L802" t="s" s="2">
        <v>518</v>
      </c>
      <c r="M802" s="5">
        <v>498345.8</v>
      </c>
      <c r="N802" s="5">
        <v>6281487.73</v>
      </c>
      <c r="O802" t="s" s="2">
        <v>305</v>
      </c>
      <c r="P802" s="5">
        <v>4050847</v>
      </c>
      <c r="Q802" t="s" s="2">
        <v>1292</v>
      </c>
      <c r="R802" t="s" s="2">
        <f>_xlfn.IFERROR(INDEX('model_byCAP'!$D$2:$D$377,MATCH(Q802,'model_byCAP'!$A$2:$A$377,0)),0)</f>
        <v>1293</v>
      </c>
    </row>
    <row r="803" ht="15.35" customHeight="1">
      <c r="A803" t="s" s="2">
        <v>1672</v>
      </c>
      <c r="B803" s="4">
        <v>41611</v>
      </c>
      <c r="C803" s="5">
        <v>3000</v>
      </c>
      <c r="D803" s="5">
        <v>101</v>
      </c>
      <c r="E803" s="5">
        <v>79.5</v>
      </c>
      <c r="F803" t="s" s="2">
        <v>19</v>
      </c>
      <c r="G803" t="s" s="2">
        <v>1289</v>
      </c>
      <c r="H803" s="5">
        <v>779</v>
      </c>
      <c r="I803" t="s" s="2">
        <v>1308</v>
      </c>
      <c r="J803" t="s" s="2">
        <v>22</v>
      </c>
      <c r="K803" t="s" s="2">
        <v>1671</v>
      </c>
      <c r="L803" t="s" s="2">
        <v>1673</v>
      </c>
      <c r="M803" s="5">
        <v>498242.4</v>
      </c>
      <c r="N803" s="5">
        <v>6281777.81</v>
      </c>
      <c r="O803" t="s" s="2">
        <v>305</v>
      </c>
      <c r="P803" s="5">
        <v>4050848</v>
      </c>
      <c r="Q803" t="s" s="2">
        <v>1292</v>
      </c>
      <c r="R803" t="s" s="2">
        <f>_xlfn.IFERROR(INDEX('model_byCAP'!$D$2:$D$377,MATCH(Q803,'model_byCAP'!$A$2:$A$377,0)),0)</f>
        <v>1293</v>
      </c>
    </row>
    <row r="804" ht="15.35" customHeight="1">
      <c r="A804" t="s" s="2">
        <v>1674</v>
      </c>
      <c r="B804" s="4">
        <v>41611</v>
      </c>
      <c r="C804" s="5">
        <v>3000</v>
      </c>
      <c r="D804" s="5">
        <v>101</v>
      </c>
      <c r="E804" s="5">
        <v>79.5</v>
      </c>
      <c r="F804" t="s" s="2">
        <v>19</v>
      </c>
      <c r="G804" t="s" s="2">
        <v>1289</v>
      </c>
      <c r="H804" s="5">
        <v>779</v>
      </c>
      <c r="I804" t="s" s="2">
        <v>1308</v>
      </c>
      <c r="J804" t="s" s="2">
        <v>22</v>
      </c>
      <c r="K804" t="s" s="2">
        <v>1675</v>
      </c>
      <c r="L804" t="s" s="2">
        <v>1676</v>
      </c>
      <c r="M804" s="5">
        <v>498136.32</v>
      </c>
      <c r="N804" s="5">
        <v>6282073.12</v>
      </c>
      <c r="O804" t="s" s="2">
        <v>305</v>
      </c>
      <c r="P804" s="5">
        <v>4050849</v>
      </c>
      <c r="Q804" t="s" s="2">
        <v>1292</v>
      </c>
      <c r="R804" t="s" s="2">
        <f>_xlfn.IFERROR(INDEX('model_byCAP'!$D$2:$D$377,MATCH(Q804,'model_byCAP'!$A$2:$A$377,0)),0)</f>
        <v>1293</v>
      </c>
    </row>
    <row r="805" ht="15.35" customHeight="1">
      <c r="A805" t="s" s="2">
        <v>1677</v>
      </c>
      <c r="B805" s="4">
        <v>41611</v>
      </c>
      <c r="C805" s="5">
        <v>3000</v>
      </c>
      <c r="D805" s="5">
        <v>101</v>
      </c>
      <c r="E805" s="5">
        <v>79.5</v>
      </c>
      <c r="F805" t="s" s="2">
        <v>19</v>
      </c>
      <c r="G805" t="s" s="2">
        <v>1289</v>
      </c>
      <c r="H805" s="5">
        <v>779</v>
      </c>
      <c r="I805" t="s" s="2">
        <v>1308</v>
      </c>
      <c r="J805" t="s" s="2">
        <v>22</v>
      </c>
      <c r="K805" t="s" s="2">
        <v>1678</v>
      </c>
      <c r="L805" t="s" s="2">
        <v>1679</v>
      </c>
      <c r="M805" s="5">
        <v>498031.46</v>
      </c>
      <c r="N805" s="5">
        <v>6282367.94</v>
      </c>
      <c r="O805" t="s" s="2">
        <v>305</v>
      </c>
      <c r="P805" s="5">
        <v>4050850</v>
      </c>
      <c r="Q805" t="s" s="2">
        <v>1292</v>
      </c>
      <c r="R805" t="s" s="2">
        <f>_xlfn.IFERROR(INDEX('model_byCAP'!$D$2:$D$377,MATCH(Q805,'model_byCAP'!$A$2:$A$377,0)),0)</f>
        <v>1293</v>
      </c>
    </row>
    <row r="806" ht="15.35" customHeight="1">
      <c r="A806" t="s" s="2">
        <v>1680</v>
      </c>
      <c r="B806" s="4">
        <v>41611</v>
      </c>
      <c r="C806" s="5">
        <v>3000</v>
      </c>
      <c r="D806" s="5">
        <v>101</v>
      </c>
      <c r="E806" s="5">
        <v>79.5</v>
      </c>
      <c r="F806" t="s" s="2">
        <v>19</v>
      </c>
      <c r="G806" t="s" s="2">
        <v>1289</v>
      </c>
      <c r="H806" s="5">
        <v>779</v>
      </c>
      <c r="I806" t="s" s="2">
        <v>1308</v>
      </c>
      <c r="J806" t="s" s="2">
        <v>22</v>
      </c>
      <c r="K806" t="s" s="2">
        <v>1681</v>
      </c>
      <c r="L806" t="s" s="2">
        <v>394</v>
      </c>
      <c r="M806" s="5">
        <v>497925.26</v>
      </c>
      <c r="N806" s="5">
        <v>6282663.33</v>
      </c>
      <c r="O806" t="s" s="2">
        <v>305</v>
      </c>
      <c r="P806" s="5">
        <v>4050851</v>
      </c>
      <c r="Q806" t="s" s="2">
        <v>1292</v>
      </c>
      <c r="R806" t="s" s="2">
        <f>_xlfn.IFERROR(INDEX('model_byCAP'!$D$2:$D$377,MATCH(Q806,'model_byCAP'!$A$2:$A$377,0)),0)</f>
        <v>1293</v>
      </c>
    </row>
    <row r="807" ht="15.35" customHeight="1">
      <c r="A807" t="s" s="2">
        <v>1682</v>
      </c>
      <c r="B807" s="4">
        <v>41578</v>
      </c>
      <c r="C807" s="5">
        <v>3000</v>
      </c>
      <c r="D807" s="5">
        <v>101</v>
      </c>
      <c r="E807" s="5">
        <v>79.5</v>
      </c>
      <c r="F807" t="s" s="2">
        <v>19</v>
      </c>
      <c r="G807" t="s" s="2">
        <v>1289</v>
      </c>
      <c r="H807" s="5">
        <v>779</v>
      </c>
      <c r="I807" t="s" s="2">
        <v>1308</v>
      </c>
      <c r="J807" t="s" s="2">
        <v>22</v>
      </c>
      <c r="K807" t="s" s="2">
        <v>1683</v>
      </c>
      <c r="L807" t="s" s="2">
        <v>1608</v>
      </c>
      <c r="M807" s="5">
        <v>502512.16</v>
      </c>
      <c r="N807" s="5">
        <v>6290717.92</v>
      </c>
      <c r="O807" t="s" s="2">
        <v>305</v>
      </c>
      <c r="P807" s="5">
        <v>4052411</v>
      </c>
      <c r="Q807" t="s" s="2">
        <v>1292</v>
      </c>
      <c r="R807" t="s" s="2">
        <f>_xlfn.IFERROR(INDEX('model_byCAP'!$D$2:$D$377,MATCH(Q807,'model_byCAP'!$A$2:$A$377,0)),0)</f>
        <v>1293</v>
      </c>
    </row>
    <row r="808" ht="15.35" customHeight="1">
      <c r="A808" t="s" s="2">
        <v>1684</v>
      </c>
      <c r="B808" s="4">
        <v>41578</v>
      </c>
      <c r="C808" s="5">
        <v>3000</v>
      </c>
      <c r="D808" s="5">
        <v>101</v>
      </c>
      <c r="E808" s="5">
        <v>79.5</v>
      </c>
      <c r="F808" t="s" s="2">
        <v>19</v>
      </c>
      <c r="G808" t="s" s="2">
        <v>1289</v>
      </c>
      <c r="H808" s="5">
        <v>779</v>
      </c>
      <c r="I808" t="s" s="2">
        <v>1308</v>
      </c>
      <c r="J808" t="s" s="2">
        <v>22</v>
      </c>
      <c r="K808" t="s" s="2">
        <v>1685</v>
      </c>
      <c r="L808" t="s" s="2">
        <v>1686</v>
      </c>
      <c r="M808" s="5">
        <v>502291.56</v>
      </c>
      <c r="N808" s="5">
        <v>6290982.78</v>
      </c>
      <c r="O808" t="s" s="2">
        <v>305</v>
      </c>
      <c r="P808" s="5">
        <v>4052412</v>
      </c>
      <c r="Q808" t="s" s="2">
        <v>1292</v>
      </c>
      <c r="R808" t="s" s="2">
        <f>_xlfn.IFERROR(INDEX('model_byCAP'!$D$2:$D$377,MATCH(Q808,'model_byCAP'!$A$2:$A$377,0)),0)</f>
        <v>1293</v>
      </c>
    </row>
    <row r="809" ht="15.35" customHeight="1">
      <c r="A809" t="s" s="2">
        <v>1687</v>
      </c>
      <c r="B809" s="4">
        <v>41578</v>
      </c>
      <c r="C809" s="5">
        <v>3000</v>
      </c>
      <c r="D809" s="5">
        <v>101</v>
      </c>
      <c r="E809" s="5">
        <v>79.5</v>
      </c>
      <c r="F809" t="s" s="2">
        <v>19</v>
      </c>
      <c r="G809" t="s" s="2">
        <v>1289</v>
      </c>
      <c r="H809" s="5">
        <v>779</v>
      </c>
      <c r="I809" t="s" s="2">
        <v>1308</v>
      </c>
      <c r="J809" t="s" s="2">
        <v>22</v>
      </c>
      <c r="K809" t="s" s="2">
        <v>1685</v>
      </c>
      <c r="L809" t="s" s="2">
        <v>1688</v>
      </c>
      <c r="M809" s="5">
        <v>502071.12</v>
      </c>
      <c r="N809" s="5">
        <v>6291247.56</v>
      </c>
      <c r="O809" t="s" s="2">
        <v>305</v>
      </c>
      <c r="P809" s="5">
        <v>4052413</v>
      </c>
      <c r="Q809" t="s" s="2">
        <v>1292</v>
      </c>
      <c r="R809" t="s" s="2">
        <f>_xlfn.IFERROR(INDEX('model_byCAP'!$D$2:$D$377,MATCH(Q809,'model_byCAP'!$A$2:$A$377,0)),0)</f>
        <v>1293</v>
      </c>
    </row>
    <row r="810" ht="15.35" customHeight="1">
      <c r="A810" t="s" s="2">
        <v>1689</v>
      </c>
      <c r="B810" s="4">
        <v>41578</v>
      </c>
      <c r="C810" s="5">
        <v>3000</v>
      </c>
      <c r="D810" s="5">
        <v>101</v>
      </c>
      <c r="E810" s="5">
        <v>79.5</v>
      </c>
      <c r="F810" t="s" s="2">
        <v>19</v>
      </c>
      <c r="G810" t="s" s="2">
        <v>1289</v>
      </c>
      <c r="H810" s="5">
        <v>779</v>
      </c>
      <c r="I810" t="s" s="2">
        <v>1308</v>
      </c>
      <c r="J810" t="s" s="2">
        <v>22</v>
      </c>
      <c r="K810" t="s" s="2">
        <v>1685</v>
      </c>
      <c r="L810" t="s" s="2">
        <v>1690</v>
      </c>
      <c r="M810" s="5">
        <v>501860.4</v>
      </c>
      <c r="N810" s="5">
        <v>6291500.45</v>
      </c>
      <c r="O810" t="s" s="2">
        <v>305</v>
      </c>
      <c r="P810" s="5">
        <v>4052414</v>
      </c>
      <c r="Q810" t="s" s="2">
        <v>1292</v>
      </c>
      <c r="R810" t="s" s="2">
        <f>_xlfn.IFERROR(INDEX('model_byCAP'!$D$2:$D$377,MATCH(Q810,'model_byCAP'!$A$2:$A$377,0)),0)</f>
        <v>1293</v>
      </c>
    </row>
    <row r="811" ht="15.35" customHeight="1">
      <c r="A811" t="s" s="2">
        <v>1691</v>
      </c>
      <c r="B811" s="4">
        <v>41264</v>
      </c>
      <c r="C811" s="5">
        <v>3000</v>
      </c>
      <c r="D811" s="5">
        <v>90</v>
      </c>
      <c r="E811" s="5">
        <v>80</v>
      </c>
      <c r="F811" t="s" s="2">
        <v>301</v>
      </c>
      <c r="G811" t="s" s="2">
        <v>1502</v>
      </c>
      <c r="H811" s="5">
        <v>791</v>
      </c>
      <c r="I811" t="s" s="2">
        <v>1447</v>
      </c>
      <c r="J811" t="s" s="2">
        <v>22</v>
      </c>
      <c r="K811" t="s" s="2">
        <v>1692</v>
      </c>
      <c r="L811" t="s" s="2">
        <v>1258</v>
      </c>
      <c r="M811" s="5">
        <v>538710.99</v>
      </c>
      <c r="N811" s="5">
        <v>6276088.03</v>
      </c>
      <c r="O811" t="s" s="2">
        <v>305</v>
      </c>
      <c r="P811" s="5">
        <v>560</v>
      </c>
      <c r="Q811" t="s" s="2">
        <v>1505</v>
      </c>
      <c r="R811" t="s" s="2">
        <f>_xlfn.IFERROR(INDEX('model_byCAP'!$D$2:$D$377,MATCH(Q811,'model_byCAP'!$A$2:$A$377,0)),0)</f>
        <v>1494</v>
      </c>
    </row>
    <row r="812" ht="15.35" customHeight="1">
      <c r="A812" t="s" s="2">
        <v>1693</v>
      </c>
      <c r="B812" s="4">
        <v>41262</v>
      </c>
      <c r="C812" s="5">
        <v>3000</v>
      </c>
      <c r="D812" s="5">
        <v>90</v>
      </c>
      <c r="E812" s="5">
        <v>80</v>
      </c>
      <c r="F812" t="s" s="2">
        <v>301</v>
      </c>
      <c r="G812" t="s" s="2">
        <v>1502</v>
      </c>
      <c r="H812" s="5">
        <v>791</v>
      </c>
      <c r="I812" t="s" s="2">
        <v>1447</v>
      </c>
      <c r="J812" t="s" s="2">
        <v>22</v>
      </c>
      <c r="K812" t="s" s="2">
        <v>1692</v>
      </c>
      <c r="L812" t="s" s="2">
        <v>1694</v>
      </c>
      <c r="M812" s="5">
        <v>538620.77</v>
      </c>
      <c r="N812" s="5">
        <v>6276344.91</v>
      </c>
      <c r="O812" t="s" s="2">
        <v>305</v>
      </c>
      <c r="P812" s="5">
        <v>561</v>
      </c>
      <c r="Q812" t="s" s="2">
        <v>1505</v>
      </c>
      <c r="R812" t="s" s="2">
        <f>_xlfn.IFERROR(INDEX('model_byCAP'!$D$2:$D$377,MATCH(Q812,'model_byCAP'!$A$2:$A$377,0)),0)</f>
        <v>1494</v>
      </c>
    </row>
    <row r="813" ht="15.35" customHeight="1">
      <c r="A813" t="s" s="2">
        <v>1695</v>
      </c>
      <c r="B813" s="4">
        <v>41935</v>
      </c>
      <c r="C813" s="5">
        <v>3000</v>
      </c>
      <c r="D813" s="5">
        <v>101</v>
      </c>
      <c r="E813" s="5">
        <v>89.5</v>
      </c>
      <c r="F813" t="s" s="2">
        <v>19</v>
      </c>
      <c r="G813" t="s" s="2">
        <v>1289</v>
      </c>
      <c r="H813" s="5">
        <v>791</v>
      </c>
      <c r="I813" t="s" s="2">
        <v>1447</v>
      </c>
      <c r="J813" t="s" s="2">
        <v>22</v>
      </c>
      <c r="K813" t="s" s="2">
        <v>1696</v>
      </c>
      <c r="L813" t="s" s="2">
        <v>481</v>
      </c>
      <c r="M813" s="5">
        <v>511860.15</v>
      </c>
      <c r="N813" s="5">
        <v>6261413.45</v>
      </c>
      <c r="O813" t="s" s="2">
        <v>305</v>
      </c>
      <c r="P813" s="5">
        <v>4059566</v>
      </c>
      <c r="Q813" t="s" s="2">
        <v>1292</v>
      </c>
      <c r="R813" t="s" s="2">
        <f>_xlfn.IFERROR(INDEX('model_byCAP'!$D$2:$D$377,MATCH(Q813,'model_byCAP'!$A$2:$A$377,0)),0)</f>
        <v>1293</v>
      </c>
    </row>
    <row r="814" ht="15.35" customHeight="1">
      <c r="A814" t="s" s="2">
        <v>1697</v>
      </c>
      <c r="B814" s="4">
        <v>41940</v>
      </c>
      <c r="C814" s="5">
        <v>3000</v>
      </c>
      <c r="D814" s="5">
        <v>101</v>
      </c>
      <c r="E814" s="5">
        <v>89.5</v>
      </c>
      <c r="F814" t="s" s="2">
        <v>19</v>
      </c>
      <c r="G814" t="s" s="2">
        <v>1289</v>
      </c>
      <c r="H814" s="5">
        <v>791</v>
      </c>
      <c r="I814" t="s" s="2">
        <v>1447</v>
      </c>
      <c r="J814" t="s" s="2">
        <v>22</v>
      </c>
      <c r="K814" t="s" s="2">
        <v>1696</v>
      </c>
      <c r="L814" t="s" s="2">
        <v>481</v>
      </c>
      <c r="M814" s="5">
        <v>512124.01</v>
      </c>
      <c r="N814" s="5">
        <v>6261791.12</v>
      </c>
      <c r="O814" t="s" s="2">
        <v>305</v>
      </c>
      <c r="P814" s="5">
        <v>4059567</v>
      </c>
      <c r="Q814" t="s" s="2">
        <v>1292</v>
      </c>
      <c r="R814" t="s" s="2">
        <f>_xlfn.IFERROR(INDEX('model_byCAP'!$D$2:$D$377,MATCH(Q814,'model_byCAP'!$A$2:$A$377,0)),0)</f>
        <v>1293</v>
      </c>
    </row>
    <row r="815" ht="15.35" customHeight="1">
      <c r="A815" t="s" s="2">
        <v>1698</v>
      </c>
      <c r="B815" s="4">
        <v>41942</v>
      </c>
      <c r="C815" s="5">
        <v>3000</v>
      </c>
      <c r="D815" s="5">
        <v>101</v>
      </c>
      <c r="E815" s="5">
        <v>89.5</v>
      </c>
      <c r="F815" t="s" s="2">
        <v>19</v>
      </c>
      <c r="G815" t="s" s="2">
        <v>1289</v>
      </c>
      <c r="H815" s="5">
        <v>791</v>
      </c>
      <c r="I815" t="s" s="2">
        <v>1447</v>
      </c>
      <c r="J815" t="s" s="2">
        <v>22</v>
      </c>
      <c r="K815" t="s" s="2">
        <v>1696</v>
      </c>
      <c r="L815" t="s" s="2">
        <v>481</v>
      </c>
      <c r="M815" s="5">
        <v>512388.26</v>
      </c>
      <c r="N815" s="5">
        <v>6262169.28</v>
      </c>
      <c r="O815" t="s" s="2">
        <v>305</v>
      </c>
      <c r="P815" s="5">
        <v>4059568</v>
      </c>
      <c r="Q815" t="s" s="2">
        <v>1292</v>
      </c>
      <c r="R815" t="s" s="2">
        <f>_xlfn.IFERROR(INDEX('model_byCAP'!$D$2:$D$377,MATCH(Q815,'model_byCAP'!$A$2:$A$377,0)),0)</f>
        <v>1293</v>
      </c>
    </row>
    <row r="816" ht="15.35" customHeight="1">
      <c r="A816" t="s" s="2">
        <v>1699</v>
      </c>
      <c r="B816" s="4">
        <v>41548</v>
      </c>
      <c r="C816" s="5">
        <v>3000</v>
      </c>
      <c r="D816" s="5">
        <v>90</v>
      </c>
      <c r="E816" s="5">
        <v>80</v>
      </c>
      <c r="F816" t="s" s="2">
        <v>301</v>
      </c>
      <c r="G816" t="s" s="2">
        <v>1502</v>
      </c>
      <c r="H816" s="5">
        <v>810</v>
      </c>
      <c r="I816" t="s" s="2">
        <v>1102</v>
      </c>
      <c r="J816" t="s" s="2">
        <v>22</v>
      </c>
      <c r="K816" t="s" s="2">
        <v>1700</v>
      </c>
      <c r="L816" t="s" s="2">
        <v>481</v>
      </c>
      <c r="M816" s="5">
        <v>581655</v>
      </c>
      <c r="N816" s="5">
        <v>6342789</v>
      </c>
      <c r="O816" t="s" s="2">
        <v>305</v>
      </c>
      <c r="P816" s="5">
        <v>46206</v>
      </c>
      <c r="Q816" t="s" s="2">
        <v>1505</v>
      </c>
      <c r="R816" t="s" s="2">
        <f>_xlfn.IFERROR(INDEX('model_byCAP'!$D$2:$D$377,MATCH(Q816,'model_byCAP'!$A$2:$A$377,0)),0)</f>
        <v>1494</v>
      </c>
    </row>
    <row r="817" ht="15.35" customHeight="1">
      <c r="A817" t="s" s="2">
        <v>1701</v>
      </c>
      <c r="B817" s="4">
        <v>41548</v>
      </c>
      <c r="C817" s="5">
        <v>3000</v>
      </c>
      <c r="D817" s="5">
        <v>90</v>
      </c>
      <c r="E817" s="5">
        <v>80</v>
      </c>
      <c r="F817" t="s" s="2">
        <v>301</v>
      </c>
      <c r="G817" t="s" s="2">
        <v>1502</v>
      </c>
      <c r="H817" s="5">
        <v>810</v>
      </c>
      <c r="I817" t="s" s="2">
        <v>1102</v>
      </c>
      <c r="J817" t="s" s="2">
        <v>22</v>
      </c>
      <c r="K817" t="s" s="2">
        <v>1702</v>
      </c>
      <c r="L817" t="s" s="2">
        <v>405</v>
      </c>
      <c r="M817" s="5">
        <v>581547.38</v>
      </c>
      <c r="N817" s="5">
        <v>6343227.93</v>
      </c>
      <c r="O817" t="s" s="2">
        <v>305</v>
      </c>
      <c r="P817" s="5">
        <v>46207</v>
      </c>
      <c r="Q817" t="s" s="2">
        <v>1505</v>
      </c>
      <c r="R817" t="s" s="2">
        <f>_xlfn.IFERROR(INDEX('model_byCAP'!$D$2:$D$377,MATCH(Q817,'model_byCAP'!$A$2:$A$377,0)),0)</f>
        <v>1494</v>
      </c>
    </row>
    <row r="818" ht="15.35" customHeight="1">
      <c r="A818" t="s" s="2">
        <v>1703</v>
      </c>
      <c r="B818" s="4">
        <v>41548</v>
      </c>
      <c r="C818" s="5">
        <v>3000</v>
      </c>
      <c r="D818" s="5">
        <v>90</v>
      </c>
      <c r="E818" s="5">
        <v>80</v>
      </c>
      <c r="F818" t="s" s="2">
        <v>301</v>
      </c>
      <c r="G818" t="s" s="2">
        <v>1502</v>
      </c>
      <c r="H818" s="5">
        <v>810</v>
      </c>
      <c r="I818" t="s" s="2">
        <v>1102</v>
      </c>
      <c r="J818" t="s" s="2">
        <v>22</v>
      </c>
      <c r="K818" t="s" s="2">
        <v>1702</v>
      </c>
      <c r="L818" t="s" s="2">
        <v>405</v>
      </c>
      <c r="M818" s="5">
        <v>581439</v>
      </c>
      <c r="N818" s="5">
        <v>6343664</v>
      </c>
      <c r="O818" t="s" s="2">
        <v>305</v>
      </c>
      <c r="P818" s="5">
        <v>46205</v>
      </c>
      <c r="Q818" t="s" s="2">
        <v>1505</v>
      </c>
      <c r="R818" t="s" s="2">
        <f>_xlfn.IFERROR(INDEX('model_byCAP'!$D$2:$D$377,MATCH(Q818,'model_byCAP'!$A$2:$A$377,0)),0)</f>
        <v>1494</v>
      </c>
    </row>
    <row r="819" ht="15.35" customHeight="1">
      <c r="A819" t="s" s="2">
        <v>1704</v>
      </c>
      <c r="B819" s="4">
        <v>41548</v>
      </c>
      <c r="C819" s="5">
        <v>3000</v>
      </c>
      <c r="D819" s="5">
        <v>90</v>
      </c>
      <c r="E819" s="5">
        <v>80</v>
      </c>
      <c r="F819" t="s" s="2">
        <v>301</v>
      </c>
      <c r="G819" t="s" s="2">
        <v>1502</v>
      </c>
      <c r="H819" s="5">
        <v>810</v>
      </c>
      <c r="I819" t="s" s="2">
        <v>1102</v>
      </c>
      <c r="J819" t="s" s="2">
        <v>22</v>
      </c>
      <c r="K819" t="s" s="2">
        <v>1700</v>
      </c>
      <c r="L819" t="s" s="2">
        <v>481</v>
      </c>
      <c r="M819" s="5">
        <v>582010</v>
      </c>
      <c r="N819" s="5">
        <v>6342941</v>
      </c>
      <c r="O819" t="s" s="2">
        <v>305</v>
      </c>
      <c r="P819" s="5">
        <v>46208</v>
      </c>
      <c r="Q819" t="s" s="2">
        <v>1505</v>
      </c>
      <c r="R819" t="s" s="2">
        <f>_xlfn.IFERROR(INDEX('model_byCAP'!$D$2:$D$377,MATCH(Q819,'model_byCAP'!$A$2:$A$377,0)),0)</f>
        <v>1494</v>
      </c>
    </row>
    <row r="820" ht="15.35" customHeight="1">
      <c r="A820" t="s" s="2">
        <v>1705</v>
      </c>
      <c r="B820" s="4">
        <v>41548</v>
      </c>
      <c r="C820" s="5">
        <v>3000</v>
      </c>
      <c r="D820" s="5">
        <v>90</v>
      </c>
      <c r="E820" s="5">
        <v>80</v>
      </c>
      <c r="F820" t="s" s="2">
        <v>301</v>
      </c>
      <c r="G820" t="s" s="2">
        <v>1502</v>
      </c>
      <c r="H820" s="5">
        <v>810</v>
      </c>
      <c r="I820" t="s" s="2">
        <v>1102</v>
      </c>
      <c r="J820" t="s" s="2">
        <v>22</v>
      </c>
      <c r="K820" t="s" s="2">
        <v>1702</v>
      </c>
      <c r="L820" t="s" s="2">
        <v>1504</v>
      </c>
      <c r="M820" s="5">
        <v>581902</v>
      </c>
      <c r="N820" s="5">
        <v>6343379</v>
      </c>
      <c r="O820" t="s" s="2">
        <v>305</v>
      </c>
      <c r="P820" s="5">
        <v>46209</v>
      </c>
      <c r="Q820" t="s" s="2">
        <v>1505</v>
      </c>
      <c r="R820" t="s" s="2">
        <f>_xlfn.IFERROR(INDEX('model_byCAP'!$D$2:$D$377,MATCH(Q820,'model_byCAP'!$A$2:$A$377,0)),0)</f>
        <v>1494</v>
      </c>
    </row>
    <row r="821" ht="15.35" customHeight="1">
      <c r="A821" t="s" s="2">
        <v>1706</v>
      </c>
      <c r="B821" s="4">
        <v>41548</v>
      </c>
      <c r="C821" s="5">
        <v>3000</v>
      </c>
      <c r="D821" s="5">
        <v>90</v>
      </c>
      <c r="E821" s="5">
        <v>80</v>
      </c>
      <c r="F821" t="s" s="2">
        <v>301</v>
      </c>
      <c r="G821" t="s" s="2">
        <v>1502</v>
      </c>
      <c r="H821" s="5">
        <v>810</v>
      </c>
      <c r="I821" t="s" s="2">
        <v>1102</v>
      </c>
      <c r="J821" t="s" s="2">
        <v>22</v>
      </c>
      <c r="K821" t="s" s="2">
        <v>1702</v>
      </c>
      <c r="L821" t="s" s="2">
        <v>1504</v>
      </c>
      <c r="M821" s="5">
        <v>581794</v>
      </c>
      <c r="N821" s="5">
        <v>6343819</v>
      </c>
      <c r="O821" t="s" s="2">
        <v>305</v>
      </c>
      <c r="P821" s="5">
        <v>46210</v>
      </c>
      <c r="Q821" t="s" s="2">
        <v>1505</v>
      </c>
      <c r="R821" t="s" s="2">
        <f>_xlfn.IFERROR(INDEX('model_byCAP'!$D$2:$D$377,MATCH(Q821,'model_byCAP'!$A$2:$A$377,0)),0)</f>
        <v>1494</v>
      </c>
    </row>
    <row r="822" ht="15.35" customHeight="1">
      <c r="A822" t="s" s="2">
        <v>1707</v>
      </c>
      <c r="B822" s="4">
        <v>37593</v>
      </c>
      <c r="C822" s="5">
        <v>3000</v>
      </c>
      <c r="D822" s="5">
        <v>90</v>
      </c>
      <c r="E822" s="5">
        <v>80</v>
      </c>
      <c r="F822" t="s" s="2">
        <v>301</v>
      </c>
      <c r="G822" t="s" s="2">
        <v>1490</v>
      </c>
      <c r="H822" s="5">
        <v>813</v>
      </c>
      <c r="I822" t="s" s="2">
        <v>1708</v>
      </c>
      <c r="J822" t="s" s="2">
        <v>22</v>
      </c>
      <c r="K822" t="s" s="2">
        <v>1709</v>
      </c>
      <c r="L822" t="s" s="2">
        <v>1710</v>
      </c>
      <c r="M822" s="5">
        <v>593358.04</v>
      </c>
      <c r="N822" s="5">
        <v>6368276.11</v>
      </c>
      <c r="O822" t="s" s="2">
        <v>305</v>
      </c>
      <c r="P822" s="5">
        <v>40171140</v>
      </c>
      <c r="Q822" t="s" s="2">
        <v>1493</v>
      </c>
      <c r="R822" t="s" s="2">
        <f>_xlfn.IFERROR(INDEX('model_byCAP'!$D$2:$D$377,MATCH(Q822,'model_byCAP'!$A$2:$A$377,0)),0)</f>
        <v>1494</v>
      </c>
    </row>
    <row r="823" ht="15.35" customHeight="1">
      <c r="A823" t="s" s="2">
        <v>1711</v>
      </c>
      <c r="B823" s="4">
        <v>37792</v>
      </c>
      <c r="C823" s="5">
        <v>3000</v>
      </c>
      <c r="D823" s="5">
        <v>90</v>
      </c>
      <c r="E823" s="5">
        <v>80</v>
      </c>
      <c r="F823" t="s" s="2">
        <v>301</v>
      </c>
      <c r="G823" t="s" s="2">
        <v>1490</v>
      </c>
      <c r="H823" s="5">
        <v>813</v>
      </c>
      <c r="I823" t="s" s="2">
        <v>1708</v>
      </c>
      <c r="J823" t="s" s="2">
        <v>47</v>
      </c>
      <c r="K823" t="s" s="2">
        <v>1708</v>
      </c>
      <c r="L823" t="s" s="2">
        <v>1712</v>
      </c>
      <c r="M823" s="5">
        <v>593756.62</v>
      </c>
      <c r="N823" s="5">
        <v>6367868.98</v>
      </c>
      <c r="O823" t="s" s="2">
        <v>305</v>
      </c>
      <c r="P823" s="5">
        <v>40188142</v>
      </c>
      <c r="Q823" t="s" s="2">
        <v>1493</v>
      </c>
      <c r="R823" t="s" s="2">
        <f>_xlfn.IFERROR(INDEX('model_byCAP'!$D$2:$D$377,MATCH(Q823,'model_byCAP'!$A$2:$A$377,0)),0)</f>
        <v>1494</v>
      </c>
    </row>
    <row r="824" ht="15.35" customHeight="1">
      <c r="A824" t="s" s="2">
        <v>1713</v>
      </c>
      <c r="B824" s="4">
        <v>41610</v>
      </c>
      <c r="C824" s="5">
        <v>3000</v>
      </c>
      <c r="D824" s="5">
        <v>90</v>
      </c>
      <c r="E824" s="5">
        <v>80</v>
      </c>
      <c r="F824" t="s" s="2">
        <v>301</v>
      </c>
      <c r="G824" t="s" s="2">
        <v>1502</v>
      </c>
      <c r="H824" s="5">
        <v>813</v>
      </c>
      <c r="I824" t="s" s="2">
        <v>1708</v>
      </c>
      <c r="J824" t="s" s="2">
        <v>22</v>
      </c>
      <c r="K824" t="s" s="2">
        <v>1714</v>
      </c>
      <c r="L824" t="s" s="2">
        <v>518</v>
      </c>
      <c r="M824" s="5">
        <v>579725.74</v>
      </c>
      <c r="N824" s="5">
        <v>6359281.91</v>
      </c>
      <c r="O824" t="s" s="2">
        <v>305</v>
      </c>
      <c r="P824" s="5">
        <v>46351</v>
      </c>
      <c r="Q824" t="s" s="2">
        <v>1505</v>
      </c>
      <c r="R824" t="s" s="2">
        <f>_xlfn.IFERROR(INDEX('model_byCAP'!$D$2:$D$377,MATCH(Q824,'model_byCAP'!$A$2:$A$377,0)),0)</f>
        <v>1494</v>
      </c>
    </row>
    <row r="825" ht="15.35" customHeight="1">
      <c r="A825" t="s" s="2">
        <v>1715</v>
      </c>
      <c r="B825" s="4">
        <v>41610</v>
      </c>
      <c r="C825" s="5">
        <v>3000</v>
      </c>
      <c r="D825" s="5">
        <v>90</v>
      </c>
      <c r="E825" s="5">
        <v>80</v>
      </c>
      <c r="F825" t="s" s="2">
        <v>301</v>
      </c>
      <c r="G825" t="s" s="2">
        <v>1502</v>
      </c>
      <c r="H825" s="5">
        <v>813</v>
      </c>
      <c r="I825" t="s" s="2">
        <v>1708</v>
      </c>
      <c r="J825" t="s" s="2">
        <v>22</v>
      </c>
      <c r="K825" t="s" s="2">
        <v>1714</v>
      </c>
      <c r="L825" t="s" s="2">
        <v>518</v>
      </c>
      <c r="M825" s="5">
        <v>579483.7</v>
      </c>
      <c r="N825" s="5">
        <v>6359439.3</v>
      </c>
      <c r="O825" t="s" s="2">
        <v>305</v>
      </c>
      <c r="P825" s="5">
        <v>46352</v>
      </c>
      <c r="Q825" t="s" s="2">
        <v>1505</v>
      </c>
      <c r="R825" t="s" s="2">
        <f>_xlfn.IFERROR(INDEX('model_byCAP'!$D$2:$D$377,MATCH(Q825,'model_byCAP'!$A$2:$A$377,0)),0)</f>
        <v>1494</v>
      </c>
    </row>
    <row r="826" ht="15.35" customHeight="1">
      <c r="A826" t="s" s="2">
        <v>1716</v>
      </c>
      <c r="B826" s="4">
        <v>41610</v>
      </c>
      <c r="C826" s="5">
        <v>3000</v>
      </c>
      <c r="D826" s="5">
        <v>90</v>
      </c>
      <c r="E826" s="5">
        <v>80</v>
      </c>
      <c r="F826" t="s" s="2">
        <v>301</v>
      </c>
      <c r="G826" t="s" s="2">
        <v>1502</v>
      </c>
      <c r="H826" s="5">
        <v>813</v>
      </c>
      <c r="I826" t="s" s="2">
        <v>1708</v>
      </c>
      <c r="J826" t="s" s="2">
        <v>22</v>
      </c>
      <c r="K826" t="s" s="2">
        <v>1714</v>
      </c>
      <c r="L826" t="s" s="2">
        <v>1717</v>
      </c>
      <c r="M826" s="5">
        <v>579242.3199999999</v>
      </c>
      <c r="N826" s="5">
        <v>6359597.03</v>
      </c>
      <c r="O826" t="s" s="2">
        <v>305</v>
      </c>
      <c r="P826" s="5">
        <v>46353</v>
      </c>
      <c r="Q826" t="s" s="2">
        <v>1505</v>
      </c>
      <c r="R826" t="s" s="2">
        <f>_xlfn.IFERROR(INDEX('model_byCAP'!$D$2:$D$377,MATCH(Q826,'model_byCAP'!$A$2:$A$377,0)),0)</f>
        <v>1494</v>
      </c>
    </row>
    <row r="827" ht="15.35" customHeight="1">
      <c r="A827" t="s" s="2">
        <v>1718</v>
      </c>
      <c r="B827" s="4">
        <v>41610</v>
      </c>
      <c r="C827" s="5">
        <v>3000</v>
      </c>
      <c r="D827" s="5">
        <v>90</v>
      </c>
      <c r="E827" s="5">
        <v>80</v>
      </c>
      <c r="F827" t="s" s="2">
        <v>301</v>
      </c>
      <c r="G827" t="s" s="2">
        <v>1502</v>
      </c>
      <c r="H827" s="5">
        <v>813</v>
      </c>
      <c r="I827" t="s" s="2">
        <v>1708</v>
      </c>
      <c r="J827" t="s" s="2">
        <v>22</v>
      </c>
      <c r="K827" t="s" s="2">
        <v>1714</v>
      </c>
      <c r="L827" t="s" s="2">
        <v>1717</v>
      </c>
      <c r="M827" s="5">
        <v>578997.8100000001</v>
      </c>
      <c r="N827" s="5">
        <v>6359756.08</v>
      </c>
      <c r="O827" t="s" s="2">
        <v>305</v>
      </c>
      <c r="P827" s="5">
        <v>46354</v>
      </c>
      <c r="Q827" t="s" s="2">
        <v>1505</v>
      </c>
      <c r="R827" t="s" s="2">
        <f>_xlfn.IFERROR(INDEX('model_byCAP'!$D$2:$D$377,MATCH(Q827,'model_byCAP'!$A$2:$A$377,0)),0)</f>
        <v>1494</v>
      </c>
    </row>
    <row r="828" ht="15.35" customHeight="1">
      <c r="A828" t="s" s="2">
        <v>1719</v>
      </c>
      <c r="B828" s="4">
        <v>40871</v>
      </c>
      <c r="C828" s="5">
        <v>3000</v>
      </c>
      <c r="D828" s="5">
        <v>90</v>
      </c>
      <c r="E828" s="5">
        <v>80</v>
      </c>
      <c r="F828" t="s" s="2">
        <v>301</v>
      </c>
      <c r="G828" t="s" s="2">
        <v>1502</v>
      </c>
      <c r="H828" s="5">
        <v>820</v>
      </c>
      <c r="I828" t="s" s="2">
        <v>388</v>
      </c>
      <c r="J828" t="s" s="2">
        <v>22</v>
      </c>
      <c r="K828" t="s" s="2">
        <v>1720</v>
      </c>
      <c r="L828" t="s" s="2">
        <v>1721</v>
      </c>
      <c r="M828" s="5">
        <v>532307.9</v>
      </c>
      <c r="N828" s="5">
        <v>6282945.98</v>
      </c>
      <c r="O828" t="s" s="2">
        <v>305</v>
      </c>
      <c r="P828" s="5">
        <v>4036713</v>
      </c>
      <c r="Q828" t="s" s="2">
        <v>1505</v>
      </c>
      <c r="R828" t="s" s="2">
        <f>_xlfn.IFERROR(INDEX('model_byCAP'!$D$2:$D$377,MATCH(Q828,'model_byCAP'!$A$2:$A$377,0)),0)</f>
        <v>1494</v>
      </c>
    </row>
    <row r="829" ht="15.35" customHeight="1">
      <c r="A829" t="s" s="2">
        <v>1722</v>
      </c>
      <c r="B829" s="4">
        <v>40873</v>
      </c>
      <c r="C829" s="5">
        <v>3000</v>
      </c>
      <c r="D829" s="5">
        <v>90</v>
      </c>
      <c r="E829" s="5">
        <v>80</v>
      </c>
      <c r="F829" t="s" s="2">
        <v>301</v>
      </c>
      <c r="G829" t="s" s="2">
        <v>1502</v>
      </c>
      <c r="H829" s="5">
        <v>820</v>
      </c>
      <c r="I829" t="s" s="2">
        <v>388</v>
      </c>
      <c r="J829" t="s" s="2">
        <v>22</v>
      </c>
      <c r="K829" t="s" s="2">
        <v>1720</v>
      </c>
      <c r="L829" t="s" s="2">
        <v>1723</v>
      </c>
      <c r="M829" s="5">
        <v>532146.16</v>
      </c>
      <c r="N829" s="5">
        <v>6282627.88</v>
      </c>
      <c r="O829" t="s" s="2">
        <v>305</v>
      </c>
      <c r="P829" s="5">
        <v>4036714</v>
      </c>
      <c r="Q829" t="s" s="2">
        <v>1505</v>
      </c>
      <c r="R829" t="s" s="2">
        <f>_xlfn.IFERROR(INDEX('model_byCAP'!$D$2:$D$377,MATCH(Q829,'model_byCAP'!$A$2:$A$377,0)),0)</f>
        <v>1494</v>
      </c>
    </row>
    <row r="830" ht="15.35" customHeight="1">
      <c r="A830" t="s" s="2">
        <v>1724</v>
      </c>
      <c r="B830" s="4">
        <v>40877</v>
      </c>
      <c r="C830" s="5">
        <v>3000</v>
      </c>
      <c r="D830" s="5">
        <v>90</v>
      </c>
      <c r="E830" s="5">
        <v>80</v>
      </c>
      <c r="F830" t="s" s="2">
        <v>301</v>
      </c>
      <c r="G830" t="s" s="2">
        <v>1502</v>
      </c>
      <c r="H830" s="5">
        <v>820</v>
      </c>
      <c r="I830" t="s" s="2">
        <v>388</v>
      </c>
      <c r="J830" t="s" s="2">
        <v>22</v>
      </c>
      <c r="K830" t="s" s="2">
        <v>1720</v>
      </c>
      <c r="L830" t="s" s="2">
        <v>1725</v>
      </c>
      <c r="M830" s="5">
        <v>531985.99</v>
      </c>
      <c r="N830" s="5">
        <v>6282311.12</v>
      </c>
      <c r="O830" t="s" s="2">
        <v>305</v>
      </c>
      <c r="P830" s="5">
        <v>4036715</v>
      </c>
      <c r="Q830" t="s" s="2">
        <v>1505</v>
      </c>
      <c r="R830" t="s" s="2">
        <f>_xlfn.IFERROR(INDEX('model_byCAP'!$D$2:$D$377,MATCH(Q830,'model_byCAP'!$A$2:$A$377,0)),0)</f>
        <v>1494</v>
      </c>
    </row>
    <row r="831" ht="15.35" customHeight="1">
      <c r="A831" t="s" s="2">
        <v>1726</v>
      </c>
      <c r="B831" s="4">
        <v>40869</v>
      </c>
      <c r="C831" s="5">
        <v>3000</v>
      </c>
      <c r="D831" s="5">
        <v>90</v>
      </c>
      <c r="E831" s="5">
        <v>80</v>
      </c>
      <c r="F831" t="s" s="2">
        <v>301</v>
      </c>
      <c r="G831" t="s" s="2">
        <v>1502</v>
      </c>
      <c r="H831" s="5">
        <v>820</v>
      </c>
      <c r="I831" t="s" s="2">
        <v>388</v>
      </c>
      <c r="J831" t="s" s="2">
        <v>22</v>
      </c>
      <c r="K831" t="s" s="2">
        <v>1720</v>
      </c>
      <c r="L831" t="s" s="2">
        <v>1727</v>
      </c>
      <c r="M831" s="5">
        <v>531823.9300000001</v>
      </c>
      <c r="N831" s="5">
        <v>6281993.44</v>
      </c>
      <c r="O831" t="s" s="2">
        <v>305</v>
      </c>
      <c r="P831" s="5">
        <v>4036716</v>
      </c>
      <c r="Q831" t="s" s="2">
        <v>1505</v>
      </c>
      <c r="R831" t="s" s="2">
        <f>_xlfn.IFERROR(INDEX('model_byCAP'!$D$2:$D$377,MATCH(Q831,'model_byCAP'!$A$2:$A$377,0)),0)</f>
        <v>1494</v>
      </c>
    </row>
    <row r="832" ht="15.35" customHeight="1">
      <c r="A832" t="s" s="2">
        <v>1728</v>
      </c>
      <c r="B832" s="4">
        <v>40905</v>
      </c>
      <c r="C832" s="5">
        <v>3000</v>
      </c>
      <c r="D832" s="5">
        <v>90</v>
      </c>
      <c r="E832" s="5">
        <v>80</v>
      </c>
      <c r="F832" t="s" s="2">
        <v>301</v>
      </c>
      <c r="G832" t="s" s="2">
        <v>1502</v>
      </c>
      <c r="H832" s="5">
        <v>846</v>
      </c>
      <c r="I832" t="s" s="2">
        <v>429</v>
      </c>
      <c r="J832" t="s" s="2">
        <v>22</v>
      </c>
      <c r="K832" t="s" s="2">
        <v>1729</v>
      </c>
      <c r="L832" t="s" s="2">
        <v>1730</v>
      </c>
      <c r="M832" s="5">
        <v>547044.04</v>
      </c>
      <c r="N832" s="5">
        <v>6284653.12</v>
      </c>
      <c r="O832" t="s" s="2">
        <v>305</v>
      </c>
      <c r="P832" s="5">
        <v>558</v>
      </c>
      <c r="Q832" t="s" s="2">
        <v>1505</v>
      </c>
      <c r="R832" t="s" s="2">
        <f>_xlfn.IFERROR(INDEX('model_byCAP'!$D$2:$D$377,MATCH(Q832,'model_byCAP'!$A$2:$A$377,0)),0)</f>
        <v>1494</v>
      </c>
    </row>
    <row r="833" ht="15.35" customHeight="1">
      <c r="A833" t="s" s="2">
        <v>1731</v>
      </c>
      <c r="B833" s="4">
        <v>40905</v>
      </c>
      <c r="C833" s="5">
        <v>3000</v>
      </c>
      <c r="D833" s="5">
        <v>90</v>
      </c>
      <c r="E833" s="5">
        <v>80</v>
      </c>
      <c r="F833" t="s" s="2">
        <v>301</v>
      </c>
      <c r="G833" t="s" s="2">
        <v>1502</v>
      </c>
      <c r="H833" s="5">
        <v>846</v>
      </c>
      <c r="I833" t="s" s="2">
        <v>429</v>
      </c>
      <c r="J833" t="s" s="2">
        <v>22</v>
      </c>
      <c r="K833" t="s" s="2">
        <v>1729</v>
      </c>
      <c r="L833" t="s" s="2">
        <v>1732</v>
      </c>
      <c r="M833" s="5">
        <v>547155.1899999999</v>
      </c>
      <c r="N833" s="5">
        <v>6284373.93</v>
      </c>
      <c r="O833" t="s" s="2">
        <v>305</v>
      </c>
      <c r="P833" s="5">
        <v>559</v>
      </c>
      <c r="Q833" t="s" s="2">
        <v>1505</v>
      </c>
      <c r="R833" t="s" s="2">
        <f>_xlfn.IFERROR(INDEX('model_byCAP'!$D$2:$D$377,MATCH(Q833,'model_byCAP'!$A$2:$A$377,0)),0)</f>
        <v>1494</v>
      </c>
    </row>
    <row r="834" ht="15.35" customHeight="1">
      <c r="A834" t="s" s="2">
        <v>1733</v>
      </c>
      <c r="B834" s="4">
        <v>40900</v>
      </c>
      <c r="C834" s="5">
        <v>3000</v>
      </c>
      <c r="D834" s="5">
        <v>90</v>
      </c>
      <c r="E834" s="5">
        <v>80</v>
      </c>
      <c r="F834" t="s" s="2">
        <v>301</v>
      </c>
      <c r="G834" t="s" s="2">
        <v>1502</v>
      </c>
      <c r="H834" s="5">
        <v>846</v>
      </c>
      <c r="I834" t="s" s="2">
        <v>429</v>
      </c>
      <c r="J834" t="s" s="2">
        <v>22</v>
      </c>
      <c r="K834" t="s" s="2">
        <v>1729</v>
      </c>
      <c r="L834" t="s" s="2">
        <v>1730</v>
      </c>
      <c r="M834" s="5">
        <v>547130.22</v>
      </c>
      <c r="N834" s="5">
        <v>6284075.04</v>
      </c>
      <c r="O834" t="s" s="2">
        <v>305</v>
      </c>
      <c r="P834" s="5">
        <v>548</v>
      </c>
      <c r="Q834" t="s" s="2">
        <v>1505</v>
      </c>
      <c r="R834" t="s" s="2">
        <f>_xlfn.IFERROR(INDEX('model_byCAP'!$D$2:$D$377,MATCH(Q834,'model_byCAP'!$A$2:$A$377,0)),0)</f>
        <v>1494</v>
      </c>
    </row>
    <row r="835" ht="15.35" customHeight="1">
      <c r="A835" t="s" s="2">
        <v>1734</v>
      </c>
      <c r="B835" s="4">
        <v>40900</v>
      </c>
      <c r="C835" s="5">
        <v>3000</v>
      </c>
      <c r="D835" s="5">
        <v>90</v>
      </c>
      <c r="E835" s="5">
        <v>80</v>
      </c>
      <c r="F835" t="s" s="2">
        <v>301</v>
      </c>
      <c r="G835" t="s" s="2">
        <v>1502</v>
      </c>
      <c r="H835" s="5">
        <v>846</v>
      </c>
      <c r="I835" t="s" s="2">
        <v>429</v>
      </c>
      <c r="J835" t="s" s="2">
        <v>22</v>
      </c>
      <c r="K835" t="s" s="2">
        <v>1729</v>
      </c>
      <c r="L835" t="s" s="2">
        <v>1735</v>
      </c>
      <c r="M835" s="5">
        <v>546976.13</v>
      </c>
      <c r="N835" s="5">
        <v>6283818.18</v>
      </c>
      <c r="O835" t="s" s="2">
        <v>305</v>
      </c>
      <c r="P835" s="5">
        <v>568</v>
      </c>
      <c r="Q835" t="s" s="2">
        <v>1505</v>
      </c>
      <c r="R835" t="s" s="2">
        <f>_xlfn.IFERROR(INDEX('model_byCAP'!$D$2:$D$377,MATCH(Q835,'model_byCAP'!$A$2:$A$377,0)),0)</f>
        <v>1494</v>
      </c>
    </row>
    <row r="836" ht="15.35" customHeight="1">
      <c r="A836" t="s" s="2">
        <v>1736</v>
      </c>
      <c r="B836" s="4">
        <v>40900</v>
      </c>
      <c r="C836" s="5">
        <v>3000</v>
      </c>
      <c r="D836" s="5">
        <v>90</v>
      </c>
      <c r="E836" s="5">
        <v>80</v>
      </c>
      <c r="F836" t="s" s="2">
        <v>301</v>
      </c>
      <c r="G836" t="s" s="2">
        <v>1502</v>
      </c>
      <c r="H836" s="5">
        <v>846</v>
      </c>
      <c r="I836" t="s" s="2">
        <v>429</v>
      </c>
      <c r="J836" t="s" s="2">
        <v>22</v>
      </c>
      <c r="K836" t="s" s="2">
        <v>1729</v>
      </c>
      <c r="L836" t="s" s="2">
        <v>1737</v>
      </c>
      <c r="M836" s="5">
        <v>546723.91</v>
      </c>
      <c r="N836" s="5">
        <v>6283656.1</v>
      </c>
      <c r="O836" t="s" s="2">
        <v>305</v>
      </c>
      <c r="P836" s="5">
        <v>569</v>
      </c>
      <c r="Q836" t="s" s="2">
        <v>1505</v>
      </c>
      <c r="R836" t="s" s="2">
        <f>_xlfn.IFERROR(INDEX('model_byCAP'!$D$2:$D$377,MATCH(Q836,'model_byCAP'!$A$2:$A$377,0)),0)</f>
        <v>1494</v>
      </c>
    </row>
    <row r="837" ht="15.35" customHeight="1">
      <c r="A837" t="s" s="2">
        <v>1738</v>
      </c>
      <c r="B837" s="4">
        <v>41262</v>
      </c>
      <c r="C837" s="5">
        <v>3000</v>
      </c>
      <c r="D837" s="5">
        <v>90</v>
      </c>
      <c r="E837" s="5">
        <v>80</v>
      </c>
      <c r="F837" t="s" s="2">
        <v>301</v>
      </c>
      <c r="G837" t="s" s="2">
        <v>1502</v>
      </c>
      <c r="H837" s="5">
        <v>846</v>
      </c>
      <c r="I837" t="s" s="2">
        <v>429</v>
      </c>
      <c r="J837" t="s" s="2">
        <v>22</v>
      </c>
      <c r="K837" t="s" s="2">
        <v>1739</v>
      </c>
      <c r="L837" t="s" s="2">
        <v>1740</v>
      </c>
      <c r="M837" s="5">
        <v>538528.92</v>
      </c>
      <c r="N837" s="5">
        <v>6276602.72</v>
      </c>
      <c r="O837" t="s" s="2">
        <v>305</v>
      </c>
      <c r="P837" s="5">
        <v>561</v>
      </c>
      <c r="Q837" t="s" s="2">
        <v>1505</v>
      </c>
      <c r="R837" t="s" s="2">
        <f>_xlfn.IFERROR(INDEX('model_byCAP'!$D$2:$D$377,MATCH(Q837,'model_byCAP'!$A$2:$A$377,0)),0)</f>
        <v>1494</v>
      </c>
    </row>
    <row r="838" ht="15.35" customHeight="1">
      <c r="A838" t="s" s="2">
        <v>1741</v>
      </c>
      <c r="B838" s="4">
        <v>41257</v>
      </c>
      <c r="C838" s="5">
        <v>3000</v>
      </c>
      <c r="D838" s="5">
        <v>90</v>
      </c>
      <c r="E838" s="5">
        <v>80</v>
      </c>
      <c r="F838" t="s" s="2">
        <v>301</v>
      </c>
      <c r="G838" t="s" s="2">
        <v>1502</v>
      </c>
      <c r="H838" s="5">
        <v>846</v>
      </c>
      <c r="I838" t="s" s="2">
        <v>429</v>
      </c>
      <c r="J838" t="s" s="2">
        <v>22</v>
      </c>
      <c r="K838" t="s" s="2">
        <v>1742</v>
      </c>
      <c r="L838" t="s" s="2">
        <v>1504</v>
      </c>
      <c r="M838" s="5">
        <v>538437.7</v>
      </c>
      <c r="N838" s="5">
        <v>6276861.72</v>
      </c>
      <c r="O838" t="s" s="2">
        <v>305</v>
      </c>
      <c r="P838" s="5">
        <v>563</v>
      </c>
      <c r="Q838" t="s" s="2">
        <v>1505</v>
      </c>
      <c r="R838" t="s" s="2">
        <f>_xlfn.IFERROR(INDEX('model_byCAP'!$D$2:$D$377,MATCH(Q838,'model_byCAP'!$A$2:$A$377,0)),0)</f>
        <v>1494</v>
      </c>
    </row>
    <row r="839" ht="15.35" customHeight="1">
      <c r="A839" t="s" s="2">
        <v>1743</v>
      </c>
      <c r="B839" s="4">
        <v>41256</v>
      </c>
      <c r="C839" s="5">
        <v>3000</v>
      </c>
      <c r="D839" s="5">
        <v>90</v>
      </c>
      <c r="E839" s="5">
        <v>80</v>
      </c>
      <c r="F839" t="s" s="2">
        <v>301</v>
      </c>
      <c r="G839" t="s" s="2">
        <v>1502</v>
      </c>
      <c r="H839" s="5">
        <v>846</v>
      </c>
      <c r="I839" t="s" s="2">
        <v>429</v>
      </c>
      <c r="J839" t="s" s="2">
        <v>22</v>
      </c>
      <c r="K839" t="s" s="2">
        <v>1742</v>
      </c>
      <c r="L839" t="s" s="2">
        <v>1744</v>
      </c>
      <c r="M839" s="5">
        <v>538347.37</v>
      </c>
      <c r="N839" s="5">
        <v>6277119.86</v>
      </c>
      <c r="O839" t="s" s="2">
        <v>305</v>
      </c>
      <c r="P839" s="5">
        <v>564</v>
      </c>
      <c r="Q839" t="s" s="2">
        <v>1505</v>
      </c>
      <c r="R839" t="s" s="2">
        <f>_xlfn.IFERROR(INDEX('model_byCAP'!$D$2:$D$377,MATCH(Q839,'model_byCAP'!$A$2:$A$377,0)),0)</f>
        <v>1494</v>
      </c>
    </row>
    <row r="840" ht="15.35" customHeight="1">
      <c r="A840" t="s" s="2">
        <v>1745</v>
      </c>
      <c r="B840" s="4">
        <v>37607</v>
      </c>
      <c r="C840" s="5">
        <v>2750</v>
      </c>
      <c r="D840" s="5">
        <v>80</v>
      </c>
      <c r="E840" s="5">
        <v>60</v>
      </c>
      <c r="F840" t="s" s="2">
        <v>1746</v>
      </c>
      <c r="G840" t="s" s="2">
        <v>1747</v>
      </c>
      <c r="H840" s="5">
        <v>561</v>
      </c>
      <c r="I840" t="s" s="2">
        <v>196</v>
      </c>
      <c r="J840" t="s" s="2">
        <v>22</v>
      </c>
      <c r="K840" t="s" s="2">
        <v>1748</v>
      </c>
      <c r="L840" t="s" s="2">
        <v>1749</v>
      </c>
      <c r="M840" s="5">
        <v>473398.52</v>
      </c>
      <c r="N840" s="5">
        <v>6144825.8</v>
      </c>
      <c r="O840" t="s" s="2">
        <v>305</v>
      </c>
      <c r="P840" s="5">
        <v>344227022</v>
      </c>
      <c r="Q840" t="s" s="2">
        <v>1750</v>
      </c>
      <c r="R840" t="s" s="2">
        <f>_xlfn.IFERROR(INDEX('model_byCAP'!$D$2:$D$377,MATCH(Q840,'model_byCAP'!$A$2:$A$377,0)),0)</f>
        <v>1751</v>
      </c>
    </row>
    <row r="841" ht="15.35" customHeight="1">
      <c r="A841" t="s" s="2">
        <v>1752</v>
      </c>
      <c r="B841" s="4">
        <v>37607</v>
      </c>
      <c r="C841" s="5">
        <v>2750</v>
      </c>
      <c r="D841" s="5">
        <v>80</v>
      </c>
      <c r="E841" s="5">
        <v>60</v>
      </c>
      <c r="F841" t="s" s="2">
        <v>1746</v>
      </c>
      <c r="G841" t="s" s="2">
        <v>1747</v>
      </c>
      <c r="H841" s="5">
        <v>561</v>
      </c>
      <c r="I841" t="s" s="2">
        <v>196</v>
      </c>
      <c r="J841" t="s" s="2">
        <v>22</v>
      </c>
      <c r="K841" t="s" s="2">
        <v>1748</v>
      </c>
      <c r="L841" t="s" s="2">
        <v>987</v>
      </c>
      <c r="M841" s="5">
        <v>473744.93</v>
      </c>
      <c r="N841" s="5">
        <v>6144692.95</v>
      </c>
      <c r="O841" t="s" s="2">
        <v>305</v>
      </c>
      <c r="P841" s="5">
        <v>344227023</v>
      </c>
      <c r="Q841" t="s" s="2">
        <v>1750</v>
      </c>
      <c r="R841" t="s" s="2">
        <f>_xlfn.IFERROR(INDEX('model_byCAP'!$D$2:$D$377,MATCH(Q841,'model_byCAP'!$A$2:$A$377,0)),0)</f>
        <v>1751</v>
      </c>
    </row>
    <row r="842" ht="15.35" customHeight="1">
      <c r="A842" t="s" s="2">
        <v>1753</v>
      </c>
      <c r="B842" s="4">
        <v>37607</v>
      </c>
      <c r="C842" s="5">
        <v>2750</v>
      </c>
      <c r="D842" s="5">
        <v>80</v>
      </c>
      <c r="E842" s="5">
        <v>60</v>
      </c>
      <c r="F842" t="s" s="2">
        <v>1746</v>
      </c>
      <c r="G842" t="s" s="2">
        <v>1747</v>
      </c>
      <c r="H842" s="5">
        <v>561</v>
      </c>
      <c r="I842" t="s" s="2">
        <v>196</v>
      </c>
      <c r="J842" t="s" s="2">
        <v>22</v>
      </c>
      <c r="K842" t="s" s="2">
        <v>1748</v>
      </c>
      <c r="L842" t="s" s="2">
        <v>1754</v>
      </c>
      <c r="M842" s="5">
        <v>474210.37</v>
      </c>
      <c r="N842" s="5">
        <v>6144513.64</v>
      </c>
      <c r="O842" t="s" s="2">
        <v>305</v>
      </c>
      <c r="P842" s="5">
        <v>344227024</v>
      </c>
      <c r="Q842" t="s" s="2">
        <v>1750</v>
      </c>
      <c r="R842" t="s" s="2">
        <f>_xlfn.IFERROR(INDEX('model_byCAP'!$D$2:$D$377,MATCH(Q842,'model_byCAP'!$A$2:$A$377,0)),0)</f>
        <v>1751</v>
      </c>
    </row>
    <row r="843" ht="15.35" customHeight="1">
      <c r="A843" t="s" s="2">
        <v>1755</v>
      </c>
      <c r="B843" s="4">
        <v>37607</v>
      </c>
      <c r="C843" s="5">
        <v>2750</v>
      </c>
      <c r="D843" s="5">
        <v>80</v>
      </c>
      <c r="E843" s="5">
        <v>60</v>
      </c>
      <c r="F843" t="s" s="2">
        <v>1746</v>
      </c>
      <c r="G843" t="s" s="2">
        <v>1747</v>
      </c>
      <c r="H843" s="5">
        <v>561</v>
      </c>
      <c r="I843" t="s" s="2">
        <v>196</v>
      </c>
      <c r="J843" t="s" s="2">
        <v>22</v>
      </c>
      <c r="K843" t="s" s="2">
        <v>1748</v>
      </c>
      <c r="L843" t="s" s="2">
        <v>1756</v>
      </c>
      <c r="M843" s="5">
        <v>474536.49</v>
      </c>
      <c r="N843" s="5">
        <v>6144388.14</v>
      </c>
      <c r="O843" t="s" s="2">
        <v>305</v>
      </c>
      <c r="P843" s="5">
        <v>344227025</v>
      </c>
      <c r="Q843" t="s" s="2">
        <v>1750</v>
      </c>
      <c r="R843" t="s" s="2">
        <f>_xlfn.IFERROR(INDEX('model_byCAP'!$D$2:$D$377,MATCH(Q843,'model_byCAP'!$A$2:$A$377,0)),0)</f>
        <v>1751</v>
      </c>
    </row>
    <row r="844" ht="15.35" customHeight="1">
      <c r="A844" t="s" s="2">
        <v>1757</v>
      </c>
      <c r="B844" s="4">
        <v>37609</v>
      </c>
      <c r="C844" s="5">
        <v>2750</v>
      </c>
      <c r="D844" s="5">
        <v>92</v>
      </c>
      <c r="E844" s="5">
        <v>70</v>
      </c>
      <c r="F844" t="s" s="2">
        <v>1746</v>
      </c>
      <c r="G844" t="s" s="2">
        <v>1758</v>
      </c>
      <c r="H844" s="5">
        <v>851</v>
      </c>
      <c r="I844" t="s" s="2">
        <v>1139</v>
      </c>
      <c r="J844" t="s" s="2">
        <v>22</v>
      </c>
      <c r="K844" t="s" s="2">
        <v>1759</v>
      </c>
      <c r="L844" t="s" s="2">
        <v>1760</v>
      </c>
      <c r="M844" s="5">
        <v>565272.9</v>
      </c>
      <c r="N844" s="5">
        <v>6322246.22</v>
      </c>
      <c r="O844" t="s" s="2">
        <v>305</v>
      </c>
      <c r="P844" s="5">
        <v>44434</v>
      </c>
      <c r="Q844" t="s" s="2">
        <v>1761</v>
      </c>
      <c r="R844" t="s" s="2">
        <f>_xlfn.IFERROR(INDEX('model_byCAP'!$D$2:$D$377,MATCH(Q844,'model_byCAP'!$A$2:$A$377,0)),0)</f>
        <v>1751</v>
      </c>
    </row>
    <row r="845" ht="15.35" customHeight="1">
      <c r="A845" t="s" s="2">
        <v>1762</v>
      </c>
      <c r="B845" s="4">
        <v>37337</v>
      </c>
      <c r="C845" s="5">
        <v>2500</v>
      </c>
      <c r="D845" s="5">
        <v>80</v>
      </c>
      <c r="E845" s="5">
        <v>57</v>
      </c>
      <c r="F845" t="s" s="2">
        <v>1746</v>
      </c>
      <c r="G845" t="s" s="2">
        <v>1763</v>
      </c>
      <c r="H845" s="5">
        <v>561</v>
      </c>
      <c r="I845" t="s" s="2">
        <v>196</v>
      </c>
      <c r="J845" t="s" s="2">
        <v>22</v>
      </c>
      <c r="K845" t="s" s="2">
        <v>1764</v>
      </c>
      <c r="L845" t="s" s="2">
        <v>1765</v>
      </c>
      <c r="M845" s="5">
        <v>473834.27</v>
      </c>
      <c r="N845" s="5">
        <v>6144927.56</v>
      </c>
      <c r="O845" t="s" s="2">
        <v>305</v>
      </c>
      <c r="P845" s="5">
        <v>344225629</v>
      </c>
      <c r="Q845" t="s" s="2">
        <v>1766</v>
      </c>
      <c r="R845" t="s" s="2">
        <f>_xlfn.IFERROR(INDEX('model_byCAP'!$D$2:$D$377,MATCH(Q845,'model_byCAP'!$A$2:$A$377,0)),0)</f>
        <v>1751</v>
      </c>
    </row>
    <row r="846" ht="15.35" customHeight="1">
      <c r="A846" t="s" s="2">
        <v>1767</v>
      </c>
      <c r="B846" s="4">
        <v>39793</v>
      </c>
      <c r="C846" s="5">
        <v>2300</v>
      </c>
      <c r="D846" s="5">
        <v>93</v>
      </c>
      <c r="E846" s="5">
        <v>80</v>
      </c>
      <c r="F846" t="s" s="2">
        <v>19</v>
      </c>
      <c r="G846" t="s" s="2">
        <v>1768</v>
      </c>
      <c r="H846" s="5">
        <v>316</v>
      </c>
      <c r="I846" t="s" s="2">
        <v>1769</v>
      </c>
      <c r="J846" t="s" s="2">
        <v>22</v>
      </c>
      <c r="K846" t="s" s="2">
        <v>1770</v>
      </c>
      <c r="L846" t="s" s="2">
        <v>1771</v>
      </c>
      <c r="M846" s="5">
        <v>656877.73</v>
      </c>
      <c r="N846" s="5">
        <v>6174734.73</v>
      </c>
      <c r="O846" t="s" s="2">
        <v>305</v>
      </c>
      <c r="P846" s="5">
        <v>60461267</v>
      </c>
      <c r="Q846" t="s" s="2">
        <v>1772</v>
      </c>
      <c r="R846" t="s" s="2">
        <f>_xlfn.IFERROR(INDEX('model_byCAP'!$D$2:$D$377,MATCH(Q846,'model_byCAP'!$A$2:$A$377,0)),0)</f>
        <v>1773</v>
      </c>
    </row>
    <row r="847" ht="15.35" customHeight="1">
      <c r="A847" t="s" s="2">
        <v>1774</v>
      </c>
      <c r="B847" s="4">
        <v>39793</v>
      </c>
      <c r="C847" s="5">
        <v>2300</v>
      </c>
      <c r="D847" s="5">
        <v>93</v>
      </c>
      <c r="E847" s="5">
        <v>80</v>
      </c>
      <c r="F847" t="s" s="2">
        <v>19</v>
      </c>
      <c r="G847" t="s" s="2">
        <v>1768</v>
      </c>
      <c r="H847" s="5">
        <v>316</v>
      </c>
      <c r="I847" t="s" s="2">
        <v>1769</v>
      </c>
      <c r="J847" t="s" s="2">
        <v>22</v>
      </c>
      <c r="K847" t="s" s="2">
        <v>1770</v>
      </c>
      <c r="L847" t="s" s="2">
        <v>1771</v>
      </c>
      <c r="M847" s="5">
        <v>657184.52</v>
      </c>
      <c r="N847" s="5">
        <v>6174640.92</v>
      </c>
      <c r="O847" t="s" s="2">
        <v>305</v>
      </c>
      <c r="P847" s="5">
        <v>60461264</v>
      </c>
      <c r="Q847" t="s" s="2">
        <v>1772</v>
      </c>
      <c r="R847" t="s" s="2">
        <f>_xlfn.IFERROR(INDEX('model_byCAP'!$D$2:$D$377,MATCH(Q847,'model_byCAP'!$A$2:$A$377,0)),0)</f>
        <v>1773</v>
      </c>
    </row>
    <row r="848" ht="15.35" customHeight="1">
      <c r="A848" t="s" s="2">
        <v>1775</v>
      </c>
      <c r="B848" s="4">
        <v>40855</v>
      </c>
      <c r="C848" s="5">
        <v>2300</v>
      </c>
      <c r="D848" s="5">
        <v>93</v>
      </c>
      <c r="E848" s="5">
        <v>80</v>
      </c>
      <c r="F848" t="s" s="2">
        <v>19</v>
      </c>
      <c r="G848" t="s" s="2">
        <v>1768</v>
      </c>
      <c r="H848" s="5">
        <v>316</v>
      </c>
      <c r="I848" t="s" s="2">
        <v>1769</v>
      </c>
      <c r="J848" t="s" s="2">
        <v>22</v>
      </c>
      <c r="K848" t="s" s="2">
        <v>1776</v>
      </c>
      <c r="L848" t="s" s="2">
        <v>856</v>
      </c>
      <c r="M848" s="5">
        <v>658999.88</v>
      </c>
      <c r="N848" s="5">
        <v>6182350.03</v>
      </c>
      <c r="O848" t="s" s="2">
        <v>305</v>
      </c>
      <c r="P848" s="5">
        <v>60554392</v>
      </c>
      <c r="Q848" t="s" s="2">
        <v>1772</v>
      </c>
      <c r="R848" t="s" s="2">
        <f>_xlfn.IFERROR(INDEX('model_byCAP'!$D$2:$D$377,MATCH(Q848,'model_byCAP'!$A$2:$A$377,0)),0)</f>
        <v>1773</v>
      </c>
    </row>
    <row r="849" ht="15.35" customHeight="1">
      <c r="A849" t="s" s="2">
        <v>1777</v>
      </c>
      <c r="B849" s="4">
        <v>40847</v>
      </c>
      <c r="C849" s="5">
        <v>2300</v>
      </c>
      <c r="D849" s="5">
        <v>93</v>
      </c>
      <c r="E849" s="5">
        <v>80</v>
      </c>
      <c r="F849" t="s" s="2">
        <v>19</v>
      </c>
      <c r="G849" t="s" s="2">
        <v>1768</v>
      </c>
      <c r="H849" s="5">
        <v>316</v>
      </c>
      <c r="I849" t="s" s="2">
        <v>1769</v>
      </c>
      <c r="J849" t="s" s="2">
        <v>22</v>
      </c>
      <c r="K849" t="s" s="2">
        <v>1776</v>
      </c>
      <c r="L849" t="s" s="2">
        <v>1778</v>
      </c>
      <c r="M849" s="5">
        <v>659431.4300000001</v>
      </c>
      <c r="N849" s="5">
        <v>6182363.01</v>
      </c>
      <c r="O849" t="s" s="2">
        <v>305</v>
      </c>
      <c r="P849" s="5">
        <v>60554397</v>
      </c>
      <c r="Q849" t="s" s="2">
        <v>1772</v>
      </c>
      <c r="R849" t="s" s="2">
        <f>_xlfn.IFERROR(INDEX('model_byCAP'!$D$2:$D$377,MATCH(Q849,'model_byCAP'!$A$2:$A$377,0)),0)</f>
        <v>1773</v>
      </c>
    </row>
    <row r="850" ht="15.35" customHeight="1">
      <c r="A850" t="s" s="2">
        <v>1779</v>
      </c>
      <c r="B850" s="4">
        <v>40842</v>
      </c>
      <c r="C850" s="5">
        <v>2300</v>
      </c>
      <c r="D850" s="5">
        <v>93</v>
      </c>
      <c r="E850" s="5">
        <v>80</v>
      </c>
      <c r="F850" t="s" s="2">
        <v>19</v>
      </c>
      <c r="G850" t="s" s="2">
        <v>1768</v>
      </c>
      <c r="H850" s="5">
        <v>316</v>
      </c>
      <c r="I850" t="s" s="2">
        <v>1769</v>
      </c>
      <c r="J850" t="s" s="2">
        <v>22</v>
      </c>
      <c r="K850" t="s" s="2">
        <v>1776</v>
      </c>
      <c r="L850" t="s" s="2">
        <v>1780</v>
      </c>
      <c r="M850" s="5">
        <v>659867.24</v>
      </c>
      <c r="N850" s="5">
        <v>6182374.58</v>
      </c>
      <c r="O850" t="s" s="2">
        <v>305</v>
      </c>
      <c r="P850" s="5">
        <v>60554399</v>
      </c>
      <c r="Q850" t="s" s="2">
        <v>1772</v>
      </c>
      <c r="R850" t="s" s="2">
        <f>_xlfn.IFERROR(INDEX('model_byCAP'!$D$2:$D$377,MATCH(Q850,'model_byCAP'!$A$2:$A$377,0)),0)</f>
        <v>1773</v>
      </c>
    </row>
    <row r="851" ht="15.35" customHeight="1">
      <c r="A851" t="s" s="2">
        <v>1781</v>
      </c>
      <c r="B851" s="4">
        <v>40835</v>
      </c>
      <c r="C851" s="5">
        <v>2300</v>
      </c>
      <c r="D851" s="5">
        <v>93</v>
      </c>
      <c r="E851" s="5">
        <v>80</v>
      </c>
      <c r="F851" t="s" s="2">
        <v>19</v>
      </c>
      <c r="G851" t="s" s="2">
        <v>1768</v>
      </c>
      <c r="H851" s="5">
        <v>316</v>
      </c>
      <c r="I851" t="s" s="2">
        <v>1769</v>
      </c>
      <c r="J851" t="s" s="2">
        <v>22</v>
      </c>
      <c r="K851" t="s" s="2">
        <v>1782</v>
      </c>
      <c r="L851" t="s" s="2">
        <v>431</v>
      </c>
      <c r="M851" s="5">
        <v>660302.6800000001</v>
      </c>
      <c r="N851" s="5">
        <v>6182387.12</v>
      </c>
      <c r="O851" t="s" s="2">
        <v>305</v>
      </c>
      <c r="P851" s="5">
        <v>60554401</v>
      </c>
      <c r="Q851" t="s" s="2">
        <v>1772</v>
      </c>
      <c r="R851" t="s" s="2">
        <f>_xlfn.IFERROR(INDEX('model_byCAP'!$D$2:$D$377,MATCH(Q851,'model_byCAP'!$A$2:$A$377,0)),0)</f>
        <v>1773</v>
      </c>
    </row>
    <row r="852" ht="15.35" customHeight="1">
      <c r="A852" t="s" s="2">
        <v>1783</v>
      </c>
      <c r="B852" s="4">
        <v>40828</v>
      </c>
      <c r="C852" s="5">
        <v>2300</v>
      </c>
      <c r="D852" s="5">
        <v>93</v>
      </c>
      <c r="E852" s="5">
        <v>80</v>
      </c>
      <c r="F852" t="s" s="2">
        <v>19</v>
      </c>
      <c r="G852" t="s" s="2">
        <v>1768</v>
      </c>
      <c r="H852" s="5">
        <v>316</v>
      </c>
      <c r="I852" t="s" s="2">
        <v>1769</v>
      </c>
      <c r="J852" t="s" s="2">
        <v>22</v>
      </c>
      <c r="K852" t="s" s="2">
        <v>1784</v>
      </c>
      <c r="L852" t="s" s="2">
        <v>1785</v>
      </c>
      <c r="M852" s="5">
        <v>660738.86</v>
      </c>
      <c r="N852" s="5">
        <v>6182399.01</v>
      </c>
      <c r="O852" t="s" s="2">
        <v>305</v>
      </c>
      <c r="P852" s="5">
        <v>60554406</v>
      </c>
      <c r="Q852" t="s" s="2">
        <v>1772</v>
      </c>
      <c r="R852" t="s" s="2">
        <f>_xlfn.IFERROR(INDEX('model_byCAP'!$D$2:$D$377,MATCH(Q852,'model_byCAP'!$A$2:$A$377,0)),0)</f>
        <v>1773</v>
      </c>
    </row>
    <row r="853" ht="15.35" customHeight="1">
      <c r="A853" t="s" s="2">
        <v>1786</v>
      </c>
      <c r="B853" s="4">
        <v>40810</v>
      </c>
      <c r="C853" s="5">
        <v>2300</v>
      </c>
      <c r="D853" s="5">
        <v>93</v>
      </c>
      <c r="E853" s="5">
        <v>80</v>
      </c>
      <c r="F853" t="s" s="2">
        <v>19</v>
      </c>
      <c r="G853" t="s" s="2">
        <v>1768</v>
      </c>
      <c r="H853" s="5">
        <v>316</v>
      </c>
      <c r="I853" t="s" s="2">
        <v>1769</v>
      </c>
      <c r="J853" t="s" s="2">
        <v>22</v>
      </c>
      <c r="K853" t="s" s="2">
        <v>1784</v>
      </c>
      <c r="L853" t="s" s="2">
        <v>1787</v>
      </c>
      <c r="M853" s="5">
        <v>662209.96</v>
      </c>
      <c r="N853" s="5">
        <v>6183009.48</v>
      </c>
      <c r="O853" t="s" s="2">
        <v>305</v>
      </c>
      <c r="P853" s="5">
        <v>60554408</v>
      </c>
      <c r="Q853" t="s" s="2">
        <v>1772</v>
      </c>
      <c r="R853" t="s" s="2">
        <f>_xlfn.IFERROR(INDEX('model_byCAP'!$D$2:$D$377,MATCH(Q853,'model_byCAP'!$A$2:$A$377,0)),0)</f>
        <v>1773</v>
      </c>
    </row>
    <row r="854" ht="15.35" customHeight="1">
      <c r="A854" t="s" s="2">
        <v>1788</v>
      </c>
      <c r="B854" s="4">
        <v>40808</v>
      </c>
      <c r="C854" s="5">
        <v>2300</v>
      </c>
      <c r="D854" s="5">
        <v>93</v>
      </c>
      <c r="E854" s="5">
        <v>80</v>
      </c>
      <c r="F854" t="s" s="2">
        <v>19</v>
      </c>
      <c r="G854" t="s" s="2">
        <v>1768</v>
      </c>
      <c r="H854" s="5">
        <v>316</v>
      </c>
      <c r="I854" t="s" s="2">
        <v>1769</v>
      </c>
      <c r="J854" t="s" s="2">
        <v>22</v>
      </c>
      <c r="K854" t="s" s="2">
        <v>1784</v>
      </c>
      <c r="L854" t="s" s="2">
        <v>1787</v>
      </c>
      <c r="M854" s="5">
        <v>662580.01</v>
      </c>
      <c r="N854" s="5">
        <v>6183019.29</v>
      </c>
      <c r="O854" t="s" s="2">
        <v>305</v>
      </c>
      <c r="P854" s="5">
        <v>60554410</v>
      </c>
      <c r="Q854" t="s" s="2">
        <v>1772</v>
      </c>
      <c r="R854" t="s" s="2">
        <f>_xlfn.IFERROR(INDEX('model_byCAP'!$D$2:$D$377,MATCH(Q854,'model_byCAP'!$A$2:$A$377,0)),0)</f>
        <v>1773</v>
      </c>
    </row>
    <row r="855" ht="15.35" customHeight="1">
      <c r="A855" t="s" s="2">
        <v>1789</v>
      </c>
      <c r="B855" s="4">
        <v>40806</v>
      </c>
      <c r="C855" s="5">
        <v>2300</v>
      </c>
      <c r="D855" s="5">
        <v>93</v>
      </c>
      <c r="E855" s="5">
        <v>80</v>
      </c>
      <c r="F855" t="s" s="2">
        <v>19</v>
      </c>
      <c r="G855" t="s" s="2">
        <v>1768</v>
      </c>
      <c r="H855" s="5">
        <v>316</v>
      </c>
      <c r="I855" t="s" s="2">
        <v>1769</v>
      </c>
      <c r="J855" t="s" s="2">
        <v>22</v>
      </c>
      <c r="K855" t="s" s="2">
        <v>1784</v>
      </c>
      <c r="L855" t="s" s="2">
        <v>1008</v>
      </c>
      <c r="M855" s="5">
        <v>662949.9</v>
      </c>
      <c r="N855" s="5">
        <v>6183029.25</v>
      </c>
      <c r="O855" t="s" s="2">
        <v>305</v>
      </c>
      <c r="P855" s="5">
        <v>60554412</v>
      </c>
      <c r="Q855" t="s" s="2">
        <v>1772</v>
      </c>
      <c r="R855" t="s" s="2">
        <f>_xlfn.IFERROR(INDEX('model_byCAP'!$D$2:$D$377,MATCH(Q855,'model_byCAP'!$A$2:$A$377,0)),0)</f>
        <v>1773</v>
      </c>
    </row>
    <row r="856" ht="15.35" customHeight="1">
      <c r="A856" t="s" s="2">
        <v>1790</v>
      </c>
      <c r="B856" s="4">
        <v>40819</v>
      </c>
      <c r="C856" s="5">
        <v>2300</v>
      </c>
      <c r="D856" s="5">
        <v>93</v>
      </c>
      <c r="E856" s="5">
        <v>80</v>
      </c>
      <c r="F856" t="s" s="2">
        <v>19</v>
      </c>
      <c r="G856" t="s" s="2">
        <v>1768</v>
      </c>
      <c r="H856" s="5">
        <v>316</v>
      </c>
      <c r="I856" t="s" s="2">
        <v>1769</v>
      </c>
      <c r="J856" t="s" s="2">
        <v>22</v>
      </c>
      <c r="K856" t="s" s="2">
        <v>1784</v>
      </c>
      <c r="L856" t="s" s="2">
        <v>1791</v>
      </c>
      <c r="M856" s="5">
        <v>662219.62</v>
      </c>
      <c r="N856" s="5">
        <v>6182659.41</v>
      </c>
      <c r="O856" t="s" s="2">
        <v>305</v>
      </c>
      <c r="P856" s="5">
        <v>60554414</v>
      </c>
      <c r="Q856" t="s" s="2">
        <v>1772</v>
      </c>
      <c r="R856" t="s" s="2">
        <f>_xlfn.IFERROR(INDEX('model_byCAP'!$D$2:$D$377,MATCH(Q856,'model_byCAP'!$A$2:$A$377,0)),0)</f>
        <v>1773</v>
      </c>
    </row>
    <row r="857" ht="15.35" customHeight="1">
      <c r="A857" t="s" s="2">
        <v>1792</v>
      </c>
      <c r="B857" s="4">
        <v>40821</v>
      </c>
      <c r="C857" s="5">
        <v>2300</v>
      </c>
      <c r="D857" s="5">
        <v>93</v>
      </c>
      <c r="E857" s="5">
        <v>80</v>
      </c>
      <c r="F857" t="s" s="2">
        <v>19</v>
      </c>
      <c r="G857" t="s" s="2">
        <v>1768</v>
      </c>
      <c r="H857" s="5">
        <v>316</v>
      </c>
      <c r="I857" t="s" s="2">
        <v>1769</v>
      </c>
      <c r="J857" t="s" s="2">
        <v>22</v>
      </c>
      <c r="K857" t="s" s="2">
        <v>1784</v>
      </c>
      <c r="L857" t="s" s="2">
        <v>1793</v>
      </c>
      <c r="M857" s="5">
        <v>662589.48</v>
      </c>
      <c r="N857" s="5">
        <v>6182669.46</v>
      </c>
      <c r="O857" t="s" s="2">
        <v>305</v>
      </c>
      <c r="P857" s="5">
        <v>60554416</v>
      </c>
      <c r="Q857" t="s" s="2">
        <v>1772</v>
      </c>
      <c r="R857" t="s" s="2">
        <f>_xlfn.IFERROR(INDEX('model_byCAP'!$D$2:$D$377,MATCH(Q857,'model_byCAP'!$A$2:$A$377,0)),0)</f>
        <v>1773</v>
      </c>
    </row>
    <row r="858" ht="15.35" customHeight="1">
      <c r="A858" t="s" s="2">
        <v>1794</v>
      </c>
      <c r="B858" s="4">
        <v>41625</v>
      </c>
      <c r="C858" s="5">
        <v>2300</v>
      </c>
      <c r="D858" s="5">
        <v>93</v>
      </c>
      <c r="E858" s="5">
        <v>80</v>
      </c>
      <c r="F858" t="s" s="2">
        <v>19</v>
      </c>
      <c r="G858" t="s" s="2">
        <v>1768</v>
      </c>
      <c r="H858" s="5">
        <v>340</v>
      </c>
      <c r="I858" t="s" s="2">
        <v>1795</v>
      </c>
      <c r="J858" t="s" s="2">
        <v>22</v>
      </c>
      <c r="K858" t="s" s="2">
        <v>1796</v>
      </c>
      <c r="L858" t="s" s="2">
        <v>481</v>
      </c>
      <c r="M858" s="5">
        <v>662146.1800000001</v>
      </c>
      <c r="N858" s="5">
        <v>6156577.55</v>
      </c>
      <c r="O858" t="s" s="2">
        <v>305</v>
      </c>
      <c r="P858" s="5">
        <v>60691586</v>
      </c>
      <c r="Q858" t="s" s="2">
        <v>1772</v>
      </c>
      <c r="R858" t="s" s="2">
        <f>_xlfn.IFERROR(INDEX('model_byCAP'!$D$2:$D$377,MATCH(Q858,'model_byCAP'!$A$2:$A$377,0)),0)</f>
        <v>1773</v>
      </c>
    </row>
    <row r="859" ht="15.35" customHeight="1">
      <c r="A859" t="s" s="2">
        <v>1797</v>
      </c>
      <c r="B859" s="4">
        <v>41624</v>
      </c>
      <c r="C859" s="5">
        <v>2300</v>
      </c>
      <c r="D859" s="5">
        <v>93</v>
      </c>
      <c r="E859" s="5">
        <v>80</v>
      </c>
      <c r="F859" t="s" s="2">
        <v>19</v>
      </c>
      <c r="G859" t="s" s="2">
        <v>1768</v>
      </c>
      <c r="H859" s="5">
        <v>340</v>
      </c>
      <c r="I859" t="s" s="2">
        <v>1795</v>
      </c>
      <c r="J859" t="s" s="2">
        <v>22</v>
      </c>
      <c r="K859" t="s" s="2">
        <v>1796</v>
      </c>
      <c r="L859" t="s" s="2">
        <v>481</v>
      </c>
      <c r="M859" s="5">
        <v>661792.91</v>
      </c>
      <c r="N859" s="5">
        <v>6156597.94</v>
      </c>
      <c r="O859" t="s" s="2">
        <v>305</v>
      </c>
      <c r="P859" s="5">
        <v>60691596</v>
      </c>
      <c r="Q859" t="s" s="2">
        <v>1772</v>
      </c>
      <c r="R859" t="s" s="2">
        <f>_xlfn.IFERROR(INDEX('model_byCAP'!$D$2:$D$377,MATCH(Q859,'model_byCAP'!$A$2:$A$377,0)),0)</f>
        <v>1773</v>
      </c>
    </row>
    <row r="860" ht="15.35" customHeight="1">
      <c r="A860" t="s" s="2">
        <v>1798</v>
      </c>
      <c r="B860" s="4">
        <v>40289</v>
      </c>
      <c r="C860" s="5">
        <v>2300</v>
      </c>
      <c r="D860" s="5">
        <v>92.59999999999999</v>
      </c>
      <c r="E860" s="5">
        <v>80</v>
      </c>
      <c r="F860" t="s" s="2">
        <v>19</v>
      </c>
      <c r="G860" t="s" s="2">
        <v>1768</v>
      </c>
      <c r="H860" s="5">
        <v>360</v>
      </c>
      <c r="I860" t="s" s="2">
        <v>463</v>
      </c>
      <c r="J860" t="s" s="2">
        <v>47</v>
      </c>
      <c r="K860" t="s" s="2">
        <v>1799</v>
      </c>
      <c r="L860" t="s" s="2">
        <v>618</v>
      </c>
      <c r="M860" s="5">
        <v>660625.67</v>
      </c>
      <c r="N860" s="5">
        <v>6051246.13</v>
      </c>
      <c r="O860" t="s" s="2">
        <v>1492</v>
      </c>
      <c r="P860" t="s" s="2">
        <v>1800</v>
      </c>
      <c r="Q860" t="s" s="2">
        <v>1772</v>
      </c>
      <c r="R860" t="s" s="2">
        <f>_xlfn.IFERROR(INDEX('model_byCAP'!$D$2:$D$377,MATCH(Q860,'model_byCAP'!$A$2:$A$377,0)),0)</f>
        <v>1773</v>
      </c>
    </row>
    <row r="861" ht="15.35" customHeight="1">
      <c r="A861" t="s" s="2">
        <v>1801</v>
      </c>
      <c r="B861" s="4">
        <v>40292</v>
      </c>
      <c r="C861" s="5">
        <v>2300</v>
      </c>
      <c r="D861" s="5">
        <v>92.59999999999999</v>
      </c>
      <c r="E861" s="5">
        <v>80</v>
      </c>
      <c r="F861" t="s" s="2">
        <v>19</v>
      </c>
      <c r="G861" t="s" s="2">
        <v>1768</v>
      </c>
      <c r="H861" s="5">
        <v>360</v>
      </c>
      <c r="I861" t="s" s="2">
        <v>463</v>
      </c>
      <c r="J861" t="s" s="2">
        <v>47</v>
      </c>
      <c r="K861" t="s" s="2">
        <v>1799</v>
      </c>
      <c r="L861" t="s" s="2">
        <v>618</v>
      </c>
      <c r="M861" s="5">
        <v>661164</v>
      </c>
      <c r="N861" s="5">
        <v>6050979</v>
      </c>
      <c r="O861" t="s" s="2">
        <v>1492</v>
      </c>
      <c r="P861" t="s" s="2">
        <v>1802</v>
      </c>
      <c r="Q861" t="s" s="2">
        <v>1772</v>
      </c>
      <c r="R861" t="s" s="2">
        <f>_xlfn.IFERROR(INDEX('model_byCAP'!$D$2:$D$377,MATCH(Q861,'model_byCAP'!$A$2:$A$377,0)),0)</f>
        <v>1773</v>
      </c>
    </row>
    <row r="862" ht="15.35" customHeight="1">
      <c r="A862" t="s" s="2">
        <v>1803</v>
      </c>
      <c r="B862" s="4">
        <v>40290</v>
      </c>
      <c r="C862" s="5">
        <v>2300</v>
      </c>
      <c r="D862" s="5">
        <v>92.59999999999999</v>
      </c>
      <c r="E862" s="5">
        <v>80</v>
      </c>
      <c r="F862" t="s" s="2">
        <v>19</v>
      </c>
      <c r="G862" t="s" s="2">
        <v>1768</v>
      </c>
      <c r="H862" s="5">
        <v>360</v>
      </c>
      <c r="I862" t="s" s="2">
        <v>463</v>
      </c>
      <c r="J862" t="s" s="2">
        <v>47</v>
      </c>
      <c r="K862" t="s" s="2">
        <v>1799</v>
      </c>
      <c r="L862" t="s" s="2">
        <v>618</v>
      </c>
      <c r="M862" s="5">
        <v>661668</v>
      </c>
      <c r="N862" s="5">
        <v>6050759</v>
      </c>
      <c r="O862" t="s" s="2">
        <v>1492</v>
      </c>
      <c r="P862" t="s" s="2">
        <v>1804</v>
      </c>
      <c r="Q862" t="s" s="2">
        <v>1772</v>
      </c>
      <c r="R862" t="s" s="2">
        <f>_xlfn.IFERROR(INDEX('model_byCAP'!$D$2:$D$377,MATCH(Q862,'model_byCAP'!$A$2:$A$377,0)),0)</f>
        <v>1773</v>
      </c>
    </row>
    <row r="863" ht="15.35" customHeight="1">
      <c r="A863" t="s" s="2">
        <v>1805</v>
      </c>
      <c r="B863" s="4">
        <v>40278</v>
      </c>
      <c r="C863" s="5">
        <v>2300</v>
      </c>
      <c r="D863" s="5">
        <v>92.59999999999999</v>
      </c>
      <c r="E863" s="5">
        <v>80</v>
      </c>
      <c r="F863" t="s" s="2">
        <v>19</v>
      </c>
      <c r="G863" t="s" s="2">
        <v>1768</v>
      </c>
      <c r="H863" s="5">
        <v>360</v>
      </c>
      <c r="I863" t="s" s="2">
        <v>463</v>
      </c>
      <c r="J863" t="s" s="2">
        <v>47</v>
      </c>
      <c r="K863" t="s" s="2">
        <v>1799</v>
      </c>
      <c r="L863" t="s" s="2">
        <v>618</v>
      </c>
      <c r="M863" s="5">
        <v>662261</v>
      </c>
      <c r="N863" s="5">
        <v>6050527</v>
      </c>
      <c r="O863" t="s" s="2">
        <v>1492</v>
      </c>
      <c r="P863" t="s" s="2">
        <v>1806</v>
      </c>
      <c r="Q863" t="s" s="2">
        <v>1772</v>
      </c>
      <c r="R863" t="s" s="2">
        <f>_xlfn.IFERROR(INDEX('model_byCAP'!$D$2:$D$377,MATCH(Q863,'model_byCAP'!$A$2:$A$377,0)),0)</f>
        <v>1773</v>
      </c>
    </row>
    <row r="864" ht="15.35" customHeight="1">
      <c r="A864" t="s" s="2">
        <v>1807</v>
      </c>
      <c r="B864" s="4">
        <v>40281</v>
      </c>
      <c r="C864" s="5">
        <v>2300</v>
      </c>
      <c r="D864" s="5">
        <v>92.59999999999999</v>
      </c>
      <c r="E864" s="5">
        <v>80</v>
      </c>
      <c r="F864" t="s" s="2">
        <v>19</v>
      </c>
      <c r="G864" t="s" s="2">
        <v>1768</v>
      </c>
      <c r="H864" s="5">
        <v>360</v>
      </c>
      <c r="I864" t="s" s="2">
        <v>463</v>
      </c>
      <c r="J864" t="s" s="2">
        <v>47</v>
      </c>
      <c r="K864" t="s" s="2">
        <v>1799</v>
      </c>
      <c r="L864" t="s" s="2">
        <v>618</v>
      </c>
      <c r="M864" s="5">
        <v>662775</v>
      </c>
      <c r="N864" s="5">
        <v>6050346</v>
      </c>
      <c r="O864" t="s" s="2">
        <v>1492</v>
      </c>
      <c r="P864" t="s" s="2">
        <v>1808</v>
      </c>
      <c r="Q864" t="s" s="2">
        <v>1772</v>
      </c>
      <c r="R864" t="s" s="2">
        <f>_xlfn.IFERROR(INDEX('model_byCAP'!$D$2:$D$377,MATCH(Q864,'model_byCAP'!$A$2:$A$377,0)),0)</f>
        <v>1773</v>
      </c>
    </row>
    <row r="865" ht="15.35" customHeight="1">
      <c r="A865" t="s" s="2">
        <v>1809</v>
      </c>
      <c r="B865" s="4">
        <v>40278</v>
      </c>
      <c r="C865" s="5">
        <v>2300</v>
      </c>
      <c r="D865" s="5">
        <v>92.59999999999999</v>
      </c>
      <c r="E865" s="5">
        <v>80</v>
      </c>
      <c r="F865" t="s" s="2">
        <v>19</v>
      </c>
      <c r="G865" t="s" s="2">
        <v>1768</v>
      </c>
      <c r="H865" s="5">
        <v>360</v>
      </c>
      <c r="I865" t="s" s="2">
        <v>463</v>
      </c>
      <c r="J865" t="s" s="2">
        <v>47</v>
      </c>
      <c r="K865" t="s" s="2">
        <v>1799</v>
      </c>
      <c r="L865" t="s" s="2">
        <v>618</v>
      </c>
      <c r="M865" s="5">
        <v>663314</v>
      </c>
      <c r="N865" s="5">
        <v>6050157</v>
      </c>
      <c r="O865" t="s" s="2">
        <v>1492</v>
      </c>
      <c r="P865" t="s" s="2">
        <v>1810</v>
      </c>
      <c r="Q865" t="s" s="2">
        <v>1772</v>
      </c>
      <c r="R865" t="s" s="2">
        <f>_xlfn.IFERROR(INDEX('model_byCAP'!$D$2:$D$377,MATCH(Q865,'model_byCAP'!$A$2:$A$377,0)),0)</f>
        <v>1773</v>
      </c>
    </row>
    <row r="866" ht="15.35" customHeight="1">
      <c r="A866" t="s" s="2">
        <v>1811</v>
      </c>
      <c r="B866" s="4">
        <v>40270</v>
      </c>
      <c r="C866" s="5">
        <v>2300</v>
      </c>
      <c r="D866" s="5">
        <v>92.59999999999999</v>
      </c>
      <c r="E866" s="5">
        <v>80</v>
      </c>
      <c r="F866" t="s" s="2">
        <v>19</v>
      </c>
      <c r="G866" t="s" s="2">
        <v>1768</v>
      </c>
      <c r="H866" s="5">
        <v>360</v>
      </c>
      <c r="I866" t="s" s="2">
        <v>463</v>
      </c>
      <c r="J866" t="s" s="2">
        <v>47</v>
      </c>
      <c r="K866" t="s" s="2">
        <v>1799</v>
      </c>
      <c r="L866" t="s" s="2">
        <v>618</v>
      </c>
      <c r="M866" s="5">
        <v>663841</v>
      </c>
      <c r="N866" s="5">
        <v>6049978</v>
      </c>
      <c r="O866" t="s" s="2">
        <v>1492</v>
      </c>
      <c r="P866" t="s" s="2">
        <v>1812</v>
      </c>
      <c r="Q866" t="s" s="2">
        <v>1772</v>
      </c>
      <c r="R866" t="s" s="2">
        <f>_xlfn.IFERROR(INDEX('model_byCAP'!$D$2:$D$377,MATCH(Q866,'model_byCAP'!$A$2:$A$377,0)),0)</f>
        <v>1773</v>
      </c>
    </row>
    <row r="867" ht="15.35" customHeight="1">
      <c r="A867" t="s" s="2">
        <v>1813</v>
      </c>
      <c r="B867" s="4">
        <v>40269</v>
      </c>
      <c r="C867" s="5">
        <v>2300</v>
      </c>
      <c r="D867" s="5">
        <v>92.59999999999999</v>
      </c>
      <c r="E867" s="5">
        <v>80</v>
      </c>
      <c r="F867" t="s" s="2">
        <v>19</v>
      </c>
      <c r="G867" t="s" s="2">
        <v>1768</v>
      </c>
      <c r="H867" s="5">
        <v>360</v>
      </c>
      <c r="I867" t="s" s="2">
        <v>463</v>
      </c>
      <c r="J867" t="s" s="2">
        <v>47</v>
      </c>
      <c r="K867" t="s" s="2">
        <v>1799</v>
      </c>
      <c r="L867" t="s" s="2">
        <v>618</v>
      </c>
      <c r="M867" s="5">
        <v>664332</v>
      </c>
      <c r="N867" s="5">
        <v>6049837</v>
      </c>
      <c r="O867" t="s" s="2">
        <v>1492</v>
      </c>
      <c r="P867" t="s" s="2">
        <v>1814</v>
      </c>
      <c r="Q867" t="s" s="2">
        <v>1772</v>
      </c>
      <c r="R867" t="s" s="2">
        <f>_xlfn.IFERROR(INDEX('model_byCAP'!$D$2:$D$377,MATCH(Q867,'model_byCAP'!$A$2:$A$377,0)),0)</f>
        <v>1773</v>
      </c>
    </row>
    <row r="868" ht="15.35" customHeight="1">
      <c r="A868" t="s" s="2">
        <v>1815</v>
      </c>
      <c r="B868" s="4">
        <v>40269</v>
      </c>
      <c r="C868" s="5">
        <v>2300</v>
      </c>
      <c r="D868" s="5">
        <v>92.59999999999999</v>
      </c>
      <c r="E868" s="5">
        <v>80</v>
      </c>
      <c r="F868" t="s" s="2">
        <v>19</v>
      </c>
      <c r="G868" t="s" s="2">
        <v>1768</v>
      </c>
      <c r="H868" s="5">
        <v>360</v>
      </c>
      <c r="I868" t="s" s="2">
        <v>463</v>
      </c>
      <c r="J868" t="s" s="2">
        <v>47</v>
      </c>
      <c r="K868" t="s" s="2">
        <v>1799</v>
      </c>
      <c r="L868" t="s" s="2">
        <v>618</v>
      </c>
      <c r="M868" s="5">
        <v>664852</v>
      </c>
      <c r="N868" s="5">
        <v>6049714</v>
      </c>
      <c r="O868" t="s" s="2">
        <v>1492</v>
      </c>
      <c r="P868" t="s" s="2">
        <v>1816</v>
      </c>
      <c r="Q868" t="s" s="2">
        <v>1772</v>
      </c>
      <c r="R868" t="s" s="2">
        <f>_xlfn.IFERROR(INDEX('model_byCAP'!$D$2:$D$377,MATCH(Q868,'model_byCAP'!$A$2:$A$377,0)),0)</f>
        <v>1773</v>
      </c>
    </row>
    <row r="869" ht="15.35" customHeight="1">
      <c r="A869" t="s" s="2">
        <v>1817</v>
      </c>
      <c r="B869" s="4">
        <v>40297</v>
      </c>
      <c r="C869" s="5">
        <v>2300</v>
      </c>
      <c r="D869" s="5">
        <v>92.59999999999999</v>
      </c>
      <c r="E869" s="5">
        <v>80</v>
      </c>
      <c r="F869" t="s" s="2">
        <v>19</v>
      </c>
      <c r="G869" t="s" s="2">
        <v>1768</v>
      </c>
      <c r="H869" s="5">
        <v>360</v>
      </c>
      <c r="I869" t="s" s="2">
        <v>463</v>
      </c>
      <c r="J869" t="s" s="2">
        <v>47</v>
      </c>
      <c r="K869" t="s" s="2">
        <v>1799</v>
      </c>
      <c r="L869" t="s" s="2">
        <v>618</v>
      </c>
      <c r="M869" s="5">
        <v>665372</v>
      </c>
      <c r="N869" s="5">
        <v>6049580</v>
      </c>
      <c r="O869" t="s" s="2">
        <v>1492</v>
      </c>
      <c r="P869" t="s" s="2">
        <v>1818</v>
      </c>
      <c r="Q869" t="s" s="2">
        <v>1772</v>
      </c>
      <c r="R869" t="s" s="2">
        <f>_xlfn.IFERROR(INDEX('model_byCAP'!$D$2:$D$377,MATCH(Q869,'model_byCAP'!$A$2:$A$377,0)),0)</f>
        <v>1773</v>
      </c>
    </row>
    <row r="870" ht="15.35" customHeight="1">
      <c r="A870" t="s" s="2">
        <v>1819</v>
      </c>
      <c r="B870" s="4">
        <v>40299</v>
      </c>
      <c r="C870" s="5">
        <v>2300</v>
      </c>
      <c r="D870" s="5">
        <v>92.59999999999999</v>
      </c>
      <c r="E870" s="5">
        <v>80</v>
      </c>
      <c r="F870" t="s" s="2">
        <v>19</v>
      </c>
      <c r="G870" t="s" s="2">
        <v>1768</v>
      </c>
      <c r="H870" s="5">
        <v>360</v>
      </c>
      <c r="I870" t="s" s="2">
        <v>463</v>
      </c>
      <c r="J870" t="s" s="2">
        <v>47</v>
      </c>
      <c r="K870" t="s" s="2">
        <v>1799</v>
      </c>
      <c r="L870" t="s" s="2">
        <v>618</v>
      </c>
      <c r="M870" s="5">
        <v>665833</v>
      </c>
      <c r="N870" s="5">
        <v>6049510</v>
      </c>
      <c r="O870" t="s" s="2">
        <v>1492</v>
      </c>
      <c r="P870" t="s" s="2">
        <v>1820</v>
      </c>
      <c r="Q870" t="s" s="2">
        <v>1772</v>
      </c>
      <c r="R870" t="s" s="2">
        <f>_xlfn.IFERROR(INDEX('model_byCAP'!$D$2:$D$377,MATCH(Q870,'model_byCAP'!$A$2:$A$377,0)),0)</f>
        <v>1773</v>
      </c>
    </row>
    <row r="871" ht="15.35" customHeight="1">
      <c r="A871" t="s" s="2">
        <v>1821</v>
      </c>
      <c r="B871" s="4">
        <v>40300</v>
      </c>
      <c r="C871" s="5">
        <v>2300</v>
      </c>
      <c r="D871" s="5">
        <v>92.59999999999999</v>
      </c>
      <c r="E871" s="5">
        <v>80</v>
      </c>
      <c r="F871" t="s" s="2">
        <v>19</v>
      </c>
      <c r="G871" t="s" s="2">
        <v>1768</v>
      </c>
      <c r="H871" s="5">
        <v>360</v>
      </c>
      <c r="I871" t="s" s="2">
        <v>463</v>
      </c>
      <c r="J871" t="s" s="2">
        <v>47</v>
      </c>
      <c r="K871" t="s" s="2">
        <v>1799</v>
      </c>
      <c r="L871" t="s" s="2">
        <v>618</v>
      </c>
      <c r="M871" s="5">
        <v>666345</v>
      </c>
      <c r="N871" s="5">
        <v>6049419</v>
      </c>
      <c r="O871" t="s" s="2">
        <v>1492</v>
      </c>
      <c r="P871" t="s" s="2">
        <v>1822</v>
      </c>
      <c r="Q871" t="s" s="2">
        <v>1772</v>
      </c>
      <c r="R871" t="s" s="2">
        <f>_xlfn.IFERROR(INDEX('model_byCAP'!$D$2:$D$377,MATCH(Q871,'model_byCAP'!$A$2:$A$377,0)),0)</f>
        <v>1773</v>
      </c>
    </row>
    <row r="872" ht="15.35" customHeight="1">
      <c r="A872" t="s" s="2">
        <v>1823</v>
      </c>
      <c r="B872" s="4">
        <v>40299</v>
      </c>
      <c r="C872" s="5">
        <v>2300</v>
      </c>
      <c r="D872" s="5">
        <v>92.59999999999999</v>
      </c>
      <c r="E872" s="5">
        <v>80</v>
      </c>
      <c r="F872" t="s" s="2">
        <v>19</v>
      </c>
      <c r="G872" t="s" s="2">
        <v>1768</v>
      </c>
      <c r="H872" s="5">
        <v>360</v>
      </c>
      <c r="I872" t="s" s="2">
        <v>463</v>
      </c>
      <c r="J872" t="s" s="2">
        <v>47</v>
      </c>
      <c r="K872" t="s" s="2">
        <v>1799</v>
      </c>
      <c r="L872" t="s" s="2">
        <v>618</v>
      </c>
      <c r="M872" s="5">
        <v>666828</v>
      </c>
      <c r="N872" s="5">
        <v>6049351</v>
      </c>
      <c r="O872" t="s" s="2">
        <v>1492</v>
      </c>
      <c r="P872" t="s" s="2">
        <v>1824</v>
      </c>
      <c r="Q872" t="s" s="2">
        <v>1772</v>
      </c>
      <c r="R872" t="s" s="2">
        <f>_xlfn.IFERROR(INDEX('model_byCAP'!$D$2:$D$377,MATCH(Q872,'model_byCAP'!$A$2:$A$377,0)),0)</f>
        <v>1773</v>
      </c>
    </row>
    <row r="873" ht="15.35" customHeight="1">
      <c r="A873" t="s" s="2">
        <v>1825</v>
      </c>
      <c r="B873" s="4">
        <v>40301</v>
      </c>
      <c r="C873" s="5">
        <v>2300</v>
      </c>
      <c r="D873" s="5">
        <v>92.59999999999999</v>
      </c>
      <c r="E873" s="5">
        <v>80</v>
      </c>
      <c r="F873" t="s" s="2">
        <v>19</v>
      </c>
      <c r="G873" t="s" s="2">
        <v>1768</v>
      </c>
      <c r="H873" s="5">
        <v>360</v>
      </c>
      <c r="I873" t="s" s="2">
        <v>463</v>
      </c>
      <c r="J873" t="s" s="2">
        <v>47</v>
      </c>
      <c r="K873" t="s" s="2">
        <v>1799</v>
      </c>
      <c r="L873" t="s" s="2">
        <v>618</v>
      </c>
      <c r="M873" s="5">
        <v>667313</v>
      </c>
      <c r="N873" s="5">
        <v>6049299</v>
      </c>
      <c r="O873" t="s" s="2">
        <v>1492</v>
      </c>
      <c r="P873" t="s" s="2">
        <v>1826</v>
      </c>
      <c r="Q873" t="s" s="2">
        <v>1772</v>
      </c>
      <c r="R873" t="s" s="2">
        <f>_xlfn.IFERROR(INDEX('model_byCAP'!$D$2:$D$377,MATCH(Q873,'model_byCAP'!$A$2:$A$377,0)),0)</f>
        <v>1773</v>
      </c>
    </row>
    <row r="874" ht="15.35" customHeight="1">
      <c r="A874" t="s" s="2">
        <v>1827</v>
      </c>
      <c r="B874" s="4">
        <v>40307</v>
      </c>
      <c r="C874" s="5">
        <v>2300</v>
      </c>
      <c r="D874" s="5">
        <v>92.59999999999999</v>
      </c>
      <c r="E874" s="5">
        <v>80</v>
      </c>
      <c r="F874" t="s" s="2">
        <v>19</v>
      </c>
      <c r="G874" t="s" s="2">
        <v>1768</v>
      </c>
      <c r="H874" s="5">
        <v>360</v>
      </c>
      <c r="I874" t="s" s="2">
        <v>463</v>
      </c>
      <c r="J874" t="s" s="2">
        <v>47</v>
      </c>
      <c r="K874" t="s" s="2">
        <v>1799</v>
      </c>
      <c r="L874" t="s" s="2">
        <v>618</v>
      </c>
      <c r="M874" s="5">
        <v>667777</v>
      </c>
      <c r="N874" s="5">
        <v>6049267</v>
      </c>
      <c r="O874" t="s" s="2">
        <v>1492</v>
      </c>
      <c r="P874" t="s" s="2">
        <v>1828</v>
      </c>
      <c r="Q874" t="s" s="2">
        <v>1772</v>
      </c>
      <c r="R874" t="s" s="2">
        <f>_xlfn.IFERROR(INDEX('model_byCAP'!$D$2:$D$377,MATCH(Q874,'model_byCAP'!$A$2:$A$377,0)),0)</f>
        <v>1773</v>
      </c>
    </row>
    <row r="875" ht="15.35" customHeight="1">
      <c r="A875" t="s" s="2">
        <v>1829</v>
      </c>
      <c r="B875" s="4">
        <v>40307</v>
      </c>
      <c r="C875" s="5">
        <v>2300</v>
      </c>
      <c r="D875" s="5">
        <v>92.59999999999999</v>
      </c>
      <c r="E875" s="5">
        <v>80</v>
      </c>
      <c r="F875" t="s" s="2">
        <v>19</v>
      </c>
      <c r="G875" t="s" s="2">
        <v>1768</v>
      </c>
      <c r="H875" s="5">
        <v>360</v>
      </c>
      <c r="I875" t="s" s="2">
        <v>463</v>
      </c>
      <c r="J875" t="s" s="2">
        <v>47</v>
      </c>
      <c r="K875" t="s" s="2">
        <v>1799</v>
      </c>
      <c r="L875" t="s" s="2">
        <v>618</v>
      </c>
      <c r="M875" s="5">
        <v>668257</v>
      </c>
      <c r="N875" s="5">
        <v>6049238</v>
      </c>
      <c r="O875" t="s" s="2">
        <v>1492</v>
      </c>
      <c r="P875" t="s" s="2">
        <v>1830</v>
      </c>
      <c r="Q875" t="s" s="2">
        <v>1772</v>
      </c>
      <c r="R875" t="s" s="2">
        <f>_xlfn.IFERROR(INDEX('model_byCAP'!$D$2:$D$377,MATCH(Q875,'model_byCAP'!$A$2:$A$377,0)),0)</f>
        <v>1773</v>
      </c>
    </row>
    <row r="876" ht="15.35" customHeight="1">
      <c r="A876" t="s" s="2">
        <v>1831</v>
      </c>
      <c r="B876" s="4">
        <v>40307</v>
      </c>
      <c r="C876" s="5">
        <v>2300</v>
      </c>
      <c r="D876" s="5">
        <v>92.59999999999999</v>
      </c>
      <c r="E876" s="5">
        <v>80</v>
      </c>
      <c r="F876" t="s" s="2">
        <v>19</v>
      </c>
      <c r="G876" t="s" s="2">
        <v>1768</v>
      </c>
      <c r="H876" s="5">
        <v>360</v>
      </c>
      <c r="I876" t="s" s="2">
        <v>463</v>
      </c>
      <c r="J876" t="s" s="2">
        <v>47</v>
      </c>
      <c r="K876" t="s" s="2">
        <v>1799</v>
      </c>
      <c r="L876" t="s" s="2">
        <v>618</v>
      </c>
      <c r="M876" s="5">
        <v>668727</v>
      </c>
      <c r="N876" s="5">
        <v>6049219</v>
      </c>
      <c r="O876" t="s" s="2">
        <v>1492</v>
      </c>
      <c r="P876" t="s" s="2">
        <v>1832</v>
      </c>
      <c r="Q876" t="s" s="2">
        <v>1772</v>
      </c>
      <c r="R876" t="s" s="2">
        <f>_xlfn.IFERROR(INDEX('model_byCAP'!$D$2:$D$377,MATCH(Q876,'model_byCAP'!$A$2:$A$377,0)),0)</f>
        <v>1773</v>
      </c>
    </row>
    <row r="877" ht="15.35" customHeight="1">
      <c r="A877" t="s" s="2">
        <v>1833</v>
      </c>
      <c r="B877" s="4">
        <v>40307</v>
      </c>
      <c r="C877" s="5">
        <v>2300</v>
      </c>
      <c r="D877" s="5">
        <v>92.59999999999999</v>
      </c>
      <c r="E877" s="5">
        <v>80</v>
      </c>
      <c r="F877" t="s" s="2">
        <v>19</v>
      </c>
      <c r="G877" t="s" s="2">
        <v>1768</v>
      </c>
      <c r="H877" s="5">
        <v>360</v>
      </c>
      <c r="I877" t="s" s="2">
        <v>463</v>
      </c>
      <c r="J877" t="s" s="2">
        <v>47</v>
      </c>
      <c r="K877" t="s" s="2">
        <v>1799</v>
      </c>
      <c r="L877" t="s" s="2">
        <v>618</v>
      </c>
      <c r="M877" s="5">
        <v>669201</v>
      </c>
      <c r="N877" s="5">
        <v>6049234</v>
      </c>
      <c r="O877" t="s" s="2">
        <v>1492</v>
      </c>
      <c r="P877" t="s" s="2">
        <v>1834</v>
      </c>
      <c r="Q877" t="s" s="2">
        <v>1772</v>
      </c>
      <c r="R877" t="s" s="2">
        <f>_xlfn.IFERROR(INDEX('model_byCAP'!$D$2:$D$377,MATCH(Q877,'model_byCAP'!$A$2:$A$377,0)),0)</f>
        <v>1773</v>
      </c>
    </row>
    <row r="878" ht="15.35" customHeight="1">
      <c r="A878" t="s" s="2">
        <v>1835</v>
      </c>
      <c r="B878" s="4">
        <v>40327</v>
      </c>
      <c r="C878" s="5">
        <v>2300</v>
      </c>
      <c r="D878" s="5">
        <v>92.59999999999999</v>
      </c>
      <c r="E878" s="5">
        <v>80</v>
      </c>
      <c r="F878" t="s" s="2">
        <v>19</v>
      </c>
      <c r="G878" t="s" s="2">
        <v>1768</v>
      </c>
      <c r="H878" s="5">
        <v>360</v>
      </c>
      <c r="I878" t="s" s="2">
        <v>463</v>
      </c>
      <c r="J878" t="s" s="2">
        <v>47</v>
      </c>
      <c r="K878" t="s" s="2">
        <v>1799</v>
      </c>
      <c r="L878" t="s" s="2">
        <v>618</v>
      </c>
      <c r="M878" s="5">
        <v>660189</v>
      </c>
      <c r="N878" s="5">
        <v>6050898</v>
      </c>
      <c r="O878" t="s" s="2">
        <v>1492</v>
      </c>
      <c r="P878" t="s" s="2">
        <v>1836</v>
      </c>
      <c r="Q878" t="s" s="2">
        <v>1772</v>
      </c>
      <c r="R878" t="s" s="2">
        <f>_xlfn.IFERROR(INDEX('model_byCAP'!$D$2:$D$377,MATCH(Q878,'model_byCAP'!$A$2:$A$377,0)),0)</f>
        <v>1773</v>
      </c>
    </row>
    <row r="879" ht="15.35" customHeight="1">
      <c r="A879" t="s" s="2">
        <v>1837</v>
      </c>
      <c r="B879" s="4">
        <v>40327</v>
      </c>
      <c r="C879" s="5">
        <v>2300</v>
      </c>
      <c r="D879" s="5">
        <v>92.59999999999999</v>
      </c>
      <c r="E879" s="5">
        <v>80</v>
      </c>
      <c r="F879" t="s" s="2">
        <v>19</v>
      </c>
      <c r="G879" t="s" s="2">
        <v>1768</v>
      </c>
      <c r="H879" s="5">
        <v>360</v>
      </c>
      <c r="I879" t="s" s="2">
        <v>463</v>
      </c>
      <c r="J879" t="s" s="2">
        <v>47</v>
      </c>
      <c r="K879" t="s" s="2">
        <v>1799</v>
      </c>
      <c r="L879" t="s" s="2">
        <v>618</v>
      </c>
      <c r="M879" s="5">
        <v>660729</v>
      </c>
      <c r="N879" s="5">
        <v>6050585</v>
      </c>
      <c r="O879" t="s" s="2">
        <v>1492</v>
      </c>
      <c r="P879" t="s" s="2">
        <v>1838</v>
      </c>
      <c r="Q879" t="s" s="2">
        <v>1772</v>
      </c>
      <c r="R879" t="s" s="2">
        <f>_xlfn.IFERROR(INDEX('model_byCAP'!$D$2:$D$377,MATCH(Q879,'model_byCAP'!$A$2:$A$377,0)),0)</f>
        <v>1773</v>
      </c>
    </row>
    <row r="880" ht="15.35" customHeight="1">
      <c r="A880" t="s" s="2">
        <v>1839</v>
      </c>
      <c r="B880" s="4">
        <v>40327</v>
      </c>
      <c r="C880" s="5">
        <v>2300</v>
      </c>
      <c r="D880" s="5">
        <v>92.59999999999999</v>
      </c>
      <c r="E880" s="5">
        <v>80</v>
      </c>
      <c r="F880" t="s" s="2">
        <v>19</v>
      </c>
      <c r="G880" t="s" s="2">
        <v>1768</v>
      </c>
      <c r="H880" s="5">
        <v>360</v>
      </c>
      <c r="I880" t="s" s="2">
        <v>463</v>
      </c>
      <c r="J880" t="s" s="2">
        <v>47</v>
      </c>
      <c r="K880" t="s" s="2">
        <v>1799</v>
      </c>
      <c r="L880" t="s" s="2">
        <v>618</v>
      </c>
      <c r="M880" s="5">
        <v>661277</v>
      </c>
      <c r="N880" s="5">
        <v>6050303</v>
      </c>
      <c r="O880" t="s" s="2">
        <v>1492</v>
      </c>
      <c r="P880" t="s" s="2">
        <v>1840</v>
      </c>
      <c r="Q880" t="s" s="2">
        <v>1772</v>
      </c>
      <c r="R880" t="s" s="2">
        <f>_xlfn.IFERROR(INDEX('model_byCAP'!$D$2:$D$377,MATCH(Q880,'model_byCAP'!$A$2:$A$377,0)),0)</f>
        <v>1773</v>
      </c>
    </row>
    <row r="881" ht="15.35" customHeight="1">
      <c r="A881" t="s" s="2">
        <v>1841</v>
      </c>
      <c r="B881" s="4">
        <v>40327</v>
      </c>
      <c r="C881" s="5">
        <v>2300</v>
      </c>
      <c r="D881" s="5">
        <v>92.59999999999999</v>
      </c>
      <c r="E881" s="5">
        <v>80</v>
      </c>
      <c r="F881" t="s" s="2">
        <v>19</v>
      </c>
      <c r="G881" t="s" s="2">
        <v>1768</v>
      </c>
      <c r="H881" s="5">
        <v>360</v>
      </c>
      <c r="I881" t="s" s="2">
        <v>463</v>
      </c>
      <c r="J881" t="s" s="2">
        <v>47</v>
      </c>
      <c r="K881" t="s" s="2">
        <v>1799</v>
      </c>
      <c r="L881" t="s" s="2">
        <v>618</v>
      </c>
      <c r="M881" s="5">
        <v>661833</v>
      </c>
      <c r="N881" s="5">
        <v>6050042</v>
      </c>
      <c r="O881" t="s" s="2">
        <v>1492</v>
      </c>
      <c r="P881" t="s" s="2">
        <v>1842</v>
      </c>
      <c r="Q881" t="s" s="2">
        <v>1772</v>
      </c>
      <c r="R881" t="s" s="2">
        <f>_xlfn.IFERROR(INDEX('model_byCAP'!$D$2:$D$377,MATCH(Q881,'model_byCAP'!$A$2:$A$377,0)),0)</f>
        <v>1773</v>
      </c>
    </row>
    <row r="882" ht="15.35" customHeight="1">
      <c r="A882" t="s" s="2">
        <v>1843</v>
      </c>
      <c r="B882" s="4">
        <v>40327</v>
      </c>
      <c r="C882" s="5">
        <v>2300</v>
      </c>
      <c r="D882" s="5">
        <v>92.59999999999999</v>
      </c>
      <c r="E882" s="5">
        <v>80</v>
      </c>
      <c r="F882" t="s" s="2">
        <v>19</v>
      </c>
      <c r="G882" t="s" s="2">
        <v>1768</v>
      </c>
      <c r="H882" s="5">
        <v>360</v>
      </c>
      <c r="I882" t="s" s="2">
        <v>463</v>
      </c>
      <c r="J882" t="s" s="2">
        <v>47</v>
      </c>
      <c r="K882" t="s" s="2">
        <v>1799</v>
      </c>
      <c r="L882" t="s" s="2">
        <v>618</v>
      </c>
      <c r="M882" s="5">
        <v>662355</v>
      </c>
      <c r="N882" s="5">
        <v>6049815</v>
      </c>
      <c r="O882" t="s" s="2">
        <v>1492</v>
      </c>
      <c r="P882" t="s" s="2">
        <v>1844</v>
      </c>
      <c r="Q882" t="s" s="2">
        <v>1772</v>
      </c>
      <c r="R882" t="s" s="2">
        <f>_xlfn.IFERROR(INDEX('model_byCAP'!$D$2:$D$377,MATCH(Q882,'model_byCAP'!$A$2:$A$377,0)),0)</f>
        <v>1773</v>
      </c>
    </row>
    <row r="883" ht="15.35" customHeight="1">
      <c r="A883" t="s" s="2">
        <v>1845</v>
      </c>
      <c r="B883" s="4">
        <v>40316</v>
      </c>
      <c r="C883" s="5">
        <v>2300</v>
      </c>
      <c r="D883" s="5">
        <v>92.59999999999999</v>
      </c>
      <c r="E883" s="5">
        <v>80</v>
      </c>
      <c r="F883" t="s" s="2">
        <v>19</v>
      </c>
      <c r="G883" t="s" s="2">
        <v>1768</v>
      </c>
      <c r="H883" s="5">
        <v>360</v>
      </c>
      <c r="I883" t="s" s="2">
        <v>463</v>
      </c>
      <c r="J883" t="s" s="2">
        <v>47</v>
      </c>
      <c r="K883" t="s" s="2">
        <v>1799</v>
      </c>
      <c r="L883" t="s" s="2">
        <v>618</v>
      </c>
      <c r="M883" s="5">
        <v>662909</v>
      </c>
      <c r="N883" s="5">
        <v>6049584</v>
      </c>
      <c r="O883" t="s" s="2">
        <v>1492</v>
      </c>
      <c r="P883" t="s" s="2">
        <v>1846</v>
      </c>
      <c r="Q883" t="s" s="2">
        <v>1772</v>
      </c>
      <c r="R883" t="s" s="2">
        <f>_xlfn.IFERROR(INDEX('model_byCAP'!$D$2:$D$377,MATCH(Q883,'model_byCAP'!$A$2:$A$377,0)),0)</f>
        <v>1773</v>
      </c>
    </row>
    <row r="884" ht="15.35" customHeight="1">
      <c r="A884" t="s" s="2">
        <v>1847</v>
      </c>
      <c r="B884" s="4">
        <v>40317</v>
      </c>
      <c r="C884" s="5">
        <v>2300</v>
      </c>
      <c r="D884" s="5">
        <v>92.59999999999999</v>
      </c>
      <c r="E884" s="5">
        <v>80</v>
      </c>
      <c r="F884" t="s" s="2">
        <v>19</v>
      </c>
      <c r="G884" t="s" s="2">
        <v>1768</v>
      </c>
      <c r="H884" s="5">
        <v>360</v>
      </c>
      <c r="I884" t="s" s="2">
        <v>463</v>
      </c>
      <c r="J884" t="s" s="2">
        <v>47</v>
      </c>
      <c r="K884" t="s" s="2">
        <v>1799</v>
      </c>
      <c r="L884" t="s" s="2">
        <v>618</v>
      </c>
      <c r="M884" s="5">
        <v>663455</v>
      </c>
      <c r="N884" s="5">
        <v>6049362</v>
      </c>
      <c r="O884" t="s" s="2">
        <v>1492</v>
      </c>
      <c r="P884" t="s" s="2">
        <v>1848</v>
      </c>
      <c r="Q884" t="s" s="2">
        <v>1772</v>
      </c>
      <c r="R884" t="s" s="2">
        <f>_xlfn.IFERROR(INDEX('model_byCAP'!$D$2:$D$377,MATCH(Q884,'model_byCAP'!$A$2:$A$377,0)),0)</f>
        <v>1773</v>
      </c>
    </row>
    <row r="885" ht="15.35" customHeight="1">
      <c r="A885" t="s" s="2">
        <v>1849</v>
      </c>
      <c r="B885" s="4">
        <v>40317</v>
      </c>
      <c r="C885" s="5">
        <v>2300</v>
      </c>
      <c r="D885" s="5">
        <v>92.59999999999999</v>
      </c>
      <c r="E885" s="5">
        <v>80</v>
      </c>
      <c r="F885" t="s" s="2">
        <v>19</v>
      </c>
      <c r="G885" t="s" s="2">
        <v>1768</v>
      </c>
      <c r="H885" s="5">
        <v>360</v>
      </c>
      <c r="I885" t="s" s="2">
        <v>463</v>
      </c>
      <c r="J885" t="s" s="2">
        <v>47</v>
      </c>
      <c r="K885" t="s" s="2">
        <v>1799</v>
      </c>
      <c r="L885" t="s" s="2">
        <v>618</v>
      </c>
      <c r="M885" s="5">
        <v>663971</v>
      </c>
      <c r="N885" s="5">
        <v>6049178</v>
      </c>
      <c r="O885" t="s" s="2">
        <v>1492</v>
      </c>
      <c r="P885" t="s" s="2">
        <v>1850</v>
      </c>
      <c r="Q885" t="s" s="2">
        <v>1772</v>
      </c>
      <c r="R885" t="s" s="2">
        <f>_xlfn.IFERROR(INDEX('model_byCAP'!$D$2:$D$377,MATCH(Q885,'model_byCAP'!$A$2:$A$377,0)),0)</f>
        <v>1773</v>
      </c>
    </row>
    <row r="886" ht="15.35" customHeight="1">
      <c r="A886" t="s" s="2">
        <v>1851</v>
      </c>
      <c r="B886" s="4">
        <v>40315</v>
      </c>
      <c r="C886" s="5">
        <v>2300</v>
      </c>
      <c r="D886" s="5">
        <v>92.59999999999999</v>
      </c>
      <c r="E886" s="5">
        <v>80</v>
      </c>
      <c r="F886" t="s" s="2">
        <v>19</v>
      </c>
      <c r="G886" t="s" s="2">
        <v>1768</v>
      </c>
      <c r="H886" s="5">
        <v>360</v>
      </c>
      <c r="I886" t="s" s="2">
        <v>463</v>
      </c>
      <c r="J886" t="s" s="2">
        <v>47</v>
      </c>
      <c r="K886" t="s" s="2">
        <v>1799</v>
      </c>
      <c r="L886" t="s" s="2">
        <v>618</v>
      </c>
      <c r="M886" s="5">
        <v>664417</v>
      </c>
      <c r="N886" s="5">
        <v>6049043</v>
      </c>
      <c r="O886" t="s" s="2">
        <v>1492</v>
      </c>
      <c r="P886" t="s" s="2">
        <v>1852</v>
      </c>
      <c r="Q886" t="s" s="2">
        <v>1772</v>
      </c>
      <c r="R886" t="s" s="2">
        <f>_xlfn.IFERROR(INDEX('model_byCAP'!$D$2:$D$377,MATCH(Q886,'model_byCAP'!$A$2:$A$377,0)),0)</f>
        <v>1773</v>
      </c>
    </row>
    <row r="887" ht="15.35" customHeight="1">
      <c r="A887" t="s" s="2">
        <v>1853</v>
      </c>
      <c r="B887" s="4">
        <v>40330</v>
      </c>
      <c r="C887" s="5">
        <v>2300</v>
      </c>
      <c r="D887" s="5">
        <v>92.59999999999999</v>
      </c>
      <c r="E887" s="5">
        <v>80</v>
      </c>
      <c r="F887" t="s" s="2">
        <v>19</v>
      </c>
      <c r="G887" t="s" s="2">
        <v>1768</v>
      </c>
      <c r="H887" s="5">
        <v>360</v>
      </c>
      <c r="I887" t="s" s="2">
        <v>463</v>
      </c>
      <c r="J887" t="s" s="2">
        <v>47</v>
      </c>
      <c r="K887" t="s" s="2">
        <v>1799</v>
      </c>
      <c r="L887" t="s" s="2">
        <v>618</v>
      </c>
      <c r="M887" s="5">
        <v>665068</v>
      </c>
      <c r="N887" s="5">
        <v>6048838</v>
      </c>
      <c r="O887" t="s" s="2">
        <v>1492</v>
      </c>
      <c r="P887" t="s" s="2">
        <v>1854</v>
      </c>
      <c r="Q887" t="s" s="2">
        <v>1772</v>
      </c>
      <c r="R887" t="s" s="2">
        <f>_xlfn.IFERROR(INDEX('model_byCAP'!$D$2:$D$377,MATCH(Q887,'model_byCAP'!$A$2:$A$377,0)),0)</f>
        <v>1773</v>
      </c>
    </row>
    <row r="888" ht="15.35" customHeight="1">
      <c r="A888" t="s" s="2">
        <v>1855</v>
      </c>
      <c r="B888" s="4">
        <v>40333</v>
      </c>
      <c r="C888" s="5">
        <v>2300</v>
      </c>
      <c r="D888" s="5">
        <v>92.59999999999999</v>
      </c>
      <c r="E888" s="5">
        <v>80</v>
      </c>
      <c r="F888" t="s" s="2">
        <v>19</v>
      </c>
      <c r="G888" t="s" s="2">
        <v>1768</v>
      </c>
      <c r="H888" s="5">
        <v>360</v>
      </c>
      <c r="I888" t="s" s="2">
        <v>463</v>
      </c>
      <c r="J888" t="s" s="2">
        <v>47</v>
      </c>
      <c r="K888" t="s" s="2">
        <v>1799</v>
      </c>
      <c r="L888" t="s" s="2">
        <v>618</v>
      </c>
      <c r="M888" s="5">
        <v>665567</v>
      </c>
      <c r="N888" s="5">
        <v>6048727</v>
      </c>
      <c r="O888" t="s" s="2">
        <v>1492</v>
      </c>
      <c r="P888" t="s" s="2">
        <v>1856</v>
      </c>
      <c r="Q888" t="s" s="2">
        <v>1772</v>
      </c>
      <c r="R888" t="s" s="2">
        <f>_xlfn.IFERROR(INDEX('model_byCAP'!$D$2:$D$377,MATCH(Q888,'model_byCAP'!$A$2:$A$377,0)),0)</f>
        <v>1773</v>
      </c>
    </row>
    <row r="889" ht="15.35" customHeight="1">
      <c r="A889" t="s" s="2">
        <v>1857</v>
      </c>
      <c r="B889" s="4">
        <v>40330</v>
      </c>
      <c r="C889" s="5">
        <v>2300</v>
      </c>
      <c r="D889" s="5">
        <v>92.59999999999999</v>
      </c>
      <c r="E889" s="5">
        <v>80</v>
      </c>
      <c r="F889" t="s" s="2">
        <v>19</v>
      </c>
      <c r="G889" t="s" s="2">
        <v>1768</v>
      </c>
      <c r="H889" s="5">
        <v>360</v>
      </c>
      <c r="I889" t="s" s="2">
        <v>463</v>
      </c>
      <c r="J889" t="s" s="2">
        <v>47</v>
      </c>
      <c r="K889" t="s" s="2">
        <v>1799</v>
      </c>
      <c r="L889" t="s" s="2">
        <v>618</v>
      </c>
      <c r="M889" s="5">
        <v>666116</v>
      </c>
      <c r="N889" s="5">
        <v>6048599</v>
      </c>
      <c r="O889" t="s" s="2">
        <v>1492</v>
      </c>
      <c r="P889" t="s" s="2">
        <v>1858</v>
      </c>
      <c r="Q889" t="s" s="2">
        <v>1772</v>
      </c>
      <c r="R889" t="s" s="2">
        <f>_xlfn.IFERROR(INDEX('model_byCAP'!$D$2:$D$377,MATCH(Q889,'model_byCAP'!$A$2:$A$377,0)),0)</f>
        <v>1773</v>
      </c>
    </row>
    <row r="890" ht="15.35" customHeight="1">
      <c r="A890" t="s" s="2">
        <v>1859</v>
      </c>
      <c r="B890" s="4">
        <v>40331</v>
      </c>
      <c r="C890" s="5">
        <v>2300</v>
      </c>
      <c r="D890" s="5">
        <v>92.59999999999999</v>
      </c>
      <c r="E890" s="5">
        <v>80</v>
      </c>
      <c r="F890" t="s" s="2">
        <v>19</v>
      </c>
      <c r="G890" t="s" s="2">
        <v>1768</v>
      </c>
      <c r="H890" s="5">
        <v>360</v>
      </c>
      <c r="I890" t="s" s="2">
        <v>463</v>
      </c>
      <c r="J890" t="s" s="2">
        <v>47</v>
      </c>
      <c r="K890" t="s" s="2">
        <v>1799</v>
      </c>
      <c r="L890" t="s" s="2">
        <v>618</v>
      </c>
      <c r="M890" s="5">
        <v>666645</v>
      </c>
      <c r="N890" s="5">
        <v>6048494</v>
      </c>
      <c r="O890" t="s" s="2">
        <v>1492</v>
      </c>
      <c r="P890" t="s" s="2">
        <v>1860</v>
      </c>
      <c r="Q890" t="s" s="2">
        <v>1772</v>
      </c>
      <c r="R890" t="s" s="2">
        <f>_xlfn.IFERROR(INDEX('model_byCAP'!$D$2:$D$377,MATCH(Q890,'model_byCAP'!$A$2:$A$377,0)),0)</f>
        <v>1773</v>
      </c>
    </row>
    <row r="891" ht="15.35" customHeight="1">
      <c r="A891" t="s" s="2">
        <v>1861</v>
      </c>
      <c r="B891" s="4">
        <v>40333</v>
      </c>
      <c r="C891" s="5">
        <v>2300</v>
      </c>
      <c r="D891" s="5">
        <v>92.59999999999999</v>
      </c>
      <c r="E891" s="5">
        <v>80</v>
      </c>
      <c r="F891" t="s" s="2">
        <v>19</v>
      </c>
      <c r="G891" t="s" s="2">
        <v>1768</v>
      </c>
      <c r="H891" s="5">
        <v>360</v>
      </c>
      <c r="I891" t="s" s="2">
        <v>463</v>
      </c>
      <c r="J891" t="s" s="2">
        <v>47</v>
      </c>
      <c r="K891" t="s" s="2">
        <v>1799</v>
      </c>
      <c r="L891" t="s" s="2">
        <v>618</v>
      </c>
      <c r="M891" s="5">
        <v>667170</v>
      </c>
      <c r="N891" s="5">
        <v>6048409</v>
      </c>
      <c r="O891" t="s" s="2">
        <v>1492</v>
      </c>
      <c r="P891" t="s" s="2">
        <v>1862</v>
      </c>
      <c r="Q891" t="s" s="2">
        <v>1772</v>
      </c>
      <c r="R891" t="s" s="2">
        <f>_xlfn.IFERROR(INDEX('model_byCAP'!$D$2:$D$377,MATCH(Q891,'model_byCAP'!$A$2:$A$377,0)),0)</f>
        <v>1773</v>
      </c>
    </row>
    <row r="892" ht="15.35" customHeight="1">
      <c r="A892" t="s" s="2">
        <v>1863</v>
      </c>
      <c r="B892" s="4">
        <v>40337</v>
      </c>
      <c r="C892" s="5">
        <v>2300</v>
      </c>
      <c r="D892" s="5">
        <v>92.59999999999999</v>
      </c>
      <c r="E892" s="5">
        <v>80</v>
      </c>
      <c r="F892" t="s" s="2">
        <v>19</v>
      </c>
      <c r="G892" t="s" s="2">
        <v>1768</v>
      </c>
      <c r="H892" s="5">
        <v>360</v>
      </c>
      <c r="I892" t="s" s="2">
        <v>463</v>
      </c>
      <c r="J892" t="s" s="2">
        <v>47</v>
      </c>
      <c r="K892" t="s" s="2">
        <v>1799</v>
      </c>
      <c r="L892" t="s" s="2">
        <v>618</v>
      </c>
      <c r="M892" s="5">
        <v>667685</v>
      </c>
      <c r="N892" s="5">
        <v>6048346</v>
      </c>
      <c r="O892" t="s" s="2">
        <v>1492</v>
      </c>
      <c r="P892" t="s" s="2">
        <v>1864</v>
      </c>
      <c r="Q892" t="s" s="2">
        <v>1772</v>
      </c>
      <c r="R892" t="s" s="2">
        <f>_xlfn.IFERROR(INDEX('model_byCAP'!$D$2:$D$377,MATCH(Q892,'model_byCAP'!$A$2:$A$377,0)),0)</f>
        <v>1773</v>
      </c>
    </row>
    <row r="893" ht="15.35" customHeight="1">
      <c r="A893" t="s" s="2">
        <v>1865</v>
      </c>
      <c r="B893" s="4">
        <v>40338</v>
      </c>
      <c r="C893" s="5">
        <v>2300</v>
      </c>
      <c r="D893" s="5">
        <v>92.59999999999999</v>
      </c>
      <c r="E893" s="5">
        <v>80</v>
      </c>
      <c r="F893" t="s" s="2">
        <v>19</v>
      </c>
      <c r="G893" t="s" s="2">
        <v>1768</v>
      </c>
      <c r="H893" s="5">
        <v>360</v>
      </c>
      <c r="I893" t="s" s="2">
        <v>463</v>
      </c>
      <c r="J893" t="s" s="2">
        <v>47</v>
      </c>
      <c r="K893" t="s" s="2">
        <v>1799</v>
      </c>
      <c r="L893" t="s" s="2">
        <v>618</v>
      </c>
      <c r="M893" s="5">
        <v>668217</v>
      </c>
      <c r="N893" s="5">
        <v>6048287</v>
      </c>
      <c r="O893" t="s" s="2">
        <v>1492</v>
      </c>
      <c r="P893" t="s" s="2">
        <v>1866</v>
      </c>
      <c r="Q893" t="s" s="2">
        <v>1772</v>
      </c>
      <c r="R893" t="s" s="2">
        <f>_xlfn.IFERROR(INDEX('model_byCAP'!$D$2:$D$377,MATCH(Q893,'model_byCAP'!$A$2:$A$377,0)),0)</f>
        <v>1773</v>
      </c>
    </row>
    <row r="894" ht="15.35" customHeight="1">
      <c r="A894" t="s" s="2">
        <v>1867</v>
      </c>
      <c r="B894" s="4">
        <v>40338</v>
      </c>
      <c r="C894" s="5">
        <v>2300</v>
      </c>
      <c r="D894" s="5">
        <v>92.59999999999999</v>
      </c>
      <c r="E894" s="5">
        <v>80</v>
      </c>
      <c r="F894" t="s" s="2">
        <v>19</v>
      </c>
      <c r="G894" t="s" s="2">
        <v>1768</v>
      </c>
      <c r="H894" s="5">
        <v>360</v>
      </c>
      <c r="I894" t="s" s="2">
        <v>463</v>
      </c>
      <c r="J894" t="s" s="2">
        <v>47</v>
      </c>
      <c r="K894" t="s" s="2">
        <v>1799</v>
      </c>
      <c r="L894" t="s" s="2">
        <v>618</v>
      </c>
      <c r="M894" s="5">
        <v>668741</v>
      </c>
      <c r="N894" s="5">
        <v>6048242</v>
      </c>
      <c r="O894" t="s" s="2">
        <v>1492</v>
      </c>
      <c r="P894" t="s" s="2">
        <v>1868</v>
      </c>
      <c r="Q894" t="s" s="2">
        <v>1772</v>
      </c>
      <c r="R894" t="s" s="2">
        <f>_xlfn.IFERROR(INDEX('model_byCAP'!$D$2:$D$377,MATCH(Q894,'model_byCAP'!$A$2:$A$377,0)),0)</f>
        <v>1773</v>
      </c>
    </row>
    <row r="895" ht="15.35" customHeight="1">
      <c r="A895" t="s" s="2">
        <v>1869</v>
      </c>
      <c r="B895" s="4">
        <v>40344</v>
      </c>
      <c r="C895" s="5">
        <v>2300</v>
      </c>
      <c r="D895" s="5">
        <v>92.59999999999999</v>
      </c>
      <c r="E895" s="5">
        <v>80</v>
      </c>
      <c r="F895" t="s" s="2">
        <v>19</v>
      </c>
      <c r="G895" t="s" s="2">
        <v>1768</v>
      </c>
      <c r="H895" s="5">
        <v>360</v>
      </c>
      <c r="I895" t="s" s="2">
        <v>463</v>
      </c>
      <c r="J895" t="s" s="2">
        <v>47</v>
      </c>
      <c r="K895" t="s" s="2">
        <v>1799</v>
      </c>
      <c r="L895" t="s" s="2">
        <v>618</v>
      </c>
      <c r="M895" s="5">
        <v>669269</v>
      </c>
      <c r="N895" s="5">
        <v>6048235</v>
      </c>
      <c r="O895" t="s" s="2">
        <v>1492</v>
      </c>
      <c r="P895" t="s" s="2">
        <v>1870</v>
      </c>
      <c r="Q895" t="s" s="2">
        <v>1772</v>
      </c>
      <c r="R895" t="s" s="2">
        <f>_xlfn.IFERROR(INDEX('model_byCAP'!$D$2:$D$377,MATCH(Q895,'model_byCAP'!$A$2:$A$377,0)),0)</f>
        <v>1773</v>
      </c>
    </row>
    <row r="896" ht="15.35" customHeight="1">
      <c r="A896" t="s" s="2">
        <v>1871</v>
      </c>
      <c r="B896" s="4">
        <v>40350</v>
      </c>
      <c r="C896" s="5">
        <v>2300</v>
      </c>
      <c r="D896" s="5">
        <v>92.59999999999999</v>
      </c>
      <c r="E896" s="5">
        <v>80</v>
      </c>
      <c r="F896" t="s" s="2">
        <v>19</v>
      </c>
      <c r="G896" t="s" s="2">
        <v>1768</v>
      </c>
      <c r="H896" s="5">
        <v>360</v>
      </c>
      <c r="I896" t="s" s="2">
        <v>463</v>
      </c>
      <c r="J896" t="s" s="2">
        <v>47</v>
      </c>
      <c r="K896" t="s" s="2">
        <v>1799</v>
      </c>
      <c r="L896" t="s" s="2">
        <v>618</v>
      </c>
      <c r="M896" s="5">
        <v>659755</v>
      </c>
      <c r="N896" s="5">
        <v>6050549</v>
      </c>
      <c r="O896" t="s" s="2">
        <v>1492</v>
      </c>
      <c r="P896" t="s" s="2">
        <v>1872</v>
      </c>
      <c r="Q896" t="s" s="2">
        <v>1772</v>
      </c>
      <c r="R896" t="s" s="2">
        <f>_xlfn.IFERROR(INDEX('model_byCAP'!$D$2:$D$377,MATCH(Q896,'model_byCAP'!$A$2:$A$377,0)),0)</f>
        <v>1773</v>
      </c>
    </row>
    <row r="897" ht="15.35" customHeight="1">
      <c r="A897" t="s" s="2">
        <v>1873</v>
      </c>
      <c r="B897" s="4">
        <v>40347</v>
      </c>
      <c r="C897" s="5">
        <v>2300</v>
      </c>
      <c r="D897" s="5">
        <v>92.59999999999999</v>
      </c>
      <c r="E897" s="5">
        <v>80</v>
      </c>
      <c r="F897" t="s" s="2">
        <v>19</v>
      </c>
      <c r="G897" t="s" s="2">
        <v>1768</v>
      </c>
      <c r="H897" s="5">
        <v>360</v>
      </c>
      <c r="I897" t="s" s="2">
        <v>463</v>
      </c>
      <c r="J897" t="s" s="2">
        <v>47</v>
      </c>
      <c r="K897" t="s" s="2">
        <v>1799</v>
      </c>
      <c r="L897" t="s" s="2">
        <v>618</v>
      </c>
      <c r="M897" s="5">
        <v>660293</v>
      </c>
      <c r="N897" s="5">
        <v>6050192</v>
      </c>
      <c r="O897" t="s" s="2">
        <v>1492</v>
      </c>
      <c r="P897" t="s" s="2">
        <v>1874</v>
      </c>
      <c r="Q897" t="s" s="2">
        <v>1772</v>
      </c>
      <c r="R897" t="s" s="2">
        <f>_xlfn.IFERROR(INDEX('model_byCAP'!$D$2:$D$377,MATCH(Q897,'model_byCAP'!$A$2:$A$377,0)),0)</f>
        <v>1773</v>
      </c>
    </row>
    <row r="898" ht="15.35" customHeight="1">
      <c r="A898" t="s" s="2">
        <v>1875</v>
      </c>
      <c r="B898" s="4">
        <v>40351</v>
      </c>
      <c r="C898" s="5">
        <v>2300</v>
      </c>
      <c r="D898" s="5">
        <v>92.59999999999999</v>
      </c>
      <c r="E898" s="5">
        <v>80</v>
      </c>
      <c r="F898" t="s" s="2">
        <v>19</v>
      </c>
      <c r="G898" t="s" s="2">
        <v>1768</v>
      </c>
      <c r="H898" s="5">
        <v>360</v>
      </c>
      <c r="I898" t="s" s="2">
        <v>463</v>
      </c>
      <c r="J898" t="s" s="2">
        <v>47</v>
      </c>
      <c r="K898" t="s" s="2">
        <v>1799</v>
      </c>
      <c r="L898" t="s" s="2">
        <v>618</v>
      </c>
      <c r="M898" s="5">
        <v>660841</v>
      </c>
      <c r="N898" s="5">
        <v>6049867</v>
      </c>
      <c r="O898" t="s" s="2">
        <v>1492</v>
      </c>
      <c r="P898" t="s" s="2">
        <v>1876</v>
      </c>
      <c r="Q898" t="s" s="2">
        <v>1772</v>
      </c>
      <c r="R898" t="s" s="2">
        <f>_xlfn.IFERROR(INDEX('model_byCAP'!$D$2:$D$377,MATCH(Q898,'model_byCAP'!$A$2:$A$377,0)),0)</f>
        <v>1773</v>
      </c>
    </row>
    <row r="899" ht="15.35" customHeight="1">
      <c r="A899" t="s" s="2">
        <v>1877</v>
      </c>
      <c r="B899" s="4">
        <v>40351</v>
      </c>
      <c r="C899" s="5">
        <v>2300</v>
      </c>
      <c r="D899" s="5">
        <v>92.59999999999999</v>
      </c>
      <c r="E899" s="5">
        <v>80</v>
      </c>
      <c r="F899" t="s" s="2">
        <v>19</v>
      </c>
      <c r="G899" t="s" s="2">
        <v>1768</v>
      </c>
      <c r="H899" s="5">
        <v>360</v>
      </c>
      <c r="I899" t="s" s="2">
        <v>463</v>
      </c>
      <c r="J899" t="s" s="2">
        <v>47</v>
      </c>
      <c r="K899" t="s" s="2">
        <v>1799</v>
      </c>
      <c r="L899" t="s" s="2">
        <v>618</v>
      </c>
      <c r="M899" s="5">
        <v>661405</v>
      </c>
      <c r="N899" s="5">
        <v>6049557</v>
      </c>
      <c r="O899" t="s" s="2">
        <v>1492</v>
      </c>
      <c r="P899" t="s" s="2">
        <v>1878</v>
      </c>
      <c r="Q899" t="s" s="2">
        <v>1772</v>
      </c>
      <c r="R899" t="s" s="2">
        <f>_xlfn.IFERROR(INDEX('model_byCAP'!$D$2:$D$377,MATCH(Q899,'model_byCAP'!$A$2:$A$377,0)),0)</f>
        <v>1773</v>
      </c>
    </row>
    <row r="900" ht="15.35" customHeight="1">
      <c r="A900" t="s" s="2">
        <v>1879</v>
      </c>
      <c r="B900" s="4">
        <v>40347</v>
      </c>
      <c r="C900" s="5">
        <v>2300</v>
      </c>
      <c r="D900" s="5">
        <v>92.59999999999999</v>
      </c>
      <c r="E900" s="5">
        <v>80</v>
      </c>
      <c r="F900" t="s" s="2">
        <v>19</v>
      </c>
      <c r="G900" t="s" s="2">
        <v>1768</v>
      </c>
      <c r="H900" s="5">
        <v>360</v>
      </c>
      <c r="I900" t="s" s="2">
        <v>463</v>
      </c>
      <c r="J900" t="s" s="2">
        <v>47</v>
      </c>
      <c r="K900" t="s" s="2">
        <v>1799</v>
      </c>
      <c r="L900" t="s" s="2">
        <v>618</v>
      </c>
      <c r="M900" s="5">
        <v>661934</v>
      </c>
      <c r="N900" s="5">
        <v>6049285</v>
      </c>
      <c r="O900" t="s" s="2">
        <v>1492</v>
      </c>
      <c r="P900" t="s" s="2">
        <v>1880</v>
      </c>
      <c r="Q900" t="s" s="2">
        <v>1772</v>
      </c>
      <c r="R900" t="s" s="2">
        <f>_xlfn.IFERROR(INDEX('model_byCAP'!$D$2:$D$377,MATCH(Q900,'model_byCAP'!$A$2:$A$377,0)),0)</f>
        <v>1773</v>
      </c>
    </row>
    <row r="901" ht="15.35" customHeight="1">
      <c r="A901" t="s" s="2">
        <v>1881</v>
      </c>
      <c r="B901" s="4">
        <v>40346</v>
      </c>
      <c r="C901" s="5">
        <v>2300</v>
      </c>
      <c r="D901" s="5">
        <v>92.59999999999999</v>
      </c>
      <c r="E901" s="5">
        <v>80</v>
      </c>
      <c r="F901" t="s" s="2">
        <v>19</v>
      </c>
      <c r="G901" t="s" s="2">
        <v>1768</v>
      </c>
      <c r="H901" s="5">
        <v>360</v>
      </c>
      <c r="I901" t="s" s="2">
        <v>463</v>
      </c>
      <c r="J901" t="s" s="2">
        <v>47</v>
      </c>
      <c r="K901" t="s" s="2">
        <v>1799</v>
      </c>
      <c r="L901" t="s" s="2">
        <v>618</v>
      </c>
      <c r="M901" s="5">
        <v>662505</v>
      </c>
      <c r="N901" s="5">
        <v>6049010</v>
      </c>
      <c r="O901" t="s" s="2">
        <v>1492</v>
      </c>
      <c r="P901" t="s" s="2">
        <v>1882</v>
      </c>
      <c r="Q901" t="s" s="2">
        <v>1772</v>
      </c>
      <c r="R901" t="s" s="2">
        <f>_xlfn.IFERROR(INDEX('model_byCAP'!$D$2:$D$377,MATCH(Q901,'model_byCAP'!$A$2:$A$377,0)),0)</f>
        <v>1773</v>
      </c>
    </row>
    <row r="902" ht="15.35" customHeight="1">
      <c r="A902" t="s" s="2">
        <v>1883</v>
      </c>
      <c r="B902" s="4">
        <v>40344</v>
      </c>
      <c r="C902" s="5">
        <v>2300</v>
      </c>
      <c r="D902" s="5">
        <v>92.59999999999999</v>
      </c>
      <c r="E902" s="5">
        <v>80</v>
      </c>
      <c r="F902" t="s" s="2">
        <v>19</v>
      </c>
      <c r="G902" t="s" s="2">
        <v>1768</v>
      </c>
      <c r="H902" s="5">
        <v>360</v>
      </c>
      <c r="I902" t="s" s="2">
        <v>463</v>
      </c>
      <c r="J902" t="s" s="2">
        <v>47</v>
      </c>
      <c r="K902" t="s" s="2">
        <v>1799</v>
      </c>
      <c r="L902" t="s" s="2">
        <v>618</v>
      </c>
      <c r="M902" s="5">
        <v>663070</v>
      </c>
      <c r="N902" s="5">
        <v>6048746</v>
      </c>
      <c r="O902" t="s" s="2">
        <v>1492</v>
      </c>
      <c r="P902" t="s" s="2">
        <v>1884</v>
      </c>
      <c r="Q902" t="s" s="2">
        <v>1772</v>
      </c>
      <c r="R902" t="s" s="2">
        <f>_xlfn.IFERROR(INDEX('model_byCAP'!$D$2:$D$377,MATCH(Q902,'model_byCAP'!$A$2:$A$377,0)),0)</f>
        <v>1773</v>
      </c>
    </row>
    <row r="903" ht="15.35" customHeight="1">
      <c r="A903" t="s" s="2">
        <v>1885</v>
      </c>
      <c r="B903" s="4">
        <v>40344</v>
      </c>
      <c r="C903" s="5">
        <v>2300</v>
      </c>
      <c r="D903" s="5">
        <v>92.59999999999999</v>
      </c>
      <c r="E903" s="5">
        <v>80</v>
      </c>
      <c r="F903" t="s" s="2">
        <v>19</v>
      </c>
      <c r="G903" t="s" s="2">
        <v>1768</v>
      </c>
      <c r="H903" s="5">
        <v>360</v>
      </c>
      <c r="I903" t="s" s="2">
        <v>463</v>
      </c>
      <c r="J903" t="s" s="2">
        <v>47</v>
      </c>
      <c r="K903" t="s" s="2">
        <v>1799</v>
      </c>
      <c r="L903" t="s" s="2">
        <v>618</v>
      </c>
      <c r="M903" s="5">
        <v>663610</v>
      </c>
      <c r="N903" s="5">
        <v>6048519</v>
      </c>
      <c r="O903" t="s" s="2">
        <v>1492</v>
      </c>
      <c r="P903" t="s" s="2">
        <v>1886</v>
      </c>
      <c r="Q903" t="s" s="2">
        <v>1772</v>
      </c>
      <c r="R903" t="s" s="2">
        <f>_xlfn.IFERROR(INDEX('model_byCAP'!$D$2:$D$377,MATCH(Q903,'model_byCAP'!$A$2:$A$377,0)),0)</f>
        <v>1773</v>
      </c>
    </row>
    <row r="904" ht="15.35" customHeight="1">
      <c r="A904" t="s" s="2">
        <v>1887</v>
      </c>
      <c r="B904" s="4">
        <v>40345</v>
      </c>
      <c r="C904" s="5">
        <v>2300</v>
      </c>
      <c r="D904" s="5">
        <v>92.59999999999999</v>
      </c>
      <c r="E904" s="5">
        <v>80</v>
      </c>
      <c r="F904" t="s" s="2">
        <v>19</v>
      </c>
      <c r="G904" t="s" s="2">
        <v>1768</v>
      </c>
      <c r="H904" s="5">
        <v>360</v>
      </c>
      <c r="I904" t="s" s="2">
        <v>463</v>
      </c>
      <c r="J904" t="s" s="2">
        <v>47</v>
      </c>
      <c r="K904" t="s" s="2">
        <v>1799</v>
      </c>
      <c r="L904" t="s" s="2">
        <v>618</v>
      </c>
      <c r="M904" s="5">
        <v>664182</v>
      </c>
      <c r="N904" s="5">
        <v>6048312</v>
      </c>
      <c r="O904" t="s" s="2">
        <v>1492</v>
      </c>
      <c r="P904" t="s" s="2">
        <v>1888</v>
      </c>
      <c r="Q904" t="s" s="2">
        <v>1772</v>
      </c>
      <c r="R904" t="s" s="2">
        <f>_xlfn.IFERROR(INDEX('model_byCAP'!$D$2:$D$377,MATCH(Q904,'model_byCAP'!$A$2:$A$377,0)),0)</f>
        <v>1773</v>
      </c>
    </row>
    <row r="905" ht="15.35" customHeight="1">
      <c r="A905" t="s" s="2">
        <v>1889</v>
      </c>
      <c r="B905" s="4">
        <v>40354</v>
      </c>
      <c r="C905" s="5">
        <v>2300</v>
      </c>
      <c r="D905" s="5">
        <v>92.59999999999999</v>
      </c>
      <c r="E905" s="5">
        <v>80</v>
      </c>
      <c r="F905" t="s" s="2">
        <v>19</v>
      </c>
      <c r="G905" t="s" s="2">
        <v>1768</v>
      </c>
      <c r="H905" s="5">
        <v>360</v>
      </c>
      <c r="I905" t="s" s="2">
        <v>463</v>
      </c>
      <c r="J905" t="s" s="2">
        <v>47</v>
      </c>
      <c r="K905" t="s" s="2">
        <v>1799</v>
      </c>
      <c r="L905" t="s" s="2">
        <v>618</v>
      </c>
      <c r="M905" s="5">
        <v>664766</v>
      </c>
      <c r="N905" s="5">
        <v>6048095</v>
      </c>
      <c r="O905" t="s" s="2">
        <v>1492</v>
      </c>
      <c r="P905" t="s" s="2">
        <v>1890</v>
      </c>
      <c r="Q905" t="s" s="2">
        <v>1772</v>
      </c>
      <c r="R905" t="s" s="2">
        <f>_xlfn.IFERROR(INDEX('model_byCAP'!$D$2:$D$377,MATCH(Q905,'model_byCAP'!$A$2:$A$377,0)),0)</f>
        <v>1773</v>
      </c>
    </row>
    <row r="906" ht="15.35" customHeight="1">
      <c r="A906" t="s" s="2">
        <v>1891</v>
      </c>
      <c r="B906" s="4">
        <v>40355</v>
      </c>
      <c r="C906" s="5">
        <v>2300</v>
      </c>
      <c r="D906" s="5">
        <v>92.59999999999999</v>
      </c>
      <c r="E906" s="5">
        <v>80</v>
      </c>
      <c r="F906" t="s" s="2">
        <v>19</v>
      </c>
      <c r="G906" t="s" s="2">
        <v>1768</v>
      </c>
      <c r="H906" s="5">
        <v>360</v>
      </c>
      <c r="I906" t="s" s="2">
        <v>463</v>
      </c>
      <c r="J906" t="s" s="2">
        <v>47</v>
      </c>
      <c r="K906" t="s" s="2">
        <v>1799</v>
      </c>
      <c r="L906" t="s" s="2">
        <v>618</v>
      </c>
      <c r="M906" s="5">
        <v>665301</v>
      </c>
      <c r="N906" s="5">
        <v>6047944</v>
      </c>
      <c r="O906" t="s" s="2">
        <v>1492</v>
      </c>
      <c r="P906" t="s" s="2">
        <v>1892</v>
      </c>
      <c r="Q906" t="s" s="2">
        <v>1772</v>
      </c>
      <c r="R906" t="s" s="2">
        <f>_xlfn.IFERROR(INDEX('model_byCAP'!$D$2:$D$377,MATCH(Q906,'model_byCAP'!$A$2:$A$377,0)),0)</f>
        <v>1773</v>
      </c>
    </row>
    <row r="907" ht="15.35" customHeight="1">
      <c r="A907" t="s" s="2">
        <v>1893</v>
      </c>
      <c r="B907" s="4">
        <v>40355</v>
      </c>
      <c r="C907" s="5">
        <v>2300</v>
      </c>
      <c r="D907" s="5">
        <v>92.59999999999999</v>
      </c>
      <c r="E907" s="5">
        <v>80</v>
      </c>
      <c r="F907" t="s" s="2">
        <v>19</v>
      </c>
      <c r="G907" t="s" s="2">
        <v>1768</v>
      </c>
      <c r="H907" s="5">
        <v>360</v>
      </c>
      <c r="I907" t="s" s="2">
        <v>463</v>
      </c>
      <c r="J907" t="s" s="2">
        <v>47</v>
      </c>
      <c r="K907" t="s" s="2">
        <v>1799</v>
      </c>
      <c r="L907" t="s" s="2">
        <v>618</v>
      </c>
      <c r="M907" s="5">
        <v>665935</v>
      </c>
      <c r="N907" s="5">
        <v>6047766</v>
      </c>
      <c r="O907" t="s" s="2">
        <v>1492</v>
      </c>
      <c r="P907" t="s" s="2">
        <v>1894</v>
      </c>
      <c r="Q907" t="s" s="2">
        <v>1772</v>
      </c>
      <c r="R907" t="s" s="2">
        <f>_xlfn.IFERROR(INDEX('model_byCAP'!$D$2:$D$377,MATCH(Q907,'model_byCAP'!$A$2:$A$377,0)),0)</f>
        <v>1773</v>
      </c>
    </row>
    <row r="908" ht="15.35" customHeight="1">
      <c r="A908" t="s" s="2">
        <v>1895</v>
      </c>
      <c r="B908" s="4">
        <v>40352</v>
      </c>
      <c r="C908" s="5">
        <v>2300</v>
      </c>
      <c r="D908" s="5">
        <v>92.59999999999999</v>
      </c>
      <c r="E908" s="5">
        <v>80</v>
      </c>
      <c r="F908" t="s" s="2">
        <v>19</v>
      </c>
      <c r="G908" t="s" s="2">
        <v>1768</v>
      </c>
      <c r="H908" s="5">
        <v>360</v>
      </c>
      <c r="I908" t="s" s="2">
        <v>463</v>
      </c>
      <c r="J908" t="s" s="2">
        <v>47</v>
      </c>
      <c r="K908" t="s" s="2">
        <v>1799</v>
      </c>
      <c r="L908" t="s" s="2">
        <v>618</v>
      </c>
      <c r="M908" s="5">
        <v>666463</v>
      </c>
      <c r="N908" s="5">
        <v>6047636</v>
      </c>
      <c r="O908" t="s" s="2">
        <v>1492</v>
      </c>
      <c r="P908" t="s" s="2">
        <v>1896</v>
      </c>
      <c r="Q908" t="s" s="2">
        <v>1772</v>
      </c>
      <c r="R908" t="s" s="2">
        <f>_xlfn.IFERROR(INDEX('model_byCAP'!$D$2:$D$377,MATCH(Q908,'model_byCAP'!$A$2:$A$377,0)),0)</f>
        <v>1773</v>
      </c>
    </row>
    <row r="909" ht="15.35" customHeight="1">
      <c r="A909" t="s" s="2">
        <v>1897</v>
      </c>
      <c r="B909" s="4">
        <v>40354</v>
      </c>
      <c r="C909" s="5">
        <v>2300</v>
      </c>
      <c r="D909" s="5">
        <v>92.59999999999999</v>
      </c>
      <c r="E909" s="5">
        <v>80</v>
      </c>
      <c r="F909" t="s" s="2">
        <v>19</v>
      </c>
      <c r="G909" t="s" s="2">
        <v>1768</v>
      </c>
      <c r="H909" s="5">
        <v>360</v>
      </c>
      <c r="I909" t="s" s="2">
        <v>463</v>
      </c>
      <c r="J909" t="s" s="2">
        <v>47</v>
      </c>
      <c r="K909" t="s" s="2">
        <v>1799</v>
      </c>
      <c r="L909" t="s" s="2">
        <v>618</v>
      </c>
      <c r="M909" s="5">
        <v>667027</v>
      </c>
      <c r="N909" s="5">
        <v>6047519</v>
      </c>
      <c r="O909" t="s" s="2">
        <v>1492</v>
      </c>
      <c r="P909" t="s" s="2">
        <v>1898</v>
      </c>
      <c r="Q909" t="s" s="2">
        <v>1772</v>
      </c>
      <c r="R909" t="s" s="2">
        <f>_xlfn.IFERROR(INDEX('model_byCAP'!$D$2:$D$377,MATCH(Q909,'model_byCAP'!$A$2:$A$377,0)),0)</f>
        <v>1773</v>
      </c>
    </row>
    <row r="910" ht="15.35" customHeight="1">
      <c r="A910" t="s" s="2">
        <v>1899</v>
      </c>
      <c r="B910" s="4">
        <v>40354</v>
      </c>
      <c r="C910" s="5">
        <v>2300</v>
      </c>
      <c r="D910" s="5">
        <v>92.59999999999999</v>
      </c>
      <c r="E910" s="5">
        <v>80</v>
      </c>
      <c r="F910" t="s" s="2">
        <v>19</v>
      </c>
      <c r="G910" t="s" s="2">
        <v>1768</v>
      </c>
      <c r="H910" s="5">
        <v>360</v>
      </c>
      <c r="I910" t="s" s="2">
        <v>463</v>
      </c>
      <c r="J910" t="s" s="2">
        <v>47</v>
      </c>
      <c r="K910" t="s" s="2">
        <v>1799</v>
      </c>
      <c r="L910" t="s" s="2">
        <v>618</v>
      </c>
      <c r="M910" s="5">
        <v>667592</v>
      </c>
      <c r="N910" s="5">
        <v>6047424</v>
      </c>
      <c r="O910" t="s" s="2">
        <v>1492</v>
      </c>
      <c r="P910" t="s" s="2">
        <v>1900</v>
      </c>
      <c r="Q910" t="s" s="2">
        <v>1772</v>
      </c>
      <c r="R910" t="s" s="2">
        <f>_xlfn.IFERROR(INDEX('model_byCAP'!$D$2:$D$377,MATCH(Q910,'model_byCAP'!$A$2:$A$377,0)),0)</f>
        <v>1773</v>
      </c>
    </row>
    <row r="911" ht="15.35" customHeight="1">
      <c r="A911" t="s" s="2">
        <v>1901</v>
      </c>
      <c r="B911" s="4">
        <v>40359</v>
      </c>
      <c r="C911" s="5">
        <v>2300</v>
      </c>
      <c r="D911" s="5">
        <v>92.59999999999999</v>
      </c>
      <c r="E911" s="5">
        <v>80</v>
      </c>
      <c r="F911" t="s" s="2">
        <v>19</v>
      </c>
      <c r="G911" t="s" s="2">
        <v>1768</v>
      </c>
      <c r="H911" s="5">
        <v>360</v>
      </c>
      <c r="I911" t="s" s="2">
        <v>463</v>
      </c>
      <c r="J911" t="s" s="2">
        <v>47</v>
      </c>
      <c r="K911" t="s" s="2">
        <v>1799</v>
      </c>
      <c r="L911" t="s" s="2">
        <v>618</v>
      </c>
      <c r="M911" s="5">
        <v>668177</v>
      </c>
      <c r="N911" s="5">
        <v>6047336</v>
      </c>
      <c r="O911" t="s" s="2">
        <v>1492</v>
      </c>
      <c r="P911" t="s" s="2">
        <v>1902</v>
      </c>
      <c r="Q911" t="s" s="2">
        <v>1772</v>
      </c>
      <c r="R911" t="s" s="2">
        <f>_xlfn.IFERROR(INDEX('model_byCAP'!$D$2:$D$377,MATCH(Q911,'model_byCAP'!$A$2:$A$377,0)),0)</f>
        <v>1773</v>
      </c>
    </row>
    <row r="912" ht="15.35" customHeight="1">
      <c r="A912" t="s" s="2">
        <v>1903</v>
      </c>
      <c r="B912" s="4">
        <v>40358</v>
      </c>
      <c r="C912" s="5">
        <v>2300</v>
      </c>
      <c r="D912" s="5">
        <v>92.59999999999999</v>
      </c>
      <c r="E912" s="5">
        <v>80</v>
      </c>
      <c r="F912" t="s" s="2">
        <v>19</v>
      </c>
      <c r="G912" t="s" s="2">
        <v>1768</v>
      </c>
      <c r="H912" s="5">
        <v>360</v>
      </c>
      <c r="I912" t="s" s="2">
        <v>463</v>
      </c>
      <c r="J912" t="s" s="2">
        <v>47</v>
      </c>
      <c r="K912" t="s" s="2">
        <v>1799</v>
      </c>
      <c r="L912" t="s" s="2">
        <v>618</v>
      </c>
      <c r="M912" s="5">
        <v>668756</v>
      </c>
      <c r="N912" s="5">
        <v>6047266</v>
      </c>
      <c r="O912" t="s" s="2">
        <v>1492</v>
      </c>
      <c r="P912" t="s" s="2">
        <v>1904</v>
      </c>
      <c r="Q912" t="s" s="2">
        <v>1772</v>
      </c>
      <c r="R912" t="s" s="2">
        <f>_xlfn.IFERROR(INDEX('model_byCAP'!$D$2:$D$377,MATCH(Q912,'model_byCAP'!$A$2:$A$377,0)),0)</f>
        <v>1773</v>
      </c>
    </row>
    <row r="913" ht="15.35" customHeight="1">
      <c r="A913" t="s" s="2">
        <v>1905</v>
      </c>
      <c r="B913" s="4">
        <v>40362</v>
      </c>
      <c r="C913" s="5">
        <v>2300</v>
      </c>
      <c r="D913" s="5">
        <v>92.59999999999999</v>
      </c>
      <c r="E913" s="5">
        <v>80</v>
      </c>
      <c r="F913" t="s" s="2">
        <v>19</v>
      </c>
      <c r="G913" t="s" s="2">
        <v>1768</v>
      </c>
      <c r="H913" s="5">
        <v>360</v>
      </c>
      <c r="I913" t="s" s="2">
        <v>463</v>
      </c>
      <c r="J913" t="s" s="2">
        <v>47</v>
      </c>
      <c r="K913" t="s" s="2">
        <v>1799</v>
      </c>
      <c r="L913" t="s" s="2">
        <v>618</v>
      </c>
      <c r="M913" s="5">
        <v>669337</v>
      </c>
      <c r="N913" s="5">
        <v>6047235</v>
      </c>
      <c r="O913" t="s" s="2">
        <v>1492</v>
      </c>
      <c r="P913" t="s" s="2">
        <v>1906</v>
      </c>
      <c r="Q913" t="s" s="2">
        <v>1772</v>
      </c>
      <c r="R913" t="s" s="2">
        <f>_xlfn.IFERROR(INDEX('model_byCAP'!$D$2:$D$377,MATCH(Q913,'model_byCAP'!$A$2:$A$377,0)),0)</f>
        <v>1773</v>
      </c>
    </row>
    <row r="914" ht="15.35" customHeight="1">
      <c r="A914" t="s" s="2">
        <v>1907</v>
      </c>
      <c r="B914" s="4">
        <v>40369</v>
      </c>
      <c r="C914" s="5">
        <v>2300</v>
      </c>
      <c r="D914" s="5">
        <v>92.59999999999999</v>
      </c>
      <c r="E914" s="5">
        <v>80</v>
      </c>
      <c r="F914" t="s" s="2">
        <v>19</v>
      </c>
      <c r="G914" t="s" s="2">
        <v>1768</v>
      </c>
      <c r="H914" s="5">
        <v>360</v>
      </c>
      <c r="I914" t="s" s="2">
        <v>463</v>
      </c>
      <c r="J914" t="s" s="2">
        <v>47</v>
      </c>
      <c r="K914" t="s" s="2">
        <v>1799</v>
      </c>
      <c r="L914" t="s" s="2">
        <v>618</v>
      </c>
      <c r="M914" s="5">
        <v>659321</v>
      </c>
      <c r="N914" s="5">
        <v>6050200</v>
      </c>
      <c r="O914" t="s" s="2">
        <v>1492</v>
      </c>
      <c r="P914" t="s" s="2">
        <v>1908</v>
      </c>
      <c r="Q914" t="s" s="2">
        <v>1772</v>
      </c>
      <c r="R914" t="s" s="2">
        <f>_xlfn.IFERROR(INDEX('model_byCAP'!$D$2:$D$377,MATCH(Q914,'model_byCAP'!$A$2:$A$377,0)),0)</f>
        <v>1773</v>
      </c>
    </row>
    <row r="915" ht="15.35" customHeight="1">
      <c r="A915" t="s" s="2">
        <v>1909</v>
      </c>
      <c r="B915" s="4">
        <v>40367</v>
      </c>
      <c r="C915" s="5">
        <v>2300</v>
      </c>
      <c r="D915" s="5">
        <v>92.59999999999999</v>
      </c>
      <c r="E915" s="5">
        <v>80</v>
      </c>
      <c r="F915" t="s" s="2">
        <v>19</v>
      </c>
      <c r="G915" t="s" s="2">
        <v>1768</v>
      </c>
      <c r="H915" s="5">
        <v>360</v>
      </c>
      <c r="I915" t="s" s="2">
        <v>463</v>
      </c>
      <c r="J915" t="s" s="2">
        <v>47</v>
      </c>
      <c r="K915" t="s" s="2">
        <v>1799</v>
      </c>
      <c r="L915" t="s" s="2">
        <v>618</v>
      </c>
      <c r="M915" s="5">
        <v>659858</v>
      </c>
      <c r="N915" s="5">
        <v>6049798</v>
      </c>
      <c r="O915" t="s" s="2">
        <v>1492</v>
      </c>
      <c r="P915" t="s" s="2">
        <v>1910</v>
      </c>
      <c r="Q915" t="s" s="2">
        <v>1772</v>
      </c>
      <c r="R915" t="s" s="2">
        <f>_xlfn.IFERROR(INDEX('model_byCAP'!$D$2:$D$377,MATCH(Q915,'model_byCAP'!$A$2:$A$377,0)),0)</f>
        <v>1773</v>
      </c>
    </row>
    <row r="916" ht="15.35" customHeight="1">
      <c r="A916" t="s" s="2">
        <v>1911</v>
      </c>
      <c r="B916" s="4">
        <v>40370</v>
      </c>
      <c r="C916" s="5">
        <v>2300</v>
      </c>
      <c r="D916" s="5">
        <v>92.59999999999999</v>
      </c>
      <c r="E916" s="5">
        <v>80</v>
      </c>
      <c r="F916" t="s" s="2">
        <v>19</v>
      </c>
      <c r="G916" t="s" s="2">
        <v>1768</v>
      </c>
      <c r="H916" s="5">
        <v>360</v>
      </c>
      <c r="I916" t="s" s="2">
        <v>463</v>
      </c>
      <c r="J916" t="s" s="2">
        <v>47</v>
      </c>
      <c r="K916" t="s" s="2">
        <v>1799</v>
      </c>
      <c r="L916" t="s" s="2">
        <v>618</v>
      </c>
      <c r="M916" s="5">
        <v>660404</v>
      </c>
      <c r="N916" s="5">
        <v>6049431</v>
      </c>
      <c r="O916" t="s" s="2">
        <v>1492</v>
      </c>
      <c r="P916" t="s" s="2">
        <v>1912</v>
      </c>
      <c r="Q916" t="s" s="2">
        <v>1772</v>
      </c>
      <c r="R916" t="s" s="2">
        <f>_xlfn.IFERROR(INDEX('model_byCAP'!$D$2:$D$377,MATCH(Q916,'model_byCAP'!$A$2:$A$377,0)),0)</f>
        <v>1773</v>
      </c>
    </row>
    <row r="917" ht="15.35" customHeight="1">
      <c r="A917" t="s" s="2">
        <v>1913</v>
      </c>
      <c r="B917" s="4">
        <v>40375</v>
      </c>
      <c r="C917" s="5">
        <v>2300</v>
      </c>
      <c r="D917" s="5">
        <v>92.59999999999999</v>
      </c>
      <c r="E917" s="5">
        <v>80</v>
      </c>
      <c r="F917" t="s" s="2">
        <v>19</v>
      </c>
      <c r="G917" t="s" s="2">
        <v>1768</v>
      </c>
      <c r="H917" s="5">
        <v>360</v>
      </c>
      <c r="I917" t="s" s="2">
        <v>463</v>
      </c>
      <c r="J917" t="s" s="2">
        <v>47</v>
      </c>
      <c r="K917" t="s" s="2">
        <v>1799</v>
      </c>
      <c r="L917" t="s" s="2">
        <v>618</v>
      </c>
      <c r="M917" s="5">
        <v>660977</v>
      </c>
      <c r="N917" s="5">
        <v>6049072</v>
      </c>
      <c r="O917" t="s" s="2">
        <v>1492</v>
      </c>
      <c r="P917" t="s" s="2">
        <v>1914</v>
      </c>
      <c r="Q917" t="s" s="2">
        <v>1772</v>
      </c>
      <c r="R917" t="s" s="2">
        <f>_xlfn.IFERROR(INDEX('model_byCAP'!$D$2:$D$377,MATCH(Q917,'model_byCAP'!$A$2:$A$377,0)),0)</f>
        <v>1773</v>
      </c>
    </row>
    <row r="918" ht="15.35" customHeight="1">
      <c r="A918" t="s" s="2">
        <v>1915</v>
      </c>
      <c r="B918" s="4">
        <v>40374</v>
      </c>
      <c r="C918" s="5">
        <v>2300</v>
      </c>
      <c r="D918" s="5">
        <v>92.59999999999999</v>
      </c>
      <c r="E918" s="5">
        <v>80</v>
      </c>
      <c r="F918" t="s" s="2">
        <v>19</v>
      </c>
      <c r="G918" t="s" s="2">
        <v>1768</v>
      </c>
      <c r="H918" s="5">
        <v>360</v>
      </c>
      <c r="I918" t="s" s="2">
        <v>463</v>
      </c>
      <c r="J918" t="s" s="2">
        <v>47</v>
      </c>
      <c r="K918" t="s" s="2">
        <v>1799</v>
      </c>
      <c r="L918" t="s" s="2">
        <v>618</v>
      </c>
      <c r="M918" s="5">
        <v>661514</v>
      </c>
      <c r="N918" s="5">
        <v>6048754</v>
      </c>
      <c r="O918" t="s" s="2">
        <v>1492</v>
      </c>
      <c r="P918" t="s" s="2">
        <v>1916</v>
      </c>
      <c r="Q918" t="s" s="2">
        <v>1772</v>
      </c>
      <c r="R918" t="s" s="2">
        <f>_xlfn.IFERROR(INDEX('model_byCAP'!$D$2:$D$377,MATCH(Q918,'model_byCAP'!$A$2:$A$377,0)),0)</f>
        <v>1773</v>
      </c>
    </row>
    <row r="919" ht="15.35" customHeight="1">
      <c r="A919" t="s" s="2">
        <v>1917</v>
      </c>
      <c r="B919" s="4">
        <v>40365</v>
      </c>
      <c r="C919" s="5">
        <v>2300</v>
      </c>
      <c r="D919" s="5">
        <v>92.59999999999999</v>
      </c>
      <c r="E919" s="5">
        <v>80</v>
      </c>
      <c r="F919" t="s" s="2">
        <v>19</v>
      </c>
      <c r="G919" t="s" s="2">
        <v>1768</v>
      </c>
      <c r="H919" s="5">
        <v>360</v>
      </c>
      <c r="I919" t="s" s="2">
        <v>463</v>
      </c>
      <c r="J919" t="s" s="2">
        <v>47</v>
      </c>
      <c r="K919" t="s" s="2">
        <v>1799</v>
      </c>
      <c r="L919" t="s" s="2">
        <v>618</v>
      </c>
      <c r="M919" s="5">
        <v>662100</v>
      </c>
      <c r="N919" s="5">
        <v>6048437</v>
      </c>
      <c r="O919" t="s" s="2">
        <v>1492</v>
      </c>
      <c r="P919" t="s" s="2">
        <v>1918</v>
      </c>
      <c r="Q919" t="s" s="2">
        <v>1772</v>
      </c>
      <c r="R919" t="s" s="2">
        <f>_xlfn.IFERROR(INDEX('model_byCAP'!$D$2:$D$377,MATCH(Q919,'model_byCAP'!$A$2:$A$377,0)),0)</f>
        <v>1773</v>
      </c>
    </row>
    <row r="920" ht="15.35" customHeight="1">
      <c r="A920" t="s" s="2">
        <v>1919</v>
      </c>
      <c r="B920" s="4">
        <v>40366</v>
      </c>
      <c r="C920" s="5">
        <v>2300</v>
      </c>
      <c r="D920" s="5">
        <v>92.59999999999999</v>
      </c>
      <c r="E920" s="5">
        <v>80</v>
      </c>
      <c r="F920" t="s" s="2">
        <v>19</v>
      </c>
      <c r="G920" t="s" s="2">
        <v>1768</v>
      </c>
      <c r="H920" s="5">
        <v>360</v>
      </c>
      <c r="I920" t="s" s="2">
        <v>463</v>
      </c>
      <c r="J920" t="s" s="2">
        <v>47</v>
      </c>
      <c r="K920" t="s" s="2">
        <v>1799</v>
      </c>
      <c r="L920" t="s" s="2">
        <v>618</v>
      </c>
      <c r="M920" s="5">
        <v>662684</v>
      </c>
      <c r="N920" s="5">
        <v>6048130</v>
      </c>
      <c r="O920" t="s" s="2">
        <v>1492</v>
      </c>
      <c r="P920" t="s" s="2">
        <v>1920</v>
      </c>
      <c r="Q920" t="s" s="2">
        <v>1772</v>
      </c>
      <c r="R920" t="s" s="2">
        <f>_xlfn.IFERROR(INDEX('model_byCAP'!$D$2:$D$377,MATCH(Q920,'model_byCAP'!$A$2:$A$377,0)),0)</f>
        <v>1773</v>
      </c>
    </row>
    <row r="921" ht="15.35" customHeight="1">
      <c r="A921" t="s" s="2">
        <v>1921</v>
      </c>
      <c r="B921" s="4">
        <v>40359</v>
      </c>
      <c r="C921" s="5">
        <v>2300</v>
      </c>
      <c r="D921" s="5">
        <v>92.59999999999999</v>
      </c>
      <c r="E921" s="5">
        <v>80</v>
      </c>
      <c r="F921" t="s" s="2">
        <v>19</v>
      </c>
      <c r="G921" t="s" s="2">
        <v>1768</v>
      </c>
      <c r="H921" s="5">
        <v>360</v>
      </c>
      <c r="I921" t="s" s="2">
        <v>463</v>
      </c>
      <c r="J921" t="s" s="2">
        <v>47</v>
      </c>
      <c r="K921" t="s" s="2">
        <v>1799</v>
      </c>
      <c r="L921" t="s" s="2">
        <v>618</v>
      </c>
      <c r="M921" s="5">
        <v>663249</v>
      </c>
      <c r="N921" s="5">
        <v>6047859</v>
      </c>
      <c r="O921" t="s" s="2">
        <v>1492</v>
      </c>
      <c r="P921" t="s" s="2">
        <v>1922</v>
      </c>
      <c r="Q921" t="s" s="2">
        <v>1772</v>
      </c>
      <c r="R921" t="s" s="2">
        <f>_xlfn.IFERROR(INDEX('model_byCAP'!$D$2:$D$377,MATCH(Q921,'model_byCAP'!$A$2:$A$377,0)),0)</f>
        <v>1773</v>
      </c>
    </row>
    <row r="922" ht="15.35" customHeight="1">
      <c r="A922" t="s" s="2">
        <v>1923</v>
      </c>
      <c r="B922" s="4">
        <v>40360</v>
      </c>
      <c r="C922" s="5">
        <v>2300</v>
      </c>
      <c r="D922" s="5">
        <v>92.59999999999999</v>
      </c>
      <c r="E922" s="5">
        <v>80</v>
      </c>
      <c r="F922" t="s" s="2">
        <v>19</v>
      </c>
      <c r="G922" t="s" s="2">
        <v>1768</v>
      </c>
      <c r="H922" s="5">
        <v>360</v>
      </c>
      <c r="I922" t="s" s="2">
        <v>463</v>
      </c>
      <c r="J922" t="s" s="2">
        <v>47</v>
      </c>
      <c r="K922" t="s" s="2">
        <v>1799</v>
      </c>
      <c r="L922" t="s" s="2">
        <v>618</v>
      </c>
      <c r="M922" s="5">
        <v>663847</v>
      </c>
      <c r="N922" s="5">
        <v>6047612</v>
      </c>
      <c r="O922" t="s" s="2">
        <v>1492</v>
      </c>
      <c r="P922" t="s" s="2">
        <v>1924</v>
      </c>
      <c r="Q922" t="s" s="2">
        <v>1772</v>
      </c>
      <c r="R922" t="s" s="2">
        <f>_xlfn.IFERROR(INDEX('model_byCAP'!$D$2:$D$377,MATCH(Q922,'model_byCAP'!$A$2:$A$377,0)),0)</f>
        <v>1773</v>
      </c>
    </row>
    <row r="923" ht="15.35" customHeight="1">
      <c r="A923" t="s" s="2">
        <v>1925</v>
      </c>
      <c r="B923" s="4">
        <v>40375</v>
      </c>
      <c r="C923" s="5">
        <v>2300</v>
      </c>
      <c r="D923" s="5">
        <v>92.59999999999999</v>
      </c>
      <c r="E923" s="5">
        <v>80</v>
      </c>
      <c r="F923" t="s" s="2">
        <v>19</v>
      </c>
      <c r="G923" t="s" s="2">
        <v>1768</v>
      </c>
      <c r="H923" s="5">
        <v>360</v>
      </c>
      <c r="I923" t="s" s="2">
        <v>463</v>
      </c>
      <c r="J923" t="s" s="2">
        <v>47</v>
      </c>
      <c r="K923" t="s" s="2">
        <v>1799</v>
      </c>
      <c r="L923" t="s" s="2">
        <v>618</v>
      </c>
      <c r="M923" s="5">
        <v>664463</v>
      </c>
      <c r="N923" s="5">
        <v>6047353</v>
      </c>
      <c r="O923" t="s" s="2">
        <v>1492</v>
      </c>
      <c r="P923" t="s" s="2">
        <v>1926</v>
      </c>
      <c r="Q923" t="s" s="2">
        <v>1772</v>
      </c>
      <c r="R923" t="s" s="2">
        <f>_xlfn.IFERROR(INDEX('model_byCAP'!$D$2:$D$377,MATCH(Q923,'model_byCAP'!$A$2:$A$377,0)),0)</f>
        <v>1773</v>
      </c>
    </row>
    <row r="924" ht="15.35" customHeight="1">
      <c r="A924" t="s" s="2">
        <v>1927</v>
      </c>
      <c r="B924" s="4">
        <v>40375</v>
      </c>
      <c r="C924" s="5">
        <v>2300</v>
      </c>
      <c r="D924" s="5">
        <v>92.59999999999999</v>
      </c>
      <c r="E924" s="5">
        <v>80</v>
      </c>
      <c r="F924" t="s" s="2">
        <v>19</v>
      </c>
      <c r="G924" t="s" s="2">
        <v>1768</v>
      </c>
      <c r="H924" s="5">
        <v>360</v>
      </c>
      <c r="I924" t="s" s="2">
        <v>463</v>
      </c>
      <c r="J924" t="s" s="2">
        <v>47</v>
      </c>
      <c r="K924" t="s" s="2">
        <v>1799</v>
      </c>
      <c r="L924" t="s" s="2">
        <v>618</v>
      </c>
      <c r="M924" s="5">
        <v>665036</v>
      </c>
      <c r="N924" s="5">
        <v>6047162</v>
      </c>
      <c r="O924" t="s" s="2">
        <v>1492</v>
      </c>
      <c r="P924" t="s" s="2">
        <v>1928</v>
      </c>
      <c r="Q924" t="s" s="2">
        <v>1772</v>
      </c>
      <c r="R924" t="s" s="2">
        <f>_xlfn.IFERROR(INDEX('model_byCAP'!$D$2:$D$377,MATCH(Q924,'model_byCAP'!$A$2:$A$377,0)),0)</f>
        <v>1773</v>
      </c>
    </row>
    <row r="925" ht="15.35" customHeight="1">
      <c r="A925" t="s" s="2">
        <v>1929</v>
      </c>
      <c r="B925" s="4">
        <v>40375</v>
      </c>
      <c r="C925" s="5">
        <v>2300</v>
      </c>
      <c r="D925" s="5">
        <v>92.59999999999999</v>
      </c>
      <c r="E925" s="5">
        <v>80</v>
      </c>
      <c r="F925" t="s" s="2">
        <v>19</v>
      </c>
      <c r="G925" t="s" s="2">
        <v>1768</v>
      </c>
      <c r="H925" s="5">
        <v>360</v>
      </c>
      <c r="I925" t="s" s="2">
        <v>463</v>
      </c>
      <c r="J925" t="s" s="2">
        <v>47</v>
      </c>
      <c r="K925" t="s" s="2">
        <v>1799</v>
      </c>
      <c r="L925" t="s" s="2">
        <v>618</v>
      </c>
      <c r="M925" s="5">
        <v>665657</v>
      </c>
      <c r="N925" s="5">
        <v>6046959</v>
      </c>
      <c r="O925" t="s" s="2">
        <v>1492</v>
      </c>
      <c r="P925" t="s" s="2">
        <v>1930</v>
      </c>
      <c r="Q925" t="s" s="2">
        <v>1772</v>
      </c>
      <c r="R925" t="s" s="2">
        <f>_xlfn.IFERROR(INDEX('model_byCAP'!$D$2:$D$377,MATCH(Q925,'model_byCAP'!$A$2:$A$377,0)),0)</f>
        <v>1773</v>
      </c>
    </row>
    <row r="926" ht="15.35" customHeight="1">
      <c r="A926" t="s" s="2">
        <v>1931</v>
      </c>
      <c r="B926" s="4">
        <v>40375</v>
      </c>
      <c r="C926" s="5">
        <v>2300</v>
      </c>
      <c r="D926" s="5">
        <v>92.59999999999999</v>
      </c>
      <c r="E926" s="5">
        <v>80</v>
      </c>
      <c r="F926" t="s" s="2">
        <v>19</v>
      </c>
      <c r="G926" t="s" s="2">
        <v>1768</v>
      </c>
      <c r="H926" s="5">
        <v>360</v>
      </c>
      <c r="I926" t="s" s="2">
        <v>463</v>
      </c>
      <c r="J926" t="s" s="2">
        <v>47</v>
      </c>
      <c r="K926" t="s" s="2">
        <v>1799</v>
      </c>
      <c r="L926" t="s" s="2">
        <v>618</v>
      </c>
      <c r="M926" s="5">
        <v>666280</v>
      </c>
      <c r="N926" s="5">
        <v>6046779</v>
      </c>
      <c r="O926" t="s" s="2">
        <v>1492</v>
      </c>
      <c r="P926" t="s" s="2">
        <v>1932</v>
      </c>
      <c r="Q926" t="s" s="2">
        <v>1772</v>
      </c>
      <c r="R926" t="s" s="2">
        <f>_xlfn.IFERROR(INDEX('model_byCAP'!$D$2:$D$377,MATCH(Q926,'model_byCAP'!$A$2:$A$377,0)),0)</f>
        <v>1773</v>
      </c>
    </row>
    <row r="927" ht="15.35" customHeight="1">
      <c r="A927" t="s" s="2">
        <v>1933</v>
      </c>
      <c r="B927" s="4">
        <v>40376</v>
      </c>
      <c r="C927" s="5">
        <v>2300</v>
      </c>
      <c r="D927" s="5">
        <v>92.59999999999999</v>
      </c>
      <c r="E927" s="5">
        <v>80</v>
      </c>
      <c r="F927" t="s" s="2">
        <v>19</v>
      </c>
      <c r="G927" t="s" s="2">
        <v>1768</v>
      </c>
      <c r="H927" s="5">
        <v>360</v>
      </c>
      <c r="I927" t="s" s="2">
        <v>463</v>
      </c>
      <c r="J927" t="s" s="2">
        <v>47</v>
      </c>
      <c r="K927" t="s" s="2">
        <v>1799</v>
      </c>
      <c r="L927" t="s" s="2">
        <v>618</v>
      </c>
      <c r="M927" s="5">
        <v>666884</v>
      </c>
      <c r="N927" s="5">
        <v>6046629</v>
      </c>
      <c r="O927" t="s" s="2">
        <v>1492</v>
      </c>
      <c r="P927" t="s" s="2">
        <v>1934</v>
      </c>
      <c r="Q927" t="s" s="2">
        <v>1772</v>
      </c>
      <c r="R927" t="s" s="2">
        <f>_xlfn.IFERROR(INDEX('model_byCAP'!$D$2:$D$377,MATCH(Q927,'model_byCAP'!$A$2:$A$377,0)),0)</f>
        <v>1773</v>
      </c>
    </row>
    <row r="928" ht="15.35" customHeight="1">
      <c r="A928" t="s" s="2">
        <v>1935</v>
      </c>
      <c r="B928" s="4">
        <v>40377</v>
      </c>
      <c r="C928" s="5">
        <v>2300</v>
      </c>
      <c r="D928" s="5">
        <v>92.59999999999999</v>
      </c>
      <c r="E928" s="5">
        <v>80</v>
      </c>
      <c r="F928" t="s" s="2">
        <v>19</v>
      </c>
      <c r="G928" t="s" s="2">
        <v>1768</v>
      </c>
      <c r="H928" s="5">
        <v>360</v>
      </c>
      <c r="I928" t="s" s="2">
        <v>463</v>
      </c>
      <c r="J928" t="s" s="2">
        <v>47</v>
      </c>
      <c r="K928" t="s" s="2">
        <v>1799</v>
      </c>
      <c r="L928" t="s" s="2">
        <v>618</v>
      </c>
      <c r="M928" s="5">
        <v>667500</v>
      </c>
      <c r="N928" s="5">
        <v>6046502</v>
      </c>
      <c r="O928" t="s" s="2">
        <v>1492</v>
      </c>
      <c r="P928" t="s" s="2">
        <v>1936</v>
      </c>
      <c r="Q928" t="s" s="2">
        <v>1772</v>
      </c>
      <c r="R928" t="s" s="2">
        <f>_xlfn.IFERROR(INDEX('model_byCAP'!$D$2:$D$377,MATCH(Q928,'model_byCAP'!$A$2:$A$377,0)),0)</f>
        <v>1773</v>
      </c>
    </row>
    <row r="929" ht="15.35" customHeight="1">
      <c r="A929" t="s" s="2">
        <v>1937</v>
      </c>
      <c r="B929" s="4">
        <v>40376</v>
      </c>
      <c r="C929" s="5">
        <v>2300</v>
      </c>
      <c r="D929" s="5">
        <v>92.59999999999999</v>
      </c>
      <c r="E929" s="5">
        <v>80</v>
      </c>
      <c r="F929" t="s" s="2">
        <v>19</v>
      </c>
      <c r="G929" t="s" s="2">
        <v>1768</v>
      </c>
      <c r="H929" s="5">
        <v>360</v>
      </c>
      <c r="I929" t="s" s="2">
        <v>463</v>
      </c>
      <c r="J929" t="s" s="2">
        <v>47</v>
      </c>
      <c r="K929" t="s" s="2">
        <v>1799</v>
      </c>
      <c r="L929" t="s" s="2">
        <v>618</v>
      </c>
      <c r="M929" s="5">
        <v>668137</v>
      </c>
      <c r="N929" s="5">
        <v>6046386</v>
      </c>
      <c r="O929" t="s" s="2">
        <v>1492</v>
      </c>
      <c r="P929" t="s" s="2">
        <v>1938</v>
      </c>
      <c r="Q929" t="s" s="2">
        <v>1772</v>
      </c>
      <c r="R929" t="s" s="2">
        <f>_xlfn.IFERROR(INDEX('model_byCAP'!$D$2:$D$377,MATCH(Q929,'model_byCAP'!$A$2:$A$377,0)),0)</f>
        <v>1773</v>
      </c>
    </row>
    <row r="930" ht="15.35" customHeight="1">
      <c r="A930" t="s" s="2">
        <v>1939</v>
      </c>
      <c r="B930" s="4">
        <v>40376</v>
      </c>
      <c r="C930" s="5">
        <v>2300</v>
      </c>
      <c r="D930" s="5">
        <v>92.59999999999999</v>
      </c>
      <c r="E930" s="5">
        <v>80</v>
      </c>
      <c r="F930" t="s" s="2">
        <v>19</v>
      </c>
      <c r="G930" t="s" s="2">
        <v>1768</v>
      </c>
      <c r="H930" s="5">
        <v>360</v>
      </c>
      <c r="I930" t="s" s="2">
        <v>463</v>
      </c>
      <c r="J930" t="s" s="2">
        <v>47</v>
      </c>
      <c r="K930" t="s" s="2">
        <v>1799</v>
      </c>
      <c r="L930" t="s" s="2">
        <v>618</v>
      </c>
      <c r="M930" s="5">
        <v>668821</v>
      </c>
      <c r="N930" s="5">
        <v>6046289</v>
      </c>
      <c r="O930" t="s" s="2">
        <v>1492</v>
      </c>
      <c r="P930" t="s" s="2">
        <v>1940</v>
      </c>
      <c r="Q930" t="s" s="2">
        <v>1772</v>
      </c>
      <c r="R930" t="s" s="2">
        <f>_xlfn.IFERROR(INDEX('model_byCAP'!$D$2:$D$377,MATCH(Q930,'model_byCAP'!$A$2:$A$377,0)),0)</f>
        <v>1773</v>
      </c>
    </row>
    <row r="931" ht="15.35" customHeight="1">
      <c r="A931" t="s" s="2">
        <v>1941</v>
      </c>
      <c r="B931" s="4">
        <v>40377</v>
      </c>
      <c r="C931" s="5">
        <v>2300</v>
      </c>
      <c r="D931" s="5">
        <v>92.59999999999999</v>
      </c>
      <c r="E931" s="5">
        <v>80</v>
      </c>
      <c r="F931" t="s" s="2">
        <v>19</v>
      </c>
      <c r="G931" t="s" s="2">
        <v>1768</v>
      </c>
      <c r="H931" s="5">
        <v>360</v>
      </c>
      <c r="I931" t="s" s="2">
        <v>463</v>
      </c>
      <c r="J931" t="s" s="2">
        <v>47</v>
      </c>
      <c r="K931" t="s" s="2">
        <v>1799</v>
      </c>
      <c r="L931" t="s" s="2">
        <v>618</v>
      </c>
      <c r="M931" s="5">
        <v>669405</v>
      </c>
      <c r="N931" s="5">
        <v>6046236</v>
      </c>
      <c r="O931" t="s" s="2">
        <v>1492</v>
      </c>
      <c r="P931" t="s" s="2">
        <v>1942</v>
      </c>
      <c r="Q931" t="s" s="2">
        <v>1772</v>
      </c>
      <c r="R931" t="s" s="2">
        <f>_xlfn.IFERROR(INDEX('model_byCAP'!$D$2:$D$377,MATCH(Q931,'model_byCAP'!$A$2:$A$377,0)),0)</f>
        <v>1773</v>
      </c>
    </row>
    <row r="932" ht="15.35" customHeight="1">
      <c r="A932" t="s" s="2">
        <v>1943</v>
      </c>
      <c r="B932" s="4">
        <v>40383</v>
      </c>
      <c r="C932" s="5">
        <v>2300</v>
      </c>
      <c r="D932" s="5">
        <v>92.59999999999999</v>
      </c>
      <c r="E932" s="5">
        <v>80</v>
      </c>
      <c r="F932" t="s" s="2">
        <v>19</v>
      </c>
      <c r="G932" t="s" s="2">
        <v>1768</v>
      </c>
      <c r="H932" s="5">
        <v>360</v>
      </c>
      <c r="I932" t="s" s="2">
        <v>463</v>
      </c>
      <c r="J932" t="s" s="2">
        <v>47</v>
      </c>
      <c r="K932" t="s" s="2">
        <v>1799</v>
      </c>
      <c r="L932" t="s" s="2">
        <v>618</v>
      </c>
      <c r="M932" s="5">
        <v>658887</v>
      </c>
      <c r="N932" s="5">
        <v>6049851</v>
      </c>
      <c r="O932" t="s" s="2">
        <v>1492</v>
      </c>
      <c r="P932" t="s" s="2">
        <v>1944</v>
      </c>
      <c r="Q932" t="s" s="2">
        <v>1772</v>
      </c>
      <c r="R932" t="s" s="2">
        <f>_xlfn.IFERROR(INDEX('model_byCAP'!$D$2:$D$377,MATCH(Q932,'model_byCAP'!$A$2:$A$377,0)),0)</f>
        <v>1773</v>
      </c>
    </row>
    <row r="933" ht="15.35" customHeight="1">
      <c r="A933" t="s" s="2">
        <v>1945</v>
      </c>
      <c r="B933" s="4">
        <v>40383</v>
      </c>
      <c r="C933" s="5">
        <v>2300</v>
      </c>
      <c r="D933" s="5">
        <v>92.59999999999999</v>
      </c>
      <c r="E933" s="5">
        <v>80</v>
      </c>
      <c r="F933" t="s" s="2">
        <v>19</v>
      </c>
      <c r="G933" t="s" s="2">
        <v>1768</v>
      </c>
      <c r="H933" s="5">
        <v>360</v>
      </c>
      <c r="I933" t="s" s="2">
        <v>463</v>
      </c>
      <c r="J933" t="s" s="2">
        <v>47</v>
      </c>
      <c r="K933" t="s" s="2">
        <v>1799</v>
      </c>
      <c r="L933" t="s" s="2">
        <v>618</v>
      </c>
      <c r="M933" s="5">
        <v>659422</v>
      </c>
      <c r="N933" s="5">
        <v>6049405</v>
      </c>
      <c r="O933" t="s" s="2">
        <v>1492</v>
      </c>
      <c r="P933" t="s" s="2">
        <v>1946</v>
      </c>
      <c r="Q933" t="s" s="2">
        <v>1772</v>
      </c>
      <c r="R933" t="s" s="2">
        <f>_xlfn.IFERROR(INDEX('model_byCAP'!$D$2:$D$377,MATCH(Q933,'model_byCAP'!$A$2:$A$377,0)),0)</f>
        <v>1773</v>
      </c>
    </row>
    <row r="934" ht="15.35" customHeight="1">
      <c r="A934" t="s" s="2">
        <v>1947</v>
      </c>
      <c r="B934" s="4">
        <v>40382</v>
      </c>
      <c r="C934" s="5">
        <v>2300</v>
      </c>
      <c r="D934" s="5">
        <v>92.59999999999999</v>
      </c>
      <c r="E934" s="5">
        <v>80</v>
      </c>
      <c r="F934" t="s" s="2">
        <v>19</v>
      </c>
      <c r="G934" t="s" s="2">
        <v>1768</v>
      </c>
      <c r="H934" s="5">
        <v>360</v>
      </c>
      <c r="I934" t="s" s="2">
        <v>463</v>
      </c>
      <c r="J934" t="s" s="2">
        <v>47</v>
      </c>
      <c r="K934" t="s" s="2">
        <v>1799</v>
      </c>
      <c r="L934" t="s" s="2">
        <v>618</v>
      </c>
      <c r="M934" s="5">
        <v>659968</v>
      </c>
      <c r="N934" s="5">
        <v>6048995</v>
      </c>
      <c r="O934" t="s" s="2">
        <v>1492</v>
      </c>
      <c r="P934" t="s" s="2">
        <v>1948</v>
      </c>
      <c r="Q934" t="s" s="2">
        <v>1772</v>
      </c>
      <c r="R934" t="s" s="2">
        <f>_xlfn.IFERROR(INDEX('model_byCAP'!$D$2:$D$377,MATCH(Q934,'model_byCAP'!$A$2:$A$377,0)),0)</f>
        <v>1773</v>
      </c>
    </row>
    <row r="935" ht="15.35" customHeight="1">
      <c r="A935" t="s" s="2">
        <v>1949</v>
      </c>
      <c r="B935" s="4">
        <v>40381</v>
      </c>
      <c r="C935" s="5">
        <v>2300</v>
      </c>
      <c r="D935" s="5">
        <v>92.59999999999999</v>
      </c>
      <c r="E935" s="5">
        <v>80</v>
      </c>
      <c r="F935" t="s" s="2">
        <v>19</v>
      </c>
      <c r="G935" t="s" s="2">
        <v>1768</v>
      </c>
      <c r="H935" s="5">
        <v>360</v>
      </c>
      <c r="I935" t="s" s="2">
        <v>463</v>
      </c>
      <c r="J935" t="s" s="2">
        <v>47</v>
      </c>
      <c r="K935" t="s" s="2">
        <v>1799</v>
      </c>
      <c r="L935" t="s" s="2">
        <v>618</v>
      </c>
      <c r="M935" s="5">
        <v>660549</v>
      </c>
      <c r="N935" s="5">
        <v>6048587</v>
      </c>
      <c r="O935" t="s" s="2">
        <v>1492</v>
      </c>
      <c r="P935" t="s" s="2">
        <v>1950</v>
      </c>
      <c r="Q935" t="s" s="2">
        <v>1772</v>
      </c>
      <c r="R935" t="s" s="2">
        <f>_xlfn.IFERROR(INDEX('model_byCAP'!$D$2:$D$377,MATCH(Q935,'model_byCAP'!$A$2:$A$377,0)),0)</f>
        <v>1773</v>
      </c>
    </row>
    <row r="936" ht="15.35" customHeight="1">
      <c r="A936" t="s" s="2">
        <v>1951</v>
      </c>
      <c r="B936" s="4">
        <v>40381</v>
      </c>
      <c r="C936" s="5">
        <v>2300</v>
      </c>
      <c r="D936" s="5">
        <v>92.59999999999999</v>
      </c>
      <c r="E936" s="5">
        <v>80</v>
      </c>
      <c r="F936" t="s" s="2">
        <v>19</v>
      </c>
      <c r="G936" t="s" s="2">
        <v>1768</v>
      </c>
      <c r="H936" s="5">
        <v>360</v>
      </c>
      <c r="I936" t="s" s="2">
        <v>463</v>
      </c>
      <c r="J936" t="s" s="2">
        <v>47</v>
      </c>
      <c r="K936" t="s" s="2">
        <v>1799</v>
      </c>
      <c r="L936" t="s" s="2">
        <v>618</v>
      </c>
      <c r="M936" s="5">
        <v>661093</v>
      </c>
      <c r="N936" s="5">
        <v>6048224</v>
      </c>
      <c r="O936" t="s" s="2">
        <v>1492</v>
      </c>
      <c r="P936" t="s" s="2">
        <v>1952</v>
      </c>
      <c r="Q936" t="s" s="2">
        <v>1772</v>
      </c>
      <c r="R936" t="s" s="2">
        <f>_xlfn.IFERROR(INDEX('model_byCAP'!$D$2:$D$377,MATCH(Q936,'model_byCAP'!$A$2:$A$377,0)),0)</f>
        <v>1773</v>
      </c>
    </row>
    <row r="937" ht="15.35" customHeight="1">
      <c r="A937" t="s" s="2">
        <v>1953</v>
      </c>
      <c r="B937" s="4">
        <v>40382</v>
      </c>
      <c r="C937" s="5">
        <v>2300</v>
      </c>
      <c r="D937" s="5">
        <v>92.59999999999999</v>
      </c>
      <c r="E937" s="5">
        <v>80</v>
      </c>
      <c r="F937" t="s" s="2">
        <v>19</v>
      </c>
      <c r="G937" t="s" s="2">
        <v>1768</v>
      </c>
      <c r="H937" s="5">
        <v>360</v>
      </c>
      <c r="I937" t="s" s="2">
        <v>463</v>
      </c>
      <c r="J937" t="s" s="2">
        <v>47</v>
      </c>
      <c r="K937" t="s" s="2">
        <v>1799</v>
      </c>
      <c r="L937" t="s" s="2">
        <v>618</v>
      </c>
      <c r="M937" s="5">
        <v>661696</v>
      </c>
      <c r="N937" s="5">
        <v>6047863</v>
      </c>
      <c r="O937" t="s" s="2">
        <v>1492</v>
      </c>
      <c r="P937" t="s" s="2">
        <v>1954</v>
      </c>
      <c r="Q937" t="s" s="2">
        <v>1772</v>
      </c>
      <c r="R937" t="s" s="2">
        <f>_xlfn.IFERROR(INDEX('model_byCAP'!$D$2:$D$377,MATCH(Q937,'model_byCAP'!$A$2:$A$377,0)),0)</f>
        <v>1773</v>
      </c>
    </row>
    <row r="938" ht="15.35" customHeight="1">
      <c r="A938" t="s" s="2">
        <v>1955</v>
      </c>
      <c r="B938" s="4">
        <v>40382</v>
      </c>
      <c r="C938" s="5">
        <v>2300</v>
      </c>
      <c r="D938" s="5">
        <v>92.59999999999999</v>
      </c>
      <c r="E938" s="5">
        <v>80</v>
      </c>
      <c r="F938" t="s" s="2">
        <v>19</v>
      </c>
      <c r="G938" t="s" s="2">
        <v>1768</v>
      </c>
      <c r="H938" s="5">
        <v>360</v>
      </c>
      <c r="I938" t="s" s="2">
        <v>463</v>
      </c>
      <c r="J938" t="s" s="2">
        <v>47</v>
      </c>
      <c r="K938" t="s" s="2">
        <v>1799</v>
      </c>
      <c r="L938" t="s" s="2">
        <v>618</v>
      </c>
      <c r="M938" s="5">
        <v>662298</v>
      </c>
      <c r="N938" s="5">
        <v>6047514</v>
      </c>
      <c r="O938" t="s" s="2">
        <v>1492</v>
      </c>
      <c r="P938" t="s" s="2">
        <v>1956</v>
      </c>
      <c r="Q938" t="s" s="2">
        <v>1772</v>
      </c>
      <c r="R938" t="s" s="2">
        <f>_xlfn.IFERROR(INDEX('model_byCAP'!$D$2:$D$377,MATCH(Q938,'model_byCAP'!$A$2:$A$377,0)),0)</f>
        <v>1773</v>
      </c>
    </row>
    <row r="939" ht="15.35" customHeight="1">
      <c r="A939" t="s" s="2">
        <v>1957</v>
      </c>
      <c r="B939" s="4">
        <v>40381</v>
      </c>
      <c r="C939" s="5">
        <v>2300</v>
      </c>
      <c r="D939" s="5">
        <v>92.59999999999999</v>
      </c>
      <c r="E939" s="5">
        <v>80</v>
      </c>
      <c r="F939" t="s" s="2">
        <v>19</v>
      </c>
      <c r="G939" t="s" s="2">
        <v>1768</v>
      </c>
      <c r="H939" s="5">
        <v>360</v>
      </c>
      <c r="I939" t="s" s="2">
        <v>463</v>
      </c>
      <c r="J939" t="s" s="2">
        <v>47</v>
      </c>
      <c r="K939" t="s" s="2">
        <v>1799</v>
      </c>
      <c r="L939" t="s" s="2">
        <v>618</v>
      </c>
      <c r="M939" s="5">
        <v>662888</v>
      </c>
      <c r="N939" s="5">
        <v>6047200</v>
      </c>
      <c r="O939" t="s" s="2">
        <v>1492</v>
      </c>
      <c r="P939" t="s" s="2">
        <v>1958</v>
      </c>
      <c r="Q939" t="s" s="2">
        <v>1772</v>
      </c>
      <c r="R939" t="s" s="2">
        <f>_xlfn.IFERROR(INDEX('model_byCAP'!$D$2:$D$377,MATCH(Q939,'model_byCAP'!$A$2:$A$377,0)),0)</f>
        <v>1773</v>
      </c>
    </row>
    <row r="940" ht="15.35" customHeight="1">
      <c r="A940" t="s" s="2">
        <v>1959</v>
      </c>
      <c r="B940" s="4">
        <v>40380</v>
      </c>
      <c r="C940" s="5">
        <v>2300</v>
      </c>
      <c r="D940" s="5">
        <v>92.59999999999999</v>
      </c>
      <c r="E940" s="5">
        <v>80</v>
      </c>
      <c r="F940" t="s" s="2">
        <v>19</v>
      </c>
      <c r="G940" t="s" s="2">
        <v>1768</v>
      </c>
      <c r="H940" s="5">
        <v>360</v>
      </c>
      <c r="I940" t="s" s="2">
        <v>463</v>
      </c>
      <c r="J940" t="s" s="2">
        <v>47</v>
      </c>
      <c r="K940" t="s" s="2">
        <v>1799</v>
      </c>
      <c r="L940" t="s" s="2">
        <v>618</v>
      </c>
      <c r="M940" s="5">
        <v>663512</v>
      </c>
      <c r="N940" s="5">
        <v>6046911</v>
      </c>
      <c r="O940" t="s" s="2">
        <v>1492</v>
      </c>
      <c r="P940" t="s" s="2">
        <v>1960</v>
      </c>
      <c r="Q940" t="s" s="2">
        <v>1772</v>
      </c>
      <c r="R940" t="s" s="2">
        <f>_xlfn.IFERROR(INDEX('model_byCAP'!$D$2:$D$377,MATCH(Q940,'model_byCAP'!$A$2:$A$377,0)),0)</f>
        <v>1773</v>
      </c>
    </row>
    <row r="941" ht="15.35" customHeight="1">
      <c r="A941" t="s" s="2">
        <v>1961</v>
      </c>
      <c r="B941" s="4">
        <v>40386</v>
      </c>
      <c r="C941" s="5">
        <v>2300</v>
      </c>
      <c r="D941" s="5">
        <v>92.59999999999999</v>
      </c>
      <c r="E941" s="5">
        <v>80</v>
      </c>
      <c r="F941" t="s" s="2">
        <v>19</v>
      </c>
      <c r="G941" t="s" s="2">
        <v>1768</v>
      </c>
      <c r="H941" s="5">
        <v>360</v>
      </c>
      <c r="I941" t="s" s="2">
        <v>463</v>
      </c>
      <c r="J941" t="s" s="2">
        <v>47</v>
      </c>
      <c r="K941" t="s" s="2">
        <v>1799</v>
      </c>
      <c r="L941" t="s" s="2">
        <v>618</v>
      </c>
      <c r="M941" s="5">
        <v>664160</v>
      </c>
      <c r="N941" s="5">
        <v>6046611</v>
      </c>
      <c r="O941" t="s" s="2">
        <v>1492</v>
      </c>
      <c r="P941" t="s" s="2">
        <v>1962</v>
      </c>
      <c r="Q941" t="s" s="2">
        <v>1772</v>
      </c>
      <c r="R941" t="s" s="2">
        <f>_xlfn.IFERROR(INDEX('model_byCAP'!$D$2:$D$377,MATCH(Q941,'model_byCAP'!$A$2:$A$377,0)),0)</f>
        <v>1773</v>
      </c>
    </row>
    <row r="942" ht="15.35" customHeight="1">
      <c r="A942" t="s" s="2">
        <v>1963</v>
      </c>
      <c r="B942" s="4">
        <v>40386</v>
      </c>
      <c r="C942" s="5">
        <v>2300</v>
      </c>
      <c r="D942" s="5">
        <v>92.59999999999999</v>
      </c>
      <c r="E942" s="5">
        <v>80</v>
      </c>
      <c r="F942" t="s" s="2">
        <v>19</v>
      </c>
      <c r="G942" t="s" s="2">
        <v>1768</v>
      </c>
      <c r="H942" s="5">
        <v>360</v>
      </c>
      <c r="I942" t="s" s="2">
        <v>463</v>
      </c>
      <c r="J942" t="s" s="2">
        <v>47</v>
      </c>
      <c r="K942" t="s" s="2">
        <v>1799</v>
      </c>
      <c r="L942" t="s" s="2">
        <v>618</v>
      </c>
      <c r="M942" s="5">
        <v>664770</v>
      </c>
      <c r="N942" s="5">
        <v>6046379</v>
      </c>
      <c r="O942" t="s" s="2">
        <v>1492</v>
      </c>
      <c r="P942" t="s" s="2">
        <v>1964</v>
      </c>
      <c r="Q942" t="s" s="2">
        <v>1772</v>
      </c>
      <c r="R942" t="s" s="2">
        <f>_xlfn.IFERROR(INDEX('model_byCAP'!$D$2:$D$377,MATCH(Q942,'model_byCAP'!$A$2:$A$377,0)),0)</f>
        <v>1773</v>
      </c>
    </row>
    <row r="943" ht="15.35" customHeight="1">
      <c r="A943" t="s" s="2">
        <v>1965</v>
      </c>
      <c r="B943" s="4">
        <v>40386</v>
      </c>
      <c r="C943" s="5">
        <v>2300</v>
      </c>
      <c r="D943" s="5">
        <v>92.59999999999999</v>
      </c>
      <c r="E943" s="5">
        <v>80</v>
      </c>
      <c r="F943" t="s" s="2">
        <v>19</v>
      </c>
      <c r="G943" t="s" s="2">
        <v>1768</v>
      </c>
      <c r="H943" s="5">
        <v>360</v>
      </c>
      <c r="I943" t="s" s="2">
        <v>463</v>
      </c>
      <c r="J943" t="s" s="2">
        <v>47</v>
      </c>
      <c r="K943" t="s" s="2">
        <v>1799</v>
      </c>
      <c r="L943" t="s" s="2">
        <v>618</v>
      </c>
      <c r="M943" s="5">
        <v>665428</v>
      </c>
      <c r="N943" s="5">
        <v>6046139</v>
      </c>
      <c r="O943" t="s" s="2">
        <v>1492</v>
      </c>
      <c r="P943" t="s" s="2">
        <v>1966</v>
      </c>
      <c r="Q943" t="s" s="2">
        <v>1772</v>
      </c>
      <c r="R943" t="s" s="2">
        <f>_xlfn.IFERROR(INDEX('model_byCAP'!$D$2:$D$377,MATCH(Q943,'model_byCAP'!$A$2:$A$377,0)),0)</f>
        <v>1773</v>
      </c>
    </row>
    <row r="944" ht="15.35" customHeight="1">
      <c r="A944" t="s" s="2">
        <v>1967</v>
      </c>
      <c r="B944" s="4">
        <v>40386</v>
      </c>
      <c r="C944" s="5">
        <v>2300</v>
      </c>
      <c r="D944" s="5">
        <v>92.59999999999999</v>
      </c>
      <c r="E944" s="5">
        <v>80</v>
      </c>
      <c r="F944" t="s" s="2">
        <v>19</v>
      </c>
      <c r="G944" t="s" s="2">
        <v>1768</v>
      </c>
      <c r="H944" s="5">
        <v>360</v>
      </c>
      <c r="I944" t="s" s="2">
        <v>463</v>
      </c>
      <c r="J944" t="s" s="2">
        <v>47</v>
      </c>
      <c r="K944" t="s" s="2">
        <v>1799</v>
      </c>
      <c r="L944" t="s" s="2">
        <v>618</v>
      </c>
      <c r="M944" s="5">
        <v>666097</v>
      </c>
      <c r="N944" s="5">
        <v>6045922</v>
      </c>
      <c r="O944" t="s" s="2">
        <v>1492</v>
      </c>
      <c r="P944" t="s" s="2">
        <v>1968</v>
      </c>
      <c r="Q944" t="s" s="2">
        <v>1772</v>
      </c>
      <c r="R944" t="s" s="2">
        <f>_xlfn.IFERROR(INDEX('model_byCAP'!$D$2:$D$377,MATCH(Q944,'model_byCAP'!$A$2:$A$377,0)),0)</f>
        <v>1773</v>
      </c>
    </row>
    <row r="945" ht="15.35" customHeight="1">
      <c r="A945" t="s" s="2">
        <v>1969</v>
      </c>
      <c r="B945" s="4">
        <v>40390</v>
      </c>
      <c r="C945" s="5">
        <v>2300</v>
      </c>
      <c r="D945" s="5">
        <v>92.59999999999999</v>
      </c>
      <c r="E945" s="5">
        <v>80</v>
      </c>
      <c r="F945" t="s" s="2">
        <v>19</v>
      </c>
      <c r="G945" t="s" s="2">
        <v>1768</v>
      </c>
      <c r="H945" s="5">
        <v>360</v>
      </c>
      <c r="I945" t="s" s="2">
        <v>463</v>
      </c>
      <c r="J945" t="s" s="2">
        <v>47</v>
      </c>
      <c r="K945" t="s" s="2">
        <v>1799</v>
      </c>
      <c r="L945" t="s" s="2">
        <v>618</v>
      </c>
      <c r="M945" s="5">
        <v>666741</v>
      </c>
      <c r="N945" s="5">
        <v>6045739</v>
      </c>
      <c r="O945" t="s" s="2">
        <v>1492</v>
      </c>
      <c r="P945" t="s" s="2">
        <v>1970</v>
      </c>
      <c r="Q945" t="s" s="2">
        <v>1772</v>
      </c>
      <c r="R945" t="s" s="2">
        <f>_xlfn.IFERROR(INDEX('model_byCAP'!$D$2:$D$377,MATCH(Q945,'model_byCAP'!$A$2:$A$377,0)),0)</f>
        <v>1773</v>
      </c>
    </row>
    <row r="946" ht="15.35" customHeight="1">
      <c r="A946" t="s" s="2">
        <v>1971</v>
      </c>
      <c r="B946" s="4">
        <v>40393</v>
      </c>
      <c r="C946" s="5">
        <v>2300</v>
      </c>
      <c r="D946" s="5">
        <v>92.59999999999999</v>
      </c>
      <c r="E946" s="5">
        <v>80</v>
      </c>
      <c r="F946" t="s" s="2">
        <v>19</v>
      </c>
      <c r="G946" t="s" s="2">
        <v>1768</v>
      </c>
      <c r="H946" s="5">
        <v>360</v>
      </c>
      <c r="I946" t="s" s="2">
        <v>463</v>
      </c>
      <c r="J946" t="s" s="2">
        <v>47</v>
      </c>
      <c r="K946" t="s" s="2">
        <v>1799</v>
      </c>
      <c r="L946" t="s" s="2">
        <v>618</v>
      </c>
      <c r="M946" s="5">
        <v>667407</v>
      </c>
      <c r="N946" s="5">
        <v>6045580</v>
      </c>
      <c r="O946" t="s" s="2">
        <v>1492</v>
      </c>
      <c r="P946" t="s" s="2">
        <v>1972</v>
      </c>
      <c r="Q946" t="s" s="2">
        <v>1772</v>
      </c>
      <c r="R946" t="s" s="2">
        <f>_xlfn.IFERROR(INDEX('model_byCAP'!$D$2:$D$377,MATCH(Q946,'model_byCAP'!$A$2:$A$377,0)),0)</f>
        <v>1773</v>
      </c>
    </row>
    <row r="947" ht="15.35" customHeight="1">
      <c r="A947" t="s" s="2">
        <v>1973</v>
      </c>
      <c r="B947" s="4">
        <v>40393</v>
      </c>
      <c r="C947" s="5">
        <v>2300</v>
      </c>
      <c r="D947" s="5">
        <v>92.59999999999999</v>
      </c>
      <c r="E947" s="5">
        <v>80</v>
      </c>
      <c r="F947" t="s" s="2">
        <v>19</v>
      </c>
      <c r="G947" t="s" s="2">
        <v>1768</v>
      </c>
      <c r="H947" s="5">
        <v>360</v>
      </c>
      <c r="I947" t="s" s="2">
        <v>463</v>
      </c>
      <c r="J947" t="s" s="2">
        <v>47</v>
      </c>
      <c r="K947" t="s" s="2">
        <v>1799</v>
      </c>
      <c r="L947" t="s" s="2">
        <v>618</v>
      </c>
      <c r="M947" s="5">
        <v>668097</v>
      </c>
      <c r="N947" s="5">
        <v>6045435</v>
      </c>
      <c r="O947" t="s" s="2">
        <v>1492</v>
      </c>
      <c r="P947" t="s" s="2">
        <v>1974</v>
      </c>
      <c r="Q947" t="s" s="2">
        <v>1772</v>
      </c>
      <c r="R947" t="s" s="2">
        <f>_xlfn.IFERROR(INDEX('model_byCAP'!$D$2:$D$377,MATCH(Q947,'model_byCAP'!$A$2:$A$377,0)),0)</f>
        <v>1773</v>
      </c>
    </row>
    <row r="948" ht="15.35" customHeight="1">
      <c r="A948" t="s" s="2">
        <v>1975</v>
      </c>
      <c r="B948" s="4">
        <v>40390</v>
      </c>
      <c r="C948" s="5">
        <v>2300</v>
      </c>
      <c r="D948" s="5">
        <v>92.59999999999999</v>
      </c>
      <c r="E948" s="5">
        <v>80</v>
      </c>
      <c r="F948" t="s" s="2">
        <v>19</v>
      </c>
      <c r="G948" t="s" s="2">
        <v>1768</v>
      </c>
      <c r="H948" s="5">
        <v>360</v>
      </c>
      <c r="I948" t="s" s="2">
        <v>463</v>
      </c>
      <c r="J948" t="s" s="2">
        <v>47</v>
      </c>
      <c r="K948" t="s" s="2">
        <v>1799</v>
      </c>
      <c r="L948" t="s" s="2">
        <v>618</v>
      </c>
      <c r="M948" s="5">
        <v>668786</v>
      </c>
      <c r="N948" s="5">
        <v>6045313</v>
      </c>
      <c r="O948" t="s" s="2">
        <v>1492</v>
      </c>
      <c r="P948" t="s" s="2">
        <v>1976</v>
      </c>
      <c r="Q948" t="s" s="2">
        <v>1772</v>
      </c>
      <c r="R948" t="s" s="2">
        <f>_xlfn.IFERROR(INDEX('model_byCAP'!$D$2:$D$377,MATCH(Q948,'model_byCAP'!$A$2:$A$377,0)),0)</f>
        <v>1773</v>
      </c>
    </row>
    <row r="949" ht="15.35" customHeight="1">
      <c r="A949" t="s" s="2">
        <v>1977</v>
      </c>
      <c r="B949" s="4">
        <v>40390</v>
      </c>
      <c r="C949" s="5">
        <v>2300</v>
      </c>
      <c r="D949" s="5">
        <v>92.59999999999999</v>
      </c>
      <c r="E949" s="5">
        <v>80</v>
      </c>
      <c r="F949" t="s" s="2">
        <v>19</v>
      </c>
      <c r="G949" t="s" s="2">
        <v>1768</v>
      </c>
      <c r="H949" s="5">
        <v>360</v>
      </c>
      <c r="I949" t="s" s="2">
        <v>463</v>
      </c>
      <c r="J949" t="s" s="2">
        <v>47</v>
      </c>
      <c r="K949" t="s" s="2">
        <v>1799</v>
      </c>
      <c r="L949" t="s" s="2">
        <v>618</v>
      </c>
      <c r="M949" s="5">
        <v>669354</v>
      </c>
      <c r="N949" s="5">
        <v>6045250</v>
      </c>
      <c r="O949" t="s" s="2">
        <v>1492</v>
      </c>
      <c r="P949" t="s" s="2">
        <v>1978</v>
      </c>
      <c r="Q949" t="s" s="2">
        <v>1772</v>
      </c>
      <c r="R949" t="s" s="2">
        <f>_xlfn.IFERROR(INDEX('model_byCAP'!$D$2:$D$377,MATCH(Q949,'model_byCAP'!$A$2:$A$377,0)),0)</f>
        <v>1773</v>
      </c>
    </row>
    <row r="950" ht="15.35" customHeight="1">
      <c r="A950" t="s" s="2">
        <v>1979</v>
      </c>
      <c r="B950" s="4">
        <v>40158</v>
      </c>
      <c r="C950" s="5">
        <v>2300</v>
      </c>
      <c r="D950" s="5">
        <v>92.59999999999999</v>
      </c>
      <c r="E950" s="5">
        <v>80</v>
      </c>
      <c r="F950" t="s" s="2">
        <v>19</v>
      </c>
      <c r="G950" t="s" s="2">
        <v>1768</v>
      </c>
      <c r="H950" s="5">
        <v>370</v>
      </c>
      <c r="I950" t="s" s="2">
        <v>520</v>
      </c>
      <c r="J950" t="s" s="2">
        <v>22</v>
      </c>
      <c r="K950" t="s" s="2">
        <v>1980</v>
      </c>
      <c r="L950" t="s" s="2">
        <v>1981</v>
      </c>
      <c r="M950" s="5">
        <v>656749.6899999999</v>
      </c>
      <c r="N950" s="5">
        <v>6132051.75</v>
      </c>
      <c r="O950" t="s" s="2">
        <v>305</v>
      </c>
      <c r="P950" s="5">
        <v>60521501</v>
      </c>
      <c r="Q950" t="s" s="2">
        <v>1772</v>
      </c>
      <c r="R950" t="s" s="2">
        <f>_xlfn.IFERROR(INDEX('model_byCAP'!$D$2:$D$377,MATCH(Q950,'model_byCAP'!$A$2:$A$377,0)),0)</f>
        <v>1773</v>
      </c>
    </row>
    <row r="951" ht="15.35" customHeight="1">
      <c r="A951" t="s" s="2">
        <v>1982</v>
      </c>
      <c r="B951" s="4">
        <v>40255</v>
      </c>
      <c r="C951" s="5">
        <v>2300</v>
      </c>
      <c r="D951" s="5">
        <v>93</v>
      </c>
      <c r="E951" s="5">
        <v>80</v>
      </c>
      <c r="F951" t="s" s="2">
        <v>19</v>
      </c>
      <c r="G951" t="s" s="2">
        <v>1768</v>
      </c>
      <c r="H951" s="5">
        <v>370</v>
      </c>
      <c r="I951" t="s" s="2">
        <v>520</v>
      </c>
      <c r="J951" t="s" s="2">
        <v>22</v>
      </c>
      <c r="K951" t="s" s="2">
        <v>1983</v>
      </c>
      <c r="L951" t="s" s="2">
        <v>492</v>
      </c>
      <c r="M951" s="5">
        <v>666142.03</v>
      </c>
      <c r="N951" s="5">
        <v>6128119.77</v>
      </c>
      <c r="O951" t="s" s="2">
        <v>305</v>
      </c>
      <c r="P951" s="5">
        <v>60527267</v>
      </c>
      <c r="Q951" t="s" s="2">
        <v>1772</v>
      </c>
      <c r="R951" t="s" s="2">
        <f>_xlfn.IFERROR(INDEX('model_byCAP'!$D$2:$D$377,MATCH(Q951,'model_byCAP'!$A$2:$A$377,0)),0)</f>
        <v>1773</v>
      </c>
    </row>
    <row r="952" ht="15.35" customHeight="1">
      <c r="A952" t="s" s="2">
        <v>1984</v>
      </c>
      <c r="B952" s="4">
        <v>40156</v>
      </c>
      <c r="C952" s="5">
        <v>2300</v>
      </c>
      <c r="D952" s="5">
        <v>92.59999999999999</v>
      </c>
      <c r="E952" s="5">
        <v>80</v>
      </c>
      <c r="F952" t="s" s="2">
        <v>19</v>
      </c>
      <c r="G952" t="s" s="2">
        <v>1768</v>
      </c>
      <c r="H952" s="5">
        <v>370</v>
      </c>
      <c r="I952" t="s" s="2">
        <v>520</v>
      </c>
      <c r="J952" t="s" s="2">
        <v>22</v>
      </c>
      <c r="K952" t="s" s="2">
        <v>1980</v>
      </c>
      <c r="L952" t="s" s="2">
        <v>1981</v>
      </c>
      <c r="M952" s="5">
        <v>656706.97</v>
      </c>
      <c r="N952" s="5">
        <v>6132340.77</v>
      </c>
      <c r="O952" t="s" s="2">
        <v>305</v>
      </c>
      <c r="P952" s="5">
        <v>60521504</v>
      </c>
      <c r="Q952" t="s" s="2">
        <v>1772</v>
      </c>
      <c r="R952" t="s" s="2">
        <f>_xlfn.IFERROR(INDEX('model_byCAP'!$D$2:$D$377,MATCH(Q952,'model_byCAP'!$A$2:$A$377,0)),0)</f>
        <v>1773</v>
      </c>
    </row>
    <row r="953" ht="15.35" customHeight="1">
      <c r="A953" t="s" s="2">
        <v>1985</v>
      </c>
      <c r="B953" s="4">
        <v>40157</v>
      </c>
      <c r="C953" s="5">
        <v>2300</v>
      </c>
      <c r="D953" s="5">
        <v>92.59999999999999</v>
      </c>
      <c r="E953" s="5">
        <v>80</v>
      </c>
      <c r="F953" t="s" s="2">
        <v>19</v>
      </c>
      <c r="G953" t="s" s="2">
        <v>1768</v>
      </c>
      <c r="H953" s="5">
        <v>370</v>
      </c>
      <c r="I953" t="s" s="2">
        <v>520</v>
      </c>
      <c r="J953" t="s" s="2">
        <v>22</v>
      </c>
      <c r="K953" t="s" s="2">
        <v>1980</v>
      </c>
      <c r="L953" t="s" s="2">
        <v>1981</v>
      </c>
      <c r="M953" s="5">
        <v>656663.29</v>
      </c>
      <c r="N953" s="5">
        <v>6132631.7</v>
      </c>
      <c r="O953" t="s" s="2">
        <v>305</v>
      </c>
      <c r="P953" s="5">
        <v>60520123</v>
      </c>
      <c r="Q953" t="s" s="2">
        <v>1772</v>
      </c>
      <c r="R953" t="s" s="2">
        <f>_xlfn.IFERROR(INDEX('model_byCAP'!$D$2:$D$377,MATCH(Q953,'model_byCAP'!$A$2:$A$377,0)),0)</f>
        <v>1773</v>
      </c>
    </row>
    <row r="954" ht="15.35" customHeight="1">
      <c r="A954" t="s" s="2">
        <v>1986</v>
      </c>
      <c r="B954" s="4">
        <v>40161</v>
      </c>
      <c r="C954" s="5">
        <v>2300</v>
      </c>
      <c r="D954" s="5">
        <v>92.59999999999999</v>
      </c>
      <c r="E954" s="5">
        <v>80</v>
      </c>
      <c r="F954" t="s" s="2">
        <v>19</v>
      </c>
      <c r="G954" t="s" s="2">
        <v>1768</v>
      </c>
      <c r="H954" s="5">
        <v>370</v>
      </c>
      <c r="I954" t="s" s="2">
        <v>520</v>
      </c>
      <c r="J954" t="s" s="2">
        <v>22</v>
      </c>
      <c r="K954" t="s" s="2">
        <v>1980</v>
      </c>
      <c r="L954" t="s" s="2">
        <v>405</v>
      </c>
      <c r="M954" s="5">
        <v>656621.88</v>
      </c>
      <c r="N954" s="5">
        <v>6132921.44</v>
      </c>
      <c r="O954" t="s" s="2">
        <v>305</v>
      </c>
      <c r="P954" s="5">
        <v>60521506</v>
      </c>
      <c r="Q954" t="s" s="2">
        <v>1772</v>
      </c>
      <c r="R954" t="s" s="2">
        <f>_xlfn.IFERROR(INDEX('model_byCAP'!$D$2:$D$377,MATCH(Q954,'model_byCAP'!$A$2:$A$377,0)),0)</f>
        <v>1773</v>
      </c>
    </row>
    <row r="955" ht="15.35" customHeight="1">
      <c r="A955" t="s" s="2">
        <v>1987</v>
      </c>
      <c r="B955" s="4">
        <v>40256</v>
      </c>
      <c r="C955" s="5">
        <v>2300</v>
      </c>
      <c r="D955" s="5">
        <v>93</v>
      </c>
      <c r="E955" s="5">
        <v>80</v>
      </c>
      <c r="F955" t="s" s="2">
        <v>19</v>
      </c>
      <c r="G955" t="s" s="2">
        <v>1768</v>
      </c>
      <c r="H955" s="5">
        <v>370</v>
      </c>
      <c r="I955" t="s" s="2">
        <v>520</v>
      </c>
      <c r="J955" t="s" s="2">
        <v>22</v>
      </c>
      <c r="K955" t="s" s="2">
        <v>1983</v>
      </c>
      <c r="L955" t="s" s="2">
        <v>492</v>
      </c>
      <c r="M955" s="5">
        <v>666226.21</v>
      </c>
      <c r="N955" s="5">
        <v>6127792.85</v>
      </c>
      <c r="O955" t="s" s="2">
        <v>305</v>
      </c>
      <c r="P955" s="5">
        <v>60527271</v>
      </c>
      <c r="Q955" t="s" s="2">
        <v>1772</v>
      </c>
      <c r="R955" t="s" s="2">
        <f>_xlfn.IFERROR(INDEX('model_byCAP'!$D$2:$D$377,MATCH(Q955,'model_byCAP'!$A$2:$A$377,0)),0)</f>
        <v>1773</v>
      </c>
    </row>
    <row r="956" ht="15.35" customHeight="1">
      <c r="A956" t="s" s="2">
        <v>1988</v>
      </c>
      <c r="B956" s="4">
        <v>37789</v>
      </c>
      <c r="C956" s="5">
        <v>2300</v>
      </c>
      <c r="D956" s="5">
        <v>82.40000000000001</v>
      </c>
      <c r="E956" s="5">
        <v>68.8</v>
      </c>
      <c r="F956" t="s" s="2">
        <v>1989</v>
      </c>
      <c r="G956" t="s" s="2">
        <v>1990</v>
      </c>
      <c r="H956" s="5">
        <v>376</v>
      </c>
      <c r="I956" t="s" s="2">
        <v>1991</v>
      </c>
      <c r="J956" t="s" s="2">
        <v>47</v>
      </c>
      <c r="K956" t="s" s="2">
        <v>1992</v>
      </c>
      <c r="L956" t="s" s="2">
        <v>618</v>
      </c>
      <c r="M956" s="5">
        <v>672422.882</v>
      </c>
      <c r="N956" s="5">
        <v>6050158.683</v>
      </c>
      <c r="O956" t="s" s="2">
        <v>1993</v>
      </c>
      <c r="P956" s="5">
        <v>0</v>
      </c>
      <c r="Q956" t="s" s="2">
        <v>1994</v>
      </c>
      <c r="R956" t="s" s="2">
        <f>_xlfn.IFERROR(INDEX('model_byCAP'!$D$2:$D$377,MATCH(Q956,'model_byCAP'!$A$2:$A$377,0)),0)</f>
        <v>1995</v>
      </c>
    </row>
    <row r="957" ht="15.35" customHeight="1">
      <c r="A957" t="s" s="2">
        <v>1996</v>
      </c>
      <c r="B957" s="4">
        <v>37789</v>
      </c>
      <c r="C957" s="5">
        <v>2300</v>
      </c>
      <c r="D957" s="5">
        <v>82.40000000000001</v>
      </c>
      <c r="E957" s="5">
        <v>68.8</v>
      </c>
      <c r="F957" t="s" s="2">
        <v>1989</v>
      </c>
      <c r="G957" t="s" s="2">
        <v>1990</v>
      </c>
      <c r="H957" s="5">
        <v>376</v>
      </c>
      <c r="I957" t="s" s="2">
        <v>1991</v>
      </c>
      <c r="J957" t="s" s="2">
        <v>47</v>
      </c>
      <c r="K957" t="s" s="2">
        <v>1992</v>
      </c>
      <c r="L957" t="s" s="2">
        <v>618</v>
      </c>
      <c r="M957" s="5">
        <v>672441.121</v>
      </c>
      <c r="N957" s="5">
        <v>6049678.163</v>
      </c>
      <c r="O957" t="s" s="2">
        <v>1993</v>
      </c>
      <c r="P957" s="5">
        <v>0</v>
      </c>
      <c r="Q957" t="s" s="2">
        <v>1994</v>
      </c>
      <c r="R957" t="s" s="2">
        <f>_xlfn.IFERROR(INDEX('model_byCAP'!$D$2:$D$377,MATCH(Q957,'model_byCAP'!$A$2:$A$377,0)),0)</f>
        <v>1995</v>
      </c>
    </row>
    <row r="958" ht="15.35" customHeight="1">
      <c r="A958" t="s" s="2">
        <v>1997</v>
      </c>
      <c r="B958" s="4">
        <v>37789</v>
      </c>
      <c r="C958" s="5">
        <v>2300</v>
      </c>
      <c r="D958" s="5">
        <v>82.40000000000001</v>
      </c>
      <c r="E958" s="5">
        <v>68.8</v>
      </c>
      <c r="F958" t="s" s="2">
        <v>1989</v>
      </c>
      <c r="G958" t="s" s="2">
        <v>1990</v>
      </c>
      <c r="H958" s="5">
        <v>376</v>
      </c>
      <c r="I958" t="s" s="2">
        <v>1991</v>
      </c>
      <c r="J958" t="s" s="2">
        <v>47</v>
      </c>
      <c r="K958" t="s" s="2">
        <v>1992</v>
      </c>
      <c r="L958" t="s" s="2">
        <v>618</v>
      </c>
      <c r="M958" s="5">
        <v>672459.403</v>
      </c>
      <c r="N958" s="5">
        <v>6049196.531</v>
      </c>
      <c r="O958" t="s" s="2">
        <v>1993</v>
      </c>
      <c r="P958" s="5">
        <v>0</v>
      </c>
      <c r="Q958" t="s" s="2">
        <v>1994</v>
      </c>
      <c r="R958" t="s" s="2">
        <f>_xlfn.IFERROR(INDEX('model_byCAP'!$D$2:$D$377,MATCH(Q958,'model_byCAP'!$A$2:$A$377,0)),0)</f>
        <v>1995</v>
      </c>
    </row>
    <row r="959" ht="15.35" customHeight="1">
      <c r="A959" t="s" s="2">
        <v>1998</v>
      </c>
      <c r="B959" s="4">
        <v>37789</v>
      </c>
      <c r="C959" s="5">
        <v>2300</v>
      </c>
      <c r="D959" s="5">
        <v>82.40000000000001</v>
      </c>
      <c r="E959" s="5">
        <v>68.8</v>
      </c>
      <c r="F959" t="s" s="2">
        <v>1989</v>
      </c>
      <c r="G959" t="s" s="2">
        <v>1990</v>
      </c>
      <c r="H959" s="5">
        <v>376</v>
      </c>
      <c r="I959" t="s" s="2">
        <v>1991</v>
      </c>
      <c r="J959" t="s" s="2">
        <v>47</v>
      </c>
      <c r="K959" t="s" s="2">
        <v>1992</v>
      </c>
      <c r="L959" t="s" s="2">
        <v>618</v>
      </c>
      <c r="M959" s="5">
        <v>672477.683</v>
      </c>
      <c r="N959" s="5">
        <v>6048714.899</v>
      </c>
      <c r="O959" t="s" s="2">
        <v>1993</v>
      </c>
      <c r="P959" s="5">
        <v>0</v>
      </c>
      <c r="Q959" t="s" s="2">
        <v>1994</v>
      </c>
      <c r="R959" t="s" s="2">
        <f>_xlfn.IFERROR(INDEX('model_byCAP'!$D$2:$D$377,MATCH(Q959,'model_byCAP'!$A$2:$A$377,0)),0)</f>
        <v>1995</v>
      </c>
    </row>
    <row r="960" ht="15.35" customHeight="1">
      <c r="A960" t="s" s="2">
        <v>1999</v>
      </c>
      <c r="B960" s="4">
        <v>37789</v>
      </c>
      <c r="C960" s="5">
        <v>2300</v>
      </c>
      <c r="D960" s="5">
        <v>82.40000000000001</v>
      </c>
      <c r="E960" s="5">
        <v>68.8</v>
      </c>
      <c r="F960" t="s" s="2">
        <v>1989</v>
      </c>
      <c r="G960" t="s" s="2">
        <v>1990</v>
      </c>
      <c r="H960" s="5">
        <v>376</v>
      </c>
      <c r="I960" t="s" s="2">
        <v>1991</v>
      </c>
      <c r="J960" t="s" s="2">
        <v>47</v>
      </c>
      <c r="K960" t="s" s="2">
        <v>1992</v>
      </c>
      <c r="L960" t="s" s="2">
        <v>618</v>
      </c>
      <c r="M960" s="5">
        <v>672495.3149999999</v>
      </c>
      <c r="N960" s="5">
        <v>6048233.243</v>
      </c>
      <c r="O960" t="s" s="2">
        <v>1993</v>
      </c>
      <c r="P960" s="5">
        <v>0</v>
      </c>
      <c r="Q960" t="s" s="2">
        <v>1994</v>
      </c>
      <c r="R960" t="s" s="2">
        <f>_xlfn.IFERROR(INDEX('model_byCAP'!$D$2:$D$377,MATCH(Q960,'model_byCAP'!$A$2:$A$377,0)),0)</f>
        <v>1995</v>
      </c>
    </row>
    <row r="961" ht="15.35" customHeight="1">
      <c r="A961" t="s" s="2">
        <v>2000</v>
      </c>
      <c r="B961" s="4">
        <v>37789</v>
      </c>
      <c r="C961" s="5">
        <v>2300</v>
      </c>
      <c r="D961" s="5">
        <v>82.40000000000001</v>
      </c>
      <c r="E961" s="5">
        <v>68.8</v>
      </c>
      <c r="F961" t="s" s="2">
        <v>1989</v>
      </c>
      <c r="G961" t="s" s="2">
        <v>1990</v>
      </c>
      <c r="H961" s="5">
        <v>376</v>
      </c>
      <c r="I961" t="s" s="2">
        <v>1991</v>
      </c>
      <c r="J961" t="s" s="2">
        <v>47</v>
      </c>
      <c r="K961" t="s" s="2">
        <v>1992</v>
      </c>
      <c r="L961" t="s" s="2">
        <v>618</v>
      </c>
      <c r="M961" s="5">
        <v>672513.551</v>
      </c>
      <c r="N961" s="5">
        <v>6047752.724</v>
      </c>
      <c r="O961" t="s" s="2">
        <v>1993</v>
      </c>
      <c r="P961" s="5">
        <v>0</v>
      </c>
      <c r="Q961" t="s" s="2">
        <v>1994</v>
      </c>
      <c r="R961" t="s" s="2">
        <f>_xlfn.IFERROR(INDEX('model_byCAP'!$D$2:$D$377,MATCH(Q961,'model_byCAP'!$A$2:$A$377,0)),0)</f>
        <v>1995</v>
      </c>
    </row>
    <row r="962" ht="15.35" customHeight="1">
      <c r="A962" t="s" s="2">
        <v>2001</v>
      </c>
      <c r="B962" s="4">
        <v>37789</v>
      </c>
      <c r="C962" s="5">
        <v>2300</v>
      </c>
      <c r="D962" s="5">
        <v>82.40000000000001</v>
      </c>
      <c r="E962" s="5">
        <v>68.8</v>
      </c>
      <c r="F962" t="s" s="2">
        <v>1989</v>
      </c>
      <c r="G962" t="s" s="2">
        <v>1990</v>
      </c>
      <c r="H962" s="5">
        <v>376</v>
      </c>
      <c r="I962" t="s" s="2">
        <v>1991</v>
      </c>
      <c r="J962" t="s" s="2">
        <v>47</v>
      </c>
      <c r="K962" t="s" s="2">
        <v>1992</v>
      </c>
      <c r="L962" t="s" s="2">
        <v>618</v>
      </c>
      <c r="M962" s="5">
        <v>672531.828</v>
      </c>
      <c r="N962" s="5">
        <v>6047271.093</v>
      </c>
      <c r="O962" t="s" s="2">
        <v>1993</v>
      </c>
      <c r="P962" s="5">
        <v>0</v>
      </c>
      <c r="Q962" t="s" s="2">
        <v>1994</v>
      </c>
      <c r="R962" t="s" s="2">
        <f>_xlfn.IFERROR(INDEX('model_byCAP'!$D$2:$D$377,MATCH(Q962,'model_byCAP'!$A$2:$A$377,0)),0)</f>
        <v>1995</v>
      </c>
    </row>
    <row r="963" ht="15.35" customHeight="1">
      <c r="A963" t="s" s="2">
        <v>2002</v>
      </c>
      <c r="B963" s="4">
        <v>37789</v>
      </c>
      <c r="C963" s="5">
        <v>2300</v>
      </c>
      <c r="D963" s="5">
        <v>82.40000000000001</v>
      </c>
      <c r="E963" s="5">
        <v>68.8</v>
      </c>
      <c r="F963" t="s" s="2">
        <v>1989</v>
      </c>
      <c r="G963" t="s" s="2">
        <v>1990</v>
      </c>
      <c r="H963" s="5">
        <v>376</v>
      </c>
      <c r="I963" t="s" s="2">
        <v>1991</v>
      </c>
      <c r="J963" t="s" s="2">
        <v>47</v>
      </c>
      <c r="K963" t="s" s="2">
        <v>1992</v>
      </c>
      <c r="L963" t="s" s="2">
        <v>618</v>
      </c>
      <c r="M963" s="5">
        <v>672550.1040000001</v>
      </c>
      <c r="N963" s="5">
        <v>6046789.462</v>
      </c>
      <c r="O963" t="s" s="2">
        <v>1993</v>
      </c>
      <c r="P963" s="5">
        <v>0</v>
      </c>
      <c r="Q963" t="s" s="2">
        <v>1994</v>
      </c>
      <c r="R963" t="s" s="2">
        <f>_xlfn.IFERROR(INDEX('model_byCAP'!$D$2:$D$377,MATCH(Q963,'model_byCAP'!$A$2:$A$377,0)),0)</f>
        <v>1995</v>
      </c>
    </row>
    <row r="964" ht="15.35" customHeight="1">
      <c r="A964" t="s" s="2">
        <v>2003</v>
      </c>
      <c r="B964" s="4">
        <v>37789</v>
      </c>
      <c r="C964" s="5">
        <v>2300</v>
      </c>
      <c r="D964" s="5">
        <v>82.40000000000001</v>
      </c>
      <c r="E964" s="5">
        <v>68.8</v>
      </c>
      <c r="F964" t="s" s="2">
        <v>1989</v>
      </c>
      <c r="G964" t="s" s="2">
        <v>1990</v>
      </c>
      <c r="H964" s="5">
        <v>376</v>
      </c>
      <c r="I964" t="s" s="2">
        <v>1991</v>
      </c>
      <c r="J964" t="s" s="2">
        <v>47</v>
      </c>
      <c r="K964" t="s" s="2">
        <v>1992</v>
      </c>
      <c r="L964" t="s" s="2">
        <v>618</v>
      </c>
      <c r="M964" s="5">
        <v>672568.379</v>
      </c>
      <c r="N964" s="5">
        <v>6046307.831</v>
      </c>
      <c r="O964" t="s" s="2">
        <v>1993</v>
      </c>
      <c r="P964" s="5">
        <v>0</v>
      </c>
      <c r="Q964" t="s" s="2">
        <v>1994</v>
      </c>
      <c r="R964" t="s" s="2">
        <f>_xlfn.IFERROR(INDEX('model_byCAP'!$D$2:$D$377,MATCH(Q964,'model_byCAP'!$A$2:$A$377,0)),0)</f>
        <v>1995</v>
      </c>
    </row>
    <row r="965" ht="15.35" customHeight="1">
      <c r="A965" t="s" s="2">
        <v>2004</v>
      </c>
      <c r="B965" s="4">
        <v>37789</v>
      </c>
      <c r="C965" s="5">
        <v>2300</v>
      </c>
      <c r="D965" s="5">
        <v>82.40000000000001</v>
      </c>
      <c r="E965" s="5">
        <v>68.8</v>
      </c>
      <c r="F965" t="s" s="2">
        <v>1989</v>
      </c>
      <c r="G965" t="s" s="2">
        <v>1990</v>
      </c>
      <c r="H965" s="5">
        <v>376</v>
      </c>
      <c r="I965" t="s" s="2">
        <v>1991</v>
      </c>
      <c r="J965" t="s" s="2">
        <v>47</v>
      </c>
      <c r="K965" t="s" s="2">
        <v>1992</v>
      </c>
      <c r="L965" t="s" s="2">
        <v>618</v>
      </c>
      <c r="M965" s="5">
        <v>673281.664</v>
      </c>
      <c r="N965" s="5">
        <v>6050042.097</v>
      </c>
      <c r="O965" t="s" s="2">
        <v>1993</v>
      </c>
      <c r="P965" s="5">
        <v>0</v>
      </c>
      <c r="Q965" t="s" s="2">
        <v>1994</v>
      </c>
      <c r="R965" t="s" s="2">
        <f>_xlfn.IFERROR(INDEX('model_byCAP'!$D$2:$D$377,MATCH(Q965,'model_byCAP'!$A$2:$A$377,0)),0)</f>
        <v>1995</v>
      </c>
    </row>
    <row r="966" ht="15.35" customHeight="1">
      <c r="A966" t="s" s="2">
        <v>2005</v>
      </c>
      <c r="B966" s="4">
        <v>37789</v>
      </c>
      <c r="C966" s="5">
        <v>2300</v>
      </c>
      <c r="D966" s="5">
        <v>82.40000000000001</v>
      </c>
      <c r="E966" s="5">
        <v>68.8</v>
      </c>
      <c r="F966" t="s" s="2">
        <v>1989</v>
      </c>
      <c r="G966" t="s" s="2">
        <v>1990</v>
      </c>
      <c r="H966" s="5">
        <v>376</v>
      </c>
      <c r="I966" t="s" s="2">
        <v>1991</v>
      </c>
      <c r="J966" t="s" s="2">
        <v>47</v>
      </c>
      <c r="K966" t="s" s="2">
        <v>1992</v>
      </c>
      <c r="L966" t="s" s="2">
        <v>618</v>
      </c>
      <c r="M966" s="5">
        <v>673300.036</v>
      </c>
      <c r="N966" s="5">
        <v>6049560.466</v>
      </c>
      <c r="O966" t="s" s="2">
        <v>1993</v>
      </c>
      <c r="P966" s="5">
        <v>0</v>
      </c>
      <c r="Q966" t="s" s="2">
        <v>1994</v>
      </c>
      <c r="R966" t="s" s="2">
        <f>_xlfn.IFERROR(INDEX('model_byCAP'!$D$2:$D$377,MATCH(Q966,'model_byCAP'!$A$2:$A$377,0)),0)</f>
        <v>1995</v>
      </c>
    </row>
    <row r="967" ht="15.35" customHeight="1">
      <c r="A967" t="s" s="2">
        <v>2006</v>
      </c>
      <c r="B967" s="4">
        <v>37789</v>
      </c>
      <c r="C967" s="5">
        <v>2300</v>
      </c>
      <c r="D967" s="5">
        <v>82.40000000000001</v>
      </c>
      <c r="E967" s="5">
        <v>68.8</v>
      </c>
      <c r="F967" t="s" s="2">
        <v>1989</v>
      </c>
      <c r="G967" t="s" s="2">
        <v>1990</v>
      </c>
      <c r="H967" s="5">
        <v>376</v>
      </c>
      <c r="I967" t="s" s="2">
        <v>1991</v>
      </c>
      <c r="J967" t="s" s="2">
        <v>47</v>
      </c>
      <c r="K967" t="s" s="2">
        <v>1992</v>
      </c>
      <c r="L967" t="s" s="2">
        <v>618</v>
      </c>
      <c r="M967" s="5">
        <v>673318.365</v>
      </c>
      <c r="N967" s="5">
        <v>6049079.948</v>
      </c>
      <c r="O967" t="s" s="2">
        <v>1993</v>
      </c>
      <c r="P967" s="5">
        <v>0</v>
      </c>
      <c r="Q967" t="s" s="2">
        <v>1994</v>
      </c>
      <c r="R967" t="s" s="2">
        <f>_xlfn.IFERROR(INDEX('model_byCAP'!$D$2:$D$377,MATCH(Q967,'model_byCAP'!$A$2:$A$377,0)),0)</f>
        <v>1995</v>
      </c>
    </row>
    <row r="968" ht="15.35" customHeight="1">
      <c r="A968" t="s" s="2">
        <v>2007</v>
      </c>
      <c r="B968" s="4">
        <v>37789</v>
      </c>
      <c r="C968" s="5">
        <v>2300</v>
      </c>
      <c r="D968" s="5">
        <v>82.40000000000001</v>
      </c>
      <c r="E968" s="5">
        <v>68.8</v>
      </c>
      <c r="F968" t="s" s="2">
        <v>1989</v>
      </c>
      <c r="G968" t="s" s="2">
        <v>1990</v>
      </c>
      <c r="H968" s="5">
        <v>376</v>
      </c>
      <c r="I968" t="s" s="2">
        <v>1991</v>
      </c>
      <c r="J968" t="s" s="2">
        <v>47</v>
      </c>
      <c r="K968" t="s" s="2">
        <v>1992</v>
      </c>
      <c r="L968" t="s" s="2">
        <v>618</v>
      </c>
      <c r="M968" s="5">
        <v>673336.736</v>
      </c>
      <c r="N968" s="5">
        <v>6048598.318</v>
      </c>
      <c r="O968" t="s" s="2">
        <v>1993</v>
      </c>
      <c r="P968" s="5">
        <v>0</v>
      </c>
      <c r="Q968" t="s" s="2">
        <v>1994</v>
      </c>
      <c r="R968" t="s" s="2">
        <f>_xlfn.IFERROR(INDEX('model_byCAP'!$D$2:$D$377,MATCH(Q968,'model_byCAP'!$A$2:$A$377,0)),0)</f>
        <v>1995</v>
      </c>
    </row>
    <row r="969" ht="15.35" customHeight="1">
      <c r="A969" t="s" s="2">
        <v>2008</v>
      </c>
      <c r="B969" s="4">
        <v>37789</v>
      </c>
      <c r="C969" s="5">
        <v>2300</v>
      </c>
      <c r="D969" s="5">
        <v>82.40000000000001</v>
      </c>
      <c r="E969" s="5">
        <v>68.8</v>
      </c>
      <c r="F969" t="s" s="2">
        <v>1989</v>
      </c>
      <c r="G969" t="s" s="2">
        <v>1990</v>
      </c>
      <c r="H969" s="5">
        <v>376</v>
      </c>
      <c r="I969" t="s" s="2">
        <v>1991</v>
      </c>
      <c r="J969" t="s" s="2">
        <v>47</v>
      </c>
      <c r="K969" t="s" s="2">
        <v>1992</v>
      </c>
      <c r="L969" t="s" s="2">
        <v>618</v>
      </c>
      <c r="M969" s="5">
        <v>673355.105</v>
      </c>
      <c r="N969" s="5">
        <v>6048116.688</v>
      </c>
      <c r="O969" t="s" s="2">
        <v>1993</v>
      </c>
      <c r="P969" s="5">
        <v>0</v>
      </c>
      <c r="Q969" t="s" s="2">
        <v>1994</v>
      </c>
      <c r="R969" t="s" s="2">
        <f>_xlfn.IFERROR(INDEX('model_byCAP'!$D$2:$D$377,MATCH(Q969,'model_byCAP'!$A$2:$A$377,0)),0)</f>
        <v>1995</v>
      </c>
    </row>
    <row r="970" ht="15.35" customHeight="1">
      <c r="A970" t="s" s="2">
        <v>2009</v>
      </c>
      <c r="B970" s="4">
        <v>37789</v>
      </c>
      <c r="C970" s="5">
        <v>2300</v>
      </c>
      <c r="D970" s="5">
        <v>82.40000000000001</v>
      </c>
      <c r="E970" s="5">
        <v>68.8</v>
      </c>
      <c r="F970" t="s" s="2">
        <v>1989</v>
      </c>
      <c r="G970" t="s" s="2">
        <v>1990</v>
      </c>
      <c r="H970" s="5">
        <v>376</v>
      </c>
      <c r="I970" t="s" s="2">
        <v>1991</v>
      </c>
      <c r="J970" t="s" s="2">
        <v>47</v>
      </c>
      <c r="K970" t="s" s="2">
        <v>1992</v>
      </c>
      <c r="L970" t="s" s="2">
        <v>618</v>
      </c>
      <c r="M970" s="5">
        <v>673373.473</v>
      </c>
      <c r="N970" s="5">
        <v>6047635.058</v>
      </c>
      <c r="O970" t="s" s="2">
        <v>1993</v>
      </c>
      <c r="P970" s="5">
        <v>0</v>
      </c>
      <c r="Q970" t="s" s="2">
        <v>1994</v>
      </c>
      <c r="R970" t="s" s="2">
        <f>_xlfn.IFERROR(INDEX('model_byCAP'!$D$2:$D$377,MATCH(Q970,'model_byCAP'!$A$2:$A$377,0)),0)</f>
        <v>1995</v>
      </c>
    </row>
    <row r="971" ht="15.35" customHeight="1">
      <c r="A971" t="s" s="2">
        <v>2010</v>
      </c>
      <c r="B971" s="4">
        <v>37789</v>
      </c>
      <c r="C971" s="5">
        <v>2300</v>
      </c>
      <c r="D971" s="5">
        <v>82.40000000000001</v>
      </c>
      <c r="E971" s="5">
        <v>68.8</v>
      </c>
      <c r="F971" t="s" s="2">
        <v>1989</v>
      </c>
      <c r="G971" t="s" s="2">
        <v>1990</v>
      </c>
      <c r="H971" s="5">
        <v>376</v>
      </c>
      <c r="I971" t="s" s="2">
        <v>1991</v>
      </c>
      <c r="J971" t="s" s="2">
        <v>47</v>
      </c>
      <c r="K971" t="s" s="2">
        <v>1992</v>
      </c>
      <c r="L971" t="s" s="2">
        <v>618</v>
      </c>
      <c r="M971" s="5">
        <v>673391.84</v>
      </c>
      <c r="N971" s="5">
        <v>6047153.429</v>
      </c>
      <c r="O971" t="s" s="2">
        <v>1993</v>
      </c>
      <c r="P971" s="5">
        <v>0</v>
      </c>
      <c r="Q971" t="s" s="2">
        <v>1994</v>
      </c>
      <c r="R971" t="s" s="2">
        <f>_xlfn.IFERROR(INDEX('model_byCAP'!$D$2:$D$377,MATCH(Q971,'model_byCAP'!$A$2:$A$377,0)),0)</f>
        <v>1995</v>
      </c>
    </row>
    <row r="972" ht="15.35" customHeight="1">
      <c r="A972" t="s" s="2">
        <v>2011</v>
      </c>
      <c r="B972" s="4">
        <v>37789</v>
      </c>
      <c r="C972" s="5">
        <v>2300</v>
      </c>
      <c r="D972" s="5">
        <v>82.40000000000001</v>
      </c>
      <c r="E972" s="5">
        <v>68.8</v>
      </c>
      <c r="F972" t="s" s="2">
        <v>1989</v>
      </c>
      <c r="G972" t="s" s="2">
        <v>1990</v>
      </c>
      <c r="H972" s="5">
        <v>376</v>
      </c>
      <c r="I972" t="s" s="2">
        <v>1991</v>
      </c>
      <c r="J972" t="s" s="2">
        <v>47</v>
      </c>
      <c r="K972" t="s" s="2">
        <v>1992</v>
      </c>
      <c r="L972" t="s" s="2">
        <v>618</v>
      </c>
      <c r="M972" s="5">
        <v>673410.164</v>
      </c>
      <c r="N972" s="5">
        <v>6046672.912</v>
      </c>
      <c r="O972" t="s" s="2">
        <v>1993</v>
      </c>
      <c r="P972" s="6"/>
      <c r="Q972" t="s" s="2">
        <v>1994</v>
      </c>
      <c r="R972" t="s" s="2">
        <f>_xlfn.IFERROR(INDEX('model_byCAP'!$D$2:$D$377,MATCH(Q972,'model_byCAP'!$A$2:$A$377,0)),0)</f>
        <v>1995</v>
      </c>
    </row>
    <row r="973" ht="15.35" customHeight="1">
      <c r="A973" t="s" s="2">
        <v>2012</v>
      </c>
      <c r="B973" s="4">
        <v>37789</v>
      </c>
      <c r="C973" s="5">
        <v>2300</v>
      </c>
      <c r="D973" s="5">
        <v>82.40000000000001</v>
      </c>
      <c r="E973" s="5">
        <v>68.8</v>
      </c>
      <c r="F973" t="s" s="2">
        <v>1989</v>
      </c>
      <c r="G973" t="s" s="2">
        <v>1990</v>
      </c>
      <c r="H973" s="5">
        <v>376</v>
      </c>
      <c r="I973" t="s" s="2">
        <v>1991</v>
      </c>
      <c r="J973" t="s" s="2">
        <v>47</v>
      </c>
      <c r="K973" t="s" s="2">
        <v>1992</v>
      </c>
      <c r="L973" t="s" s="2">
        <v>618</v>
      </c>
      <c r="M973" s="5">
        <v>673428.529</v>
      </c>
      <c r="N973" s="5">
        <v>6046191.284</v>
      </c>
      <c r="O973" t="s" s="2">
        <v>1993</v>
      </c>
      <c r="P973" s="5">
        <v>0</v>
      </c>
      <c r="Q973" t="s" s="2">
        <v>1994</v>
      </c>
      <c r="R973" t="s" s="2">
        <f>_xlfn.IFERROR(INDEX('model_byCAP'!$D$2:$D$377,MATCH(Q973,'model_byCAP'!$A$2:$A$377,0)),0)</f>
        <v>1995</v>
      </c>
    </row>
    <row r="974" ht="15.35" customHeight="1">
      <c r="A974" t="s" s="2">
        <v>2013</v>
      </c>
      <c r="B974" s="4">
        <v>37789</v>
      </c>
      <c r="C974" s="5">
        <v>2300</v>
      </c>
      <c r="D974" s="5">
        <v>82.40000000000001</v>
      </c>
      <c r="E974" s="5">
        <v>68.8</v>
      </c>
      <c r="F974" t="s" s="2">
        <v>1989</v>
      </c>
      <c r="G974" t="s" s="2">
        <v>1990</v>
      </c>
      <c r="H974" s="5">
        <v>376</v>
      </c>
      <c r="I974" t="s" s="2">
        <v>1991</v>
      </c>
      <c r="J974" t="s" s="2">
        <v>47</v>
      </c>
      <c r="K974" t="s" s="2">
        <v>1992</v>
      </c>
      <c r="L974" t="s" s="2">
        <v>618</v>
      </c>
      <c r="M974" s="5">
        <v>674140.5</v>
      </c>
      <c r="N974" s="5">
        <v>6049925.672</v>
      </c>
      <c r="O974" t="s" s="2">
        <v>1993</v>
      </c>
      <c r="P974" s="5">
        <v>0</v>
      </c>
      <c r="Q974" t="s" s="2">
        <v>1994</v>
      </c>
      <c r="R974" t="s" s="2">
        <f>_xlfn.IFERROR(INDEX('model_byCAP'!$D$2:$D$377,MATCH(Q974,'model_byCAP'!$A$2:$A$377,0)),0)</f>
        <v>1995</v>
      </c>
    </row>
    <row r="975" ht="15.35" customHeight="1">
      <c r="A975" t="s" s="2">
        <v>2014</v>
      </c>
      <c r="B975" s="4">
        <v>37789</v>
      </c>
      <c r="C975" s="5">
        <v>2300</v>
      </c>
      <c r="D975" s="5">
        <v>82.40000000000001</v>
      </c>
      <c r="E975" s="5">
        <v>68.8</v>
      </c>
      <c r="F975" t="s" s="2">
        <v>1989</v>
      </c>
      <c r="G975" t="s" s="2">
        <v>1990</v>
      </c>
      <c r="H975" s="5">
        <v>376</v>
      </c>
      <c r="I975" t="s" s="2">
        <v>1991</v>
      </c>
      <c r="J975" t="s" s="2">
        <v>47</v>
      </c>
      <c r="K975" t="s" s="2">
        <v>1992</v>
      </c>
      <c r="L975" t="s" s="2">
        <v>618</v>
      </c>
      <c r="M975" s="5">
        <v>674158.9620000001</v>
      </c>
      <c r="N975" s="5">
        <v>6049444.043</v>
      </c>
      <c r="O975" t="s" s="2">
        <v>1993</v>
      </c>
      <c r="P975" s="5">
        <v>0</v>
      </c>
      <c r="Q975" t="s" s="2">
        <v>1994</v>
      </c>
      <c r="R975" t="s" s="2">
        <f>_xlfn.IFERROR(INDEX('model_byCAP'!$D$2:$D$377,MATCH(Q975,'model_byCAP'!$A$2:$A$377,0)),0)</f>
        <v>1995</v>
      </c>
    </row>
    <row r="976" ht="15.35" customHeight="1">
      <c r="A976" t="s" s="2">
        <v>2015</v>
      </c>
      <c r="B976" s="4">
        <v>37789</v>
      </c>
      <c r="C976" s="5">
        <v>2300</v>
      </c>
      <c r="D976" s="5">
        <v>82.40000000000001</v>
      </c>
      <c r="E976" s="5">
        <v>68.8</v>
      </c>
      <c r="F976" t="s" s="2">
        <v>1989</v>
      </c>
      <c r="G976" t="s" s="2">
        <v>1990</v>
      </c>
      <c r="H976" s="5">
        <v>376</v>
      </c>
      <c r="I976" t="s" s="2">
        <v>1991</v>
      </c>
      <c r="J976" t="s" s="2">
        <v>47</v>
      </c>
      <c r="K976" t="s" s="2">
        <v>1992</v>
      </c>
      <c r="L976" t="s" s="2">
        <v>618</v>
      </c>
      <c r="M976" s="5">
        <v>674177.424</v>
      </c>
      <c r="N976" s="5">
        <v>6048962.414</v>
      </c>
      <c r="O976" t="s" s="2">
        <v>1993</v>
      </c>
      <c r="P976" s="5">
        <v>0</v>
      </c>
      <c r="Q976" t="s" s="2">
        <v>1994</v>
      </c>
      <c r="R976" t="s" s="2">
        <f>_xlfn.IFERROR(INDEX('model_byCAP'!$D$2:$D$377,MATCH(Q976,'model_byCAP'!$A$2:$A$377,0)),0)</f>
        <v>1995</v>
      </c>
    </row>
    <row r="977" ht="15.35" customHeight="1">
      <c r="A977" t="s" s="2">
        <v>2016</v>
      </c>
      <c r="B977" s="4">
        <v>37789</v>
      </c>
      <c r="C977" s="5">
        <v>2300</v>
      </c>
      <c r="D977" s="5">
        <v>82.40000000000001</v>
      </c>
      <c r="E977" s="5">
        <v>68.8</v>
      </c>
      <c r="F977" t="s" s="2">
        <v>1989</v>
      </c>
      <c r="G977" t="s" s="2">
        <v>1990</v>
      </c>
      <c r="H977" s="5">
        <v>376</v>
      </c>
      <c r="I977" t="s" s="2">
        <v>1991</v>
      </c>
      <c r="J977" t="s" s="2">
        <v>47</v>
      </c>
      <c r="K977" t="s" s="2">
        <v>1992</v>
      </c>
      <c r="L977" t="s" s="2">
        <v>618</v>
      </c>
      <c r="M977" s="5">
        <v>674195.884</v>
      </c>
      <c r="N977" s="5">
        <v>6048480.786</v>
      </c>
      <c r="O977" t="s" s="2">
        <v>1993</v>
      </c>
      <c r="P977" s="5">
        <v>0</v>
      </c>
      <c r="Q977" t="s" s="2">
        <v>1994</v>
      </c>
      <c r="R977" t="s" s="2">
        <f>_xlfn.IFERROR(INDEX('model_byCAP'!$D$2:$D$377,MATCH(Q977,'model_byCAP'!$A$2:$A$377,0)),0)</f>
        <v>1995</v>
      </c>
    </row>
    <row r="978" ht="15.35" customHeight="1">
      <c r="A978" t="s" s="2">
        <v>2017</v>
      </c>
      <c r="B978" s="4">
        <v>37789</v>
      </c>
      <c r="C978" s="5">
        <v>2300</v>
      </c>
      <c r="D978" s="5">
        <v>82.40000000000001</v>
      </c>
      <c r="E978" s="5">
        <v>68.8</v>
      </c>
      <c r="F978" t="s" s="2">
        <v>1989</v>
      </c>
      <c r="G978" t="s" s="2">
        <v>1990</v>
      </c>
      <c r="H978" s="5">
        <v>376</v>
      </c>
      <c r="I978" t="s" s="2">
        <v>1991</v>
      </c>
      <c r="J978" t="s" s="2">
        <v>47</v>
      </c>
      <c r="K978" t="s" s="2">
        <v>1992</v>
      </c>
      <c r="L978" t="s" s="2">
        <v>618</v>
      </c>
      <c r="M978" s="5">
        <v>674214.301</v>
      </c>
      <c r="N978" s="5">
        <v>6048000.27</v>
      </c>
      <c r="O978" t="s" s="2">
        <v>1993</v>
      </c>
      <c r="P978" s="5">
        <v>0</v>
      </c>
      <c r="Q978" t="s" s="2">
        <v>1994</v>
      </c>
      <c r="R978" t="s" s="2">
        <f>_xlfn.IFERROR(INDEX('model_byCAP'!$D$2:$D$377,MATCH(Q978,'model_byCAP'!$A$2:$A$377,0)),0)</f>
        <v>1995</v>
      </c>
    </row>
    <row r="979" ht="15.35" customHeight="1">
      <c r="A979" t="s" s="2">
        <v>2018</v>
      </c>
      <c r="B979" s="4">
        <v>37789</v>
      </c>
      <c r="C979" s="5">
        <v>2300</v>
      </c>
      <c r="D979" s="5">
        <v>82.40000000000001</v>
      </c>
      <c r="E979" s="5">
        <v>68.8</v>
      </c>
      <c r="F979" t="s" s="2">
        <v>1989</v>
      </c>
      <c r="G979" t="s" s="2">
        <v>1990</v>
      </c>
      <c r="H979" s="5">
        <v>376</v>
      </c>
      <c r="I979" t="s" s="2">
        <v>1991</v>
      </c>
      <c r="J979" t="s" s="2">
        <v>47</v>
      </c>
      <c r="K979" t="s" s="2">
        <v>1992</v>
      </c>
      <c r="L979" t="s" s="2">
        <v>618</v>
      </c>
      <c r="M979" s="5">
        <v>674232.759</v>
      </c>
      <c r="N979" s="5">
        <v>6047518.642</v>
      </c>
      <c r="O979" t="s" s="2">
        <v>1993</v>
      </c>
      <c r="P979" s="5">
        <v>0</v>
      </c>
      <c r="Q979" t="s" s="2">
        <v>1994</v>
      </c>
      <c r="R979" t="s" s="2">
        <f>_xlfn.IFERROR(INDEX('model_byCAP'!$D$2:$D$377,MATCH(Q979,'model_byCAP'!$A$2:$A$377,0)),0)</f>
        <v>1995</v>
      </c>
    </row>
    <row r="980" ht="15.35" customHeight="1">
      <c r="A980" t="s" s="2">
        <v>2019</v>
      </c>
      <c r="B980" s="4">
        <v>37789</v>
      </c>
      <c r="C980" s="5">
        <v>2300</v>
      </c>
      <c r="D980" s="5">
        <v>82.40000000000001</v>
      </c>
      <c r="E980" s="5">
        <v>68.8</v>
      </c>
      <c r="F980" t="s" s="2">
        <v>1989</v>
      </c>
      <c r="G980" t="s" s="2">
        <v>1990</v>
      </c>
      <c r="H980" s="5">
        <v>376</v>
      </c>
      <c r="I980" t="s" s="2">
        <v>1991</v>
      </c>
      <c r="J980" t="s" s="2">
        <v>47</v>
      </c>
      <c r="K980" t="s" s="2">
        <v>1992</v>
      </c>
      <c r="L980" t="s" s="2">
        <v>618</v>
      </c>
      <c r="M980" s="5">
        <v>674251.2169999999</v>
      </c>
      <c r="N980" s="5">
        <v>6047037.015</v>
      </c>
      <c r="O980" t="s" s="2">
        <v>1993</v>
      </c>
      <c r="P980" s="5">
        <v>0</v>
      </c>
      <c r="Q980" t="s" s="2">
        <v>1994</v>
      </c>
      <c r="R980" t="s" s="2">
        <f>_xlfn.IFERROR(INDEX('model_byCAP'!$D$2:$D$377,MATCH(Q980,'model_byCAP'!$A$2:$A$377,0)),0)</f>
        <v>1995</v>
      </c>
    </row>
    <row r="981" ht="15.35" customHeight="1">
      <c r="A981" t="s" s="2">
        <v>2020</v>
      </c>
      <c r="B981" s="4">
        <v>37789</v>
      </c>
      <c r="C981" s="5">
        <v>2300</v>
      </c>
      <c r="D981" s="5">
        <v>82.40000000000001</v>
      </c>
      <c r="E981" s="5">
        <v>68.8</v>
      </c>
      <c r="F981" t="s" s="2">
        <v>1989</v>
      </c>
      <c r="G981" t="s" s="2">
        <v>1990</v>
      </c>
      <c r="H981" s="5">
        <v>376</v>
      </c>
      <c r="I981" t="s" s="2">
        <v>1991</v>
      </c>
      <c r="J981" t="s" s="2">
        <v>47</v>
      </c>
      <c r="K981" t="s" s="2">
        <v>1992</v>
      </c>
      <c r="L981" t="s" s="2">
        <v>618</v>
      </c>
      <c r="M981" s="5">
        <v>674269.673</v>
      </c>
      <c r="N981" s="5">
        <v>6046555.388</v>
      </c>
      <c r="O981" t="s" s="2">
        <v>1993</v>
      </c>
      <c r="P981" s="5">
        <v>0</v>
      </c>
      <c r="Q981" t="s" s="2">
        <v>1994</v>
      </c>
      <c r="R981" t="s" s="2">
        <f>_xlfn.IFERROR(INDEX('model_byCAP'!$D$2:$D$377,MATCH(Q981,'model_byCAP'!$A$2:$A$377,0)),0)</f>
        <v>1995</v>
      </c>
    </row>
    <row r="982" ht="15.35" customHeight="1">
      <c r="A982" t="s" s="2">
        <v>2021</v>
      </c>
      <c r="B982" s="4">
        <v>37789</v>
      </c>
      <c r="C982" s="5">
        <v>2300</v>
      </c>
      <c r="D982" s="5">
        <v>82.40000000000001</v>
      </c>
      <c r="E982" s="5">
        <v>68.8</v>
      </c>
      <c r="F982" t="s" s="2">
        <v>1989</v>
      </c>
      <c r="G982" t="s" s="2">
        <v>1990</v>
      </c>
      <c r="H982" s="5">
        <v>376</v>
      </c>
      <c r="I982" t="s" s="2">
        <v>1991</v>
      </c>
      <c r="J982" t="s" s="2">
        <v>47</v>
      </c>
      <c r="K982" t="s" s="2">
        <v>1992</v>
      </c>
      <c r="L982" t="s" s="2">
        <v>618</v>
      </c>
      <c r="M982" s="5">
        <v>674288.129</v>
      </c>
      <c r="N982" s="5">
        <v>6046073.761</v>
      </c>
      <c r="O982" t="s" s="2">
        <v>1993</v>
      </c>
      <c r="P982" s="5">
        <v>0</v>
      </c>
      <c r="Q982" t="s" s="2">
        <v>1994</v>
      </c>
      <c r="R982" t="s" s="2">
        <f>_xlfn.IFERROR(INDEX('model_byCAP'!$D$2:$D$377,MATCH(Q982,'model_byCAP'!$A$2:$A$377,0)),0)</f>
        <v>1995</v>
      </c>
    </row>
    <row r="983" ht="15.35" customHeight="1">
      <c r="A983" t="s" s="2">
        <v>2022</v>
      </c>
      <c r="B983" s="4">
        <v>37789</v>
      </c>
      <c r="C983" s="5">
        <v>2300</v>
      </c>
      <c r="D983" s="5">
        <v>82.40000000000001</v>
      </c>
      <c r="E983" s="5">
        <v>68.8</v>
      </c>
      <c r="F983" t="s" s="2">
        <v>1989</v>
      </c>
      <c r="G983" t="s" s="2">
        <v>1990</v>
      </c>
      <c r="H983" s="5">
        <v>376</v>
      </c>
      <c r="I983" t="s" s="2">
        <v>1991</v>
      </c>
      <c r="J983" t="s" s="2">
        <v>47</v>
      </c>
      <c r="K983" t="s" s="2">
        <v>1992</v>
      </c>
      <c r="L983" t="s" s="2">
        <v>618</v>
      </c>
      <c r="M983" s="5">
        <v>674999.431</v>
      </c>
      <c r="N983" s="5">
        <v>6049808.296</v>
      </c>
      <c r="O983" t="s" s="2">
        <v>1993</v>
      </c>
      <c r="P983" s="5">
        <v>0</v>
      </c>
      <c r="Q983" t="s" s="2">
        <v>1994</v>
      </c>
      <c r="R983" t="s" s="2">
        <f>_xlfn.IFERROR(INDEX('model_byCAP'!$D$2:$D$377,MATCH(Q983,'model_byCAP'!$A$2:$A$377,0)),0)</f>
        <v>1995</v>
      </c>
    </row>
    <row r="984" ht="15.35" customHeight="1">
      <c r="A984" t="s" s="2">
        <v>2023</v>
      </c>
      <c r="B984" s="4">
        <v>37789</v>
      </c>
      <c r="C984" s="5">
        <v>2300</v>
      </c>
      <c r="D984" s="5">
        <v>82.40000000000001</v>
      </c>
      <c r="E984" s="5">
        <v>68.8</v>
      </c>
      <c r="F984" t="s" s="2">
        <v>1989</v>
      </c>
      <c r="G984" t="s" s="2">
        <v>1990</v>
      </c>
      <c r="H984" s="5">
        <v>376</v>
      </c>
      <c r="I984" t="s" s="2">
        <v>1991</v>
      </c>
      <c r="J984" t="s" s="2">
        <v>47</v>
      </c>
      <c r="K984" t="s" s="2">
        <v>1992</v>
      </c>
      <c r="L984" t="s" s="2">
        <v>618</v>
      </c>
      <c r="M984" s="5">
        <v>675017.983</v>
      </c>
      <c r="N984" s="5">
        <v>6049326.669</v>
      </c>
      <c r="O984" t="s" s="2">
        <v>1993</v>
      </c>
      <c r="P984" s="5">
        <v>0</v>
      </c>
      <c r="Q984" t="s" s="2">
        <v>1994</v>
      </c>
      <c r="R984" t="s" s="2">
        <f>_xlfn.IFERROR(INDEX('model_byCAP'!$D$2:$D$377,MATCH(Q984,'model_byCAP'!$A$2:$A$377,0)),0)</f>
        <v>1995</v>
      </c>
    </row>
    <row r="985" ht="15.35" customHeight="1">
      <c r="A985" t="s" s="2">
        <v>2024</v>
      </c>
      <c r="B985" s="4">
        <v>37789</v>
      </c>
      <c r="C985" s="5">
        <v>2300</v>
      </c>
      <c r="D985" s="5">
        <v>82.40000000000001</v>
      </c>
      <c r="E985" s="5">
        <v>68.8</v>
      </c>
      <c r="F985" t="s" s="2">
        <v>1989</v>
      </c>
      <c r="G985" t="s" s="2">
        <v>1990</v>
      </c>
      <c r="H985" s="5">
        <v>376</v>
      </c>
      <c r="I985" t="s" s="2">
        <v>1991</v>
      </c>
      <c r="J985" t="s" s="2">
        <v>47</v>
      </c>
      <c r="K985" t="s" s="2">
        <v>1992</v>
      </c>
      <c r="L985" t="s" s="2">
        <v>618</v>
      </c>
      <c r="M985" s="5">
        <v>675036.535</v>
      </c>
      <c r="N985" s="5">
        <v>6048845.042</v>
      </c>
      <c r="O985" t="s" s="2">
        <v>1993</v>
      </c>
      <c r="P985" s="5">
        <v>0</v>
      </c>
      <c r="Q985" t="s" s="2">
        <v>1994</v>
      </c>
      <c r="R985" t="s" s="2">
        <f>_xlfn.IFERROR(INDEX('model_byCAP'!$D$2:$D$377,MATCH(Q985,'model_byCAP'!$A$2:$A$377,0)),0)</f>
        <v>1995</v>
      </c>
    </row>
    <row r="986" ht="15.35" customHeight="1">
      <c r="A986" t="s" s="2">
        <v>2025</v>
      </c>
      <c r="B986" s="4">
        <v>37789</v>
      </c>
      <c r="C986" s="5">
        <v>2300</v>
      </c>
      <c r="D986" s="5">
        <v>82.40000000000001</v>
      </c>
      <c r="E986" s="5">
        <v>68.8</v>
      </c>
      <c r="F986" t="s" s="2">
        <v>1989</v>
      </c>
      <c r="G986" t="s" s="2">
        <v>1990</v>
      </c>
      <c r="H986" s="5">
        <v>376</v>
      </c>
      <c r="I986" t="s" s="2">
        <v>1991</v>
      </c>
      <c r="J986" t="s" s="2">
        <v>47</v>
      </c>
      <c r="K986" t="s" s="2">
        <v>1992</v>
      </c>
      <c r="L986" t="s" s="2">
        <v>618</v>
      </c>
      <c r="M986" s="5">
        <v>675055.0429999999</v>
      </c>
      <c r="N986" s="5">
        <v>6048364.528</v>
      </c>
      <c r="O986" t="s" s="2">
        <v>1993</v>
      </c>
      <c r="P986" s="5">
        <v>0</v>
      </c>
      <c r="Q986" t="s" s="2">
        <v>1994</v>
      </c>
      <c r="R986" t="s" s="2">
        <f>_xlfn.IFERROR(INDEX('model_byCAP'!$D$2:$D$377,MATCH(Q986,'model_byCAP'!$A$2:$A$377,0)),0)</f>
        <v>1995</v>
      </c>
    </row>
    <row r="987" ht="15.35" customHeight="1">
      <c r="A987" t="s" s="2">
        <v>2026</v>
      </c>
      <c r="B987" s="4">
        <v>37789</v>
      </c>
      <c r="C987" s="5">
        <v>2300</v>
      </c>
      <c r="D987" s="5">
        <v>82.40000000000001</v>
      </c>
      <c r="E987" s="5">
        <v>68.8</v>
      </c>
      <c r="F987" t="s" s="2">
        <v>1989</v>
      </c>
      <c r="G987" t="s" s="2">
        <v>1990</v>
      </c>
      <c r="H987" s="5">
        <v>376</v>
      </c>
      <c r="I987" t="s" s="2">
        <v>1991</v>
      </c>
      <c r="J987" t="s" s="2">
        <v>47</v>
      </c>
      <c r="K987" t="s" s="2">
        <v>1992</v>
      </c>
      <c r="L987" t="s" s="2">
        <v>618</v>
      </c>
      <c r="M987" s="5">
        <v>675073.593</v>
      </c>
      <c r="N987" s="5">
        <v>6047882.902</v>
      </c>
      <c r="O987" t="s" s="2">
        <v>1993</v>
      </c>
      <c r="P987" s="5">
        <v>0</v>
      </c>
      <c r="Q987" t="s" s="2">
        <v>1994</v>
      </c>
      <c r="R987" t="s" s="2">
        <f>_xlfn.IFERROR(INDEX('model_byCAP'!$D$2:$D$377,MATCH(Q987,'model_byCAP'!$A$2:$A$377,0)),0)</f>
        <v>1995</v>
      </c>
    </row>
    <row r="988" ht="15.35" customHeight="1">
      <c r="A988" t="s" s="2">
        <v>2027</v>
      </c>
      <c r="B988" s="4">
        <v>37789</v>
      </c>
      <c r="C988" s="5">
        <v>2300</v>
      </c>
      <c r="D988" s="5">
        <v>82.40000000000001</v>
      </c>
      <c r="E988" s="5">
        <v>68.8</v>
      </c>
      <c r="F988" t="s" s="2">
        <v>1989</v>
      </c>
      <c r="G988" t="s" s="2">
        <v>1990</v>
      </c>
      <c r="H988" s="5">
        <v>376</v>
      </c>
      <c r="I988" t="s" s="2">
        <v>1991</v>
      </c>
      <c r="J988" t="s" s="2">
        <v>47</v>
      </c>
      <c r="K988" t="s" s="2">
        <v>1992</v>
      </c>
      <c r="L988" t="s" s="2">
        <v>618</v>
      </c>
      <c r="M988" s="5">
        <v>675092.1409999999</v>
      </c>
      <c r="N988" s="5">
        <v>6047401.276</v>
      </c>
      <c r="O988" t="s" s="2">
        <v>1993</v>
      </c>
      <c r="P988" s="5">
        <v>0</v>
      </c>
      <c r="Q988" t="s" s="2">
        <v>1994</v>
      </c>
      <c r="R988" t="s" s="2">
        <f>_xlfn.IFERROR(INDEX('model_byCAP'!$D$2:$D$377,MATCH(Q988,'model_byCAP'!$A$2:$A$377,0)),0)</f>
        <v>1995</v>
      </c>
    </row>
    <row r="989" ht="15.35" customHeight="1">
      <c r="A989" t="s" s="2">
        <v>2028</v>
      </c>
      <c r="B989" s="4">
        <v>37789</v>
      </c>
      <c r="C989" s="5">
        <v>2300</v>
      </c>
      <c r="D989" s="5">
        <v>82.40000000000001</v>
      </c>
      <c r="E989" s="5">
        <v>68.8</v>
      </c>
      <c r="F989" t="s" s="2">
        <v>1989</v>
      </c>
      <c r="G989" t="s" s="2">
        <v>1990</v>
      </c>
      <c r="H989" s="5">
        <v>376</v>
      </c>
      <c r="I989" t="s" s="2">
        <v>1991</v>
      </c>
      <c r="J989" t="s" s="2">
        <v>47</v>
      </c>
      <c r="K989" t="s" s="2">
        <v>1992</v>
      </c>
      <c r="L989" t="s" s="2">
        <v>618</v>
      </c>
      <c r="M989" s="5">
        <v>675110.689</v>
      </c>
      <c r="N989" s="5">
        <v>6046919.65</v>
      </c>
      <c r="O989" t="s" s="2">
        <v>1993</v>
      </c>
      <c r="P989" s="5">
        <v>0</v>
      </c>
      <c r="Q989" t="s" s="2">
        <v>1994</v>
      </c>
      <c r="R989" t="s" s="2">
        <f>_xlfn.IFERROR(INDEX('model_byCAP'!$D$2:$D$377,MATCH(Q989,'model_byCAP'!$A$2:$A$377,0)),0)</f>
        <v>1995</v>
      </c>
    </row>
    <row r="990" ht="15.35" customHeight="1">
      <c r="A990" t="s" s="2">
        <v>2029</v>
      </c>
      <c r="B990" s="4">
        <v>37789</v>
      </c>
      <c r="C990" s="5">
        <v>2300</v>
      </c>
      <c r="D990" s="5">
        <v>82.40000000000001</v>
      </c>
      <c r="E990" s="5">
        <v>68.8</v>
      </c>
      <c r="F990" t="s" s="2">
        <v>1989</v>
      </c>
      <c r="G990" t="s" s="2">
        <v>1990</v>
      </c>
      <c r="H990" s="5">
        <v>376</v>
      </c>
      <c r="I990" t="s" s="2">
        <v>1991</v>
      </c>
      <c r="J990" t="s" s="2">
        <v>47</v>
      </c>
      <c r="K990" t="s" s="2">
        <v>1992</v>
      </c>
      <c r="L990" t="s" s="2">
        <v>618</v>
      </c>
      <c r="M990" s="5">
        <v>675129.236</v>
      </c>
      <c r="N990" s="5">
        <v>6046438.024</v>
      </c>
      <c r="O990" t="s" s="2">
        <v>1993</v>
      </c>
      <c r="P990" s="5">
        <v>0</v>
      </c>
      <c r="Q990" t="s" s="2">
        <v>1994</v>
      </c>
      <c r="R990" t="s" s="2">
        <f>_xlfn.IFERROR(INDEX('model_byCAP'!$D$2:$D$377,MATCH(Q990,'model_byCAP'!$A$2:$A$377,0)),0)</f>
        <v>1995</v>
      </c>
    </row>
    <row r="991" ht="15.35" customHeight="1">
      <c r="A991" t="s" s="2">
        <v>2030</v>
      </c>
      <c r="B991" s="4">
        <v>37789</v>
      </c>
      <c r="C991" s="5">
        <v>2300</v>
      </c>
      <c r="D991" s="5">
        <v>82.40000000000001</v>
      </c>
      <c r="E991" s="5">
        <v>68.8</v>
      </c>
      <c r="F991" t="s" s="2">
        <v>1989</v>
      </c>
      <c r="G991" t="s" s="2">
        <v>1990</v>
      </c>
      <c r="H991" s="5">
        <v>376</v>
      </c>
      <c r="I991" t="s" s="2">
        <v>1991</v>
      </c>
      <c r="J991" t="s" s="2">
        <v>47</v>
      </c>
      <c r="K991" t="s" s="2">
        <v>1992</v>
      </c>
      <c r="L991" t="s" s="2">
        <v>618</v>
      </c>
      <c r="M991" s="5">
        <v>675147.7389999999</v>
      </c>
      <c r="N991" s="5">
        <v>6045957.512</v>
      </c>
      <c r="O991" t="s" s="2">
        <v>1993</v>
      </c>
      <c r="P991" s="5">
        <v>0</v>
      </c>
      <c r="Q991" t="s" s="2">
        <v>1994</v>
      </c>
      <c r="R991" t="s" s="2">
        <f>_xlfn.IFERROR(INDEX('model_byCAP'!$D$2:$D$377,MATCH(Q991,'model_byCAP'!$A$2:$A$377,0)),0)</f>
        <v>1995</v>
      </c>
    </row>
    <row r="992" ht="15.35" customHeight="1">
      <c r="A992" t="s" s="2">
        <v>2031</v>
      </c>
      <c r="B992" s="4">
        <v>37789</v>
      </c>
      <c r="C992" s="5">
        <v>2300</v>
      </c>
      <c r="D992" s="5">
        <v>82.40000000000001</v>
      </c>
      <c r="E992" s="5">
        <v>68.8</v>
      </c>
      <c r="F992" t="s" s="2">
        <v>1989</v>
      </c>
      <c r="G992" t="s" s="2">
        <v>1990</v>
      </c>
      <c r="H992" s="5">
        <v>376</v>
      </c>
      <c r="I992" t="s" s="2">
        <v>1991</v>
      </c>
      <c r="J992" t="s" s="2">
        <v>47</v>
      </c>
      <c r="K992" t="s" s="2">
        <v>1992</v>
      </c>
      <c r="L992" t="s" s="2">
        <v>618</v>
      </c>
      <c r="M992" s="5">
        <v>675859.062</v>
      </c>
      <c r="N992" s="5">
        <v>6049691.107</v>
      </c>
      <c r="O992" t="s" s="2">
        <v>1993</v>
      </c>
      <c r="P992" s="5">
        <v>0</v>
      </c>
      <c r="Q992" t="s" s="2">
        <v>1994</v>
      </c>
      <c r="R992" t="s" s="2">
        <f>_xlfn.IFERROR(INDEX('model_byCAP'!$D$2:$D$377,MATCH(Q992,'model_byCAP'!$A$2:$A$377,0)),0)</f>
        <v>1995</v>
      </c>
    </row>
    <row r="993" ht="15.35" customHeight="1">
      <c r="A993" t="s" s="2">
        <v>2032</v>
      </c>
      <c r="B993" s="4">
        <v>37789</v>
      </c>
      <c r="C993" s="5">
        <v>2300</v>
      </c>
      <c r="D993" s="5">
        <v>82.40000000000001</v>
      </c>
      <c r="E993" s="5">
        <v>68.8</v>
      </c>
      <c r="F993" t="s" s="2">
        <v>1989</v>
      </c>
      <c r="G993" t="s" s="2">
        <v>1990</v>
      </c>
      <c r="H993" s="5">
        <v>376</v>
      </c>
      <c r="I993" t="s" s="2">
        <v>1991</v>
      </c>
      <c r="J993" t="s" s="2">
        <v>47</v>
      </c>
      <c r="K993" t="s" s="2">
        <v>1992</v>
      </c>
      <c r="L993" t="s" s="2">
        <v>618</v>
      </c>
      <c r="M993" s="5">
        <v>675877.058</v>
      </c>
      <c r="N993" s="5">
        <v>6049209.457</v>
      </c>
      <c r="O993" t="s" s="2">
        <v>1993</v>
      </c>
      <c r="P993" s="5">
        <v>0</v>
      </c>
      <c r="Q993" t="s" s="2">
        <v>1994</v>
      </c>
      <c r="R993" t="s" s="2">
        <f>_xlfn.IFERROR(INDEX('model_byCAP'!$D$2:$D$377,MATCH(Q993,'model_byCAP'!$A$2:$A$377,0)),0)</f>
        <v>1995</v>
      </c>
    </row>
    <row r="994" ht="15.35" customHeight="1">
      <c r="A994" t="s" s="2">
        <v>2033</v>
      </c>
      <c r="B994" s="4">
        <v>37789</v>
      </c>
      <c r="C994" s="5">
        <v>2300</v>
      </c>
      <c r="D994" s="5">
        <v>82.40000000000001</v>
      </c>
      <c r="E994" s="5">
        <v>68.8</v>
      </c>
      <c r="F994" t="s" s="2">
        <v>1989</v>
      </c>
      <c r="G994" t="s" s="2">
        <v>1990</v>
      </c>
      <c r="H994" s="5">
        <v>376</v>
      </c>
      <c r="I994" t="s" s="2">
        <v>1991</v>
      </c>
      <c r="J994" t="s" s="2">
        <v>47</v>
      </c>
      <c r="K994" t="s" s="2">
        <v>1992</v>
      </c>
      <c r="L994" t="s" s="2">
        <v>618</v>
      </c>
      <c r="M994" s="5">
        <v>675895.657</v>
      </c>
      <c r="N994" s="5">
        <v>6048728.944</v>
      </c>
      <c r="O994" t="s" s="2">
        <v>1993</v>
      </c>
      <c r="P994" s="5">
        <v>0</v>
      </c>
      <c r="Q994" t="s" s="2">
        <v>1994</v>
      </c>
      <c r="R994" t="s" s="2">
        <f>_xlfn.IFERROR(INDEX('model_byCAP'!$D$2:$D$377,MATCH(Q994,'model_byCAP'!$A$2:$A$377,0)),0)</f>
        <v>1995</v>
      </c>
    </row>
    <row r="995" ht="15.35" customHeight="1">
      <c r="A995" t="s" s="2">
        <v>2034</v>
      </c>
      <c r="B995" s="4">
        <v>37789</v>
      </c>
      <c r="C995" s="5">
        <v>2300</v>
      </c>
      <c r="D995" s="5">
        <v>82.40000000000001</v>
      </c>
      <c r="E995" s="5">
        <v>68.8</v>
      </c>
      <c r="F995" t="s" s="2">
        <v>1989</v>
      </c>
      <c r="G995" t="s" s="2">
        <v>1990</v>
      </c>
      <c r="H995" s="5">
        <v>376</v>
      </c>
      <c r="I995" t="s" s="2">
        <v>1991</v>
      </c>
      <c r="J995" t="s" s="2">
        <v>47</v>
      </c>
      <c r="K995" t="s" s="2">
        <v>1992</v>
      </c>
      <c r="L995" t="s" s="2">
        <v>618</v>
      </c>
      <c r="M995" s="5">
        <v>675914.298</v>
      </c>
      <c r="N995" s="5">
        <v>6048247.319</v>
      </c>
      <c r="O995" t="s" s="2">
        <v>1993</v>
      </c>
      <c r="P995" s="5">
        <v>0</v>
      </c>
      <c r="Q995" t="s" s="2">
        <v>1994</v>
      </c>
      <c r="R995" t="s" s="2">
        <f>_xlfn.IFERROR(INDEX('model_byCAP'!$D$2:$D$377,MATCH(Q995,'model_byCAP'!$A$2:$A$377,0)),0)</f>
        <v>1995</v>
      </c>
    </row>
    <row r="996" ht="15.35" customHeight="1">
      <c r="A996" t="s" s="2">
        <v>2035</v>
      </c>
      <c r="B996" s="4">
        <v>37789</v>
      </c>
      <c r="C996" s="5">
        <v>2300</v>
      </c>
      <c r="D996" s="5">
        <v>82.40000000000001</v>
      </c>
      <c r="E996" s="5">
        <v>68.8</v>
      </c>
      <c r="F996" t="s" s="2">
        <v>1989</v>
      </c>
      <c r="G996" t="s" s="2">
        <v>1990</v>
      </c>
      <c r="H996" s="5">
        <v>376</v>
      </c>
      <c r="I996" t="s" s="2">
        <v>1991</v>
      </c>
      <c r="J996" t="s" s="2">
        <v>47</v>
      </c>
      <c r="K996" t="s" s="2">
        <v>1992</v>
      </c>
      <c r="L996" t="s" s="2">
        <v>618</v>
      </c>
      <c r="M996" s="5">
        <v>675932.938</v>
      </c>
      <c r="N996" s="5">
        <v>6047765.695</v>
      </c>
      <c r="O996" t="s" s="2">
        <v>1993</v>
      </c>
      <c r="P996" s="5">
        <v>0</v>
      </c>
      <c r="Q996" t="s" s="2">
        <v>1994</v>
      </c>
      <c r="R996" t="s" s="2">
        <f>_xlfn.IFERROR(INDEX('model_byCAP'!$D$2:$D$377,MATCH(Q996,'model_byCAP'!$A$2:$A$377,0)),0)</f>
        <v>1995</v>
      </c>
    </row>
    <row r="997" ht="15.35" customHeight="1">
      <c r="A997" t="s" s="2">
        <v>2036</v>
      </c>
      <c r="B997" s="4">
        <v>37789</v>
      </c>
      <c r="C997" s="5">
        <v>2300</v>
      </c>
      <c r="D997" s="5">
        <v>82.40000000000001</v>
      </c>
      <c r="E997" s="5">
        <v>68.8</v>
      </c>
      <c r="F997" t="s" s="2">
        <v>1989</v>
      </c>
      <c r="G997" t="s" s="2">
        <v>1990</v>
      </c>
      <c r="H997" s="5">
        <v>376</v>
      </c>
      <c r="I997" t="s" s="2">
        <v>1991</v>
      </c>
      <c r="J997" t="s" s="2">
        <v>47</v>
      </c>
      <c r="K997" t="s" s="2">
        <v>1992</v>
      </c>
      <c r="L997" t="s" s="2">
        <v>618</v>
      </c>
      <c r="M997" s="5">
        <v>675951.577</v>
      </c>
      <c r="N997" s="5">
        <v>6047284.07</v>
      </c>
      <c r="O997" t="s" s="2">
        <v>1993</v>
      </c>
      <c r="P997" s="5">
        <v>0</v>
      </c>
      <c r="Q997" t="s" s="2">
        <v>1994</v>
      </c>
      <c r="R997" t="s" s="2">
        <f>_xlfn.IFERROR(INDEX('model_byCAP'!$D$2:$D$377,MATCH(Q997,'model_byCAP'!$A$2:$A$377,0)),0)</f>
        <v>1995</v>
      </c>
    </row>
    <row r="998" ht="15.35" customHeight="1">
      <c r="A998" t="s" s="2">
        <v>2037</v>
      </c>
      <c r="B998" s="4">
        <v>37789</v>
      </c>
      <c r="C998" s="5">
        <v>2300</v>
      </c>
      <c r="D998" s="5">
        <v>82.40000000000001</v>
      </c>
      <c r="E998" s="5">
        <v>68.8</v>
      </c>
      <c r="F998" t="s" s="2">
        <v>1989</v>
      </c>
      <c r="G998" t="s" s="2">
        <v>1990</v>
      </c>
      <c r="H998" s="5">
        <v>376</v>
      </c>
      <c r="I998" t="s" s="2">
        <v>1991</v>
      </c>
      <c r="J998" t="s" s="2">
        <v>47</v>
      </c>
      <c r="K998" t="s" s="2">
        <v>1992</v>
      </c>
      <c r="L998" t="s" s="2">
        <v>618</v>
      </c>
      <c r="M998" s="5">
        <v>675970.215</v>
      </c>
      <c r="N998" s="5">
        <v>6046802.446</v>
      </c>
      <c r="O998" t="s" s="2">
        <v>1993</v>
      </c>
      <c r="P998" s="5">
        <v>0</v>
      </c>
      <c r="Q998" t="s" s="2">
        <v>1994</v>
      </c>
      <c r="R998" t="s" s="2">
        <f>_xlfn.IFERROR(INDEX('model_byCAP'!$D$2:$D$377,MATCH(Q998,'model_byCAP'!$A$2:$A$377,0)),0)</f>
        <v>1995</v>
      </c>
    </row>
    <row r="999" ht="15.35" customHeight="1">
      <c r="A999" t="s" s="2">
        <v>2038</v>
      </c>
      <c r="B999" s="4">
        <v>37789</v>
      </c>
      <c r="C999" s="5">
        <v>2300</v>
      </c>
      <c r="D999" s="5">
        <v>82.40000000000001</v>
      </c>
      <c r="E999" s="5">
        <v>68.8</v>
      </c>
      <c r="F999" t="s" s="2">
        <v>1989</v>
      </c>
      <c r="G999" t="s" s="2">
        <v>1990</v>
      </c>
      <c r="H999" s="5">
        <v>376</v>
      </c>
      <c r="I999" t="s" s="2">
        <v>1991</v>
      </c>
      <c r="J999" t="s" s="2">
        <v>47</v>
      </c>
      <c r="K999" t="s" s="2">
        <v>1992</v>
      </c>
      <c r="L999" t="s" s="2">
        <v>618</v>
      </c>
      <c r="M999" s="5">
        <v>675988.808</v>
      </c>
      <c r="N999" s="5">
        <v>6046321.935</v>
      </c>
      <c r="O999" t="s" s="2">
        <v>1993</v>
      </c>
      <c r="P999" s="5">
        <v>0</v>
      </c>
      <c r="Q999" t="s" s="2">
        <v>1994</v>
      </c>
      <c r="R999" t="s" s="2">
        <f>_xlfn.IFERROR(INDEX('model_byCAP'!$D$2:$D$377,MATCH(Q999,'model_byCAP'!$A$2:$A$377,0)),0)</f>
        <v>1995</v>
      </c>
    </row>
    <row r="1000" ht="15.35" customHeight="1">
      <c r="A1000" t="s" s="2">
        <v>2039</v>
      </c>
      <c r="B1000" s="4">
        <v>37789</v>
      </c>
      <c r="C1000" s="5">
        <v>2300</v>
      </c>
      <c r="D1000" s="5">
        <v>82.40000000000001</v>
      </c>
      <c r="E1000" s="5">
        <v>68.8</v>
      </c>
      <c r="F1000" t="s" s="2">
        <v>1989</v>
      </c>
      <c r="G1000" t="s" s="2">
        <v>1990</v>
      </c>
      <c r="H1000" s="5">
        <v>376</v>
      </c>
      <c r="I1000" t="s" s="2">
        <v>1991</v>
      </c>
      <c r="J1000" t="s" s="2">
        <v>47</v>
      </c>
      <c r="K1000" t="s" s="2">
        <v>1992</v>
      </c>
      <c r="L1000" t="s" s="2">
        <v>618</v>
      </c>
      <c r="M1000" s="5">
        <v>676007.444</v>
      </c>
      <c r="N1000" s="5">
        <v>6045840.312</v>
      </c>
      <c r="O1000" t="s" s="2">
        <v>1993</v>
      </c>
      <c r="P1000" s="5">
        <v>0</v>
      </c>
      <c r="Q1000" t="s" s="2">
        <v>1994</v>
      </c>
      <c r="R1000" t="s" s="2">
        <f>_xlfn.IFERROR(INDEX('model_byCAP'!$D$2:$D$377,MATCH(Q1000,'model_byCAP'!$A$2:$A$377,0)),0)</f>
        <v>1995</v>
      </c>
    </row>
    <row r="1001" ht="15.35" customHeight="1">
      <c r="A1001" t="s" s="2">
        <v>2040</v>
      </c>
      <c r="B1001" s="4">
        <v>37789</v>
      </c>
      <c r="C1001" s="5">
        <v>2300</v>
      </c>
      <c r="D1001" s="5">
        <v>82.40000000000001</v>
      </c>
      <c r="E1001" s="5">
        <v>68.8</v>
      </c>
      <c r="F1001" t="s" s="2">
        <v>1989</v>
      </c>
      <c r="G1001" t="s" s="2">
        <v>1990</v>
      </c>
      <c r="H1001" s="5">
        <v>376</v>
      </c>
      <c r="I1001" t="s" s="2">
        <v>1991</v>
      </c>
      <c r="J1001" t="s" s="2">
        <v>47</v>
      </c>
      <c r="K1001" t="s" s="2">
        <v>1992</v>
      </c>
      <c r="L1001" t="s" s="2">
        <v>618</v>
      </c>
      <c r="M1001" s="5">
        <v>676717.453</v>
      </c>
      <c r="N1001" s="5">
        <v>6049574.029</v>
      </c>
      <c r="O1001" t="s" s="2">
        <v>1993</v>
      </c>
      <c r="P1001" s="5">
        <v>0</v>
      </c>
      <c r="Q1001" t="s" s="2">
        <v>1994</v>
      </c>
      <c r="R1001" t="s" s="2">
        <f>_xlfn.IFERROR(INDEX('model_byCAP'!$D$2:$D$377,MATCH(Q1001,'model_byCAP'!$A$2:$A$377,0)),0)</f>
        <v>1995</v>
      </c>
    </row>
    <row r="1002" ht="15.35" customHeight="1">
      <c r="A1002" t="s" s="2">
        <v>2041</v>
      </c>
      <c r="B1002" s="4">
        <v>37789</v>
      </c>
      <c r="C1002" s="5">
        <v>2300</v>
      </c>
      <c r="D1002" s="5">
        <v>82.40000000000001</v>
      </c>
      <c r="E1002" s="5">
        <v>68.8</v>
      </c>
      <c r="F1002" t="s" s="2">
        <v>1989</v>
      </c>
      <c r="G1002" t="s" s="2">
        <v>1990</v>
      </c>
      <c r="H1002" s="5">
        <v>376</v>
      </c>
      <c r="I1002" t="s" s="2">
        <v>1991</v>
      </c>
      <c r="J1002" t="s" s="2">
        <v>47</v>
      </c>
      <c r="K1002" t="s" s="2">
        <v>1992</v>
      </c>
      <c r="L1002" t="s" s="2">
        <v>618</v>
      </c>
      <c r="M1002" s="5">
        <v>676736.186</v>
      </c>
      <c r="N1002" s="5">
        <v>6049092.406</v>
      </c>
      <c r="O1002" t="s" s="2">
        <v>1993</v>
      </c>
      <c r="P1002" s="5">
        <v>0</v>
      </c>
      <c r="Q1002" t="s" s="2">
        <v>1994</v>
      </c>
      <c r="R1002" t="s" s="2">
        <f>_xlfn.IFERROR(INDEX('model_byCAP'!$D$2:$D$377,MATCH(Q1002,'model_byCAP'!$A$2:$A$377,0)),0)</f>
        <v>1995</v>
      </c>
    </row>
    <row r="1003" ht="15.35" customHeight="1">
      <c r="A1003" t="s" s="2">
        <v>2042</v>
      </c>
      <c r="B1003" s="4">
        <v>37789</v>
      </c>
      <c r="C1003" s="5">
        <v>2300</v>
      </c>
      <c r="D1003" s="5">
        <v>82.40000000000001</v>
      </c>
      <c r="E1003" s="5">
        <v>68.8</v>
      </c>
      <c r="F1003" t="s" s="2">
        <v>1989</v>
      </c>
      <c r="G1003" t="s" s="2">
        <v>1990</v>
      </c>
      <c r="H1003" s="5">
        <v>376</v>
      </c>
      <c r="I1003" t="s" s="2">
        <v>1991</v>
      </c>
      <c r="J1003" t="s" s="2">
        <v>47</v>
      </c>
      <c r="K1003" t="s" s="2">
        <v>1992</v>
      </c>
      <c r="L1003" t="s" s="2">
        <v>618</v>
      </c>
      <c r="M1003" s="5">
        <v>676754.875</v>
      </c>
      <c r="N1003" s="5">
        <v>6048611.895</v>
      </c>
      <c r="O1003" t="s" s="2">
        <v>1993</v>
      </c>
      <c r="P1003" s="5">
        <v>0</v>
      </c>
      <c r="Q1003" t="s" s="2">
        <v>1994</v>
      </c>
      <c r="R1003" t="s" s="2">
        <f>_xlfn.IFERROR(INDEX('model_byCAP'!$D$2:$D$377,MATCH(Q1003,'model_byCAP'!$A$2:$A$377,0)),0)</f>
        <v>1995</v>
      </c>
    </row>
    <row r="1004" ht="15.35" customHeight="1">
      <c r="A1004" t="s" s="2">
        <v>2043</v>
      </c>
      <c r="B1004" s="4">
        <v>37789</v>
      </c>
      <c r="C1004" s="5">
        <v>2300</v>
      </c>
      <c r="D1004" s="5">
        <v>82.40000000000001</v>
      </c>
      <c r="E1004" s="5">
        <v>68.8</v>
      </c>
      <c r="F1004" t="s" s="2">
        <v>1989</v>
      </c>
      <c r="G1004" t="s" s="2">
        <v>1990</v>
      </c>
      <c r="H1004" s="5">
        <v>376</v>
      </c>
      <c r="I1004" t="s" s="2">
        <v>1991</v>
      </c>
      <c r="J1004" t="s" s="2">
        <v>47</v>
      </c>
      <c r="K1004" t="s" s="2">
        <v>1992</v>
      </c>
      <c r="L1004" t="s" s="2">
        <v>618</v>
      </c>
      <c r="M1004" s="5">
        <v>676773.606</v>
      </c>
      <c r="N1004" s="5">
        <v>6048130.272</v>
      </c>
      <c r="O1004" t="s" s="2">
        <v>1993</v>
      </c>
      <c r="P1004" s="5">
        <v>0</v>
      </c>
      <c r="Q1004" t="s" s="2">
        <v>1994</v>
      </c>
      <c r="R1004" t="s" s="2">
        <f>_xlfn.IFERROR(INDEX('model_byCAP'!$D$2:$D$377,MATCH(Q1004,'model_byCAP'!$A$2:$A$377,0)),0)</f>
        <v>1995</v>
      </c>
    </row>
    <row r="1005" ht="15.35" customHeight="1">
      <c r="A1005" t="s" s="2">
        <v>2044</v>
      </c>
      <c r="B1005" s="4">
        <v>37789</v>
      </c>
      <c r="C1005" s="5">
        <v>2300</v>
      </c>
      <c r="D1005" s="5">
        <v>82.40000000000001</v>
      </c>
      <c r="E1005" s="5">
        <v>68.8</v>
      </c>
      <c r="F1005" t="s" s="2">
        <v>1989</v>
      </c>
      <c r="G1005" t="s" s="2">
        <v>1990</v>
      </c>
      <c r="H1005" s="5">
        <v>376</v>
      </c>
      <c r="I1005" t="s" s="2">
        <v>1991</v>
      </c>
      <c r="J1005" t="s" s="2">
        <v>47</v>
      </c>
      <c r="K1005" t="s" s="2">
        <v>1992</v>
      </c>
      <c r="L1005" t="s" s="2">
        <v>618</v>
      </c>
      <c r="M1005" s="5">
        <v>676792.336</v>
      </c>
      <c r="N1005" s="5">
        <v>6047648.649</v>
      </c>
      <c r="O1005" t="s" s="2">
        <v>1993</v>
      </c>
      <c r="P1005" s="5">
        <v>0</v>
      </c>
      <c r="Q1005" t="s" s="2">
        <v>1994</v>
      </c>
      <c r="R1005" t="s" s="2">
        <f>_xlfn.IFERROR(INDEX('model_byCAP'!$D$2:$D$377,MATCH(Q1005,'model_byCAP'!$A$2:$A$377,0)),0)</f>
        <v>1995</v>
      </c>
    </row>
    <row r="1006" ht="15.35" customHeight="1">
      <c r="A1006" t="s" s="2">
        <v>2045</v>
      </c>
      <c r="B1006" s="4">
        <v>37789</v>
      </c>
      <c r="C1006" s="5">
        <v>2300</v>
      </c>
      <c r="D1006" s="5">
        <v>82.40000000000001</v>
      </c>
      <c r="E1006" s="5">
        <v>68.8</v>
      </c>
      <c r="F1006" t="s" s="2">
        <v>1989</v>
      </c>
      <c r="G1006" t="s" s="2">
        <v>1990</v>
      </c>
      <c r="H1006" s="5">
        <v>376</v>
      </c>
      <c r="I1006" t="s" s="2">
        <v>1991</v>
      </c>
      <c r="J1006" t="s" s="2">
        <v>47</v>
      </c>
      <c r="K1006" t="s" s="2">
        <v>1992</v>
      </c>
      <c r="L1006" t="s" s="2">
        <v>618</v>
      </c>
      <c r="M1006" s="5">
        <v>676811.0649999999</v>
      </c>
      <c r="N1006" s="5">
        <v>6047167.027</v>
      </c>
      <c r="O1006" t="s" s="2">
        <v>1993</v>
      </c>
      <c r="P1006" s="5">
        <v>0</v>
      </c>
      <c r="Q1006" t="s" s="2">
        <v>1994</v>
      </c>
      <c r="R1006" t="s" s="2">
        <f>_xlfn.IFERROR(INDEX('model_byCAP'!$D$2:$D$377,MATCH(Q1006,'model_byCAP'!$A$2:$A$377,0)),0)</f>
        <v>1995</v>
      </c>
    </row>
    <row r="1007" ht="15.35" customHeight="1">
      <c r="A1007" t="s" s="2">
        <v>2046</v>
      </c>
      <c r="B1007" s="4">
        <v>37789</v>
      </c>
      <c r="C1007" s="5">
        <v>2300</v>
      </c>
      <c r="D1007" s="5">
        <v>82.40000000000001</v>
      </c>
      <c r="E1007" s="5">
        <v>68.8</v>
      </c>
      <c r="F1007" t="s" s="2">
        <v>1989</v>
      </c>
      <c r="G1007" t="s" s="2">
        <v>1990</v>
      </c>
      <c r="H1007" s="5">
        <v>376</v>
      </c>
      <c r="I1007" t="s" s="2">
        <v>1991</v>
      </c>
      <c r="J1007" t="s" s="2">
        <v>47</v>
      </c>
      <c r="K1007" t="s" s="2">
        <v>1992</v>
      </c>
      <c r="L1007" t="s" s="2">
        <v>618</v>
      </c>
      <c r="M1007" s="5">
        <v>676829.75</v>
      </c>
      <c r="N1007" s="5">
        <v>6046686.517</v>
      </c>
      <c r="O1007" t="s" s="2">
        <v>1993</v>
      </c>
      <c r="P1007" s="5">
        <v>0</v>
      </c>
      <c r="Q1007" t="s" s="2">
        <v>1994</v>
      </c>
      <c r="R1007" t="s" s="2">
        <f>_xlfn.IFERROR(INDEX('model_byCAP'!$D$2:$D$377,MATCH(Q1007,'model_byCAP'!$A$2:$A$377,0)),0)</f>
        <v>1995</v>
      </c>
    </row>
    <row r="1008" ht="15.35" customHeight="1">
      <c r="A1008" t="s" s="2">
        <v>2047</v>
      </c>
      <c r="B1008" s="4">
        <v>37789</v>
      </c>
      <c r="C1008" s="5">
        <v>2300</v>
      </c>
      <c r="D1008" s="5">
        <v>82.40000000000001</v>
      </c>
      <c r="E1008" s="5">
        <v>68.8</v>
      </c>
      <c r="F1008" t="s" s="2">
        <v>1989</v>
      </c>
      <c r="G1008" t="s" s="2">
        <v>1990</v>
      </c>
      <c r="H1008" s="5">
        <v>376</v>
      </c>
      <c r="I1008" t="s" s="2">
        <v>1991</v>
      </c>
      <c r="J1008" t="s" s="2">
        <v>47</v>
      </c>
      <c r="K1008" t="s" s="2">
        <v>1992</v>
      </c>
      <c r="L1008" t="s" s="2">
        <v>618</v>
      </c>
      <c r="M1008" s="5">
        <v>676848.477</v>
      </c>
      <c r="N1008" s="5">
        <v>6046204.895</v>
      </c>
      <c r="O1008" t="s" s="2">
        <v>1993</v>
      </c>
      <c r="P1008" s="5">
        <v>0</v>
      </c>
      <c r="Q1008" t="s" s="2">
        <v>1994</v>
      </c>
      <c r="R1008" t="s" s="2">
        <f>_xlfn.IFERROR(INDEX('model_byCAP'!$D$2:$D$377,MATCH(Q1008,'model_byCAP'!$A$2:$A$377,0)),0)</f>
        <v>1995</v>
      </c>
    </row>
    <row r="1009" ht="15.35" customHeight="1">
      <c r="A1009" t="s" s="2">
        <v>2048</v>
      </c>
      <c r="B1009" s="4">
        <v>37789</v>
      </c>
      <c r="C1009" s="5">
        <v>2300</v>
      </c>
      <c r="D1009" s="5">
        <v>82.40000000000001</v>
      </c>
      <c r="E1009" s="5">
        <v>68.8</v>
      </c>
      <c r="F1009" t="s" s="2">
        <v>1989</v>
      </c>
      <c r="G1009" t="s" s="2">
        <v>1990</v>
      </c>
      <c r="H1009" s="5">
        <v>376</v>
      </c>
      <c r="I1009" t="s" s="2">
        <v>1991</v>
      </c>
      <c r="J1009" t="s" s="2">
        <v>47</v>
      </c>
      <c r="K1009" t="s" s="2">
        <v>1992</v>
      </c>
      <c r="L1009" t="s" s="2">
        <v>618</v>
      </c>
      <c r="M1009" s="5">
        <v>676867.203</v>
      </c>
      <c r="N1009" s="5">
        <v>6045723.273</v>
      </c>
      <c r="O1009" t="s" s="2">
        <v>1993</v>
      </c>
      <c r="P1009" s="5">
        <v>0</v>
      </c>
      <c r="Q1009" t="s" s="2">
        <v>1994</v>
      </c>
      <c r="R1009" t="s" s="2">
        <f>_xlfn.IFERROR(INDEX('model_byCAP'!$D$2:$D$377,MATCH(Q1009,'model_byCAP'!$A$2:$A$377,0)),0)</f>
        <v>1995</v>
      </c>
    </row>
    <row r="1010" ht="15.35" customHeight="1">
      <c r="A1010" t="s" s="2">
        <v>2049</v>
      </c>
      <c r="B1010" s="4">
        <v>37789</v>
      </c>
      <c r="C1010" s="5">
        <v>2300</v>
      </c>
      <c r="D1010" s="5">
        <v>82.40000000000001</v>
      </c>
      <c r="E1010" s="5">
        <v>68.8</v>
      </c>
      <c r="F1010" t="s" s="2">
        <v>1989</v>
      </c>
      <c r="G1010" t="s" s="2">
        <v>1990</v>
      </c>
      <c r="H1010" s="5">
        <v>376</v>
      </c>
      <c r="I1010" t="s" s="2">
        <v>1991</v>
      </c>
      <c r="J1010" t="s" s="2">
        <v>47</v>
      </c>
      <c r="K1010" t="s" s="2">
        <v>1992</v>
      </c>
      <c r="L1010" t="s" s="2">
        <v>618</v>
      </c>
      <c r="M1010" s="5">
        <v>677577.1899999999</v>
      </c>
      <c r="N1010" s="5">
        <v>6049457.163</v>
      </c>
      <c r="O1010" t="s" s="2">
        <v>1993</v>
      </c>
      <c r="P1010" s="5">
        <v>0</v>
      </c>
      <c r="Q1010" t="s" s="2">
        <v>1994</v>
      </c>
      <c r="R1010" t="s" s="2">
        <f>_xlfn.IFERROR(INDEX('model_byCAP'!$D$2:$D$377,MATCH(Q1010,'model_byCAP'!$A$2:$A$377,0)),0)</f>
        <v>1995</v>
      </c>
    </row>
    <row r="1011" ht="15.35" customHeight="1">
      <c r="A1011" t="s" s="2">
        <v>2050</v>
      </c>
      <c r="B1011" s="4">
        <v>37789</v>
      </c>
      <c r="C1011" s="5">
        <v>2300</v>
      </c>
      <c r="D1011" s="5">
        <v>82.40000000000001</v>
      </c>
      <c r="E1011" s="5">
        <v>68.8</v>
      </c>
      <c r="F1011" t="s" s="2">
        <v>1989</v>
      </c>
      <c r="G1011" t="s" s="2">
        <v>1990</v>
      </c>
      <c r="H1011" s="5">
        <v>376</v>
      </c>
      <c r="I1011" t="s" s="2">
        <v>1991</v>
      </c>
      <c r="J1011" t="s" s="2">
        <v>47</v>
      </c>
      <c r="K1011" t="s" s="2">
        <v>1992</v>
      </c>
      <c r="L1011" t="s" s="2">
        <v>618</v>
      </c>
      <c r="M1011" s="5">
        <v>677595.367</v>
      </c>
      <c r="N1011" s="5">
        <v>6048975.516</v>
      </c>
      <c r="O1011" t="s" s="2">
        <v>1993</v>
      </c>
      <c r="P1011" s="5">
        <v>0</v>
      </c>
      <c r="Q1011" t="s" s="2">
        <v>1994</v>
      </c>
      <c r="R1011" t="s" s="2">
        <f>_xlfn.IFERROR(INDEX('model_byCAP'!$D$2:$D$377,MATCH(Q1011,'model_byCAP'!$A$2:$A$377,0)),0)</f>
        <v>1995</v>
      </c>
    </row>
    <row r="1012" ht="15.35" customHeight="1">
      <c r="A1012" t="s" s="2">
        <v>2051</v>
      </c>
      <c r="B1012" s="4">
        <v>37789</v>
      </c>
      <c r="C1012" s="5">
        <v>2300</v>
      </c>
      <c r="D1012" s="5">
        <v>82.40000000000001</v>
      </c>
      <c r="E1012" s="5">
        <v>68.8</v>
      </c>
      <c r="F1012" t="s" s="2">
        <v>1989</v>
      </c>
      <c r="G1012" t="s" s="2">
        <v>1990</v>
      </c>
      <c r="H1012" s="5">
        <v>376</v>
      </c>
      <c r="I1012" t="s" s="2">
        <v>1991</v>
      </c>
      <c r="J1012" t="s" s="2">
        <v>47</v>
      </c>
      <c r="K1012" t="s" s="2">
        <v>1992</v>
      </c>
      <c r="L1012" t="s" s="2">
        <v>618</v>
      </c>
      <c r="M1012" s="5">
        <v>677614.1459999999</v>
      </c>
      <c r="N1012" s="5">
        <v>6048495.007</v>
      </c>
      <c r="O1012" t="s" s="2">
        <v>1993</v>
      </c>
      <c r="P1012" s="5">
        <v>0</v>
      </c>
      <c r="Q1012" t="s" s="2">
        <v>1994</v>
      </c>
      <c r="R1012" t="s" s="2">
        <f>_xlfn.IFERROR(INDEX('model_byCAP'!$D$2:$D$377,MATCH(Q1012,'model_byCAP'!$A$2:$A$377,0)),0)</f>
        <v>1995</v>
      </c>
    </row>
    <row r="1013" ht="15.35" customHeight="1">
      <c r="A1013" t="s" s="2">
        <v>2052</v>
      </c>
      <c r="B1013" s="4">
        <v>37789</v>
      </c>
      <c r="C1013" s="5">
        <v>2300</v>
      </c>
      <c r="D1013" s="5">
        <v>82.40000000000001</v>
      </c>
      <c r="E1013" s="5">
        <v>68.8</v>
      </c>
      <c r="F1013" t="s" s="2">
        <v>1989</v>
      </c>
      <c r="G1013" t="s" s="2">
        <v>1990</v>
      </c>
      <c r="H1013" s="5">
        <v>376</v>
      </c>
      <c r="I1013" t="s" s="2">
        <v>1991</v>
      </c>
      <c r="J1013" t="s" s="2">
        <v>47</v>
      </c>
      <c r="K1013" t="s" s="2">
        <v>1992</v>
      </c>
      <c r="L1013" t="s" s="2">
        <v>618</v>
      </c>
      <c r="M1013" s="5">
        <v>677632.968</v>
      </c>
      <c r="N1013" s="5">
        <v>6048013.386</v>
      </c>
      <c r="O1013" t="s" s="2">
        <v>1993</v>
      </c>
      <c r="P1013" s="5">
        <v>0</v>
      </c>
      <c r="Q1013" t="s" s="2">
        <v>1994</v>
      </c>
      <c r="R1013" t="s" s="2">
        <f>_xlfn.IFERROR(INDEX('model_byCAP'!$D$2:$D$377,MATCH(Q1013,'model_byCAP'!$A$2:$A$377,0)),0)</f>
        <v>1995</v>
      </c>
    </row>
    <row r="1014" ht="15.35" customHeight="1">
      <c r="A1014" t="s" s="2">
        <v>2053</v>
      </c>
      <c r="B1014" s="4">
        <v>37789</v>
      </c>
      <c r="C1014" s="5">
        <v>2300</v>
      </c>
      <c r="D1014" s="5">
        <v>82.40000000000001</v>
      </c>
      <c r="E1014" s="5">
        <v>68.8</v>
      </c>
      <c r="F1014" t="s" s="2">
        <v>1989</v>
      </c>
      <c r="G1014" t="s" s="2">
        <v>1990</v>
      </c>
      <c r="H1014" s="5">
        <v>376</v>
      </c>
      <c r="I1014" t="s" s="2">
        <v>1991</v>
      </c>
      <c r="J1014" t="s" s="2">
        <v>47</v>
      </c>
      <c r="K1014" t="s" s="2">
        <v>1992</v>
      </c>
      <c r="L1014" t="s" s="2">
        <v>618</v>
      </c>
      <c r="M1014" s="5">
        <v>677651.7879999999</v>
      </c>
      <c r="N1014" s="5">
        <v>6047531.765</v>
      </c>
      <c r="O1014" t="s" s="2">
        <v>1993</v>
      </c>
      <c r="P1014" s="5">
        <v>0</v>
      </c>
      <c r="Q1014" t="s" s="2">
        <v>1994</v>
      </c>
      <c r="R1014" t="s" s="2">
        <f>_xlfn.IFERROR(INDEX('model_byCAP'!$D$2:$D$377,MATCH(Q1014,'model_byCAP'!$A$2:$A$377,0)),0)</f>
        <v>1995</v>
      </c>
    </row>
    <row r="1015" ht="15.35" customHeight="1">
      <c r="A1015" t="s" s="2">
        <v>2054</v>
      </c>
      <c r="B1015" s="4">
        <v>37789</v>
      </c>
      <c r="C1015" s="5">
        <v>2300</v>
      </c>
      <c r="D1015" s="5">
        <v>82.40000000000001</v>
      </c>
      <c r="E1015" s="5">
        <v>68.8</v>
      </c>
      <c r="F1015" t="s" s="2">
        <v>1989</v>
      </c>
      <c r="G1015" t="s" s="2">
        <v>1990</v>
      </c>
      <c r="H1015" s="5">
        <v>376</v>
      </c>
      <c r="I1015" t="s" s="2">
        <v>1991</v>
      </c>
      <c r="J1015" t="s" s="2">
        <v>47</v>
      </c>
      <c r="K1015" t="s" s="2">
        <v>1992</v>
      </c>
      <c r="L1015" t="s" s="2">
        <v>618</v>
      </c>
      <c r="M1015" s="5">
        <v>677670.607</v>
      </c>
      <c r="N1015" s="5">
        <v>6047050.145</v>
      </c>
      <c r="O1015" t="s" s="2">
        <v>1993</v>
      </c>
      <c r="P1015" s="5">
        <v>0</v>
      </c>
      <c r="Q1015" t="s" s="2">
        <v>1994</v>
      </c>
      <c r="R1015" t="s" s="2">
        <f>_xlfn.IFERROR(INDEX('model_byCAP'!$D$2:$D$377,MATCH(Q1015,'model_byCAP'!$A$2:$A$377,0)),0)</f>
        <v>1995</v>
      </c>
    </row>
    <row r="1016" ht="15.35" customHeight="1">
      <c r="A1016" t="s" s="2">
        <v>2055</v>
      </c>
      <c r="B1016" s="4">
        <v>37789</v>
      </c>
      <c r="C1016" s="5">
        <v>2300</v>
      </c>
      <c r="D1016" s="5">
        <v>82.40000000000001</v>
      </c>
      <c r="E1016" s="5">
        <v>68.8</v>
      </c>
      <c r="F1016" t="s" s="2">
        <v>1989</v>
      </c>
      <c r="G1016" t="s" s="2">
        <v>1990</v>
      </c>
      <c r="H1016" s="5">
        <v>376</v>
      </c>
      <c r="I1016" t="s" s="2">
        <v>1991</v>
      </c>
      <c r="J1016" t="s" s="2">
        <v>47</v>
      </c>
      <c r="K1016" t="s" s="2">
        <v>1992</v>
      </c>
      <c r="L1016" t="s" s="2">
        <v>618</v>
      </c>
      <c r="M1016" s="5">
        <v>677689.426</v>
      </c>
      <c r="N1016" s="5">
        <v>6046568.524</v>
      </c>
      <c r="O1016" t="s" s="2">
        <v>1993</v>
      </c>
      <c r="P1016" s="5">
        <v>0</v>
      </c>
      <c r="Q1016" t="s" s="2">
        <v>1994</v>
      </c>
      <c r="R1016" t="s" s="2">
        <f>_xlfn.IFERROR(INDEX('model_byCAP'!$D$2:$D$377,MATCH(Q1016,'model_byCAP'!$A$2:$A$377,0)),0)</f>
        <v>1995</v>
      </c>
    </row>
    <row r="1017" ht="15.35" customHeight="1">
      <c r="A1017" t="s" s="2">
        <v>2056</v>
      </c>
      <c r="B1017" s="4">
        <v>37789</v>
      </c>
      <c r="C1017" s="5">
        <v>2300</v>
      </c>
      <c r="D1017" s="5">
        <v>82.40000000000001</v>
      </c>
      <c r="E1017" s="5">
        <v>68.8</v>
      </c>
      <c r="F1017" t="s" s="2">
        <v>1989</v>
      </c>
      <c r="G1017" t="s" s="2">
        <v>1990</v>
      </c>
      <c r="H1017" s="5">
        <v>376</v>
      </c>
      <c r="I1017" t="s" s="2">
        <v>1991</v>
      </c>
      <c r="J1017" t="s" s="2">
        <v>47</v>
      </c>
      <c r="K1017" t="s" s="2">
        <v>1992</v>
      </c>
      <c r="L1017" t="s" s="2">
        <v>618</v>
      </c>
      <c r="M1017" s="5">
        <v>677708.199</v>
      </c>
      <c r="N1017" s="5">
        <v>6046088.017</v>
      </c>
      <c r="O1017" t="s" s="2">
        <v>1993</v>
      </c>
      <c r="P1017" s="5">
        <v>0</v>
      </c>
      <c r="Q1017" t="s" s="2">
        <v>1994</v>
      </c>
      <c r="R1017" t="s" s="2">
        <f>_xlfn.IFERROR(INDEX('model_byCAP'!$D$2:$D$377,MATCH(Q1017,'model_byCAP'!$A$2:$A$377,0)),0)</f>
        <v>1995</v>
      </c>
    </row>
    <row r="1018" ht="15.35" customHeight="1">
      <c r="A1018" t="s" s="2">
        <v>2057</v>
      </c>
      <c r="B1018" s="4">
        <v>37789</v>
      </c>
      <c r="C1018" s="5">
        <v>2300</v>
      </c>
      <c r="D1018" s="5">
        <v>82.40000000000001</v>
      </c>
      <c r="E1018" s="5">
        <v>68.8</v>
      </c>
      <c r="F1018" t="s" s="2">
        <v>1989</v>
      </c>
      <c r="G1018" t="s" s="2">
        <v>1990</v>
      </c>
      <c r="H1018" s="5">
        <v>376</v>
      </c>
      <c r="I1018" t="s" s="2">
        <v>1991</v>
      </c>
      <c r="J1018" t="s" s="2">
        <v>47</v>
      </c>
      <c r="K1018" t="s" s="2">
        <v>1992</v>
      </c>
      <c r="L1018" t="s" s="2">
        <v>618</v>
      </c>
      <c r="M1018" s="5">
        <v>677727.0159999999</v>
      </c>
      <c r="N1018" s="5">
        <v>6045606.397</v>
      </c>
      <c r="O1018" t="s" s="2">
        <v>1993</v>
      </c>
      <c r="P1018" s="5">
        <v>0</v>
      </c>
      <c r="Q1018" t="s" s="2">
        <v>1994</v>
      </c>
      <c r="R1018" t="s" s="2">
        <f>_xlfn.IFERROR(INDEX('model_byCAP'!$D$2:$D$377,MATCH(Q1018,'model_byCAP'!$A$2:$A$377,0)),0)</f>
        <v>1995</v>
      </c>
    </row>
    <row r="1019" ht="15.35" customHeight="1">
      <c r="A1019" t="s" s="2">
        <v>2058</v>
      </c>
      <c r="B1019" s="4">
        <v>37789</v>
      </c>
      <c r="C1019" s="5">
        <v>2300</v>
      </c>
      <c r="D1019" s="5">
        <v>82.40000000000001</v>
      </c>
      <c r="E1019" s="5">
        <v>68.8</v>
      </c>
      <c r="F1019" t="s" s="2">
        <v>1989</v>
      </c>
      <c r="G1019" t="s" s="2">
        <v>1990</v>
      </c>
      <c r="H1019" s="5">
        <v>376</v>
      </c>
      <c r="I1019" t="s" s="2">
        <v>1991</v>
      </c>
      <c r="J1019" t="s" s="2">
        <v>47</v>
      </c>
      <c r="K1019" t="s" s="2">
        <v>1992</v>
      </c>
      <c r="L1019" t="s" s="2">
        <v>618</v>
      </c>
      <c r="M1019" s="5">
        <v>678435.688</v>
      </c>
      <c r="N1019" s="5">
        <v>6049340.408</v>
      </c>
      <c r="O1019" t="s" s="2">
        <v>1993</v>
      </c>
      <c r="P1019" s="5">
        <v>0</v>
      </c>
      <c r="Q1019" t="s" s="2">
        <v>1994</v>
      </c>
      <c r="R1019" t="s" s="2">
        <f>_xlfn.IFERROR(INDEX('model_byCAP'!$D$2:$D$377,MATCH(Q1019,'model_byCAP'!$A$2:$A$377,0)),0)</f>
        <v>1995</v>
      </c>
    </row>
    <row r="1020" ht="15.35" customHeight="1">
      <c r="A1020" t="s" s="2">
        <v>2059</v>
      </c>
      <c r="B1020" s="4">
        <v>37789</v>
      </c>
      <c r="C1020" s="5">
        <v>2300</v>
      </c>
      <c r="D1020" s="5">
        <v>82.40000000000001</v>
      </c>
      <c r="E1020" s="5">
        <v>68.8</v>
      </c>
      <c r="F1020" t="s" s="2">
        <v>1989</v>
      </c>
      <c r="G1020" t="s" s="2">
        <v>1990</v>
      </c>
      <c r="H1020" s="5">
        <v>376</v>
      </c>
      <c r="I1020" t="s" s="2">
        <v>1991</v>
      </c>
      <c r="J1020" t="s" s="2">
        <v>47</v>
      </c>
      <c r="K1020" t="s" s="2">
        <v>1992</v>
      </c>
      <c r="L1020" t="s" s="2">
        <v>618</v>
      </c>
      <c r="M1020" s="5">
        <v>678454.602</v>
      </c>
      <c r="N1020" s="5">
        <v>6048858.788</v>
      </c>
      <c r="O1020" t="s" s="2">
        <v>1993</v>
      </c>
      <c r="P1020" s="5">
        <v>0</v>
      </c>
      <c r="Q1020" t="s" s="2">
        <v>1994</v>
      </c>
      <c r="R1020" t="s" s="2">
        <f>_xlfn.IFERROR(INDEX('model_byCAP'!$D$2:$D$377,MATCH(Q1020,'model_byCAP'!$A$2:$A$377,0)),0)</f>
        <v>1995</v>
      </c>
    </row>
    <row r="1021" ht="15.35" customHeight="1">
      <c r="A1021" t="s" s="2">
        <v>2060</v>
      </c>
      <c r="B1021" s="4">
        <v>37789</v>
      </c>
      <c r="C1021" s="5">
        <v>2300</v>
      </c>
      <c r="D1021" s="5">
        <v>82.40000000000001</v>
      </c>
      <c r="E1021" s="5">
        <v>68.8</v>
      </c>
      <c r="F1021" t="s" s="2">
        <v>1989</v>
      </c>
      <c r="G1021" t="s" s="2">
        <v>1990</v>
      </c>
      <c r="H1021" s="5">
        <v>376</v>
      </c>
      <c r="I1021" t="s" s="2">
        <v>1991</v>
      </c>
      <c r="J1021" t="s" s="2">
        <v>47</v>
      </c>
      <c r="K1021" t="s" s="2">
        <v>1992</v>
      </c>
      <c r="L1021" t="s" s="2">
        <v>618</v>
      </c>
      <c r="M1021" s="5">
        <v>678473.515</v>
      </c>
      <c r="N1021" s="5">
        <v>6048377.169</v>
      </c>
      <c r="O1021" t="s" s="2">
        <v>1993</v>
      </c>
      <c r="P1021" s="5">
        <v>0</v>
      </c>
      <c r="Q1021" t="s" s="2">
        <v>1994</v>
      </c>
      <c r="R1021" t="s" s="2">
        <f>_xlfn.IFERROR(INDEX('model_byCAP'!$D$2:$D$377,MATCH(Q1021,'model_byCAP'!$A$2:$A$377,0)),0)</f>
        <v>1995</v>
      </c>
    </row>
    <row r="1022" ht="15.35" customHeight="1">
      <c r="A1022" t="s" s="2">
        <v>2061</v>
      </c>
      <c r="B1022" s="4">
        <v>37789</v>
      </c>
      <c r="C1022" s="5">
        <v>2300</v>
      </c>
      <c r="D1022" s="5">
        <v>82.40000000000001</v>
      </c>
      <c r="E1022" s="5">
        <v>68.8</v>
      </c>
      <c r="F1022" t="s" s="2">
        <v>1989</v>
      </c>
      <c r="G1022" t="s" s="2">
        <v>1990</v>
      </c>
      <c r="H1022" s="5">
        <v>376</v>
      </c>
      <c r="I1022" t="s" s="2">
        <v>1991</v>
      </c>
      <c r="J1022" t="s" s="2">
        <v>47</v>
      </c>
      <c r="K1022" t="s" s="2">
        <v>1992</v>
      </c>
      <c r="L1022" t="s" s="2">
        <v>618</v>
      </c>
      <c r="M1022" s="5">
        <v>678492.426</v>
      </c>
      <c r="N1022" s="5">
        <v>6047895.55</v>
      </c>
      <c r="O1022" t="s" s="2">
        <v>1993</v>
      </c>
      <c r="P1022" s="5">
        <v>0</v>
      </c>
      <c r="Q1022" t="s" s="2">
        <v>1994</v>
      </c>
      <c r="R1022" t="s" s="2">
        <f>_xlfn.IFERROR(INDEX('model_byCAP'!$D$2:$D$377,MATCH(Q1022,'model_byCAP'!$A$2:$A$377,0)),0)</f>
        <v>1995</v>
      </c>
    </row>
    <row r="1023" ht="15.35" customHeight="1">
      <c r="A1023" t="s" s="2">
        <v>2062</v>
      </c>
      <c r="B1023" s="4">
        <v>37789</v>
      </c>
      <c r="C1023" s="5">
        <v>2300</v>
      </c>
      <c r="D1023" s="5">
        <v>82.40000000000001</v>
      </c>
      <c r="E1023" s="5">
        <v>68.8</v>
      </c>
      <c r="F1023" t="s" s="2">
        <v>1989</v>
      </c>
      <c r="G1023" t="s" s="2">
        <v>1990</v>
      </c>
      <c r="H1023" s="5">
        <v>376</v>
      </c>
      <c r="I1023" t="s" s="2">
        <v>1991</v>
      </c>
      <c r="J1023" t="s" s="2">
        <v>47</v>
      </c>
      <c r="K1023" t="s" s="2">
        <v>1992</v>
      </c>
      <c r="L1023" t="s" s="2">
        <v>618</v>
      </c>
      <c r="M1023" s="5">
        <v>678511.2929999999</v>
      </c>
      <c r="N1023" s="5">
        <v>6047415.043</v>
      </c>
      <c r="O1023" t="s" s="2">
        <v>1993</v>
      </c>
      <c r="P1023" s="5">
        <v>0</v>
      </c>
      <c r="Q1023" t="s" s="2">
        <v>1994</v>
      </c>
      <c r="R1023" t="s" s="2">
        <f>_xlfn.IFERROR(INDEX('model_byCAP'!$D$2:$D$377,MATCH(Q1023,'model_byCAP'!$A$2:$A$377,0)),0)</f>
        <v>1995</v>
      </c>
    </row>
    <row r="1024" ht="15.35" customHeight="1">
      <c r="A1024" t="s" s="2">
        <v>2063</v>
      </c>
      <c r="B1024" s="4">
        <v>37789</v>
      </c>
      <c r="C1024" s="5">
        <v>2300</v>
      </c>
      <c r="D1024" s="5">
        <v>82.40000000000001</v>
      </c>
      <c r="E1024" s="5">
        <v>68.8</v>
      </c>
      <c r="F1024" t="s" s="2">
        <v>1989</v>
      </c>
      <c r="G1024" t="s" s="2">
        <v>1990</v>
      </c>
      <c r="H1024" s="5">
        <v>376</v>
      </c>
      <c r="I1024" t="s" s="2">
        <v>1991</v>
      </c>
      <c r="J1024" t="s" s="2">
        <v>47</v>
      </c>
      <c r="K1024" t="s" s="2">
        <v>1992</v>
      </c>
      <c r="L1024" t="s" s="2">
        <v>618</v>
      </c>
      <c r="M1024" s="5">
        <v>678530.203</v>
      </c>
      <c r="N1024" s="5">
        <v>6046933.424</v>
      </c>
      <c r="O1024" t="s" s="2">
        <v>1993</v>
      </c>
      <c r="P1024" s="5">
        <v>0</v>
      </c>
      <c r="Q1024" t="s" s="2">
        <v>1994</v>
      </c>
      <c r="R1024" t="s" s="2">
        <f>_xlfn.IFERROR(INDEX('model_byCAP'!$D$2:$D$377,MATCH(Q1024,'model_byCAP'!$A$2:$A$377,0)),0)</f>
        <v>1995</v>
      </c>
    </row>
    <row r="1025" ht="15.35" customHeight="1">
      <c r="A1025" t="s" s="2">
        <v>2064</v>
      </c>
      <c r="B1025" s="4">
        <v>37789</v>
      </c>
      <c r="C1025" s="5">
        <v>2300</v>
      </c>
      <c r="D1025" s="5">
        <v>82.40000000000001</v>
      </c>
      <c r="E1025" s="5">
        <v>68.8</v>
      </c>
      <c r="F1025" t="s" s="2">
        <v>1989</v>
      </c>
      <c r="G1025" t="s" s="2">
        <v>1990</v>
      </c>
      <c r="H1025" s="5">
        <v>376</v>
      </c>
      <c r="I1025" t="s" s="2">
        <v>1991</v>
      </c>
      <c r="J1025" t="s" s="2">
        <v>47</v>
      </c>
      <c r="K1025" t="s" s="2">
        <v>1992</v>
      </c>
      <c r="L1025" t="s" s="2">
        <v>618</v>
      </c>
      <c r="M1025" s="5">
        <v>678549.111</v>
      </c>
      <c r="N1025" s="5">
        <v>6046451.806</v>
      </c>
      <c r="O1025" t="s" s="2">
        <v>1993</v>
      </c>
      <c r="P1025" s="5">
        <v>0</v>
      </c>
      <c r="Q1025" t="s" s="2">
        <v>1994</v>
      </c>
      <c r="R1025" t="s" s="2">
        <f>_xlfn.IFERROR(INDEX('model_byCAP'!$D$2:$D$377,MATCH(Q1025,'model_byCAP'!$A$2:$A$377,0)),0)</f>
        <v>1995</v>
      </c>
    </row>
    <row r="1026" ht="15.35" customHeight="1">
      <c r="A1026" t="s" s="2">
        <v>2065</v>
      </c>
      <c r="B1026" s="4">
        <v>37789</v>
      </c>
      <c r="C1026" s="5">
        <v>2300</v>
      </c>
      <c r="D1026" s="5">
        <v>82.40000000000001</v>
      </c>
      <c r="E1026" s="5">
        <v>68.8</v>
      </c>
      <c r="F1026" t="s" s="2">
        <v>1989</v>
      </c>
      <c r="G1026" t="s" s="2">
        <v>1990</v>
      </c>
      <c r="H1026" s="5">
        <v>376</v>
      </c>
      <c r="I1026" t="s" s="2">
        <v>1991</v>
      </c>
      <c r="J1026" t="s" s="2">
        <v>47</v>
      </c>
      <c r="K1026" t="s" s="2">
        <v>1992</v>
      </c>
      <c r="L1026" t="s" s="2">
        <v>618</v>
      </c>
      <c r="M1026" s="5">
        <v>678568.018</v>
      </c>
      <c r="N1026" s="5">
        <v>6045970.187</v>
      </c>
      <c r="O1026" t="s" s="2">
        <v>1993</v>
      </c>
      <c r="P1026" s="5">
        <v>0</v>
      </c>
      <c r="Q1026" t="s" s="2">
        <v>1994</v>
      </c>
      <c r="R1026" t="s" s="2">
        <f>_xlfn.IFERROR(INDEX('model_byCAP'!$D$2:$D$377,MATCH(Q1026,'model_byCAP'!$A$2:$A$377,0)),0)</f>
        <v>1995</v>
      </c>
    </row>
    <row r="1027" ht="15.35" customHeight="1">
      <c r="A1027" t="s" s="2">
        <v>2066</v>
      </c>
      <c r="B1027" s="4">
        <v>37789</v>
      </c>
      <c r="C1027" s="5">
        <v>2300</v>
      </c>
      <c r="D1027" s="5">
        <v>82.40000000000001</v>
      </c>
      <c r="E1027" s="5">
        <v>68.8</v>
      </c>
      <c r="F1027" t="s" s="2">
        <v>1989</v>
      </c>
      <c r="G1027" t="s" s="2">
        <v>1990</v>
      </c>
      <c r="H1027" s="5">
        <v>376</v>
      </c>
      <c r="I1027" t="s" s="2">
        <v>1991</v>
      </c>
      <c r="J1027" t="s" s="2">
        <v>47</v>
      </c>
      <c r="K1027" t="s" s="2">
        <v>1992</v>
      </c>
      <c r="L1027" t="s" s="2">
        <v>618</v>
      </c>
      <c r="M1027" s="5">
        <v>678586.925</v>
      </c>
      <c r="N1027" s="5">
        <v>6045488.569</v>
      </c>
      <c r="O1027" t="s" s="2">
        <v>1993</v>
      </c>
      <c r="P1027" s="5">
        <v>0</v>
      </c>
      <c r="Q1027" t="s" s="2">
        <v>1994</v>
      </c>
      <c r="R1027" t="s" s="2">
        <f>_xlfn.IFERROR(INDEX('model_byCAP'!$D$2:$D$377,MATCH(Q1027,'model_byCAP'!$A$2:$A$377,0)),0)</f>
        <v>1995</v>
      </c>
    </row>
    <row r="1028" ht="15.35" customHeight="1">
      <c r="A1028" t="s" s="2">
        <v>2067</v>
      </c>
      <c r="B1028" s="4">
        <v>42235</v>
      </c>
      <c r="C1028" s="5">
        <v>2300</v>
      </c>
      <c r="D1028" s="5">
        <v>93</v>
      </c>
      <c r="E1028" s="5">
        <v>80</v>
      </c>
      <c r="F1028" t="s" s="2">
        <v>19</v>
      </c>
      <c r="G1028" t="s" s="2">
        <v>1768</v>
      </c>
      <c r="H1028" s="5">
        <v>400</v>
      </c>
      <c r="I1028" t="s" s="2">
        <v>2068</v>
      </c>
      <c r="J1028" t="s" s="2">
        <v>22</v>
      </c>
      <c r="K1028" t="s" s="2">
        <v>2069</v>
      </c>
      <c r="L1028" t="s" s="2">
        <v>352</v>
      </c>
      <c r="M1028" s="5">
        <v>866970</v>
      </c>
      <c r="N1028" s="5">
        <v>6127812</v>
      </c>
      <c r="O1028" t="s" s="2">
        <v>305</v>
      </c>
      <c r="P1028" s="5">
        <v>29389</v>
      </c>
      <c r="Q1028" t="s" s="2">
        <v>1772</v>
      </c>
      <c r="R1028" t="s" s="2">
        <f>_xlfn.IFERROR(INDEX('model_byCAP'!$D$2:$D$377,MATCH(Q1028,'model_byCAP'!$A$2:$A$377,0)),0)</f>
        <v>1773</v>
      </c>
    </row>
    <row r="1029" ht="15.35" customHeight="1">
      <c r="A1029" t="s" s="2">
        <v>2070</v>
      </c>
      <c r="B1029" s="4">
        <v>42237</v>
      </c>
      <c r="C1029" s="5">
        <v>2300</v>
      </c>
      <c r="D1029" s="5">
        <v>93</v>
      </c>
      <c r="E1029" s="5">
        <v>80</v>
      </c>
      <c r="F1029" t="s" s="2">
        <v>19</v>
      </c>
      <c r="G1029" t="s" s="2">
        <v>1768</v>
      </c>
      <c r="H1029" s="5">
        <v>400</v>
      </c>
      <c r="I1029" t="s" s="2">
        <v>2068</v>
      </c>
      <c r="J1029" t="s" s="2">
        <v>22</v>
      </c>
      <c r="K1029" t="s" s="2">
        <v>2069</v>
      </c>
      <c r="L1029" t="s" s="2">
        <v>2071</v>
      </c>
      <c r="M1029" s="5">
        <v>866800.1</v>
      </c>
      <c r="N1029" s="5">
        <v>6127996.86</v>
      </c>
      <c r="O1029" t="s" s="2">
        <v>305</v>
      </c>
      <c r="P1029" s="5">
        <v>29390</v>
      </c>
      <c r="Q1029" t="s" s="2">
        <v>1772</v>
      </c>
      <c r="R1029" t="s" s="2">
        <f>_xlfn.IFERROR(INDEX('model_byCAP'!$D$2:$D$377,MATCH(Q1029,'model_byCAP'!$A$2:$A$377,0)),0)</f>
        <v>1773</v>
      </c>
    </row>
    <row r="1030" ht="15.35" customHeight="1">
      <c r="A1030" t="s" s="2">
        <v>2072</v>
      </c>
      <c r="B1030" s="4">
        <v>42236</v>
      </c>
      <c r="C1030" s="5">
        <v>2300</v>
      </c>
      <c r="D1030" s="5">
        <v>93</v>
      </c>
      <c r="E1030" s="5">
        <v>80</v>
      </c>
      <c r="F1030" t="s" s="2">
        <v>19</v>
      </c>
      <c r="G1030" t="s" s="2">
        <v>1768</v>
      </c>
      <c r="H1030" s="5">
        <v>400</v>
      </c>
      <c r="I1030" t="s" s="2">
        <v>2068</v>
      </c>
      <c r="J1030" t="s" s="2">
        <v>22</v>
      </c>
      <c r="K1030" t="s" s="2">
        <v>2073</v>
      </c>
      <c r="L1030" t="s" s="2">
        <v>2074</v>
      </c>
      <c r="M1030" s="5">
        <v>866630.3</v>
      </c>
      <c r="N1030" s="5">
        <v>6128181.96</v>
      </c>
      <c r="O1030" t="s" s="2">
        <v>305</v>
      </c>
      <c r="P1030" s="5">
        <v>29391</v>
      </c>
      <c r="Q1030" t="s" s="2">
        <v>1772</v>
      </c>
      <c r="R1030" t="s" s="2">
        <f>_xlfn.IFERROR(INDEX('model_byCAP'!$D$2:$D$377,MATCH(Q1030,'model_byCAP'!$A$2:$A$377,0)),0)</f>
        <v>1773</v>
      </c>
    </row>
    <row r="1031" ht="15.35" customHeight="1">
      <c r="A1031" t="s" s="2">
        <v>2075</v>
      </c>
      <c r="B1031" s="4">
        <v>40400</v>
      </c>
      <c r="C1031" s="5">
        <v>2300</v>
      </c>
      <c r="D1031" s="5">
        <v>93</v>
      </c>
      <c r="E1031" s="5">
        <v>80</v>
      </c>
      <c r="F1031" t="s" s="2">
        <v>19</v>
      </c>
      <c r="G1031" t="s" s="2">
        <v>1768</v>
      </c>
      <c r="H1031" s="5">
        <v>440</v>
      </c>
      <c r="I1031" t="s" s="2">
        <v>1038</v>
      </c>
      <c r="J1031" t="s" s="2">
        <v>22</v>
      </c>
      <c r="K1031" t="s" s="2">
        <v>2076</v>
      </c>
      <c r="L1031" t="s" s="2">
        <v>396</v>
      </c>
      <c r="M1031" s="5">
        <v>595956.6</v>
      </c>
      <c r="N1031" s="5">
        <v>6146707</v>
      </c>
      <c r="O1031" t="s" s="2">
        <v>305</v>
      </c>
      <c r="P1031" s="5">
        <v>17999</v>
      </c>
      <c r="Q1031" t="s" s="2">
        <v>1772</v>
      </c>
      <c r="R1031" t="s" s="2">
        <f>_xlfn.IFERROR(INDEX('model_byCAP'!$D$2:$D$377,MATCH(Q1031,'model_byCAP'!$A$2:$A$377,0)),0)</f>
        <v>1773</v>
      </c>
    </row>
    <row r="1032" ht="15.35" customHeight="1">
      <c r="A1032" t="s" s="2">
        <v>2077</v>
      </c>
      <c r="B1032" s="4">
        <v>40400</v>
      </c>
      <c r="C1032" s="5">
        <v>2300</v>
      </c>
      <c r="D1032" s="5">
        <v>93</v>
      </c>
      <c r="E1032" s="5">
        <v>80</v>
      </c>
      <c r="F1032" t="s" s="2">
        <v>19</v>
      </c>
      <c r="G1032" t="s" s="2">
        <v>1768</v>
      </c>
      <c r="H1032" s="5">
        <v>440</v>
      </c>
      <c r="I1032" t="s" s="2">
        <v>1038</v>
      </c>
      <c r="J1032" t="s" s="2">
        <v>22</v>
      </c>
      <c r="K1032" t="s" s="2">
        <v>2076</v>
      </c>
      <c r="L1032" t="s" s="2">
        <v>2078</v>
      </c>
      <c r="M1032" s="5">
        <v>595700.83</v>
      </c>
      <c r="N1032" s="5">
        <v>6146955.83</v>
      </c>
      <c r="O1032" t="s" s="2">
        <v>305</v>
      </c>
      <c r="P1032" s="5">
        <v>18000</v>
      </c>
      <c r="Q1032" t="s" s="2">
        <v>1772</v>
      </c>
      <c r="R1032" t="s" s="2">
        <f>_xlfn.IFERROR(INDEX('model_byCAP'!$D$2:$D$377,MATCH(Q1032,'model_byCAP'!$A$2:$A$377,0)),0)</f>
        <v>1773</v>
      </c>
    </row>
    <row r="1033" ht="15.35" customHeight="1">
      <c r="A1033" t="s" s="2">
        <v>2079</v>
      </c>
      <c r="B1033" s="4">
        <v>40404</v>
      </c>
      <c r="C1033" s="5">
        <v>2300</v>
      </c>
      <c r="D1033" s="5">
        <v>93</v>
      </c>
      <c r="E1033" s="5">
        <v>80</v>
      </c>
      <c r="F1033" t="s" s="2">
        <v>19</v>
      </c>
      <c r="G1033" t="s" s="2">
        <v>1768</v>
      </c>
      <c r="H1033" s="5">
        <v>440</v>
      </c>
      <c r="I1033" t="s" s="2">
        <v>1038</v>
      </c>
      <c r="J1033" t="s" s="2">
        <v>22</v>
      </c>
      <c r="K1033" t="s" s="2">
        <v>2076</v>
      </c>
      <c r="L1033" t="s" s="2">
        <v>2078</v>
      </c>
      <c r="M1033" s="5">
        <v>595444.34</v>
      </c>
      <c r="N1033" s="5">
        <v>6147204.99</v>
      </c>
      <c r="O1033" t="s" s="2">
        <v>305</v>
      </c>
      <c r="P1033" s="5">
        <v>18001</v>
      </c>
      <c r="Q1033" t="s" s="2">
        <v>1772</v>
      </c>
      <c r="R1033" t="s" s="2">
        <f>_xlfn.IFERROR(INDEX('model_byCAP'!$D$2:$D$377,MATCH(Q1033,'model_byCAP'!$A$2:$A$377,0)),0)</f>
        <v>1773</v>
      </c>
    </row>
    <row r="1034" ht="15.35" customHeight="1">
      <c r="A1034" t="s" s="2">
        <v>2080</v>
      </c>
      <c r="B1034" s="4">
        <v>40394</v>
      </c>
      <c r="C1034" s="5">
        <v>2300</v>
      </c>
      <c r="D1034" s="5">
        <v>93</v>
      </c>
      <c r="E1034" s="5">
        <v>80</v>
      </c>
      <c r="F1034" t="s" s="2">
        <v>19</v>
      </c>
      <c r="G1034" t="s" s="2">
        <v>1768</v>
      </c>
      <c r="H1034" s="5">
        <v>440</v>
      </c>
      <c r="I1034" t="s" s="2">
        <v>1038</v>
      </c>
      <c r="J1034" t="s" s="2">
        <v>22</v>
      </c>
      <c r="K1034" t="s" s="2">
        <v>2076</v>
      </c>
      <c r="L1034" t="s" s="2">
        <v>1744</v>
      </c>
      <c r="M1034" s="5">
        <v>595187.8199999999</v>
      </c>
      <c r="N1034" s="5">
        <v>6147454.34</v>
      </c>
      <c r="O1034" t="s" s="2">
        <v>305</v>
      </c>
      <c r="P1034" s="5">
        <v>18002</v>
      </c>
      <c r="Q1034" t="s" s="2">
        <v>1772</v>
      </c>
      <c r="R1034" t="s" s="2">
        <f>_xlfn.IFERROR(INDEX('model_byCAP'!$D$2:$D$377,MATCH(Q1034,'model_byCAP'!$A$2:$A$377,0)),0)</f>
        <v>1773</v>
      </c>
    </row>
    <row r="1035" ht="15.35" customHeight="1">
      <c r="A1035" t="s" s="2">
        <v>2081</v>
      </c>
      <c r="B1035" s="4">
        <v>40095</v>
      </c>
      <c r="C1035" s="5">
        <v>2300</v>
      </c>
      <c r="D1035" s="5">
        <v>93</v>
      </c>
      <c r="E1035" s="5">
        <v>80</v>
      </c>
      <c r="F1035" t="s" s="2">
        <v>19</v>
      </c>
      <c r="G1035" t="s" s="2">
        <v>1768</v>
      </c>
      <c r="H1035" s="5">
        <v>479</v>
      </c>
      <c r="I1035" t="s" s="2">
        <v>2082</v>
      </c>
      <c r="J1035" t="s" s="2">
        <v>22</v>
      </c>
      <c r="K1035" t="s" s="2">
        <v>2083</v>
      </c>
      <c r="L1035" t="s" s="2">
        <v>864</v>
      </c>
      <c r="M1035" s="5">
        <v>601384.08</v>
      </c>
      <c r="N1035" s="5">
        <v>6092211.14</v>
      </c>
      <c r="O1035" t="s" s="2">
        <v>305</v>
      </c>
      <c r="P1035" s="5">
        <v>50752</v>
      </c>
      <c r="Q1035" t="s" s="2">
        <v>1772</v>
      </c>
      <c r="R1035" t="s" s="2">
        <f>_xlfn.IFERROR(INDEX('model_byCAP'!$D$2:$D$377,MATCH(Q1035,'model_byCAP'!$A$2:$A$377,0)),0)</f>
        <v>1773</v>
      </c>
    </row>
    <row r="1036" ht="15.35" customHeight="1">
      <c r="A1036" t="s" s="2">
        <v>2084</v>
      </c>
      <c r="B1036" s="4">
        <v>40095</v>
      </c>
      <c r="C1036" s="5">
        <v>2300</v>
      </c>
      <c r="D1036" s="5">
        <v>93</v>
      </c>
      <c r="E1036" s="5">
        <v>80</v>
      </c>
      <c r="F1036" t="s" s="2">
        <v>19</v>
      </c>
      <c r="G1036" t="s" s="2">
        <v>1768</v>
      </c>
      <c r="H1036" s="5">
        <v>479</v>
      </c>
      <c r="I1036" t="s" s="2">
        <v>2082</v>
      </c>
      <c r="J1036" t="s" s="2">
        <v>22</v>
      </c>
      <c r="K1036" t="s" s="2">
        <v>2085</v>
      </c>
      <c r="L1036" t="s" s="2">
        <v>518</v>
      </c>
      <c r="M1036" s="5">
        <v>601109.28</v>
      </c>
      <c r="N1036" s="5">
        <v>6092491.89</v>
      </c>
      <c r="O1036" t="s" s="2">
        <v>305</v>
      </c>
      <c r="P1036" s="5">
        <v>50753</v>
      </c>
      <c r="Q1036" t="s" s="2">
        <v>1772</v>
      </c>
      <c r="R1036" t="s" s="2">
        <f>_xlfn.IFERROR(INDEX('model_byCAP'!$D$2:$D$377,MATCH(Q1036,'model_byCAP'!$A$2:$A$377,0)),0)</f>
        <v>1773</v>
      </c>
    </row>
    <row r="1037" ht="15.35" customHeight="1">
      <c r="A1037" t="s" s="2">
        <v>2086</v>
      </c>
      <c r="B1037" s="4">
        <v>41529</v>
      </c>
      <c r="C1037" s="5">
        <v>2300</v>
      </c>
      <c r="D1037" s="5">
        <v>93</v>
      </c>
      <c r="E1037" s="5">
        <v>80</v>
      </c>
      <c r="F1037" t="s" s="2">
        <v>19</v>
      </c>
      <c r="G1037" t="s" s="2">
        <v>1768</v>
      </c>
      <c r="H1037" s="5">
        <v>530</v>
      </c>
      <c r="I1037" t="s" s="2">
        <v>1357</v>
      </c>
      <c r="J1037" t="s" s="2">
        <v>22</v>
      </c>
      <c r="K1037" t="s" s="2">
        <v>2087</v>
      </c>
      <c r="L1037" t="s" s="2">
        <v>507</v>
      </c>
      <c r="M1037" s="5">
        <v>503018.88</v>
      </c>
      <c r="N1037" s="5">
        <v>6188008.7</v>
      </c>
      <c r="O1037" t="s" s="2">
        <v>305</v>
      </c>
      <c r="P1037" s="5">
        <v>16113</v>
      </c>
      <c r="Q1037" t="s" s="2">
        <v>1772</v>
      </c>
      <c r="R1037" t="s" s="2">
        <f>_xlfn.IFERROR(INDEX('model_byCAP'!$D$2:$D$377,MATCH(Q1037,'model_byCAP'!$A$2:$A$377,0)),0)</f>
        <v>1773</v>
      </c>
    </row>
    <row r="1038" ht="15.35" customHeight="1">
      <c r="A1038" t="s" s="2">
        <v>2088</v>
      </c>
      <c r="B1038" s="4">
        <v>41529</v>
      </c>
      <c r="C1038" s="5">
        <v>2300</v>
      </c>
      <c r="D1038" s="5">
        <v>93</v>
      </c>
      <c r="E1038" s="5">
        <v>80</v>
      </c>
      <c r="F1038" t="s" s="2">
        <v>19</v>
      </c>
      <c r="G1038" t="s" s="2">
        <v>1768</v>
      </c>
      <c r="H1038" s="5">
        <v>530</v>
      </c>
      <c r="I1038" t="s" s="2">
        <v>1357</v>
      </c>
      <c r="J1038" t="s" s="2">
        <v>22</v>
      </c>
      <c r="K1038" t="s" s="2">
        <v>2087</v>
      </c>
      <c r="L1038" t="s" s="2">
        <v>2089</v>
      </c>
      <c r="M1038" s="5">
        <v>502911.31</v>
      </c>
      <c r="N1038" s="5">
        <v>6187751.3</v>
      </c>
      <c r="O1038" t="s" s="2">
        <v>305</v>
      </c>
      <c r="P1038" s="5">
        <v>16114</v>
      </c>
      <c r="Q1038" t="s" s="2">
        <v>1772</v>
      </c>
      <c r="R1038" t="s" s="2">
        <f>_xlfn.IFERROR(INDEX('model_byCAP'!$D$2:$D$377,MATCH(Q1038,'model_byCAP'!$A$2:$A$377,0)),0)</f>
        <v>1773</v>
      </c>
    </row>
    <row r="1039" ht="15.35" customHeight="1">
      <c r="A1039" t="s" s="2">
        <v>2090</v>
      </c>
      <c r="B1039" s="4">
        <v>41541</v>
      </c>
      <c r="C1039" s="5">
        <v>2300</v>
      </c>
      <c r="D1039" s="5">
        <v>93</v>
      </c>
      <c r="E1039" s="5">
        <v>80</v>
      </c>
      <c r="F1039" t="s" s="2">
        <v>19</v>
      </c>
      <c r="G1039" t="s" s="2">
        <v>1768</v>
      </c>
      <c r="H1039" s="5">
        <v>530</v>
      </c>
      <c r="I1039" t="s" s="2">
        <v>1357</v>
      </c>
      <c r="J1039" t="s" s="2">
        <v>22</v>
      </c>
      <c r="K1039" t="s" s="2">
        <v>2087</v>
      </c>
      <c r="L1039" t="s" s="2">
        <v>1053</v>
      </c>
      <c r="M1039" s="5">
        <v>502804.75</v>
      </c>
      <c r="N1039" s="5">
        <v>6187496.9</v>
      </c>
      <c r="O1039" t="s" s="2">
        <v>305</v>
      </c>
      <c r="P1039" s="5">
        <v>16115</v>
      </c>
      <c r="Q1039" t="s" s="2">
        <v>1772</v>
      </c>
      <c r="R1039" t="s" s="2">
        <f>_xlfn.IFERROR(INDEX('model_byCAP'!$D$2:$D$377,MATCH(Q1039,'model_byCAP'!$A$2:$A$377,0)),0)</f>
        <v>1773</v>
      </c>
    </row>
    <row r="1040" ht="15.35" customHeight="1">
      <c r="A1040" t="s" s="2">
        <v>2091</v>
      </c>
      <c r="B1040" s="4">
        <v>41373</v>
      </c>
      <c r="C1040" s="5">
        <v>2300</v>
      </c>
      <c r="D1040" s="5">
        <v>93</v>
      </c>
      <c r="E1040" s="5">
        <v>80</v>
      </c>
      <c r="F1040" t="s" s="2">
        <v>19</v>
      </c>
      <c r="G1040" t="s" s="2">
        <v>1768</v>
      </c>
      <c r="H1040" s="5">
        <v>540</v>
      </c>
      <c r="I1040" t="s" s="2">
        <v>2092</v>
      </c>
      <c r="J1040" t="s" s="2">
        <v>22</v>
      </c>
      <c r="K1040" t="s" s="2">
        <v>2093</v>
      </c>
      <c r="L1040" s="5">
        <v>114</v>
      </c>
      <c r="M1040" s="5">
        <v>560879.37</v>
      </c>
      <c r="N1040" s="5">
        <v>6085104.32</v>
      </c>
      <c r="O1040" t="s" s="2">
        <v>305</v>
      </c>
      <c r="P1040" s="5">
        <v>4579508</v>
      </c>
      <c r="Q1040" t="s" s="2">
        <v>1772</v>
      </c>
      <c r="R1040" t="s" s="2">
        <f>_xlfn.IFERROR(INDEX('model_byCAP'!$D$2:$D$377,MATCH(Q1040,'model_byCAP'!$A$2:$A$377,0)),0)</f>
        <v>1773</v>
      </c>
    </row>
    <row r="1041" ht="15.35" customHeight="1">
      <c r="A1041" t="s" s="2">
        <v>2094</v>
      </c>
      <c r="B1041" s="4">
        <v>41375</v>
      </c>
      <c r="C1041" s="5">
        <v>2300</v>
      </c>
      <c r="D1041" s="5">
        <v>93</v>
      </c>
      <c r="E1041" s="5">
        <v>80</v>
      </c>
      <c r="F1041" t="s" s="2">
        <v>19</v>
      </c>
      <c r="G1041" t="s" s="2">
        <v>1768</v>
      </c>
      <c r="H1041" s="5">
        <v>540</v>
      </c>
      <c r="I1041" t="s" s="2">
        <v>2092</v>
      </c>
      <c r="J1041" t="s" s="2">
        <v>22</v>
      </c>
      <c r="K1041" t="s" s="2">
        <v>2095</v>
      </c>
      <c r="L1041" s="5">
        <v>116</v>
      </c>
      <c r="M1041" s="5">
        <v>561019.85</v>
      </c>
      <c r="N1041" s="5">
        <v>6084904.09</v>
      </c>
      <c r="O1041" t="s" s="2">
        <v>305</v>
      </c>
      <c r="P1041" s="5">
        <v>44579509</v>
      </c>
      <c r="Q1041" t="s" s="2">
        <v>1772</v>
      </c>
      <c r="R1041" t="s" s="2">
        <f>_xlfn.IFERROR(INDEX('model_byCAP'!$D$2:$D$377,MATCH(Q1041,'model_byCAP'!$A$2:$A$377,0)),0)</f>
        <v>1773</v>
      </c>
    </row>
    <row r="1042" ht="15.35" customHeight="1">
      <c r="A1042" t="s" s="2">
        <v>2096</v>
      </c>
      <c r="B1042" s="4">
        <v>39947</v>
      </c>
      <c r="C1042" s="5">
        <v>2300</v>
      </c>
      <c r="D1042" s="5">
        <v>93</v>
      </c>
      <c r="E1042" s="5">
        <v>55</v>
      </c>
      <c r="F1042" t="s" s="2">
        <v>19</v>
      </c>
      <c r="G1042" t="s" s="2">
        <v>1768</v>
      </c>
      <c r="H1042" s="5">
        <v>561</v>
      </c>
      <c r="I1042" t="s" s="2">
        <v>196</v>
      </c>
      <c r="J1042" t="s" s="2">
        <v>47</v>
      </c>
      <c r="K1042" t="s" s="2">
        <v>202</v>
      </c>
      <c r="L1042" t="s" s="2">
        <v>618</v>
      </c>
      <c r="M1042" s="5">
        <v>408909</v>
      </c>
      <c r="N1042" s="5">
        <v>6163045</v>
      </c>
      <c r="O1042" t="s" s="2">
        <v>1492</v>
      </c>
      <c r="P1042" t="s" s="2">
        <v>2097</v>
      </c>
      <c r="Q1042" t="s" s="2">
        <v>1772</v>
      </c>
      <c r="R1042" t="s" s="2">
        <f>_xlfn.IFERROR(INDEX('model_byCAP'!$D$2:$D$377,MATCH(Q1042,'model_byCAP'!$A$2:$A$377,0)),0)</f>
        <v>1773</v>
      </c>
    </row>
    <row r="1043" ht="15.35" customHeight="1">
      <c r="A1043" t="s" s="2">
        <v>2098</v>
      </c>
      <c r="B1043" s="4">
        <v>39947</v>
      </c>
      <c r="C1043" s="5">
        <v>2300</v>
      </c>
      <c r="D1043" s="5">
        <v>93</v>
      </c>
      <c r="E1043" s="5">
        <v>55</v>
      </c>
      <c r="F1043" t="s" s="2">
        <v>19</v>
      </c>
      <c r="G1043" t="s" s="2">
        <v>1768</v>
      </c>
      <c r="H1043" s="5">
        <v>561</v>
      </c>
      <c r="I1043" t="s" s="2">
        <v>196</v>
      </c>
      <c r="J1043" t="s" s="2">
        <v>47</v>
      </c>
      <c r="K1043" t="s" s="2">
        <v>202</v>
      </c>
      <c r="L1043" t="s" s="2">
        <v>618</v>
      </c>
      <c r="M1043" s="5">
        <v>409430</v>
      </c>
      <c r="N1043" s="5">
        <v>6162884</v>
      </c>
      <c r="O1043" t="s" s="2">
        <v>1492</v>
      </c>
      <c r="P1043" t="s" s="2">
        <v>2099</v>
      </c>
      <c r="Q1043" t="s" s="2">
        <v>1772</v>
      </c>
      <c r="R1043" t="s" s="2">
        <f>_xlfn.IFERROR(INDEX('model_byCAP'!$D$2:$D$377,MATCH(Q1043,'model_byCAP'!$A$2:$A$377,0)),0)</f>
        <v>1773</v>
      </c>
    </row>
    <row r="1044" ht="15.35" customHeight="1">
      <c r="A1044" t="s" s="2">
        <v>2100</v>
      </c>
      <c r="B1044" s="4">
        <v>39949</v>
      </c>
      <c r="C1044" s="5">
        <v>2300</v>
      </c>
      <c r="D1044" s="5">
        <v>93</v>
      </c>
      <c r="E1044" s="5">
        <v>55</v>
      </c>
      <c r="F1044" t="s" s="2">
        <v>19</v>
      </c>
      <c r="G1044" t="s" s="2">
        <v>1768</v>
      </c>
      <c r="H1044" s="5">
        <v>561</v>
      </c>
      <c r="I1044" t="s" s="2">
        <v>196</v>
      </c>
      <c r="J1044" t="s" s="2">
        <v>47</v>
      </c>
      <c r="K1044" t="s" s="2">
        <v>202</v>
      </c>
      <c r="L1044" t="s" s="2">
        <v>618</v>
      </c>
      <c r="M1044" s="5">
        <v>409950</v>
      </c>
      <c r="N1044" s="5">
        <v>6162723</v>
      </c>
      <c r="O1044" t="s" s="2">
        <v>1492</v>
      </c>
      <c r="P1044" t="s" s="2">
        <v>2101</v>
      </c>
      <c r="Q1044" t="s" s="2">
        <v>1772</v>
      </c>
      <c r="R1044" t="s" s="2">
        <f>_xlfn.IFERROR(INDEX('model_byCAP'!$D$2:$D$377,MATCH(Q1044,'model_byCAP'!$A$2:$A$377,0)),0)</f>
        <v>1773</v>
      </c>
    </row>
    <row r="1045" ht="15.35" customHeight="1">
      <c r="A1045" t="s" s="2">
        <v>2102</v>
      </c>
      <c r="B1045" s="4">
        <v>39947</v>
      </c>
      <c r="C1045" s="5">
        <v>2300</v>
      </c>
      <c r="D1045" s="5">
        <v>93</v>
      </c>
      <c r="E1045" s="5">
        <v>55</v>
      </c>
      <c r="F1045" t="s" s="2">
        <v>19</v>
      </c>
      <c r="G1045" t="s" s="2">
        <v>1768</v>
      </c>
      <c r="H1045" s="5">
        <v>561</v>
      </c>
      <c r="I1045" t="s" s="2">
        <v>196</v>
      </c>
      <c r="J1045" t="s" s="2">
        <v>47</v>
      </c>
      <c r="K1045" t="s" s="2">
        <v>202</v>
      </c>
      <c r="L1045" t="s" s="2">
        <v>618</v>
      </c>
      <c r="M1045" s="5">
        <v>410471</v>
      </c>
      <c r="N1045" s="5">
        <v>6162562</v>
      </c>
      <c r="O1045" t="s" s="2">
        <v>1492</v>
      </c>
      <c r="P1045" t="s" s="2">
        <v>2103</v>
      </c>
      <c r="Q1045" t="s" s="2">
        <v>1772</v>
      </c>
      <c r="R1045" t="s" s="2">
        <f>_xlfn.IFERROR(INDEX('model_byCAP'!$D$2:$D$377,MATCH(Q1045,'model_byCAP'!$A$2:$A$377,0)),0)</f>
        <v>1773</v>
      </c>
    </row>
    <row r="1046" ht="15.35" customHeight="1">
      <c r="A1046" t="s" s="2">
        <v>2104</v>
      </c>
      <c r="B1046" s="4">
        <v>39947</v>
      </c>
      <c r="C1046" s="5">
        <v>2300</v>
      </c>
      <c r="D1046" s="5">
        <v>93</v>
      </c>
      <c r="E1046" s="5">
        <v>55</v>
      </c>
      <c r="F1046" t="s" s="2">
        <v>19</v>
      </c>
      <c r="G1046" t="s" s="2">
        <v>1768</v>
      </c>
      <c r="H1046" s="5">
        <v>561</v>
      </c>
      <c r="I1046" t="s" s="2">
        <v>196</v>
      </c>
      <c r="J1046" t="s" s="2">
        <v>47</v>
      </c>
      <c r="K1046" t="s" s="2">
        <v>202</v>
      </c>
      <c r="L1046" t="s" s="2">
        <v>618</v>
      </c>
      <c r="M1046" s="5">
        <v>410991</v>
      </c>
      <c r="N1046" s="5">
        <v>6162401</v>
      </c>
      <c r="O1046" t="s" s="2">
        <v>1492</v>
      </c>
      <c r="P1046" t="s" s="2">
        <v>2105</v>
      </c>
      <c r="Q1046" t="s" s="2">
        <v>1772</v>
      </c>
      <c r="R1046" t="s" s="2">
        <f>_xlfn.IFERROR(INDEX('model_byCAP'!$D$2:$D$377,MATCH(Q1046,'model_byCAP'!$A$2:$A$377,0)),0)</f>
        <v>1773</v>
      </c>
    </row>
    <row r="1047" ht="15.35" customHeight="1">
      <c r="A1047" t="s" s="2">
        <v>2106</v>
      </c>
      <c r="B1047" s="4">
        <v>39946</v>
      </c>
      <c r="C1047" s="5">
        <v>2300</v>
      </c>
      <c r="D1047" s="5">
        <v>93</v>
      </c>
      <c r="E1047" s="5">
        <v>55</v>
      </c>
      <c r="F1047" t="s" s="2">
        <v>19</v>
      </c>
      <c r="G1047" t="s" s="2">
        <v>1768</v>
      </c>
      <c r="H1047" s="5">
        <v>561</v>
      </c>
      <c r="I1047" t="s" s="2">
        <v>196</v>
      </c>
      <c r="J1047" t="s" s="2">
        <v>47</v>
      </c>
      <c r="K1047" t="s" s="2">
        <v>202</v>
      </c>
      <c r="L1047" t="s" s="2">
        <v>618</v>
      </c>
      <c r="M1047" s="5">
        <v>411512</v>
      </c>
      <c r="N1047" s="5">
        <v>6162239</v>
      </c>
      <c r="O1047" t="s" s="2">
        <v>1492</v>
      </c>
      <c r="P1047" t="s" s="2">
        <v>2107</v>
      </c>
      <c r="Q1047" t="s" s="2">
        <v>1772</v>
      </c>
      <c r="R1047" t="s" s="2">
        <f>_xlfn.IFERROR(INDEX('model_byCAP'!$D$2:$D$377,MATCH(Q1047,'model_byCAP'!$A$2:$A$377,0)),0)</f>
        <v>1773</v>
      </c>
    </row>
    <row r="1048" ht="15.35" customHeight="1">
      <c r="A1048" t="s" s="2">
        <v>2108</v>
      </c>
      <c r="B1048" s="4">
        <v>39946</v>
      </c>
      <c r="C1048" s="5">
        <v>2300</v>
      </c>
      <c r="D1048" s="5">
        <v>93</v>
      </c>
      <c r="E1048" s="5">
        <v>55</v>
      </c>
      <c r="F1048" t="s" s="2">
        <v>19</v>
      </c>
      <c r="G1048" t="s" s="2">
        <v>1768</v>
      </c>
      <c r="H1048" s="5">
        <v>561</v>
      </c>
      <c r="I1048" t="s" s="2">
        <v>196</v>
      </c>
      <c r="J1048" t="s" s="2">
        <v>47</v>
      </c>
      <c r="K1048" t="s" s="2">
        <v>202</v>
      </c>
      <c r="L1048" t="s" s="2">
        <v>618</v>
      </c>
      <c r="M1048" s="5">
        <v>412033</v>
      </c>
      <c r="N1048" s="5">
        <v>6162078</v>
      </c>
      <c r="O1048" t="s" s="2">
        <v>1492</v>
      </c>
      <c r="P1048" t="s" s="2">
        <v>2109</v>
      </c>
      <c r="Q1048" t="s" s="2">
        <v>1772</v>
      </c>
      <c r="R1048" t="s" s="2">
        <f>_xlfn.IFERROR(INDEX('model_byCAP'!$D$2:$D$377,MATCH(Q1048,'model_byCAP'!$A$2:$A$377,0)),0)</f>
        <v>1773</v>
      </c>
    </row>
    <row r="1049" ht="15.35" customHeight="1">
      <c r="A1049" t="s" s="2">
        <v>2110</v>
      </c>
      <c r="B1049" s="4">
        <v>39970</v>
      </c>
      <c r="C1049" s="5">
        <v>2300</v>
      </c>
      <c r="D1049" s="5">
        <v>93</v>
      </c>
      <c r="E1049" s="5">
        <v>55</v>
      </c>
      <c r="F1049" t="s" s="2">
        <v>19</v>
      </c>
      <c r="G1049" t="s" s="2">
        <v>1768</v>
      </c>
      <c r="H1049" s="5">
        <v>561</v>
      </c>
      <c r="I1049" t="s" s="2">
        <v>196</v>
      </c>
      <c r="J1049" t="s" s="2">
        <v>47</v>
      </c>
      <c r="K1049" t="s" s="2">
        <v>202</v>
      </c>
      <c r="L1049" t="s" s="2">
        <v>618</v>
      </c>
      <c r="M1049" s="5">
        <v>408669</v>
      </c>
      <c r="N1049" s="5">
        <v>6162172</v>
      </c>
      <c r="O1049" t="s" s="2">
        <v>1492</v>
      </c>
      <c r="P1049" t="s" s="2">
        <v>2111</v>
      </c>
      <c r="Q1049" t="s" s="2">
        <v>1772</v>
      </c>
      <c r="R1049" t="s" s="2">
        <f>_xlfn.IFERROR(INDEX('model_byCAP'!$D$2:$D$377,MATCH(Q1049,'model_byCAP'!$A$2:$A$377,0)),0)</f>
        <v>1773</v>
      </c>
    </row>
    <row r="1050" ht="15.35" customHeight="1">
      <c r="A1050" t="s" s="2">
        <v>2112</v>
      </c>
      <c r="B1050" s="4">
        <v>39965</v>
      </c>
      <c r="C1050" s="5">
        <v>2300</v>
      </c>
      <c r="D1050" s="5">
        <v>93</v>
      </c>
      <c r="E1050" s="5">
        <v>55</v>
      </c>
      <c r="F1050" t="s" s="2">
        <v>19</v>
      </c>
      <c r="G1050" t="s" s="2">
        <v>1768</v>
      </c>
      <c r="H1050" s="5">
        <v>561</v>
      </c>
      <c r="I1050" t="s" s="2">
        <v>196</v>
      </c>
      <c r="J1050" t="s" s="2">
        <v>47</v>
      </c>
      <c r="K1050" t="s" s="2">
        <v>202</v>
      </c>
      <c r="L1050" t="s" s="2">
        <v>618</v>
      </c>
      <c r="M1050" s="5">
        <v>409199</v>
      </c>
      <c r="N1050" s="5">
        <v>6162045</v>
      </c>
      <c r="O1050" t="s" s="2">
        <v>1492</v>
      </c>
      <c r="P1050" t="s" s="2">
        <v>2113</v>
      </c>
      <c r="Q1050" t="s" s="2">
        <v>1772</v>
      </c>
      <c r="R1050" t="s" s="2">
        <f>_xlfn.IFERROR(INDEX('model_byCAP'!$D$2:$D$377,MATCH(Q1050,'model_byCAP'!$A$2:$A$377,0)),0)</f>
        <v>1773</v>
      </c>
    </row>
    <row r="1051" ht="15.35" customHeight="1">
      <c r="A1051" t="s" s="2">
        <v>2114</v>
      </c>
      <c r="B1051" s="4">
        <v>39965</v>
      </c>
      <c r="C1051" s="5">
        <v>2300</v>
      </c>
      <c r="D1051" s="5">
        <v>93</v>
      </c>
      <c r="E1051" s="5">
        <v>55</v>
      </c>
      <c r="F1051" t="s" s="2">
        <v>19</v>
      </c>
      <c r="G1051" t="s" s="2">
        <v>1768</v>
      </c>
      <c r="H1051" s="5">
        <v>561</v>
      </c>
      <c r="I1051" t="s" s="2">
        <v>196</v>
      </c>
      <c r="J1051" t="s" s="2">
        <v>47</v>
      </c>
      <c r="K1051" t="s" s="2">
        <v>202</v>
      </c>
      <c r="L1051" t="s" s="2">
        <v>618</v>
      </c>
      <c r="M1051" s="5">
        <v>409729</v>
      </c>
      <c r="N1051" s="5">
        <v>6161918</v>
      </c>
      <c r="O1051" t="s" s="2">
        <v>1492</v>
      </c>
      <c r="P1051" t="s" s="2">
        <v>2115</v>
      </c>
      <c r="Q1051" t="s" s="2">
        <v>1772</v>
      </c>
      <c r="R1051" t="s" s="2">
        <f>_xlfn.IFERROR(INDEX('model_byCAP'!$D$2:$D$377,MATCH(Q1051,'model_byCAP'!$A$2:$A$377,0)),0)</f>
        <v>1773</v>
      </c>
    </row>
    <row r="1052" ht="15.35" customHeight="1">
      <c r="A1052" t="s" s="2">
        <v>2116</v>
      </c>
      <c r="B1052" s="4">
        <v>39971</v>
      </c>
      <c r="C1052" s="5">
        <v>2300</v>
      </c>
      <c r="D1052" s="5">
        <v>93</v>
      </c>
      <c r="E1052" s="5">
        <v>55</v>
      </c>
      <c r="F1052" t="s" s="2">
        <v>19</v>
      </c>
      <c r="G1052" t="s" s="2">
        <v>1768</v>
      </c>
      <c r="H1052" s="5">
        <v>561</v>
      </c>
      <c r="I1052" t="s" s="2">
        <v>196</v>
      </c>
      <c r="J1052" t="s" s="2">
        <v>47</v>
      </c>
      <c r="K1052" t="s" s="2">
        <v>202</v>
      </c>
      <c r="L1052" t="s" s="2">
        <v>618</v>
      </c>
      <c r="M1052" s="5">
        <v>410259</v>
      </c>
      <c r="N1052" s="5">
        <v>6161791</v>
      </c>
      <c r="O1052" t="s" s="2">
        <v>1492</v>
      </c>
      <c r="P1052" t="s" s="2">
        <v>2117</v>
      </c>
      <c r="Q1052" t="s" s="2">
        <v>1772</v>
      </c>
      <c r="R1052" t="s" s="2">
        <f>_xlfn.IFERROR(INDEX('model_byCAP'!$D$2:$D$377,MATCH(Q1052,'model_byCAP'!$A$2:$A$377,0)),0)</f>
        <v>1773</v>
      </c>
    </row>
    <row r="1053" ht="15.35" customHeight="1">
      <c r="A1053" t="s" s="2">
        <v>2118</v>
      </c>
      <c r="B1053" s="4">
        <v>39970</v>
      </c>
      <c r="C1053" s="5">
        <v>2300</v>
      </c>
      <c r="D1053" s="5">
        <v>93</v>
      </c>
      <c r="E1053" s="5">
        <v>55</v>
      </c>
      <c r="F1053" t="s" s="2">
        <v>19</v>
      </c>
      <c r="G1053" t="s" s="2">
        <v>1768</v>
      </c>
      <c r="H1053" s="5">
        <v>561</v>
      </c>
      <c r="I1053" t="s" s="2">
        <v>196</v>
      </c>
      <c r="J1053" t="s" s="2">
        <v>47</v>
      </c>
      <c r="K1053" t="s" s="2">
        <v>202</v>
      </c>
      <c r="L1053" t="s" s="2">
        <v>618</v>
      </c>
      <c r="M1053" s="5">
        <v>410789</v>
      </c>
      <c r="N1053" s="5">
        <v>6161664</v>
      </c>
      <c r="O1053" t="s" s="2">
        <v>1492</v>
      </c>
      <c r="P1053" t="s" s="2">
        <v>2119</v>
      </c>
      <c r="Q1053" t="s" s="2">
        <v>1772</v>
      </c>
      <c r="R1053" t="s" s="2">
        <f>_xlfn.IFERROR(INDEX('model_byCAP'!$D$2:$D$377,MATCH(Q1053,'model_byCAP'!$A$2:$A$377,0)),0)</f>
        <v>1773</v>
      </c>
    </row>
    <row r="1054" ht="15.35" customHeight="1">
      <c r="A1054" t="s" s="2">
        <v>2120</v>
      </c>
      <c r="B1054" s="4">
        <v>39965</v>
      </c>
      <c r="C1054" s="5">
        <v>2300</v>
      </c>
      <c r="D1054" s="5">
        <v>93</v>
      </c>
      <c r="E1054" s="5">
        <v>55</v>
      </c>
      <c r="F1054" t="s" s="2">
        <v>19</v>
      </c>
      <c r="G1054" t="s" s="2">
        <v>1768</v>
      </c>
      <c r="H1054" s="5">
        <v>561</v>
      </c>
      <c r="I1054" t="s" s="2">
        <v>196</v>
      </c>
      <c r="J1054" t="s" s="2">
        <v>47</v>
      </c>
      <c r="K1054" t="s" s="2">
        <v>202</v>
      </c>
      <c r="L1054" t="s" s="2">
        <v>618</v>
      </c>
      <c r="M1054" s="5">
        <v>411319</v>
      </c>
      <c r="N1054" s="5">
        <v>6161536</v>
      </c>
      <c r="O1054" t="s" s="2">
        <v>1492</v>
      </c>
      <c r="P1054" t="s" s="2">
        <v>2121</v>
      </c>
      <c r="Q1054" t="s" s="2">
        <v>1772</v>
      </c>
      <c r="R1054" t="s" s="2">
        <f>_xlfn.IFERROR(INDEX('model_byCAP'!$D$2:$D$377,MATCH(Q1054,'model_byCAP'!$A$2:$A$377,0)),0)</f>
        <v>1773</v>
      </c>
    </row>
    <row r="1055" ht="15.35" customHeight="1">
      <c r="A1055" t="s" s="2">
        <v>2122</v>
      </c>
      <c r="B1055" s="4">
        <v>39965</v>
      </c>
      <c r="C1055" s="5">
        <v>2300</v>
      </c>
      <c r="D1055" s="5">
        <v>93</v>
      </c>
      <c r="E1055" s="5">
        <v>55</v>
      </c>
      <c r="F1055" t="s" s="2">
        <v>19</v>
      </c>
      <c r="G1055" t="s" s="2">
        <v>1768</v>
      </c>
      <c r="H1055" s="5">
        <v>561</v>
      </c>
      <c r="I1055" t="s" s="2">
        <v>196</v>
      </c>
      <c r="J1055" t="s" s="2">
        <v>47</v>
      </c>
      <c r="K1055" t="s" s="2">
        <v>202</v>
      </c>
      <c r="L1055" t="s" s="2">
        <v>618</v>
      </c>
      <c r="M1055" s="5">
        <v>411849</v>
      </c>
      <c r="N1055" s="5">
        <v>6161409</v>
      </c>
      <c r="O1055" t="s" s="2">
        <v>1492</v>
      </c>
      <c r="P1055" t="s" s="2">
        <v>2123</v>
      </c>
      <c r="Q1055" t="s" s="2">
        <v>1772</v>
      </c>
      <c r="R1055" t="s" s="2">
        <f>_xlfn.IFERROR(INDEX('model_byCAP'!$D$2:$D$377,MATCH(Q1055,'model_byCAP'!$A$2:$A$377,0)),0)</f>
        <v>1773</v>
      </c>
    </row>
    <row r="1056" ht="15.35" customHeight="1">
      <c r="A1056" t="s" s="2">
        <v>2124</v>
      </c>
      <c r="B1056" s="4">
        <v>40030</v>
      </c>
      <c r="C1056" s="5">
        <v>2300</v>
      </c>
      <c r="D1056" s="5">
        <v>93</v>
      </c>
      <c r="E1056" s="5">
        <v>55</v>
      </c>
      <c r="F1056" t="s" s="2">
        <v>19</v>
      </c>
      <c r="G1056" t="s" s="2">
        <v>1768</v>
      </c>
      <c r="H1056" s="5">
        <v>561</v>
      </c>
      <c r="I1056" t="s" s="2">
        <v>196</v>
      </c>
      <c r="J1056" t="s" s="2">
        <v>47</v>
      </c>
      <c r="K1056" t="s" s="2">
        <v>202</v>
      </c>
      <c r="L1056" t="s" s="2">
        <v>618</v>
      </c>
      <c r="M1056" s="5">
        <v>408487</v>
      </c>
      <c r="N1056" s="5">
        <v>6161286</v>
      </c>
      <c r="O1056" t="s" s="2">
        <v>1492</v>
      </c>
      <c r="P1056" t="s" s="2">
        <v>2125</v>
      </c>
      <c r="Q1056" t="s" s="2">
        <v>1772</v>
      </c>
      <c r="R1056" t="s" s="2">
        <f>_xlfn.IFERROR(INDEX('model_byCAP'!$D$2:$D$377,MATCH(Q1056,'model_byCAP'!$A$2:$A$377,0)),0)</f>
        <v>1773</v>
      </c>
    </row>
    <row r="1057" ht="15.35" customHeight="1">
      <c r="A1057" t="s" s="2">
        <v>2126</v>
      </c>
      <c r="B1057" s="4">
        <v>40031</v>
      </c>
      <c r="C1057" s="5">
        <v>2300</v>
      </c>
      <c r="D1057" s="5">
        <v>93</v>
      </c>
      <c r="E1057" s="5">
        <v>55</v>
      </c>
      <c r="F1057" t="s" s="2">
        <v>19</v>
      </c>
      <c r="G1057" t="s" s="2">
        <v>1768</v>
      </c>
      <c r="H1057" s="5">
        <v>561</v>
      </c>
      <c r="I1057" t="s" s="2">
        <v>196</v>
      </c>
      <c r="J1057" t="s" s="2">
        <v>47</v>
      </c>
      <c r="K1057" t="s" s="2">
        <v>202</v>
      </c>
      <c r="L1057" t="s" s="2">
        <v>618</v>
      </c>
      <c r="M1057" s="5">
        <v>409024</v>
      </c>
      <c r="N1057" s="5">
        <v>6161093</v>
      </c>
      <c r="O1057" t="s" s="2">
        <v>1492</v>
      </c>
      <c r="P1057" t="s" s="2">
        <v>2127</v>
      </c>
      <c r="Q1057" t="s" s="2">
        <v>1772</v>
      </c>
      <c r="R1057" t="s" s="2">
        <f>_xlfn.IFERROR(INDEX('model_byCAP'!$D$2:$D$377,MATCH(Q1057,'model_byCAP'!$A$2:$A$377,0)),0)</f>
        <v>1773</v>
      </c>
    </row>
    <row r="1058" ht="15.35" customHeight="1">
      <c r="A1058" t="s" s="2">
        <v>2128</v>
      </c>
      <c r="B1058" s="4">
        <v>40030</v>
      </c>
      <c r="C1058" s="5">
        <v>2300</v>
      </c>
      <c r="D1058" s="5">
        <v>93</v>
      </c>
      <c r="E1058" s="5">
        <v>55</v>
      </c>
      <c r="F1058" t="s" s="2">
        <v>19</v>
      </c>
      <c r="G1058" t="s" s="2">
        <v>1768</v>
      </c>
      <c r="H1058" s="5">
        <v>561</v>
      </c>
      <c r="I1058" t="s" s="2">
        <v>196</v>
      </c>
      <c r="J1058" t="s" s="2">
        <v>47</v>
      </c>
      <c r="K1058" t="s" s="2">
        <v>202</v>
      </c>
      <c r="L1058" t="s" s="2">
        <v>618</v>
      </c>
      <c r="M1058" s="5">
        <v>409561</v>
      </c>
      <c r="N1058" s="5">
        <v>6161100</v>
      </c>
      <c r="O1058" t="s" s="2">
        <v>1492</v>
      </c>
      <c r="P1058" t="s" s="2">
        <v>2129</v>
      </c>
      <c r="Q1058" t="s" s="2">
        <v>1772</v>
      </c>
      <c r="R1058" t="s" s="2">
        <f>_xlfn.IFERROR(INDEX('model_byCAP'!$D$2:$D$377,MATCH(Q1058,'model_byCAP'!$A$2:$A$377,0)),0)</f>
        <v>1773</v>
      </c>
    </row>
    <row r="1059" ht="15.35" customHeight="1">
      <c r="A1059" t="s" s="2">
        <v>2130</v>
      </c>
      <c r="B1059" s="4">
        <v>40029</v>
      </c>
      <c r="C1059" s="5">
        <v>2300</v>
      </c>
      <c r="D1059" s="5">
        <v>93</v>
      </c>
      <c r="E1059" s="5">
        <v>55</v>
      </c>
      <c r="F1059" t="s" s="2">
        <v>19</v>
      </c>
      <c r="G1059" t="s" s="2">
        <v>1768</v>
      </c>
      <c r="H1059" s="5">
        <v>561</v>
      </c>
      <c r="I1059" t="s" s="2">
        <v>196</v>
      </c>
      <c r="J1059" t="s" s="2">
        <v>47</v>
      </c>
      <c r="K1059" t="s" s="2">
        <v>202</v>
      </c>
      <c r="L1059" t="s" s="2">
        <v>618</v>
      </c>
      <c r="M1059" s="5">
        <v>410098</v>
      </c>
      <c r="N1059" s="5">
        <v>6161008</v>
      </c>
      <c r="O1059" t="s" s="2">
        <v>1492</v>
      </c>
      <c r="P1059" t="s" s="2">
        <v>2131</v>
      </c>
      <c r="Q1059" t="s" s="2">
        <v>1772</v>
      </c>
      <c r="R1059" t="s" s="2">
        <f>_xlfn.IFERROR(INDEX('model_byCAP'!$D$2:$D$377,MATCH(Q1059,'model_byCAP'!$A$2:$A$377,0)),0)</f>
        <v>1773</v>
      </c>
    </row>
    <row r="1060" ht="15.35" customHeight="1">
      <c r="A1060" t="s" s="2">
        <v>2132</v>
      </c>
      <c r="B1060" s="4">
        <v>40029</v>
      </c>
      <c r="C1060" s="5">
        <v>2300</v>
      </c>
      <c r="D1060" s="5">
        <v>93</v>
      </c>
      <c r="E1060" s="5">
        <v>55</v>
      </c>
      <c r="F1060" t="s" s="2">
        <v>19</v>
      </c>
      <c r="G1060" t="s" s="2">
        <v>1768</v>
      </c>
      <c r="H1060" s="5">
        <v>561</v>
      </c>
      <c r="I1060" t="s" s="2">
        <v>196</v>
      </c>
      <c r="J1060" t="s" s="2">
        <v>47</v>
      </c>
      <c r="K1060" t="s" s="2">
        <v>202</v>
      </c>
      <c r="L1060" t="s" s="2">
        <v>618</v>
      </c>
      <c r="M1060" s="5">
        <v>410635</v>
      </c>
      <c r="N1060" s="5">
        <v>6160915</v>
      </c>
      <c r="O1060" t="s" s="2">
        <v>1492</v>
      </c>
      <c r="P1060" t="s" s="2">
        <v>2133</v>
      </c>
      <c r="Q1060" t="s" s="2">
        <v>1772</v>
      </c>
      <c r="R1060" t="s" s="2">
        <f>_xlfn.IFERROR(INDEX('model_byCAP'!$D$2:$D$377,MATCH(Q1060,'model_byCAP'!$A$2:$A$377,0)),0)</f>
        <v>1773</v>
      </c>
    </row>
    <row r="1061" ht="15.35" customHeight="1">
      <c r="A1061" t="s" s="2">
        <v>2134</v>
      </c>
      <c r="B1061" s="4">
        <v>40029</v>
      </c>
      <c r="C1061" s="5">
        <v>2300</v>
      </c>
      <c r="D1061" s="5">
        <v>93</v>
      </c>
      <c r="E1061" s="5">
        <v>55</v>
      </c>
      <c r="F1061" t="s" s="2">
        <v>19</v>
      </c>
      <c r="G1061" t="s" s="2">
        <v>1768</v>
      </c>
      <c r="H1061" s="5">
        <v>561</v>
      </c>
      <c r="I1061" t="s" s="2">
        <v>196</v>
      </c>
      <c r="J1061" t="s" s="2">
        <v>47</v>
      </c>
      <c r="K1061" t="s" s="2">
        <v>202</v>
      </c>
      <c r="L1061" t="s" s="2">
        <v>618</v>
      </c>
      <c r="M1061" s="5">
        <v>411172</v>
      </c>
      <c r="N1061" s="5">
        <v>6160822</v>
      </c>
      <c r="O1061" t="s" s="2">
        <v>1492</v>
      </c>
      <c r="P1061" t="s" s="2">
        <v>2135</v>
      </c>
      <c r="Q1061" t="s" s="2">
        <v>1772</v>
      </c>
      <c r="R1061" t="s" s="2">
        <f>_xlfn.IFERROR(INDEX('model_byCAP'!$D$2:$D$377,MATCH(Q1061,'model_byCAP'!$A$2:$A$377,0)),0)</f>
        <v>1773</v>
      </c>
    </row>
    <row r="1062" ht="15.35" customHeight="1">
      <c r="A1062" t="s" s="2">
        <v>2136</v>
      </c>
      <c r="B1062" s="4">
        <v>40028</v>
      </c>
      <c r="C1062" s="5">
        <v>2300</v>
      </c>
      <c r="D1062" s="5">
        <v>93</v>
      </c>
      <c r="E1062" s="5">
        <v>55</v>
      </c>
      <c r="F1062" t="s" s="2">
        <v>19</v>
      </c>
      <c r="G1062" t="s" s="2">
        <v>1768</v>
      </c>
      <c r="H1062" s="5">
        <v>561</v>
      </c>
      <c r="I1062" t="s" s="2">
        <v>196</v>
      </c>
      <c r="J1062" t="s" s="2">
        <v>47</v>
      </c>
      <c r="K1062" t="s" s="2">
        <v>202</v>
      </c>
      <c r="L1062" t="s" s="2">
        <v>618</v>
      </c>
      <c r="M1062" s="5">
        <v>411709</v>
      </c>
      <c r="N1062" s="5">
        <v>6160729</v>
      </c>
      <c r="O1062" t="s" s="2">
        <v>1492</v>
      </c>
      <c r="P1062" t="s" s="2">
        <v>2137</v>
      </c>
      <c r="Q1062" t="s" s="2">
        <v>1772</v>
      </c>
      <c r="R1062" t="s" s="2">
        <f>_xlfn.IFERROR(INDEX('model_byCAP'!$D$2:$D$377,MATCH(Q1062,'model_byCAP'!$A$2:$A$377,0)),0)</f>
        <v>1773</v>
      </c>
    </row>
    <row r="1063" ht="15.35" customHeight="1">
      <c r="A1063" t="s" s="2">
        <v>2138</v>
      </c>
      <c r="B1063" s="4">
        <v>39988</v>
      </c>
      <c r="C1063" s="5">
        <v>2300</v>
      </c>
      <c r="D1063" s="5">
        <v>93</v>
      </c>
      <c r="E1063" s="5">
        <v>55</v>
      </c>
      <c r="F1063" t="s" s="2">
        <v>19</v>
      </c>
      <c r="G1063" t="s" s="2">
        <v>1768</v>
      </c>
      <c r="H1063" s="5">
        <v>561</v>
      </c>
      <c r="I1063" t="s" s="2">
        <v>196</v>
      </c>
      <c r="J1063" t="s" s="2">
        <v>47</v>
      </c>
      <c r="K1063" t="s" s="2">
        <v>202</v>
      </c>
      <c r="L1063" t="s" s="2">
        <v>618</v>
      </c>
      <c r="M1063" s="5">
        <v>408361</v>
      </c>
      <c r="N1063" s="5">
        <v>6160390</v>
      </c>
      <c r="O1063" t="s" s="2">
        <v>1492</v>
      </c>
      <c r="P1063" t="s" s="2">
        <v>2139</v>
      </c>
      <c r="Q1063" t="s" s="2">
        <v>1772</v>
      </c>
      <c r="R1063" t="s" s="2">
        <f>_xlfn.IFERROR(INDEX('model_byCAP'!$D$2:$D$377,MATCH(Q1063,'model_byCAP'!$A$2:$A$377,0)),0)</f>
        <v>1773</v>
      </c>
    </row>
    <row r="1064" ht="15.35" customHeight="1">
      <c r="A1064" t="s" s="2">
        <v>2140</v>
      </c>
      <c r="B1064" s="4">
        <v>40071</v>
      </c>
      <c r="C1064" s="5">
        <v>2300</v>
      </c>
      <c r="D1064" s="5">
        <v>93</v>
      </c>
      <c r="E1064" s="5">
        <v>55</v>
      </c>
      <c r="F1064" t="s" s="2">
        <v>19</v>
      </c>
      <c r="G1064" t="s" s="2">
        <v>1768</v>
      </c>
      <c r="H1064" s="5">
        <v>561</v>
      </c>
      <c r="I1064" t="s" s="2">
        <v>196</v>
      </c>
      <c r="J1064" t="s" s="2">
        <v>47</v>
      </c>
      <c r="K1064" t="s" s="2">
        <v>202</v>
      </c>
      <c r="L1064" t="s" s="2">
        <v>618</v>
      </c>
      <c r="M1064" s="5">
        <v>408903</v>
      </c>
      <c r="N1064" s="5">
        <v>6160332</v>
      </c>
      <c r="O1064" t="s" s="2">
        <v>1492</v>
      </c>
      <c r="P1064" t="s" s="2">
        <v>2141</v>
      </c>
      <c r="Q1064" t="s" s="2">
        <v>1772</v>
      </c>
      <c r="R1064" t="s" s="2">
        <f>_xlfn.IFERROR(INDEX('model_byCAP'!$D$2:$D$377,MATCH(Q1064,'model_byCAP'!$A$2:$A$377,0)),0)</f>
        <v>1773</v>
      </c>
    </row>
    <row r="1065" ht="15.35" customHeight="1">
      <c r="A1065" t="s" s="2">
        <v>2142</v>
      </c>
      <c r="B1065" s="4">
        <v>40032</v>
      </c>
      <c r="C1065" s="5">
        <v>2300</v>
      </c>
      <c r="D1065" s="5">
        <v>93</v>
      </c>
      <c r="E1065" s="5">
        <v>55</v>
      </c>
      <c r="F1065" t="s" s="2">
        <v>19</v>
      </c>
      <c r="G1065" t="s" s="2">
        <v>1768</v>
      </c>
      <c r="H1065" s="5">
        <v>561</v>
      </c>
      <c r="I1065" t="s" s="2">
        <v>196</v>
      </c>
      <c r="J1065" t="s" s="2">
        <v>47</v>
      </c>
      <c r="K1065" t="s" s="2">
        <v>202</v>
      </c>
      <c r="L1065" t="s" s="2">
        <v>618</v>
      </c>
      <c r="M1065" s="5">
        <v>409445</v>
      </c>
      <c r="N1065" s="5">
        <v>6160274</v>
      </c>
      <c r="O1065" t="s" s="2">
        <v>1492</v>
      </c>
      <c r="P1065" t="s" s="2">
        <v>2143</v>
      </c>
      <c r="Q1065" t="s" s="2">
        <v>1772</v>
      </c>
      <c r="R1065" t="s" s="2">
        <f>_xlfn.IFERROR(INDEX('model_byCAP'!$D$2:$D$377,MATCH(Q1065,'model_byCAP'!$A$2:$A$377,0)),0)</f>
        <v>1773</v>
      </c>
    </row>
    <row r="1066" ht="15.35" customHeight="1">
      <c r="A1066" t="s" s="2">
        <v>2144</v>
      </c>
      <c r="B1066" s="4">
        <v>39988</v>
      </c>
      <c r="C1066" s="5">
        <v>2300</v>
      </c>
      <c r="D1066" s="5">
        <v>93</v>
      </c>
      <c r="E1066" s="5">
        <v>55</v>
      </c>
      <c r="F1066" t="s" s="2">
        <v>19</v>
      </c>
      <c r="G1066" t="s" s="2">
        <v>1768</v>
      </c>
      <c r="H1066" s="5">
        <v>561</v>
      </c>
      <c r="I1066" t="s" s="2">
        <v>196</v>
      </c>
      <c r="J1066" t="s" s="2">
        <v>47</v>
      </c>
      <c r="K1066" t="s" s="2">
        <v>202</v>
      </c>
      <c r="L1066" t="s" s="2">
        <v>618</v>
      </c>
      <c r="M1066" s="5">
        <v>409987</v>
      </c>
      <c r="N1066" s="5">
        <v>6160216</v>
      </c>
      <c r="O1066" t="s" s="2">
        <v>1492</v>
      </c>
      <c r="P1066" t="s" s="2">
        <v>2145</v>
      </c>
      <c r="Q1066" t="s" s="2">
        <v>1772</v>
      </c>
      <c r="R1066" t="s" s="2">
        <f>_xlfn.IFERROR(INDEX('model_byCAP'!$D$2:$D$377,MATCH(Q1066,'model_byCAP'!$A$2:$A$377,0)),0)</f>
        <v>1773</v>
      </c>
    </row>
    <row r="1067" ht="15.35" customHeight="1">
      <c r="A1067" t="s" s="2">
        <v>2146</v>
      </c>
      <c r="B1067" s="4">
        <v>39986</v>
      </c>
      <c r="C1067" s="5">
        <v>2300</v>
      </c>
      <c r="D1067" s="5">
        <v>93</v>
      </c>
      <c r="E1067" s="5">
        <v>55</v>
      </c>
      <c r="F1067" t="s" s="2">
        <v>19</v>
      </c>
      <c r="G1067" t="s" s="2">
        <v>1768</v>
      </c>
      <c r="H1067" s="5">
        <v>561</v>
      </c>
      <c r="I1067" t="s" s="2">
        <v>196</v>
      </c>
      <c r="J1067" t="s" s="2">
        <v>47</v>
      </c>
      <c r="K1067" t="s" s="2">
        <v>202</v>
      </c>
      <c r="L1067" t="s" s="2">
        <v>618</v>
      </c>
      <c r="M1067" s="5">
        <v>410529</v>
      </c>
      <c r="N1067" s="5">
        <v>6160158</v>
      </c>
      <c r="O1067" t="s" s="2">
        <v>1492</v>
      </c>
      <c r="P1067" t="s" s="2">
        <v>2147</v>
      </c>
      <c r="Q1067" t="s" s="2">
        <v>1772</v>
      </c>
      <c r="R1067" t="s" s="2">
        <f>_xlfn.IFERROR(INDEX('model_byCAP'!$D$2:$D$377,MATCH(Q1067,'model_byCAP'!$A$2:$A$377,0)),0)</f>
        <v>1773</v>
      </c>
    </row>
    <row r="1068" ht="15.35" customHeight="1">
      <c r="A1068" t="s" s="2">
        <v>2148</v>
      </c>
      <c r="B1068" s="4">
        <v>39987</v>
      </c>
      <c r="C1068" s="5">
        <v>2300</v>
      </c>
      <c r="D1068" s="5">
        <v>93</v>
      </c>
      <c r="E1068" s="5">
        <v>55</v>
      </c>
      <c r="F1068" t="s" s="2">
        <v>19</v>
      </c>
      <c r="G1068" t="s" s="2">
        <v>1768</v>
      </c>
      <c r="H1068" s="5">
        <v>561</v>
      </c>
      <c r="I1068" t="s" s="2">
        <v>196</v>
      </c>
      <c r="J1068" t="s" s="2">
        <v>47</v>
      </c>
      <c r="K1068" t="s" s="2">
        <v>202</v>
      </c>
      <c r="L1068" t="s" s="2">
        <v>618</v>
      </c>
      <c r="M1068" s="5">
        <v>411071</v>
      </c>
      <c r="N1068" s="5">
        <v>6160100</v>
      </c>
      <c r="O1068" t="s" s="2">
        <v>1492</v>
      </c>
      <c r="P1068" t="s" s="2">
        <v>2149</v>
      </c>
      <c r="Q1068" t="s" s="2">
        <v>1772</v>
      </c>
      <c r="R1068" t="s" s="2">
        <f>_xlfn.IFERROR(INDEX('model_byCAP'!$D$2:$D$377,MATCH(Q1068,'model_byCAP'!$A$2:$A$377,0)),0)</f>
        <v>1773</v>
      </c>
    </row>
    <row r="1069" ht="15.35" customHeight="1">
      <c r="A1069" t="s" s="2">
        <v>2150</v>
      </c>
      <c r="B1069" s="4">
        <v>40030</v>
      </c>
      <c r="C1069" s="5">
        <v>2300</v>
      </c>
      <c r="D1069" s="5">
        <v>93</v>
      </c>
      <c r="E1069" s="5">
        <v>55</v>
      </c>
      <c r="F1069" t="s" s="2">
        <v>19</v>
      </c>
      <c r="G1069" t="s" s="2">
        <v>1768</v>
      </c>
      <c r="H1069" s="5">
        <v>561</v>
      </c>
      <c r="I1069" t="s" s="2">
        <v>196</v>
      </c>
      <c r="J1069" t="s" s="2">
        <v>47</v>
      </c>
      <c r="K1069" t="s" s="2">
        <v>202</v>
      </c>
      <c r="L1069" t="s" s="2">
        <v>618</v>
      </c>
      <c r="M1069" s="5">
        <v>411613</v>
      </c>
      <c r="N1069" s="5">
        <v>6160042</v>
      </c>
      <c r="O1069" t="s" s="2">
        <v>1492</v>
      </c>
      <c r="P1069" t="s" s="2">
        <v>2151</v>
      </c>
      <c r="Q1069" t="s" s="2">
        <v>1772</v>
      </c>
      <c r="R1069" t="s" s="2">
        <f>_xlfn.IFERROR(INDEX('model_byCAP'!$D$2:$D$377,MATCH(Q1069,'model_byCAP'!$A$2:$A$377,0)),0)</f>
        <v>1773</v>
      </c>
    </row>
    <row r="1070" ht="15.35" customHeight="1">
      <c r="A1070" t="s" s="2">
        <v>2152</v>
      </c>
      <c r="B1070" s="4">
        <v>40032</v>
      </c>
      <c r="C1070" s="5">
        <v>2300</v>
      </c>
      <c r="D1070" s="5">
        <v>93</v>
      </c>
      <c r="E1070" s="5">
        <v>55</v>
      </c>
      <c r="F1070" t="s" s="2">
        <v>19</v>
      </c>
      <c r="G1070" t="s" s="2">
        <v>1768</v>
      </c>
      <c r="H1070" s="5">
        <v>561</v>
      </c>
      <c r="I1070" t="s" s="2">
        <v>196</v>
      </c>
      <c r="J1070" t="s" s="2">
        <v>47</v>
      </c>
      <c r="K1070" t="s" s="2">
        <v>202</v>
      </c>
      <c r="L1070" t="s" s="2">
        <v>618</v>
      </c>
      <c r="M1070" s="5">
        <v>408294</v>
      </c>
      <c r="N1070" s="5">
        <v>6159487</v>
      </c>
      <c r="O1070" t="s" s="2">
        <v>1492</v>
      </c>
      <c r="P1070" t="s" s="2">
        <v>2153</v>
      </c>
      <c r="Q1070" t="s" s="2">
        <v>1772</v>
      </c>
      <c r="R1070" t="s" s="2">
        <f>_xlfn.IFERROR(INDEX('model_byCAP'!$D$2:$D$377,MATCH(Q1070,'model_byCAP'!$A$2:$A$377,0)),0)</f>
        <v>1773</v>
      </c>
    </row>
    <row r="1071" ht="15.35" customHeight="1">
      <c r="A1071" t="s" s="2">
        <v>2154</v>
      </c>
      <c r="B1071" s="4">
        <v>40030</v>
      </c>
      <c r="C1071" s="5">
        <v>2300</v>
      </c>
      <c r="D1071" s="5">
        <v>93</v>
      </c>
      <c r="E1071" s="5">
        <v>55</v>
      </c>
      <c r="F1071" t="s" s="2">
        <v>19</v>
      </c>
      <c r="G1071" t="s" s="2">
        <v>1768</v>
      </c>
      <c r="H1071" s="5">
        <v>561</v>
      </c>
      <c r="I1071" t="s" s="2">
        <v>196</v>
      </c>
      <c r="J1071" t="s" s="2">
        <v>47</v>
      </c>
      <c r="K1071" t="s" s="2">
        <v>202</v>
      </c>
      <c r="L1071" t="s" s="2">
        <v>618</v>
      </c>
      <c r="M1071" s="5">
        <v>408839</v>
      </c>
      <c r="N1071" s="5">
        <v>6159464</v>
      </c>
      <c r="O1071" t="s" s="2">
        <v>1492</v>
      </c>
      <c r="P1071" t="s" s="2">
        <v>2155</v>
      </c>
      <c r="Q1071" t="s" s="2">
        <v>1772</v>
      </c>
      <c r="R1071" t="s" s="2">
        <f>_xlfn.IFERROR(INDEX('model_byCAP'!$D$2:$D$377,MATCH(Q1071,'model_byCAP'!$A$2:$A$377,0)),0)</f>
        <v>1773</v>
      </c>
    </row>
    <row r="1072" ht="15.35" customHeight="1">
      <c r="A1072" t="s" s="2">
        <v>2156</v>
      </c>
      <c r="B1072" s="4">
        <v>40032</v>
      </c>
      <c r="C1072" s="5">
        <v>2300</v>
      </c>
      <c r="D1072" s="5">
        <v>93</v>
      </c>
      <c r="E1072" s="5">
        <v>55</v>
      </c>
      <c r="F1072" t="s" s="2">
        <v>19</v>
      </c>
      <c r="G1072" t="s" s="2">
        <v>1768</v>
      </c>
      <c r="H1072" s="5">
        <v>561</v>
      </c>
      <c r="I1072" t="s" s="2">
        <v>196</v>
      </c>
      <c r="J1072" t="s" s="2">
        <v>47</v>
      </c>
      <c r="K1072" t="s" s="2">
        <v>202</v>
      </c>
      <c r="L1072" t="s" s="2">
        <v>618</v>
      </c>
      <c r="M1072" s="5">
        <v>409383</v>
      </c>
      <c r="N1072" s="5">
        <v>6159441</v>
      </c>
      <c r="O1072" t="s" s="2">
        <v>1492</v>
      </c>
      <c r="P1072" t="s" s="2">
        <v>2157</v>
      </c>
      <c r="Q1072" t="s" s="2">
        <v>1772</v>
      </c>
      <c r="R1072" t="s" s="2">
        <f>_xlfn.IFERROR(INDEX('model_byCAP'!$D$2:$D$377,MATCH(Q1072,'model_byCAP'!$A$2:$A$377,0)),0)</f>
        <v>1773</v>
      </c>
    </row>
    <row r="1073" ht="15.35" customHeight="1">
      <c r="A1073" t="s" s="2">
        <v>2158</v>
      </c>
      <c r="B1073" s="4">
        <v>40030</v>
      </c>
      <c r="C1073" s="5">
        <v>2300</v>
      </c>
      <c r="D1073" s="5">
        <v>93</v>
      </c>
      <c r="E1073" s="5">
        <v>55</v>
      </c>
      <c r="F1073" t="s" s="2">
        <v>19</v>
      </c>
      <c r="G1073" t="s" s="2">
        <v>1768</v>
      </c>
      <c r="H1073" s="5">
        <v>561</v>
      </c>
      <c r="I1073" t="s" s="2">
        <v>196</v>
      </c>
      <c r="J1073" t="s" s="2">
        <v>47</v>
      </c>
      <c r="K1073" t="s" s="2">
        <v>202</v>
      </c>
      <c r="L1073" t="s" s="2">
        <v>618</v>
      </c>
      <c r="M1073" s="5">
        <v>409928</v>
      </c>
      <c r="N1073" s="5">
        <v>6159419</v>
      </c>
      <c r="O1073" t="s" s="2">
        <v>1492</v>
      </c>
      <c r="P1073" t="s" s="2">
        <v>2159</v>
      </c>
      <c r="Q1073" t="s" s="2">
        <v>1772</v>
      </c>
      <c r="R1073" t="s" s="2">
        <f>_xlfn.IFERROR(INDEX('model_byCAP'!$D$2:$D$377,MATCH(Q1073,'model_byCAP'!$A$2:$A$377,0)),0)</f>
        <v>1773</v>
      </c>
    </row>
    <row r="1074" ht="15.35" customHeight="1">
      <c r="A1074" t="s" s="2">
        <v>2160</v>
      </c>
      <c r="B1074" s="4">
        <v>40030</v>
      </c>
      <c r="C1074" s="5">
        <v>2300</v>
      </c>
      <c r="D1074" s="5">
        <v>93</v>
      </c>
      <c r="E1074" s="5">
        <v>55</v>
      </c>
      <c r="F1074" t="s" s="2">
        <v>19</v>
      </c>
      <c r="G1074" t="s" s="2">
        <v>1768</v>
      </c>
      <c r="H1074" s="5">
        <v>561</v>
      </c>
      <c r="I1074" t="s" s="2">
        <v>196</v>
      </c>
      <c r="J1074" t="s" s="2">
        <v>47</v>
      </c>
      <c r="K1074" t="s" s="2">
        <v>202</v>
      </c>
      <c r="L1074" t="s" s="2">
        <v>618</v>
      </c>
      <c r="M1074" s="5">
        <v>410472</v>
      </c>
      <c r="N1074" s="5">
        <v>6159396</v>
      </c>
      <c r="O1074" t="s" s="2">
        <v>1492</v>
      </c>
      <c r="P1074" t="s" s="2">
        <v>2161</v>
      </c>
      <c r="Q1074" t="s" s="2">
        <v>1772</v>
      </c>
      <c r="R1074" t="s" s="2">
        <f>_xlfn.IFERROR(INDEX('model_byCAP'!$D$2:$D$377,MATCH(Q1074,'model_byCAP'!$A$2:$A$377,0)),0)</f>
        <v>1773</v>
      </c>
    </row>
    <row r="1075" ht="15.35" customHeight="1">
      <c r="A1075" t="s" s="2">
        <v>2162</v>
      </c>
      <c r="B1075" s="4">
        <v>40030</v>
      </c>
      <c r="C1075" s="5">
        <v>2300</v>
      </c>
      <c r="D1075" s="5">
        <v>93</v>
      </c>
      <c r="E1075" s="5">
        <v>55</v>
      </c>
      <c r="F1075" t="s" s="2">
        <v>19</v>
      </c>
      <c r="G1075" t="s" s="2">
        <v>1768</v>
      </c>
      <c r="H1075" s="5">
        <v>561</v>
      </c>
      <c r="I1075" t="s" s="2">
        <v>196</v>
      </c>
      <c r="J1075" t="s" s="2">
        <v>47</v>
      </c>
      <c r="K1075" t="s" s="2">
        <v>202</v>
      </c>
      <c r="L1075" t="s" s="2">
        <v>618</v>
      </c>
      <c r="M1075" s="5">
        <v>411017</v>
      </c>
      <c r="N1075" s="5">
        <v>6159373</v>
      </c>
      <c r="O1075" t="s" s="2">
        <v>1492</v>
      </c>
      <c r="P1075" t="s" s="2">
        <v>2163</v>
      </c>
      <c r="Q1075" t="s" s="2">
        <v>1772</v>
      </c>
      <c r="R1075" t="s" s="2">
        <f>_xlfn.IFERROR(INDEX('model_byCAP'!$D$2:$D$377,MATCH(Q1075,'model_byCAP'!$A$2:$A$377,0)),0)</f>
        <v>1773</v>
      </c>
    </row>
    <row r="1076" ht="15.35" customHeight="1">
      <c r="A1076" t="s" s="2">
        <v>2164</v>
      </c>
      <c r="B1076" s="4">
        <v>40030</v>
      </c>
      <c r="C1076" s="5">
        <v>2300</v>
      </c>
      <c r="D1076" s="5">
        <v>93</v>
      </c>
      <c r="E1076" s="5">
        <v>55</v>
      </c>
      <c r="F1076" t="s" s="2">
        <v>19</v>
      </c>
      <c r="G1076" t="s" s="2">
        <v>1768</v>
      </c>
      <c r="H1076" s="5">
        <v>561</v>
      </c>
      <c r="I1076" t="s" s="2">
        <v>196</v>
      </c>
      <c r="J1076" t="s" s="2">
        <v>47</v>
      </c>
      <c r="K1076" t="s" s="2">
        <v>202</v>
      </c>
      <c r="L1076" t="s" s="2">
        <v>618</v>
      </c>
      <c r="M1076" s="5">
        <v>411561</v>
      </c>
      <c r="N1076" s="5">
        <v>6159350</v>
      </c>
      <c r="O1076" t="s" s="2">
        <v>1492</v>
      </c>
      <c r="P1076" t="s" s="2">
        <v>2165</v>
      </c>
      <c r="Q1076" t="s" s="2">
        <v>1772</v>
      </c>
      <c r="R1076" t="s" s="2">
        <f>_xlfn.IFERROR(INDEX('model_byCAP'!$D$2:$D$377,MATCH(Q1076,'model_byCAP'!$A$2:$A$377,0)),0)</f>
        <v>1773</v>
      </c>
    </row>
    <row r="1077" ht="15.35" customHeight="1">
      <c r="A1077" t="s" s="2">
        <v>2166</v>
      </c>
      <c r="B1077" s="4">
        <v>40033</v>
      </c>
      <c r="C1077" s="5">
        <v>2300</v>
      </c>
      <c r="D1077" s="5">
        <v>93</v>
      </c>
      <c r="E1077" s="5">
        <v>55</v>
      </c>
      <c r="F1077" t="s" s="2">
        <v>19</v>
      </c>
      <c r="G1077" t="s" s="2">
        <v>1768</v>
      </c>
      <c r="H1077" s="5">
        <v>561</v>
      </c>
      <c r="I1077" t="s" s="2">
        <v>196</v>
      </c>
      <c r="J1077" t="s" s="2">
        <v>47</v>
      </c>
      <c r="K1077" t="s" s="2">
        <v>202</v>
      </c>
      <c r="L1077" t="s" s="2">
        <v>618</v>
      </c>
      <c r="M1077" s="5">
        <v>408286</v>
      </c>
      <c r="N1077" s="5">
        <v>6158582</v>
      </c>
      <c r="O1077" t="s" s="2">
        <v>1492</v>
      </c>
      <c r="P1077" t="s" s="2">
        <v>2167</v>
      </c>
      <c r="Q1077" t="s" s="2">
        <v>1772</v>
      </c>
      <c r="R1077" t="s" s="2">
        <f>_xlfn.IFERROR(INDEX('model_byCAP'!$D$2:$D$377,MATCH(Q1077,'model_byCAP'!$A$2:$A$377,0)),0)</f>
        <v>1773</v>
      </c>
    </row>
    <row r="1078" ht="15.35" customHeight="1">
      <c r="A1078" t="s" s="2">
        <v>2168</v>
      </c>
      <c r="B1078" s="4">
        <v>40035</v>
      </c>
      <c r="C1078" s="5">
        <v>2300</v>
      </c>
      <c r="D1078" s="5">
        <v>93</v>
      </c>
      <c r="E1078" s="5">
        <v>55</v>
      </c>
      <c r="F1078" t="s" s="2">
        <v>19</v>
      </c>
      <c r="G1078" t="s" s="2">
        <v>1768</v>
      </c>
      <c r="H1078" s="5">
        <v>561</v>
      </c>
      <c r="I1078" t="s" s="2">
        <v>196</v>
      </c>
      <c r="J1078" t="s" s="2">
        <v>47</v>
      </c>
      <c r="K1078" t="s" s="2">
        <v>202</v>
      </c>
      <c r="L1078" t="s" s="2">
        <v>618</v>
      </c>
      <c r="M1078" s="5">
        <v>408830</v>
      </c>
      <c r="N1078" s="5">
        <v>6158594</v>
      </c>
      <c r="O1078" t="s" s="2">
        <v>1492</v>
      </c>
      <c r="P1078" t="s" s="2">
        <v>2169</v>
      </c>
      <c r="Q1078" t="s" s="2">
        <v>1772</v>
      </c>
      <c r="R1078" t="s" s="2">
        <f>_xlfn.IFERROR(INDEX('model_byCAP'!$D$2:$D$377,MATCH(Q1078,'model_byCAP'!$A$2:$A$377,0)),0)</f>
        <v>1773</v>
      </c>
    </row>
    <row r="1079" ht="15.35" customHeight="1">
      <c r="A1079" t="s" s="2">
        <v>2170</v>
      </c>
      <c r="B1079" s="4">
        <v>40033</v>
      </c>
      <c r="C1079" s="5">
        <v>2300</v>
      </c>
      <c r="D1079" s="5">
        <v>93</v>
      </c>
      <c r="E1079" s="5">
        <v>55</v>
      </c>
      <c r="F1079" t="s" s="2">
        <v>19</v>
      </c>
      <c r="G1079" t="s" s="2">
        <v>1768</v>
      </c>
      <c r="H1079" s="5">
        <v>561</v>
      </c>
      <c r="I1079" t="s" s="2">
        <v>196</v>
      </c>
      <c r="J1079" t="s" s="2">
        <v>47</v>
      </c>
      <c r="K1079" t="s" s="2">
        <v>202</v>
      </c>
      <c r="L1079" t="s" s="2">
        <v>618</v>
      </c>
      <c r="M1079" s="5">
        <v>409375</v>
      </c>
      <c r="N1079" s="5">
        <v>6158607</v>
      </c>
      <c r="O1079" t="s" s="2">
        <v>1492</v>
      </c>
      <c r="P1079" t="s" s="2">
        <v>2171</v>
      </c>
      <c r="Q1079" t="s" s="2">
        <v>1772</v>
      </c>
      <c r="R1079" t="s" s="2">
        <f>_xlfn.IFERROR(INDEX('model_byCAP'!$D$2:$D$377,MATCH(Q1079,'model_byCAP'!$A$2:$A$377,0)),0)</f>
        <v>1773</v>
      </c>
    </row>
    <row r="1080" ht="15.35" customHeight="1">
      <c r="A1080" t="s" s="2">
        <v>2172</v>
      </c>
      <c r="B1080" s="4">
        <v>40032</v>
      </c>
      <c r="C1080" s="5">
        <v>2300</v>
      </c>
      <c r="D1080" s="5">
        <v>93</v>
      </c>
      <c r="E1080" s="5">
        <v>55</v>
      </c>
      <c r="F1080" t="s" s="2">
        <v>19</v>
      </c>
      <c r="G1080" t="s" s="2">
        <v>1768</v>
      </c>
      <c r="H1080" s="5">
        <v>561</v>
      </c>
      <c r="I1080" t="s" s="2">
        <v>196</v>
      </c>
      <c r="J1080" t="s" s="2">
        <v>47</v>
      </c>
      <c r="K1080" t="s" s="2">
        <v>202</v>
      </c>
      <c r="L1080" t="s" s="2">
        <v>618</v>
      </c>
      <c r="M1080" s="5">
        <v>409920</v>
      </c>
      <c r="N1080" s="5">
        <v>6158619</v>
      </c>
      <c r="O1080" t="s" s="2">
        <v>1492</v>
      </c>
      <c r="P1080" t="s" s="2">
        <v>2173</v>
      </c>
      <c r="Q1080" t="s" s="2">
        <v>1772</v>
      </c>
      <c r="R1080" t="s" s="2">
        <f>_xlfn.IFERROR(INDEX('model_byCAP'!$D$2:$D$377,MATCH(Q1080,'model_byCAP'!$A$2:$A$377,0)),0)</f>
        <v>1773</v>
      </c>
    </row>
    <row r="1081" ht="15.35" customHeight="1">
      <c r="A1081" t="s" s="2">
        <v>2174</v>
      </c>
      <c r="B1081" s="4">
        <v>40031</v>
      </c>
      <c r="C1081" s="5">
        <v>2300</v>
      </c>
      <c r="D1081" s="5">
        <v>93</v>
      </c>
      <c r="E1081" s="5">
        <v>55</v>
      </c>
      <c r="F1081" t="s" s="2">
        <v>19</v>
      </c>
      <c r="G1081" t="s" s="2">
        <v>1768</v>
      </c>
      <c r="H1081" s="5">
        <v>561</v>
      </c>
      <c r="I1081" t="s" s="2">
        <v>196</v>
      </c>
      <c r="J1081" t="s" s="2">
        <v>47</v>
      </c>
      <c r="K1081" t="s" s="2">
        <v>202</v>
      </c>
      <c r="L1081" t="s" s="2">
        <v>618</v>
      </c>
      <c r="M1081" s="5">
        <v>410465</v>
      </c>
      <c r="N1081" s="5">
        <v>6158631</v>
      </c>
      <c r="O1081" t="s" s="2">
        <v>1492</v>
      </c>
      <c r="P1081" t="s" s="2">
        <v>2175</v>
      </c>
      <c r="Q1081" t="s" s="2">
        <v>1772</v>
      </c>
      <c r="R1081" t="s" s="2">
        <f>_xlfn.IFERROR(INDEX('model_byCAP'!$D$2:$D$377,MATCH(Q1081,'model_byCAP'!$A$2:$A$377,0)),0)</f>
        <v>1773</v>
      </c>
    </row>
    <row r="1082" ht="15.35" customHeight="1">
      <c r="A1082" t="s" s="2">
        <v>2176</v>
      </c>
      <c r="B1082" s="4">
        <v>40032</v>
      </c>
      <c r="C1082" s="5">
        <v>2300</v>
      </c>
      <c r="D1082" s="5">
        <v>93</v>
      </c>
      <c r="E1082" s="5">
        <v>55</v>
      </c>
      <c r="F1082" t="s" s="2">
        <v>19</v>
      </c>
      <c r="G1082" t="s" s="2">
        <v>1768</v>
      </c>
      <c r="H1082" s="5">
        <v>561</v>
      </c>
      <c r="I1082" t="s" s="2">
        <v>196</v>
      </c>
      <c r="J1082" t="s" s="2">
        <v>47</v>
      </c>
      <c r="K1082" t="s" s="2">
        <v>202</v>
      </c>
      <c r="L1082" t="s" s="2">
        <v>618</v>
      </c>
      <c r="M1082" s="5">
        <v>411010</v>
      </c>
      <c r="N1082" s="5">
        <v>6158644</v>
      </c>
      <c r="O1082" t="s" s="2">
        <v>1492</v>
      </c>
      <c r="P1082" t="s" s="2">
        <v>2177</v>
      </c>
      <c r="Q1082" t="s" s="2">
        <v>1772</v>
      </c>
      <c r="R1082" t="s" s="2">
        <f>_xlfn.IFERROR(INDEX('model_byCAP'!$D$2:$D$377,MATCH(Q1082,'model_byCAP'!$A$2:$A$377,0)),0)</f>
        <v>1773</v>
      </c>
    </row>
    <row r="1083" ht="15.35" customHeight="1">
      <c r="A1083" t="s" s="2">
        <v>2178</v>
      </c>
      <c r="B1083" s="4">
        <v>40032</v>
      </c>
      <c r="C1083" s="5">
        <v>2300</v>
      </c>
      <c r="D1083" s="5">
        <v>93</v>
      </c>
      <c r="E1083" s="5">
        <v>55</v>
      </c>
      <c r="F1083" t="s" s="2">
        <v>19</v>
      </c>
      <c r="G1083" t="s" s="2">
        <v>1768</v>
      </c>
      <c r="H1083" s="5">
        <v>561</v>
      </c>
      <c r="I1083" t="s" s="2">
        <v>196</v>
      </c>
      <c r="J1083" t="s" s="2">
        <v>47</v>
      </c>
      <c r="K1083" t="s" s="2">
        <v>202</v>
      </c>
      <c r="L1083" t="s" s="2">
        <v>618</v>
      </c>
      <c r="M1083" s="5">
        <v>411555</v>
      </c>
      <c r="N1083" s="5">
        <v>6158656</v>
      </c>
      <c r="O1083" t="s" s="2">
        <v>1492</v>
      </c>
      <c r="P1083" t="s" s="2">
        <v>2179</v>
      </c>
      <c r="Q1083" t="s" s="2">
        <v>1772</v>
      </c>
      <c r="R1083" t="s" s="2">
        <f>_xlfn.IFERROR(INDEX('model_byCAP'!$D$2:$D$377,MATCH(Q1083,'model_byCAP'!$A$2:$A$377,0)),0)</f>
        <v>1773</v>
      </c>
    </row>
    <row r="1084" ht="15.35" customHeight="1">
      <c r="A1084" t="s" s="2">
        <v>2180</v>
      </c>
      <c r="B1084" s="4">
        <v>40033</v>
      </c>
      <c r="C1084" s="5">
        <v>2300</v>
      </c>
      <c r="D1084" s="5">
        <v>93</v>
      </c>
      <c r="E1084" s="5">
        <v>55</v>
      </c>
      <c r="F1084" t="s" s="2">
        <v>19</v>
      </c>
      <c r="G1084" t="s" s="2">
        <v>1768</v>
      </c>
      <c r="H1084" s="5">
        <v>561</v>
      </c>
      <c r="I1084" t="s" s="2">
        <v>196</v>
      </c>
      <c r="J1084" t="s" s="2">
        <v>47</v>
      </c>
      <c r="K1084" t="s" s="2">
        <v>202</v>
      </c>
      <c r="L1084" t="s" s="2">
        <v>618</v>
      </c>
      <c r="M1084" s="5">
        <v>408335</v>
      </c>
      <c r="N1084" s="5">
        <v>6157678</v>
      </c>
      <c r="O1084" t="s" s="2">
        <v>1492</v>
      </c>
      <c r="P1084" t="s" s="2">
        <v>2181</v>
      </c>
      <c r="Q1084" t="s" s="2">
        <v>1772</v>
      </c>
      <c r="R1084" t="s" s="2">
        <f>_xlfn.IFERROR(INDEX('model_byCAP'!$D$2:$D$377,MATCH(Q1084,'model_byCAP'!$A$2:$A$377,0)),0)</f>
        <v>1773</v>
      </c>
    </row>
    <row r="1085" ht="15.35" customHeight="1">
      <c r="A1085" t="s" s="2">
        <v>2182</v>
      </c>
      <c r="B1085" s="4">
        <v>40032</v>
      </c>
      <c r="C1085" s="5">
        <v>2300</v>
      </c>
      <c r="D1085" s="5">
        <v>93</v>
      </c>
      <c r="E1085" s="5">
        <v>55</v>
      </c>
      <c r="F1085" t="s" s="2">
        <v>19</v>
      </c>
      <c r="G1085" t="s" s="2">
        <v>1768</v>
      </c>
      <c r="H1085" s="5">
        <v>561</v>
      </c>
      <c r="I1085" t="s" s="2">
        <v>196</v>
      </c>
      <c r="J1085" t="s" s="2">
        <v>47</v>
      </c>
      <c r="K1085" t="s" s="2">
        <v>202</v>
      </c>
      <c r="L1085" t="s" s="2">
        <v>618</v>
      </c>
      <c r="M1085" s="5">
        <v>408878</v>
      </c>
      <c r="N1085" s="5">
        <v>6157726</v>
      </c>
      <c r="O1085" t="s" s="2">
        <v>1492</v>
      </c>
      <c r="P1085" t="s" s="2">
        <v>2183</v>
      </c>
      <c r="Q1085" t="s" s="2">
        <v>1772</v>
      </c>
      <c r="R1085" t="s" s="2">
        <f>_xlfn.IFERROR(INDEX('model_byCAP'!$D$2:$D$377,MATCH(Q1085,'model_byCAP'!$A$2:$A$377,0)),0)</f>
        <v>1773</v>
      </c>
    </row>
    <row r="1086" ht="15.35" customHeight="1">
      <c r="A1086" t="s" s="2">
        <v>2184</v>
      </c>
      <c r="B1086" s="4">
        <v>40032</v>
      </c>
      <c r="C1086" s="5">
        <v>2300</v>
      </c>
      <c r="D1086" s="5">
        <v>93</v>
      </c>
      <c r="E1086" s="5">
        <v>55</v>
      </c>
      <c r="F1086" t="s" s="2">
        <v>19</v>
      </c>
      <c r="G1086" t="s" s="2">
        <v>1768</v>
      </c>
      <c r="H1086" s="5">
        <v>561</v>
      </c>
      <c r="I1086" t="s" s="2">
        <v>196</v>
      </c>
      <c r="J1086" t="s" s="2">
        <v>47</v>
      </c>
      <c r="K1086" t="s" s="2">
        <v>202</v>
      </c>
      <c r="L1086" t="s" s="2">
        <v>618</v>
      </c>
      <c r="M1086" s="5">
        <v>409421</v>
      </c>
      <c r="N1086" s="5">
        <v>6157773</v>
      </c>
      <c r="O1086" t="s" s="2">
        <v>1492</v>
      </c>
      <c r="P1086" t="s" s="2">
        <v>2185</v>
      </c>
      <c r="Q1086" t="s" s="2">
        <v>1772</v>
      </c>
      <c r="R1086" t="s" s="2">
        <f>_xlfn.IFERROR(INDEX('model_byCAP'!$D$2:$D$377,MATCH(Q1086,'model_byCAP'!$A$2:$A$377,0)),0)</f>
        <v>1773</v>
      </c>
    </row>
    <row r="1087" ht="15.35" customHeight="1">
      <c r="A1087" t="s" s="2">
        <v>2186</v>
      </c>
      <c r="B1087" s="4">
        <v>40033</v>
      </c>
      <c r="C1087" s="5">
        <v>2300</v>
      </c>
      <c r="D1087" s="5">
        <v>93</v>
      </c>
      <c r="E1087" s="5">
        <v>55</v>
      </c>
      <c r="F1087" t="s" s="2">
        <v>19</v>
      </c>
      <c r="G1087" t="s" s="2">
        <v>1768</v>
      </c>
      <c r="H1087" s="5">
        <v>561</v>
      </c>
      <c r="I1087" t="s" s="2">
        <v>196</v>
      </c>
      <c r="J1087" t="s" s="2">
        <v>47</v>
      </c>
      <c r="K1087" t="s" s="2">
        <v>202</v>
      </c>
      <c r="L1087" t="s" s="2">
        <v>618</v>
      </c>
      <c r="M1087" s="5">
        <v>409964</v>
      </c>
      <c r="N1087" s="5">
        <v>6157821</v>
      </c>
      <c r="O1087" t="s" s="2">
        <v>1492</v>
      </c>
      <c r="P1087" t="s" s="2">
        <v>2187</v>
      </c>
      <c r="Q1087" t="s" s="2">
        <v>1772</v>
      </c>
      <c r="R1087" t="s" s="2">
        <f>_xlfn.IFERROR(INDEX('model_byCAP'!$D$2:$D$377,MATCH(Q1087,'model_byCAP'!$A$2:$A$377,0)),0)</f>
        <v>1773</v>
      </c>
    </row>
    <row r="1088" ht="15.35" customHeight="1">
      <c r="A1088" t="s" s="2">
        <v>2188</v>
      </c>
      <c r="B1088" s="4">
        <v>40035</v>
      </c>
      <c r="C1088" s="5">
        <v>2300</v>
      </c>
      <c r="D1088" s="5">
        <v>93</v>
      </c>
      <c r="E1088" s="5">
        <v>55</v>
      </c>
      <c r="F1088" t="s" s="2">
        <v>19</v>
      </c>
      <c r="G1088" t="s" s="2">
        <v>1768</v>
      </c>
      <c r="H1088" s="5">
        <v>561</v>
      </c>
      <c r="I1088" t="s" s="2">
        <v>196</v>
      </c>
      <c r="J1088" t="s" s="2">
        <v>47</v>
      </c>
      <c r="K1088" t="s" s="2">
        <v>202</v>
      </c>
      <c r="L1088" t="s" s="2">
        <v>618</v>
      </c>
      <c r="M1088" s="5">
        <v>410507</v>
      </c>
      <c r="N1088" s="5">
        <v>6157868</v>
      </c>
      <c r="O1088" t="s" s="2">
        <v>1492</v>
      </c>
      <c r="P1088" t="s" s="2">
        <v>2189</v>
      </c>
      <c r="Q1088" t="s" s="2">
        <v>1772</v>
      </c>
      <c r="R1088" t="s" s="2">
        <f>_xlfn.IFERROR(INDEX('model_byCAP'!$D$2:$D$377,MATCH(Q1088,'model_byCAP'!$A$2:$A$377,0)),0)</f>
        <v>1773</v>
      </c>
    </row>
    <row r="1089" ht="15.35" customHeight="1">
      <c r="A1089" t="s" s="2">
        <v>2190</v>
      </c>
      <c r="B1089" s="4">
        <v>40034</v>
      </c>
      <c r="C1089" s="5">
        <v>2300</v>
      </c>
      <c r="D1089" s="5">
        <v>93</v>
      </c>
      <c r="E1089" s="5">
        <v>55</v>
      </c>
      <c r="F1089" t="s" s="2">
        <v>19</v>
      </c>
      <c r="G1089" t="s" s="2">
        <v>1768</v>
      </c>
      <c r="H1089" s="5">
        <v>561</v>
      </c>
      <c r="I1089" t="s" s="2">
        <v>196</v>
      </c>
      <c r="J1089" t="s" s="2">
        <v>47</v>
      </c>
      <c r="K1089" t="s" s="2">
        <v>202</v>
      </c>
      <c r="L1089" t="s" s="2">
        <v>618</v>
      </c>
      <c r="M1089" s="5">
        <v>411050</v>
      </c>
      <c r="N1089" s="5">
        <v>6157916</v>
      </c>
      <c r="O1089" t="s" s="2">
        <v>1492</v>
      </c>
      <c r="P1089" t="s" s="2">
        <v>2191</v>
      </c>
      <c r="Q1089" t="s" s="2">
        <v>1772</v>
      </c>
      <c r="R1089" t="s" s="2">
        <f>_xlfn.IFERROR(INDEX('model_byCAP'!$D$2:$D$377,MATCH(Q1089,'model_byCAP'!$A$2:$A$377,0)),0)</f>
        <v>1773</v>
      </c>
    </row>
    <row r="1090" ht="15.35" customHeight="1">
      <c r="A1090" t="s" s="2">
        <v>2192</v>
      </c>
      <c r="B1090" s="4">
        <v>40035</v>
      </c>
      <c r="C1090" s="5">
        <v>2300</v>
      </c>
      <c r="D1090" s="5">
        <v>93</v>
      </c>
      <c r="E1090" s="5">
        <v>55</v>
      </c>
      <c r="F1090" t="s" s="2">
        <v>19</v>
      </c>
      <c r="G1090" t="s" s="2">
        <v>1768</v>
      </c>
      <c r="H1090" s="5">
        <v>561</v>
      </c>
      <c r="I1090" t="s" s="2">
        <v>196</v>
      </c>
      <c r="J1090" t="s" s="2">
        <v>47</v>
      </c>
      <c r="K1090" t="s" s="2">
        <v>202</v>
      </c>
      <c r="L1090" t="s" s="2">
        <v>618</v>
      </c>
      <c r="M1090" s="5">
        <v>411593</v>
      </c>
      <c r="N1090" s="5">
        <v>6157963</v>
      </c>
      <c r="O1090" t="s" s="2">
        <v>1492</v>
      </c>
      <c r="P1090" t="s" s="2">
        <v>2193</v>
      </c>
      <c r="Q1090" t="s" s="2">
        <v>1772</v>
      </c>
      <c r="R1090" t="s" s="2">
        <f>_xlfn.IFERROR(INDEX('model_byCAP'!$D$2:$D$377,MATCH(Q1090,'model_byCAP'!$A$2:$A$377,0)),0)</f>
        <v>1773</v>
      </c>
    </row>
    <row r="1091" ht="15.35" customHeight="1">
      <c r="A1091" t="s" s="2">
        <v>2194</v>
      </c>
      <c r="B1091" s="4">
        <v>40073</v>
      </c>
      <c r="C1091" s="5">
        <v>2300</v>
      </c>
      <c r="D1091" s="5">
        <v>93</v>
      </c>
      <c r="E1091" s="5">
        <v>55</v>
      </c>
      <c r="F1091" t="s" s="2">
        <v>19</v>
      </c>
      <c r="G1091" t="s" s="2">
        <v>1768</v>
      </c>
      <c r="H1091" s="5">
        <v>561</v>
      </c>
      <c r="I1091" t="s" s="2">
        <v>196</v>
      </c>
      <c r="J1091" t="s" s="2">
        <v>47</v>
      </c>
      <c r="K1091" t="s" s="2">
        <v>202</v>
      </c>
      <c r="L1091" t="s" s="2">
        <v>618</v>
      </c>
      <c r="M1091" s="5">
        <v>410916</v>
      </c>
      <c r="N1091" s="5">
        <v>6167080</v>
      </c>
      <c r="O1091" t="s" s="2">
        <v>1492</v>
      </c>
      <c r="P1091" t="s" s="2">
        <v>2195</v>
      </c>
      <c r="Q1091" t="s" s="2">
        <v>1772</v>
      </c>
      <c r="R1091" t="s" s="2">
        <f>_xlfn.IFERROR(INDEX('model_byCAP'!$D$2:$D$377,MATCH(Q1091,'model_byCAP'!$A$2:$A$377,0)),0)</f>
        <v>1773</v>
      </c>
    </row>
    <row r="1092" ht="15.35" customHeight="1">
      <c r="A1092" t="s" s="2">
        <v>2196</v>
      </c>
      <c r="B1092" s="4">
        <v>40075</v>
      </c>
      <c r="C1092" s="5">
        <v>2300</v>
      </c>
      <c r="D1092" s="5">
        <v>93</v>
      </c>
      <c r="E1092" s="5">
        <v>55</v>
      </c>
      <c r="F1092" t="s" s="2">
        <v>19</v>
      </c>
      <c r="G1092" t="s" s="2">
        <v>1768</v>
      </c>
      <c r="H1092" s="5">
        <v>561</v>
      </c>
      <c r="I1092" t="s" s="2">
        <v>196</v>
      </c>
      <c r="J1092" t="s" s="2">
        <v>47</v>
      </c>
      <c r="K1092" t="s" s="2">
        <v>202</v>
      </c>
      <c r="L1092" t="s" s="2">
        <v>618</v>
      </c>
      <c r="M1092" s="5">
        <v>411359</v>
      </c>
      <c r="N1092" s="5">
        <v>6166762</v>
      </c>
      <c r="O1092" t="s" s="2">
        <v>1492</v>
      </c>
      <c r="P1092" t="s" s="2">
        <v>2197</v>
      </c>
      <c r="Q1092" t="s" s="2">
        <v>1772</v>
      </c>
      <c r="R1092" t="s" s="2">
        <f>_xlfn.IFERROR(INDEX('model_byCAP'!$D$2:$D$377,MATCH(Q1092,'model_byCAP'!$A$2:$A$377,0)),0)</f>
        <v>1773</v>
      </c>
    </row>
    <row r="1093" ht="15.35" customHeight="1">
      <c r="A1093" t="s" s="2">
        <v>2198</v>
      </c>
      <c r="B1093" s="4">
        <v>40074</v>
      </c>
      <c r="C1093" s="5">
        <v>2300</v>
      </c>
      <c r="D1093" s="5">
        <v>93</v>
      </c>
      <c r="E1093" s="5">
        <v>55</v>
      </c>
      <c r="F1093" t="s" s="2">
        <v>19</v>
      </c>
      <c r="G1093" t="s" s="2">
        <v>1768</v>
      </c>
      <c r="H1093" s="5">
        <v>561</v>
      </c>
      <c r="I1093" t="s" s="2">
        <v>196</v>
      </c>
      <c r="J1093" t="s" s="2">
        <v>47</v>
      </c>
      <c r="K1093" t="s" s="2">
        <v>202</v>
      </c>
      <c r="L1093" t="s" s="2">
        <v>618</v>
      </c>
      <c r="M1093" s="5">
        <v>411801</v>
      </c>
      <c r="N1093" s="5">
        <v>6166444</v>
      </c>
      <c r="O1093" t="s" s="2">
        <v>1492</v>
      </c>
      <c r="P1093" t="s" s="2">
        <v>2199</v>
      </c>
      <c r="Q1093" t="s" s="2">
        <v>1772</v>
      </c>
      <c r="R1093" t="s" s="2">
        <f>_xlfn.IFERROR(INDEX('model_byCAP'!$D$2:$D$377,MATCH(Q1093,'model_byCAP'!$A$2:$A$377,0)),0)</f>
        <v>1773</v>
      </c>
    </row>
    <row r="1094" ht="15.35" customHeight="1">
      <c r="A1094" t="s" s="2">
        <v>2200</v>
      </c>
      <c r="B1094" s="4">
        <v>40074</v>
      </c>
      <c r="C1094" s="5">
        <v>2300</v>
      </c>
      <c r="D1094" s="5">
        <v>93</v>
      </c>
      <c r="E1094" s="5">
        <v>55</v>
      </c>
      <c r="F1094" t="s" s="2">
        <v>19</v>
      </c>
      <c r="G1094" t="s" s="2">
        <v>1768</v>
      </c>
      <c r="H1094" s="5">
        <v>561</v>
      </c>
      <c r="I1094" t="s" s="2">
        <v>196</v>
      </c>
      <c r="J1094" t="s" s="2">
        <v>47</v>
      </c>
      <c r="K1094" t="s" s="2">
        <v>202</v>
      </c>
      <c r="L1094" t="s" s="2">
        <v>618</v>
      </c>
      <c r="M1094" s="5">
        <v>412244</v>
      </c>
      <c r="N1094" s="5">
        <v>6166126</v>
      </c>
      <c r="O1094" t="s" s="2">
        <v>1492</v>
      </c>
      <c r="P1094" t="s" s="2">
        <v>2201</v>
      </c>
      <c r="Q1094" t="s" s="2">
        <v>1772</v>
      </c>
      <c r="R1094" t="s" s="2">
        <f>_xlfn.IFERROR(INDEX('model_byCAP'!$D$2:$D$377,MATCH(Q1094,'model_byCAP'!$A$2:$A$377,0)),0)</f>
        <v>1773</v>
      </c>
    </row>
    <row r="1095" ht="15.35" customHeight="1">
      <c r="A1095" t="s" s="2">
        <v>2202</v>
      </c>
      <c r="B1095" s="4">
        <v>40074</v>
      </c>
      <c r="C1095" s="5">
        <v>2300</v>
      </c>
      <c r="D1095" s="5">
        <v>93</v>
      </c>
      <c r="E1095" s="5">
        <v>55</v>
      </c>
      <c r="F1095" t="s" s="2">
        <v>19</v>
      </c>
      <c r="G1095" t="s" s="2">
        <v>1768</v>
      </c>
      <c r="H1095" s="5">
        <v>561</v>
      </c>
      <c r="I1095" t="s" s="2">
        <v>196</v>
      </c>
      <c r="J1095" t="s" s="2">
        <v>47</v>
      </c>
      <c r="K1095" t="s" s="2">
        <v>202</v>
      </c>
      <c r="L1095" t="s" s="2">
        <v>618</v>
      </c>
      <c r="M1095" s="5">
        <v>412687</v>
      </c>
      <c r="N1095" s="5">
        <v>6165808</v>
      </c>
      <c r="O1095" t="s" s="2">
        <v>1492</v>
      </c>
      <c r="P1095" t="s" s="2">
        <v>2203</v>
      </c>
      <c r="Q1095" t="s" s="2">
        <v>1772</v>
      </c>
      <c r="R1095" t="s" s="2">
        <f>_xlfn.IFERROR(INDEX('model_byCAP'!$D$2:$D$377,MATCH(Q1095,'model_byCAP'!$A$2:$A$377,0)),0)</f>
        <v>1773</v>
      </c>
    </row>
    <row r="1096" ht="15.35" customHeight="1">
      <c r="A1096" t="s" s="2">
        <v>2204</v>
      </c>
      <c r="B1096" s="4">
        <v>40073</v>
      </c>
      <c r="C1096" s="5">
        <v>2300</v>
      </c>
      <c r="D1096" s="5">
        <v>93</v>
      </c>
      <c r="E1096" s="5">
        <v>55</v>
      </c>
      <c r="F1096" t="s" s="2">
        <v>19</v>
      </c>
      <c r="G1096" t="s" s="2">
        <v>1768</v>
      </c>
      <c r="H1096" s="5">
        <v>561</v>
      </c>
      <c r="I1096" t="s" s="2">
        <v>196</v>
      </c>
      <c r="J1096" t="s" s="2">
        <v>47</v>
      </c>
      <c r="K1096" t="s" s="2">
        <v>202</v>
      </c>
      <c r="L1096" t="s" s="2">
        <v>618</v>
      </c>
      <c r="M1096" s="5">
        <v>413129</v>
      </c>
      <c r="N1096" s="5">
        <v>6165490</v>
      </c>
      <c r="O1096" t="s" s="2">
        <v>1492</v>
      </c>
      <c r="P1096" t="s" s="2">
        <v>2205</v>
      </c>
      <c r="Q1096" t="s" s="2">
        <v>1772</v>
      </c>
      <c r="R1096" t="s" s="2">
        <f>_xlfn.IFERROR(INDEX('model_byCAP'!$D$2:$D$377,MATCH(Q1096,'model_byCAP'!$A$2:$A$377,0)),0)</f>
        <v>1773</v>
      </c>
    </row>
    <row r="1097" ht="15.35" customHeight="1">
      <c r="A1097" t="s" s="2">
        <v>2206</v>
      </c>
      <c r="B1097" s="4">
        <v>40072</v>
      </c>
      <c r="C1097" s="5">
        <v>2300</v>
      </c>
      <c r="D1097" s="5">
        <v>93</v>
      </c>
      <c r="E1097" s="5">
        <v>55</v>
      </c>
      <c r="F1097" t="s" s="2">
        <v>19</v>
      </c>
      <c r="G1097" t="s" s="2">
        <v>1768</v>
      </c>
      <c r="H1097" s="5">
        <v>561</v>
      </c>
      <c r="I1097" t="s" s="2">
        <v>196</v>
      </c>
      <c r="J1097" t="s" s="2">
        <v>47</v>
      </c>
      <c r="K1097" t="s" s="2">
        <v>202</v>
      </c>
      <c r="L1097" t="s" s="2">
        <v>618</v>
      </c>
      <c r="M1097" s="5">
        <v>413572</v>
      </c>
      <c r="N1097" s="5">
        <v>6165172</v>
      </c>
      <c r="O1097" t="s" s="2">
        <v>1492</v>
      </c>
      <c r="P1097" t="s" s="2">
        <v>2207</v>
      </c>
      <c r="Q1097" t="s" s="2">
        <v>1772</v>
      </c>
      <c r="R1097" t="s" s="2">
        <f>_xlfn.IFERROR(INDEX('model_byCAP'!$D$2:$D$377,MATCH(Q1097,'model_byCAP'!$A$2:$A$377,0)),0)</f>
        <v>1773</v>
      </c>
    </row>
    <row r="1098" ht="15.35" customHeight="1">
      <c r="A1098" t="s" s="2">
        <v>2208</v>
      </c>
      <c r="B1098" s="4">
        <v>40096</v>
      </c>
      <c r="C1098" s="5">
        <v>2300</v>
      </c>
      <c r="D1098" s="5">
        <v>93</v>
      </c>
      <c r="E1098" s="5">
        <v>55</v>
      </c>
      <c r="F1098" t="s" s="2">
        <v>19</v>
      </c>
      <c r="G1098" t="s" s="2">
        <v>1768</v>
      </c>
      <c r="H1098" s="5">
        <v>561</v>
      </c>
      <c r="I1098" t="s" s="2">
        <v>196</v>
      </c>
      <c r="J1098" t="s" s="2">
        <v>47</v>
      </c>
      <c r="K1098" t="s" s="2">
        <v>202</v>
      </c>
      <c r="L1098" t="s" s="2">
        <v>618</v>
      </c>
      <c r="M1098" s="5">
        <v>411468</v>
      </c>
      <c r="N1098" s="5">
        <v>6167798</v>
      </c>
      <c r="O1098" t="s" s="2">
        <v>1492</v>
      </c>
      <c r="P1098" t="s" s="2">
        <v>2209</v>
      </c>
      <c r="Q1098" t="s" s="2">
        <v>1772</v>
      </c>
      <c r="R1098" t="s" s="2">
        <f>_xlfn.IFERROR(INDEX('model_byCAP'!$D$2:$D$377,MATCH(Q1098,'model_byCAP'!$A$2:$A$377,0)),0)</f>
        <v>1773</v>
      </c>
    </row>
    <row r="1099" ht="15.35" customHeight="1">
      <c r="A1099" t="s" s="2">
        <v>2210</v>
      </c>
      <c r="B1099" s="4">
        <v>40092</v>
      </c>
      <c r="C1099" s="5">
        <v>2300</v>
      </c>
      <c r="D1099" s="5">
        <v>93</v>
      </c>
      <c r="E1099" s="5">
        <v>55</v>
      </c>
      <c r="F1099" t="s" s="2">
        <v>19</v>
      </c>
      <c r="G1099" t="s" s="2">
        <v>1768</v>
      </c>
      <c r="H1099" s="5">
        <v>561</v>
      </c>
      <c r="I1099" t="s" s="2">
        <v>196</v>
      </c>
      <c r="J1099" t="s" s="2">
        <v>47</v>
      </c>
      <c r="K1099" t="s" s="2">
        <v>202</v>
      </c>
      <c r="L1099" t="s" s="2">
        <v>618</v>
      </c>
      <c r="M1099" s="5">
        <v>411889</v>
      </c>
      <c r="N1099" s="5">
        <v>6167452</v>
      </c>
      <c r="O1099" t="s" s="2">
        <v>1492</v>
      </c>
      <c r="P1099" t="s" s="2">
        <v>2211</v>
      </c>
      <c r="Q1099" t="s" s="2">
        <v>1772</v>
      </c>
      <c r="R1099" t="s" s="2">
        <f>_xlfn.IFERROR(INDEX('model_byCAP'!$D$2:$D$377,MATCH(Q1099,'model_byCAP'!$A$2:$A$377,0)),0)</f>
        <v>1773</v>
      </c>
    </row>
    <row r="1100" ht="15.35" customHeight="1">
      <c r="A1100" t="s" s="2">
        <v>2212</v>
      </c>
      <c r="B1100" s="4">
        <v>40096</v>
      </c>
      <c r="C1100" s="5">
        <v>2300</v>
      </c>
      <c r="D1100" s="5">
        <v>93</v>
      </c>
      <c r="E1100" s="5">
        <v>55</v>
      </c>
      <c r="F1100" t="s" s="2">
        <v>19</v>
      </c>
      <c r="G1100" t="s" s="2">
        <v>1768</v>
      </c>
      <c r="H1100" s="5">
        <v>561</v>
      </c>
      <c r="I1100" t="s" s="2">
        <v>196</v>
      </c>
      <c r="J1100" t="s" s="2">
        <v>47</v>
      </c>
      <c r="K1100" t="s" s="2">
        <v>202</v>
      </c>
      <c r="L1100" t="s" s="2">
        <v>618</v>
      </c>
      <c r="M1100" s="5">
        <v>412310</v>
      </c>
      <c r="N1100" s="5">
        <v>6167106</v>
      </c>
      <c r="O1100" t="s" s="2">
        <v>1492</v>
      </c>
      <c r="P1100" t="s" s="2">
        <v>2213</v>
      </c>
      <c r="Q1100" t="s" s="2">
        <v>1772</v>
      </c>
      <c r="R1100" t="s" s="2">
        <f>_xlfn.IFERROR(INDEX('model_byCAP'!$D$2:$D$377,MATCH(Q1100,'model_byCAP'!$A$2:$A$377,0)),0)</f>
        <v>1773</v>
      </c>
    </row>
    <row r="1101" ht="15.35" customHeight="1">
      <c r="A1101" t="s" s="2">
        <v>2214</v>
      </c>
      <c r="B1101" s="4">
        <v>40097</v>
      </c>
      <c r="C1101" s="5">
        <v>2300</v>
      </c>
      <c r="D1101" s="5">
        <v>93</v>
      </c>
      <c r="E1101" s="5">
        <v>55</v>
      </c>
      <c r="F1101" t="s" s="2">
        <v>19</v>
      </c>
      <c r="G1101" t="s" s="2">
        <v>1768</v>
      </c>
      <c r="H1101" s="5">
        <v>561</v>
      </c>
      <c r="I1101" t="s" s="2">
        <v>196</v>
      </c>
      <c r="J1101" t="s" s="2">
        <v>47</v>
      </c>
      <c r="K1101" t="s" s="2">
        <v>202</v>
      </c>
      <c r="L1101" t="s" s="2">
        <v>618</v>
      </c>
      <c r="M1101" s="5">
        <v>412731</v>
      </c>
      <c r="N1101" s="5">
        <v>6166760</v>
      </c>
      <c r="O1101" t="s" s="2">
        <v>1492</v>
      </c>
      <c r="P1101" t="s" s="2">
        <v>2215</v>
      </c>
      <c r="Q1101" t="s" s="2">
        <v>1772</v>
      </c>
      <c r="R1101" t="s" s="2">
        <f>_xlfn.IFERROR(INDEX('model_byCAP'!$D$2:$D$377,MATCH(Q1101,'model_byCAP'!$A$2:$A$377,0)),0)</f>
        <v>1773</v>
      </c>
    </row>
    <row r="1102" ht="15.35" customHeight="1">
      <c r="A1102" t="s" s="2">
        <v>2216</v>
      </c>
      <c r="B1102" s="4">
        <v>40100</v>
      </c>
      <c r="C1102" s="5">
        <v>2300</v>
      </c>
      <c r="D1102" s="5">
        <v>93</v>
      </c>
      <c r="E1102" s="5">
        <v>55</v>
      </c>
      <c r="F1102" t="s" s="2">
        <v>19</v>
      </c>
      <c r="G1102" t="s" s="2">
        <v>1768</v>
      </c>
      <c r="H1102" s="5">
        <v>561</v>
      </c>
      <c r="I1102" t="s" s="2">
        <v>196</v>
      </c>
      <c r="J1102" t="s" s="2">
        <v>47</v>
      </c>
      <c r="K1102" t="s" s="2">
        <v>202</v>
      </c>
      <c r="L1102" t="s" s="2">
        <v>618</v>
      </c>
      <c r="M1102" s="5">
        <v>413152</v>
      </c>
      <c r="N1102" s="5">
        <v>6166414</v>
      </c>
      <c r="O1102" t="s" s="2">
        <v>1492</v>
      </c>
      <c r="P1102" t="s" s="2">
        <v>2217</v>
      </c>
      <c r="Q1102" t="s" s="2">
        <v>1772</v>
      </c>
      <c r="R1102" t="s" s="2">
        <f>_xlfn.IFERROR(INDEX('model_byCAP'!$D$2:$D$377,MATCH(Q1102,'model_byCAP'!$A$2:$A$377,0)),0)</f>
        <v>1773</v>
      </c>
    </row>
    <row r="1103" ht="15.35" customHeight="1">
      <c r="A1103" t="s" s="2">
        <v>2218</v>
      </c>
      <c r="B1103" s="4">
        <v>40097</v>
      </c>
      <c r="C1103" s="5">
        <v>2300</v>
      </c>
      <c r="D1103" s="5">
        <v>93</v>
      </c>
      <c r="E1103" s="5">
        <v>55</v>
      </c>
      <c r="F1103" t="s" s="2">
        <v>19</v>
      </c>
      <c r="G1103" t="s" s="2">
        <v>1768</v>
      </c>
      <c r="H1103" s="5">
        <v>561</v>
      </c>
      <c r="I1103" t="s" s="2">
        <v>196</v>
      </c>
      <c r="J1103" t="s" s="2">
        <v>47</v>
      </c>
      <c r="K1103" t="s" s="2">
        <v>202</v>
      </c>
      <c r="L1103" t="s" s="2">
        <v>618</v>
      </c>
      <c r="M1103" s="5">
        <v>413574</v>
      </c>
      <c r="N1103" s="5">
        <v>6166068</v>
      </c>
      <c r="O1103" t="s" s="2">
        <v>1492</v>
      </c>
      <c r="P1103" t="s" s="2">
        <v>2219</v>
      </c>
      <c r="Q1103" t="s" s="2">
        <v>1772</v>
      </c>
      <c r="R1103" t="s" s="2">
        <f>_xlfn.IFERROR(INDEX('model_byCAP'!$D$2:$D$377,MATCH(Q1103,'model_byCAP'!$A$2:$A$377,0)),0)</f>
        <v>1773</v>
      </c>
    </row>
    <row r="1104" ht="15.35" customHeight="1">
      <c r="A1104" t="s" s="2">
        <v>2220</v>
      </c>
      <c r="B1104" s="4">
        <v>40100</v>
      </c>
      <c r="C1104" s="5">
        <v>2300</v>
      </c>
      <c r="D1104" s="5">
        <v>93</v>
      </c>
      <c r="E1104" s="5">
        <v>55</v>
      </c>
      <c r="F1104" t="s" s="2">
        <v>19</v>
      </c>
      <c r="G1104" t="s" s="2">
        <v>1768</v>
      </c>
      <c r="H1104" s="5">
        <v>561</v>
      </c>
      <c r="I1104" t="s" s="2">
        <v>196</v>
      </c>
      <c r="J1104" t="s" s="2">
        <v>47</v>
      </c>
      <c r="K1104" t="s" s="2">
        <v>202</v>
      </c>
      <c r="L1104" t="s" s="2">
        <v>618</v>
      </c>
      <c r="M1104" s="5">
        <v>413995</v>
      </c>
      <c r="N1104" s="5">
        <v>6165722</v>
      </c>
      <c r="O1104" t="s" s="2">
        <v>1492</v>
      </c>
      <c r="P1104" t="s" s="2">
        <v>2221</v>
      </c>
      <c r="Q1104" t="s" s="2">
        <v>1772</v>
      </c>
      <c r="R1104" t="s" s="2">
        <f>_xlfn.IFERROR(INDEX('model_byCAP'!$D$2:$D$377,MATCH(Q1104,'model_byCAP'!$A$2:$A$377,0)),0)</f>
        <v>1773</v>
      </c>
    </row>
    <row r="1105" ht="15.35" customHeight="1">
      <c r="A1105" t="s" s="2">
        <v>2222</v>
      </c>
      <c r="B1105" s="4">
        <v>40096</v>
      </c>
      <c r="C1105" s="5">
        <v>2300</v>
      </c>
      <c r="D1105" s="5">
        <v>93</v>
      </c>
      <c r="E1105" s="5">
        <v>55</v>
      </c>
      <c r="F1105" t="s" s="2">
        <v>19</v>
      </c>
      <c r="G1105" t="s" s="2">
        <v>1768</v>
      </c>
      <c r="H1105" s="5">
        <v>561</v>
      </c>
      <c r="I1105" t="s" s="2">
        <v>196</v>
      </c>
      <c r="J1105" t="s" s="2">
        <v>47</v>
      </c>
      <c r="K1105" t="s" s="2">
        <v>202</v>
      </c>
      <c r="L1105" t="s" s="2">
        <v>618</v>
      </c>
      <c r="M1105" s="5">
        <v>409957</v>
      </c>
      <c r="N1105" s="5">
        <v>6165546</v>
      </c>
      <c r="O1105" t="s" s="2">
        <v>1492</v>
      </c>
      <c r="P1105" t="s" s="2">
        <v>2223</v>
      </c>
      <c r="Q1105" t="s" s="2">
        <v>1772</v>
      </c>
      <c r="R1105" t="s" s="2">
        <f>_xlfn.IFERROR(INDEX('model_byCAP'!$D$2:$D$377,MATCH(Q1105,'model_byCAP'!$A$2:$A$377,0)),0)</f>
        <v>1773</v>
      </c>
    </row>
    <row r="1106" ht="15.35" customHeight="1">
      <c r="A1106" t="s" s="2">
        <v>2224</v>
      </c>
      <c r="B1106" s="4">
        <v>40096</v>
      </c>
      <c r="C1106" s="5">
        <v>2300</v>
      </c>
      <c r="D1106" s="5">
        <v>93</v>
      </c>
      <c r="E1106" s="5">
        <v>55</v>
      </c>
      <c r="F1106" t="s" s="2">
        <v>19</v>
      </c>
      <c r="G1106" t="s" s="2">
        <v>1768</v>
      </c>
      <c r="H1106" s="5">
        <v>561</v>
      </c>
      <c r="I1106" t="s" s="2">
        <v>196</v>
      </c>
      <c r="J1106" t="s" s="2">
        <v>47</v>
      </c>
      <c r="K1106" t="s" s="2">
        <v>202</v>
      </c>
      <c r="L1106" t="s" s="2">
        <v>618</v>
      </c>
      <c r="M1106" s="5">
        <v>410437</v>
      </c>
      <c r="N1106" s="5">
        <v>6165287</v>
      </c>
      <c r="O1106" t="s" s="2">
        <v>1492</v>
      </c>
      <c r="P1106" t="s" s="2">
        <v>2225</v>
      </c>
      <c r="Q1106" t="s" s="2">
        <v>1772</v>
      </c>
      <c r="R1106" t="s" s="2">
        <f>_xlfn.IFERROR(INDEX('model_byCAP'!$D$2:$D$377,MATCH(Q1106,'model_byCAP'!$A$2:$A$377,0)),0)</f>
        <v>1773</v>
      </c>
    </row>
    <row r="1107" ht="15.35" customHeight="1">
      <c r="A1107" t="s" s="2">
        <v>2226</v>
      </c>
      <c r="B1107" s="4">
        <v>40092</v>
      </c>
      <c r="C1107" s="5">
        <v>2300</v>
      </c>
      <c r="D1107" s="5">
        <v>93</v>
      </c>
      <c r="E1107" s="5">
        <v>55</v>
      </c>
      <c r="F1107" t="s" s="2">
        <v>19</v>
      </c>
      <c r="G1107" t="s" s="2">
        <v>1768</v>
      </c>
      <c r="H1107" s="5">
        <v>561</v>
      </c>
      <c r="I1107" t="s" s="2">
        <v>196</v>
      </c>
      <c r="J1107" t="s" s="2">
        <v>47</v>
      </c>
      <c r="K1107" t="s" s="2">
        <v>202</v>
      </c>
      <c r="L1107" t="s" s="2">
        <v>618</v>
      </c>
      <c r="M1107" s="5">
        <v>410917</v>
      </c>
      <c r="N1107" s="5">
        <v>6165029</v>
      </c>
      <c r="O1107" t="s" s="2">
        <v>1492</v>
      </c>
      <c r="P1107" t="s" s="2">
        <v>2227</v>
      </c>
      <c r="Q1107" t="s" s="2">
        <v>1772</v>
      </c>
      <c r="R1107" t="s" s="2">
        <f>_xlfn.IFERROR(INDEX('model_byCAP'!$D$2:$D$377,MATCH(Q1107,'model_byCAP'!$A$2:$A$377,0)),0)</f>
        <v>1773</v>
      </c>
    </row>
    <row r="1108" ht="15.35" customHeight="1">
      <c r="A1108" t="s" s="2">
        <v>2228</v>
      </c>
      <c r="B1108" s="4">
        <v>40101</v>
      </c>
      <c r="C1108" s="5">
        <v>2300</v>
      </c>
      <c r="D1108" s="5">
        <v>93</v>
      </c>
      <c r="E1108" s="5">
        <v>55</v>
      </c>
      <c r="F1108" t="s" s="2">
        <v>19</v>
      </c>
      <c r="G1108" t="s" s="2">
        <v>1768</v>
      </c>
      <c r="H1108" s="5">
        <v>561</v>
      </c>
      <c r="I1108" t="s" s="2">
        <v>196</v>
      </c>
      <c r="J1108" t="s" s="2">
        <v>47</v>
      </c>
      <c r="K1108" t="s" s="2">
        <v>202</v>
      </c>
      <c r="L1108" t="s" s="2">
        <v>618</v>
      </c>
      <c r="M1108" s="5">
        <v>411397</v>
      </c>
      <c r="N1108" s="5">
        <v>6164771</v>
      </c>
      <c r="O1108" t="s" s="2">
        <v>1492</v>
      </c>
      <c r="P1108" t="s" s="2">
        <v>2229</v>
      </c>
      <c r="Q1108" t="s" s="2">
        <v>1772</v>
      </c>
      <c r="R1108" t="s" s="2">
        <f>_xlfn.IFERROR(INDEX('model_byCAP'!$D$2:$D$377,MATCH(Q1108,'model_byCAP'!$A$2:$A$377,0)),0)</f>
        <v>1773</v>
      </c>
    </row>
    <row r="1109" ht="15.35" customHeight="1">
      <c r="A1109" t="s" s="2">
        <v>2230</v>
      </c>
      <c r="B1109" s="4">
        <v>40100</v>
      </c>
      <c r="C1109" s="5">
        <v>2300</v>
      </c>
      <c r="D1109" s="5">
        <v>93</v>
      </c>
      <c r="E1109" s="5">
        <v>55</v>
      </c>
      <c r="F1109" t="s" s="2">
        <v>19</v>
      </c>
      <c r="G1109" t="s" s="2">
        <v>1768</v>
      </c>
      <c r="H1109" s="5">
        <v>561</v>
      </c>
      <c r="I1109" t="s" s="2">
        <v>196</v>
      </c>
      <c r="J1109" t="s" s="2">
        <v>47</v>
      </c>
      <c r="K1109" t="s" s="2">
        <v>202</v>
      </c>
      <c r="L1109" t="s" s="2">
        <v>618</v>
      </c>
      <c r="M1109" s="5">
        <v>411877</v>
      </c>
      <c r="N1109" s="5">
        <v>6164512</v>
      </c>
      <c r="O1109" t="s" s="2">
        <v>1492</v>
      </c>
      <c r="P1109" t="s" s="2">
        <v>2231</v>
      </c>
      <c r="Q1109" t="s" s="2">
        <v>1772</v>
      </c>
      <c r="R1109" t="s" s="2">
        <f>_xlfn.IFERROR(INDEX('model_byCAP'!$D$2:$D$377,MATCH(Q1109,'model_byCAP'!$A$2:$A$377,0)),0)</f>
        <v>1773</v>
      </c>
    </row>
    <row r="1110" ht="15.35" customHeight="1">
      <c r="A1110" t="s" s="2">
        <v>2232</v>
      </c>
      <c r="B1110" s="4">
        <v>40096</v>
      </c>
      <c r="C1110" s="5">
        <v>2300</v>
      </c>
      <c r="D1110" s="5">
        <v>93</v>
      </c>
      <c r="E1110" s="5">
        <v>55</v>
      </c>
      <c r="F1110" t="s" s="2">
        <v>19</v>
      </c>
      <c r="G1110" t="s" s="2">
        <v>1768</v>
      </c>
      <c r="H1110" s="5">
        <v>561</v>
      </c>
      <c r="I1110" t="s" s="2">
        <v>196</v>
      </c>
      <c r="J1110" t="s" s="2">
        <v>47</v>
      </c>
      <c r="K1110" t="s" s="2">
        <v>202</v>
      </c>
      <c r="L1110" t="s" s="2">
        <v>618</v>
      </c>
      <c r="M1110" s="5">
        <v>412357</v>
      </c>
      <c r="N1110" s="5">
        <v>6164254</v>
      </c>
      <c r="O1110" t="s" s="2">
        <v>1492</v>
      </c>
      <c r="P1110" t="s" s="2">
        <v>2233</v>
      </c>
      <c r="Q1110" t="s" s="2">
        <v>1772</v>
      </c>
      <c r="R1110" t="s" s="2">
        <f>_xlfn.IFERROR(INDEX('model_byCAP'!$D$2:$D$377,MATCH(Q1110,'model_byCAP'!$A$2:$A$377,0)),0)</f>
        <v>1773</v>
      </c>
    </row>
    <row r="1111" ht="15.35" customHeight="1">
      <c r="A1111" t="s" s="2">
        <v>2234</v>
      </c>
      <c r="B1111" s="4">
        <v>40100</v>
      </c>
      <c r="C1111" s="5">
        <v>2300</v>
      </c>
      <c r="D1111" s="5">
        <v>93</v>
      </c>
      <c r="E1111" s="5">
        <v>55</v>
      </c>
      <c r="F1111" t="s" s="2">
        <v>19</v>
      </c>
      <c r="G1111" t="s" s="2">
        <v>1768</v>
      </c>
      <c r="H1111" s="5">
        <v>561</v>
      </c>
      <c r="I1111" t="s" s="2">
        <v>196</v>
      </c>
      <c r="J1111" t="s" s="2">
        <v>47</v>
      </c>
      <c r="K1111" t="s" s="2">
        <v>202</v>
      </c>
      <c r="L1111" t="s" s="2">
        <v>618</v>
      </c>
      <c r="M1111" s="5">
        <v>412837</v>
      </c>
      <c r="N1111" s="5">
        <v>6163996</v>
      </c>
      <c r="O1111" t="s" s="2">
        <v>1492</v>
      </c>
      <c r="P1111" t="s" s="2">
        <v>2235</v>
      </c>
      <c r="Q1111" t="s" s="2">
        <v>1772</v>
      </c>
      <c r="R1111" t="s" s="2">
        <f>_xlfn.IFERROR(INDEX('model_byCAP'!$D$2:$D$377,MATCH(Q1111,'model_byCAP'!$A$2:$A$377,0)),0)</f>
        <v>1773</v>
      </c>
    </row>
    <row r="1112" ht="15.35" customHeight="1">
      <c r="A1112" t="s" s="2">
        <v>2236</v>
      </c>
      <c r="B1112" s="4">
        <v>40110</v>
      </c>
      <c r="C1112" s="5">
        <v>2300</v>
      </c>
      <c r="D1112" s="5">
        <v>93</v>
      </c>
      <c r="E1112" s="5">
        <v>55</v>
      </c>
      <c r="F1112" t="s" s="2">
        <v>19</v>
      </c>
      <c r="G1112" t="s" s="2">
        <v>1768</v>
      </c>
      <c r="H1112" s="5">
        <v>561</v>
      </c>
      <c r="I1112" t="s" s="2">
        <v>196</v>
      </c>
      <c r="J1112" t="s" s="2">
        <v>47</v>
      </c>
      <c r="K1112" t="s" s="2">
        <v>202</v>
      </c>
      <c r="L1112" t="s" s="2">
        <v>618</v>
      </c>
      <c r="M1112" s="5">
        <v>410412</v>
      </c>
      <c r="N1112" s="5">
        <v>6166328</v>
      </c>
      <c r="O1112" t="s" s="2">
        <v>1492</v>
      </c>
      <c r="P1112" t="s" s="2">
        <v>2237</v>
      </c>
      <c r="Q1112" t="s" s="2">
        <v>1772</v>
      </c>
      <c r="R1112" t="s" s="2">
        <f>_xlfn.IFERROR(INDEX('model_byCAP'!$D$2:$D$377,MATCH(Q1112,'model_byCAP'!$A$2:$A$377,0)),0)</f>
        <v>1773</v>
      </c>
    </row>
    <row r="1113" ht="15.35" customHeight="1">
      <c r="A1113" t="s" s="2">
        <v>2238</v>
      </c>
      <c r="B1113" s="4">
        <v>40110</v>
      </c>
      <c r="C1113" s="5">
        <v>2300</v>
      </c>
      <c r="D1113" s="5">
        <v>93</v>
      </c>
      <c r="E1113" s="5">
        <v>55</v>
      </c>
      <c r="F1113" t="s" s="2">
        <v>19</v>
      </c>
      <c r="G1113" t="s" s="2">
        <v>1768</v>
      </c>
      <c r="H1113" s="5">
        <v>561</v>
      </c>
      <c r="I1113" t="s" s="2">
        <v>196</v>
      </c>
      <c r="J1113" t="s" s="2">
        <v>47</v>
      </c>
      <c r="K1113" t="s" s="2">
        <v>202</v>
      </c>
      <c r="L1113" t="s" s="2">
        <v>618</v>
      </c>
      <c r="M1113" s="5">
        <v>410874</v>
      </c>
      <c r="N1113" s="5">
        <v>6166040</v>
      </c>
      <c r="O1113" t="s" s="2">
        <v>1492</v>
      </c>
      <c r="P1113" t="s" s="2">
        <v>2239</v>
      </c>
      <c r="Q1113" t="s" s="2">
        <v>1772</v>
      </c>
      <c r="R1113" t="s" s="2">
        <f>_xlfn.IFERROR(INDEX('model_byCAP'!$D$2:$D$377,MATCH(Q1113,'model_byCAP'!$A$2:$A$377,0)),0)</f>
        <v>1773</v>
      </c>
    </row>
    <row r="1114" ht="15.35" customHeight="1">
      <c r="A1114" t="s" s="2">
        <v>2240</v>
      </c>
      <c r="B1114" s="4">
        <v>40113</v>
      </c>
      <c r="C1114" s="5">
        <v>2300</v>
      </c>
      <c r="D1114" s="5">
        <v>93</v>
      </c>
      <c r="E1114" s="5">
        <v>55</v>
      </c>
      <c r="F1114" t="s" s="2">
        <v>19</v>
      </c>
      <c r="G1114" t="s" s="2">
        <v>1768</v>
      </c>
      <c r="H1114" s="5">
        <v>561</v>
      </c>
      <c r="I1114" t="s" s="2">
        <v>196</v>
      </c>
      <c r="J1114" t="s" s="2">
        <v>47</v>
      </c>
      <c r="K1114" t="s" s="2">
        <v>202</v>
      </c>
      <c r="L1114" t="s" s="2">
        <v>618</v>
      </c>
      <c r="M1114" s="5">
        <v>411336</v>
      </c>
      <c r="N1114" s="5">
        <v>6165751</v>
      </c>
      <c r="O1114" t="s" s="2">
        <v>1492</v>
      </c>
      <c r="P1114" t="s" s="2">
        <v>2241</v>
      </c>
      <c r="Q1114" t="s" s="2">
        <v>1772</v>
      </c>
      <c r="R1114" t="s" s="2">
        <f>_xlfn.IFERROR(INDEX('model_byCAP'!$D$2:$D$377,MATCH(Q1114,'model_byCAP'!$A$2:$A$377,0)),0)</f>
        <v>1773</v>
      </c>
    </row>
    <row r="1115" ht="15.35" customHeight="1">
      <c r="A1115" t="s" s="2">
        <v>2242</v>
      </c>
      <c r="B1115" s="4">
        <v>40110</v>
      </c>
      <c r="C1115" s="5">
        <v>2300</v>
      </c>
      <c r="D1115" s="5">
        <v>93</v>
      </c>
      <c r="E1115" s="5">
        <v>55</v>
      </c>
      <c r="F1115" t="s" s="2">
        <v>19</v>
      </c>
      <c r="G1115" t="s" s="2">
        <v>1768</v>
      </c>
      <c r="H1115" s="5">
        <v>561</v>
      </c>
      <c r="I1115" t="s" s="2">
        <v>196</v>
      </c>
      <c r="J1115" t="s" s="2">
        <v>47</v>
      </c>
      <c r="K1115" t="s" s="2">
        <v>202</v>
      </c>
      <c r="L1115" t="s" s="2">
        <v>618</v>
      </c>
      <c r="M1115" s="5">
        <v>411799</v>
      </c>
      <c r="N1115" s="5">
        <v>6165462</v>
      </c>
      <c r="O1115" t="s" s="2">
        <v>1492</v>
      </c>
      <c r="P1115" t="s" s="2">
        <v>2243</v>
      </c>
      <c r="Q1115" t="s" s="2">
        <v>1772</v>
      </c>
      <c r="R1115" t="s" s="2">
        <f>_xlfn.IFERROR(INDEX('model_byCAP'!$D$2:$D$377,MATCH(Q1115,'model_byCAP'!$A$2:$A$377,0)),0)</f>
        <v>1773</v>
      </c>
    </row>
    <row r="1116" ht="15.35" customHeight="1">
      <c r="A1116" t="s" s="2">
        <v>2244</v>
      </c>
      <c r="B1116" s="4">
        <v>40115</v>
      </c>
      <c r="C1116" s="5">
        <v>2300</v>
      </c>
      <c r="D1116" s="5">
        <v>93</v>
      </c>
      <c r="E1116" s="5">
        <v>55</v>
      </c>
      <c r="F1116" t="s" s="2">
        <v>19</v>
      </c>
      <c r="G1116" t="s" s="2">
        <v>1768</v>
      </c>
      <c r="H1116" s="5">
        <v>561</v>
      </c>
      <c r="I1116" t="s" s="2">
        <v>196</v>
      </c>
      <c r="J1116" t="s" s="2">
        <v>47</v>
      </c>
      <c r="K1116" t="s" s="2">
        <v>202</v>
      </c>
      <c r="L1116" t="s" s="2">
        <v>618</v>
      </c>
      <c r="M1116" s="5">
        <v>412261</v>
      </c>
      <c r="N1116" s="5">
        <v>6165173</v>
      </c>
      <c r="O1116" t="s" s="2">
        <v>1492</v>
      </c>
      <c r="P1116" t="s" s="2">
        <v>2245</v>
      </c>
      <c r="Q1116" t="s" s="2">
        <v>1772</v>
      </c>
      <c r="R1116" t="s" s="2">
        <f>_xlfn.IFERROR(INDEX('model_byCAP'!$D$2:$D$377,MATCH(Q1116,'model_byCAP'!$A$2:$A$377,0)),0)</f>
        <v>1773</v>
      </c>
    </row>
    <row r="1117" ht="15.35" customHeight="1">
      <c r="A1117" t="s" s="2">
        <v>2246</v>
      </c>
      <c r="B1117" s="4">
        <v>40116</v>
      </c>
      <c r="C1117" s="5">
        <v>2300</v>
      </c>
      <c r="D1117" s="5">
        <v>93</v>
      </c>
      <c r="E1117" s="5">
        <v>55</v>
      </c>
      <c r="F1117" t="s" s="2">
        <v>19</v>
      </c>
      <c r="G1117" t="s" s="2">
        <v>1768</v>
      </c>
      <c r="H1117" s="5">
        <v>561</v>
      </c>
      <c r="I1117" t="s" s="2">
        <v>196</v>
      </c>
      <c r="J1117" t="s" s="2">
        <v>47</v>
      </c>
      <c r="K1117" t="s" s="2">
        <v>202</v>
      </c>
      <c r="L1117" t="s" s="2">
        <v>618</v>
      </c>
      <c r="M1117" s="5">
        <v>412723</v>
      </c>
      <c r="N1117" s="5">
        <v>6164884</v>
      </c>
      <c r="O1117" t="s" s="2">
        <v>1492</v>
      </c>
      <c r="P1117" t="s" s="2">
        <v>2247</v>
      </c>
      <c r="Q1117" t="s" s="2">
        <v>1772</v>
      </c>
      <c r="R1117" t="s" s="2">
        <f>_xlfn.IFERROR(INDEX('model_byCAP'!$D$2:$D$377,MATCH(Q1117,'model_byCAP'!$A$2:$A$377,0)),0)</f>
        <v>1773</v>
      </c>
    </row>
    <row r="1118" ht="15.35" customHeight="1">
      <c r="A1118" t="s" s="2">
        <v>2248</v>
      </c>
      <c r="B1118" s="4">
        <v>40113</v>
      </c>
      <c r="C1118" s="5">
        <v>2300</v>
      </c>
      <c r="D1118" s="5">
        <v>93</v>
      </c>
      <c r="E1118" s="5">
        <v>55</v>
      </c>
      <c r="F1118" t="s" s="2">
        <v>19</v>
      </c>
      <c r="G1118" t="s" s="2">
        <v>1768</v>
      </c>
      <c r="H1118" s="5">
        <v>561</v>
      </c>
      <c r="I1118" t="s" s="2">
        <v>196</v>
      </c>
      <c r="J1118" t="s" s="2">
        <v>47</v>
      </c>
      <c r="K1118" t="s" s="2">
        <v>202</v>
      </c>
      <c r="L1118" t="s" s="2">
        <v>618</v>
      </c>
      <c r="M1118" s="5">
        <v>413185</v>
      </c>
      <c r="N1118" s="5">
        <v>6164596</v>
      </c>
      <c r="O1118" t="s" s="2">
        <v>1492</v>
      </c>
      <c r="P1118" t="s" s="2">
        <v>2249</v>
      </c>
      <c r="Q1118" t="s" s="2">
        <v>1772</v>
      </c>
      <c r="R1118" t="s" s="2">
        <f>_xlfn.IFERROR(INDEX('model_byCAP'!$D$2:$D$377,MATCH(Q1118,'model_byCAP'!$A$2:$A$377,0)),0)</f>
        <v>1773</v>
      </c>
    </row>
    <row r="1119" ht="15.35" customHeight="1">
      <c r="A1119" t="s" s="2">
        <v>2250</v>
      </c>
      <c r="B1119" s="4">
        <v>40155</v>
      </c>
      <c r="C1119" s="5">
        <v>2300</v>
      </c>
      <c r="D1119" s="5">
        <v>93</v>
      </c>
      <c r="E1119" s="5">
        <v>55</v>
      </c>
      <c r="F1119" t="s" s="2">
        <v>19</v>
      </c>
      <c r="G1119" t="s" s="2">
        <v>1768</v>
      </c>
      <c r="H1119" s="5">
        <v>561</v>
      </c>
      <c r="I1119" t="s" s="2">
        <v>196</v>
      </c>
      <c r="J1119" t="s" s="2">
        <v>47</v>
      </c>
      <c r="K1119" t="s" s="2">
        <v>202</v>
      </c>
      <c r="L1119" t="s" s="2">
        <v>618</v>
      </c>
      <c r="M1119" s="5">
        <v>409204</v>
      </c>
      <c r="N1119" s="5">
        <v>6163901</v>
      </c>
      <c r="O1119" t="s" s="2">
        <v>1492</v>
      </c>
      <c r="P1119" t="s" s="2">
        <v>2251</v>
      </c>
      <c r="Q1119" t="s" s="2">
        <v>1772</v>
      </c>
      <c r="R1119" t="s" s="2">
        <f>_xlfn.IFERROR(INDEX('model_byCAP'!$D$2:$D$377,MATCH(Q1119,'model_byCAP'!$A$2:$A$377,0)),0)</f>
        <v>1773</v>
      </c>
    </row>
    <row r="1120" ht="15.35" customHeight="1">
      <c r="A1120" t="s" s="2">
        <v>2252</v>
      </c>
      <c r="B1120" s="4">
        <v>40155</v>
      </c>
      <c r="C1120" s="5">
        <v>2300</v>
      </c>
      <c r="D1120" s="5">
        <v>93</v>
      </c>
      <c r="E1120" s="5">
        <v>55</v>
      </c>
      <c r="F1120" t="s" s="2">
        <v>19</v>
      </c>
      <c r="G1120" t="s" s="2">
        <v>1768</v>
      </c>
      <c r="H1120" s="5">
        <v>561</v>
      </c>
      <c r="I1120" t="s" s="2">
        <v>196</v>
      </c>
      <c r="J1120" t="s" s="2">
        <v>47</v>
      </c>
      <c r="K1120" t="s" s="2">
        <v>202</v>
      </c>
      <c r="L1120" t="s" s="2">
        <v>618</v>
      </c>
      <c r="M1120" s="5">
        <v>409713</v>
      </c>
      <c r="N1120" s="5">
        <v>6163706</v>
      </c>
      <c r="O1120" t="s" s="2">
        <v>1492</v>
      </c>
      <c r="P1120" t="s" s="2">
        <v>2253</v>
      </c>
      <c r="Q1120" t="s" s="2">
        <v>1772</v>
      </c>
      <c r="R1120" t="s" s="2">
        <f>_xlfn.IFERROR(INDEX('model_byCAP'!$D$2:$D$377,MATCH(Q1120,'model_byCAP'!$A$2:$A$377,0)),0)</f>
        <v>1773</v>
      </c>
    </row>
    <row r="1121" ht="15.35" customHeight="1">
      <c r="A1121" t="s" s="2">
        <v>2254</v>
      </c>
      <c r="B1121" s="4">
        <v>40157</v>
      </c>
      <c r="C1121" s="5">
        <v>2300</v>
      </c>
      <c r="D1121" s="5">
        <v>93</v>
      </c>
      <c r="E1121" s="5">
        <v>55</v>
      </c>
      <c r="F1121" t="s" s="2">
        <v>19</v>
      </c>
      <c r="G1121" t="s" s="2">
        <v>1768</v>
      </c>
      <c r="H1121" s="5">
        <v>561</v>
      </c>
      <c r="I1121" t="s" s="2">
        <v>196</v>
      </c>
      <c r="J1121" t="s" s="2">
        <v>47</v>
      </c>
      <c r="K1121" t="s" s="2">
        <v>202</v>
      </c>
      <c r="L1121" t="s" s="2">
        <v>618</v>
      </c>
      <c r="M1121" s="5">
        <v>410223</v>
      </c>
      <c r="N1121" s="5">
        <v>6163512</v>
      </c>
      <c r="O1121" t="s" s="2">
        <v>1492</v>
      </c>
      <c r="P1121" t="s" s="2">
        <v>2255</v>
      </c>
      <c r="Q1121" t="s" s="2">
        <v>1772</v>
      </c>
      <c r="R1121" t="s" s="2">
        <f>_xlfn.IFERROR(INDEX('model_byCAP'!$D$2:$D$377,MATCH(Q1121,'model_byCAP'!$A$2:$A$377,0)),0)</f>
        <v>1773</v>
      </c>
    </row>
    <row r="1122" ht="15.35" customHeight="1">
      <c r="A1122" t="s" s="2">
        <v>2256</v>
      </c>
      <c r="B1122" s="4">
        <v>40155</v>
      </c>
      <c r="C1122" s="5">
        <v>2300</v>
      </c>
      <c r="D1122" s="5">
        <v>93</v>
      </c>
      <c r="E1122" s="5">
        <v>55</v>
      </c>
      <c r="F1122" t="s" s="2">
        <v>19</v>
      </c>
      <c r="G1122" t="s" s="2">
        <v>1768</v>
      </c>
      <c r="H1122" s="5">
        <v>561</v>
      </c>
      <c r="I1122" t="s" s="2">
        <v>196</v>
      </c>
      <c r="J1122" t="s" s="2">
        <v>47</v>
      </c>
      <c r="K1122" t="s" s="2">
        <v>202</v>
      </c>
      <c r="L1122" t="s" s="2">
        <v>618</v>
      </c>
      <c r="M1122" s="5">
        <v>410732</v>
      </c>
      <c r="N1122" s="5">
        <v>6163317</v>
      </c>
      <c r="O1122" t="s" s="2">
        <v>1492</v>
      </c>
      <c r="P1122" t="s" s="2">
        <v>2257</v>
      </c>
      <c r="Q1122" t="s" s="2">
        <v>1772</v>
      </c>
      <c r="R1122" t="s" s="2">
        <f>_xlfn.IFERROR(INDEX('model_byCAP'!$D$2:$D$377,MATCH(Q1122,'model_byCAP'!$A$2:$A$377,0)),0)</f>
        <v>1773</v>
      </c>
    </row>
    <row r="1123" ht="15.35" customHeight="1">
      <c r="A1123" t="s" s="2">
        <v>2258</v>
      </c>
      <c r="B1123" s="4">
        <v>40155</v>
      </c>
      <c r="C1123" s="5">
        <v>2300</v>
      </c>
      <c r="D1123" s="5">
        <v>93</v>
      </c>
      <c r="E1123" s="5">
        <v>55</v>
      </c>
      <c r="F1123" t="s" s="2">
        <v>19</v>
      </c>
      <c r="G1123" t="s" s="2">
        <v>1768</v>
      </c>
      <c r="H1123" s="5">
        <v>561</v>
      </c>
      <c r="I1123" t="s" s="2">
        <v>196</v>
      </c>
      <c r="J1123" t="s" s="2">
        <v>47</v>
      </c>
      <c r="K1123" t="s" s="2">
        <v>202</v>
      </c>
      <c r="L1123" t="s" s="2">
        <v>618</v>
      </c>
      <c r="M1123" s="5">
        <v>411241</v>
      </c>
      <c r="N1123" s="5">
        <v>6163123</v>
      </c>
      <c r="O1123" t="s" s="2">
        <v>1492</v>
      </c>
      <c r="P1123" t="s" s="2">
        <v>2259</v>
      </c>
      <c r="Q1123" t="s" s="2">
        <v>1772</v>
      </c>
      <c r="R1123" t="s" s="2">
        <f>_xlfn.IFERROR(INDEX('model_byCAP'!$D$2:$D$377,MATCH(Q1123,'model_byCAP'!$A$2:$A$377,0)),0)</f>
        <v>1773</v>
      </c>
    </row>
    <row r="1124" ht="15.35" customHeight="1">
      <c r="A1124" t="s" s="2">
        <v>2260</v>
      </c>
      <c r="B1124" s="4">
        <v>40155</v>
      </c>
      <c r="C1124" s="5">
        <v>2300</v>
      </c>
      <c r="D1124" s="5">
        <v>93</v>
      </c>
      <c r="E1124" s="5">
        <v>55</v>
      </c>
      <c r="F1124" t="s" s="2">
        <v>19</v>
      </c>
      <c r="G1124" t="s" s="2">
        <v>1768</v>
      </c>
      <c r="H1124" s="5">
        <v>561</v>
      </c>
      <c r="I1124" t="s" s="2">
        <v>196</v>
      </c>
      <c r="J1124" t="s" s="2">
        <v>47</v>
      </c>
      <c r="K1124" t="s" s="2">
        <v>202</v>
      </c>
      <c r="L1124" t="s" s="2">
        <v>618</v>
      </c>
      <c r="M1124" s="5">
        <v>411750</v>
      </c>
      <c r="N1124" s="5">
        <v>6162929</v>
      </c>
      <c r="O1124" t="s" s="2">
        <v>1492</v>
      </c>
      <c r="P1124" t="s" s="2">
        <v>2261</v>
      </c>
      <c r="Q1124" t="s" s="2">
        <v>1772</v>
      </c>
      <c r="R1124" t="s" s="2">
        <f>_xlfn.IFERROR(INDEX('model_byCAP'!$D$2:$D$377,MATCH(Q1124,'model_byCAP'!$A$2:$A$377,0)),0)</f>
        <v>1773</v>
      </c>
    </row>
    <row r="1125" ht="15.35" customHeight="1">
      <c r="A1125" t="s" s="2">
        <v>2262</v>
      </c>
      <c r="B1125" s="4">
        <v>40157</v>
      </c>
      <c r="C1125" s="5">
        <v>2300</v>
      </c>
      <c r="D1125" s="5">
        <v>93</v>
      </c>
      <c r="E1125" s="5">
        <v>55</v>
      </c>
      <c r="F1125" t="s" s="2">
        <v>19</v>
      </c>
      <c r="G1125" t="s" s="2">
        <v>1768</v>
      </c>
      <c r="H1125" s="5">
        <v>561</v>
      </c>
      <c r="I1125" t="s" s="2">
        <v>196</v>
      </c>
      <c r="J1125" t="s" s="2">
        <v>47</v>
      </c>
      <c r="K1125" t="s" s="2">
        <v>202</v>
      </c>
      <c r="L1125" t="s" s="2">
        <v>618</v>
      </c>
      <c r="M1125" s="5">
        <v>412259</v>
      </c>
      <c r="N1125" s="5">
        <v>6162734</v>
      </c>
      <c r="O1125" t="s" s="2">
        <v>1492</v>
      </c>
      <c r="P1125" t="s" s="2">
        <v>2263</v>
      </c>
      <c r="Q1125" t="s" s="2">
        <v>1772</v>
      </c>
      <c r="R1125" t="s" s="2">
        <f>_xlfn.IFERROR(INDEX('model_byCAP'!$D$2:$D$377,MATCH(Q1125,'model_byCAP'!$A$2:$A$377,0)),0)</f>
        <v>1773</v>
      </c>
    </row>
    <row r="1126" ht="15.35" customHeight="1">
      <c r="A1126" t="s" s="2">
        <v>2264</v>
      </c>
      <c r="B1126" s="4">
        <v>40162</v>
      </c>
      <c r="C1126" s="5">
        <v>2300</v>
      </c>
      <c r="D1126" s="5">
        <v>93</v>
      </c>
      <c r="E1126" s="5">
        <v>55</v>
      </c>
      <c r="F1126" t="s" s="2">
        <v>19</v>
      </c>
      <c r="G1126" t="s" s="2">
        <v>1768</v>
      </c>
      <c r="H1126" s="5">
        <v>561</v>
      </c>
      <c r="I1126" t="s" s="2">
        <v>196</v>
      </c>
      <c r="J1126" t="s" s="2">
        <v>47</v>
      </c>
      <c r="K1126" t="s" s="2">
        <v>202</v>
      </c>
      <c r="L1126" t="s" s="2">
        <v>618</v>
      </c>
      <c r="M1126" s="5">
        <v>409554</v>
      </c>
      <c r="N1126" s="5">
        <v>6164735</v>
      </c>
      <c r="O1126" t="s" s="2">
        <v>1492</v>
      </c>
      <c r="P1126" t="s" s="2">
        <v>2265</v>
      </c>
      <c r="Q1126" t="s" s="2">
        <v>1772</v>
      </c>
      <c r="R1126" t="s" s="2">
        <f>_xlfn.IFERROR(INDEX('model_byCAP'!$D$2:$D$377,MATCH(Q1126,'model_byCAP'!$A$2:$A$377,0)),0)</f>
        <v>1773</v>
      </c>
    </row>
    <row r="1127" ht="15.35" customHeight="1">
      <c r="A1127" t="s" s="2">
        <v>2266</v>
      </c>
      <c r="B1127" s="4">
        <v>40162</v>
      </c>
      <c r="C1127" s="5">
        <v>2300</v>
      </c>
      <c r="D1127" s="5">
        <v>93</v>
      </c>
      <c r="E1127" s="5">
        <v>55</v>
      </c>
      <c r="F1127" t="s" s="2">
        <v>19</v>
      </c>
      <c r="G1127" t="s" s="2">
        <v>1768</v>
      </c>
      <c r="H1127" s="5">
        <v>561</v>
      </c>
      <c r="I1127" t="s" s="2">
        <v>196</v>
      </c>
      <c r="J1127" t="s" s="2">
        <v>47</v>
      </c>
      <c r="K1127" t="s" s="2">
        <v>202</v>
      </c>
      <c r="L1127" t="s" s="2">
        <v>618</v>
      </c>
      <c r="M1127" s="5">
        <v>410050</v>
      </c>
      <c r="N1127" s="5">
        <v>6164509</v>
      </c>
      <c r="O1127" t="s" s="2">
        <v>1492</v>
      </c>
      <c r="P1127" t="s" s="2">
        <v>2267</v>
      </c>
      <c r="Q1127" t="s" s="2">
        <v>1772</v>
      </c>
      <c r="R1127" t="s" s="2">
        <f>_xlfn.IFERROR(INDEX('model_byCAP'!$D$2:$D$377,MATCH(Q1127,'model_byCAP'!$A$2:$A$377,0)),0)</f>
        <v>1773</v>
      </c>
    </row>
    <row r="1128" ht="15.35" customHeight="1">
      <c r="A1128" t="s" s="2">
        <v>2268</v>
      </c>
      <c r="B1128" s="4">
        <v>40162</v>
      </c>
      <c r="C1128" s="5">
        <v>2300</v>
      </c>
      <c r="D1128" s="5">
        <v>93</v>
      </c>
      <c r="E1128" s="5">
        <v>55</v>
      </c>
      <c r="F1128" t="s" s="2">
        <v>19</v>
      </c>
      <c r="G1128" t="s" s="2">
        <v>1768</v>
      </c>
      <c r="H1128" s="5">
        <v>561</v>
      </c>
      <c r="I1128" t="s" s="2">
        <v>196</v>
      </c>
      <c r="J1128" t="s" s="2">
        <v>47</v>
      </c>
      <c r="K1128" t="s" s="2">
        <v>202</v>
      </c>
      <c r="L1128" t="s" s="2">
        <v>618</v>
      </c>
      <c r="M1128" s="5">
        <v>410545</v>
      </c>
      <c r="N1128" s="5">
        <v>6164282</v>
      </c>
      <c r="O1128" t="s" s="2">
        <v>1492</v>
      </c>
      <c r="P1128" t="s" s="2">
        <v>2269</v>
      </c>
      <c r="Q1128" t="s" s="2">
        <v>1772</v>
      </c>
      <c r="R1128" t="s" s="2">
        <f>_xlfn.IFERROR(INDEX('model_byCAP'!$D$2:$D$377,MATCH(Q1128,'model_byCAP'!$A$2:$A$377,0)),0)</f>
        <v>1773</v>
      </c>
    </row>
    <row r="1129" ht="15.35" customHeight="1">
      <c r="A1129" t="s" s="2">
        <v>2270</v>
      </c>
      <c r="B1129" s="4">
        <v>40162</v>
      </c>
      <c r="C1129" s="5">
        <v>2300</v>
      </c>
      <c r="D1129" s="5">
        <v>93</v>
      </c>
      <c r="E1129" s="5">
        <v>55</v>
      </c>
      <c r="F1129" t="s" s="2">
        <v>19</v>
      </c>
      <c r="G1129" t="s" s="2">
        <v>1768</v>
      </c>
      <c r="H1129" s="5">
        <v>561</v>
      </c>
      <c r="I1129" t="s" s="2">
        <v>196</v>
      </c>
      <c r="J1129" t="s" s="2">
        <v>47</v>
      </c>
      <c r="K1129" t="s" s="2">
        <v>202</v>
      </c>
      <c r="L1129" t="s" s="2">
        <v>618</v>
      </c>
      <c r="M1129" s="5">
        <v>411041</v>
      </c>
      <c r="N1129" s="5">
        <v>6164055</v>
      </c>
      <c r="O1129" t="s" s="2">
        <v>1492</v>
      </c>
      <c r="P1129" t="s" s="2">
        <v>2271</v>
      </c>
      <c r="Q1129" t="s" s="2">
        <v>1772</v>
      </c>
      <c r="R1129" t="s" s="2">
        <f>_xlfn.IFERROR(INDEX('model_byCAP'!$D$2:$D$377,MATCH(Q1129,'model_byCAP'!$A$2:$A$377,0)),0)</f>
        <v>1773</v>
      </c>
    </row>
    <row r="1130" ht="15.35" customHeight="1">
      <c r="A1130" t="s" s="2">
        <v>2272</v>
      </c>
      <c r="B1130" s="4">
        <v>40162</v>
      </c>
      <c r="C1130" s="5">
        <v>2300</v>
      </c>
      <c r="D1130" s="5">
        <v>93</v>
      </c>
      <c r="E1130" s="5">
        <v>55</v>
      </c>
      <c r="F1130" t="s" s="2">
        <v>19</v>
      </c>
      <c r="G1130" t="s" s="2">
        <v>1768</v>
      </c>
      <c r="H1130" s="5">
        <v>561</v>
      </c>
      <c r="I1130" t="s" s="2">
        <v>196</v>
      </c>
      <c r="J1130" t="s" s="2">
        <v>47</v>
      </c>
      <c r="K1130" t="s" s="2">
        <v>202</v>
      </c>
      <c r="L1130" t="s" s="2">
        <v>618</v>
      </c>
      <c r="M1130" s="5">
        <v>411536</v>
      </c>
      <c r="N1130" s="5">
        <v>6163828</v>
      </c>
      <c r="O1130" t="s" s="2">
        <v>1492</v>
      </c>
      <c r="P1130" t="s" s="2">
        <v>2273</v>
      </c>
      <c r="Q1130" t="s" s="2">
        <v>1772</v>
      </c>
      <c r="R1130" t="s" s="2">
        <f>_xlfn.IFERROR(INDEX('model_byCAP'!$D$2:$D$377,MATCH(Q1130,'model_byCAP'!$A$2:$A$377,0)),0)</f>
        <v>1773</v>
      </c>
    </row>
    <row r="1131" ht="15.35" customHeight="1">
      <c r="A1131" t="s" s="2">
        <v>2274</v>
      </c>
      <c r="B1131" s="4">
        <v>40162</v>
      </c>
      <c r="C1131" s="5">
        <v>2300</v>
      </c>
      <c r="D1131" s="5">
        <v>93</v>
      </c>
      <c r="E1131" s="5">
        <v>55</v>
      </c>
      <c r="F1131" t="s" s="2">
        <v>19</v>
      </c>
      <c r="G1131" t="s" s="2">
        <v>1768</v>
      </c>
      <c r="H1131" s="5">
        <v>561</v>
      </c>
      <c r="I1131" t="s" s="2">
        <v>196</v>
      </c>
      <c r="J1131" t="s" s="2">
        <v>47</v>
      </c>
      <c r="K1131" t="s" s="2">
        <v>202</v>
      </c>
      <c r="L1131" t="s" s="2">
        <v>618</v>
      </c>
      <c r="M1131" s="5">
        <v>412032</v>
      </c>
      <c r="N1131" s="5">
        <v>6163601</v>
      </c>
      <c r="O1131" t="s" s="2">
        <v>1492</v>
      </c>
      <c r="P1131" t="s" s="2">
        <v>2275</v>
      </c>
      <c r="Q1131" t="s" s="2">
        <v>1772</v>
      </c>
      <c r="R1131" t="s" s="2">
        <f>_xlfn.IFERROR(INDEX('model_byCAP'!$D$2:$D$377,MATCH(Q1131,'model_byCAP'!$A$2:$A$377,0)),0)</f>
        <v>1773</v>
      </c>
    </row>
    <row r="1132" ht="15.35" customHeight="1">
      <c r="A1132" t="s" s="2">
        <v>2276</v>
      </c>
      <c r="B1132" s="4">
        <v>40162</v>
      </c>
      <c r="C1132" s="5">
        <v>2300</v>
      </c>
      <c r="D1132" s="5">
        <v>93</v>
      </c>
      <c r="E1132" s="5">
        <v>55</v>
      </c>
      <c r="F1132" t="s" s="2">
        <v>19</v>
      </c>
      <c r="G1132" t="s" s="2">
        <v>1768</v>
      </c>
      <c r="H1132" s="5">
        <v>561</v>
      </c>
      <c r="I1132" t="s" s="2">
        <v>196</v>
      </c>
      <c r="J1132" t="s" s="2">
        <v>47</v>
      </c>
      <c r="K1132" t="s" s="2">
        <v>202</v>
      </c>
      <c r="L1132" t="s" s="2">
        <v>618</v>
      </c>
      <c r="M1132" s="5">
        <v>412528</v>
      </c>
      <c r="N1132" s="5">
        <v>6163374</v>
      </c>
      <c r="O1132" t="s" s="2">
        <v>1492</v>
      </c>
      <c r="P1132" t="s" s="2">
        <v>2277</v>
      </c>
      <c r="Q1132" t="s" s="2">
        <v>1772</v>
      </c>
      <c r="R1132" t="s" s="2">
        <f>_xlfn.IFERROR(INDEX('model_byCAP'!$D$2:$D$377,MATCH(Q1132,'model_byCAP'!$A$2:$A$377,0)),0)</f>
        <v>1773</v>
      </c>
    </row>
    <row r="1133" ht="15.35" customHeight="1">
      <c r="A1133" t="s" s="2">
        <v>2278</v>
      </c>
      <c r="B1133" s="4">
        <v>40822</v>
      </c>
      <c r="C1133" s="5">
        <v>2300</v>
      </c>
      <c r="D1133" s="5">
        <v>93</v>
      </c>
      <c r="E1133" s="5">
        <v>80</v>
      </c>
      <c r="F1133" t="s" s="2">
        <v>19</v>
      </c>
      <c r="G1133" t="s" s="2">
        <v>1768</v>
      </c>
      <c r="H1133" s="5">
        <v>661</v>
      </c>
      <c r="I1133" t="s" s="2">
        <v>562</v>
      </c>
      <c r="J1133" t="s" s="2">
        <v>22</v>
      </c>
      <c r="K1133" t="s" s="2">
        <v>2279</v>
      </c>
      <c r="L1133" s="5">
        <v>4</v>
      </c>
      <c r="M1133" s="5">
        <v>486642.44</v>
      </c>
      <c r="N1133" s="5">
        <v>6262360.08</v>
      </c>
      <c r="O1133" t="s" s="2">
        <v>305</v>
      </c>
      <c r="P1133" s="5">
        <v>1200</v>
      </c>
      <c r="Q1133" t="s" s="2">
        <v>1772</v>
      </c>
      <c r="R1133" t="s" s="2">
        <f>_xlfn.IFERROR(INDEX('model_byCAP'!$D$2:$D$377,MATCH(Q1133,'model_byCAP'!$A$2:$A$377,0)),0)</f>
        <v>1773</v>
      </c>
    </row>
    <row r="1134" ht="15.35" customHeight="1">
      <c r="A1134" t="s" s="2">
        <v>2280</v>
      </c>
      <c r="B1134" s="4">
        <v>40834</v>
      </c>
      <c r="C1134" s="5">
        <v>2300</v>
      </c>
      <c r="D1134" s="5">
        <v>93</v>
      </c>
      <c r="E1134" s="5">
        <v>80</v>
      </c>
      <c r="F1134" t="s" s="2">
        <v>19</v>
      </c>
      <c r="G1134" t="s" s="2">
        <v>1768</v>
      </c>
      <c r="H1134" s="5">
        <v>661</v>
      </c>
      <c r="I1134" t="s" s="2">
        <v>562</v>
      </c>
      <c r="J1134" t="s" s="2">
        <v>22</v>
      </c>
      <c r="K1134" t="s" s="2">
        <v>2281</v>
      </c>
      <c r="L1134" s="5">
        <v>4</v>
      </c>
      <c r="M1134" s="5">
        <v>486648.69</v>
      </c>
      <c r="N1134" s="5">
        <v>6262714.39</v>
      </c>
      <c r="O1134" t="s" s="2">
        <v>305</v>
      </c>
      <c r="P1134" s="5">
        <v>1201</v>
      </c>
      <c r="Q1134" t="s" s="2">
        <v>1772</v>
      </c>
      <c r="R1134" t="s" s="2">
        <f>_xlfn.IFERROR(INDEX('model_byCAP'!$D$2:$D$377,MATCH(Q1134,'model_byCAP'!$A$2:$A$377,0)),0)</f>
        <v>1773</v>
      </c>
    </row>
    <row r="1135" ht="15.35" customHeight="1">
      <c r="A1135" t="s" s="2">
        <v>2282</v>
      </c>
      <c r="B1135" s="4">
        <v>40827</v>
      </c>
      <c r="C1135" s="5">
        <v>2300</v>
      </c>
      <c r="D1135" s="5">
        <v>93</v>
      </c>
      <c r="E1135" s="5">
        <v>80</v>
      </c>
      <c r="F1135" t="s" s="2">
        <v>19</v>
      </c>
      <c r="G1135" t="s" s="2">
        <v>1768</v>
      </c>
      <c r="H1135" s="5">
        <v>661</v>
      </c>
      <c r="I1135" t="s" s="2">
        <v>562</v>
      </c>
      <c r="J1135" t="s" s="2">
        <v>22</v>
      </c>
      <c r="K1135" t="s" s="2">
        <v>2281</v>
      </c>
      <c r="L1135" s="5">
        <v>4</v>
      </c>
      <c r="M1135" s="5">
        <v>486654.05</v>
      </c>
      <c r="N1135" s="5">
        <v>6263069.5</v>
      </c>
      <c r="O1135" t="s" s="2">
        <v>305</v>
      </c>
      <c r="P1135" s="5">
        <v>1202</v>
      </c>
      <c r="Q1135" t="s" s="2">
        <v>1772</v>
      </c>
      <c r="R1135" t="s" s="2">
        <f>_xlfn.IFERROR(INDEX('model_byCAP'!$D$2:$D$377,MATCH(Q1135,'model_byCAP'!$A$2:$A$377,0)),0)</f>
        <v>1773</v>
      </c>
    </row>
    <row r="1136" ht="15.35" customHeight="1">
      <c r="A1136" t="s" s="2">
        <v>2283</v>
      </c>
      <c r="B1136" s="4">
        <v>37645</v>
      </c>
      <c r="C1136" s="5">
        <v>2300</v>
      </c>
      <c r="D1136" s="5">
        <v>82.40000000000001</v>
      </c>
      <c r="E1136" s="5">
        <v>78.8</v>
      </c>
      <c r="F1136" t="s" s="2">
        <v>1989</v>
      </c>
      <c r="G1136" t="s" s="2">
        <v>1990</v>
      </c>
      <c r="H1136" s="5">
        <v>665</v>
      </c>
      <c r="I1136" t="s" s="2">
        <v>316</v>
      </c>
      <c r="J1136" t="s" s="2">
        <v>47</v>
      </c>
      <c r="K1136" t="s" s="2">
        <v>2284</v>
      </c>
      <c r="L1136" t="s" s="2">
        <v>2285</v>
      </c>
      <c r="M1136" s="5">
        <v>452277.02</v>
      </c>
      <c r="N1136" s="5">
        <v>6279874.97</v>
      </c>
      <c r="O1136" t="s" s="2">
        <v>305</v>
      </c>
      <c r="P1136" s="5">
        <v>40178</v>
      </c>
      <c r="Q1136" t="s" s="2">
        <v>1994</v>
      </c>
      <c r="R1136" t="s" s="2">
        <f>_xlfn.IFERROR(INDEX('model_byCAP'!$D$2:$D$377,MATCH(Q1136,'model_byCAP'!$A$2:$A$377,0)),0)</f>
        <v>1995</v>
      </c>
    </row>
    <row r="1137" ht="15.35" customHeight="1">
      <c r="A1137" t="s" s="2">
        <v>2286</v>
      </c>
      <c r="B1137" s="4">
        <v>37650</v>
      </c>
      <c r="C1137" s="5">
        <v>2300</v>
      </c>
      <c r="D1137" s="5">
        <v>82.40000000000001</v>
      </c>
      <c r="E1137" s="5">
        <v>78.8</v>
      </c>
      <c r="F1137" t="s" s="2">
        <v>1989</v>
      </c>
      <c r="G1137" t="s" s="2">
        <v>1990</v>
      </c>
      <c r="H1137" s="5">
        <v>665</v>
      </c>
      <c r="I1137" t="s" s="2">
        <v>316</v>
      </c>
      <c r="J1137" t="s" s="2">
        <v>47</v>
      </c>
      <c r="K1137" t="s" s="2">
        <v>42</v>
      </c>
      <c r="L1137" t="s" s="2">
        <v>618</v>
      </c>
      <c r="M1137" s="5">
        <v>452354.76</v>
      </c>
      <c r="N1137" s="5">
        <v>6279600.46</v>
      </c>
      <c r="O1137" t="s" s="2">
        <v>305</v>
      </c>
      <c r="P1137" s="5">
        <v>40178</v>
      </c>
      <c r="Q1137" t="s" s="2">
        <v>1994</v>
      </c>
      <c r="R1137" t="s" s="2">
        <f>_xlfn.IFERROR(INDEX('model_byCAP'!$D$2:$D$377,MATCH(Q1137,'model_byCAP'!$A$2:$A$377,0)),0)</f>
        <v>1995</v>
      </c>
    </row>
    <row r="1138" ht="15.35" customHeight="1">
      <c r="A1138" t="s" s="2">
        <v>2287</v>
      </c>
      <c r="B1138" s="4">
        <v>37649</v>
      </c>
      <c r="C1138" s="5">
        <v>2300</v>
      </c>
      <c r="D1138" s="5">
        <v>82.40000000000001</v>
      </c>
      <c r="E1138" s="5">
        <v>78.8</v>
      </c>
      <c r="F1138" t="s" s="2">
        <v>1989</v>
      </c>
      <c r="G1138" t="s" s="2">
        <v>1990</v>
      </c>
      <c r="H1138" s="5">
        <v>665</v>
      </c>
      <c r="I1138" t="s" s="2">
        <v>316</v>
      </c>
      <c r="J1138" t="s" s="2">
        <v>47</v>
      </c>
      <c r="K1138" t="s" s="2">
        <v>2284</v>
      </c>
      <c r="L1138" t="s" s="2">
        <v>2285</v>
      </c>
      <c r="M1138" s="5">
        <v>452433.17</v>
      </c>
      <c r="N1138" s="5">
        <v>6279326.59</v>
      </c>
      <c r="O1138" t="s" s="2">
        <v>305</v>
      </c>
      <c r="P1138" s="5">
        <v>40178</v>
      </c>
      <c r="Q1138" t="s" s="2">
        <v>1994</v>
      </c>
      <c r="R1138" t="s" s="2">
        <f>_xlfn.IFERROR(INDEX('model_byCAP'!$D$2:$D$377,MATCH(Q1138,'model_byCAP'!$A$2:$A$377,0)),0)</f>
        <v>1995</v>
      </c>
    </row>
    <row r="1139" ht="15.35" customHeight="1">
      <c r="A1139" t="s" s="2">
        <v>2288</v>
      </c>
      <c r="B1139" s="4">
        <v>37642</v>
      </c>
      <c r="C1139" s="5">
        <v>2300</v>
      </c>
      <c r="D1139" s="5">
        <v>82.40000000000001</v>
      </c>
      <c r="E1139" s="5">
        <v>78.8</v>
      </c>
      <c r="F1139" t="s" s="2">
        <v>1989</v>
      </c>
      <c r="G1139" t="s" s="2">
        <v>1990</v>
      </c>
      <c r="H1139" s="5">
        <v>665</v>
      </c>
      <c r="I1139" t="s" s="2">
        <v>316</v>
      </c>
      <c r="J1139" t="s" s="2">
        <v>47</v>
      </c>
      <c r="K1139" t="s" s="2">
        <v>2284</v>
      </c>
      <c r="L1139" t="s" s="2">
        <v>2285</v>
      </c>
      <c r="M1139" s="5">
        <v>452510.82</v>
      </c>
      <c r="N1139" s="5">
        <v>6279051.84</v>
      </c>
      <c r="O1139" t="s" s="2">
        <v>305</v>
      </c>
      <c r="P1139" s="5">
        <v>40178</v>
      </c>
      <c r="Q1139" t="s" s="2">
        <v>1994</v>
      </c>
      <c r="R1139" t="s" s="2">
        <f>_xlfn.IFERROR(INDEX('model_byCAP'!$D$2:$D$377,MATCH(Q1139,'model_byCAP'!$A$2:$A$377,0)),0)</f>
        <v>1995</v>
      </c>
    </row>
    <row r="1140" ht="15.35" customHeight="1">
      <c r="A1140" t="s" s="2">
        <v>2289</v>
      </c>
      <c r="B1140" s="4">
        <v>39758</v>
      </c>
      <c r="C1140" s="5">
        <v>2300</v>
      </c>
      <c r="D1140" s="5">
        <v>93</v>
      </c>
      <c r="E1140" s="5">
        <v>80</v>
      </c>
      <c r="F1140" t="s" s="2">
        <v>19</v>
      </c>
      <c r="G1140" t="s" s="2">
        <v>1768</v>
      </c>
      <c r="H1140" s="5">
        <v>730</v>
      </c>
      <c r="I1140" t="s" s="2">
        <v>843</v>
      </c>
      <c r="J1140" t="s" s="2">
        <v>22</v>
      </c>
      <c r="K1140" t="s" s="2">
        <v>2290</v>
      </c>
      <c r="L1140" t="s" s="2">
        <v>1229</v>
      </c>
      <c r="M1140" s="5">
        <v>580154.75</v>
      </c>
      <c r="N1140" s="5">
        <v>6279722.77</v>
      </c>
      <c r="O1140" t="s" s="2">
        <v>305</v>
      </c>
      <c r="P1140" s="5">
        <v>95213</v>
      </c>
      <c r="Q1140" t="s" s="2">
        <v>1772</v>
      </c>
      <c r="R1140" t="s" s="2">
        <f>_xlfn.IFERROR(INDEX('model_byCAP'!$D$2:$D$377,MATCH(Q1140,'model_byCAP'!$A$2:$A$377,0)),0)</f>
        <v>1773</v>
      </c>
    </row>
    <row r="1141" ht="15.35" customHeight="1">
      <c r="A1141" t="s" s="2">
        <v>2291</v>
      </c>
      <c r="B1141" s="4">
        <v>39757</v>
      </c>
      <c r="C1141" s="5">
        <v>2300</v>
      </c>
      <c r="D1141" s="5">
        <v>92.59999999999999</v>
      </c>
      <c r="E1141" s="5">
        <v>80</v>
      </c>
      <c r="F1141" t="s" s="2">
        <v>19</v>
      </c>
      <c r="G1141" t="s" s="2">
        <v>1768</v>
      </c>
      <c r="H1141" s="5">
        <v>730</v>
      </c>
      <c r="I1141" t="s" s="2">
        <v>843</v>
      </c>
      <c r="J1141" t="s" s="2">
        <v>22</v>
      </c>
      <c r="K1141" t="s" s="2">
        <v>2290</v>
      </c>
      <c r="L1141" t="s" s="2">
        <v>1194</v>
      </c>
      <c r="M1141" s="5">
        <v>580676.6899999999</v>
      </c>
      <c r="N1141" s="5">
        <v>6279772.97</v>
      </c>
      <c r="O1141" t="s" s="2">
        <v>305</v>
      </c>
      <c r="P1141" s="5">
        <v>95214</v>
      </c>
      <c r="Q1141" t="s" s="2">
        <v>1772</v>
      </c>
      <c r="R1141" t="s" s="2">
        <f>_xlfn.IFERROR(INDEX('model_byCAP'!$D$2:$D$377,MATCH(Q1141,'model_byCAP'!$A$2:$A$377,0)),0)</f>
        <v>1773</v>
      </c>
    </row>
    <row r="1142" ht="15.35" customHeight="1">
      <c r="A1142" t="s" s="2">
        <v>2292</v>
      </c>
      <c r="B1142" s="4">
        <v>39756</v>
      </c>
      <c r="C1142" s="5">
        <v>2300</v>
      </c>
      <c r="D1142" s="5">
        <v>92.59999999999999</v>
      </c>
      <c r="E1142" s="5">
        <v>80</v>
      </c>
      <c r="F1142" t="s" s="2">
        <v>19</v>
      </c>
      <c r="G1142" t="s" s="2">
        <v>1768</v>
      </c>
      <c r="H1142" s="5">
        <v>730</v>
      </c>
      <c r="I1142" t="s" s="2">
        <v>843</v>
      </c>
      <c r="J1142" t="s" s="2">
        <v>22</v>
      </c>
      <c r="K1142" t="s" s="2">
        <v>2290</v>
      </c>
      <c r="L1142" t="s" s="2">
        <v>2293</v>
      </c>
      <c r="M1142" s="5">
        <v>581200.63</v>
      </c>
      <c r="N1142" s="5">
        <v>6279823.85</v>
      </c>
      <c r="O1142" t="s" s="2">
        <v>305</v>
      </c>
      <c r="P1142" s="5">
        <v>95215</v>
      </c>
      <c r="Q1142" t="s" s="2">
        <v>1772</v>
      </c>
      <c r="R1142" t="s" s="2">
        <f>_xlfn.IFERROR(INDEX('model_byCAP'!$D$2:$D$377,MATCH(Q1142,'model_byCAP'!$A$2:$A$377,0)),0)</f>
        <v>1773</v>
      </c>
    </row>
    <row r="1143" ht="15.35" customHeight="1">
      <c r="A1143" t="s" s="2">
        <v>2294</v>
      </c>
      <c r="B1143" s="4">
        <v>39758</v>
      </c>
      <c r="C1143" s="5">
        <v>2300</v>
      </c>
      <c r="D1143" s="5">
        <v>92.59999999999999</v>
      </c>
      <c r="E1143" s="5">
        <v>80</v>
      </c>
      <c r="F1143" t="s" s="2">
        <v>19</v>
      </c>
      <c r="G1143" t="s" s="2">
        <v>1768</v>
      </c>
      <c r="H1143" s="5">
        <v>730</v>
      </c>
      <c r="I1143" t="s" s="2">
        <v>843</v>
      </c>
      <c r="J1143" t="s" s="2">
        <v>22</v>
      </c>
      <c r="K1143" t="s" s="2">
        <v>2290</v>
      </c>
      <c r="L1143" t="s" s="2">
        <v>941</v>
      </c>
      <c r="M1143" s="5">
        <v>581721.33</v>
      </c>
      <c r="N1143" s="5">
        <v>6279873.75</v>
      </c>
      <c r="O1143" t="s" s="2">
        <v>305</v>
      </c>
      <c r="P1143" s="5">
        <v>95216</v>
      </c>
      <c r="Q1143" t="s" s="2">
        <v>1772</v>
      </c>
      <c r="R1143" t="s" s="2">
        <f>_xlfn.IFERROR(INDEX('model_byCAP'!$D$2:$D$377,MATCH(Q1143,'model_byCAP'!$A$2:$A$377,0)),0)</f>
        <v>1773</v>
      </c>
    </row>
    <row r="1144" ht="15.35" customHeight="1">
      <c r="A1144" t="s" s="2">
        <v>2295</v>
      </c>
      <c r="B1144" s="4">
        <v>39758</v>
      </c>
      <c r="C1144" s="5">
        <v>2300</v>
      </c>
      <c r="D1144" s="5">
        <v>92.59999999999999</v>
      </c>
      <c r="E1144" s="5">
        <v>80</v>
      </c>
      <c r="F1144" t="s" s="2">
        <v>19</v>
      </c>
      <c r="G1144" t="s" s="2">
        <v>1768</v>
      </c>
      <c r="H1144" s="5">
        <v>730</v>
      </c>
      <c r="I1144" t="s" s="2">
        <v>843</v>
      </c>
      <c r="J1144" t="s" s="2">
        <v>22</v>
      </c>
      <c r="K1144" t="s" s="2">
        <v>2290</v>
      </c>
      <c r="L1144" t="s" s="2">
        <v>2296</v>
      </c>
      <c r="M1144" s="5">
        <v>582183.8199999999</v>
      </c>
      <c r="N1144" s="5">
        <v>6279918.45</v>
      </c>
      <c r="O1144" t="s" s="2">
        <v>305</v>
      </c>
      <c r="P1144" s="5">
        <v>95217</v>
      </c>
      <c r="Q1144" t="s" s="2">
        <v>1772</v>
      </c>
      <c r="R1144" t="s" s="2">
        <f>_xlfn.IFERROR(INDEX('model_byCAP'!$D$2:$D$377,MATCH(Q1144,'model_byCAP'!$A$2:$A$377,0)),0)</f>
        <v>1773</v>
      </c>
    </row>
    <row r="1145" ht="15.35" customHeight="1">
      <c r="A1145" t="s" s="2">
        <v>2297</v>
      </c>
      <c r="B1145" s="4">
        <v>39770</v>
      </c>
      <c r="C1145" s="5">
        <v>2300</v>
      </c>
      <c r="D1145" s="5">
        <v>92.59999999999999</v>
      </c>
      <c r="E1145" s="5">
        <v>80</v>
      </c>
      <c r="F1145" t="s" s="2">
        <v>19</v>
      </c>
      <c r="G1145" t="s" s="2">
        <v>1768</v>
      </c>
      <c r="H1145" s="5">
        <v>730</v>
      </c>
      <c r="I1145" t="s" s="2">
        <v>843</v>
      </c>
      <c r="J1145" t="s" s="2">
        <v>22</v>
      </c>
      <c r="K1145" t="s" s="2">
        <v>2298</v>
      </c>
      <c r="L1145" t="s" s="2">
        <v>2299</v>
      </c>
      <c r="M1145" s="5">
        <v>579908.13</v>
      </c>
      <c r="N1145" s="5">
        <v>6280186.22</v>
      </c>
      <c r="O1145" t="s" s="2">
        <v>305</v>
      </c>
      <c r="P1145" s="5">
        <v>95218</v>
      </c>
      <c r="Q1145" t="s" s="2">
        <v>1772</v>
      </c>
      <c r="R1145" t="s" s="2">
        <f>_xlfn.IFERROR(INDEX('model_byCAP'!$D$2:$D$377,MATCH(Q1145,'model_byCAP'!$A$2:$A$377,0)),0)</f>
        <v>1773</v>
      </c>
    </row>
    <row r="1146" ht="15.35" customHeight="1">
      <c r="A1146" t="s" s="2">
        <v>2300</v>
      </c>
      <c r="B1146" s="4">
        <v>39772</v>
      </c>
      <c r="C1146" s="5">
        <v>2300</v>
      </c>
      <c r="D1146" s="5">
        <v>92.59999999999999</v>
      </c>
      <c r="E1146" s="5">
        <v>80</v>
      </c>
      <c r="F1146" t="s" s="2">
        <v>19</v>
      </c>
      <c r="G1146" t="s" s="2">
        <v>1768</v>
      </c>
      <c r="H1146" s="5">
        <v>730</v>
      </c>
      <c r="I1146" t="s" s="2">
        <v>843</v>
      </c>
      <c r="J1146" t="s" s="2">
        <v>22</v>
      </c>
      <c r="K1146" t="s" s="2">
        <v>2298</v>
      </c>
      <c r="L1146" t="s" s="2">
        <v>2299</v>
      </c>
      <c r="M1146" s="5">
        <v>580429.9300000001</v>
      </c>
      <c r="N1146" s="5">
        <v>6280236.7</v>
      </c>
      <c r="O1146" t="s" s="2">
        <v>305</v>
      </c>
      <c r="P1146" s="5">
        <v>95219</v>
      </c>
      <c r="Q1146" t="s" s="2">
        <v>1772</v>
      </c>
      <c r="R1146" t="s" s="2">
        <f>_xlfn.IFERROR(INDEX('model_byCAP'!$D$2:$D$377,MATCH(Q1146,'model_byCAP'!$A$2:$A$377,0)),0)</f>
        <v>1773</v>
      </c>
    </row>
    <row r="1147" ht="15.35" customHeight="1">
      <c r="A1147" t="s" s="2">
        <v>2301</v>
      </c>
      <c r="B1147" s="4">
        <v>39771</v>
      </c>
      <c r="C1147" s="5">
        <v>2300</v>
      </c>
      <c r="D1147" s="5">
        <v>92.59999999999999</v>
      </c>
      <c r="E1147" s="5">
        <v>80</v>
      </c>
      <c r="F1147" t="s" s="2">
        <v>19</v>
      </c>
      <c r="G1147" t="s" s="2">
        <v>1768</v>
      </c>
      <c r="H1147" s="5">
        <v>730</v>
      </c>
      <c r="I1147" t="s" s="2">
        <v>843</v>
      </c>
      <c r="J1147" t="s" s="2">
        <v>22</v>
      </c>
      <c r="K1147" t="s" s="2">
        <v>2302</v>
      </c>
      <c r="L1147" t="s" s="2">
        <v>2299</v>
      </c>
      <c r="M1147" s="5">
        <v>580952.29</v>
      </c>
      <c r="N1147" s="5">
        <v>6280286.92</v>
      </c>
      <c r="O1147" t="s" s="2">
        <v>305</v>
      </c>
      <c r="P1147" s="5">
        <v>95220</v>
      </c>
      <c r="Q1147" t="s" s="2">
        <v>1772</v>
      </c>
      <c r="R1147" t="s" s="2">
        <f>_xlfn.IFERROR(INDEX('model_byCAP'!$D$2:$D$377,MATCH(Q1147,'model_byCAP'!$A$2:$A$377,0)),0)</f>
        <v>1773</v>
      </c>
    </row>
    <row r="1148" ht="15.35" customHeight="1">
      <c r="A1148" t="s" s="2">
        <v>2303</v>
      </c>
      <c r="B1148" s="4">
        <v>39773</v>
      </c>
      <c r="C1148" s="5">
        <v>2300</v>
      </c>
      <c r="D1148" s="5">
        <v>92.59999999999999</v>
      </c>
      <c r="E1148" s="5">
        <v>80</v>
      </c>
      <c r="F1148" t="s" s="2">
        <v>19</v>
      </c>
      <c r="G1148" t="s" s="2">
        <v>1768</v>
      </c>
      <c r="H1148" s="5">
        <v>730</v>
      </c>
      <c r="I1148" t="s" s="2">
        <v>843</v>
      </c>
      <c r="J1148" t="s" s="2">
        <v>22</v>
      </c>
      <c r="K1148" t="s" s="2">
        <v>2298</v>
      </c>
      <c r="L1148" t="s" s="2">
        <v>2299</v>
      </c>
      <c r="M1148" s="5">
        <v>581475.72</v>
      </c>
      <c r="N1148" s="5">
        <v>6280337.37</v>
      </c>
      <c r="O1148" t="s" s="2">
        <v>305</v>
      </c>
      <c r="P1148" s="5">
        <v>95221</v>
      </c>
      <c r="Q1148" t="s" s="2">
        <v>1772</v>
      </c>
      <c r="R1148" t="s" s="2">
        <f>_xlfn.IFERROR(INDEX('model_byCAP'!$D$2:$D$377,MATCH(Q1148,'model_byCAP'!$A$2:$A$377,0)),0)</f>
        <v>1773</v>
      </c>
    </row>
    <row r="1149" ht="15.35" customHeight="1">
      <c r="A1149" t="s" s="2">
        <v>2304</v>
      </c>
      <c r="B1149" s="4">
        <v>39777</v>
      </c>
      <c r="C1149" s="5">
        <v>2300</v>
      </c>
      <c r="D1149" s="5">
        <v>92.59999999999999</v>
      </c>
      <c r="E1149" s="5">
        <v>80</v>
      </c>
      <c r="F1149" t="s" s="2">
        <v>19</v>
      </c>
      <c r="G1149" t="s" s="2">
        <v>1768</v>
      </c>
      <c r="H1149" s="5">
        <v>730</v>
      </c>
      <c r="I1149" t="s" s="2">
        <v>843</v>
      </c>
      <c r="J1149" t="s" s="2">
        <v>22</v>
      </c>
      <c r="K1149" t="s" s="2">
        <v>2298</v>
      </c>
      <c r="L1149" t="s" s="2">
        <v>2299</v>
      </c>
      <c r="M1149" s="5">
        <v>581947.16</v>
      </c>
      <c r="N1149" s="5">
        <v>6280382.99</v>
      </c>
      <c r="O1149" t="s" s="2">
        <v>305</v>
      </c>
      <c r="P1149" s="5">
        <v>95222</v>
      </c>
      <c r="Q1149" t="s" s="2">
        <v>1772</v>
      </c>
      <c r="R1149" t="s" s="2">
        <f>_xlfn.IFERROR(INDEX('model_byCAP'!$D$2:$D$377,MATCH(Q1149,'model_byCAP'!$A$2:$A$377,0)),0)</f>
        <v>1773</v>
      </c>
    </row>
    <row r="1150" ht="15.35" customHeight="1">
      <c r="A1150" t="s" s="2">
        <v>2305</v>
      </c>
      <c r="B1150" s="4">
        <v>37660</v>
      </c>
      <c r="C1150" s="5">
        <v>2300</v>
      </c>
      <c r="D1150" s="5">
        <v>84.59999999999999</v>
      </c>
      <c r="E1150" s="5">
        <v>61.2</v>
      </c>
      <c r="F1150" t="s" s="2">
        <v>1989</v>
      </c>
      <c r="G1150" t="s" s="2">
        <v>1990</v>
      </c>
      <c r="H1150" s="5">
        <v>741</v>
      </c>
      <c r="I1150" t="s" s="2">
        <v>2306</v>
      </c>
      <c r="J1150" t="s" s="2">
        <v>47</v>
      </c>
      <c r="K1150" t="s" s="2">
        <v>49</v>
      </c>
      <c r="L1150" t="s" s="2">
        <v>49</v>
      </c>
      <c r="M1150" s="5">
        <v>599425.1899999999</v>
      </c>
      <c r="N1150" s="5">
        <v>6177554.977</v>
      </c>
      <c r="O1150" t="s" s="2">
        <v>1993</v>
      </c>
      <c r="P1150" s="5">
        <v>200233</v>
      </c>
      <c r="Q1150" t="s" s="2">
        <v>1994</v>
      </c>
      <c r="R1150" t="s" s="2">
        <f>_xlfn.IFERROR(INDEX('model_byCAP'!$D$2:$D$377,MATCH(Q1150,'model_byCAP'!$A$2:$A$377,0)),0)</f>
        <v>1995</v>
      </c>
    </row>
    <row r="1151" ht="15.35" customHeight="1">
      <c r="A1151" t="s" s="2">
        <v>2307</v>
      </c>
      <c r="B1151" s="4">
        <v>37660</v>
      </c>
      <c r="C1151" s="5">
        <v>2300</v>
      </c>
      <c r="D1151" s="5">
        <v>84.59999999999999</v>
      </c>
      <c r="E1151" s="5">
        <v>61.2</v>
      </c>
      <c r="F1151" t="s" s="2">
        <v>1989</v>
      </c>
      <c r="G1151" t="s" s="2">
        <v>1990</v>
      </c>
      <c r="H1151" s="5">
        <v>741</v>
      </c>
      <c r="I1151" t="s" s="2">
        <v>2306</v>
      </c>
      <c r="J1151" t="s" s="2">
        <v>47</v>
      </c>
      <c r="K1151" t="s" s="2">
        <v>49</v>
      </c>
      <c r="L1151" t="s" s="2">
        <v>49</v>
      </c>
      <c r="M1151" s="5">
        <v>599432.1459999999</v>
      </c>
      <c r="N1151" s="5">
        <v>6177254.529</v>
      </c>
      <c r="O1151" t="s" s="2">
        <v>1993</v>
      </c>
      <c r="P1151" s="5">
        <v>200234</v>
      </c>
      <c r="Q1151" t="s" s="2">
        <v>1994</v>
      </c>
      <c r="R1151" t="s" s="2">
        <f>_xlfn.IFERROR(INDEX('model_byCAP'!$D$2:$D$377,MATCH(Q1151,'model_byCAP'!$A$2:$A$377,0)),0)</f>
        <v>1995</v>
      </c>
    </row>
    <row r="1152" ht="15.35" customHeight="1">
      <c r="A1152" t="s" s="2">
        <v>2308</v>
      </c>
      <c r="B1152" s="4">
        <v>37660</v>
      </c>
      <c r="C1152" s="5">
        <v>2300</v>
      </c>
      <c r="D1152" s="5">
        <v>84.59999999999999</v>
      </c>
      <c r="E1152" s="5">
        <v>61.2</v>
      </c>
      <c r="F1152" t="s" s="2">
        <v>1989</v>
      </c>
      <c r="G1152" t="s" s="2">
        <v>1990</v>
      </c>
      <c r="H1152" s="5">
        <v>741</v>
      </c>
      <c r="I1152" t="s" s="2">
        <v>2306</v>
      </c>
      <c r="J1152" t="s" s="2">
        <v>47</v>
      </c>
      <c r="K1152" t="s" s="2">
        <v>49</v>
      </c>
      <c r="L1152" t="s" s="2">
        <v>49</v>
      </c>
      <c r="M1152" s="5">
        <v>599438.968</v>
      </c>
      <c r="N1152" s="5">
        <v>6176954.082</v>
      </c>
      <c r="O1152" t="s" s="2">
        <v>1993</v>
      </c>
      <c r="P1152" s="5">
        <v>200235</v>
      </c>
      <c r="Q1152" t="s" s="2">
        <v>1994</v>
      </c>
      <c r="R1152" t="s" s="2">
        <f>_xlfn.IFERROR(INDEX('model_byCAP'!$D$2:$D$377,MATCH(Q1152,'model_byCAP'!$A$2:$A$377,0)),0)</f>
        <v>1995</v>
      </c>
    </row>
    <row r="1153" ht="15.35" customHeight="1">
      <c r="A1153" t="s" s="2">
        <v>2309</v>
      </c>
      <c r="B1153" s="4">
        <v>37660</v>
      </c>
      <c r="C1153" s="5">
        <v>2300</v>
      </c>
      <c r="D1153" s="5">
        <v>84.59999999999999</v>
      </c>
      <c r="E1153" s="5">
        <v>61.2</v>
      </c>
      <c r="F1153" t="s" s="2">
        <v>1989</v>
      </c>
      <c r="G1153" t="s" s="2">
        <v>1990</v>
      </c>
      <c r="H1153" s="5">
        <v>741</v>
      </c>
      <c r="I1153" t="s" s="2">
        <v>2306</v>
      </c>
      <c r="J1153" t="s" s="2">
        <v>47</v>
      </c>
      <c r="K1153" t="s" s="2">
        <v>49</v>
      </c>
      <c r="L1153" t="s" s="2">
        <v>49</v>
      </c>
      <c r="M1153" s="5">
        <v>599445.606</v>
      </c>
      <c r="N1153" s="5">
        <v>6176655.86</v>
      </c>
      <c r="O1153" t="s" s="2">
        <v>1993</v>
      </c>
      <c r="P1153" s="5">
        <v>200236</v>
      </c>
      <c r="Q1153" t="s" s="2">
        <v>1994</v>
      </c>
      <c r="R1153" t="s" s="2">
        <f>_xlfn.IFERROR(INDEX('model_byCAP'!$D$2:$D$377,MATCH(Q1153,'model_byCAP'!$A$2:$A$377,0)),0)</f>
        <v>1995</v>
      </c>
    </row>
    <row r="1154" ht="15.35" customHeight="1">
      <c r="A1154" t="s" s="2">
        <v>2310</v>
      </c>
      <c r="B1154" s="4">
        <v>37660</v>
      </c>
      <c r="C1154" s="5">
        <v>2300</v>
      </c>
      <c r="D1154" s="5">
        <v>84.59999999999999</v>
      </c>
      <c r="E1154" s="5">
        <v>61.2</v>
      </c>
      <c r="F1154" t="s" s="2">
        <v>1989</v>
      </c>
      <c r="G1154" t="s" s="2">
        <v>1990</v>
      </c>
      <c r="H1154" s="5">
        <v>741</v>
      </c>
      <c r="I1154" t="s" s="2">
        <v>2306</v>
      </c>
      <c r="J1154" t="s" s="2">
        <v>47</v>
      </c>
      <c r="K1154" t="s" s="2">
        <v>49</v>
      </c>
      <c r="L1154" t="s" s="2">
        <v>49</v>
      </c>
      <c r="M1154" s="5">
        <v>599452.875</v>
      </c>
      <c r="N1154" s="5">
        <v>6176355.413</v>
      </c>
      <c r="O1154" t="s" s="2">
        <v>1993</v>
      </c>
      <c r="P1154" s="5">
        <v>200237</v>
      </c>
      <c r="Q1154" t="s" s="2">
        <v>1994</v>
      </c>
      <c r="R1154" t="s" s="2">
        <f>_xlfn.IFERROR(INDEX('model_byCAP'!$D$2:$D$377,MATCH(Q1154,'model_byCAP'!$A$2:$A$377,0)),0)</f>
        <v>1995</v>
      </c>
    </row>
    <row r="1155" ht="15.35" customHeight="1">
      <c r="A1155" t="s" s="2">
        <v>2311</v>
      </c>
      <c r="B1155" s="4">
        <v>37660</v>
      </c>
      <c r="C1155" s="5">
        <v>2300</v>
      </c>
      <c r="D1155" s="5">
        <v>84.59999999999999</v>
      </c>
      <c r="E1155" s="5">
        <v>61.2</v>
      </c>
      <c r="F1155" t="s" s="2">
        <v>1989</v>
      </c>
      <c r="G1155" t="s" s="2">
        <v>1990</v>
      </c>
      <c r="H1155" s="5">
        <v>741</v>
      </c>
      <c r="I1155" t="s" s="2">
        <v>2306</v>
      </c>
      <c r="J1155" t="s" s="2">
        <v>47</v>
      </c>
      <c r="K1155" t="s" s="2">
        <v>49</v>
      </c>
      <c r="L1155" t="s" s="2">
        <v>49</v>
      </c>
      <c r="M1155" s="5">
        <v>599459.657</v>
      </c>
      <c r="N1155" s="5">
        <v>6176052.74</v>
      </c>
      <c r="O1155" t="s" s="2">
        <v>1993</v>
      </c>
      <c r="P1155" s="5">
        <v>200238</v>
      </c>
      <c r="Q1155" t="s" s="2">
        <v>1994</v>
      </c>
      <c r="R1155" t="s" s="2">
        <f>_xlfn.IFERROR(INDEX('model_byCAP'!$D$2:$D$377,MATCH(Q1155,'model_byCAP'!$A$2:$A$377,0)),0)</f>
        <v>1995</v>
      </c>
    </row>
    <row r="1156" ht="15.35" customHeight="1">
      <c r="A1156" t="s" s="2">
        <v>2312</v>
      </c>
      <c r="B1156" s="4">
        <v>37660</v>
      </c>
      <c r="C1156" s="5">
        <v>2300</v>
      </c>
      <c r="D1156" s="5">
        <v>84.59999999999999</v>
      </c>
      <c r="E1156" s="5">
        <v>61.2</v>
      </c>
      <c r="F1156" t="s" s="2">
        <v>1989</v>
      </c>
      <c r="G1156" t="s" s="2">
        <v>1990</v>
      </c>
      <c r="H1156" s="5">
        <v>741</v>
      </c>
      <c r="I1156" t="s" s="2">
        <v>2306</v>
      </c>
      <c r="J1156" t="s" s="2">
        <v>47</v>
      </c>
      <c r="K1156" t="s" s="2">
        <v>49</v>
      </c>
      <c r="L1156" t="s" s="2">
        <v>49</v>
      </c>
      <c r="M1156" s="5">
        <v>599473.593</v>
      </c>
      <c r="N1156" s="5">
        <v>6175455.185</v>
      </c>
      <c r="O1156" t="s" s="2">
        <v>1993</v>
      </c>
      <c r="P1156" s="5">
        <v>200240</v>
      </c>
      <c r="Q1156" t="s" s="2">
        <v>1994</v>
      </c>
      <c r="R1156" t="s" s="2">
        <f>_xlfn.IFERROR(INDEX('model_byCAP'!$D$2:$D$377,MATCH(Q1156,'model_byCAP'!$A$2:$A$377,0)),0)</f>
        <v>1995</v>
      </c>
    </row>
    <row r="1157" ht="15.35" customHeight="1">
      <c r="A1157" t="s" s="2">
        <v>2313</v>
      </c>
      <c r="B1157" s="4">
        <v>37660</v>
      </c>
      <c r="C1157" s="5">
        <v>2300</v>
      </c>
      <c r="D1157" s="5">
        <v>84.59999999999999</v>
      </c>
      <c r="E1157" s="5">
        <v>61.2</v>
      </c>
      <c r="F1157" t="s" s="2">
        <v>1989</v>
      </c>
      <c r="G1157" t="s" s="2">
        <v>1990</v>
      </c>
      <c r="H1157" s="5">
        <v>741</v>
      </c>
      <c r="I1157" t="s" s="2">
        <v>2306</v>
      </c>
      <c r="J1157" t="s" s="2">
        <v>47</v>
      </c>
      <c r="K1157" t="s" s="2">
        <v>49</v>
      </c>
      <c r="L1157" t="s" s="2">
        <v>49</v>
      </c>
      <c r="M1157" s="5">
        <v>599479.301</v>
      </c>
      <c r="N1157" s="5">
        <v>6175154.738</v>
      </c>
      <c r="O1157" t="s" s="2">
        <v>1993</v>
      </c>
      <c r="P1157" s="5">
        <v>200241</v>
      </c>
      <c r="Q1157" t="s" s="2">
        <v>1994</v>
      </c>
      <c r="R1157" t="s" s="2">
        <f>_xlfn.IFERROR(INDEX('model_byCAP'!$D$2:$D$377,MATCH(Q1157,'model_byCAP'!$A$2:$A$377,0)),0)</f>
        <v>1995</v>
      </c>
    </row>
    <row r="1158" ht="15.35" customHeight="1">
      <c r="A1158" t="s" s="2">
        <v>2314</v>
      </c>
      <c r="B1158" s="4">
        <v>37660</v>
      </c>
      <c r="C1158" s="5">
        <v>2300</v>
      </c>
      <c r="D1158" s="5">
        <v>84.59999999999999</v>
      </c>
      <c r="E1158" s="5">
        <v>61.2</v>
      </c>
      <c r="F1158" t="s" s="2">
        <v>1989</v>
      </c>
      <c r="G1158" t="s" s="2">
        <v>1990</v>
      </c>
      <c r="H1158" s="5">
        <v>741</v>
      </c>
      <c r="I1158" t="s" s="2">
        <v>2306</v>
      </c>
      <c r="J1158" t="s" s="2">
        <v>47</v>
      </c>
      <c r="K1158" t="s" s="2">
        <v>49</v>
      </c>
      <c r="L1158" t="s" s="2">
        <v>49</v>
      </c>
      <c r="M1158" s="5">
        <v>599486.298</v>
      </c>
      <c r="N1158" s="5">
        <v>6174854.291</v>
      </c>
      <c r="O1158" t="s" s="2">
        <v>1993</v>
      </c>
      <c r="P1158" s="5">
        <v>200242</v>
      </c>
      <c r="Q1158" t="s" s="2">
        <v>1994</v>
      </c>
      <c r="R1158" t="s" s="2">
        <f>_xlfn.IFERROR(INDEX('model_byCAP'!$D$2:$D$377,MATCH(Q1158,'model_byCAP'!$A$2:$A$377,0)),0)</f>
        <v>1995</v>
      </c>
    </row>
    <row r="1159" ht="15.35" customHeight="1">
      <c r="A1159" t="s" s="2">
        <v>2315</v>
      </c>
      <c r="B1159" s="4">
        <v>43123</v>
      </c>
      <c r="C1159" s="5">
        <v>2300</v>
      </c>
      <c r="D1159" s="5">
        <v>93</v>
      </c>
      <c r="E1159" s="5">
        <v>61.5</v>
      </c>
      <c r="F1159" t="s" s="2">
        <v>19</v>
      </c>
      <c r="G1159" t="s" s="2">
        <v>1768</v>
      </c>
      <c r="H1159" s="5">
        <v>741</v>
      </c>
      <c r="I1159" t="s" s="2">
        <v>2306</v>
      </c>
      <c r="J1159" t="s" s="2">
        <v>47</v>
      </c>
      <c r="K1159" t="s" s="2">
        <v>2316</v>
      </c>
      <c r="L1159" s="5">
        <v>1</v>
      </c>
      <c r="M1159" s="5">
        <v>599466.0429999999</v>
      </c>
      <c r="N1159" s="5">
        <v>6175755.631</v>
      </c>
      <c r="O1159" t="s" s="2">
        <v>1993</v>
      </c>
      <c r="P1159" s="5">
        <v>200239</v>
      </c>
      <c r="Q1159" t="s" s="2">
        <v>1772</v>
      </c>
      <c r="R1159" t="s" s="2">
        <f>_xlfn.IFERROR(INDEX('model_byCAP'!$D$2:$D$377,MATCH(Q1159,'model_byCAP'!$A$2:$A$377,0)),0)</f>
        <v>1773</v>
      </c>
    </row>
    <row r="1160" ht="15.35" customHeight="1">
      <c r="A1160" t="s" s="2">
        <v>2317</v>
      </c>
      <c r="B1160" s="4">
        <v>36707</v>
      </c>
      <c r="C1160" s="5">
        <v>2300</v>
      </c>
      <c r="D1160" s="5">
        <v>82.40000000000001</v>
      </c>
      <c r="E1160" s="5">
        <v>79</v>
      </c>
      <c r="F1160" t="s" s="2">
        <v>1989</v>
      </c>
      <c r="G1160" t="s" s="2">
        <v>2318</v>
      </c>
      <c r="H1160" s="5">
        <v>756</v>
      </c>
      <c r="I1160" t="s" s="2">
        <v>456</v>
      </c>
      <c r="J1160" t="s" s="2">
        <v>22</v>
      </c>
      <c r="K1160" t="s" s="2">
        <v>2319</v>
      </c>
      <c r="L1160" t="s" s="2">
        <v>1285</v>
      </c>
      <c r="M1160" s="5">
        <v>500398.86</v>
      </c>
      <c r="N1160" s="5">
        <v>6191796.28</v>
      </c>
      <c r="O1160" t="s" s="2">
        <v>305</v>
      </c>
      <c r="P1160" s="5">
        <v>16083</v>
      </c>
      <c r="Q1160" t="s" s="2">
        <v>2320</v>
      </c>
      <c r="R1160" t="s" s="2">
        <f>_xlfn.IFERROR(INDEX('model_byCAP'!$D$2:$D$377,MATCH(Q1160,'model_byCAP'!$A$2:$A$377,0)),0)</f>
        <v>2321</v>
      </c>
    </row>
    <row r="1161" ht="15.35" customHeight="1">
      <c r="A1161" t="s" s="2">
        <v>2322</v>
      </c>
      <c r="B1161" s="4">
        <v>39512</v>
      </c>
      <c r="C1161" s="5">
        <v>2300</v>
      </c>
      <c r="D1161" s="5">
        <v>93</v>
      </c>
      <c r="E1161" s="5">
        <v>80</v>
      </c>
      <c r="F1161" t="s" s="2">
        <v>19</v>
      </c>
      <c r="G1161" t="s" s="2">
        <v>1768</v>
      </c>
      <c r="H1161" s="5">
        <v>760</v>
      </c>
      <c r="I1161" t="s" s="2">
        <v>331</v>
      </c>
      <c r="J1161" t="s" s="2">
        <v>22</v>
      </c>
      <c r="K1161" t="s" s="2">
        <v>2323</v>
      </c>
      <c r="L1161" t="s" s="2">
        <v>546</v>
      </c>
      <c r="M1161" s="5">
        <v>461093.58</v>
      </c>
      <c r="N1161" s="5">
        <v>6220539.08</v>
      </c>
      <c r="O1161" t="s" s="2">
        <v>305</v>
      </c>
      <c r="P1161" s="5">
        <v>85084</v>
      </c>
      <c r="Q1161" t="s" s="2">
        <v>1772</v>
      </c>
      <c r="R1161" t="s" s="2">
        <f>_xlfn.IFERROR(INDEX('model_byCAP'!$D$2:$D$377,MATCH(Q1161,'model_byCAP'!$A$2:$A$377,0)),0)</f>
        <v>1773</v>
      </c>
    </row>
    <row r="1162" ht="15.35" customHeight="1">
      <c r="A1162" t="s" s="2">
        <v>2324</v>
      </c>
      <c r="B1162" s="4">
        <v>39512</v>
      </c>
      <c r="C1162" s="5">
        <v>2300</v>
      </c>
      <c r="D1162" s="5">
        <v>93</v>
      </c>
      <c r="E1162" s="5">
        <v>80</v>
      </c>
      <c r="F1162" t="s" s="2">
        <v>19</v>
      </c>
      <c r="G1162" t="s" s="2">
        <v>1768</v>
      </c>
      <c r="H1162" s="5">
        <v>760</v>
      </c>
      <c r="I1162" t="s" s="2">
        <v>331</v>
      </c>
      <c r="J1162" t="s" s="2">
        <v>22</v>
      </c>
      <c r="K1162" t="s" s="2">
        <v>2323</v>
      </c>
      <c r="L1162" t="s" s="2">
        <v>546</v>
      </c>
      <c r="M1162" s="5">
        <v>461203.49</v>
      </c>
      <c r="N1162" s="5">
        <v>6220274.95</v>
      </c>
      <c r="O1162" t="s" s="2">
        <v>305</v>
      </c>
      <c r="P1162" s="5">
        <v>85085</v>
      </c>
      <c r="Q1162" t="s" s="2">
        <v>1772</v>
      </c>
      <c r="R1162" t="s" s="2">
        <f>_xlfn.IFERROR(INDEX('model_byCAP'!$D$2:$D$377,MATCH(Q1162,'model_byCAP'!$A$2:$A$377,0)),0)</f>
        <v>1773</v>
      </c>
    </row>
    <row r="1163" ht="15.35" customHeight="1">
      <c r="A1163" t="s" s="2">
        <v>2325</v>
      </c>
      <c r="B1163" s="4">
        <v>39512</v>
      </c>
      <c r="C1163" s="5">
        <v>2300</v>
      </c>
      <c r="D1163" s="5">
        <v>93</v>
      </c>
      <c r="E1163" s="5">
        <v>80</v>
      </c>
      <c r="F1163" t="s" s="2">
        <v>19</v>
      </c>
      <c r="G1163" t="s" s="2">
        <v>1768</v>
      </c>
      <c r="H1163" s="5">
        <v>760</v>
      </c>
      <c r="I1163" t="s" s="2">
        <v>331</v>
      </c>
      <c r="J1163" t="s" s="2">
        <v>22</v>
      </c>
      <c r="K1163" t="s" s="2">
        <v>2323</v>
      </c>
      <c r="L1163" t="s" s="2">
        <v>1310</v>
      </c>
      <c r="M1163" s="5">
        <v>460920.66</v>
      </c>
      <c r="N1163" s="5">
        <v>6220311.65</v>
      </c>
      <c r="O1163" t="s" s="2">
        <v>305</v>
      </c>
      <c r="P1163" s="5">
        <v>85086</v>
      </c>
      <c r="Q1163" t="s" s="2">
        <v>1772</v>
      </c>
      <c r="R1163" t="s" s="2">
        <f>_xlfn.IFERROR(INDEX('model_byCAP'!$D$2:$D$377,MATCH(Q1163,'model_byCAP'!$A$2:$A$377,0)),0)</f>
        <v>1773</v>
      </c>
    </row>
    <row r="1164" ht="15.35" customHeight="1">
      <c r="A1164" t="s" s="2">
        <v>2326</v>
      </c>
      <c r="B1164" s="4">
        <v>37727</v>
      </c>
      <c r="C1164" s="5">
        <v>2300</v>
      </c>
      <c r="D1164" s="5">
        <v>82.40000000000001</v>
      </c>
      <c r="E1164" s="5">
        <v>80</v>
      </c>
      <c r="F1164" t="s" s="2">
        <v>1989</v>
      </c>
      <c r="G1164" t="s" s="2">
        <v>1990</v>
      </c>
      <c r="H1164" s="5">
        <v>813</v>
      </c>
      <c r="I1164" t="s" s="2">
        <v>1708</v>
      </c>
      <c r="J1164" t="s" s="2">
        <v>47</v>
      </c>
      <c r="K1164" t="s" s="2">
        <v>1708</v>
      </c>
      <c r="L1164" t="s" s="2">
        <v>1712</v>
      </c>
      <c r="M1164" s="5">
        <v>593555.3</v>
      </c>
      <c r="N1164" s="5">
        <v>6368073.21</v>
      </c>
      <c r="O1164" t="s" s="2">
        <v>305</v>
      </c>
      <c r="P1164" s="5">
        <v>40183440</v>
      </c>
      <c r="Q1164" t="s" s="2">
        <v>1994</v>
      </c>
      <c r="R1164" t="s" s="2">
        <f>_xlfn.IFERROR(INDEX('model_byCAP'!$D$2:$D$377,MATCH(Q1164,'model_byCAP'!$A$2:$A$377,0)),0)</f>
        <v>1995</v>
      </c>
    </row>
    <row r="1165" ht="15.35" customHeight="1">
      <c r="A1165" t="s" s="2">
        <v>2327</v>
      </c>
      <c r="B1165" s="4">
        <v>37769</v>
      </c>
      <c r="C1165" s="5">
        <v>2300</v>
      </c>
      <c r="D1165" s="5">
        <v>90</v>
      </c>
      <c r="E1165" s="5">
        <v>80</v>
      </c>
      <c r="F1165" t="s" s="2">
        <v>2328</v>
      </c>
      <c r="G1165" t="s" s="2">
        <v>2329</v>
      </c>
      <c r="H1165" s="5">
        <v>813</v>
      </c>
      <c r="I1165" t="s" s="2">
        <v>1708</v>
      </c>
      <c r="J1165" t="s" s="2">
        <v>47</v>
      </c>
      <c r="K1165" t="s" s="2">
        <v>1708</v>
      </c>
      <c r="L1165" t="s" s="2">
        <v>1712</v>
      </c>
      <c r="M1165" s="5">
        <v>593961.64</v>
      </c>
      <c r="N1165" s="5">
        <v>6367668</v>
      </c>
      <c r="O1165" t="s" s="2">
        <v>305</v>
      </c>
      <c r="P1165" s="5">
        <v>40188143</v>
      </c>
      <c r="Q1165" t="s" s="2">
        <v>2330</v>
      </c>
      <c r="R1165" t="s" s="2">
        <f>_xlfn.IFERROR(INDEX('model_byCAP'!$D$2:$D$377,MATCH(Q1165,'model_byCAP'!$A$2:$A$377,0)),0)</f>
        <v>2331</v>
      </c>
    </row>
    <row r="1166" ht="15.35" customHeight="1">
      <c r="A1166" t="s" s="2">
        <v>2332</v>
      </c>
      <c r="B1166" s="4">
        <v>40018</v>
      </c>
      <c r="C1166" s="5">
        <v>2300</v>
      </c>
      <c r="D1166" s="5">
        <v>93</v>
      </c>
      <c r="E1166" s="5">
        <v>80</v>
      </c>
      <c r="F1166" t="s" s="2">
        <v>19</v>
      </c>
      <c r="G1166" t="s" s="2">
        <v>1768</v>
      </c>
      <c r="H1166" s="5">
        <v>820</v>
      </c>
      <c r="I1166" t="s" s="2">
        <v>388</v>
      </c>
      <c r="J1166" t="s" s="2">
        <v>22</v>
      </c>
      <c r="K1166" t="s" s="2">
        <v>2333</v>
      </c>
      <c r="L1166" t="s" s="2">
        <v>2334</v>
      </c>
      <c r="M1166" s="5">
        <v>520697.57</v>
      </c>
      <c r="N1166" s="5">
        <v>6317665.38</v>
      </c>
      <c r="O1166" t="s" s="2">
        <v>305</v>
      </c>
      <c r="P1166" s="5">
        <v>526</v>
      </c>
      <c r="Q1166" t="s" s="2">
        <v>1772</v>
      </c>
      <c r="R1166" t="s" s="2">
        <f>_xlfn.IFERROR(INDEX('model_byCAP'!$D$2:$D$377,MATCH(Q1166,'model_byCAP'!$A$2:$A$377,0)),0)</f>
        <v>1773</v>
      </c>
    </row>
    <row r="1167" ht="15.35" customHeight="1">
      <c r="A1167" t="s" s="2">
        <v>2335</v>
      </c>
      <c r="B1167" s="4">
        <v>40022</v>
      </c>
      <c r="C1167" s="5">
        <v>2300</v>
      </c>
      <c r="D1167" s="5">
        <v>93</v>
      </c>
      <c r="E1167" s="5">
        <v>80</v>
      </c>
      <c r="F1167" t="s" s="2">
        <v>19</v>
      </c>
      <c r="G1167" t="s" s="2">
        <v>1768</v>
      </c>
      <c r="H1167" s="5">
        <v>820</v>
      </c>
      <c r="I1167" t="s" s="2">
        <v>388</v>
      </c>
      <c r="J1167" t="s" s="2">
        <v>22</v>
      </c>
      <c r="K1167" t="s" s="2">
        <v>2333</v>
      </c>
      <c r="L1167" t="s" s="2">
        <v>2336</v>
      </c>
      <c r="M1167" s="5">
        <v>521167.5</v>
      </c>
      <c r="N1167" s="5">
        <v>6317794.86</v>
      </c>
      <c r="O1167" t="s" s="2">
        <v>305</v>
      </c>
      <c r="P1167" s="5">
        <v>527</v>
      </c>
      <c r="Q1167" t="s" s="2">
        <v>1772</v>
      </c>
      <c r="R1167" t="s" s="2">
        <f>_xlfn.IFERROR(INDEX('model_byCAP'!$D$2:$D$377,MATCH(Q1167,'model_byCAP'!$A$2:$A$377,0)),0)</f>
        <v>1773</v>
      </c>
    </row>
    <row r="1168" ht="15.35" customHeight="1">
      <c r="A1168" t="s" s="2">
        <v>2337</v>
      </c>
      <c r="B1168" s="4">
        <v>40018</v>
      </c>
      <c r="C1168" s="5">
        <v>2300</v>
      </c>
      <c r="D1168" s="5">
        <v>93</v>
      </c>
      <c r="E1168" s="5">
        <v>80</v>
      </c>
      <c r="F1168" t="s" s="2">
        <v>19</v>
      </c>
      <c r="G1168" t="s" s="2">
        <v>1768</v>
      </c>
      <c r="H1168" s="5">
        <v>820</v>
      </c>
      <c r="I1168" t="s" s="2">
        <v>388</v>
      </c>
      <c r="J1168" t="s" s="2">
        <v>22</v>
      </c>
      <c r="K1168" t="s" s="2">
        <v>2333</v>
      </c>
      <c r="L1168" t="s" s="2">
        <v>390</v>
      </c>
      <c r="M1168" s="5">
        <v>521637.41</v>
      </c>
      <c r="N1168" s="5">
        <v>6317923.7</v>
      </c>
      <c r="O1168" t="s" s="2">
        <v>305</v>
      </c>
      <c r="P1168" s="5">
        <v>528</v>
      </c>
      <c r="Q1168" t="s" s="2">
        <v>1772</v>
      </c>
      <c r="R1168" t="s" s="2">
        <f>_xlfn.IFERROR(INDEX('model_byCAP'!$D$2:$D$377,MATCH(Q1168,'model_byCAP'!$A$2:$A$377,0)),0)</f>
        <v>1773</v>
      </c>
    </row>
    <row r="1169" ht="15.35" customHeight="1">
      <c r="A1169" t="s" s="2">
        <v>2338</v>
      </c>
      <c r="B1169" s="4">
        <v>40012</v>
      </c>
      <c r="C1169" s="5">
        <v>2300</v>
      </c>
      <c r="D1169" s="5">
        <v>93</v>
      </c>
      <c r="E1169" s="5">
        <v>80</v>
      </c>
      <c r="F1169" t="s" s="2">
        <v>19</v>
      </c>
      <c r="G1169" t="s" s="2">
        <v>1768</v>
      </c>
      <c r="H1169" s="5">
        <v>820</v>
      </c>
      <c r="I1169" t="s" s="2">
        <v>388</v>
      </c>
      <c r="J1169" t="s" s="2">
        <v>22</v>
      </c>
      <c r="K1169" t="s" s="2">
        <v>2333</v>
      </c>
      <c r="L1169" s="5">
        <v>76</v>
      </c>
      <c r="M1169" s="5">
        <v>522107.17</v>
      </c>
      <c r="N1169" s="5">
        <v>6318052.88</v>
      </c>
      <c r="O1169" t="s" s="2">
        <v>305</v>
      </c>
      <c r="P1169" s="5">
        <v>530</v>
      </c>
      <c r="Q1169" t="s" s="2">
        <v>1772</v>
      </c>
      <c r="R1169" t="s" s="2">
        <f>_xlfn.IFERROR(INDEX('model_byCAP'!$D$2:$D$377,MATCH(Q1169,'model_byCAP'!$A$2:$A$377,0)),0)</f>
        <v>1773</v>
      </c>
    </row>
    <row r="1170" ht="15.35" customHeight="1">
      <c r="A1170" t="s" s="2">
        <v>2339</v>
      </c>
      <c r="B1170" s="4">
        <v>40015</v>
      </c>
      <c r="C1170" s="5">
        <v>2300</v>
      </c>
      <c r="D1170" s="5">
        <v>93</v>
      </c>
      <c r="E1170" s="5">
        <v>80</v>
      </c>
      <c r="F1170" t="s" s="2">
        <v>19</v>
      </c>
      <c r="G1170" t="s" s="2">
        <v>1768</v>
      </c>
      <c r="H1170" s="5">
        <v>820</v>
      </c>
      <c r="I1170" t="s" s="2">
        <v>388</v>
      </c>
      <c r="J1170" t="s" s="2">
        <v>22</v>
      </c>
      <c r="K1170" t="s" s="2">
        <v>2340</v>
      </c>
      <c r="L1170" t="s" s="2">
        <v>2341</v>
      </c>
      <c r="M1170" s="5">
        <v>522575.83</v>
      </c>
      <c r="N1170" s="5">
        <v>6318182.07</v>
      </c>
      <c r="O1170" t="s" s="2">
        <v>305</v>
      </c>
      <c r="P1170" s="5">
        <v>531</v>
      </c>
      <c r="Q1170" t="s" s="2">
        <v>1772</v>
      </c>
      <c r="R1170" t="s" s="2">
        <f>_xlfn.IFERROR(INDEX('model_byCAP'!$D$2:$D$377,MATCH(Q1170,'model_byCAP'!$A$2:$A$377,0)),0)</f>
        <v>1773</v>
      </c>
    </row>
    <row r="1171" ht="15.35" customHeight="1">
      <c r="A1171" t="s" s="2">
        <v>2342</v>
      </c>
      <c r="B1171" s="4">
        <v>40381</v>
      </c>
      <c r="C1171" s="5">
        <v>2300</v>
      </c>
      <c r="D1171" s="5">
        <v>93</v>
      </c>
      <c r="E1171" s="5">
        <v>80</v>
      </c>
      <c r="F1171" t="s" s="2">
        <v>19</v>
      </c>
      <c r="G1171" t="s" s="2">
        <v>1768</v>
      </c>
      <c r="H1171" s="5">
        <v>820</v>
      </c>
      <c r="I1171" t="s" s="2">
        <v>388</v>
      </c>
      <c r="J1171" t="s" s="2">
        <v>22</v>
      </c>
      <c r="K1171" t="s" s="2">
        <v>2340</v>
      </c>
      <c r="L1171" t="s" s="2">
        <v>2343</v>
      </c>
      <c r="M1171" s="5">
        <v>523046.47</v>
      </c>
      <c r="N1171" s="5">
        <v>6318311.35</v>
      </c>
      <c r="O1171" t="s" s="2">
        <v>305</v>
      </c>
      <c r="P1171" s="5">
        <v>532</v>
      </c>
      <c r="Q1171" t="s" s="2">
        <v>1772</v>
      </c>
      <c r="R1171" t="s" s="2">
        <f>_xlfn.IFERROR(INDEX('model_byCAP'!$D$2:$D$377,MATCH(Q1171,'model_byCAP'!$A$2:$A$377,0)),0)</f>
        <v>1773</v>
      </c>
    </row>
    <row r="1172" ht="15.35" customHeight="1">
      <c r="A1172" t="s" s="2">
        <v>2344</v>
      </c>
      <c r="B1172" s="4">
        <v>40036</v>
      </c>
      <c r="C1172" s="5">
        <v>2300</v>
      </c>
      <c r="D1172" s="5">
        <v>93</v>
      </c>
      <c r="E1172" s="5">
        <v>80</v>
      </c>
      <c r="F1172" t="s" s="2">
        <v>19</v>
      </c>
      <c r="G1172" t="s" s="2">
        <v>1768</v>
      </c>
      <c r="H1172" s="5">
        <v>820</v>
      </c>
      <c r="I1172" t="s" s="2">
        <v>388</v>
      </c>
      <c r="J1172" t="s" s="2">
        <v>22</v>
      </c>
      <c r="K1172" t="s" s="2">
        <v>2340</v>
      </c>
      <c r="L1172" t="s" s="2">
        <v>2345</v>
      </c>
      <c r="M1172" s="5">
        <v>523516.21</v>
      </c>
      <c r="N1172" s="5">
        <v>6318440.05</v>
      </c>
      <c r="O1172" t="s" s="2">
        <v>305</v>
      </c>
      <c r="P1172" s="5">
        <v>533</v>
      </c>
      <c r="Q1172" t="s" s="2">
        <v>1772</v>
      </c>
      <c r="R1172" t="s" s="2">
        <f>_xlfn.IFERROR(INDEX('model_byCAP'!$D$2:$D$377,MATCH(Q1172,'model_byCAP'!$A$2:$A$377,0)),0)</f>
        <v>1773</v>
      </c>
    </row>
    <row r="1173" ht="15.35" customHeight="1">
      <c r="A1173" t="s" s="2">
        <v>2346</v>
      </c>
      <c r="B1173" s="4">
        <v>40456</v>
      </c>
      <c r="C1173" s="5">
        <v>2300</v>
      </c>
      <c r="D1173" s="5">
        <v>92.59999999999999</v>
      </c>
      <c r="E1173" s="5">
        <v>80</v>
      </c>
      <c r="F1173" t="s" s="2">
        <v>19</v>
      </c>
      <c r="G1173" t="s" s="2">
        <v>1768</v>
      </c>
      <c r="H1173" s="5">
        <v>820</v>
      </c>
      <c r="I1173" t="s" s="2">
        <v>388</v>
      </c>
      <c r="J1173" t="s" s="2">
        <v>22</v>
      </c>
      <c r="K1173" t="s" s="2">
        <v>2347</v>
      </c>
      <c r="L1173" t="s" s="2">
        <v>2348</v>
      </c>
      <c r="M1173" s="5">
        <v>522898.55</v>
      </c>
      <c r="N1173" s="5">
        <v>6292219.65</v>
      </c>
      <c r="O1173" t="s" s="2">
        <v>305</v>
      </c>
      <c r="P1173" s="5">
        <v>544</v>
      </c>
      <c r="Q1173" t="s" s="2">
        <v>1772</v>
      </c>
      <c r="R1173" t="s" s="2">
        <f>_xlfn.IFERROR(INDEX('model_byCAP'!$D$2:$D$377,MATCH(Q1173,'model_byCAP'!$A$2:$A$377,0)),0)</f>
        <v>1773</v>
      </c>
    </row>
    <row r="1174" ht="15.35" customHeight="1">
      <c r="A1174" t="s" s="2">
        <v>2349</v>
      </c>
      <c r="B1174" s="4">
        <v>40457</v>
      </c>
      <c r="C1174" s="5">
        <v>2300</v>
      </c>
      <c r="D1174" s="5">
        <v>92.59999999999999</v>
      </c>
      <c r="E1174" s="5">
        <v>80</v>
      </c>
      <c r="F1174" t="s" s="2">
        <v>19</v>
      </c>
      <c r="G1174" t="s" s="2">
        <v>1768</v>
      </c>
      <c r="H1174" s="5">
        <v>820</v>
      </c>
      <c r="I1174" t="s" s="2">
        <v>388</v>
      </c>
      <c r="J1174" t="s" s="2">
        <v>22</v>
      </c>
      <c r="K1174" t="s" s="2">
        <v>2347</v>
      </c>
      <c r="L1174" t="s" s="2">
        <v>481</v>
      </c>
      <c r="M1174" s="5">
        <v>523405.39</v>
      </c>
      <c r="N1174" s="5">
        <v>6292215.86</v>
      </c>
      <c r="O1174" t="s" s="2">
        <v>305</v>
      </c>
      <c r="P1174" s="5">
        <v>545</v>
      </c>
      <c r="Q1174" t="s" s="2">
        <v>1772</v>
      </c>
      <c r="R1174" t="s" s="2">
        <f>_xlfn.IFERROR(INDEX('model_byCAP'!$D$2:$D$377,MATCH(Q1174,'model_byCAP'!$A$2:$A$377,0)),0)</f>
        <v>1773</v>
      </c>
    </row>
    <row r="1175" ht="15.35" customHeight="1">
      <c r="A1175" t="s" s="2">
        <v>2350</v>
      </c>
      <c r="B1175" s="4">
        <v>40463</v>
      </c>
      <c r="C1175" s="5">
        <v>2300</v>
      </c>
      <c r="D1175" s="5">
        <v>92.59999999999999</v>
      </c>
      <c r="E1175" s="5">
        <v>80</v>
      </c>
      <c r="F1175" t="s" s="2">
        <v>19</v>
      </c>
      <c r="G1175" t="s" s="2">
        <v>1768</v>
      </c>
      <c r="H1175" s="5">
        <v>820</v>
      </c>
      <c r="I1175" t="s" s="2">
        <v>388</v>
      </c>
      <c r="J1175" t="s" s="2">
        <v>22</v>
      </c>
      <c r="K1175" t="s" s="2">
        <v>2347</v>
      </c>
      <c r="L1175" t="s" s="2">
        <v>2351</v>
      </c>
      <c r="M1175" s="5">
        <v>523911.53</v>
      </c>
      <c r="N1175" s="5">
        <v>6292212.25</v>
      </c>
      <c r="O1175" t="s" s="2">
        <v>305</v>
      </c>
      <c r="P1175" s="5">
        <v>546</v>
      </c>
      <c r="Q1175" t="s" s="2">
        <v>1772</v>
      </c>
      <c r="R1175" t="s" s="2">
        <f>_xlfn.IFERROR(INDEX('model_byCAP'!$D$2:$D$377,MATCH(Q1175,'model_byCAP'!$A$2:$A$377,0)),0)</f>
        <v>1773</v>
      </c>
    </row>
    <row r="1176" ht="15.35" customHeight="1">
      <c r="A1176" t="s" s="2">
        <v>2352</v>
      </c>
      <c r="B1176" s="4">
        <v>40471</v>
      </c>
      <c r="C1176" s="5">
        <v>2300</v>
      </c>
      <c r="D1176" s="5">
        <v>92.59999999999999</v>
      </c>
      <c r="E1176" s="5">
        <v>80</v>
      </c>
      <c r="F1176" t="s" s="2">
        <v>19</v>
      </c>
      <c r="G1176" t="s" s="2">
        <v>1768</v>
      </c>
      <c r="H1176" s="5">
        <v>820</v>
      </c>
      <c r="I1176" t="s" s="2">
        <v>388</v>
      </c>
      <c r="J1176" t="s" s="2">
        <v>22</v>
      </c>
      <c r="K1176" t="s" s="2">
        <v>2347</v>
      </c>
      <c r="L1176" t="s" s="2">
        <v>492</v>
      </c>
      <c r="M1176" s="5">
        <v>524419.0600000001</v>
      </c>
      <c r="N1176" s="5">
        <v>6292208.11</v>
      </c>
      <c r="O1176" t="s" s="2">
        <v>305</v>
      </c>
      <c r="P1176" s="5">
        <v>550</v>
      </c>
      <c r="Q1176" t="s" s="2">
        <v>1772</v>
      </c>
      <c r="R1176" t="s" s="2">
        <f>_xlfn.IFERROR(INDEX('model_byCAP'!$D$2:$D$377,MATCH(Q1176,'model_byCAP'!$A$2:$A$377,0)),0)</f>
        <v>1773</v>
      </c>
    </row>
    <row r="1177" ht="15.35" customHeight="1">
      <c r="A1177" t="s" s="2">
        <v>2353</v>
      </c>
      <c r="B1177" s="4">
        <v>40476</v>
      </c>
      <c r="C1177" s="5">
        <v>2300</v>
      </c>
      <c r="D1177" s="5">
        <v>92.59999999999999</v>
      </c>
      <c r="E1177" s="5">
        <v>80</v>
      </c>
      <c r="F1177" t="s" s="2">
        <v>19</v>
      </c>
      <c r="G1177" t="s" s="2">
        <v>1768</v>
      </c>
      <c r="H1177" s="5">
        <v>820</v>
      </c>
      <c r="I1177" t="s" s="2">
        <v>388</v>
      </c>
      <c r="J1177" t="s" s="2">
        <v>22</v>
      </c>
      <c r="K1177" t="s" s="2">
        <v>2347</v>
      </c>
      <c r="L1177" t="s" s="2">
        <v>2354</v>
      </c>
      <c r="M1177" s="5">
        <v>524925.65</v>
      </c>
      <c r="N1177" s="5">
        <v>6292204.4</v>
      </c>
      <c r="O1177" t="s" s="2">
        <v>305</v>
      </c>
      <c r="P1177" s="5">
        <v>551</v>
      </c>
      <c r="Q1177" t="s" s="2">
        <v>1772</v>
      </c>
      <c r="R1177" t="s" s="2">
        <f>_xlfn.IFERROR(INDEX('model_byCAP'!$D$2:$D$377,MATCH(Q1177,'model_byCAP'!$A$2:$A$377,0)),0)</f>
        <v>1773</v>
      </c>
    </row>
    <row r="1178" ht="15.35" customHeight="1">
      <c r="A1178" t="s" s="2">
        <v>2355</v>
      </c>
      <c r="B1178" s="4">
        <v>40471</v>
      </c>
      <c r="C1178" s="5">
        <v>2300</v>
      </c>
      <c r="D1178" s="5">
        <v>92.59999999999999</v>
      </c>
      <c r="E1178" s="5">
        <v>80</v>
      </c>
      <c r="F1178" t="s" s="2">
        <v>19</v>
      </c>
      <c r="G1178" t="s" s="2">
        <v>1768</v>
      </c>
      <c r="H1178" s="5">
        <v>820</v>
      </c>
      <c r="I1178" t="s" s="2">
        <v>388</v>
      </c>
      <c r="J1178" t="s" s="2">
        <v>22</v>
      </c>
      <c r="K1178" t="s" s="2">
        <v>2347</v>
      </c>
      <c r="L1178" t="s" s="2">
        <v>2356</v>
      </c>
      <c r="M1178" s="5">
        <v>525430.98</v>
      </c>
      <c r="N1178" s="5">
        <v>6292200.58</v>
      </c>
      <c r="O1178" t="s" s="2">
        <v>305</v>
      </c>
      <c r="P1178" s="5">
        <v>552</v>
      </c>
      <c r="Q1178" t="s" s="2">
        <v>1772</v>
      </c>
      <c r="R1178" t="s" s="2">
        <f>_xlfn.IFERROR(INDEX('model_byCAP'!$D$2:$D$377,MATCH(Q1178,'model_byCAP'!$A$2:$A$377,0)),0)</f>
        <v>1773</v>
      </c>
    </row>
    <row r="1179" ht="15.35" customHeight="1">
      <c r="A1179" t="s" s="2">
        <v>2357</v>
      </c>
      <c r="B1179" s="4">
        <v>39769</v>
      </c>
      <c r="C1179" s="5">
        <v>2300</v>
      </c>
      <c r="D1179" s="5">
        <v>92.59999999999999</v>
      </c>
      <c r="E1179" s="5">
        <v>80</v>
      </c>
      <c r="F1179" t="s" s="2">
        <v>19</v>
      </c>
      <c r="G1179" t="s" s="2">
        <v>1768</v>
      </c>
      <c r="H1179" s="5">
        <v>849</v>
      </c>
      <c r="I1179" t="s" s="2">
        <v>411</v>
      </c>
      <c r="J1179" t="s" s="2">
        <v>22</v>
      </c>
      <c r="K1179" t="s" s="2">
        <v>2358</v>
      </c>
      <c r="L1179" t="s" s="2">
        <v>2359</v>
      </c>
      <c r="M1179" s="5">
        <v>542509.62</v>
      </c>
      <c r="N1179" s="5">
        <v>6345401.38</v>
      </c>
      <c r="O1179" t="s" s="2">
        <v>305</v>
      </c>
      <c r="P1179" s="5">
        <v>152146</v>
      </c>
      <c r="Q1179" t="s" s="2">
        <v>1772</v>
      </c>
      <c r="R1179" t="s" s="2">
        <f>_xlfn.IFERROR(INDEX('model_byCAP'!$D$2:$D$377,MATCH(Q1179,'model_byCAP'!$A$2:$A$377,0)),0)</f>
        <v>1773</v>
      </c>
    </row>
    <row r="1180" ht="15.35" customHeight="1">
      <c r="A1180" t="s" s="2">
        <v>2360</v>
      </c>
      <c r="B1180" s="4">
        <v>39767</v>
      </c>
      <c r="C1180" s="5">
        <v>2300</v>
      </c>
      <c r="D1180" s="5">
        <v>92.59999999999999</v>
      </c>
      <c r="E1180" s="5">
        <v>80</v>
      </c>
      <c r="F1180" t="s" s="2">
        <v>19</v>
      </c>
      <c r="G1180" t="s" s="2">
        <v>1768</v>
      </c>
      <c r="H1180" s="5">
        <v>849</v>
      </c>
      <c r="I1180" t="s" s="2">
        <v>411</v>
      </c>
      <c r="J1180" t="s" s="2">
        <v>22</v>
      </c>
      <c r="K1180" t="s" s="2">
        <v>2358</v>
      </c>
      <c r="L1180" t="s" s="2">
        <v>2361</v>
      </c>
      <c r="M1180" s="5">
        <v>542360.21</v>
      </c>
      <c r="N1180" s="5">
        <v>6345030.75</v>
      </c>
      <c r="O1180" t="s" s="2">
        <v>305</v>
      </c>
      <c r="P1180" s="5">
        <v>152144</v>
      </c>
      <c r="Q1180" t="s" s="2">
        <v>1772</v>
      </c>
      <c r="R1180" t="s" s="2">
        <f>_xlfn.IFERROR(INDEX('model_byCAP'!$D$2:$D$377,MATCH(Q1180,'model_byCAP'!$A$2:$A$377,0)),0)</f>
        <v>1773</v>
      </c>
    </row>
    <row r="1181" ht="15.35" customHeight="1">
      <c r="A1181" t="s" s="2">
        <v>2362</v>
      </c>
      <c r="B1181" s="4">
        <v>40392</v>
      </c>
      <c r="C1181" s="5">
        <v>2300</v>
      </c>
      <c r="D1181" s="5">
        <v>92.59999999999999</v>
      </c>
      <c r="E1181" s="5">
        <v>80</v>
      </c>
      <c r="F1181" t="s" s="2">
        <v>19</v>
      </c>
      <c r="G1181" t="s" s="2">
        <v>1768</v>
      </c>
      <c r="H1181" s="5">
        <v>849</v>
      </c>
      <c r="I1181" t="s" s="2">
        <v>411</v>
      </c>
      <c r="J1181" t="s" s="2">
        <v>22</v>
      </c>
      <c r="K1181" t="s" s="2">
        <v>2363</v>
      </c>
      <c r="L1181" t="s" s="2">
        <v>2364</v>
      </c>
      <c r="M1181" s="5">
        <v>516200.47</v>
      </c>
      <c r="N1181" s="5">
        <v>6320612.58</v>
      </c>
      <c r="O1181" t="s" s="2">
        <v>305</v>
      </c>
      <c r="P1181" s="5">
        <v>21086</v>
      </c>
      <c r="Q1181" t="s" s="2">
        <v>1772</v>
      </c>
      <c r="R1181" t="s" s="2">
        <f>_xlfn.IFERROR(INDEX('model_byCAP'!$D$2:$D$377,MATCH(Q1181,'model_byCAP'!$A$2:$A$377,0)),0)</f>
        <v>1773</v>
      </c>
    </row>
    <row r="1182" ht="15.35" customHeight="1">
      <c r="A1182" t="s" s="2">
        <v>2365</v>
      </c>
      <c r="B1182" s="4">
        <v>40388</v>
      </c>
      <c r="C1182" s="5">
        <v>2300</v>
      </c>
      <c r="D1182" s="5">
        <v>92.59999999999999</v>
      </c>
      <c r="E1182" s="5">
        <v>80</v>
      </c>
      <c r="F1182" t="s" s="2">
        <v>19</v>
      </c>
      <c r="G1182" t="s" s="2">
        <v>1768</v>
      </c>
      <c r="H1182" s="5">
        <v>849</v>
      </c>
      <c r="I1182" t="s" s="2">
        <v>411</v>
      </c>
      <c r="J1182" t="s" s="2">
        <v>22</v>
      </c>
      <c r="K1182" t="s" s="2">
        <v>2363</v>
      </c>
      <c r="L1182" t="s" s="2">
        <v>2366</v>
      </c>
      <c r="M1182" s="5">
        <v>515909.17</v>
      </c>
      <c r="N1182" s="5">
        <v>6320780.02</v>
      </c>
      <c r="O1182" t="s" s="2">
        <v>305</v>
      </c>
      <c r="P1182" s="5">
        <v>21087</v>
      </c>
      <c r="Q1182" t="s" s="2">
        <v>1772</v>
      </c>
      <c r="R1182" t="s" s="2">
        <f>_xlfn.IFERROR(INDEX('model_byCAP'!$D$2:$D$377,MATCH(Q1182,'model_byCAP'!$A$2:$A$377,0)),0)</f>
        <v>1773</v>
      </c>
    </row>
    <row r="1183" ht="15.35" customHeight="1">
      <c r="A1183" t="s" s="2">
        <v>2367</v>
      </c>
      <c r="B1183" s="4">
        <v>40389</v>
      </c>
      <c r="C1183" s="5">
        <v>2300</v>
      </c>
      <c r="D1183" s="5">
        <v>92.59999999999999</v>
      </c>
      <c r="E1183" s="5">
        <v>80</v>
      </c>
      <c r="F1183" t="s" s="2">
        <v>19</v>
      </c>
      <c r="G1183" t="s" s="2">
        <v>1768</v>
      </c>
      <c r="H1183" s="5">
        <v>849</v>
      </c>
      <c r="I1183" t="s" s="2">
        <v>411</v>
      </c>
      <c r="J1183" t="s" s="2">
        <v>22</v>
      </c>
      <c r="K1183" t="s" s="2">
        <v>2363</v>
      </c>
      <c r="L1183" t="s" s="2">
        <v>2366</v>
      </c>
      <c r="M1183" s="5">
        <v>515617.43</v>
      </c>
      <c r="N1183" s="5">
        <v>6320946.6</v>
      </c>
      <c r="O1183" t="s" s="2">
        <v>305</v>
      </c>
      <c r="P1183" s="5">
        <v>21088</v>
      </c>
      <c r="Q1183" t="s" s="2">
        <v>1772</v>
      </c>
      <c r="R1183" t="s" s="2">
        <f>_xlfn.IFERROR(INDEX('model_byCAP'!$D$2:$D$377,MATCH(Q1183,'model_byCAP'!$A$2:$A$377,0)),0)</f>
        <v>1773</v>
      </c>
    </row>
    <row r="1184" ht="15.35" customHeight="1">
      <c r="A1184" t="s" s="2">
        <v>2368</v>
      </c>
      <c r="B1184" s="4">
        <v>40386</v>
      </c>
      <c r="C1184" s="5">
        <v>2300</v>
      </c>
      <c r="D1184" s="5">
        <v>92.59999999999999</v>
      </c>
      <c r="E1184" s="5">
        <v>80</v>
      </c>
      <c r="F1184" t="s" s="2">
        <v>19</v>
      </c>
      <c r="G1184" t="s" s="2">
        <v>1768</v>
      </c>
      <c r="H1184" s="5">
        <v>849</v>
      </c>
      <c r="I1184" t="s" s="2">
        <v>411</v>
      </c>
      <c r="J1184" t="s" s="2">
        <v>22</v>
      </c>
      <c r="K1184" t="s" s="2">
        <v>2363</v>
      </c>
      <c r="L1184" t="s" s="2">
        <v>2369</v>
      </c>
      <c r="M1184" s="5">
        <v>515328.36</v>
      </c>
      <c r="N1184" s="5">
        <v>6321113.39</v>
      </c>
      <c r="O1184" t="s" s="2">
        <v>305</v>
      </c>
      <c r="P1184" s="5">
        <v>21089</v>
      </c>
      <c r="Q1184" t="s" s="2">
        <v>1772</v>
      </c>
      <c r="R1184" t="s" s="2">
        <f>_xlfn.IFERROR(INDEX('model_byCAP'!$D$2:$D$377,MATCH(Q1184,'model_byCAP'!$A$2:$A$377,0)),0)</f>
        <v>1773</v>
      </c>
    </row>
    <row r="1185" ht="15.35" customHeight="1">
      <c r="A1185" t="s" s="2">
        <v>2370</v>
      </c>
      <c r="B1185" s="4">
        <v>40383</v>
      </c>
      <c r="C1185" s="5">
        <v>2300</v>
      </c>
      <c r="D1185" s="5">
        <v>92.59999999999999</v>
      </c>
      <c r="E1185" s="5">
        <v>80</v>
      </c>
      <c r="F1185" t="s" s="2">
        <v>19</v>
      </c>
      <c r="G1185" t="s" s="2">
        <v>1768</v>
      </c>
      <c r="H1185" s="5">
        <v>849</v>
      </c>
      <c r="I1185" t="s" s="2">
        <v>411</v>
      </c>
      <c r="J1185" t="s" s="2">
        <v>22</v>
      </c>
      <c r="K1185" t="s" s="2">
        <v>2363</v>
      </c>
      <c r="L1185" t="s" s="2">
        <v>2366</v>
      </c>
      <c r="M1185" s="5">
        <v>515035.83</v>
      </c>
      <c r="N1185" s="5">
        <v>6321281.46</v>
      </c>
      <c r="O1185" t="s" s="2">
        <v>305</v>
      </c>
      <c r="P1185" s="5">
        <v>21090</v>
      </c>
      <c r="Q1185" t="s" s="2">
        <v>1772</v>
      </c>
      <c r="R1185" t="s" s="2">
        <f>_xlfn.IFERROR(INDEX('model_byCAP'!$D$2:$D$377,MATCH(Q1185,'model_byCAP'!$A$2:$A$377,0)),0)</f>
        <v>1773</v>
      </c>
    </row>
    <row r="1186" ht="15.35" customHeight="1">
      <c r="A1186" t="s" s="2">
        <v>2371</v>
      </c>
      <c r="B1186" s="4">
        <v>37609</v>
      </c>
      <c r="C1186" s="5">
        <v>2300</v>
      </c>
      <c r="D1186" s="5">
        <v>82.40000000000001</v>
      </c>
      <c r="E1186" s="5">
        <v>80</v>
      </c>
      <c r="F1186" t="s" s="2">
        <v>1989</v>
      </c>
      <c r="G1186" t="s" s="2">
        <v>1990</v>
      </c>
      <c r="H1186" s="5">
        <v>851</v>
      </c>
      <c r="I1186" t="s" s="2">
        <v>1139</v>
      </c>
      <c r="J1186" t="s" s="2">
        <v>22</v>
      </c>
      <c r="K1186" t="s" s="2">
        <v>1759</v>
      </c>
      <c r="L1186" t="s" s="2">
        <v>2078</v>
      </c>
      <c r="M1186" s="5">
        <v>565527.85</v>
      </c>
      <c r="N1186" s="5">
        <v>6322087.04</v>
      </c>
      <c r="O1186" t="s" s="2">
        <v>305</v>
      </c>
      <c r="P1186" t="s" s="2">
        <v>2372</v>
      </c>
      <c r="Q1186" t="s" s="2">
        <v>1994</v>
      </c>
      <c r="R1186" t="s" s="2">
        <f>_xlfn.IFERROR(INDEX('model_byCAP'!$D$2:$D$377,MATCH(Q1186,'model_byCAP'!$A$2:$A$377,0)),0)</f>
        <v>1995</v>
      </c>
    </row>
    <row r="1187" ht="15.35" customHeight="1">
      <c r="A1187" t="s" s="2">
        <v>2373</v>
      </c>
      <c r="B1187" s="4">
        <v>37609</v>
      </c>
      <c r="C1187" s="5">
        <v>2300</v>
      </c>
      <c r="D1187" s="5">
        <v>82.40000000000001</v>
      </c>
      <c r="E1187" s="5">
        <v>80</v>
      </c>
      <c r="F1187" t="s" s="2">
        <v>1989</v>
      </c>
      <c r="G1187" t="s" s="2">
        <v>1990</v>
      </c>
      <c r="H1187" s="5">
        <v>851</v>
      </c>
      <c r="I1187" t="s" s="2">
        <v>1139</v>
      </c>
      <c r="J1187" t="s" s="2">
        <v>22</v>
      </c>
      <c r="K1187" t="s" s="2">
        <v>1759</v>
      </c>
      <c r="L1187" t="s" s="2">
        <v>2078</v>
      </c>
      <c r="M1187" s="5">
        <v>565776.58</v>
      </c>
      <c r="N1187" s="5">
        <v>6321930.96</v>
      </c>
      <c r="O1187" t="s" s="2">
        <v>305</v>
      </c>
      <c r="P1187" t="s" s="2">
        <v>2374</v>
      </c>
      <c r="Q1187" t="s" s="2">
        <v>1994</v>
      </c>
      <c r="R1187" t="s" s="2">
        <f>_xlfn.IFERROR(INDEX('model_byCAP'!$D$2:$D$377,MATCH(Q1187,'model_byCAP'!$A$2:$A$377,0)),0)</f>
        <v>1995</v>
      </c>
    </row>
    <row r="1188" ht="15.35" customHeight="1">
      <c r="A1188" t="s" s="2">
        <v>2375</v>
      </c>
      <c r="B1188" s="4">
        <v>40031</v>
      </c>
      <c r="C1188" s="5">
        <v>2300</v>
      </c>
      <c r="D1188" s="5">
        <v>93</v>
      </c>
      <c r="E1188" s="5">
        <v>80</v>
      </c>
      <c r="F1188" t="s" s="2">
        <v>19</v>
      </c>
      <c r="G1188" t="s" s="2">
        <v>1768</v>
      </c>
      <c r="H1188" s="5">
        <v>851</v>
      </c>
      <c r="I1188" t="s" s="2">
        <v>1139</v>
      </c>
      <c r="J1188" t="s" s="2">
        <v>22</v>
      </c>
      <c r="K1188" t="s" s="2">
        <v>2376</v>
      </c>
      <c r="L1188" t="s" s="2">
        <v>2377</v>
      </c>
      <c r="M1188" s="5">
        <v>523982.08</v>
      </c>
      <c r="N1188" s="5">
        <v>6318569.18</v>
      </c>
      <c r="O1188" t="s" s="2">
        <v>305</v>
      </c>
      <c r="P1188" s="5">
        <v>534</v>
      </c>
      <c r="Q1188" t="s" s="2">
        <v>1772</v>
      </c>
      <c r="R1188" t="s" s="2">
        <f>_xlfn.IFERROR(INDEX('model_byCAP'!$D$2:$D$377,MATCH(Q1188,'model_byCAP'!$A$2:$A$377,0)),0)</f>
        <v>1773</v>
      </c>
    </row>
    <row r="1189" ht="15.35" customHeight="1">
      <c r="A1189" t="s" s="2">
        <v>2378</v>
      </c>
      <c r="B1189" s="4">
        <v>40029</v>
      </c>
      <c r="C1189" s="5">
        <v>2300</v>
      </c>
      <c r="D1189" s="5">
        <v>93</v>
      </c>
      <c r="E1189" s="5">
        <v>80</v>
      </c>
      <c r="F1189" t="s" s="2">
        <v>19</v>
      </c>
      <c r="G1189" t="s" s="2">
        <v>1768</v>
      </c>
      <c r="H1189" s="5">
        <v>851</v>
      </c>
      <c r="I1189" t="s" s="2">
        <v>1139</v>
      </c>
      <c r="J1189" t="s" s="2">
        <v>22</v>
      </c>
      <c r="K1189" t="s" s="2">
        <v>2376</v>
      </c>
      <c r="L1189" s="5">
        <v>83</v>
      </c>
      <c r="M1189" s="5">
        <v>524454.34</v>
      </c>
      <c r="N1189" s="5">
        <v>6318698.14</v>
      </c>
      <c r="O1189" t="s" s="2">
        <v>305</v>
      </c>
      <c r="P1189" s="5">
        <v>535</v>
      </c>
      <c r="Q1189" t="s" s="2">
        <v>1772</v>
      </c>
      <c r="R1189" t="s" s="2">
        <f>_xlfn.IFERROR(INDEX('model_byCAP'!$D$2:$D$377,MATCH(Q1189,'model_byCAP'!$A$2:$A$377,0)),0)</f>
        <v>1773</v>
      </c>
    </row>
    <row r="1190" ht="15.35" customHeight="1">
      <c r="A1190" t="s" s="2">
        <v>2379</v>
      </c>
      <c r="B1190" s="4">
        <v>40043</v>
      </c>
      <c r="C1190" s="5">
        <v>2300</v>
      </c>
      <c r="D1190" s="5">
        <v>93</v>
      </c>
      <c r="E1190" s="5">
        <v>80</v>
      </c>
      <c r="F1190" t="s" s="2">
        <v>19</v>
      </c>
      <c r="G1190" t="s" s="2">
        <v>1768</v>
      </c>
      <c r="H1190" s="5">
        <v>851</v>
      </c>
      <c r="I1190" t="s" s="2">
        <v>1139</v>
      </c>
      <c r="J1190" t="s" s="2">
        <v>22</v>
      </c>
      <c r="K1190" t="s" s="2">
        <v>2376</v>
      </c>
      <c r="L1190" t="s" s="2">
        <v>2380</v>
      </c>
      <c r="M1190" s="5">
        <v>524922.52</v>
      </c>
      <c r="N1190" s="5">
        <v>6318827.1</v>
      </c>
      <c r="O1190" t="s" s="2">
        <v>305</v>
      </c>
      <c r="P1190" s="5">
        <v>536</v>
      </c>
      <c r="Q1190" t="s" s="2">
        <v>1772</v>
      </c>
      <c r="R1190" t="s" s="2">
        <f>_xlfn.IFERROR(INDEX('model_byCAP'!$D$2:$D$377,MATCH(Q1190,'model_byCAP'!$A$2:$A$377,0)),0)</f>
        <v>1773</v>
      </c>
    </row>
    <row r="1191" ht="15.35" customHeight="1">
      <c r="A1191" t="s" s="2">
        <v>2381</v>
      </c>
      <c r="B1191" s="4">
        <v>40053</v>
      </c>
      <c r="C1191" s="5">
        <v>2300</v>
      </c>
      <c r="D1191" s="5">
        <v>93</v>
      </c>
      <c r="E1191" s="5">
        <v>80</v>
      </c>
      <c r="F1191" t="s" s="2">
        <v>19</v>
      </c>
      <c r="G1191" t="s" s="2">
        <v>1768</v>
      </c>
      <c r="H1191" s="5">
        <v>851</v>
      </c>
      <c r="I1191" t="s" s="2">
        <v>1139</v>
      </c>
      <c r="J1191" t="s" s="2">
        <v>22</v>
      </c>
      <c r="K1191" t="s" s="2">
        <v>2376</v>
      </c>
      <c r="L1191" t="s" s="2">
        <v>2382</v>
      </c>
      <c r="M1191" s="5">
        <v>525391.29</v>
      </c>
      <c r="N1191" s="5">
        <v>6318955.9</v>
      </c>
      <c r="O1191" t="s" s="2">
        <v>305</v>
      </c>
      <c r="P1191" s="5">
        <v>537</v>
      </c>
      <c r="Q1191" t="s" s="2">
        <v>1772</v>
      </c>
      <c r="R1191" t="s" s="2">
        <f>_xlfn.IFERROR(INDEX('model_byCAP'!$D$2:$D$377,MATCH(Q1191,'model_byCAP'!$A$2:$A$377,0)),0)</f>
        <v>1773</v>
      </c>
    </row>
    <row r="1192" ht="15.35" customHeight="1">
      <c r="A1192" t="s" s="2">
        <v>2383</v>
      </c>
      <c r="B1192" s="4">
        <v>40049</v>
      </c>
      <c r="C1192" s="5">
        <v>2300</v>
      </c>
      <c r="D1192" s="5">
        <v>93</v>
      </c>
      <c r="E1192" s="5">
        <v>80</v>
      </c>
      <c r="F1192" t="s" s="2">
        <v>19</v>
      </c>
      <c r="G1192" t="s" s="2">
        <v>1768</v>
      </c>
      <c r="H1192" s="5">
        <v>851</v>
      </c>
      <c r="I1192" t="s" s="2">
        <v>1139</v>
      </c>
      <c r="J1192" t="s" s="2">
        <v>22</v>
      </c>
      <c r="K1192" t="s" s="2">
        <v>2376</v>
      </c>
      <c r="L1192" t="s" s="2">
        <v>2384</v>
      </c>
      <c r="M1192" s="5">
        <v>525860.88</v>
      </c>
      <c r="N1192" s="5">
        <v>6319085.07</v>
      </c>
      <c r="O1192" t="s" s="2">
        <v>305</v>
      </c>
      <c r="P1192" s="5">
        <v>538</v>
      </c>
      <c r="Q1192" t="s" s="2">
        <v>1772</v>
      </c>
      <c r="R1192" t="s" s="2">
        <f>_xlfn.IFERROR(INDEX('model_byCAP'!$D$2:$D$377,MATCH(Q1192,'model_byCAP'!$A$2:$A$377,0)),0)</f>
        <v>1773</v>
      </c>
    </row>
    <row r="1193" ht="15.35" customHeight="1">
      <c r="A1193" t="s" s="2">
        <v>2385</v>
      </c>
      <c r="B1193" s="4">
        <v>40050</v>
      </c>
      <c r="C1193" s="5">
        <v>2300</v>
      </c>
      <c r="D1193" s="5">
        <v>93</v>
      </c>
      <c r="E1193" s="5">
        <v>80</v>
      </c>
      <c r="F1193" t="s" s="2">
        <v>19</v>
      </c>
      <c r="G1193" t="s" s="2">
        <v>1768</v>
      </c>
      <c r="H1193" s="5">
        <v>851</v>
      </c>
      <c r="I1193" t="s" s="2">
        <v>1139</v>
      </c>
      <c r="J1193" t="s" s="2">
        <v>22</v>
      </c>
      <c r="K1193" t="s" s="2">
        <v>2376</v>
      </c>
      <c r="L1193" t="s" s="2">
        <v>2386</v>
      </c>
      <c r="M1193" s="5">
        <v>526331.6899999999</v>
      </c>
      <c r="N1193" s="5">
        <v>6319214.45</v>
      </c>
      <c r="O1193" t="s" s="2">
        <v>305</v>
      </c>
      <c r="P1193" s="5">
        <v>539</v>
      </c>
      <c r="Q1193" t="s" s="2">
        <v>1772</v>
      </c>
      <c r="R1193" t="s" s="2">
        <f>_xlfn.IFERROR(INDEX('model_byCAP'!$D$2:$D$377,MATCH(Q1193,'model_byCAP'!$A$2:$A$377,0)),0)</f>
        <v>1773</v>
      </c>
    </row>
    <row r="1194" ht="15.35" customHeight="1">
      <c r="A1194" t="s" s="2">
        <v>2387</v>
      </c>
      <c r="B1194" s="4">
        <v>40097</v>
      </c>
      <c r="C1194" s="5">
        <v>2300</v>
      </c>
      <c r="D1194" s="5">
        <v>93</v>
      </c>
      <c r="E1194" s="5">
        <v>80</v>
      </c>
      <c r="F1194" t="s" s="2">
        <v>19</v>
      </c>
      <c r="G1194" t="s" s="2">
        <v>1768</v>
      </c>
      <c r="H1194" s="5">
        <v>851</v>
      </c>
      <c r="I1194" t="s" s="2">
        <v>1139</v>
      </c>
      <c r="J1194" t="s" s="2">
        <v>22</v>
      </c>
      <c r="K1194" t="s" s="2">
        <v>2388</v>
      </c>
      <c r="L1194" t="s" s="2">
        <v>2389</v>
      </c>
      <c r="M1194" s="5">
        <v>567632.17</v>
      </c>
      <c r="N1194" s="5">
        <v>6333408.13</v>
      </c>
      <c r="O1194" t="s" s="2">
        <v>305</v>
      </c>
      <c r="P1194" s="5">
        <v>72011</v>
      </c>
      <c r="Q1194" t="s" s="2">
        <v>1772</v>
      </c>
      <c r="R1194" t="s" s="2">
        <f>_xlfn.IFERROR(INDEX('model_byCAP'!$D$2:$D$377,MATCH(Q1194,'model_byCAP'!$A$2:$A$377,0)),0)</f>
        <v>1773</v>
      </c>
    </row>
    <row r="1195" ht="15.35" customHeight="1">
      <c r="A1195" t="s" s="2">
        <v>2390</v>
      </c>
      <c r="B1195" s="4">
        <v>40097</v>
      </c>
      <c r="C1195" s="5">
        <v>2300</v>
      </c>
      <c r="D1195" s="5">
        <v>93</v>
      </c>
      <c r="E1195" s="5">
        <v>80</v>
      </c>
      <c r="F1195" t="s" s="2">
        <v>19</v>
      </c>
      <c r="G1195" t="s" s="2">
        <v>1768</v>
      </c>
      <c r="H1195" s="5">
        <v>851</v>
      </c>
      <c r="I1195" t="s" s="2">
        <v>1139</v>
      </c>
      <c r="J1195" t="s" s="2">
        <v>22</v>
      </c>
      <c r="K1195" t="s" s="2">
        <v>2388</v>
      </c>
      <c r="L1195" t="s" s="2">
        <v>1441</v>
      </c>
      <c r="M1195" s="5">
        <v>567898.98</v>
      </c>
      <c r="N1195" s="5">
        <v>6333275.09</v>
      </c>
      <c r="O1195" t="s" s="2">
        <v>305</v>
      </c>
      <c r="P1195" s="5">
        <v>72012</v>
      </c>
      <c r="Q1195" t="s" s="2">
        <v>1772</v>
      </c>
      <c r="R1195" t="s" s="2">
        <f>_xlfn.IFERROR(INDEX('model_byCAP'!$D$2:$D$377,MATCH(Q1195,'model_byCAP'!$A$2:$A$377,0)),0)</f>
        <v>1773</v>
      </c>
    </row>
    <row r="1196" ht="15.35" customHeight="1">
      <c r="A1196" t="s" s="2">
        <v>2391</v>
      </c>
      <c r="B1196" s="4">
        <v>40097</v>
      </c>
      <c r="C1196" s="5">
        <v>2300</v>
      </c>
      <c r="D1196" s="5">
        <v>93</v>
      </c>
      <c r="E1196" s="5">
        <v>80</v>
      </c>
      <c r="F1196" t="s" s="2">
        <v>19</v>
      </c>
      <c r="G1196" t="s" s="2">
        <v>1768</v>
      </c>
      <c r="H1196" s="5">
        <v>851</v>
      </c>
      <c r="I1196" t="s" s="2">
        <v>1139</v>
      </c>
      <c r="J1196" t="s" s="2">
        <v>22</v>
      </c>
      <c r="K1196" t="s" s="2">
        <v>2388</v>
      </c>
      <c r="L1196" t="s" s="2">
        <v>1656</v>
      </c>
      <c r="M1196" s="5">
        <v>568163.89</v>
      </c>
      <c r="N1196" s="5">
        <v>6333142.67</v>
      </c>
      <c r="O1196" t="s" s="2">
        <v>305</v>
      </c>
      <c r="P1196" s="5">
        <v>72013</v>
      </c>
      <c r="Q1196" t="s" s="2">
        <v>1772</v>
      </c>
      <c r="R1196" t="s" s="2">
        <f>_xlfn.IFERROR(INDEX('model_byCAP'!$D$2:$D$377,MATCH(Q1196,'model_byCAP'!$A$2:$A$377,0)),0)</f>
        <v>1773</v>
      </c>
    </row>
    <row r="1197" ht="15.35" customHeight="1">
      <c r="A1197" t="s" s="2">
        <v>2392</v>
      </c>
      <c r="B1197" s="4">
        <v>40120</v>
      </c>
      <c r="C1197" s="5">
        <v>2300</v>
      </c>
      <c r="D1197" s="5">
        <v>93</v>
      </c>
      <c r="E1197" s="5">
        <v>80</v>
      </c>
      <c r="F1197" t="s" s="2">
        <v>19</v>
      </c>
      <c r="G1197" t="s" s="2">
        <v>1768</v>
      </c>
      <c r="H1197" s="5">
        <v>851</v>
      </c>
      <c r="I1197" t="s" s="2">
        <v>1139</v>
      </c>
      <c r="J1197" t="s" s="2">
        <v>22</v>
      </c>
      <c r="K1197" t="s" s="2">
        <v>2388</v>
      </c>
      <c r="L1197" t="s" s="2">
        <v>990</v>
      </c>
      <c r="M1197" s="5">
        <v>568431.39</v>
      </c>
      <c r="N1197" s="5">
        <v>6333009.63</v>
      </c>
      <c r="O1197" t="s" s="2">
        <v>305</v>
      </c>
      <c r="P1197" s="5">
        <v>72014</v>
      </c>
      <c r="Q1197" t="s" s="2">
        <v>1772</v>
      </c>
      <c r="R1197" t="s" s="2">
        <f>_xlfn.IFERROR(INDEX('model_byCAP'!$D$2:$D$377,MATCH(Q1197,'model_byCAP'!$A$2:$A$377,0)),0)</f>
        <v>1773</v>
      </c>
    </row>
    <row r="1198" ht="15.35" customHeight="1">
      <c r="A1198" t="s" s="2">
        <v>2393</v>
      </c>
      <c r="B1198" s="4">
        <v>40115</v>
      </c>
      <c r="C1198" s="5">
        <v>2300</v>
      </c>
      <c r="D1198" s="5">
        <v>93</v>
      </c>
      <c r="E1198" s="5">
        <v>80</v>
      </c>
      <c r="F1198" t="s" s="2">
        <v>19</v>
      </c>
      <c r="G1198" t="s" s="2">
        <v>1768</v>
      </c>
      <c r="H1198" s="5">
        <v>851</v>
      </c>
      <c r="I1198" t="s" s="2">
        <v>1139</v>
      </c>
      <c r="J1198" t="s" s="2">
        <v>22</v>
      </c>
      <c r="K1198" t="s" s="2">
        <v>2388</v>
      </c>
      <c r="L1198" t="s" s="2">
        <v>32</v>
      </c>
      <c r="M1198" s="5">
        <v>568697.88</v>
      </c>
      <c r="N1198" s="5">
        <v>6332876.82</v>
      </c>
      <c r="O1198" t="s" s="2">
        <v>305</v>
      </c>
      <c r="P1198" s="5">
        <v>72015</v>
      </c>
      <c r="Q1198" t="s" s="2">
        <v>1772</v>
      </c>
      <c r="R1198" t="s" s="2">
        <f>_xlfn.IFERROR(INDEX('model_byCAP'!$D$2:$D$377,MATCH(Q1198,'model_byCAP'!$A$2:$A$377,0)),0)</f>
        <v>1773</v>
      </c>
    </row>
    <row r="1199" ht="15.35" customHeight="1">
      <c r="A1199" t="s" s="2">
        <v>2394</v>
      </c>
      <c r="B1199" s="4">
        <v>40115</v>
      </c>
      <c r="C1199" s="5">
        <v>2300</v>
      </c>
      <c r="D1199" s="5">
        <v>93</v>
      </c>
      <c r="E1199" s="5">
        <v>80</v>
      </c>
      <c r="F1199" t="s" s="2">
        <v>19</v>
      </c>
      <c r="G1199" t="s" s="2">
        <v>1768</v>
      </c>
      <c r="H1199" s="5">
        <v>851</v>
      </c>
      <c r="I1199" t="s" s="2">
        <v>1139</v>
      </c>
      <c r="J1199" t="s" s="2">
        <v>22</v>
      </c>
      <c r="K1199" t="s" s="2">
        <v>2388</v>
      </c>
      <c r="L1199" t="s" s="2">
        <v>939</v>
      </c>
      <c r="M1199" s="5">
        <v>568964.42</v>
      </c>
      <c r="N1199" s="5">
        <v>6332744.14</v>
      </c>
      <c r="O1199" t="s" s="2">
        <v>305</v>
      </c>
      <c r="P1199" s="5">
        <v>72016</v>
      </c>
      <c r="Q1199" t="s" s="2">
        <v>1772</v>
      </c>
      <c r="R1199" t="s" s="2">
        <f>_xlfn.IFERROR(INDEX('model_byCAP'!$D$2:$D$377,MATCH(Q1199,'model_byCAP'!$A$2:$A$377,0)),0)</f>
        <v>1773</v>
      </c>
    </row>
    <row r="1200" ht="15.35" customHeight="1">
      <c r="A1200" t="s" s="2">
        <v>2395</v>
      </c>
      <c r="B1200" s="4">
        <v>40119</v>
      </c>
      <c r="C1200" s="5">
        <v>2300</v>
      </c>
      <c r="D1200" s="5">
        <v>93</v>
      </c>
      <c r="E1200" s="5">
        <v>80</v>
      </c>
      <c r="F1200" t="s" s="2">
        <v>19</v>
      </c>
      <c r="G1200" t="s" s="2">
        <v>1768</v>
      </c>
      <c r="H1200" s="5">
        <v>851</v>
      </c>
      <c r="I1200" t="s" s="2">
        <v>1139</v>
      </c>
      <c r="J1200" t="s" s="2">
        <v>22</v>
      </c>
      <c r="K1200" t="s" s="2">
        <v>2388</v>
      </c>
      <c r="L1200" t="s" s="2">
        <v>2396</v>
      </c>
      <c r="M1200" s="5">
        <v>569230.85</v>
      </c>
      <c r="N1200" s="5">
        <v>6332611.27</v>
      </c>
      <c r="O1200" t="s" s="2">
        <v>305</v>
      </c>
      <c r="P1200" s="5">
        <v>72017</v>
      </c>
      <c r="Q1200" t="s" s="2">
        <v>1772</v>
      </c>
      <c r="R1200" t="s" s="2">
        <f>_xlfn.IFERROR(INDEX('model_byCAP'!$D$2:$D$377,MATCH(Q1200,'model_byCAP'!$A$2:$A$377,0)),0)</f>
        <v>1773</v>
      </c>
    </row>
    <row r="1201" ht="15.35" customHeight="1">
      <c r="A1201" t="s" s="2">
        <v>2397</v>
      </c>
      <c r="B1201" s="4">
        <v>42690</v>
      </c>
      <c r="C1201" s="5">
        <v>2200</v>
      </c>
      <c r="D1201" s="5">
        <v>100</v>
      </c>
      <c r="E1201" s="5">
        <v>72</v>
      </c>
      <c r="F1201" t="s" s="2">
        <v>301</v>
      </c>
      <c r="G1201" t="s" s="2">
        <v>2398</v>
      </c>
      <c r="H1201" s="5">
        <v>661</v>
      </c>
      <c r="I1201" t="s" s="2">
        <v>562</v>
      </c>
      <c r="J1201" t="s" s="2">
        <v>22</v>
      </c>
      <c r="K1201" t="s" s="2">
        <v>2399</v>
      </c>
      <c r="L1201" t="s" s="2">
        <v>2400</v>
      </c>
      <c r="M1201" s="5">
        <v>490182.16</v>
      </c>
      <c r="N1201" s="5">
        <v>6244370.53</v>
      </c>
      <c r="O1201" t="s" s="2">
        <v>305</v>
      </c>
      <c r="P1201" s="5">
        <v>40370</v>
      </c>
      <c r="Q1201" t="s" s="2">
        <v>2401</v>
      </c>
      <c r="R1201" t="s" s="2">
        <f>_xlfn.IFERROR(INDEX('model_byCAP'!$D$2:$D$377,MATCH(Q1201,'model_byCAP'!$A$2:$A$377,0)),0)</f>
        <v>2402</v>
      </c>
    </row>
    <row r="1202" ht="15.35" customHeight="1">
      <c r="A1202" t="s" s="2">
        <v>2403</v>
      </c>
      <c r="B1202" s="4">
        <v>42698</v>
      </c>
      <c r="C1202" s="5">
        <v>2200</v>
      </c>
      <c r="D1202" s="5">
        <v>100</v>
      </c>
      <c r="E1202" s="5">
        <v>72</v>
      </c>
      <c r="F1202" t="s" s="2">
        <v>301</v>
      </c>
      <c r="G1202" t="s" s="2">
        <v>2398</v>
      </c>
      <c r="H1202" s="5">
        <v>661</v>
      </c>
      <c r="I1202" t="s" s="2">
        <v>562</v>
      </c>
      <c r="J1202" t="s" s="2">
        <v>22</v>
      </c>
      <c r="K1202" t="s" s="2">
        <v>2399</v>
      </c>
      <c r="L1202" t="s" s="2">
        <v>2404</v>
      </c>
      <c r="M1202" s="5">
        <v>490105.74</v>
      </c>
      <c r="N1202" s="5">
        <v>6244683.7</v>
      </c>
      <c r="O1202" t="s" s="2">
        <v>305</v>
      </c>
      <c r="P1202" s="5">
        <v>40371</v>
      </c>
      <c r="Q1202" t="s" s="2">
        <v>2401</v>
      </c>
      <c r="R1202" t="s" s="2">
        <f>_xlfn.IFERROR(INDEX('model_byCAP'!$D$2:$D$377,MATCH(Q1202,'model_byCAP'!$A$2:$A$377,0)),0)</f>
        <v>2402</v>
      </c>
    </row>
    <row r="1203" ht="15.35" customHeight="1">
      <c r="A1203" t="s" s="2">
        <v>2405</v>
      </c>
      <c r="B1203" s="4">
        <v>42697</v>
      </c>
      <c r="C1203" s="5">
        <v>2200</v>
      </c>
      <c r="D1203" s="5">
        <v>100</v>
      </c>
      <c r="E1203" s="5">
        <v>72</v>
      </c>
      <c r="F1203" t="s" s="2">
        <v>301</v>
      </c>
      <c r="G1203" t="s" s="2">
        <v>2398</v>
      </c>
      <c r="H1203" s="5">
        <v>661</v>
      </c>
      <c r="I1203" t="s" s="2">
        <v>562</v>
      </c>
      <c r="J1203" t="s" s="2">
        <v>22</v>
      </c>
      <c r="K1203" t="s" s="2">
        <v>2399</v>
      </c>
      <c r="L1203" t="s" s="2">
        <v>2406</v>
      </c>
      <c r="M1203" s="5">
        <v>490029.53</v>
      </c>
      <c r="N1203" s="5">
        <v>6244994.55</v>
      </c>
      <c r="O1203" t="s" s="2">
        <v>305</v>
      </c>
      <c r="P1203" s="5">
        <v>40372</v>
      </c>
      <c r="Q1203" t="s" s="2">
        <v>2401</v>
      </c>
      <c r="R1203" t="s" s="2">
        <f>_xlfn.IFERROR(INDEX('model_byCAP'!$D$2:$D$377,MATCH(Q1203,'model_byCAP'!$A$2:$A$377,0)),0)</f>
        <v>2402</v>
      </c>
    </row>
    <row r="1204" ht="15.35" customHeight="1">
      <c r="A1204" t="s" s="2">
        <v>2407</v>
      </c>
      <c r="B1204" s="4">
        <v>42709</v>
      </c>
      <c r="C1204" s="5">
        <v>2200</v>
      </c>
      <c r="D1204" s="5">
        <v>100</v>
      </c>
      <c r="E1204" s="5">
        <v>72</v>
      </c>
      <c r="F1204" t="s" s="2">
        <v>301</v>
      </c>
      <c r="G1204" t="s" s="2">
        <v>2398</v>
      </c>
      <c r="H1204" s="5">
        <v>661</v>
      </c>
      <c r="I1204" t="s" s="2">
        <v>562</v>
      </c>
      <c r="J1204" t="s" s="2">
        <v>22</v>
      </c>
      <c r="K1204" t="s" s="2">
        <v>2399</v>
      </c>
      <c r="L1204" t="s" s="2">
        <v>2408</v>
      </c>
      <c r="M1204" s="5">
        <v>489952.74</v>
      </c>
      <c r="N1204" s="5">
        <v>6245308.59</v>
      </c>
      <c r="O1204" t="s" s="2">
        <v>305</v>
      </c>
      <c r="P1204" s="5">
        <v>40373</v>
      </c>
      <c r="Q1204" t="s" s="2">
        <v>2401</v>
      </c>
      <c r="R1204" t="s" s="2">
        <f>_xlfn.IFERROR(INDEX('model_byCAP'!$D$2:$D$377,MATCH(Q1204,'model_byCAP'!$A$2:$A$377,0)),0)</f>
        <v>2402</v>
      </c>
    </row>
    <row r="1205" ht="15.35" customHeight="1">
      <c r="A1205" t="s" s="2">
        <v>2409</v>
      </c>
      <c r="B1205" s="4">
        <v>42717</v>
      </c>
      <c r="C1205" s="5">
        <v>2200</v>
      </c>
      <c r="D1205" s="5">
        <v>100</v>
      </c>
      <c r="E1205" s="5">
        <v>72</v>
      </c>
      <c r="F1205" t="s" s="2">
        <v>301</v>
      </c>
      <c r="G1205" t="s" s="2">
        <v>2398</v>
      </c>
      <c r="H1205" s="5">
        <v>661</v>
      </c>
      <c r="I1205" t="s" s="2">
        <v>562</v>
      </c>
      <c r="J1205" t="s" s="2">
        <v>22</v>
      </c>
      <c r="K1205" t="s" s="2">
        <v>2399</v>
      </c>
      <c r="L1205" t="s" s="2">
        <v>2410</v>
      </c>
      <c r="M1205" s="5">
        <v>489873.92</v>
      </c>
      <c r="N1205" s="5">
        <v>6245631.81</v>
      </c>
      <c r="O1205" t="s" s="2">
        <v>305</v>
      </c>
      <c r="P1205" s="5">
        <v>40374</v>
      </c>
      <c r="Q1205" t="s" s="2">
        <v>2401</v>
      </c>
      <c r="R1205" t="s" s="2">
        <f>_xlfn.IFERROR(INDEX('model_byCAP'!$D$2:$D$377,MATCH(Q1205,'model_byCAP'!$A$2:$A$377,0)),0)</f>
        <v>2402</v>
      </c>
    </row>
    <row r="1206" ht="15.35" customHeight="1">
      <c r="A1206" t="s" s="2">
        <v>2411</v>
      </c>
      <c r="B1206" s="4">
        <v>42725</v>
      </c>
      <c r="C1206" s="5">
        <v>2200</v>
      </c>
      <c r="D1206" s="5">
        <v>100</v>
      </c>
      <c r="E1206" s="5">
        <v>72</v>
      </c>
      <c r="F1206" t="s" s="2">
        <v>301</v>
      </c>
      <c r="G1206" t="s" s="2">
        <v>2398</v>
      </c>
      <c r="H1206" s="5">
        <v>661</v>
      </c>
      <c r="I1206" t="s" s="2">
        <v>562</v>
      </c>
      <c r="J1206" t="s" s="2">
        <v>22</v>
      </c>
      <c r="K1206" t="s" s="2">
        <v>2399</v>
      </c>
      <c r="L1206" t="s" s="2">
        <v>2412</v>
      </c>
      <c r="M1206" s="5">
        <v>489793.9</v>
      </c>
      <c r="N1206" s="5">
        <v>6245960.26</v>
      </c>
      <c r="O1206" t="s" s="2">
        <v>305</v>
      </c>
      <c r="P1206" s="5">
        <v>40375</v>
      </c>
      <c r="Q1206" t="s" s="2">
        <v>2401</v>
      </c>
      <c r="R1206" t="s" s="2">
        <f>_xlfn.IFERROR(INDEX('model_byCAP'!$D$2:$D$377,MATCH(Q1206,'model_byCAP'!$A$2:$A$377,0)),0)</f>
        <v>2402</v>
      </c>
    </row>
    <row r="1207" ht="15.35" customHeight="1">
      <c r="A1207" t="s" s="2">
        <v>2413</v>
      </c>
      <c r="B1207" s="4">
        <v>42723</v>
      </c>
      <c r="C1207" s="5">
        <v>2200</v>
      </c>
      <c r="D1207" s="5">
        <v>100</v>
      </c>
      <c r="E1207" s="5">
        <v>72</v>
      </c>
      <c r="F1207" t="s" s="2">
        <v>301</v>
      </c>
      <c r="G1207" t="s" s="2">
        <v>2398</v>
      </c>
      <c r="H1207" s="5">
        <v>661</v>
      </c>
      <c r="I1207" t="s" s="2">
        <v>562</v>
      </c>
      <c r="J1207" t="s" s="2">
        <v>22</v>
      </c>
      <c r="K1207" t="s" s="2">
        <v>2399</v>
      </c>
      <c r="L1207" t="s" s="2">
        <v>2414</v>
      </c>
      <c r="M1207" s="5">
        <v>489713.48</v>
      </c>
      <c r="N1207" s="5">
        <v>6246288.58</v>
      </c>
      <c r="O1207" t="s" s="2">
        <v>305</v>
      </c>
      <c r="P1207" s="5">
        <v>40376</v>
      </c>
      <c r="Q1207" t="s" s="2">
        <v>2401</v>
      </c>
      <c r="R1207" t="s" s="2">
        <f>_xlfn.IFERROR(INDEX('model_byCAP'!$D$2:$D$377,MATCH(Q1207,'model_byCAP'!$A$2:$A$377,0)),0)</f>
        <v>2402</v>
      </c>
    </row>
    <row r="1208" ht="15.35" customHeight="1">
      <c r="A1208" t="s" s="2">
        <v>2415</v>
      </c>
      <c r="B1208" s="4">
        <v>42693</v>
      </c>
      <c r="C1208" s="5">
        <v>2200</v>
      </c>
      <c r="D1208" s="5">
        <v>100</v>
      </c>
      <c r="E1208" s="5">
        <v>72</v>
      </c>
      <c r="F1208" t="s" s="2">
        <v>301</v>
      </c>
      <c r="G1208" t="s" s="2">
        <v>2398</v>
      </c>
      <c r="H1208" s="5">
        <v>661</v>
      </c>
      <c r="I1208" t="s" s="2">
        <v>562</v>
      </c>
      <c r="J1208" t="s" s="2">
        <v>22</v>
      </c>
      <c r="K1208" t="s" s="2">
        <v>2399</v>
      </c>
      <c r="L1208" t="s" s="2">
        <v>2416</v>
      </c>
      <c r="M1208" s="5">
        <v>490702.3</v>
      </c>
      <c r="N1208" s="5">
        <v>6244292.94</v>
      </c>
      <c r="O1208" t="s" s="2">
        <v>305</v>
      </c>
      <c r="P1208" s="5">
        <v>40377</v>
      </c>
      <c r="Q1208" t="s" s="2">
        <v>2401</v>
      </c>
      <c r="R1208" t="s" s="2">
        <f>_xlfn.IFERROR(INDEX('model_byCAP'!$D$2:$D$377,MATCH(Q1208,'model_byCAP'!$A$2:$A$377,0)),0)</f>
        <v>2402</v>
      </c>
    </row>
    <row r="1209" ht="15.35" customHeight="1">
      <c r="A1209" t="s" s="2">
        <v>2417</v>
      </c>
      <c r="B1209" s="4">
        <v>42698</v>
      </c>
      <c r="C1209" s="5">
        <v>2200</v>
      </c>
      <c r="D1209" s="5">
        <v>100</v>
      </c>
      <c r="E1209" s="5">
        <v>72</v>
      </c>
      <c r="F1209" t="s" s="2">
        <v>301</v>
      </c>
      <c r="G1209" t="s" s="2">
        <v>2398</v>
      </c>
      <c r="H1209" s="5">
        <v>661</v>
      </c>
      <c r="I1209" t="s" s="2">
        <v>562</v>
      </c>
      <c r="J1209" t="s" s="2">
        <v>22</v>
      </c>
      <c r="K1209" t="s" s="2">
        <v>2399</v>
      </c>
      <c r="L1209" t="s" s="2">
        <v>2418</v>
      </c>
      <c r="M1209" s="5">
        <v>490625.03</v>
      </c>
      <c r="N1209" s="5">
        <v>6244606.09</v>
      </c>
      <c r="O1209" t="s" s="2">
        <v>305</v>
      </c>
      <c r="P1209" s="5">
        <v>40378</v>
      </c>
      <c r="Q1209" t="s" s="2">
        <v>2401</v>
      </c>
      <c r="R1209" t="s" s="2">
        <f>_xlfn.IFERROR(INDEX('model_byCAP'!$D$2:$D$377,MATCH(Q1209,'model_byCAP'!$A$2:$A$377,0)),0)</f>
        <v>2402</v>
      </c>
    </row>
    <row r="1210" ht="15.35" customHeight="1">
      <c r="A1210" t="s" s="2">
        <v>2419</v>
      </c>
      <c r="B1210" s="4">
        <v>42695</v>
      </c>
      <c r="C1210" s="5">
        <v>2200</v>
      </c>
      <c r="D1210" s="5">
        <v>100</v>
      </c>
      <c r="E1210" s="5">
        <v>72</v>
      </c>
      <c r="F1210" t="s" s="2">
        <v>301</v>
      </c>
      <c r="G1210" t="s" s="2">
        <v>2398</v>
      </c>
      <c r="H1210" s="5">
        <v>661</v>
      </c>
      <c r="I1210" t="s" s="2">
        <v>562</v>
      </c>
      <c r="J1210" t="s" s="2">
        <v>22</v>
      </c>
      <c r="K1210" t="s" s="2">
        <v>2399</v>
      </c>
      <c r="L1210" t="s" s="2">
        <v>2420</v>
      </c>
      <c r="M1210" s="5">
        <v>490549.24</v>
      </c>
      <c r="N1210" s="5">
        <v>6244917.19</v>
      </c>
      <c r="O1210" t="s" s="2">
        <v>305</v>
      </c>
      <c r="P1210" s="5">
        <v>40379</v>
      </c>
      <c r="Q1210" t="s" s="2">
        <v>2401</v>
      </c>
      <c r="R1210" t="s" s="2">
        <f>_xlfn.IFERROR(INDEX('model_byCAP'!$D$2:$D$377,MATCH(Q1210,'model_byCAP'!$A$2:$A$377,0)),0)</f>
        <v>2402</v>
      </c>
    </row>
    <row r="1211" ht="15.35" customHeight="1">
      <c r="A1211" t="s" s="2">
        <v>2421</v>
      </c>
      <c r="B1211" s="4">
        <v>42725</v>
      </c>
      <c r="C1211" s="5">
        <v>2200</v>
      </c>
      <c r="D1211" s="5">
        <v>100</v>
      </c>
      <c r="E1211" s="5">
        <v>72</v>
      </c>
      <c r="F1211" t="s" s="2">
        <v>301</v>
      </c>
      <c r="G1211" t="s" s="2">
        <v>2398</v>
      </c>
      <c r="H1211" s="5">
        <v>661</v>
      </c>
      <c r="I1211" t="s" s="2">
        <v>562</v>
      </c>
      <c r="J1211" t="s" s="2">
        <v>22</v>
      </c>
      <c r="K1211" t="s" s="2">
        <v>2399</v>
      </c>
      <c r="L1211" t="s" s="2">
        <v>2422</v>
      </c>
      <c r="M1211" s="5">
        <v>490472.43</v>
      </c>
      <c r="N1211" s="5">
        <v>6245230.77</v>
      </c>
      <c r="O1211" t="s" s="2">
        <v>305</v>
      </c>
      <c r="P1211" s="5">
        <v>40380</v>
      </c>
      <c r="Q1211" t="s" s="2">
        <v>2401</v>
      </c>
      <c r="R1211" t="s" s="2">
        <f>_xlfn.IFERROR(INDEX('model_byCAP'!$D$2:$D$377,MATCH(Q1211,'model_byCAP'!$A$2:$A$377,0)),0)</f>
        <v>2402</v>
      </c>
    </row>
    <row r="1212" ht="15.35" customHeight="1">
      <c r="A1212" t="s" s="2">
        <v>2423</v>
      </c>
      <c r="B1212" s="4">
        <v>42710</v>
      </c>
      <c r="C1212" s="5">
        <v>2200</v>
      </c>
      <c r="D1212" s="5">
        <v>100</v>
      </c>
      <c r="E1212" s="5">
        <v>72</v>
      </c>
      <c r="F1212" t="s" s="2">
        <v>301</v>
      </c>
      <c r="G1212" t="s" s="2">
        <v>2398</v>
      </c>
      <c r="H1212" s="5">
        <v>661</v>
      </c>
      <c r="I1212" t="s" s="2">
        <v>562</v>
      </c>
      <c r="J1212" t="s" s="2">
        <v>22</v>
      </c>
      <c r="K1212" t="s" s="2">
        <v>2399</v>
      </c>
      <c r="L1212" t="s" s="2">
        <v>2424</v>
      </c>
      <c r="M1212" s="5">
        <v>490393.96</v>
      </c>
      <c r="N1212" s="5">
        <v>6245554.55</v>
      </c>
      <c r="O1212" t="s" s="2">
        <v>305</v>
      </c>
      <c r="P1212" s="5">
        <v>40381</v>
      </c>
      <c r="Q1212" t="s" s="2">
        <v>2401</v>
      </c>
      <c r="R1212" t="s" s="2">
        <f>_xlfn.IFERROR(INDEX('model_byCAP'!$D$2:$D$377,MATCH(Q1212,'model_byCAP'!$A$2:$A$377,0)),0)</f>
        <v>2402</v>
      </c>
    </row>
    <row r="1213" ht="15.35" customHeight="1">
      <c r="A1213" t="s" s="2">
        <v>2425</v>
      </c>
      <c r="B1213" s="4">
        <v>42710</v>
      </c>
      <c r="C1213" s="5">
        <v>2200</v>
      </c>
      <c r="D1213" s="5">
        <v>100</v>
      </c>
      <c r="E1213" s="5">
        <v>72</v>
      </c>
      <c r="F1213" t="s" s="2">
        <v>301</v>
      </c>
      <c r="G1213" t="s" s="2">
        <v>2398</v>
      </c>
      <c r="H1213" s="5">
        <v>661</v>
      </c>
      <c r="I1213" t="s" s="2">
        <v>562</v>
      </c>
      <c r="J1213" t="s" s="2">
        <v>22</v>
      </c>
      <c r="K1213" t="s" s="2">
        <v>2399</v>
      </c>
      <c r="L1213" t="s" s="2">
        <v>2426</v>
      </c>
      <c r="M1213" s="5">
        <v>490313.09</v>
      </c>
      <c r="N1213" s="5">
        <v>6245882.64</v>
      </c>
      <c r="O1213" t="s" s="2">
        <v>305</v>
      </c>
      <c r="P1213" s="5">
        <v>40382</v>
      </c>
      <c r="Q1213" t="s" s="2">
        <v>2401</v>
      </c>
      <c r="R1213" t="s" s="2">
        <f>_xlfn.IFERROR(INDEX('model_byCAP'!$D$2:$D$377,MATCH(Q1213,'model_byCAP'!$A$2:$A$377,0)),0)</f>
        <v>2402</v>
      </c>
    </row>
    <row r="1214" ht="15.35" customHeight="1">
      <c r="A1214" t="s" s="2">
        <v>2427</v>
      </c>
      <c r="B1214" s="4">
        <v>42710</v>
      </c>
      <c r="C1214" s="5">
        <v>2200</v>
      </c>
      <c r="D1214" s="5">
        <v>100</v>
      </c>
      <c r="E1214" s="5">
        <v>72</v>
      </c>
      <c r="F1214" t="s" s="2">
        <v>301</v>
      </c>
      <c r="G1214" t="s" s="2">
        <v>2398</v>
      </c>
      <c r="H1214" s="5">
        <v>661</v>
      </c>
      <c r="I1214" t="s" s="2">
        <v>562</v>
      </c>
      <c r="J1214" t="s" s="2">
        <v>22</v>
      </c>
      <c r="K1214" t="s" s="2">
        <v>2399</v>
      </c>
      <c r="L1214" t="s" s="2">
        <v>2428</v>
      </c>
      <c r="M1214" s="5">
        <v>490233.01</v>
      </c>
      <c r="N1214" s="5">
        <v>6246211</v>
      </c>
      <c r="O1214" t="s" s="2">
        <v>305</v>
      </c>
      <c r="P1214" s="5">
        <v>40383</v>
      </c>
      <c r="Q1214" t="s" s="2">
        <v>2401</v>
      </c>
      <c r="R1214" t="s" s="2">
        <f>_xlfn.IFERROR(INDEX('model_byCAP'!$D$2:$D$377,MATCH(Q1214,'model_byCAP'!$A$2:$A$377,0)),0)</f>
        <v>2402</v>
      </c>
    </row>
    <row r="1215" ht="15.35" customHeight="1">
      <c r="A1215" t="s" s="2">
        <v>2429</v>
      </c>
      <c r="B1215" s="4">
        <v>42703</v>
      </c>
      <c r="C1215" s="5">
        <v>2200</v>
      </c>
      <c r="D1215" s="5">
        <v>100</v>
      </c>
      <c r="E1215" s="5">
        <v>72</v>
      </c>
      <c r="F1215" t="s" s="2">
        <v>301</v>
      </c>
      <c r="G1215" t="s" s="2">
        <v>2398</v>
      </c>
      <c r="H1215" s="5">
        <v>661</v>
      </c>
      <c r="I1215" t="s" s="2">
        <v>562</v>
      </c>
      <c r="J1215" t="s" s="2">
        <v>22</v>
      </c>
      <c r="K1215" t="s" s="2">
        <v>2430</v>
      </c>
      <c r="L1215" t="s" s="2">
        <v>2431</v>
      </c>
      <c r="M1215" s="5">
        <v>491221.5</v>
      </c>
      <c r="N1215" s="5">
        <v>6244215.27</v>
      </c>
      <c r="O1215" t="s" s="2">
        <v>305</v>
      </c>
      <c r="P1215" s="5">
        <v>40384</v>
      </c>
      <c r="Q1215" t="s" s="2">
        <v>2401</v>
      </c>
      <c r="R1215" t="s" s="2">
        <f>_xlfn.IFERROR(INDEX('model_byCAP'!$D$2:$D$377,MATCH(Q1215,'model_byCAP'!$A$2:$A$377,0)),0)</f>
        <v>2402</v>
      </c>
    </row>
    <row r="1216" ht="15.35" customHeight="1">
      <c r="A1216" t="s" s="2">
        <v>2432</v>
      </c>
      <c r="B1216" s="4">
        <v>42703</v>
      </c>
      <c r="C1216" s="5">
        <v>2200</v>
      </c>
      <c r="D1216" s="5">
        <v>100</v>
      </c>
      <c r="E1216" s="5">
        <v>72</v>
      </c>
      <c r="F1216" t="s" s="2">
        <v>301</v>
      </c>
      <c r="G1216" t="s" s="2">
        <v>2398</v>
      </c>
      <c r="H1216" s="5">
        <v>661</v>
      </c>
      <c r="I1216" t="s" s="2">
        <v>562</v>
      </c>
      <c r="J1216" t="s" s="2">
        <v>22</v>
      </c>
      <c r="K1216" t="s" s="2">
        <v>2430</v>
      </c>
      <c r="L1216" t="s" s="2">
        <v>2433</v>
      </c>
      <c r="M1216" s="5">
        <v>491144.57</v>
      </c>
      <c r="N1216" s="5">
        <v>6244528.03</v>
      </c>
      <c r="O1216" t="s" s="2">
        <v>305</v>
      </c>
      <c r="P1216" s="5">
        <v>40385</v>
      </c>
      <c r="Q1216" t="s" s="2">
        <v>2401</v>
      </c>
      <c r="R1216" t="s" s="2">
        <f>_xlfn.IFERROR(INDEX('model_byCAP'!$D$2:$D$377,MATCH(Q1216,'model_byCAP'!$A$2:$A$377,0)),0)</f>
        <v>2402</v>
      </c>
    </row>
    <row r="1217" ht="15.35" customHeight="1">
      <c r="A1217" t="s" s="2">
        <v>2434</v>
      </c>
      <c r="B1217" s="4">
        <v>42703</v>
      </c>
      <c r="C1217" s="5">
        <v>2200</v>
      </c>
      <c r="D1217" s="5">
        <v>100</v>
      </c>
      <c r="E1217" s="5">
        <v>72</v>
      </c>
      <c r="F1217" t="s" s="2">
        <v>301</v>
      </c>
      <c r="G1217" t="s" s="2">
        <v>2398</v>
      </c>
      <c r="H1217" s="5">
        <v>661</v>
      </c>
      <c r="I1217" t="s" s="2">
        <v>562</v>
      </c>
      <c r="J1217" t="s" s="2">
        <v>22</v>
      </c>
      <c r="K1217" t="s" s="2">
        <v>2430</v>
      </c>
      <c r="L1217" t="s" s="2">
        <v>2435</v>
      </c>
      <c r="M1217" s="5">
        <v>491069</v>
      </c>
      <c r="N1217" s="5">
        <v>6244839.27</v>
      </c>
      <c r="O1217" t="s" s="2">
        <v>305</v>
      </c>
      <c r="P1217" s="5">
        <v>40386</v>
      </c>
      <c r="Q1217" t="s" s="2">
        <v>2401</v>
      </c>
      <c r="R1217" t="s" s="2">
        <f>_xlfn.IFERROR(INDEX('model_byCAP'!$D$2:$D$377,MATCH(Q1217,'model_byCAP'!$A$2:$A$377,0)),0)</f>
        <v>2402</v>
      </c>
    </row>
    <row r="1218" ht="15.35" customHeight="1">
      <c r="A1218" t="s" s="2">
        <v>2436</v>
      </c>
      <c r="B1218" s="4">
        <v>42707</v>
      </c>
      <c r="C1218" s="5">
        <v>2200</v>
      </c>
      <c r="D1218" s="5">
        <v>100</v>
      </c>
      <c r="E1218" s="5">
        <v>72</v>
      </c>
      <c r="F1218" t="s" s="2">
        <v>301</v>
      </c>
      <c r="G1218" t="s" s="2">
        <v>2398</v>
      </c>
      <c r="H1218" s="5">
        <v>661</v>
      </c>
      <c r="I1218" t="s" s="2">
        <v>562</v>
      </c>
      <c r="J1218" t="s" s="2">
        <v>22</v>
      </c>
      <c r="K1218" t="s" s="2">
        <v>2430</v>
      </c>
      <c r="L1218" t="s" s="2">
        <v>2437</v>
      </c>
      <c r="M1218" s="5">
        <v>490991.98</v>
      </c>
      <c r="N1218" s="5">
        <v>6245153.11</v>
      </c>
      <c r="O1218" t="s" s="2">
        <v>305</v>
      </c>
      <c r="P1218" s="5">
        <v>40387</v>
      </c>
      <c r="Q1218" t="s" s="2">
        <v>2401</v>
      </c>
      <c r="R1218" t="s" s="2">
        <f>_xlfn.IFERROR(INDEX('model_byCAP'!$D$2:$D$377,MATCH(Q1218,'model_byCAP'!$A$2:$A$377,0)),0)</f>
        <v>2402</v>
      </c>
    </row>
    <row r="1219" ht="15.35" customHeight="1">
      <c r="A1219" t="s" s="2">
        <v>2438</v>
      </c>
      <c r="B1219" s="4">
        <v>42686</v>
      </c>
      <c r="C1219" s="5">
        <v>2200</v>
      </c>
      <c r="D1219" s="5">
        <v>100</v>
      </c>
      <c r="E1219" s="5">
        <v>72</v>
      </c>
      <c r="F1219" t="s" s="2">
        <v>301</v>
      </c>
      <c r="G1219" t="s" s="2">
        <v>2398</v>
      </c>
      <c r="H1219" s="5">
        <v>661</v>
      </c>
      <c r="I1219" t="s" s="2">
        <v>562</v>
      </c>
      <c r="J1219" t="s" s="2">
        <v>22</v>
      </c>
      <c r="K1219" t="s" s="2">
        <v>2430</v>
      </c>
      <c r="L1219" t="s" s="2">
        <v>1065</v>
      </c>
      <c r="M1219" s="5">
        <v>490913.19</v>
      </c>
      <c r="N1219" s="5">
        <v>6245476.97</v>
      </c>
      <c r="O1219" t="s" s="2">
        <v>305</v>
      </c>
      <c r="P1219" s="5">
        <v>40388</v>
      </c>
      <c r="Q1219" t="s" s="2">
        <v>2401</v>
      </c>
      <c r="R1219" t="s" s="2">
        <f>_xlfn.IFERROR(INDEX('model_byCAP'!$D$2:$D$377,MATCH(Q1219,'model_byCAP'!$A$2:$A$377,0)),0)</f>
        <v>2402</v>
      </c>
    </row>
    <row r="1220" ht="15.35" customHeight="1">
      <c r="A1220" t="s" s="2">
        <v>2439</v>
      </c>
      <c r="B1220" s="4">
        <v>42700</v>
      </c>
      <c r="C1220" s="5">
        <v>2200</v>
      </c>
      <c r="D1220" s="5">
        <v>100</v>
      </c>
      <c r="E1220" s="5">
        <v>72</v>
      </c>
      <c r="F1220" t="s" s="2">
        <v>301</v>
      </c>
      <c r="G1220" t="s" s="2">
        <v>2398</v>
      </c>
      <c r="H1220" s="5">
        <v>661</v>
      </c>
      <c r="I1220" t="s" s="2">
        <v>562</v>
      </c>
      <c r="J1220" t="s" s="2">
        <v>22</v>
      </c>
      <c r="K1220" t="s" s="2">
        <v>2430</v>
      </c>
      <c r="L1220" t="s" s="2">
        <v>1069</v>
      </c>
      <c r="M1220" s="5">
        <v>490833.29</v>
      </c>
      <c r="N1220" s="5">
        <v>6245805.01</v>
      </c>
      <c r="O1220" t="s" s="2">
        <v>305</v>
      </c>
      <c r="P1220" s="5">
        <v>40389</v>
      </c>
      <c r="Q1220" t="s" s="2">
        <v>2401</v>
      </c>
      <c r="R1220" t="s" s="2">
        <f>_xlfn.IFERROR(INDEX('model_byCAP'!$D$2:$D$377,MATCH(Q1220,'model_byCAP'!$A$2:$A$377,0)),0)</f>
        <v>2402</v>
      </c>
    </row>
    <row r="1221" ht="15.35" customHeight="1">
      <c r="A1221" t="s" s="2">
        <v>2440</v>
      </c>
      <c r="B1221" s="4">
        <v>42683</v>
      </c>
      <c r="C1221" s="5">
        <v>2200</v>
      </c>
      <c r="D1221" s="5">
        <v>100</v>
      </c>
      <c r="E1221" s="5">
        <v>72</v>
      </c>
      <c r="F1221" t="s" s="2">
        <v>301</v>
      </c>
      <c r="G1221" t="s" s="2">
        <v>2398</v>
      </c>
      <c r="H1221" s="5">
        <v>661</v>
      </c>
      <c r="I1221" t="s" s="2">
        <v>562</v>
      </c>
      <c r="J1221" t="s" s="2">
        <v>22</v>
      </c>
      <c r="K1221" t="s" s="2">
        <v>2430</v>
      </c>
      <c r="L1221" s="5">
        <v>56</v>
      </c>
      <c r="M1221" s="5">
        <v>490752.43</v>
      </c>
      <c r="N1221" s="5">
        <v>6246133.74</v>
      </c>
      <c r="O1221" t="s" s="2">
        <v>305</v>
      </c>
      <c r="P1221" s="5">
        <v>40390</v>
      </c>
      <c r="Q1221" t="s" s="2">
        <v>2401</v>
      </c>
      <c r="R1221" t="s" s="2">
        <f>_xlfn.IFERROR(INDEX('model_byCAP'!$D$2:$D$377,MATCH(Q1221,'model_byCAP'!$A$2:$A$377,0)),0)</f>
        <v>2402</v>
      </c>
    </row>
    <row r="1222" ht="15.35" customHeight="1">
      <c r="A1222" t="s" s="2">
        <v>2441</v>
      </c>
      <c r="B1222" s="4">
        <v>43096</v>
      </c>
      <c r="C1222" s="5">
        <v>2200</v>
      </c>
      <c r="D1222" s="5">
        <v>100</v>
      </c>
      <c r="E1222" s="5">
        <v>75</v>
      </c>
      <c r="F1222" t="s" s="2">
        <v>301</v>
      </c>
      <c r="G1222" t="s" s="2">
        <v>2442</v>
      </c>
      <c r="H1222" s="5">
        <v>661</v>
      </c>
      <c r="I1222" t="s" s="2">
        <v>562</v>
      </c>
      <c r="J1222" t="s" s="2">
        <v>22</v>
      </c>
      <c r="K1222" t="s" s="2">
        <v>1085</v>
      </c>
      <c r="L1222" t="s" s="2">
        <v>500</v>
      </c>
      <c r="M1222" s="5">
        <v>467317</v>
      </c>
      <c r="N1222" s="5">
        <v>6248184</v>
      </c>
      <c r="O1222" t="s" s="2">
        <v>305</v>
      </c>
      <c r="P1222" s="5">
        <v>40414</v>
      </c>
      <c r="Q1222" t="s" s="2">
        <v>2443</v>
      </c>
      <c r="R1222" t="s" s="2">
        <f>_xlfn.IFERROR(INDEX('model_byCAP'!$D$2:$D$377,MATCH(Q1222,'model_byCAP'!$A$2:$A$377,0)),0)</f>
        <v>2444</v>
      </c>
    </row>
    <row r="1223" ht="15.35" customHeight="1">
      <c r="A1223" t="s" s="2">
        <v>2445</v>
      </c>
      <c r="B1223" s="4">
        <v>43096</v>
      </c>
      <c r="C1223" s="5">
        <v>2200</v>
      </c>
      <c r="D1223" s="5">
        <v>100</v>
      </c>
      <c r="E1223" s="5">
        <v>75</v>
      </c>
      <c r="F1223" t="s" s="2">
        <v>301</v>
      </c>
      <c r="G1223" t="s" s="2">
        <v>2442</v>
      </c>
      <c r="H1223" s="5">
        <v>661</v>
      </c>
      <c r="I1223" t="s" s="2">
        <v>562</v>
      </c>
      <c r="J1223" t="s" s="2">
        <v>22</v>
      </c>
      <c r="K1223" t="s" s="2">
        <v>1085</v>
      </c>
      <c r="L1223" t="s" s="2">
        <v>500</v>
      </c>
      <c r="M1223" s="5">
        <v>467253</v>
      </c>
      <c r="N1223" s="5">
        <v>6247953</v>
      </c>
      <c r="O1223" t="s" s="2">
        <v>305</v>
      </c>
      <c r="P1223" s="5">
        <v>40415</v>
      </c>
      <c r="Q1223" t="s" s="2">
        <v>2443</v>
      </c>
      <c r="R1223" t="s" s="2">
        <f>_xlfn.IFERROR(INDEX('model_byCAP'!$D$2:$D$377,MATCH(Q1223,'model_byCAP'!$A$2:$A$377,0)),0)</f>
        <v>2444</v>
      </c>
    </row>
    <row r="1224" ht="15.35" customHeight="1">
      <c r="A1224" t="s" s="2">
        <v>2446</v>
      </c>
      <c r="B1224" s="4">
        <v>43105</v>
      </c>
      <c r="C1224" s="5">
        <v>2200</v>
      </c>
      <c r="D1224" s="5">
        <v>100</v>
      </c>
      <c r="E1224" s="5">
        <v>75</v>
      </c>
      <c r="F1224" t="s" s="2">
        <v>301</v>
      </c>
      <c r="G1224" t="s" s="2">
        <v>2442</v>
      </c>
      <c r="H1224" s="5">
        <v>661</v>
      </c>
      <c r="I1224" t="s" s="2">
        <v>562</v>
      </c>
      <c r="J1224" t="s" s="2">
        <v>22</v>
      </c>
      <c r="K1224" t="s" s="2">
        <v>1085</v>
      </c>
      <c r="L1224" t="s" s="2">
        <v>500</v>
      </c>
      <c r="M1224" s="5">
        <v>467189.76</v>
      </c>
      <c r="N1224" s="5">
        <v>6247720.96</v>
      </c>
      <c r="O1224" t="s" s="2">
        <v>305</v>
      </c>
      <c r="P1224" s="5">
        <v>40416</v>
      </c>
      <c r="Q1224" t="s" s="2">
        <v>2443</v>
      </c>
      <c r="R1224" t="s" s="2">
        <f>_xlfn.IFERROR(INDEX('model_byCAP'!$D$2:$D$377,MATCH(Q1224,'model_byCAP'!$A$2:$A$377,0)),0)</f>
        <v>2444</v>
      </c>
    </row>
    <row r="1225" ht="15.35" customHeight="1">
      <c r="A1225" t="s" s="2">
        <v>2447</v>
      </c>
      <c r="B1225" s="4">
        <v>43098</v>
      </c>
      <c r="C1225" s="5">
        <v>2200</v>
      </c>
      <c r="D1225" s="5">
        <v>100</v>
      </c>
      <c r="E1225" s="5">
        <v>75</v>
      </c>
      <c r="F1225" t="s" s="2">
        <v>301</v>
      </c>
      <c r="G1225" t="s" s="2">
        <v>2442</v>
      </c>
      <c r="H1225" s="5">
        <v>661</v>
      </c>
      <c r="I1225" t="s" s="2">
        <v>562</v>
      </c>
      <c r="J1225" t="s" s="2">
        <v>22</v>
      </c>
      <c r="K1225" t="s" s="2">
        <v>1085</v>
      </c>
      <c r="L1225" t="s" s="2">
        <v>500</v>
      </c>
      <c r="M1225" s="5">
        <v>467670</v>
      </c>
      <c r="N1225" s="5">
        <v>6248209</v>
      </c>
      <c r="O1225" t="s" s="2">
        <v>305</v>
      </c>
      <c r="P1225" s="5">
        <v>40417</v>
      </c>
      <c r="Q1225" t="s" s="2">
        <v>2443</v>
      </c>
      <c r="R1225" t="s" s="2">
        <f>_xlfn.IFERROR(INDEX('model_byCAP'!$D$2:$D$377,MATCH(Q1225,'model_byCAP'!$A$2:$A$377,0)),0)</f>
        <v>2444</v>
      </c>
    </row>
    <row r="1226" ht="15.35" customHeight="1">
      <c r="A1226" t="s" s="2">
        <v>2448</v>
      </c>
      <c r="B1226" s="4">
        <v>43098</v>
      </c>
      <c r="C1226" s="5">
        <v>2200</v>
      </c>
      <c r="D1226" s="5">
        <v>100</v>
      </c>
      <c r="E1226" s="5">
        <v>75</v>
      </c>
      <c r="F1226" t="s" s="2">
        <v>301</v>
      </c>
      <c r="G1226" t="s" s="2">
        <v>2442</v>
      </c>
      <c r="H1226" s="5">
        <v>661</v>
      </c>
      <c r="I1226" t="s" s="2">
        <v>562</v>
      </c>
      <c r="J1226" t="s" s="2">
        <v>22</v>
      </c>
      <c r="K1226" t="s" s="2">
        <v>2449</v>
      </c>
      <c r="L1226" t="s" s="2">
        <v>500</v>
      </c>
      <c r="M1226" s="5">
        <v>467607</v>
      </c>
      <c r="N1226" s="5">
        <v>6247977</v>
      </c>
      <c r="O1226" t="s" s="2">
        <v>305</v>
      </c>
      <c r="P1226" s="5">
        <v>40418</v>
      </c>
      <c r="Q1226" t="s" s="2">
        <v>2443</v>
      </c>
      <c r="R1226" t="s" s="2">
        <f>_xlfn.IFERROR(INDEX('model_byCAP'!$D$2:$D$377,MATCH(Q1226,'model_byCAP'!$A$2:$A$377,0)),0)</f>
        <v>2444</v>
      </c>
    </row>
    <row r="1227" ht="15.35" customHeight="1">
      <c r="A1227" t="s" s="2">
        <v>2450</v>
      </c>
      <c r="B1227" s="4">
        <v>43124</v>
      </c>
      <c r="C1227" s="5">
        <v>2200</v>
      </c>
      <c r="D1227" s="5">
        <v>100</v>
      </c>
      <c r="E1227" s="5">
        <v>75</v>
      </c>
      <c r="F1227" t="s" s="2">
        <v>301</v>
      </c>
      <c r="G1227" t="s" s="2">
        <v>2442</v>
      </c>
      <c r="H1227" s="5">
        <v>661</v>
      </c>
      <c r="I1227" t="s" s="2">
        <v>562</v>
      </c>
      <c r="J1227" t="s" s="2">
        <v>22</v>
      </c>
      <c r="K1227" t="s" s="2">
        <v>2449</v>
      </c>
      <c r="L1227" t="s" s="2">
        <v>500</v>
      </c>
      <c r="M1227" s="5">
        <v>467543.82</v>
      </c>
      <c r="N1227" s="5">
        <v>6247744.23</v>
      </c>
      <c r="O1227" t="s" s="2">
        <v>305</v>
      </c>
      <c r="P1227" s="5">
        <v>40419</v>
      </c>
      <c r="Q1227" t="s" s="2">
        <v>2443</v>
      </c>
      <c r="R1227" t="s" s="2">
        <f>_xlfn.IFERROR(INDEX('model_byCAP'!$D$2:$D$377,MATCH(Q1227,'model_byCAP'!$A$2:$A$377,0)),0)</f>
        <v>2444</v>
      </c>
    </row>
    <row r="1228" ht="15.35" customHeight="1">
      <c r="A1228" t="s" s="2">
        <v>2451</v>
      </c>
      <c r="B1228" s="4">
        <v>43146</v>
      </c>
      <c r="C1228" s="5">
        <v>2200</v>
      </c>
      <c r="D1228" s="5">
        <v>100</v>
      </c>
      <c r="E1228" s="5">
        <v>75</v>
      </c>
      <c r="F1228" t="s" s="2">
        <v>301</v>
      </c>
      <c r="G1228" t="s" s="2">
        <v>2442</v>
      </c>
      <c r="H1228" s="5">
        <v>727</v>
      </c>
      <c r="I1228" t="s" s="2">
        <v>2452</v>
      </c>
      <c r="J1228" t="s" s="2">
        <v>22</v>
      </c>
      <c r="K1228" t="s" s="2">
        <v>2453</v>
      </c>
      <c r="L1228" t="s" s="2">
        <v>396</v>
      </c>
      <c r="M1228" s="5">
        <v>563818</v>
      </c>
      <c r="N1228" s="5">
        <v>6196778</v>
      </c>
      <c r="O1228" t="s" s="2">
        <v>305</v>
      </c>
      <c r="P1228" s="5">
        <v>4146032</v>
      </c>
      <c r="Q1228" t="s" s="2">
        <v>2443</v>
      </c>
      <c r="R1228" t="s" s="2">
        <f>_xlfn.IFERROR(INDEX('model_byCAP'!$D$2:$D$377,MATCH(Q1228,'model_byCAP'!$A$2:$A$377,0)),0)</f>
        <v>2444</v>
      </c>
    </row>
    <row r="1229" ht="15.35" customHeight="1">
      <c r="A1229" t="s" s="2">
        <v>2454</v>
      </c>
      <c r="B1229" s="4">
        <v>43143</v>
      </c>
      <c r="C1229" s="5">
        <v>2200</v>
      </c>
      <c r="D1229" s="5">
        <v>100</v>
      </c>
      <c r="E1229" s="5">
        <v>75</v>
      </c>
      <c r="F1229" t="s" s="2">
        <v>301</v>
      </c>
      <c r="G1229" t="s" s="2">
        <v>2442</v>
      </c>
      <c r="H1229" s="5">
        <v>727</v>
      </c>
      <c r="I1229" t="s" s="2">
        <v>2452</v>
      </c>
      <c r="J1229" t="s" s="2">
        <v>22</v>
      </c>
      <c r="K1229" t="s" s="2">
        <v>2453</v>
      </c>
      <c r="L1229" t="s" s="2">
        <v>396</v>
      </c>
      <c r="M1229" s="5">
        <v>563565</v>
      </c>
      <c r="N1229" s="5">
        <v>6196725</v>
      </c>
      <c r="O1229" t="s" s="2">
        <v>305</v>
      </c>
      <c r="P1229" s="5">
        <v>4146033</v>
      </c>
      <c r="Q1229" t="s" s="2">
        <v>2443</v>
      </c>
      <c r="R1229" t="s" s="2">
        <f>_xlfn.IFERROR(INDEX('model_byCAP'!$D$2:$D$377,MATCH(Q1229,'model_byCAP'!$A$2:$A$377,0)),0)</f>
        <v>2444</v>
      </c>
    </row>
    <row r="1230" ht="15.35" customHeight="1">
      <c r="A1230" t="s" s="2">
        <v>2455</v>
      </c>
      <c r="B1230" s="4">
        <v>43145</v>
      </c>
      <c r="C1230" s="5">
        <v>2200</v>
      </c>
      <c r="D1230" s="5">
        <v>120</v>
      </c>
      <c r="E1230" s="5">
        <v>89.5</v>
      </c>
      <c r="F1230" t="s" s="2">
        <v>301</v>
      </c>
      <c r="G1230" t="s" s="2">
        <v>2456</v>
      </c>
      <c r="H1230" s="5">
        <v>760</v>
      </c>
      <c r="I1230" t="s" s="2">
        <v>331</v>
      </c>
      <c r="J1230" t="s" s="2">
        <v>22</v>
      </c>
      <c r="K1230" s="5">
        <v>0</v>
      </c>
      <c r="L1230" s="5">
        <v>0</v>
      </c>
      <c r="M1230" s="5">
        <v>459308.32</v>
      </c>
      <c r="N1230" s="5">
        <v>6211626.69</v>
      </c>
      <c r="O1230" t="s" s="2">
        <v>25</v>
      </c>
      <c r="P1230" s="5">
        <v>85112</v>
      </c>
      <c r="Q1230" t="s" s="2">
        <v>2457</v>
      </c>
      <c r="R1230" t="s" s="2">
        <f>_xlfn.IFERROR(INDEX('model_byCAP'!$D$2:$D$377,MATCH(Q1230,'model_byCAP'!$A$2:$A$377,0)),0)</f>
        <v>2444</v>
      </c>
    </row>
    <row r="1231" ht="15.35" customHeight="1">
      <c r="A1231" t="s" s="2">
        <v>2458</v>
      </c>
      <c r="B1231" s="4">
        <v>44182</v>
      </c>
      <c r="C1231" s="5">
        <v>2100</v>
      </c>
      <c r="D1231" s="5">
        <v>82</v>
      </c>
      <c r="E1231" s="5">
        <v>58.7</v>
      </c>
      <c r="F1231" t="s" s="2">
        <v>2459</v>
      </c>
      <c r="G1231" t="s" s="2">
        <v>2460</v>
      </c>
      <c r="H1231" s="5">
        <v>727</v>
      </c>
      <c r="I1231" t="s" s="2">
        <v>2452</v>
      </c>
      <c r="J1231" t="s" s="2">
        <v>22</v>
      </c>
      <c r="K1231" t="s" s="2">
        <v>881</v>
      </c>
      <c r="L1231" t="s" s="2">
        <v>881</v>
      </c>
      <c r="M1231" s="5">
        <v>565816.26</v>
      </c>
      <c r="N1231" s="5">
        <v>6202672.809</v>
      </c>
      <c r="O1231" t="s" s="2">
        <v>25</v>
      </c>
      <c r="P1231" s="6"/>
      <c r="Q1231" t="s" s="2">
        <v>2461</v>
      </c>
      <c r="R1231" t="s" s="2">
        <f>_xlfn.IFERROR(INDEX('model_byCAP'!$D$2:$D$377,MATCH(Q1231,'model_byCAP'!$A$2:$A$377,0)),0)</f>
        <v>2462</v>
      </c>
    </row>
    <row r="1232" ht="15.35" customHeight="1">
      <c r="A1232" t="s" s="2">
        <v>2463</v>
      </c>
      <c r="B1232" s="4">
        <v>36384</v>
      </c>
      <c r="C1232" s="5">
        <v>2000</v>
      </c>
      <c r="D1232" s="5">
        <v>72</v>
      </c>
      <c r="E1232" s="5">
        <v>68</v>
      </c>
      <c r="F1232" t="s" s="2">
        <v>1746</v>
      </c>
      <c r="G1232" t="s" s="2">
        <v>2464</v>
      </c>
      <c r="H1232" s="5">
        <v>316</v>
      </c>
      <c r="I1232" t="s" s="2">
        <v>1769</v>
      </c>
      <c r="J1232" t="s" s="2">
        <v>22</v>
      </c>
      <c r="K1232" t="s" s="2">
        <v>1784</v>
      </c>
      <c r="L1232" t="s" s="2">
        <v>2465</v>
      </c>
      <c r="M1232" s="5">
        <v>661108.0699999999</v>
      </c>
      <c r="N1232" s="5">
        <v>6183057.5</v>
      </c>
      <c r="O1232" t="s" s="2">
        <v>305</v>
      </c>
      <c r="P1232" t="s" s="2">
        <v>2466</v>
      </c>
      <c r="Q1232" t="s" s="2">
        <v>2467</v>
      </c>
      <c r="R1232" t="s" s="2">
        <f>_xlfn.IFERROR(INDEX('model_byCAP'!$D$2:$D$377,MATCH(Q1232,'model_byCAP'!$A$2:$A$377,0)),0)</f>
        <v>2468</v>
      </c>
    </row>
    <row r="1233" ht="15.35" customHeight="1">
      <c r="A1233" t="s" s="2">
        <v>2469</v>
      </c>
      <c r="B1233" s="4">
        <v>36684</v>
      </c>
      <c r="C1233" s="5">
        <v>2000</v>
      </c>
      <c r="D1233" s="5">
        <v>72</v>
      </c>
      <c r="E1233" s="5">
        <v>68</v>
      </c>
      <c r="F1233" t="s" s="2">
        <v>1746</v>
      </c>
      <c r="G1233" t="s" s="2">
        <v>2464</v>
      </c>
      <c r="H1233" s="5">
        <v>316</v>
      </c>
      <c r="I1233" t="s" s="2">
        <v>1769</v>
      </c>
      <c r="J1233" t="s" s="2">
        <v>22</v>
      </c>
      <c r="K1233" t="s" s="2">
        <v>1784</v>
      </c>
      <c r="L1233" t="s" s="2">
        <v>2470</v>
      </c>
      <c r="M1233" s="5">
        <v>661100.91</v>
      </c>
      <c r="N1233" s="5">
        <v>6182857.33</v>
      </c>
      <c r="O1233" t="s" s="2">
        <v>305</v>
      </c>
      <c r="P1233" t="s" s="2">
        <v>2471</v>
      </c>
      <c r="Q1233" t="s" s="2">
        <v>2467</v>
      </c>
      <c r="R1233" t="s" s="2">
        <f>_xlfn.IFERROR(INDEX('model_byCAP'!$D$2:$D$377,MATCH(Q1233,'model_byCAP'!$A$2:$A$377,0)),0)</f>
        <v>2468</v>
      </c>
    </row>
    <row r="1234" ht="15.35" customHeight="1">
      <c r="A1234" t="s" s="2">
        <v>2472</v>
      </c>
      <c r="B1234" s="4">
        <v>36682</v>
      </c>
      <c r="C1234" s="5">
        <v>2000</v>
      </c>
      <c r="D1234" s="5">
        <v>72</v>
      </c>
      <c r="E1234" s="5">
        <v>68</v>
      </c>
      <c r="F1234" t="s" s="2">
        <v>1746</v>
      </c>
      <c r="G1234" t="s" s="2">
        <v>2464</v>
      </c>
      <c r="H1234" s="5">
        <v>316</v>
      </c>
      <c r="I1234" t="s" s="2">
        <v>1769</v>
      </c>
      <c r="J1234" t="s" s="2">
        <v>22</v>
      </c>
      <c r="K1234" t="s" s="2">
        <v>1784</v>
      </c>
      <c r="L1234" t="s" s="2">
        <v>2473</v>
      </c>
      <c r="M1234" s="5">
        <v>661593.09</v>
      </c>
      <c r="N1234" s="5">
        <v>6182639.92</v>
      </c>
      <c r="O1234" t="s" s="2">
        <v>305</v>
      </c>
      <c r="P1234" t="s" s="2">
        <v>2474</v>
      </c>
      <c r="Q1234" t="s" s="2">
        <v>2467</v>
      </c>
      <c r="R1234" t="s" s="2">
        <f>_xlfn.IFERROR(INDEX('model_byCAP'!$D$2:$D$377,MATCH(Q1234,'model_byCAP'!$A$2:$A$377,0)),0)</f>
        <v>2468</v>
      </c>
    </row>
    <row r="1235" ht="15.35" customHeight="1">
      <c r="A1235" t="s" s="2">
        <v>2475</v>
      </c>
      <c r="B1235" s="4">
        <v>36657</v>
      </c>
      <c r="C1235" s="5">
        <v>2000</v>
      </c>
      <c r="D1235" s="5">
        <v>72</v>
      </c>
      <c r="E1235" s="5">
        <v>68</v>
      </c>
      <c r="F1235" t="s" s="2">
        <v>1746</v>
      </c>
      <c r="G1235" t="s" s="2">
        <v>2464</v>
      </c>
      <c r="H1235" s="5">
        <v>316</v>
      </c>
      <c r="I1235" t="s" s="2">
        <v>1769</v>
      </c>
      <c r="J1235" t="s" s="2">
        <v>22</v>
      </c>
      <c r="K1235" t="s" s="2">
        <v>1784</v>
      </c>
      <c r="L1235" t="s" s="2">
        <v>995</v>
      </c>
      <c r="M1235" s="5">
        <v>661093.0600000001</v>
      </c>
      <c r="N1235" s="5">
        <v>6182658.77</v>
      </c>
      <c r="O1235" t="s" s="2">
        <v>305</v>
      </c>
      <c r="P1235" s="5">
        <v>40046865</v>
      </c>
      <c r="Q1235" t="s" s="2">
        <v>2467</v>
      </c>
      <c r="R1235" t="s" s="2">
        <f>_xlfn.IFERROR(INDEX('model_byCAP'!$D$2:$D$377,MATCH(Q1235,'model_byCAP'!$A$2:$A$377,0)),0)</f>
        <v>2468</v>
      </c>
    </row>
    <row r="1236" ht="15.35" customHeight="1">
      <c r="A1236" t="s" s="2">
        <v>2476</v>
      </c>
      <c r="B1236" s="4">
        <v>36658</v>
      </c>
      <c r="C1236" s="5">
        <v>2000</v>
      </c>
      <c r="D1236" s="5">
        <v>72</v>
      </c>
      <c r="E1236" s="5">
        <v>68</v>
      </c>
      <c r="F1236" t="s" s="2">
        <v>1746</v>
      </c>
      <c r="G1236" t="s" s="2">
        <v>2464</v>
      </c>
      <c r="H1236" s="5">
        <v>316</v>
      </c>
      <c r="I1236" t="s" s="2">
        <v>1769</v>
      </c>
      <c r="J1236" t="s" s="2">
        <v>22</v>
      </c>
      <c r="K1236" t="s" s="2">
        <v>1784</v>
      </c>
      <c r="L1236" t="s" s="2">
        <v>2477</v>
      </c>
      <c r="M1236" s="5">
        <v>661606.4</v>
      </c>
      <c r="N1236" s="5">
        <v>6183040.48</v>
      </c>
      <c r="O1236" t="s" s="2">
        <v>305</v>
      </c>
      <c r="P1236" s="5">
        <v>40046874</v>
      </c>
      <c r="Q1236" t="s" s="2">
        <v>2467</v>
      </c>
      <c r="R1236" t="s" s="2">
        <f>_xlfn.IFERROR(INDEX('model_byCAP'!$D$2:$D$377,MATCH(Q1236,'model_byCAP'!$A$2:$A$377,0)),0)</f>
        <v>2468</v>
      </c>
    </row>
    <row r="1237" ht="15.35" customHeight="1">
      <c r="A1237" t="s" s="2">
        <v>2478</v>
      </c>
      <c r="B1237" s="4">
        <v>36658</v>
      </c>
      <c r="C1237" s="5">
        <v>2000</v>
      </c>
      <c r="D1237" s="5">
        <v>72</v>
      </c>
      <c r="E1237" s="5">
        <v>68</v>
      </c>
      <c r="F1237" t="s" s="2">
        <v>1746</v>
      </c>
      <c r="G1237" t="s" s="2">
        <v>2464</v>
      </c>
      <c r="H1237" s="5">
        <v>316</v>
      </c>
      <c r="I1237" t="s" s="2">
        <v>1769</v>
      </c>
      <c r="J1237" t="s" s="2">
        <v>22</v>
      </c>
      <c r="K1237" t="s" s="2">
        <v>1784</v>
      </c>
      <c r="L1237" t="s" s="2">
        <v>2479</v>
      </c>
      <c r="M1237" s="5">
        <v>661599.47</v>
      </c>
      <c r="N1237" s="5">
        <v>6182840.89</v>
      </c>
      <c r="O1237" t="s" s="2">
        <v>305</v>
      </c>
      <c r="P1237" s="5">
        <v>40046883</v>
      </c>
      <c r="Q1237" t="s" s="2">
        <v>2467</v>
      </c>
      <c r="R1237" t="s" s="2">
        <f>_xlfn.IFERROR(INDEX('model_byCAP'!$D$2:$D$377,MATCH(Q1237,'model_byCAP'!$A$2:$A$377,0)),0)</f>
        <v>2468</v>
      </c>
    </row>
    <row r="1238" ht="15.35" customHeight="1">
      <c r="A1238" t="s" s="2">
        <v>2480</v>
      </c>
      <c r="B1238" s="4">
        <v>42503</v>
      </c>
      <c r="C1238" s="5">
        <v>2000</v>
      </c>
      <c r="D1238" s="5">
        <v>100</v>
      </c>
      <c r="E1238" s="5">
        <v>80</v>
      </c>
      <c r="F1238" t="s" s="2">
        <v>301</v>
      </c>
      <c r="G1238" t="s" s="2">
        <v>2398</v>
      </c>
      <c r="H1238" s="5">
        <v>326</v>
      </c>
      <c r="I1238" t="s" s="2">
        <v>1263</v>
      </c>
      <c r="J1238" t="s" s="2">
        <v>22</v>
      </c>
      <c r="K1238" t="s" s="2">
        <v>2481</v>
      </c>
      <c r="L1238" t="s" s="2">
        <v>481</v>
      </c>
      <c r="M1238" s="5">
        <v>643042</v>
      </c>
      <c r="N1238" s="5">
        <v>6172733</v>
      </c>
      <c r="O1238" t="s" s="2">
        <v>305</v>
      </c>
      <c r="P1238" s="5">
        <v>60747761</v>
      </c>
      <c r="Q1238" t="s" s="2">
        <v>2401</v>
      </c>
      <c r="R1238" t="s" s="2">
        <f>_xlfn.IFERROR(INDEX('model_byCAP'!$D$2:$D$377,MATCH(Q1238,'model_byCAP'!$A$2:$A$377,0)),0)</f>
        <v>2402</v>
      </c>
    </row>
    <row r="1239" ht="15.35" customHeight="1">
      <c r="A1239" t="s" s="2">
        <v>2482</v>
      </c>
      <c r="B1239" s="4">
        <v>42499</v>
      </c>
      <c r="C1239" s="5">
        <v>2000</v>
      </c>
      <c r="D1239" s="5">
        <v>100</v>
      </c>
      <c r="E1239" s="5">
        <v>80</v>
      </c>
      <c r="F1239" t="s" s="2">
        <v>301</v>
      </c>
      <c r="G1239" t="s" s="2">
        <v>2398</v>
      </c>
      <c r="H1239" s="5">
        <v>326</v>
      </c>
      <c r="I1239" t="s" s="2">
        <v>1263</v>
      </c>
      <c r="J1239" t="s" s="2">
        <v>22</v>
      </c>
      <c r="K1239" t="s" s="2">
        <v>2481</v>
      </c>
      <c r="L1239" t="s" s="2">
        <v>481</v>
      </c>
      <c r="M1239" s="5">
        <v>643022</v>
      </c>
      <c r="N1239" s="5">
        <v>6172413</v>
      </c>
      <c r="O1239" t="s" s="2">
        <v>305</v>
      </c>
      <c r="P1239" s="5">
        <v>60747767</v>
      </c>
      <c r="Q1239" t="s" s="2">
        <v>2401</v>
      </c>
      <c r="R1239" t="s" s="2">
        <f>_xlfn.IFERROR(INDEX('model_byCAP'!$D$2:$D$377,MATCH(Q1239,'model_byCAP'!$A$2:$A$377,0)),0)</f>
        <v>2402</v>
      </c>
    </row>
    <row r="1240" ht="15.35" customHeight="1">
      <c r="A1240" t="s" s="2">
        <v>2483</v>
      </c>
      <c r="B1240" s="4">
        <v>42499</v>
      </c>
      <c r="C1240" s="5">
        <v>2000</v>
      </c>
      <c r="D1240" s="5">
        <v>100</v>
      </c>
      <c r="E1240" s="5">
        <v>80</v>
      </c>
      <c r="F1240" t="s" s="2">
        <v>301</v>
      </c>
      <c r="G1240" t="s" s="2">
        <v>2398</v>
      </c>
      <c r="H1240" s="5">
        <v>326</v>
      </c>
      <c r="I1240" t="s" s="2">
        <v>1263</v>
      </c>
      <c r="J1240" t="s" s="2">
        <v>22</v>
      </c>
      <c r="K1240" t="s" s="2">
        <v>2481</v>
      </c>
      <c r="L1240" s="5">
        <v>3</v>
      </c>
      <c r="M1240" s="5">
        <v>643002</v>
      </c>
      <c r="N1240" s="5">
        <v>6172093</v>
      </c>
      <c r="O1240" t="s" s="2">
        <v>305</v>
      </c>
      <c r="P1240" s="5">
        <v>60747769</v>
      </c>
      <c r="Q1240" t="s" s="2">
        <v>2401</v>
      </c>
      <c r="R1240" t="s" s="2">
        <f>_xlfn.IFERROR(INDEX('model_byCAP'!$D$2:$D$377,MATCH(Q1240,'model_byCAP'!$A$2:$A$377,0)),0)</f>
        <v>2402</v>
      </c>
    </row>
    <row r="1241" ht="15.35" customHeight="1">
      <c r="A1241" t="s" s="2">
        <v>2484</v>
      </c>
      <c r="B1241" s="4">
        <v>38817</v>
      </c>
      <c r="C1241" s="5">
        <v>2000</v>
      </c>
      <c r="D1241" s="5">
        <v>80</v>
      </c>
      <c r="E1241" s="5">
        <v>60</v>
      </c>
      <c r="F1241" t="s" s="2">
        <v>301</v>
      </c>
      <c r="G1241" t="s" s="2">
        <v>2485</v>
      </c>
      <c r="H1241" s="5">
        <v>400</v>
      </c>
      <c r="I1241" t="s" s="2">
        <v>2068</v>
      </c>
      <c r="J1241" t="s" s="2">
        <v>22</v>
      </c>
      <c r="K1241" t="s" s="2">
        <v>2486</v>
      </c>
      <c r="L1241" t="s" s="2">
        <v>2487</v>
      </c>
      <c r="M1241" s="5">
        <v>875777.27</v>
      </c>
      <c r="N1241" s="5">
        <v>6117959.48</v>
      </c>
      <c r="O1241" t="s" s="2">
        <v>305</v>
      </c>
      <c r="P1241" t="s" s="2">
        <v>2488</v>
      </c>
      <c r="Q1241" t="s" s="2">
        <v>2489</v>
      </c>
      <c r="R1241" t="s" s="2">
        <f>_xlfn.IFERROR(INDEX('model_byCAP'!$D$2:$D$377,MATCH(Q1241,'model_byCAP'!$A$2:$A$377,0)),0)</f>
        <v>2490</v>
      </c>
    </row>
    <row r="1242" ht="15.35" customHeight="1">
      <c r="A1242" t="s" s="2">
        <v>2491</v>
      </c>
      <c r="B1242" s="4">
        <v>38817</v>
      </c>
      <c r="C1242" s="5">
        <v>2000</v>
      </c>
      <c r="D1242" s="5">
        <v>80</v>
      </c>
      <c r="E1242" s="5">
        <v>60</v>
      </c>
      <c r="F1242" t="s" s="2">
        <v>301</v>
      </c>
      <c r="G1242" t="s" s="2">
        <v>2485</v>
      </c>
      <c r="H1242" s="5">
        <v>400</v>
      </c>
      <c r="I1242" t="s" s="2">
        <v>2068</v>
      </c>
      <c r="J1242" t="s" s="2">
        <v>22</v>
      </c>
      <c r="K1242" t="s" s="2">
        <v>2486</v>
      </c>
      <c r="L1242" t="s" s="2">
        <v>2492</v>
      </c>
      <c r="M1242" s="5">
        <v>875855.83</v>
      </c>
      <c r="N1242" s="5">
        <v>6118196.63</v>
      </c>
      <c r="O1242" t="s" s="2">
        <v>305</v>
      </c>
      <c r="P1242" t="s" s="2">
        <v>2493</v>
      </c>
      <c r="Q1242" t="s" s="2">
        <v>2489</v>
      </c>
      <c r="R1242" t="s" s="2">
        <f>_xlfn.IFERROR(INDEX('model_byCAP'!$D$2:$D$377,MATCH(Q1242,'model_byCAP'!$A$2:$A$377,0)),0)</f>
        <v>2490</v>
      </c>
    </row>
    <row r="1243" ht="15.35" customHeight="1">
      <c r="A1243" t="s" s="2">
        <v>2494</v>
      </c>
      <c r="B1243" s="4">
        <v>38817</v>
      </c>
      <c r="C1243" s="5">
        <v>2000</v>
      </c>
      <c r="D1243" s="5">
        <v>80</v>
      </c>
      <c r="E1243" s="5">
        <v>60</v>
      </c>
      <c r="F1243" t="s" s="2">
        <v>301</v>
      </c>
      <c r="G1243" t="s" s="2">
        <v>2485</v>
      </c>
      <c r="H1243" s="5">
        <v>400</v>
      </c>
      <c r="I1243" t="s" s="2">
        <v>2068</v>
      </c>
      <c r="J1243" t="s" s="2">
        <v>22</v>
      </c>
      <c r="K1243" t="s" s="2">
        <v>2486</v>
      </c>
      <c r="L1243" t="s" s="2">
        <v>917</v>
      </c>
      <c r="M1243" s="5">
        <v>875934.3199999999</v>
      </c>
      <c r="N1243" s="5">
        <v>6118434.49</v>
      </c>
      <c r="O1243" t="s" s="2">
        <v>305</v>
      </c>
      <c r="P1243" t="s" s="2">
        <v>2495</v>
      </c>
      <c r="Q1243" t="s" s="2">
        <v>2489</v>
      </c>
      <c r="R1243" t="s" s="2">
        <f>_xlfn.IFERROR(INDEX('model_byCAP'!$D$2:$D$377,MATCH(Q1243,'model_byCAP'!$A$2:$A$377,0)),0)</f>
        <v>2490</v>
      </c>
    </row>
    <row r="1244" ht="15.35" customHeight="1">
      <c r="A1244" t="s" s="2">
        <v>2496</v>
      </c>
      <c r="B1244" s="4">
        <v>37595</v>
      </c>
      <c r="C1244" s="5">
        <v>2000</v>
      </c>
      <c r="D1244" s="5">
        <v>80</v>
      </c>
      <c r="E1244" s="5">
        <v>60</v>
      </c>
      <c r="F1244" t="s" s="2">
        <v>301</v>
      </c>
      <c r="G1244" t="s" s="2">
        <v>2497</v>
      </c>
      <c r="H1244" s="5">
        <v>492</v>
      </c>
      <c r="I1244" t="s" s="2">
        <v>2498</v>
      </c>
      <c r="J1244" t="s" s="2">
        <v>22</v>
      </c>
      <c r="K1244" t="s" s="2">
        <v>2499</v>
      </c>
      <c r="L1244" t="s" s="2">
        <v>2500</v>
      </c>
      <c r="M1244" s="5">
        <v>589425.55</v>
      </c>
      <c r="N1244" s="5">
        <v>6076946.01</v>
      </c>
      <c r="O1244" t="s" s="2">
        <v>25</v>
      </c>
      <c r="P1244" t="s" s="2">
        <v>2501</v>
      </c>
      <c r="Q1244" t="s" s="2">
        <v>2502</v>
      </c>
      <c r="R1244" t="s" s="2">
        <f>_xlfn.IFERROR(INDEX('model_byCAP'!$D$2:$D$377,MATCH(Q1244,'model_byCAP'!$A$2:$A$377,0)),0)</f>
        <v>2490</v>
      </c>
    </row>
    <row r="1245" ht="15.35" customHeight="1">
      <c r="A1245" t="s" s="2">
        <v>2503</v>
      </c>
      <c r="B1245" s="4">
        <v>37595</v>
      </c>
      <c r="C1245" s="5">
        <v>2000</v>
      </c>
      <c r="D1245" s="5">
        <v>80</v>
      </c>
      <c r="E1245" s="5">
        <v>60</v>
      </c>
      <c r="F1245" t="s" s="2">
        <v>301</v>
      </c>
      <c r="G1245" t="s" s="2">
        <v>2497</v>
      </c>
      <c r="H1245" s="5">
        <v>492</v>
      </c>
      <c r="I1245" t="s" s="2">
        <v>2498</v>
      </c>
      <c r="J1245" t="s" s="2">
        <v>22</v>
      </c>
      <c r="K1245" t="s" s="2">
        <v>2499</v>
      </c>
      <c r="L1245" t="s" s="2">
        <v>2504</v>
      </c>
      <c r="M1245" s="5">
        <v>589773.05</v>
      </c>
      <c r="N1245" s="5">
        <v>6076762.69</v>
      </c>
      <c r="O1245" t="s" s="2">
        <v>305</v>
      </c>
      <c r="P1245" t="s" s="2">
        <v>2505</v>
      </c>
      <c r="Q1245" t="s" s="2">
        <v>2502</v>
      </c>
      <c r="R1245" t="s" s="2">
        <f>_xlfn.IFERROR(INDEX('model_byCAP'!$D$2:$D$377,MATCH(Q1245,'model_byCAP'!$A$2:$A$377,0)),0)</f>
        <v>2490</v>
      </c>
    </row>
    <row r="1246" ht="15.35" customHeight="1">
      <c r="A1246" t="s" s="2">
        <v>2506</v>
      </c>
      <c r="B1246" s="4">
        <v>37595</v>
      </c>
      <c r="C1246" s="5">
        <v>2000</v>
      </c>
      <c r="D1246" s="5">
        <v>80</v>
      </c>
      <c r="E1246" s="5">
        <v>60</v>
      </c>
      <c r="F1246" t="s" s="2">
        <v>301</v>
      </c>
      <c r="G1246" t="s" s="2">
        <v>2497</v>
      </c>
      <c r="H1246" s="5">
        <v>492</v>
      </c>
      <c r="I1246" t="s" s="2">
        <v>2498</v>
      </c>
      <c r="J1246" t="s" s="2">
        <v>22</v>
      </c>
      <c r="K1246" t="s" s="2">
        <v>2499</v>
      </c>
      <c r="L1246" t="s" s="2">
        <v>2507</v>
      </c>
      <c r="M1246" s="5">
        <v>590118.25</v>
      </c>
      <c r="N1246" s="5">
        <v>6076574.36</v>
      </c>
      <c r="O1246" t="s" s="2">
        <v>305</v>
      </c>
      <c r="P1246" t="s" s="2">
        <v>2508</v>
      </c>
      <c r="Q1246" t="s" s="2">
        <v>2502</v>
      </c>
      <c r="R1246" t="s" s="2">
        <f>_xlfn.IFERROR(INDEX('model_byCAP'!$D$2:$D$377,MATCH(Q1246,'model_byCAP'!$A$2:$A$377,0)),0)</f>
        <v>2490</v>
      </c>
    </row>
    <row r="1247" ht="15.35" customHeight="1">
      <c r="A1247" t="s" s="2">
        <v>2509</v>
      </c>
      <c r="B1247" s="4">
        <v>40849</v>
      </c>
      <c r="C1247" s="5">
        <v>2000</v>
      </c>
      <c r="D1247" s="5">
        <v>80</v>
      </c>
      <c r="E1247" s="5">
        <v>60</v>
      </c>
      <c r="F1247" t="s" s="2">
        <v>301</v>
      </c>
      <c r="G1247" t="s" s="2">
        <v>2497</v>
      </c>
      <c r="H1247" s="5">
        <v>492</v>
      </c>
      <c r="I1247" t="s" s="2">
        <v>2498</v>
      </c>
      <c r="J1247" t="s" s="2">
        <v>22</v>
      </c>
      <c r="K1247" t="s" s="2">
        <v>2510</v>
      </c>
      <c r="L1247" t="s" s="2">
        <v>850</v>
      </c>
      <c r="M1247" s="5">
        <v>590758.5699999999</v>
      </c>
      <c r="N1247" s="5">
        <v>6075909.15</v>
      </c>
      <c r="O1247" t="s" s="2">
        <v>305</v>
      </c>
      <c r="P1247" s="5">
        <v>5671</v>
      </c>
      <c r="Q1247" t="s" s="2">
        <v>2502</v>
      </c>
      <c r="R1247" t="s" s="2">
        <f>_xlfn.IFERROR(INDEX('model_byCAP'!$D$2:$D$377,MATCH(Q1247,'model_byCAP'!$A$2:$A$377,0)),0)</f>
        <v>2490</v>
      </c>
    </row>
    <row r="1248" ht="15.35" customHeight="1">
      <c r="A1248" t="s" s="2">
        <v>2511</v>
      </c>
      <c r="B1248" s="4">
        <v>40849</v>
      </c>
      <c r="C1248" s="5">
        <v>2000</v>
      </c>
      <c r="D1248" s="5">
        <v>80</v>
      </c>
      <c r="E1248" s="5">
        <v>60</v>
      </c>
      <c r="F1248" t="s" s="2">
        <v>301</v>
      </c>
      <c r="G1248" t="s" s="2">
        <v>2497</v>
      </c>
      <c r="H1248" s="5">
        <v>492</v>
      </c>
      <c r="I1248" t="s" s="2">
        <v>2498</v>
      </c>
      <c r="J1248" t="s" s="2">
        <v>22</v>
      </c>
      <c r="K1248" t="s" s="2">
        <v>2510</v>
      </c>
      <c r="L1248" t="s" s="2">
        <v>1196</v>
      </c>
      <c r="M1248" s="5">
        <v>591043.47</v>
      </c>
      <c r="N1248" s="5">
        <v>6075679.18</v>
      </c>
      <c r="O1248" t="s" s="2">
        <v>305</v>
      </c>
      <c r="P1248" s="5">
        <v>5672</v>
      </c>
      <c r="Q1248" t="s" s="2">
        <v>2502</v>
      </c>
      <c r="R1248" t="s" s="2">
        <f>_xlfn.IFERROR(INDEX('model_byCAP'!$D$2:$D$377,MATCH(Q1248,'model_byCAP'!$A$2:$A$377,0)),0)</f>
        <v>2490</v>
      </c>
    </row>
    <row r="1249" ht="15.35" customHeight="1">
      <c r="A1249" t="s" s="2">
        <v>2512</v>
      </c>
      <c r="B1249" s="4">
        <v>40850</v>
      </c>
      <c r="C1249" s="5">
        <v>2000</v>
      </c>
      <c r="D1249" s="5">
        <v>80</v>
      </c>
      <c r="E1249" s="5">
        <v>60</v>
      </c>
      <c r="F1249" t="s" s="2">
        <v>301</v>
      </c>
      <c r="G1249" t="s" s="2">
        <v>2497</v>
      </c>
      <c r="H1249" s="5">
        <v>492</v>
      </c>
      <c r="I1249" t="s" s="2">
        <v>2498</v>
      </c>
      <c r="J1249" t="s" s="2">
        <v>22</v>
      </c>
      <c r="K1249" t="s" s="2">
        <v>2510</v>
      </c>
      <c r="L1249" t="s" s="2">
        <v>481</v>
      </c>
      <c r="M1249" s="5">
        <v>591328.79</v>
      </c>
      <c r="N1249" s="5">
        <v>6075449.47</v>
      </c>
      <c r="O1249" t="s" s="2">
        <v>305</v>
      </c>
      <c r="P1249" s="5">
        <v>5673</v>
      </c>
      <c r="Q1249" t="s" s="2">
        <v>2502</v>
      </c>
      <c r="R1249" t="s" s="2">
        <f>_xlfn.IFERROR(INDEX('model_byCAP'!$D$2:$D$377,MATCH(Q1249,'model_byCAP'!$A$2:$A$377,0)),0)</f>
        <v>2490</v>
      </c>
    </row>
    <row r="1250" ht="15.35" customHeight="1">
      <c r="A1250" t="s" s="2">
        <v>2513</v>
      </c>
      <c r="B1250" s="4">
        <v>41478</v>
      </c>
      <c r="C1250" s="5">
        <v>2000</v>
      </c>
      <c r="D1250" s="5">
        <v>80</v>
      </c>
      <c r="E1250" s="5">
        <v>78</v>
      </c>
      <c r="F1250" t="s" s="2">
        <v>301</v>
      </c>
      <c r="G1250" t="s" s="2">
        <v>2514</v>
      </c>
      <c r="H1250" s="5">
        <v>530</v>
      </c>
      <c r="I1250" t="s" s="2">
        <v>1357</v>
      </c>
      <c r="J1250" t="s" s="2">
        <v>22</v>
      </c>
      <c r="K1250" t="s" s="2">
        <v>2515</v>
      </c>
      <c r="L1250" t="s" s="2">
        <v>198</v>
      </c>
      <c r="M1250" s="5">
        <v>503494.09</v>
      </c>
      <c r="N1250" s="5">
        <v>6172288.44</v>
      </c>
      <c r="O1250" t="s" s="2">
        <v>305</v>
      </c>
      <c r="P1250" s="5">
        <v>344239221</v>
      </c>
      <c r="Q1250" t="s" s="2">
        <v>2516</v>
      </c>
      <c r="R1250" t="s" s="2">
        <f>_xlfn.IFERROR(INDEX('model_byCAP'!$D$2:$D$377,MATCH(Q1250,'model_byCAP'!$A$2:$A$377,0)),0)</f>
        <v>2490</v>
      </c>
    </row>
    <row r="1251" ht="15.35" customHeight="1">
      <c r="A1251" t="s" s="2">
        <v>2517</v>
      </c>
      <c r="B1251" s="4">
        <v>41480</v>
      </c>
      <c r="C1251" s="5">
        <v>2000</v>
      </c>
      <c r="D1251" s="5">
        <v>80</v>
      </c>
      <c r="E1251" s="5">
        <v>78</v>
      </c>
      <c r="F1251" t="s" s="2">
        <v>301</v>
      </c>
      <c r="G1251" t="s" s="2">
        <v>2514</v>
      </c>
      <c r="H1251" s="5">
        <v>530</v>
      </c>
      <c r="I1251" t="s" s="2">
        <v>1357</v>
      </c>
      <c r="J1251" t="s" s="2">
        <v>22</v>
      </c>
      <c r="K1251" t="s" s="2">
        <v>2515</v>
      </c>
      <c r="L1251" t="s" s="2">
        <v>198</v>
      </c>
      <c r="M1251" s="5">
        <v>503349.4</v>
      </c>
      <c r="N1251" s="5">
        <v>6172483.9</v>
      </c>
      <c r="O1251" t="s" s="2">
        <v>305</v>
      </c>
      <c r="P1251" s="5">
        <v>344239222</v>
      </c>
      <c r="Q1251" t="s" s="2">
        <v>2516</v>
      </c>
      <c r="R1251" t="s" s="2">
        <f>_xlfn.IFERROR(INDEX('model_byCAP'!$D$2:$D$377,MATCH(Q1251,'model_byCAP'!$A$2:$A$377,0)),0)</f>
        <v>2490</v>
      </c>
    </row>
    <row r="1252" ht="15.35" customHeight="1">
      <c r="A1252" t="s" s="2">
        <v>2518</v>
      </c>
      <c r="B1252" s="4">
        <v>41478</v>
      </c>
      <c r="C1252" s="5">
        <v>2000</v>
      </c>
      <c r="D1252" s="5">
        <v>80</v>
      </c>
      <c r="E1252" s="5">
        <v>78</v>
      </c>
      <c r="F1252" t="s" s="2">
        <v>301</v>
      </c>
      <c r="G1252" t="s" s="2">
        <v>2514</v>
      </c>
      <c r="H1252" s="5">
        <v>530</v>
      </c>
      <c r="I1252" t="s" s="2">
        <v>1357</v>
      </c>
      <c r="J1252" t="s" s="2">
        <v>22</v>
      </c>
      <c r="K1252" t="s" s="2">
        <v>2519</v>
      </c>
      <c r="L1252" t="s" s="2">
        <v>2078</v>
      </c>
      <c r="M1252" s="5">
        <v>503200.14</v>
      </c>
      <c r="N1252" s="5">
        <v>6172680.17</v>
      </c>
      <c r="O1252" t="s" s="2">
        <v>305</v>
      </c>
      <c r="P1252" s="5">
        <v>344239226</v>
      </c>
      <c r="Q1252" t="s" s="2">
        <v>2516</v>
      </c>
      <c r="R1252" t="s" s="2">
        <f>_xlfn.IFERROR(INDEX('model_byCAP'!$D$2:$D$377,MATCH(Q1252,'model_byCAP'!$A$2:$A$377,0)),0)</f>
        <v>2490</v>
      </c>
    </row>
    <row r="1253" ht="15.35" customHeight="1">
      <c r="A1253" t="s" s="2">
        <v>2520</v>
      </c>
      <c r="B1253" s="4">
        <v>35125</v>
      </c>
      <c r="C1253" s="5">
        <v>2000</v>
      </c>
      <c r="D1253" s="5">
        <v>80</v>
      </c>
      <c r="E1253" s="5">
        <v>60</v>
      </c>
      <c r="F1253" t="s" s="2">
        <v>301</v>
      </c>
      <c r="G1253" t="s" s="2">
        <v>2485</v>
      </c>
      <c r="H1253" s="5">
        <v>561</v>
      </c>
      <c r="I1253" t="s" s="2">
        <v>196</v>
      </c>
      <c r="J1253" t="s" s="2">
        <v>22</v>
      </c>
      <c r="K1253" t="s" s="2">
        <v>1764</v>
      </c>
      <c r="L1253" t="s" s="2">
        <v>2521</v>
      </c>
      <c r="M1253" s="5">
        <v>474626.77</v>
      </c>
      <c r="N1253" s="5">
        <v>6144623.34</v>
      </c>
      <c r="O1253" t="s" s="2">
        <v>305</v>
      </c>
      <c r="P1253" t="s" s="2">
        <v>2522</v>
      </c>
      <c r="Q1253" t="s" s="2">
        <v>2489</v>
      </c>
      <c r="R1253" t="s" s="2">
        <f>_xlfn.IFERROR(INDEX('model_byCAP'!$D$2:$D$377,MATCH(Q1253,'model_byCAP'!$A$2:$A$377,0)),0)</f>
        <v>2490</v>
      </c>
    </row>
    <row r="1254" ht="15.35" customHeight="1">
      <c r="A1254" t="s" s="2">
        <v>2523</v>
      </c>
      <c r="B1254" s="4">
        <v>37252</v>
      </c>
      <c r="C1254" s="5">
        <v>2000</v>
      </c>
      <c r="D1254" s="5">
        <v>80</v>
      </c>
      <c r="E1254" s="5">
        <v>60</v>
      </c>
      <c r="F1254" t="s" s="2">
        <v>301</v>
      </c>
      <c r="G1254" t="s" s="2">
        <v>2485</v>
      </c>
      <c r="H1254" s="5">
        <v>561</v>
      </c>
      <c r="I1254" t="s" s="2">
        <v>196</v>
      </c>
      <c r="J1254" t="s" s="2">
        <v>22</v>
      </c>
      <c r="K1254" t="s" s="2">
        <v>1764</v>
      </c>
      <c r="L1254" t="s" s="2">
        <v>338</v>
      </c>
      <c r="M1254" s="5">
        <v>474300.26</v>
      </c>
      <c r="N1254" s="5">
        <v>6144747.58</v>
      </c>
      <c r="O1254" t="s" s="2">
        <v>305</v>
      </c>
      <c r="P1254" s="5">
        <v>344225524</v>
      </c>
      <c r="Q1254" t="s" s="2">
        <v>2489</v>
      </c>
      <c r="R1254" t="s" s="2">
        <f>_xlfn.IFERROR(INDEX('model_byCAP'!$D$2:$D$377,MATCH(Q1254,'model_byCAP'!$A$2:$A$377,0)),0)</f>
        <v>2490</v>
      </c>
    </row>
    <row r="1255" ht="15.35" customHeight="1">
      <c r="A1255" t="s" s="2">
        <v>2524</v>
      </c>
      <c r="B1255" s="4">
        <v>37503</v>
      </c>
      <c r="C1255" s="5">
        <v>2000</v>
      </c>
      <c r="D1255" s="5">
        <v>80</v>
      </c>
      <c r="E1255" s="5">
        <v>70</v>
      </c>
      <c r="F1255" t="s" s="2">
        <v>301</v>
      </c>
      <c r="G1255" t="s" s="2">
        <v>2525</v>
      </c>
      <c r="H1255" s="5">
        <v>561</v>
      </c>
      <c r="I1255" t="s" s="2">
        <v>196</v>
      </c>
      <c r="J1255" t="s" s="2">
        <v>47</v>
      </c>
      <c r="K1255" t="s" s="2">
        <v>202</v>
      </c>
      <c r="L1255" t="s" s="2">
        <v>618</v>
      </c>
      <c r="M1255" s="5">
        <v>423974</v>
      </c>
      <c r="N1255" s="5">
        <v>6151447</v>
      </c>
      <c r="O1255" t="s" s="2">
        <v>1492</v>
      </c>
      <c r="P1255" t="s" s="2">
        <v>2526</v>
      </c>
      <c r="Q1255" t="s" s="2">
        <v>2527</v>
      </c>
      <c r="R1255" t="s" s="2">
        <f>_xlfn.IFERROR(INDEX('model_byCAP'!$D$2:$D$377,MATCH(Q1255,'model_byCAP'!$A$2:$A$377,0)),0)</f>
        <v>2490</v>
      </c>
    </row>
    <row r="1256" ht="15.35" customHeight="1">
      <c r="A1256" t="s" s="2">
        <v>2528</v>
      </c>
      <c r="B1256" s="4">
        <v>37510</v>
      </c>
      <c r="C1256" s="5">
        <v>2000</v>
      </c>
      <c r="D1256" s="5">
        <v>80</v>
      </c>
      <c r="E1256" s="5">
        <v>70</v>
      </c>
      <c r="F1256" t="s" s="2">
        <v>301</v>
      </c>
      <c r="G1256" t="s" s="2">
        <v>2525</v>
      </c>
      <c r="H1256" s="5">
        <v>561</v>
      </c>
      <c r="I1256" t="s" s="2">
        <v>196</v>
      </c>
      <c r="J1256" t="s" s="2">
        <v>47</v>
      </c>
      <c r="K1256" t="s" s="2">
        <v>202</v>
      </c>
      <c r="L1256" t="s" s="2">
        <v>618</v>
      </c>
      <c r="M1256" s="5">
        <v>424042</v>
      </c>
      <c r="N1256" s="5">
        <v>6150891</v>
      </c>
      <c r="O1256" t="s" s="2">
        <v>1492</v>
      </c>
      <c r="P1256" t="s" s="2">
        <v>2529</v>
      </c>
      <c r="Q1256" t="s" s="2">
        <v>2527</v>
      </c>
      <c r="R1256" t="s" s="2">
        <f>_xlfn.IFERROR(INDEX('model_byCAP'!$D$2:$D$377,MATCH(Q1256,'model_byCAP'!$A$2:$A$377,0)),0)</f>
        <v>2490</v>
      </c>
    </row>
    <row r="1257" ht="15.35" customHeight="1">
      <c r="A1257" t="s" s="2">
        <v>2530</v>
      </c>
      <c r="B1257" s="4">
        <v>37600</v>
      </c>
      <c r="C1257" s="5">
        <v>2000</v>
      </c>
      <c r="D1257" s="5">
        <v>80</v>
      </c>
      <c r="E1257" s="5">
        <v>70</v>
      </c>
      <c r="F1257" t="s" s="2">
        <v>301</v>
      </c>
      <c r="G1257" t="s" s="2">
        <v>2525</v>
      </c>
      <c r="H1257" s="5">
        <v>561</v>
      </c>
      <c r="I1257" t="s" s="2">
        <v>196</v>
      </c>
      <c r="J1257" t="s" s="2">
        <v>47</v>
      </c>
      <c r="K1257" t="s" s="2">
        <v>202</v>
      </c>
      <c r="L1257" t="s" s="2">
        <v>618</v>
      </c>
      <c r="M1257" s="5">
        <v>424111</v>
      </c>
      <c r="N1257" s="5">
        <v>6150335</v>
      </c>
      <c r="O1257" t="s" s="2">
        <v>1492</v>
      </c>
      <c r="P1257" t="s" s="2">
        <v>2531</v>
      </c>
      <c r="Q1257" t="s" s="2">
        <v>2527</v>
      </c>
      <c r="R1257" t="s" s="2">
        <f>_xlfn.IFERROR(INDEX('model_byCAP'!$D$2:$D$377,MATCH(Q1257,'model_byCAP'!$A$2:$A$377,0)),0)</f>
        <v>2490</v>
      </c>
    </row>
    <row r="1258" ht="15.35" customHeight="1">
      <c r="A1258" t="s" s="2">
        <v>2532</v>
      </c>
      <c r="B1258" s="4">
        <v>37576</v>
      </c>
      <c r="C1258" s="5">
        <v>2000</v>
      </c>
      <c r="D1258" s="5">
        <v>80</v>
      </c>
      <c r="E1258" s="5">
        <v>70</v>
      </c>
      <c r="F1258" t="s" s="2">
        <v>301</v>
      </c>
      <c r="G1258" t="s" s="2">
        <v>2525</v>
      </c>
      <c r="H1258" s="5">
        <v>561</v>
      </c>
      <c r="I1258" t="s" s="2">
        <v>196</v>
      </c>
      <c r="J1258" t="s" s="2">
        <v>47</v>
      </c>
      <c r="K1258" t="s" s="2">
        <v>202</v>
      </c>
      <c r="L1258" t="s" s="2">
        <v>618</v>
      </c>
      <c r="M1258" s="5">
        <v>424179</v>
      </c>
      <c r="N1258" s="5">
        <v>6149780</v>
      </c>
      <c r="O1258" t="s" s="2">
        <v>1492</v>
      </c>
      <c r="P1258" t="s" s="2">
        <v>2533</v>
      </c>
      <c r="Q1258" t="s" s="2">
        <v>2527</v>
      </c>
      <c r="R1258" t="s" s="2">
        <f>_xlfn.IFERROR(INDEX('model_byCAP'!$D$2:$D$377,MATCH(Q1258,'model_byCAP'!$A$2:$A$377,0)),0)</f>
        <v>2490</v>
      </c>
    </row>
    <row r="1259" ht="15.35" customHeight="1">
      <c r="A1259" t="s" s="2">
        <v>2534</v>
      </c>
      <c r="B1259" s="4">
        <v>37518</v>
      </c>
      <c r="C1259" s="5">
        <v>2000</v>
      </c>
      <c r="D1259" s="5">
        <v>80</v>
      </c>
      <c r="E1259" s="5">
        <v>70</v>
      </c>
      <c r="F1259" t="s" s="2">
        <v>301</v>
      </c>
      <c r="G1259" t="s" s="2">
        <v>2525</v>
      </c>
      <c r="H1259" s="5">
        <v>561</v>
      </c>
      <c r="I1259" t="s" s="2">
        <v>196</v>
      </c>
      <c r="J1259" t="s" s="2">
        <v>47</v>
      </c>
      <c r="K1259" t="s" s="2">
        <v>202</v>
      </c>
      <c r="L1259" t="s" s="2">
        <v>618</v>
      </c>
      <c r="M1259" s="5">
        <v>424247</v>
      </c>
      <c r="N1259" s="5">
        <v>6149224</v>
      </c>
      <c r="O1259" t="s" s="2">
        <v>1492</v>
      </c>
      <c r="P1259" t="s" s="2">
        <v>2535</v>
      </c>
      <c r="Q1259" t="s" s="2">
        <v>2527</v>
      </c>
      <c r="R1259" t="s" s="2">
        <f>_xlfn.IFERROR(INDEX('model_byCAP'!$D$2:$D$377,MATCH(Q1259,'model_byCAP'!$A$2:$A$377,0)),0)</f>
        <v>2490</v>
      </c>
    </row>
    <row r="1260" ht="15.35" customHeight="1">
      <c r="A1260" t="s" s="2">
        <v>2536</v>
      </c>
      <c r="B1260" s="4">
        <v>37507</v>
      </c>
      <c r="C1260" s="5">
        <v>2000</v>
      </c>
      <c r="D1260" s="5">
        <v>80</v>
      </c>
      <c r="E1260" s="5">
        <v>70</v>
      </c>
      <c r="F1260" t="s" s="2">
        <v>301</v>
      </c>
      <c r="G1260" t="s" s="2">
        <v>2525</v>
      </c>
      <c r="H1260" s="5">
        <v>561</v>
      </c>
      <c r="I1260" t="s" s="2">
        <v>196</v>
      </c>
      <c r="J1260" t="s" s="2">
        <v>47</v>
      </c>
      <c r="K1260" t="s" s="2">
        <v>202</v>
      </c>
      <c r="L1260" t="s" s="2">
        <v>618</v>
      </c>
      <c r="M1260" s="5">
        <v>424315</v>
      </c>
      <c r="N1260" s="5">
        <v>6148668</v>
      </c>
      <c r="O1260" t="s" s="2">
        <v>1492</v>
      </c>
      <c r="P1260" t="s" s="2">
        <v>2537</v>
      </c>
      <c r="Q1260" t="s" s="2">
        <v>2527</v>
      </c>
      <c r="R1260" t="s" s="2">
        <f>_xlfn.IFERROR(INDEX('model_byCAP'!$D$2:$D$377,MATCH(Q1260,'model_byCAP'!$A$2:$A$377,0)),0)</f>
        <v>2490</v>
      </c>
    </row>
    <row r="1261" ht="15.35" customHeight="1">
      <c r="A1261" t="s" s="2">
        <v>2538</v>
      </c>
      <c r="B1261" s="4">
        <v>37523</v>
      </c>
      <c r="C1261" s="5">
        <v>2000</v>
      </c>
      <c r="D1261" s="5">
        <v>80</v>
      </c>
      <c r="E1261" s="5">
        <v>70</v>
      </c>
      <c r="F1261" t="s" s="2">
        <v>301</v>
      </c>
      <c r="G1261" t="s" s="2">
        <v>2525</v>
      </c>
      <c r="H1261" s="5">
        <v>561</v>
      </c>
      <c r="I1261" t="s" s="2">
        <v>196</v>
      </c>
      <c r="J1261" t="s" s="2">
        <v>47</v>
      </c>
      <c r="K1261" t="s" s="2">
        <v>202</v>
      </c>
      <c r="L1261" t="s" s="2">
        <v>618</v>
      </c>
      <c r="M1261" s="5">
        <v>424384</v>
      </c>
      <c r="N1261" s="5">
        <v>6148112</v>
      </c>
      <c r="O1261" t="s" s="2">
        <v>1492</v>
      </c>
      <c r="P1261" t="s" s="2">
        <v>2539</v>
      </c>
      <c r="Q1261" t="s" s="2">
        <v>2527</v>
      </c>
      <c r="R1261" t="s" s="2">
        <f>_xlfn.IFERROR(INDEX('model_byCAP'!$D$2:$D$377,MATCH(Q1261,'model_byCAP'!$A$2:$A$377,0)),0)</f>
        <v>2490</v>
      </c>
    </row>
    <row r="1262" ht="15.35" customHeight="1">
      <c r="A1262" t="s" s="2">
        <v>2540</v>
      </c>
      <c r="B1262" s="4">
        <v>37528</v>
      </c>
      <c r="C1262" s="5">
        <v>2000</v>
      </c>
      <c r="D1262" s="5">
        <v>80</v>
      </c>
      <c r="E1262" s="5">
        <v>70</v>
      </c>
      <c r="F1262" t="s" s="2">
        <v>301</v>
      </c>
      <c r="G1262" t="s" s="2">
        <v>2525</v>
      </c>
      <c r="H1262" s="5">
        <v>561</v>
      </c>
      <c r="I1262" t="s" s="2">
        <v>196</v>
      </c>
      <c r="J1262" t="s" s="2">
        <v>47</v>
      </c>
      <c r="K1262" t="s" s="2">
        <v>202</v>
      </c>
      <c r="L1262" t="s" s="2">
        <v>618</v>
      </c>
      <c r="M1262" s="5">
        <v>424452</v>
      </c>
      <c r="N1262" s="5">
        <v>6147556</v>
      </c>
      <c r="O1262" t="s" s="2">
        <v>1492</v>
      </c>
      <c r="P1262" t="s" s="2">
        <v>2541</v>
      </c>
      <c r="Q1262" t="s" s="2">
        <v>2527</v>
      </c>
      <c r="R1262" t="s" s="2">
        <f>_xlfn.IFERROR(INDEX('model_byCAP'!$D$2:$D$377,MATCH(Q1262,'model_byCAP'!$A$2:$A$377,0)),0)</f>
        <v>2490</v>
      </c>
    </row>
    <row r="1263" ht="15.35" customHeight="1">
      <c r="A1263" t="s" s="2">
        <v>2542</v>
      </c>
      <c r="B1263" s="4">
        <v>37497</v>
      </c>
      <c r="C1263" s="5">
        <v>2000</v>
      </c>
      <c r="D1263" s="5">
        <v>80</v>
      </c>
      <c r="E1263" s="5">
        <v>70</v>
      </c>
      <c r="F1263" t="s" s="2">
        <v>301</v>
      </c>
      <c r="G1263" t="s" s="2">
        <v>2525</v>
      </c>
      <c r="H1263" s="5">
        <v>561</v>
      </c>
      <c r="I1263" t="s" s="2">
        <v>196</v>
      </c>
      <c r="J1263" t="s" s="2">
        <v>47</v>
      </c>
      <c r="K1263" t="s" s="2">
        <v>202</v>
      </c>
      <c r="L1263" t="s" s="2">
        <v>618</v>
      </c>
      <c r="M1263" s="5">
        <v>424534</v>
      </c>
      <c r="N1263" s="5">
        <v>6151447</v>
      </c>
      <c r="O1263" t="s" s="2">
        <v>1492</v>
      </c>
      <c r="P1263" t="s" s="2">
        <v>2543</v>
      </c>
      <c r="Q1263" t="s" s="2">
        <v>2527</v>
      </c>
      <c r="R1263" t="s" s="2">
        <f>_xlfn.IFERROR(INDEX('model_byCAP'!$D$2:$D$377,MATCH(Q1263,'model_byCAP'!$A$2:$A$377,0)),0)</f>
        <v>2490</v>
      </c>
    </row>
    <row r="1264" ht="15.35" customHeight="1">
      <c r="A1264" t="s" s="2">
        <v>2544</v>
      </c>
      <c r="B1264" s="4">
        <v>37511</v>
      </c>
      <c r="C1264" s="5">
        <v>2000</v>
      </c>
      <c r="D1264" s="5">
        <v>80</v>
      </c>
      <c r="E1264" s="5">
        <v>70</v>
      </c>
      <c r="F1264" t="s" s="2">
        <v>301</v>
      </c>
      <c r="G1264" t="s" s="2">
        <v>2525</v>
      </c>
      <c r="H1264" s="5">
        <v>561</v>
      </c>
      <c r="I1264" t="s" s="2">
        <v>196</v>
      </c>
      <c r="J1264" t="s" s="2">
        <v>47</v>
      </c>
      <c r="K1264" t="s" s="2">
        <v>202</v>
      </c>
      <c r="L1264" t="s" s="2">
        <v>618</v>
      </c>
      <c r="M1264" s="5">
        <v>424602</v>
      </c>
      <c r="N1264" s="5">
        <v>6150891</v>
      </c>
      <c r="O1264" t="s" s="2">
        <v>1492</v>
      </c>
      <c r="P1264" t="s" s="2">
        <v>2545</v>
      </c>
      <c r="Q1264" t="s" s="2">
        <v>2527</v>
      </c>
      <c r="R1264" t="s" s="2">
        <f>_xlfn.IFERROR(INDEX('model_byCAP'!$D$2:$D$377,MATCH(Q1264,'model_byCAP'!$A$2:$A$377,0)),0)</f>
        <v>2490</v>
      </c>
    </row>
    <row r="1265" ht="15.35" customHeight="1">
      <c r="A1265" t="s" s="2">
        <v>2546</v>
      </c>
      <c r="B1265" s="4">
        <v>37511</v>
      </c>
      <c r="C1265" s="5">
        <v>2000</v>
      </c>
      <c r="D1265" s="5">
        <v>80</v>
      </c>
      <c r="E1265" s="5">
        <v>70</v>
      </c>
      <c r="F1265" t="s" s="2">
        <v>301</v>
      </c>
      <c r="G1265" t="s" s="2">
        <v>2525</v>
      </c>
      <c r="H1265" s="5">
        <v>561</v>
      </c>
      <c r="I1265" t="s" s="2">
        <v>196</v>
      </c>
      <c r="J1265" t="s" s="2">
        <v>47</v>
      </c>
      <c r="K1265" t="s" s="2">
        <v>202</v>
      </c>
      <c r="L1265" t="s" s="2">
        <v>618</v>
      </c>
      <c r="M1265" s="5">
        <v>424671</v>
      </c>
      <c r="N1265" s="5">
        <v>6150335</v>
      </c>
      <c r="O1265" t="s" s="2">
        <v>1492</v>
      </c>
      <c r="P1265" t="s" s="2">
        <v>2547</v>
      </c>
      <c r="Q1265" t="s" s="2">
        <v>2527</v>
      </c>
      <c r="R1265" t="s" s="2">
        <f>_xlfn.IFERROR(INDEX('model_byCAP'!$D$2:$D$377,MATCH(Q1265,'model_byCAP'!$A$2:$A$377,0)),0)</f>
        <v>2490</v>
      </c>
    </row>
    <row r="1266" ht="15.35" customHeight="1">
      <c r="A1266" t="s" s="2">
        <v>2548</v>
      </c>
      <c r="B1266" s="4">
        <v>37511</v>
      </c>
      <c r="C1266" s="5">
        <v>2000</v>
      </c>
      <c r="D1266" s="5">
        <v>80</v>
      </c>
      <c r="E1266" s="5">
        <v>70</v>
      </c>
      <c r="F1266" t="s" s="2">
        <v>301</v>
      </c>
      <c r="G1266" t="s" s="2">
        <v>2525</v>
      </c>
      <c r="H1266" s="5">
        <v>561</v>
      </c>
      <c r="I1266" t="s" s="2">
        <v>196</v>
      </c>
      <c r="J1266" t="s" s="2">
        <v>47</v>
      </c>
      <c r="K1266" t="s" s="2">
        <v>202</v>
      </c>
      <c r="L1266" t="s" s="2">
        <v>618</v>
      </c>
      <c r="M1266" s="5">
        <v>424739</v>
      </c>
      <c r="N1266" s="5">
        <v>6149780</v>
      </c>
      <c r="O1266" t="s" s="2">
        <v>1492</v>
      </c>
      <c r="P1266" t="s" s="2">
        <v>2549</v>
      </c>
      <c r="Q1266" t="s" s="2">
        <v>2527</v>
      </c>
      <c r="R1266" t="s" s="2">
        <f>_xlfn.IFERROR(INDEX('model_byCAP'!$D$2:$D$377,MATCH(Q1266,'model_byCAP'!$A$2:$A$377,0)),0)</f>
        <v>2490</v>
      </c>
    </row>
    <row r="1267" ht="15.35" customHeight="1">
      <c r="A1267" t="s" s="2">
        <v>2550</v>
      </c>
      <c r="B1267" s="4">
        <v>37518</v>
      </c>
      <c r="C1267" s="5">
        <v>2000</v>
      </c>
      <c r="D1267" s="5">
        <v>80</v>
      </c>
      <c r="E1267" s="5">
        <v>70</v>
      </c>
      <c r="F1267" t="s" s="2">
        <v>301</v>
      </c>
      <c r="G1267" t="s" s="2">
        <v>2525</v>
      </c>
      <c r="H1267" s="5">
        <v>561</v>
      </c>
      <c r="I1267" t="s" s="2">
        <v>196</v>
      </c>
      <c r="J1267" t="s" s="2">
        <v>47</v>
      </c>
      <c r="K1267" t="s" s="2">
        <v>202</v>
      </c>
      <c r="L1267" t="s" s="2">
        <v>618</v>
      </c>
      <c r="M1267" s="5">
        <v>424807</v>
      </c>
      <c r="N1267" s="5">
        <v>6149224</v>
      </c>
      <c r="O1267" t="s" s="2">
        <v>1492</v>
      </c>
      <c r="P1267" t="s" s="2">
        <v>2551</v>
      </c>
      <c r="Q1267" t="s" s="2">
        <v>2527</v>
      </c>
      <c r="R1267" t="s" s="2">
        <f>_xlfn.IFERROR(INDEX('model_byCAP'!$D$2:$D$377,MATCH(Q1267,'model_byCAP'!$A$2:$A$377,0)),0)</f>
        <v>2490</v>
      </c>
    </row>
    <row r="1268" ht="15.35" customHeight="1">
      <c r="A1268" t="s" s="2">
        <v>2552</v>
      </c>
      <c r="B1268" s="4">
        <v>37536</v>
      </c>
      <c r="C1268" s="5">
        <v>2000</v>
      </c>
      <c r="D1268" s="5">
        <v>80</v>
      </c>
      <c r="E1268" s="5">
        <v>70</v>
      </c>
      <c r="F1268" t="s" s="2">
        <v>301</v>
      </c>
      <c r="G1268" t="s" s="2">
        <v>2525</v>
      </c>
      <c r="H1268" s="5">
        <v>561</v>
      </c>
      <c r="I1268" t="s" s="2">
        <v>196</v>
      </c>
      <c r="J1268" t="s" s="2">
        <v>47</v>
      </c>
      <c r="K1268" t="s" s="2">
        <v>202</v>
      </c>
      <c r="L1268" t="s" s="2">
        <v>618</v>
      </c>
      <c r="M1268" s="5">
        <v>424875</v>
      </c>
      <c r="N1268" s="5">
        <v>6148668</v>
      </c>
      <c r="O1268" t="s" s="2">
        <v>1492</v>
      </c>
      <c r="P1268" t="s" s="2">
        <v>2553</v>
      </c>
      <c r="Q1268" t="s" s="2">
        <v>2527</v>
      </c>
      <c r="R1268" t="s" s="2">
        <f>_xlfn.IFERROR(INDEX('model_byCAP'!$D$2:$D$377,MATCH(Q1268,'model_byCAP'!$A$2:$A$377,0)),0)</f>
        <v>2490</v>
      </c>
    </row>
    <row r="1269" ht="15.35" customHeight="1">
      <c r="A1269" t="s" s="2">
        <v>2554</v>
      </c>
      <c r="B1269" s="4">
        <v>37523</v>
      </c>
      <c r="C1269" s="5">
        <v>2000</v>
      </c>
      <c r="D1269" s="5">
        <v>80</v>
      </c>
      <c r="E1269" s="5">
        <v>70</v>
      </c>
      <c r="F1269" t="s" s="2">
        <v>301</v>
      </c>
      <c r="G1269" t="s" s="2">
        <v>2525</v>
      </c>
      <c r="H1269" s="5">
        <v>561</v>
      </c>
      <c r="I1269" t="s" s="2">
        <v>196</v>
      </c>
      <c r="J1269" t="s" s="2">
        <v>47</v>
      </c>
      <c r="K1269" t="s" s="2">
        <v>202</v>
      </c>
      <c r="L1269" t="s" s="2">
        <v>618</v>
      </c>
      <c r="M1269" s="5">
        <v>424944</v>
      </c>
      <c r="N1269" s="5">
        <v>6148112</v>
      </c>
      <c r="O1269" t="s" s="2">
        <v>1492</v>
      </c>
      <c r="P1269" t="s" s="2">
        <v>2555</v>
      </c>
      <c r="Q1269" t="s" s="2">
        <v>2527</v>
      </c>
      <c r="R1269" t="s" s="2">
        <f>_xlfn.IFERROR(INDEX('model_byCAP'!$D$2:$D$377,MATCH(Q1269,'model_byCAP'!$A$2:$A$377,0)),0)</f>
        <v>2490</v>
      </c>
    </row>
    <row r="1270" ht="15.35" customHeight="1">
      <c r="A1270" t="s" s="2">
        <v>2556</v>
      </c>
      <c r="B1270" s="4">
        <v>37525</v>
      </c>
      <c r="C1270" s="5">
        <v>2000</v>
      </c>
      <c r="D1270" s="5">
        <v>80</v>
      </c>
      <c r="E1270" s="5">
        <v>70</v>
      </c>
      <c r="F1270" t="s" s="2">
        <v>301</v>
      </c>
      <c r="G1270" t="s" s="2">
        <v>2525</v>
      </c>
      <c r="H1270" s="5">
        <v>561</v>
      </c>
      <c r="I1270" t="s" s="2">
        <v>196</v>
      </c>
      <c r="J1270" t="s" s="2">
        <v>47</v>
      </c>
      <c r="K1270" t="s" s="2">
        <v>202</v>
      </c>
      <c r="L1270" t="s" s="2">
        <v>618</v>
      </c>
      <c r="M1270" s="5">
        <v>425012</v>
      </c>
      <c r="N1270" s="5">
        <v>6147556</v>
      </c>
      <c r="O1270" t="s" s="2">
        <v>1492</v>
      </c>
      <c r="P1270" t="s" s="2">
        <v>2557</v>
      </c>
      <c r="Q1270" t="s" s="2">
        <v>2527</v>
      </c>
      <c r="R1270" t="s" s="2">
        <f>_xlfn.IFERROR(INDEX('model_byCAP'!$D$2:$D$377,MATCH(Q1270,'model_byCAP'!$A$2:$A$377,0)),0)</f>
        <v>2490</v>
      </c>
    </row>
    <row r="1271" ht="15.35" customHeight="1">
      <c r="A1271" t="s" s="2">
        <v>2558</v>
      </c>
      <c r="B1271" s="4">
        <v>37531</v>
      </c>
      <c r="C1271" s="5">
        <v>2000</v>
      </c>
      <c r="D1271" s="5">
        <v>80</v>
      </c>
      <c r="E1271" s="5">
        <v>70</v>
      </c>
      <c r="F1271" t="s" s="2">
        <v>301</v>
      </c>
      <c r="G1271" t="s" s="2">
        <v>2525</v>
      </c>
      <c r="H1271" s="5">
        <v>561</v>
      </c>
      <c r="I1271" t="s" s="2">
        <v>196</v>
      </c>
      <c r="J1271" t="s" s="2">
        <v>47</v>
      </c>
      <c r="K1271" t="s" s="2">
        <v>202</v>
      </c>
      <c r="L1271" t="s" s="2">
        <v>618</v>
      </c>
      <c r="M1271" s="5">
        <v>425094</v>
      </c>
      <c r="N1271" s="5">
        <v>6151447</v>
      </c>
      <c r="O1271" t="s" s="2">
        <v>1492</v>
      </c>
      <c r="P1271" t="s" s="2">
        <v>2559</v>
      </c>
      <c r="Q1271" t="s" s="2">
        <v>2527</v>
      </c>
      <c r="R1271" t="s" s="2">
        <f>_xlfn.IFERROR(INDEX('model_byCAP'!$D$2:$D$377,MATCH(Q1271,'model_byCAP'!$A$2:$A$377,0)),0)</f>
        <v>2490</v>
      </c>
    </row>
    <row r="1272" ht="15.35" customHeight="1">
      <c r="A1272" t="s" s="2">
        <v>2560</v>
      </c>
      <c r="B1272" s="4">
        <v>37528</v>
      </c>
      <c r="C1272" s="5">
        <v>2000</v>
      </c>
      <c r="D1272" s="5">
        <v>80</v>
      </c>
      <c r="E1272" s="5">
        <v>70</v>
      </c>
      <c r="F1272" t="s" s="2">
        <v>301</v>
      </c>
      <c r="G1272" t="s" s="2">
        <v>2525</v>
      </c>
      <c r="H1272" s="5">
        <v>561</v>
      </c>
      <c r="I1272" t="s" s="2">
        <v>196</v>
      </c>
      <c r="J1272" t="s" s="2">
        <v>47</v>
      </c>
      <c r="K1272" t="s" s="2">
        <v>202</v>
      </c>
      <c r="L1272" t="s" s="2">
        <v>618</v>
      </c>
      <c r="M1272" s="5">
        <v>425162</v>
      </c>
      <c r="N1272" s="5">
        <v>6150891</v>
      </c>
      <c r="O1272" t="s" s="2">
        <v>1492</v>
      </c>
      <c r="P1272" t="s" s="2">
        <v>2561</v>
      </c>
      <c r="Q1272" t="s" s="2">
        <v>2527</v>
      </c>
      <c r="R1272" t="s" s="2">
        <f>_xlfn.IFERROR(INDEX('model_byCAP'!$D$2:$D$377,MATCH(Q1272,'model_byCAP'!$A$2:$A$377,0)),0)</f>
        <v>2490</v>
      </c>
    </row>
    <row r="1273" ht="15.35" customHeight="1">
      <c r="A1273" t="s" s="2">
        <v>2562</v>
      </c>
      <c r="B1273" s="4">
        <v>37528</v>
      </c>
      <c r="C1273" s="5">
        <v>2000</v>
      </c>
      <c r="D1273" s="5">
        <v>80</v>
      </c>
      <c r="E1273" s="5">
        <v>70</v>
      </c>
      <c r="F1273" t="s" s="2">
        <v>301</v>
      </c>
      <c r="G1273" t="s" s="2">
        <v>2525</v>
      </c>
      <c r="H1273" s="5">
        <v>561</v>
      </c>
      <c r="I1273" t="s" s="2">
        <v>196</v>
      </c>
      <c r="J1273" t="s" s="2">
        <v>47</v>
      </c>
      <c r="K1273" t="s" s="2">
        <v>202</v>
      </c>
      <c r="L1273" t="s" s="2">
        <v>618</v>
      </c>
      <c r="M1273" s="5">
        <v>425231</v>
      </c>
      <c r="N1273" s="5">
        <v>6150335</v>
      </c>
      <c r="O1273" t="s" s="2">
        <v>1492</v>
      </c>
      <c r="P1273" t="s" s="2">
        <v>2563</v>
      </c>
      <c r="Q1273" t="s" s="2">
        <v>2527</v>
      </c>
      <c r="R1273" t="s" s="2">
        <f>_xlfn.IFERROR(INDEX('model_byCAP'!$D$2:$D$377,MATCH(Q1273,'model_byCAP'!$A$2:$A$377,0)),0)</f>
        <v>2490</v>
      </c>
    </row>
    <row r="1274" ht="15.35" customHeight="1">
      <c r="A1274" t="s" s="2">
        <v>2564</v>
      </c>
      <c r="B1274" s="4">
        <v>37535</v>
      </c>
      <c r="C1274" s="5">
        <v>2000</v>
      </c>
      <c r="D1274" s="5">
        <v>80</v>
      </c>
      <c r="E1274" s="5">
        <v>70</v>
      </c>
      <c r="F1274" t="s" s="2">
        <v>301</v>
      </c>
      <c r="G1274" t="s" s="2">
        <v>2525</v>
      </c>
      <c r="H1274" s="5">
        <v>561</v>
      </c>
      <c r="I1274" t="s" s="2">
        <v>196</v>
      </c>
      <c r="J1274" t="s" s="2">
        <v>47</v>
      </c>
      <c r="K1274" t="s" s="2">
        <v>202</v>
      </c>
      <c r="L1274" t="s" s="2">
        <v>618</v>
      </c>
      <c r="M1274" s="5">
        <v>425299</v>
      </c>
      <c r="N1274" s="5">
        <v>6149780</v>
      </c>
      <c r="O1274" t="s" s="2">
        <v>1492</v>
      </c>
      <c r="P1274" t="s" s="2">
        <v>2565</v>
      </c>
      <c r="Q1274" t="s" s="2">
        <v>2527</v>
      </c>
      <c r="R1274" t="s" s="2">
        <f>_xlfn.IFERROR(INDEX('model_byCAP'!$D$2:$D$377,MATCH(Q1274,'model_byCAP'!$A$2:$A$377,0)),0)</f>
        <v>2490</v>
      </c>
    </row>
    <row r="1275" ht="15.35" customHeight="1">
      <c r="A1275" t="s" s="2">
        <v>2566</v>
      </c>
      <c r="B1275" s="4">
        <v>37545</v>
      </c>
      <c r="C1275" s="5">
        <v>2000</v>
      </c>
      <c r="D1275" s="5">
        <v>80</v>
      </c>
      <c r="E1275" s="5">
        <v>70</v>
      </c>
      <c r="F1275" t="s" s="2">
        <v>301</v>
      </c>
      <c r="G1275" t="s" s="2">
        <v>2525</v>
      </c>
      <c r="H1275" s="5">
        <v>561</v>
      </c>
      <c r="I1275" t="s" s="2">
        <v>196</v>
      </c>
      <c r="J1275" t="s" s="2">
        <v>47</v>
      </c>
      <c r="K1275" t="s" s="2">
        <v>202</v>
      </c>
      <c r="L1275" t="s" s="2">
        <v>618</v>
      </c>
      <c r="M1275" s="5">
        <v>425367</v>
      </c>
      <c r="N1275" s="5">
        <v>6149224</v>
      </c>
      <c r="O1275" t="s" s="2">
        <v>1492</v>
      </c>
      <c r="P1275" t="s" s="2">
        <v>2567</v>
      </c>
      <c r="Q1275" t="s" s="2">
        <v>2527</v>
      </c>
      <c r="R1275" t="s" s="2">
        <f>_xlfn.IFERROR(INDEX('model_byCAP'!$D$2:$D$377,MATCH(Q1275,'model_byCAP'!$A$2:$A$377,0)),0)</f>
        <v>2490</v>
      </c>
    </row>
    <row r="1276" ht="15.35" customHeight="1">
      <c r="A1276" t="s" s="2">
        <v>2568</v>
      </c>
      <c r="B1276" s="4">
        <v>37531</v>
      </c>
      <c r="C1276" s="5">
        <v>2000</v>
      </c>
      <c r="D1276" s="5">
        <v>80</v>
      </c>
      <c r="E1276" s="5">
        <v>70</v>
      </c>
      <c r="F1276" t="s" s="2">
        <v>301</v>
      </c>
      <c r="G1276" t="s" s="2">
        <v>2525</v>
      </c>
      <c r="H1276" s="5">
        <v>561</v>
      </c>
      <c r="I1276" t="s" s="2">
        <v>196</v>
      </c>
      <c r="J1276" t="s" s="2">
        <v>47</v>
      </c>
      <c r="K1276" t="s" s="2">
        <v>202</v>
      </c>
      <c r="L1276" t="s" s="2">
        <v>618</v>
      </c>
      <c r="M1276" s="5">
        <v>425435</v>
      </c>
      <c r="N1276" s="5">
        <v>6148668</v>
      </c>
      <c r="O1276" t="s" s="2">
        <v>1492</v>
      </c>
      <c r="P1276" t="s" s="2">
        <v>2569</v>
      </c>
      <c r="Q1276" t="s" s="2">
        <v>2527</v>
      </c>
      <c r="R1276" t="s" s="2">
        <f>_xlfn.IFERROR(INDEX('model_byCAP'!$D$2:$D$377,MATCH(Q1276,'model_byCAP'!$A$2:$A$377,0)),0)</f>
        <v>2490</v>
      </c>
    </row>
    <row r="1277" ht="15.35" customHeight="1">
      <c r="A1277" t="s" s="2">
        <v>2570</v>
      </c>
      <c r="B1277" s="4">
        <v>37547</v>
      </c>
      <c r="C1277" s="5">
        <v>2000</v>
      </c>
      <c r="D1277" s="5">
        <v>80</v>
      </c>
      <c r="E1277" s="5">
        <v>70</v>
      </c>
      <c r="F1277" t="s" s="2">
        <v>301</v>
      </c>
      <c r="G1277" t="s" s="2">
        <v>2525</v>
      </c>
      <c r="H1277" s="5">
        <v>561</v>
      </c>
      <c r="I1277" t="s" s="2">
        <v>196</v>
      </c>
      <c r="J1277" t="s" s="2">
        <v>47</v>
      </c>
      <c r="K1277" t="s" s="2">
        <v>202</v>
      </c>
      <c r="L1277" t="s" s="2">
        <v>618</v>
      </c>
      <c r="M1277" s="5">
        <v>425504</v>
      </c>
      <c r="N1277" s="5">
        <v>6148112</v>
      </c>
      <c r="O1277" t="s" s="2">
        <v>1492</v>
      </c>
      <c r="P1277" t="s" s="2">
        <v>2571</v>
      </c>
      <c r="Q1277" t="s" s="2">
        <v>2527</v>
      </c>
      <c r="R1277" t="s" s="2">
        <f>_xlfn.IFERROR(INDEX('model_byCAP'!$D$2:$D$377,MATCH(Q1277,'model_byCAP'!$A$2:$A$377,0)),0)</f>
        <v>2490</v>
      </c>
    </row>
    <row r="1278" ht="15.35" customHeight="1">
      <c r="A1278" t="s" s="2">
        <v>2572</v>
      </c>
      <c r="B1278" s="4">
        <v>37536</v>
      </c>
      <c r="C1278" s="5">
        <v>2000</v>
      </c>
      <c r="D1278" s="5">
        <v>80</v>
      </c>
      <c r="E1278" s="5">
        <v>70</v>
      </c>
      <c r="F1278" t="s" s="2">
        <v>301</v>
      </c>
      <c r="G1278" t="s" s="2">
        <v>2525</v>
      </c>
      <c r="H1278" s="5">
        <v>561</v>
      </c>
      <c r="I1278" t="s" s="2">
        <v>196</v>
      </c>
      <c r="J1278" t="s" s="2">
        <v>47</v>
      </c>
      <c r="K1278" t="s" s="2">
        <v>202</v>
      </c>
      <c r="L1278" t="s" s="2">
        <v>618</v>
      </c>
      <c r="M1278" s="5">
        <v>425572</v>
      </c>
      <c r="N1278" s="5">
        <v>6147556</v>
      </c>
      <c r="O1278" t="s" s="2">
        <v>1492</v>
      </c>
      <c r="P1278" t="s" s="2">
        <v>2573</v>
      </c>
      <c r="Q1278" t="s" s="2">
        <v>2527</v>
      </c>
      <c r="R1278" t="s" s="2">
        <f>_xlfn.IFERROR(INDEX('model_byCAP'!$D$2:$D$377,MATCH(Q1278,'model_byCAP'!$A$2:$A$377,0)),0)</f>
        <v>2490</v>
      </c>
    </row>
    <row r="1279" ht="15.35" customHeight="1">
      <c r="A1279" t="s" s="2">
        <v>2574</v>
      </c>
      <c r="B1279" s="4">
        <v>37502</v>
      </c>
      <c r="C1279" s="5">
        <v>2000</v>
      </c>
      <c r="D1279" s="5">
        <v>80</v>
      </c>
      <c r="E1279" s="5">
        <v>70</v>
      </c>
      <c r="F1279" t="s" s="2">
        <v>301</v>
      </c>
      <c r="G1279" t="s" s="2">
        <v>2525</v>
      </c>
      <c r="H1279" s="5">
        <v>561</v>
      </c>
      <c r="I1279" t="s" s="2">
        <v>196</v>
      </c>
      <c r="J1279" t="s" s="2">
        <v>47</v>
      </c>
      <c r="K1279" t="s" s="2">
        <v>202</v>
      </c>
      <c r="L1279" t="s" s="2">
        <v>618</v>
      </c>
      <c r="M1279" s="5">
        <v>425654</v>
      </c>
      <c r="N1279" s="5">
        <v>6151447</v>
      </c>
      <c r="O1279" t="s" s="2">
        <v>1492</v>
      </c>
      <c r="P1279" t="s" s="2">
        <v>2575</v>
      </c>
      <c r="Q1279" t="s" s="2">
        <v>2527</v>
      </c>
      <c r="R1279" t="s" s="2">
        <f>_xlfn.IFERROR(INDEX('model_byCAP'!$D$2:$D$377,MATCH(Q1279,'model_byCAP'!$A$2:$A$377,0)),0)</f>
        <v>2490</v>
      </c>
    </row>
    <row r="1280" ht="15.35" customHeight="1">
      <c r="A1280" t="s" s="2">
        <v>2576</v>
      </c>
      <c r="B1280" s="4">
        <v>37545</v>
      </c>
      <c r="C1280" s="5">
        <v>2000</v>
      </c>
      <c r="D1280" s="5">
        <v>80</v>
      </c>
      <c r="E1280" s="5">
        <v>70</v>
      </c>
      <c r="F1280" t="s" s="2">
        <v>301</v>
      </c>
      <c r="G1280" t="s" s="2">
        <v>2525</v>
      </c>
      <c r="H1280" s="5">
        <v>561</v>
      </c>
      <c r="I1280" t="s" s="2">
        <v>196</v>
      </c>
      <c r="J1280" t="s" s="2">
        <v>47</v>
      </c>
      <c r="K1280" t="s" s="2">
        <v>202</v>
      </c>
      <c r="L1280" t="s" s="2">
        <v>618</v>
      </c>
      <c r="M1280" s="5">
        <v>425722</v>
      </c>
      <c r="N1280" s="5">
        <v>6150891</v>
      </c>
      <c r="O1280" t="s" s="2">
        <v>1492</v>
      </c>
      <c r="P1280" t="s" s="2">
        <v>2577</v>
      </c>
      <c r="Q1280" t="s" s="2">
        <v>2527</v>
      </c>
      <c r="R1280" t="s" s="2">
        <f>_xlfn.IFERROR(INDEX('model_byCAP'!$D$2:$D$377,MATCH(Q1280,'model_byCAP'!$A$2:$A$377,0)),0)</f>
        <v>2490</v>
      </c>
    </row>
    <row r="1281" ht="15.35" customHeight="1">
      <c r="A1281" t="s" s="2">
        <v>2578</v>
      </c>
      <c r="B1281" s="4">
        <v>37536</v>
      </c>
      <c r="C1281" s="5">
        <v>2000</v>
      </c>
      <c r="D1281" s="5">
        <v>80</v>
      </c>
      <c r="E1281" s="5">
        <v>70</v>
      </c>
      <c r="F1281" t="s" s="2">
        <v>301</v>
      </c>
      <c r="G1281" t="s" s="2">
        <v>2525</v>
      </c>
      <c r="H1281" s="5">
        <v>561</v>
      </c>
      <c r="I1281" t="s" s="2">
        <v>196</v>
      </c>
      <c r="J1281" t="s" s="2">
        <v>47</v>
      </c>
      <c r="K1281" t="s" s="2">
        <v>202</v>
      </c>
      <c r="L1281" t="s" s="2">
        <v>618</v>
      </c>
      <c r="M1281" s="5">
        <v>425791</v>
      </c>
      <c r="N1281" s="5">
        <v>6150335</v>
      </c>
      <c r="O1281" t="s" s="2">
        <v>1492</v>
      </c>
      <c r="P1281" t="s" s="2">
        <v>2579</v>
      </c>
      <c r="Q1281" t="s" s="2">
        <v>2527</v>
      </c>
      <c r="R1281" t="s" s="2">
        <f>_xlfn.IFERROR(INDEX('model_byCAP'!$D$2:$D$377,MATCH(Q1281,'model_byCAP'!$A$2:$A$377,0)),0)</f>
        <v>2490</v>
      </c>
    </row>
    <row r="1282" ht="15.35" customHeight="1">
      <c r="A1282" t="s" s="2">
        <v>2580</v>
      </c>
      <c r="B1282" s="4">
        <v>37547</v>
      </c>
      <c r="C1282" s="5">
        <v>2000</v>
      </c>
      <c r="D1282" s="5">
        <v>80</v>
      </c>
      <c r="E1282" s="5">
        <v>70</v>
      </c>
      <c r="F1282" t="s" s="2">
        <v>301</v>
      </c>
      <c r="G1282" t="s" s="2">
        <v>2525</v>
      </c>
      <c r="H1282" s="5">
        <v>561</v>
      </c>
      <c r="I1282" t="s" s="2">
        <v>196</v>
      </c>
      <c r="J1282" t="s" s="2">
        <v>47</v>
      </c>
      <c r="K1282" t="s" s="2">
        <v>202</v>
      </c>
      <c r="L1282" t="s" s="2">
        <v>618</v>
      </c>
      <c r="M1282" s="5">
        <v>425859</v>
      </c>
      <c r="N1282" s="5">
        <v>6149780</v>
      </c>
      <c r="O1282" t="s" s="2">
        <v>1492</v>
      </c>
      <c r="P1282" t="s" s="2">
        <v>2581</v>
      </c>
      <c r="Q1282" t="s" s="2">
        <v>2527</v>
      </c>
      <c r="R1282" t="s" s="2">
        <f>_xlfn.IFERROR(INDEX('model_byCAP'!$D$2:$D$377,MATCH(Q1282,'model_byCAP'!$A$2:$A$377,0)),0)</f>
        <v>2490</v>
      </c>
    </row>
    <row r="1283" ht="15.35" customHeight="1">
      <c r="A1283" t="s" s="2">
        <v>2582</v>
      </c>
      <c r="B1283" s="4">
        <v>37594</v>
      </c>
      <c r="C1283" s="5">
        <v>2000</v>
      </c>
      <c r="D1283" s="5">
        <v>80</v>
      </c>
      <c r="E1283" s="5">
        <v>70</v>
      </c>
      <c r="F1283" t="s" s="2">
        <v>301</v>
      </c>
      <c r="G1283" t="s" s="2">
        <v>2525</v>
      </c>
      <c r="H1283" s="5">
        <v>561</v>
      </c>
      <c r="I1283" t="s" s="2">
        <v>196</v>
      </c>
      <c r="J1283" t="s" s="2">
        <v>47</v>
      </c>
      <c r="K1283" t="s" s="2">
        <v>202</v>
      </c>
      <c r="L1283" t="s" s="2">
        <v>618</v>
      </c>
      <c r="M1283" s="5">
        <v>425927</v>
      </c>
      <c r="N1283" s="5">
        <v>6149224</v>
      </c>
      <c r="O1283" t="s" s="2">
        <v>1492</v>
      </c>
      <c r="P1283" t="s" s="2">
        <v>2583</v>
      </c>
      <c r="Q1283" t="s" s="2">
        <v>2527</v>
      </c>
      <c r="R1283" t="s" s="2">
        <f>_xlfn.IFERROR(INDEX('model_byCAP'!$D$2:$D$377,MATCH(Q1283,'model_byCAP'!$A$2:$A$377,0)),0)</f>
        <v>2490</v>
      </c>
    </row>
    <row r="1284" ht="15.35" customHeight="1">
      <c r="A1284" t="s" s="2">
        <v>2584</v>
      </c>
      <c r="B1284" s="4">
        <v>37544</v>
      </c>
      <c r="C1284" s="5">
        <v>2000</v>
      </c>
      <c r="D1284" s="5">
        <v>80</v>
      </c>
      <c r="E1284" s="5">
        <v>70</v>
      </c>
      <c r="F1284" t="s" s="2">
        <v>301</v>
      </c>
      <c r="G1284" t="s" s="2">
        <v>2525</v>
      </c>
      <c r="H1284" s="5">
        <v>561</v>
      </c>
      <c r="I1284" t="s" s="2">
        <v>196</v>
      </c>
      <c r="J1284" t="s" s="2">
        <v>47</v>
      </c>
      <c r="K1284" t="s" s="2">
        <v>202</v>
      </c>
      <c r="L1284" t="s" s="2">
        <v>618</v>
      </c>
      <c r="M1284" s="5">
        <v>425995</v>
      </c>
      <c r="N1284" s="5">
        <v>6148668</v>
      </c>
      <c r="O1284" t="s" s="2">
        <v>1492</v>
      </c>
      <c r="P1284" t="s" s="2">
        <v>2585</v>
      </c>
      <c r="Q1284" t="s" s="2">
        <v>2527</v>
      </c>
      <c r="R1284" t="s" s="2">
        <f>_xlfn.IFERROR(INDEX('model_byCAP'!$D$2:$D$377,MATCH(Q1284,'model_byCAP'!$A$2:$A$377,0)),0)</f>
        <v>2490</v>
      </c>
    </row>
    <row r="1285" ht="15.35" customHeight="1">
      <c r="A1285" t="s" s="2">
        <v>2586</v>
      </c>
      <c r="B1285" s="4">
        <v>37567</v>
      </c>
      <c r="C1285" s="5">
        <v>2000</v>
      </c>
      <c r="D1285" s="5">
        <v>80</v>
      </c>
      <c r="E1285" s="5">
        <v>70</v>
      </c>
      <c r="F1285" t="s" s="2">
        <v>301</v>
      </c>
      <c r="G1285" t="s" s="2">
        <v>2525</v>
      </c>
      <c r="H1285" s="5">
        <v>561</v>
      </c>
      <c r="I1285" t="s" s="2">
        <v>196</v>
      </c>
      <c r="J1285" t="s" s="2">
        <v>47</v>
      </c>
      <c r="K1285" t="s" s="2">
        <v>202</v>
      </c>
      <c r="L1285" t="s" s="2">
        <v>618</v>
      </c>
      <c r="M1285" s="5">
        <v>426064</v>
      </c>
      <c r="N1285" s="5">
        <v>6148112</v>
      </c>
      <c r="O1285" t="s" s="2">
        <v>1492</v>
      </c>
      <c r="P1285" t="s" s="2">
        <v>2587</v>
      </c>
      <c r="Q1285" t="s" s="2">
        <v>2527</v>
      </c>
      <c r="R1285" t="s" s="2">
        <f>_xlfn.IFERROR(INDEX('model_byCAP'!$D$2:$D$377,MATCH(Q1285,'model_byCAP'!$A$2:$A$377,0)),0)</f>
        <v>2490</v>
      </c>
    </row>
    <row r="1286" ht="15.35" customHeight="1">
      <c r="A1286" t="s" s="2">
        <v>2588</v>
      </c>
      <c r="B1286" s="4">
        <v>37567</v>
      </c>
      <c r="C1286" s="5">
        <v>2000</v>
      </c>
      <c r="D1286" s="5">
        <v>80</v>
      </c>
      <c r="E1286" s="5">
        <v>70</v>
      </c>
      <c r="F1286" t="s" s="2">
        <v>301</v>
      </c>
      <c r="G1286" t="s" s="2">
        <v>2525</v>
      </c>
      <c r="H1286" s="5">
        <v>561</v>
      </c>
      <c r="I1286" t="s" s="2">
        <v>196</v>
      </c>
      <c r="J1286" t="s" s="2">
        <v>47</v>
      </c>
      <c r="K1286" t="s" s="2">
        <v>202</v>
      </c>
      <c r="L1286" t="s" s="2">
        <v>618</v>
      </c>
      <c r="M1286" s="5">
        <v>426132</v>
      </c>
      <c r="N1286" s="5">
        <v>6147556</v>
      </c>
      <c r="O1286" t="s" s="2">
        <v>1492</v>
      </c>
      <c r="P1286" t="s" s="2">
        <v>2589</v>
      </c>
      <c r="Q1286" t="s" s="2">
        <v>2527</v>
      </c>
      <c r="R1286" t="s" s="2">
        <f>_xlfn.IFERROR(INDEX('model_byCAP'!$D$2:$D$377,MATCH(Q1286,'model_byCAP'!$A$2:$A$377,0)),0)</f>
        <v>2490</v>
      </c>
    </row>
    <row r="1287" ht="15.35" customHeight="1">
      <c r="A1287" t="s" s="2">
        <v>2590</v>
      </c>
      <c r="B1287" s="4">
        <v>37576</v>
      </c>
      <c r="C1287" s="5">
        <v>2000</v>
      </c>
      <c r="D1287" s="5">
        <v>80</v>
      </c>
      <c r="E1287" s="5">
        <v>70</v>
      </c>
      <c r="F1287" t="s" s="2">
        <v>301</v>
      </c>
      <c r="G1287" t="s" s="2">
        <v>2525</v>
      </c>
      <c r="H1287" s="5">
        <v>561</v>
      </c>
      <c r="I1287" t="s" s="2">
        <v>196</v>
      </c>
      <c r="J1287" t="s" s="2">
        <v>47</v>
      </c>
      <c r="K1287" t="s" s="2">
        <v>202</v>
      </c>
      <c r="L1287" t="s" s="2">
        <v>618</v>
      </c>
      <c r="M1287" s="5">
        <v>426214</v>
      </c>
      <c r="N1287" s="5">
        <v>6151447</v>
      </c>
      <c r="O1287" t="s" s="2">
        <v>1492</v>
      </c>
      <c r="P1287" t="s" s="2">
        <v>2591</v>
      </c>
      <c r="Q1287" t="s" s="2">
        <v>2527</v>
      </c>
      <c r="R1287" t="s" s="2">
        <f>_xlfn.IFERROR(INDEX('model_byCAP'!$D$2:$D$377,MATCH(Q1287,'model_byCAP'!$A$2:$A$377,0)),0)</f>
        <v>2490</v>
      </c>
    </row>
    <row r="1288" ht="15.35" customHeight="1">
      <c r="A1288" t="s" s="2">
        <v>2592</v>
      </c>
      <c r="B1288" s="4">
        <v>37561</v>
      </c>
      <c r="C1288" s="5">
        <v>2000</v>
      </c>
      <c r="D1288" s="5">
        <v>80</v>
      </c>
      <c r="E1288" s="5">
        <v>70</v>
      </c>
      <c r="F1288" t="s" s="2">
        <v>301</v>
      </c>
      <c r="G1288" t="s" s="2">
        <v>2525</v>
      </c>
      <c r="H1288" s="5">
        <v>561</v>
      </c>
      <c r="I1288" t="s" s="2">
        <v>196</v>
      </c>
      <c r="J1288" t="s" s="2">
        <v>47</v>
      </c>
      <c r="K1288" t="s" s="2">
        <v>202</v>
      </c>
      <c r="L1288" t="s" s="2">
        <v>618</v>
      </c>
      <c r="M1288" s="5">
        <v>426282</v>
      </c>
      <c r="N1288" s="5">
        <v>6150891</v>
      </c>
      <c r="O1288" t="s" s="2">
        <v>1492</v>
      </c>
      <c r="P1288" t="s" s="2">
        <v>2593</v>
      </c>
      <c r="Q1288" t="s" s="2">
        <v>2527</v>
      </c>
      <c r="R1288" t="s" s="2">
        <f>_xlfn.IFERROR(INDEX('model_byCAP'!$D$2:$D$377,MATCH(Q1288,'model_byCAP'!$A$2:$A$377,0)),0)</f>
        <v>2490</v>
      </c>
    </row>
    <row r="1289" ht="15.35" customHeight="1">
      <c r="A1289" t="s" s="2">
        <v>2594</v>
      </c>
      <c r="B1289" s="4">
        <v>37561</v>
      </c>
      <c r="C1289" s="5">
        <v>2000</v>
      </c>
      <c r="D1289" s="5">
        <v>80</v>
      </c>
      <c r="E1289" s="5">
        <v>70</v>
      </c>
      <c r="F1289" t="s" s="2">
        <v>301</v>
      </c>
      <c r="G1289" t="s" s="2">
        <v>2525</v>
      </c>
      <c r="H1289" s="5">
        <v>561</v>
      </c>
      <c r="I1289" t="s" s="2">
        <v>196</v>
      </c>
      <c r="J1289" t="s" s="2">
        <v>47</v>
      </c>
      <c r="K1289" t="s" s="2">
        <v>202</v>
      </c>
      <c r="L1289" t="s" s="2">
        <v>618</v>
      </c>
      <c r="M1289" s="5">
        <v>426351</v>
      </c>
      <c r="N1289" s="5">
        <v>6150335</v>
      </c>
      <c r="O1289" t="s" s="2">
        <v>1492</v>
      </c>
      <c r="P1289" t="s" s="2">
        <v>2595</v>
      </c>
      <c r="Q1289" t="s" s="2">
        <v>2527</v>
      </c>
      <c r="R1289" t="s" s="2">
        <f>_xlfn.IFERROR(INDEX('model_byCAP'!$D$2:$D$377,MATCH(Q1289,'model_byCAP'!$A$2:$A$377,0)),0)</f>
        <v>2490</v>
      </c>
    </row>
    <row r="1290" ht="15.35" customHeight="1">
      <c r="A1290" t="s" s="2">
        <v>2596</v>
      </c>
      <c r="B1290" s="4">
        <v>37558</v>
      </c>
      <c r="C1290" s="5">
        <v>2000</v>
      </c>
      <c r="D1290" s="5">
        <v>80</v>
      </c>
      <c r="E1290" s="5">
        <v>70</v>
      </c>
      <c r="F1290" t="s" s="2">
        <v>301</v>
      </c>
      <c r="G1290" t="s" s="2">
        <v>2525</v>
      </c>
      <c r="H1290" s="5">
        <v>561</v>
      </c>
      <c r="I1290" t="s" s="2">
        <v>196</v>
      </c>
      <c r="J1290" t="s" s="2">
        <v>47</v>
      </c>
      <c r="K1290" t="s" s="2">
        <v>202</v>
      </c>
      <c r="L1290" t="s" s="2">
        <v>618</v>
      </c>
      <c r="M1290" s="5">
        <v>426419</v>
      </c>
      <c r="N1290" s="5">
        <v>6149780</v>
      </c>
      <c r="O1290" t="s" s="2">
        <v>1492</v>
      </c>
      <c r="P1290" t="s" s="2">
        <v>2597</v>
      </c>
      <c r="Q1290" t="s" s="2">
        <v>2527</v>
      </c>
      <c r="R1290" t="s" s="2">
        <f>_xlfn.IFERROR(INDEX('model_byCAP'!$D$2:$D$377,MATCH(Q1290,'model_byCAP'!$A$2:$A$377,0)),0)</f>
        <v>2490</v>
      </c>
    </row>
    <row r="1291" ht="15.35" customHeight="1">
      <c r="A1291" t="s" s="2">
        <v>2598</v>
      </c>
      <c r="B1291" s="4">
        <v>37561</v>
      </c>
      <c r="C1291" s="5">
        <v>2000</v>
      </c>
      <c r="D1291" s="5">
        <v>80</v>
      </c>
      <c r="E1291" s="5">
        <v>70</v>
      </c>
      <c r="F1291" t="s" s="2">
        <v>301</v>
      </c>
      <c r="G1291" t="s" s="2">
        <v>2525</v>
      </c>
      <c r="H1291" s="5">
        <v>561</v>
      </c>
      <c r="I1291" t="s" s="2">
        <v>196</v>
      </c>
      <c r="J1291" t="s" s="2">
        <v>47</v>
      </c>
      <c r="K1291" t="s" s="2">
        <v>202</v>
      </c>
      <c r="L1291" t="s" s="2">
        <v>618</v>
      </c>
      <c r="M1291" s="5">
        <v>426487</v>
      </c>
      <c r="N1291" s="5">
        <v>6149224</v>
      </c>
      <c r="O1291" t="s" s="2">
        <v>1492</v>
      </c>
      <c r="P1291" t="s" s="2">
        <v>2599</v>
      </c>
      <c r="Q1291" t="s" s="2">
        <v>2527</v>
      </c>
      <c r="R1291" t="s" s="2">
        <f>_xlfn.IFERROR(INDEX('model_byCAP'!$D$2:$D$377,MATCH(Q1291,'model_byCAP'!$A$2:$A$377,0)),0)</f>
        <v>2490</v>
      </c>
    </row>
    <row r="1292" ht="15.35" customHeight="1">
      <c r="A1292" t="s" s="2">
        <v>2600</v>
      </c>
      <c r="B1292" s="4">
        <v>37561</v>
      </c>
      <c r="C1292" s="5">
        <v>2000</v>
      </c>
      <c r="D1292" s="5">
        <v>80</v>
      </c>
      <c r="E1292" s="5">
        <v>70</v>
      </c>
      <c r="F1292" t="s" s="2">
        <v>301</v>
      </c>
      <c r="G1292" t="s" s="2">
        <v>2525</v>
      </c>
      <c r="H1292" s="5">
        <v>561</v>
      </c>
      <c r="I1292" t="s" s="2">
        <v>196</v>
      </c>
      <c r="J1292" t="s" s="2">
        <v>47</v>
      </c>
      <c r="K1292" t="s" s="2">
        <v>202</v>
      </c>
      <c r="L1292" t="s" s="2">
        <v>618</v>
      </c>
      <c r="M1292" s="5">
        <v>426555</v>
      </c>
      <c r="N1292" s="5">
        <v>6148668</v>
      </c>
      <c r="O1292" t="s" s="2">
        <v>1492</v>
      </c>
      <c r="P1292" t="s" s="2">
        <v>2601</v>
      </c>
      <c r="Q1292" t="s" s="2">
        <v>2527</v>
      </c>
      <c r="R1292" t="s" s="2">
        <f>_xlfn.IFERROR(INDEX('model_byCAP'!$D$2:$D$377,MATCH(Q1292,'model_byCAP'!$A$2:$A$377,0)),0)</f>
        <v>2490</v>
      </c>
    </row>
    <row r="1293" ht="15.35" customHeight="1">
      <c r="A1293" t="s" s="2">
        <v>2602</v>
      </c>
      <c r="B1293" s="4">
        <v>37561</v>
      </c>
      <c r="C1293" s="5">
        <v>2000</v>
      </c>
      <c r="D1293" s="5">
        <v>80</v>
      </c>
      <c r="E1293" s="5">
        <v>70</v>
      </c>
      <c r="F1293" t="s" s="2">
        <v>301</v>
      </c>
      <c r="G1293" t="s" s="2">
        <v>2525</v>
      </c>
      <c r="H1293" s="5">
        <v>561</v>
      </c>
      <c r="I1293" t="s" s="2">
        <v>196</v>
      </c>
      <c r="J1293" t="s" s="2">
        <v>47</v>
      </c>
      <c r="K1293" t="s" s="2">
        <v>202</v>
      </c>
      <c r="L1293" t="s" s="2">
        <v>618</v>
      </c>
      <c r="M1293" s="5">
        <v>426624</v>
      </c>
      <c r="N1293" s="5">
        <v>6148112</v>
      </c>
      <c r="O1293" t="s" s="2">
        <v>1492</v>
      </c>
      <c r="P1293" t="s" s="2">
        <v>2603</v>
      </c>
      <c r="Q1293" t="s" s="2">
        <v>2527</v>
      </c>
      <c r="R1293" t="s" s="2">
        <f>_xlfn.IFERROR(INDEX('model_byCAP'!$D$2:$D$377,MATCH(Q1293,'model_byCAP'!$A$2:$A$377,0)),0)</f>
        <v>2490</v>
      </c>
    </row>
    <row r="1294" ht="15.35" customHeight="1">
      <c r="A1294" t="s" s="2">
        <v>2604</v>
      </c>
      <c r="B1294" s="4">
        <v>37561</v>
      </c>
      <c r="C1294" s="5">
        <v>2000</v>
      </c>
      <c r="D1294" s="5">
        <v>80</v>
      </c>
      <c r="E1294" s="5">
        <v>70</v>
      </c>
      <c r="F1294" t="s" s="2">
        <v>301</v>
      </c>
      <c r="G1294" t="s" s="2">
        <v>2525</v>
      </c>
      <c r="H1294" s="5">
        <v>561</v>
      </c>
      <c r="I1294" t="s" s="2">
        <v>196</v>
      </c>
      <c r="J1294" t="s" s="2">
        <v>47</v>
      </c>
      <c r="K1294" t="s" s="2">
        <v>202</v>
      </c>
      <c r="L1294" t="s" s="2">
        <v>618</v>
      </c>
      <c r="M1294" s="5">
        <v>426692</v>
      </c>
      <c r="N1294" s="5">
        <v>6147556</v>
      </c>
      <c r="O1294" t="s" s="2">
        <v>1492</v>
      </c>
      <c r="P1294" t="s" s="2">
        <v>2605</v>
      </c>
      <c r="Q1294" t="s" s="2">
        <v>2527</v>
      </c>
      <c r="R1294" t="s" s="2">
        <f>_xlfn.IFERROR(INDEX('model_byCAP'!$D$2:$D$377,MATCH(Q1294,'model_byCAP'!$A$2:$A$377,0)),0)</f>
        <v>2490</v>
      </c>
    </row>
    <row r="1295" ht="15.35" customHeight="1">
      <c r="A1295" t="s" s="2">
        <v>2606</v>
      </c>
      <c r="B1295" s="4">
        <v>37489</v>
      </c>
      <c r="C1295" s="5">
        <v>2000</v>
      </c>
      <c r="D1295" s="5">
        <v>80</v>
      </c>
      <c r="E1295" s="5">
        <v>70</v>
      </c>
      <c r="F1295" t="s" s="2">
        <v>301</v>
      </c>
      <c r="G1295" t="s" s="2">
        <v>2525</v>
      </c>
      <c r="H1295" s="5">
        <v>561</v>
      </c>
      <c r="I1295" t="s" s="2">
        <v>196</v>
      </c>
      <c r="J1295" t="s" s="2">
        <v>47</v>
      </c>
      <c r="K1295" t="s" s="2">
        <v>202</v>
      </c>
      <c r="L1295" t="s" s="2">
        <v>618</v>
      </c>
      <c r="M1295" s="5">
        <v>426774</v>
      </c>
      <c r="N1295" s="5">
        <v>6151447</v>
      </c>
      <c r="O1295" t="s" s="2">
        <v>1492</v>
      </c>
      <c r="P1295" t="s" s="2">
        <v>2607</v>
      </c>
      <c r="Q1295" t="s" s="2">
        <v>2527</v>
      </c>
      <c r="R1295" t="s" s="2">
        <f>_xlfn.IFERROR(INDEX('model_byCAP'!$D$2:$D$377,MATCH(Q1295,'model_byCAP'!$A$2:$A$377,0)),0)</f>
        <v>2490</v>
      </c>
    </row>
    <row r="1296" ht="15.35" customHeight="1">
      <c r="A1296" t="s" s="2">
        <v>2608</v>
      </c>
      <c r="B1296" s="4">
        <v>37580</v>
      </c>
      <c r="C1296" s="5">
        <v>2000</v>
      </c>
      <c r="D1296" s="5">
        <v>80</v>
      </c>
      <c r="E1296" s="5">
        <v>70</v>
      </c>
      <c r="F1296" t="s" s="2">
        <v>301</v>
      </c>
      <c r="G1296" t="s" s="2">
        <v>2525</v>
      </c>
      <c r="H1296" s="5">
        <v>561</v>
      </c>
      <c r="I1296" t="s" s="2">
        <v>196</v>
      </c>
      <c r="J1296" t="s" s="2">
        <v>47</v>
      </c>
      <c r="K1296" t="s" s="2">
        <v>202</v>
      </c>
      <c r="L1296" t="s" s="2">
        <v>618</v>
      </c>
      <c r="M1296" s="5">
        <v>426842</v>
      </c>
      <c r="N1296" s="5">
        <v>6150891</v>
      </c>
      <c r="O1296" t="s" s="2">
        <v>1492</v>
      </c>
      <c r="P1296" t="s" s="2">
        <v>2609</v>
      </c>
      <c r="Q1296" t="s" s="2">
        <v>2527</v>
      </c>
      <c r="R1296" t="s" s="2">
        <f>_xlfn.IFERROR(INDEX('model_byCAP'!$D$2:$D$377,MATCH(Q1296,'model_byCAP'!$A$2:$A$377,0)),0)</f>
        <v>2490</v>
      </c>
    </row>
    <row r="1297" ht="15.35" customHeight="1">
      <c r="A1297" t="s" s="2">
        <v>2610</v>
      </c>
      <c r="B1297" s="4">
        <v>37564</v>
      </c>
      <c r="C1297" s="5">
        <v>2000</v>
      </c>
      <c r="D1297" s="5">
        <v>80</v>
      </c>
      <c r="E1297" s="5">
        <v>70</v>
      </c>
      <c r="F1297" t="s" s="2">
        <v>301</v>
      </c>
      <c r="G1297" t="s" s="2">
        <v>2525</v>
      </c>
      <c r="H1297" s="5">
        <v>561</v>
      </c>
      <c r="I1297" t="s" s="2">
        <v>196</v>
      </c>
      <c r="J1297" t="s" s="2">
        <v>47</v>
      </c>
      <c r="K1297" t="s" s="2">
        <v>202</v>
      </c>
      <c r="L1297" t="s" s="2">
        <v>618</v>
      </c>
      <c r="M1297" s="5">
        <v>426911</v>
      </c>
      <c r="N1297" s="5">
        <v>6150335</v>
      </c>
      <c r="O1297" t="s" s="2">
        <v>1492</v>
      </c>
      <c r="P1297" t="s" s="2">
        <v>2611</v>
      </c>
      <c r="Q1297" t="s" s="2">
        <v>2527</v>
      </c>
      <c r="R1297" t="s" s="2">
        <f>_xlfn.IFERROR(INDEX('model_byCAP'!$D$2:$D$377,MATCH(Q1297,'model_byCAP'!$A$2:$A$377,0)),0)</f>
        <v>2490</v>
      </c>
    </row>
    <row r="1298" ht="15.35" customHeight="1">
      <c r="A1298" t="s" s="2">
        <v>2612</v>
      </c>
      <c r="B1298" s="4">
        <v>37561</v>
      </c>
      <c r="C1298" s="5">
        <v>2000</v>
      </c>
      <c r="D1298" s="5">
        <v>80</v>
      </c>
      <c r="E1298" s="5">
        <v>70</v>
      </c>
      <c r="F1298" t="s" s="2">
        <v>301</v>
      </c>
      <c r="G1298" t="s" s="2">
        <v>2525</v>
      </c>
      <c r="H1298" s="5">
        <v>561</v>
      </c>
      <c r="I1298" t="s" s="2">
        <v>196</v>
      </c>
      <c r="J1298" t="s" s="2">
        <v>47</v>
      </c>
      <c r="K1298" t="s" s="2">
        <v>202</v>
      </c>
      <c r="L1298" t="s" s="2">
        <v>618</v>
      </c>
      <c r="M1298" s="5">
        <v>426979</v>
      </c>
      <c r="N1298" s="5">
        <v>6149780</v>
      </c>
      <c r="O1298" t="s" s="2">
        <v>1492</v>
      </c>
      <c r="P1298" t="s" s="2">
        <v>2613</v>
      </c>
      <c r="Q1298" t="s" s="2">
        <v>2527</v>
      </c>
      <c r="R1298" t="s" s="2">
        <f>_xlfn.IFERROR(INDEX('model_byCAP'!$D$2:$D$377,MATCH(Q1298,'model_byCAP'!$A$2:$A$377,0)),0)</f>
        <v>2490</v>
      </c>
    </row>
    <row r="1299" ht="15.35" customHeight="1">
      <c r="A1299" t="s" s="2">
        <v>2614</v>
      </c>
      <c r="B1299" s="4">
        <v>37577</v>
      </c>
      <c r="C1299" s="5">
        <v>2000</v>
      </c>
      <c r="D1299" s="5">
        <v>80</v>
      </c>
      <c r="E1299" s="5">
        <v>70</v>
      </c>
      <c r="F1299" t="s" s="2">
        <v>301</v>
      </c>
      <c r="G1299" t="s" s="2">
        <v>2525</v>
      </c>
      <c r="H1299" s="5">
        <v>561</v>
      </c>
      <c r="I1299" t="s" s="2">
        <v>196</v>
      </c>
      <c r="J1299" t="s" s="2">
        <v>47</v>
      </c>
      <c r="K1299" t="s" s="2">
        <v>202</v>
      </c>
      <c r="L1299" t="s" s="2">
        <v>618</v>
      </c>
      <c r="M1299" s="5">
        <v>427047</v>
      </c>
      <c r="N1299" s="5">
        <v>6149224</v>
      </c>
      <c r="O1299" t="s" s="2">
        <v>1492</v>
      </c>
      <c r="P1299" t="s" s="2">
        <v>2615</v>
      </c>
      <c r="Q1299" t="s" s="2">
        <v>2527</v>
      </c>
      <c r="R1299" t="s" s="2">
        <f>_xlfn.IFERROR(INDEX('model_byCAP'!$D$2:$D$377,MATCH(Q1299,'model_byCAP'!$A$2:$A$377,0)),0)</f>
        <v>2490</v>
      </c>
    </row>
    <row r="1300" ht="15.35" customHeight="1">
      <c r="A1300" t="s" s="2">
        <v>2616</v>
      </c>
      <c r="B1300" s="4">
        <v>37575</v>
      </c>
      <c r="C1300" s="5">
        <v>2000</v>
      </c>
      <c r="D1300" s="5">
        <v>80</v>
      </c>
      <c r="E1300" s="5">
        <v>70</v>
      </c>
      <c r="F1300" t="s" s="2">
        <v>301</v>
      </c>
      <c r="G1300" t="s" s="2">
        <v>2525</v>
      </c>
      <c r="H1300" s="5">
        <v>561</v>
      </c>
      <c r="I1300" t="s" s="2">
        <v>196</v>
      </c>
      <c r="J1300" t="s" s="2">
        <v>47</v>
      </c>
      <c r="K1300" t="s" s="2">
        <v>202</v>
      </c>
      <c r="L1300" t="s" s="2">
        <v>618</v>
      </c>
      <c r="M1300" s="5">
        <v>427115</v>
      </c>
      <c r="N1300" s="5">
        <v>6148668</v>
      </c>
      <c r="O1300" t="s" s="2">
        <v>1492</v>
      </c>
      <c r="P1300" t="s" s="2">
        <v>2617</v>
      </c>
      <c r="Q1300" t="s" s="2">
        <v>2527</v>
      </c>
      <c r="R1300" t="s" s="2">
        <f>_xlfn.IFERROR(INDEX('model_byCAP'!$D$2:$D$377,MATCH(Q1300,'model_byCAP'!$A$2:$A$377,0)),0)</f>
        <v>2490</v>
      </c>
    </row>
    <row r="1301" ht="15.35" customHeight="1">
      <c r="A1301" t="s" s="2">
        <v>2618</v>
      </c>
      <c r="B1301" s="4">
        <v>37580</v>
      </c>
      <c r="C1301" s="5">
        <v>2000</v>
      </c>
      <c r="D1301" s="5">
        <v>80</v>
      </c>
      <c r="E1301" s="5">
        <v>70</v>
      </c>
      <c r="F1301" t="s" s="2">
        <v>301</v>
      </c>
      <c r="G1301" t="s" s="2">
        <v>2525</v>
      </c>
      <c r="H1301" s="5">
        <v>561</v>
      </c>
      <c r="I1301" t="s" s="2">
        <v>196</v>
      </c>
      <c r="J1301" t="s" s="2">
        <v>47</v>
      </c>
      <c r="K1301" t="s" s="2">
        <v>202</v>
      </c>
      <c r="L1301" t="s" s="2">
        <v>618</v>
      </c>
      <c r="M1301" s="5">
        <v>427184</v>
      </c>
      <c r="N1301" s="5">
        <v>6148112</v>
      </c>
      <c r="O1301" t="s" s="2">
        <v>1492</v>
      </c>
      <c r="P1301" t="s" s="2">
        <v>2619</v>
      </c>
      <c r="Q1301" t="s" s="2">
        <v>2527</v>
      </c>
      <c r="R1301" t="s" s="2">
        <f>_xlfn.IFERROR(INDEX('model_byCAP'!$D$2:$D$377,MATCH(Q1301,'model_byCAP'!$A$2:$A$377,0)),0)</f>
        <v>2490</v>
      </c>
    </row>
    <row r="1302" ht="15.35" customHeight="1">
      <c r="A1302" t="s" s="2">
        <v>2620</v>
      </c>
      <c r="B1302" s="4">
        <v>37567</v>
      </c>
      <c r="C1302" s="5">
        <v>2000</v>
      </c>
      <c r="D1302" s="5">
        <v>80</v>
      </c>
      <c r="E1302" s="5">
        <v>70</v>
      </c>
      <c r="F1302" t="s" s="2">
        <v>301</v>
      </c>
      <c r="G1302" t="s" s="2">
        <v>2525</v>
      </c>
      <c r="H1302" s="5">
        <v>561</v>
      </c>
      <c r="I1302" t="s" s="2">
        <v>196</v>
      </c>
      <c r="J1302" t="s" s="2">
        <v>47</v>
      </c>
      <c r="K1302" t="s" s="2">
        <v>202</v>
      </c>
      <c r="L1302" t="s" s="2">
        <v>618</v>
      </c>
      <c r="M1302" s="5">
        <v>427252</v>
      </c>
      <c r="N1302" s="5">
        <v>6147556</v>
      </c>
      <c r="O1302" t="s" s="2">
        <v>1492</v>
      </c>
      <c r="P1302" t="s" s="2">
        <v>2621</v>
      </c>
      <c r="Q1302" t="s" s="2">
        <v>2527</v>
      </c>
      <c r="R1302" t="s" s="2">
        <f>_xlfn.IFERROR(INDEX('model_byCAP'!$D$2:$D$377,MATCH(Q1302,'model_byCAP'!$A$2:$A$377,0)),0)</f>
        <v>2490</v>
      </c>
    </row>
    <row r="1303" ht="15.35" customHeight="1">
      <c r="A1303" t="s" s="2">
        <v>2622</v>
      </c>
      <c r="B1303" s="4">
        <v>37576</v>
      </c>
      <c r="C1303" s="5">
        <v>2000</v>
      </c>
      <c r="D1303" s="5">
        <v>80</v>
      </c>
      <c r="E1303" s="5">
        <v>70</v>
      </c>
      <c r="F1303" t="s" s="2">
        <v>301</v>
      </c>
      <c r="G1303" t="s" s="2">
        <v>2525</v>
      </c>
      <c r="H1303" s="5">
        <v>561</v>
      </c>
      <c r="I1303" t="s" s="2">
        <v>196</v>
      </c>
      <c r="J1303" t="s" s="2">
        <v>47</v>
      </c>
      <c r="K1303" t="s" s="2">
        <v>202</v>
      </c>
      <c r="L1303" t="s" s="2">
        <v>618</v>
      </c>
      <c r="M1303" s="5">
        <v>427334</v>
      </c>
      <c r="N1303" s="5">
        <v>6151447</v>
      </c>
      <c r="O1303" t="s" s="2">
        <v>1492</v>
      </c>
      <c r="P1303" t="s" s="2">
        <v>2623</v>
      </c>
      <c r="Q1303" t="s" s="2">
        <v>2527</v>
      </c>
      <c r="R1303" t="s" s="2">
        <f>_xlfn.IFERROR(INDEX('model_byCAP'!$D$2:$D$377,MATCH(Q1303,'model_byCAP'!$A$2:$A$377,0)),0)</f>
        <v>2490</v>
      </c>
    </row>
    <row r="1304" ht="15.35" customHeight="1">
      <c r="A1304" t="s" s="2">
        <v>2624</v>
      </c>
      <c r="B1304" s="4">
        <v>37561</v>
      </c>
      <c r="C1304" s="5">
        <v>2000</v>
      </c>
      <c r="D1304" s="5">
        <v>80</v>
      </c>
      <c r="E1304" s="5">
        <v>70</v>
      </c>
      <c r="F1304" t="s" s="2">
        <v>301</v>
      </c>
      <c r="G1304" t="s" s="2">
        <v>2525</v>
      </c>
      <c r="H1304" s="5">
        <v>561</v>
      </c>
      <c r="I1304" t="s" s="2">
        <v>196</v>
      </c>
      <c r="J1304" t="s" s="2">
        <v>47</v>
      </c>
      <c r="K1304" t="s" s="2">
        <v>202</v>
      </c>
      <c r="L1304" t="s" s="2">
        <v>618</v>
      </c>
      <c r="M1304" s="5">
        <v>427402</v>
      </c>
      <c r="N1304" s="5">
        <v>6150891</v>
      </c>
      <c r="O1304" t="s" s="2">
        <v>1492</v>
      </c>
      <c r="P1304" t="s" s="2">
        <v>2625</v>
      </c>
      <c r="Q1304" t="s" s="2">
        <v>2527</v>
      </c>
      <c r="R1304" t="s" s="2">
        <f>_xlfn.IFERROR(INDEX('model_byCAP'!$D$2:$D$377,MATCH(Q1304,'model_byCAP'!$A$2:$A$377,0)),0)</f>
        <v>2490</v>
      </c>
    </row>
    <row r="1305" ht="15.35" customHeight="1">
      <c r="A1305" t="s" s="2">
        <v>2626</v>
      </c>
      <c r="B1305" s="4">
        <v>37575</v>
      </c>
      <c r="C1305" s="5">
        <v>2000</v>
      </c>
      <c r="D1305" s="5">
        <v>80</v>
      </c>
      <c r="E1305" s="5">
        <v>70</v>
      </c>
      <c r="F1305" t="s" s="2">
        <v>301</v>
      </c>
      <c r="G1305" t="s" s="2">
        <v>2525</v>
      </c>
      <c r="H1305" s="5">
        <v>561</v>
      </c>
      <c r="I1305" t="s" s="2">
        <v>196</v>
      </c>
      <c r="J1305" t="s" s="2">
        <v>47</v>
      </c>
      <c r="K1305" t="s" s="2">
        <v>202</v>
      </c>
      <c r="L1305" t="s" s="2">
        <v>618</v>
      </c>
      <c r="M1305" s="5">
        <v>427471</v>
      </c>
      <c r="N1305" s="5">
        <v>6150335</v>
      </c>
      <c r="O1305" t="s" s="2">
        <v>1492</v>
      </c>
      <c r="P1305" t="s" s="2">
        <v>2627</v>
      </c>
      <c r="Q1305" t="s" s="2">
        <v>2527</v>
      </c>
      <c r="R1305" t="s" s="2">
        <f>_xlfn.IFERROR(INDEX('model_byCAP'!$D$2:$D$377,MATCH(Q1305,'model_byCAP'!$A$2:$A$377,0)),0)</f>
        <v>2490</v>
      </c>
    </row>
    <row r="1306" ht="15.35" customHeight="1">
      <c r="A1306" t="s" s="2">
        <v>2628</v>
      </c>
      <c r="B1306" s="4">
        <v>37575</v>
      </c>
      <c r="C1306" s="5">
        <v>2000</v>
      </c>
      <c r="D1306" s="5">
        <v>80</v>
      </c>
      <c r="E1306" s="5">
        <v>70</v>
      </c>
      <c r="F1306" t="s" s="2">
        <v>301</v>
      </c>
      <c r="G1306" t="s" s="2">
        <v>2525</v>
      </c>
      <c r="H1306" s="5">
        <v>561</v>
      </c>
      <c r="I1306" t="s" s="2">
        <v>196</v>
      </c>
      <c r="J1306" t="s" s="2">
        <v>47</v>
      </c>
      <c r="K1306" t="s" s="2">
        <v>202</v>
      </c>
      <c r="L1306" t="s" s="2">
        <v>618</v>
      </c>
      <c r="M1306" s="5">
        <v>427539</v>
      </c>
      <c r="N1306" s="5">
        <v>6149780</v>
      </c>
      <c r="O1306" t="s" s="2">
        <v>1492</v>
      </c>
      <c r="P1306" t="s" s="2">
        <v>2629</v>
      </c>
      <c r="Q1306" t="s" s="2">
        <v>2527</v>
      </c>
      <c r="R1306" t="s" s="2">
        <f>_xlfn.IFERROR(INDEX('model_byCAP'!$D$2:$D$377,MATCH(Q1306,'model_byCAP'!$A$2:$A$377,0)),0)</f>
        <v>2490</v>
      </c>
    </row>
    <row r="1307" ht="15.35" customHeight="1">
      <c r="A1307" t="s" s="2">
        <v>2630</v>
      </c>
      <c r="B1307" s="4">
        <v>37577</v>
      </c>
      <c r="C1307" s="5">
        <v>2000</v>
      </c>
      <c r="D1307" s="5">
        <v>80</v>
      </c>
      <c r="E1307" s="5">
        <v>70</v>
      </c>
      <c r="F1307" t="s" s="2">
        <v>301</v>
      </c>
      <c r="G1307" t="s" s="2">
        <v>2525</v>
      </c>
      <c r="H1307" s="5">
        <v>561</v>
      </c>
      <c r="I1307" t="s" s="2">
        <v>196</v>
      </c>
      <c r="J1307" t="s" s="2">
        <v>47</v>
      </c>
      <c r="K1307" t="s" s="2">
        <v>202</v>
      </c>
      <c r="L1307" t="s" s="2">
        <v>618</v>
      </c>
      <c r="M1307" s="5">
        <v>427607</v>
      </c>
      <c r="N1307" s="5">
        <v>6149224</v>
      </c>
      <c r="O1307" t="s" s="2">
        <v>1492</v>
      </c>
      <c r="P1307" t="s" s="2">
        <v>2631</v>
      </c>
      <c r="Q1307" t="s" s="2">
        <v>2527</v>
      </c>
      <c r="R1307" t="s" s="2">
        <f>_xlfn.IFERROR(INDEX('model_byCAP'!$D$2:$D$377,MATCH(Q1307,'model_byCAP'!$A$2:$A$377,0)),0)</f>
        <v>2490</v>
      </c>
    </row>
    <row r="1308" ht="15.35" customHeight="1">
      <c r="A1308" t="s" s="2">
        <v>2632</v>
      </c>
      <c r="B1308" s="4">
        <v>37579</v>
      </c>
      <c r="C1308" s="5">
        <v>2000</v>
      </c>
      <c r="D1308" s="5">
        <v>80</v>
      </c>
      <c r="E1308" s="5">
        <v>70</v>
      </c>
      <c r="F1308" t="s" s="2">
        <v>301</v>
      </c>
      <c r="G1308" t="s" s="2">
        <v>2525</v>
      </c>
      <c r="H1308" s="5">
        <v>561</v>
      </c>
      <c r="I1308" t="s" s="2">
        <v>196</v>
      </c>
      <c r="J1308" t="s" s="2">
        <v>47</v>
      </c>
      <c r="K1308" t="s" s="2">
        <v>202</v>
      </c>
      <c r="L1308" t="s" s="2">
        <v>618</v>
      </c>
      <c r="M1308" s="5">
        <v>427675</v>
      </c>
      <c r="N1308" s="5">
        <v>6148668</v>
      </c>
      <c r="O1308" t="s" s="2">
        <v>1492</v>
      </c>
      <c r="P1308" t="s" s="2">
        <v>2633</v>
      </c>
      <c r="Q1308" t="s" s="2">
        <v>2527</v>
      </c>
      <c r="R1308" t="s" s="2">
        <f>_xlfn.IFERROR(INDEX('model_byCAP'!$D$2:$D$377,MATCH(Q1308,'model_byCAP'!$A$2:$A$377,0)),0)</f>
        <v>2490</v>
      </c>
    </row>
    <row r="1309" ht="15.35" customHeight="1">
      <c r="A1309" t="s" s="2">
        <v>2634</v>
      </c>
      <c r="B1309" s="4">
        <v>37579</v>
      </c>
      <c r="C1309" s="5">
        <v>2000</v>
      </c>
      <c r="D1309" s="5">
        <v>80</v>
      </c>
      <c r="E1309" s="5">
        <v>70</v>
      </c>
      <c r="F1309" t="s" s="2">
        <v>301</v>
      </c>
      <c r="G1309" t="s" s="2">
        <v>2525</v>
      </c>
      <c r="H1309" s="5">
        <v>561</v>
      </c>
      <c r="I1309" t="s" s="2">
        <v>196</v>
      </c>
      <c r="J1309" t="s" s="2">
        <v>47</v>
      </c>
      <c r="K1309" t="s" s="2">
        <v>202</v>
      </c>
      <c r="L1309" t="s" s="2">
        <v>618</v>
      </c>
      <c r="M1309" s="5">
        <v>427744</v>
      </c>
      <c r="N1309" s="5">
        <v>6148112</v>
      </c>
      <c r="O1309" t="s" s="2">
        <v>1492</v>
      </c>
      <c r="P1309" t="s" s="2">
        <v>2635</v>
      </c>
      <c r="Q1309" t="s" s="2">
        <v>2527</v>
      </c>
      <c r="R1309" t="s" s="2">
        <f>_xlfn.IFERROR(INDEX('model_byCAP'!$D$2:$D$377,MATCH(Q1309,'model_byCAP'!$A$2:$A$377,0)),0)</f>
        <v>2490</v>
      </c>
    </row>
    <row r="1310" ht="15.35" customHeight="1">
      <c r="A1310" t="s" s="2">
        <v>2636</v>
      </c>
      <c r="B1310" s="4">
        <v>37575</v>
      </c>
      <c r="C1310" s="5">
        <v>2000</v>
      </c>
      <c r="D1310" s="5">
        <v>80</v>
      </c>
      <c r="E1310" s="5">
        <v>70</v>
      </c>
      <c r="F1310" t="s" s="2">
        <v>301</v>
      </c>
      <c r="G1310" t="s" s="2">
        <v>2525</v>
      </c>
      <c r="H1310" s="5">
        <v>561</v>
      </c>
      <c r="I1310" t="s" s="2">
        <v>196</v>
      </c>
      <c r="J1310" t="s" s="2">
        <v>47</v>
      </c>
      <c r="K1310" t="s" s="2">
        <v>202</v>
      </c>
      <c r="L1310" t="s" s="2">
        <v>618</v>
      </c>
      <c r="M1310" s="5">
        <v>427812</v>
      </c>
      <c r="N1310" s="5">
        <v>6147556</v>
      </c>
      <c r="O1310" t="s" s="2">
        <v>1492</v>
      </c>
      <c r="P1310" t="s" s="2">
        <v>2637</v>
      </c>
      <c r="Q1310" t="s" s="2">
        <v>2527</v>
      </c>
      <c r="R1310" t="s" s="2">
        <f>_xlfn.IFERROR(INDEX('model_byCAP'!$D$2:$D$377,MATCH(Q1310,'model_byCAP'!$A$2:$A$377,0)),0)</f>
        <v>2490</v>
      </c>
    </row>
    <row r="1311" ht="15.35" customHeight="1">
      <c r="A1311" t="s" s="2">
        <v>2638</v>
      </c>
      <c r="B1311" s="4">
        <v>37486</v>
      </c>
      <c r="C1311" s="5">
        <v>2000</v>
      </c>
      <c r="D1311" s="5">
        <v>80</v>
      </c>
      <c r="E1311" s="5">
        <v>70</v>
      </c>
      <c r="F1311" t="s" s="2">
        <v>301</v>
      </c>
      <c r="G1311" t="s" s="2">
        <v>2525</v>
      </c>
      <c r="H1311" s="5">
        <v>561</v>
      </c>
      <c r="I1311" t="s" s="2">
        <v>196</v>
      </c>
      <c r="J1311" t="s" s="2">
        <v>47</v>
      </c>
      <c r="K1311" t="s" s="2">
        <v>202</v>
      </c>
      <c r="L1311" t="s" s="2">
        <v>618</v>
      </c>
      <c r="M1311" s="5">
        <v>427894</v>
      </c>
      <c r="N1311" s="5">
        <v>6151447</v>
      </c>
      <c r="O1311" t="s" s="2">
        <v>1492</v>
      </c>
      <c r="P1311" t="s" s="2">
        <v>2639</v>
      </c>
      <c r="Q1311" t="s" s="2">
        <v>2527</v>
      </c>
      <c r="R1311" t="s" s="2">
        <f>_xlfn.IFERROR(INDEX('model_byCAP'!$D$2:$D$377,MATCH(Q1311,'model_byCAP'!$A$2:$A$377,0)),0)</f>
        <v>2490</v>
      </c>
    </row>
    <row r="1312" ht="15.35" customHeight="1">
      <c r="A1312" t="s" s="2">
        <v>2640</v>
      </c>
      <c r="B1312" s="4">
        <v>37579</v>
      </c>
      <c r="C1312" s="5">
        <v>2000</v>
      </c>
      <c r="D1312" s="5">
        <v>80</v>
      </c>
      <c r="E1312" s="5">
        <v>70</v>
      </c>
      <c r="F1312" t="s" s="2">
        <v>301</v>
      </c>
      <c r="G1312" t="s" s="2">
        <v>2525</v>
      </c>
      <c r="H1312" s="5">
        <v>561</v>
      </c>
      <c r="I1312" t="s" s="2">
        <v>196</v>
      </c>
      <c r="J1312" t="s" s="2">
        <v>47</v>
      </c>
      <c r="K1312" t="s" s="2">
        <v>202</v>
      </c>
      <c r="L1312" t="s" s="2">
        <v>618</v>
      </c>
      <c r="M1312" s="5">
        <v>427962</v>
      </c>
      <c r="N1312" s="5">
        <v>6150891</v>
      </c>
      <c r="O1312" t="s" s="2">
        <v>1492</v>
      </c>
      <c r="P1312" t="s" s="2">
        <v>2641</v>
      </c>
      <c r="Q1312" t="s" s="2">
        <v>2527</v>
      </c>
      <c r="R1312" t="s" s="2">
        <f>_xlfn.IFERROR(INDEX('model_byCAP'!$D$2:$D$377,MATCH(Q1312,'model_byCAP'!$A$2:$A$377,0)),0)</f>
        <v>2490</v>
      </c>
    </row>
    <row r="1313" ht="15.35" customHeight="1">
      <c r="A1313" t="s" s="2">
        <v>2642</v>
      </c>
      <c r="B1313" s="4">
        <v>37579</v>
      </c>
      <c r="C1313" s="5">
        <v>2000</v>
      </c>
      <c r="D1313" s="5">
        <v>80</v>
      </c>
      <c r="E1313" s="5">
        <v>70</v>
      </c>
      <c r="F1313" t="s" s="2">
        <v>301</v>
      </c>
      <c r="G1313" t="s" s="2">
        <v>2525</v>
      </c>
      <c r="H1313" s="5">
        <v>561</v>
      </c>
      <c r="I1313" t="s" s="2">
        <v>196</v>
      </c>
      <c r="J1313" t="s" s="2">
        <v>47</v>
      </c>
      <c r="K1313" t="s" s="2">
        <v>202</v>
      </c>
      <c r="L1313" t="s" s="2">
        <v>618</v>
      </c>
      <c r="M1313" s="5">
        <v>428031</v>
      </c>
      <c r="N1313" s="5">
        <v>6150335</v>
      </c>
      <c r="O1313" t="s" s="2">
        <v>1492</v>
      </c>
      <c r="P1313" t="s" s="2">
        <v>2643</v>
      </c>
      <c r="Q1313" t="s" s="2">
        <v>2527</v>
      </c>
      <c r="R1313" t="s" s="2">
        <f>_xlfn.IFERROR(INDEX('model_byCAP'!$D$2:$D$377,MATCH(Q1313,'model_byCAP'!$A$2:$A$377,0)),0)</f>
        <v>2490</v>
      </c>
    </row>
    <row r="1314" ht="15.35" customHeight="1">
      <c r="A1314" t="s" s="2">
        <v>2644</v>
      </c>
      <c r="B1314" s="4">
        <v>37584</v>
      </c>
      <c r="C1314" s="5">
        <v>2000</v>
      </c>
      <c r="D1314" s="5">
        <v>80</v>
      </c>
      <c r="E1314" s="5">
        <v>70</v>
      </c>
      <c r="F1314" t="s" s="2">
        <v>301</v>
      </c>
      <c r="G1314" t="s" s="2">
        <v>2525</v>
      </c>
      <c r="H1314" s="5">
        <v>561</v>
      </c>
      <c r="I1314" t="s" s="2">
        <v>196</v>
      </c>
      <c r="J1314" t="s" s="2">
        <v>47</v>
      </c>
      <c r="K1314" t="s" s="2">
        <v>202</v>
      </c>
      <c r="L1314" t="s" s="2">
        <v>618</v>
      </c>
      <c r="M1314" s="5">
        <v>428099</v>
      </c>
      <c r="N1314" s="5">
        <v>6149780</v>
      </c>
      <c r="O1314" t="s" s="2">
        <v>1492</v>
      </c>
      <c r="P1314" t="s" s="2">
        <v>2645</v>
      </c>
      <c r="Q1314" t="s" s="2">
        <v>2527</v>
      </c>
      <c r="R1314" t="s" s="2">
        <f>_xlfn.IFERROR(INDEX('model_byCAP'!$D$2:$D$377,MATCH(Q1314,'model_byCAP'!$A$2:$A$377,0)),0)</f>
        <v>2490</v>
      </c>
    </row>
    <row r="1315" ht="15.35" customHeight="1">
      <c r="A1315" t="s" s="2">
        <v>2646</v>
      </c>
      <c r="B1315" s="4">
        <v>37594</v>
      </c>
      <c r="C1315" s="5">
        <v>2000</v>
      </c>
      <c r="D1315" s="5">
        <v>80</v>
      </c>
      <c r="E1315" s="5">
        <v>70</v>
      </c>
      <c r="F1315" t="s" s="2">
        <v>301</v>
      </c>
      <c r="G1315" t="s" s="2">
        <v>2525</v>
      </c>
      <c r="H1315" s="5">
        <v>561</v>
      </c>
      <c r="I1315" t="s" s="2">
        <v>196</v>
      </c>
      <c r="J1315" t="s" s="2">
        <v>47</v>
      </c>
      <c r="K1315" t="s" s="2">
        <v>202</v>
      </c>
      <c r="L1315" t="s" s="2">
        <v>618</v>
      </c>
      <c r="M1315" s="5">
        <v>428167</v>
      </c>
      <c r="N1315" s="5">
        <v>6149224</v>
      </c>
      <c r="O1315" t="s" s="2">
        <v>1492</v>
      </c>
      <c r="P1315" t="s" s="2">
        <v>2647</v>
      </c>
      <c r="Q1315" t="s" s="2">
        <v>2527</v>
      </c>
      <c r="R1315" t="s" s="2">
        <f>_xlfn.IFERROR(INDEX('model_byCAP'!$D$2:$D$377,MATCH(Q1315,'model_byCAP'!$A$2:$A$377,0)),0)</f>
        <v>2490</v>
      </c>
    </row>
    <row r="1316" ht="15.35" customHeight="1">
      <c r="A1316" t="s" s="2">
        <v>2648</v>
      </c>
      <c r="B1316" s="4">
        <v>37579</v>
      </c>
      <c r="C1316" s="5">
        <v>2000</v>
      </c>
      <c r="D1316" s="5">
        <v>80</v>
      </c>
      <c r="E1316" s="5">
        <v>70</v>
      </c>
      <c r="F1316" t="s" s="2">
        <v>301</v>
      </c>
      <c r="G1316" t="s" s="2">
        <v>2525</v>
      </c>
      <c r="H1316" s="5">
        <v>561</v>
      </c>
      <c r="I1316" t="s" s="2">
        <v>196</v>
      </c>
      <c r="J1316" t="s" s="2">
        <v>47</v>
      </c>
      <c r="K1316" t="s" s="2">
        <v>202</v>
      </c>
      <c r="L1316" t="s" s="2">
        <v>618</v>
      </c>
      <c r="M1316" s="5">
        <v>428235</v>
      </c>
      <c r="N1316" s="5">
        <v>6148668</v>
      </c>
      <c r="O1316" t="s" s="2">
        <v>1492</v>
      </c>
      <c r="P1316" t="s" s="2">
        <v>2649</v>
      </c>
      <c r="Q1316" t="s" s="2">
        <v>2527</v>
      </c>
      <c r="R1316" t="s" s="2">
        <f>_xlfn.IFERROR(INDEX('model_byCAP'!$D$2:$D$377,MATCH(Q1316,'model_byCAP'!$A$2:$A$377,0)),0)</f>
        <v>2490</v>
      </c>
    </row>
    <row r="1317" ht="15.35" customHeight="1">
      <c r="A1317" t="s" s="2">
        <v>2650</v>
      </c>
      <c r="B1317" s="4">
        <v>37580</v>
      </c>
      <c r="C1317" s="5">
        <v>2000</v>
      </c>
      <c r="D1317" s="5">
        <v>80</v>
      </c>
      <c r="E1317" s="5">
        <v>70</v>
      </c>
      <c r="F1317" t="s" s="2">
        <v>301</v>
      </c>
      <c r="G1317" t="s" s="2">
        <v>2525</v>
      </c>
      <c r="H1317" s="5">
        <v>561</v>
      </c>
      <c r="I1317" t="s" s="2">
        <v>196</v>
      </c>
      <c r="J1317" t="s" s="2">
        <v>47</v>
      </c>
      <c r="K1317" t="s" s="2">
        <v>202</v>
      </c>
      <c r="L1317" t="s" s="2">
        <v>618</v>
      </c>
      <c r="M1317" s="5">
        <v>428304</v>
      </c>
      <c r="N1317" s="5">
        <v>6148112</v>
      </c>
      <c r="O1317" t="s" s="2">
        <v>1492</v>
      </c>
      <c r="P1317" t="s" s="2">
        <v>2651</v>
      </c>
      <c r="Q1317" t="s" s="2">
        <v>2527</v>
      </c>
      <c r="R1317" t="s" s="2">
        <f>_xlfn.IFERROR(INDEX('model_byCAP'!$D$2:$D$377,MATCH(Q1317,'model_byCAP'!$A$2:$A$377,0)),0)</f>
        <v>2490</v>
      </c>
    </row>
    <row r="1318" ht="15.35" customHeight="1">
      <c r="A1318" t="s" s="2">
        <v>2652</v>
      </c>
      <c r="B1318" s="4">
        <v>37579</v>
      </c>
      <c r="C1318" s="5">
        <v>2000</v>
      </c>
      <c r="D1318" s="5">
        <v>80</v>
      </c>
      <c r="E1318" s="5">
        <v>70</v>
      </c>
      <c r="F1318" t="s" s="2">
        <v>301</v>
      </c>
      <c r="G1318" t="s" s="2">
        <v>2525</v>
      </c>
      <c r="H1318" s="5">
        <v>561</v>
      </c>
      <c r="I1318" t="s" s="2">
        <v>196</v>
      </c>
      <c r="J1318" t="s" s="2">
        <v>47</v>
      </c>
      <c r="K1318" t="s" s="2">
        <v>202</v>
      </c>
      <c r="L1318" t="s" s="2">
        <v>618</v>
      </c>
      <c r="M1318" s="5">
        <v>428372</v>
      </c>
      <c r="N1318" s="5">
        <v>6147556</v>
      </c>
      <c r="O1318" t="s" s="2">
        <v>1492</v>
      </c>
      <c r="P1318" t="s" s="2">
        <v>2653</v>
      </c>
      <c r="Q1318" t="s" s="2">
        <v>2527</v>
      </c>
      <c r="R1318" t="s" s="2">
        <f>_xlfn.IFERROR(INDEX('model_byCAP'!$D$2:$D$377,MATCH(Q1318,'model_byCAP'!$A$2:$A$377,0)),0)</f>
        <v>2490</v>
      </c>
    </row>
    <row r="1319" ht="15.35" customHeight="1">
      <c r="A1319" t="s" s="2">
        <v>2654</v>
      </c>
      <c r="B1319" s="4">
        <v>37483</v>
      </c>
      <c r="C1319" s="5">
        <v>2000</v>
      </c>
      <c r="D1319" s="5">
        <v>80</v>
      </c>
      <c r="E1319" s="5">
        <v>70</v>
      </c>
      <c r="F1319" t="s" s="2">
        <v>301</v>
      </c>
      <c r="G1319" t="s" s="2">
        <v>2525</v>
      </c>
      <c r="H1319" s="5">
        <v>561</v>
      </c>
      <c r="I1319" t="s" s="2">
        <v>196</v>
      </c>
      <c r="J1319" t="s" s="2">
        <v>47</v>
      </c>
      <c r="K1319" t="s" s="2">
        <v>202</v>
      </c>
      <c r="L1319" t="s" s="2">
        <v>618</v>
      </c>
      <c r="M1319" s="5">
        <v>428454</v>
      </c>
      <c r="N1319" s="5">
        <v>6151447</v>
      </c>
      <c r="O1319" t="s" s="2">
        <v>1492</v>
      </c>
      <c r="P1319" t="s" s="2">
        <v>2655</v>
      </c>
      <c r="Q1319" t="s" s="2">
        <v>2527</v>
      </c>
      <c r="R1319" t="s" s="2">
        <f>_xlfn.IFERROR(INDEX('model_byCAP'!$D$2:$D$377,MATCH(Q1319,'model_byCAP'!$A$2:$A$377,0)),0)</f>
        <v>2490</v>
      </c>
    </row>
    <row r="1320" ht="15.35" customHeight="1">
      <c r="A1320" t="s" s="2">
        <v>2656</v>
      </c>
      <c r="B1320" s="4">
        <v>37590</v>
      </c>
      <c r="C1320" s="5">
        <v>2000</v>
      </c>
      <c r="D1320" s="5">
        <v>80</v>
      </c>
      <c r="E1320" s="5">
        <v>70</v>
      </c>
      <c r="F1320" t="s" s="2">
        <v>301</v>
      </c>
      <c r="G1320" t="s" s="2">
        <v>2525</v>
      </c>
      <c r="H1320" s="5">
        <v>561</v>
      </c>
      <c r="I1320" t="s" s="2">
        <v>196</v>
      </c>
      <c r="J1320" t="s" s="2">
        <v>47</v>
      </c>
      <c r="K1320" t="s" s="2">
        <v>202</v>
      </c>
      <c r="L1320" t="s" s="2">
        <v>618</v>
      </c>
      <c r="M1320" s="5">
        <v>428522</v>
      </c>
      <c r="N1320" s="5">
        <v>6150891</v>
      </c>
      <c r="O1320" t="s" s="2">
        <v>1492</v>
      </c>
      <c r="P1320" t="s" s="2">
        <v>2657</v>
      </c>
      <c r="Q1320" t="s" s="2">
        <v>2527</v>
      </c>
      <c r="R1320" t="s" s="2">
        <f>_xlfn.IFERROR(INDEX('model_byCAP'!$D$2:$D$377,MATCH(Q1320,'model_byCAP'!$A$2:$A$377,0)),0)</f>
        <v>2490</v>
      </c>
    </row>
    <row r="1321" ht="15.35" customHeight="1">
      <c r="A1321" t="s" s="2">
        <v>2658</v>
      </c>
      <c r="B1321" s="4">
        <v>37591</v>
      </c>
      <c r="C1321" s="5">
        <v>2000</v>
      </c>
      <c r="D1321" s="5">
        <v>80</v>
      </c>
      <c r="E1321" s="5">
        <v>70</v>
      </c>
      <c r="F1321" t="s" s="2">
        <v>301</v>
      </c>
      <c r="G1321" t="s" s="2">
        <v>2525</v>
      </c>
      <c r="H1321" s="5">
        <v>561</v>
      </c>
      <c r="I1321" t="s" s="2">
        <v>196</v>
      </c>
      <c r="J1321" t="s" s="2">
        <v>47</v>
      </c>
      <c r="K1321" t="s" s="2">
        <v>202</v>
      </c>
      <c r="L1321" t="s" s="2">
        <v>618</v>
      </c>
      <c r="M1321" s="5">
        <v>428591</v>
      </c>
      <c r="N1321" s="5">
        <v>6150335</v>
      </c>
      <c r="O1321" t="s" s="2">
        <v>1492</v>
      </c>
      <c r="P1321" t="s" s="2">
        <v>2659</v>
      </c>
      <c r="Q1321" t="s" s="2">
        <v>2527</v>
      </c>
      <c r="R1321" t="s" s="2">
        <f>_xlfn.IFERROR(INDEX('model_byCAP'!$D$2:$D$377,MATCH(Q1321,'model_byCAP'!$A$2:$A$377,0)),0)</f>
        <v>2490</v>
      </c>
    </row>
    <row r="1322" ht="15.35" customHeight="1">
      <c r="A1322" t="s" s="2">
        <v>2660</v>
      </c>
      <c r="B1322" s="4">
        <v>37594</v>
      </c>
      <c r="C1322" s="5">
        <v>2000</v>
      </c>
      <c r="D1322" s="5">
        <v>80</v>
      </c>
      <c r="E1322" s="5">
        <v>70</v>
      </c>
      <c r="F1322" t="s" s="2">
        <v>301</v>
      </c>
      <c r="G1322" t="s" s="2">
        <v>2525</v>
      </c>
      <c r="H1322" s="5">
        <v>561</v>
      </c>
      <c r="I1322" t="s" s="2">
        <v>196</v>
      </c>
      <c r="J1322" t="s" s="2">
        <v>47</v>
      </c>
      <c r="K1322" t="s" s="2">
        <v>202</v>
      </c>
      <c r="L1322" t="s" s="2">
        <v>618</v>
      </c>
      <c r="M1322" s="5">
        <v>428659</v>
      </c>
      <c r="N1322" s="5">
        <v>6149780</v>
      </c>
      <c r="O1322" t="s" s="2">
        <v>1492</v>
      </c>
      <c r="P1322" t="s" s="2">
        <v>2661</v>
      </c>
      <c r="Q1322" t="s" s="2">
        <v>2527</v>
      </c>
      <c r="R1322" t="s" s="2">
        <f>_xlfn.IFERROR(INDEX('model_byCAP'!$D$2:$D$377,MATCH(Q1322,'model_byCAP'!$A$2:$A$377,0)),0)</f>
        <v>2490</v>
      </c>
    </row>
    <row r="1323" ht="15.35" customHeight="1">
      <c r="A1323" t="s" s="2">
        <v>2662</v>
      </c>
      <c r="B1323" s="4">
        <v>37596</v>
      </c>
      <c r="C1323" s="5">
        <v>2000</v>
      </c>
      <c r="D1323" s="5">
        <v>80</v>
      </c>
      <c r="E1323" s="5">
        <v>70</v>
      </c>
      <c r="F1323" t="s" s="2">
        <v>301</v>
      </c>
      <c r="G1323" t="s" s="2">
        <v>2525</v>
      </c>
      <c r="H1323" s="5">
        <v>561</v>
      </c>
      <c r="I1323" t="s" s="2">
        <v>196</v>
      </c>
      <c r="J1323" t="s" s="2">
        <v>47</v>
      </c>
      <c r="K1323" t="s" s="2">
        <v>202</v>
      </c>
      <c r="L1323" t="s" s="2">
        <v>618</v>
      </c>
      <c r="M1323" s="5">
        <v>428727</v>
      </c>
      <c r="N1323" s="5">
        <v>6149224</v>
      </c>
      <c r="O1323" t="s" s="2">
        <v>1492</v>
      </c>
      <c r="P1323" t="s" s="2">
        <v>2663</v>
      </c>
      <c r="Q1323" t="s" s="2">
        <v>2527</v>
      </c>
      <c r="R1323" t="s" s="2">
        <f>_xlfn.IFERROR(INDEX('model_byCAP'!$D$2:$D$377,MATCH(Q1323,'model_byCAP'!$A$2:$A$377,0)),0)</f>
        <v>2490</v>
      </c>
    </row>
    <row r="1324" ht="15.35" customHeight="1">
      <c r="A1324" t="s" s="2">
        <v>2664</v>
      </c>
      <c r="B1324" s="4">
        <v>37580</v>
      </c>
      <c r="C1324" s="5">
        <v>2000</v>
      </c>
      <c r="D1324" s="5">
        <v>80</v>
      </c>
      <c r="E1324" s="5">
        <v>70</v>
      </c>
      <c r="F1324" t="s" s="2">
        <v>301</v>
      </c>
      <c r="G1324" t="s" s="2">
        <v>2525</v>
      </c>
      <c r="H1324" s="5">
        <v>561</v>
      </c>
      <c r="I1324" t="s" s="2">
        <v>196</v>
      </c>
      <c r="J1324" t="s" s="2">
        <v>47</v>
      </c>
      <c r="K1324" t="s" s="2">
        <v>202</v>
      </c>
      <c r="L1324" t="s" s="2">
        <v>618</v>
      </c>
      <c r="M1324" s="5">
        <v>428795</v>
      </c>
      <c r="N1324" s="5">
        <v>6148668</v>
      </c>
      <c r="O1324" t="s" s="2">
        <v>1492</v>
      </c>
      <c r="P1324" t="s" s="2">
        <v>2665</v>
      </c>
      <c r="Q1324" t="s" s="2">
        <v>2527</v>
      </c>
      <c r="R1324" t="s" s="2">
        <f>_xlfn.IFERROR(INDEX('model_byCAP'!$D$2:$D$377,MATCH(Q1324,'model_byCAP'!$A$2:$A$377,0)),0)</f>
        <v>2490</v>
      </c>
    </row>
    <row r="1325" ht="15.35" customHeight="1">
      <c r="A1325" t="s" s="2">
        <v>2666</v>
      </c>
      <c r="B1325" s="4">
        <v>37587</v>
      </c>
      <c r="C1325" s="5">
        <v>2000</v>
      </c>
      <c r="D1325" s="5">
        <v>80</v>
      </c>
      <c r="E1325" s="5">
        <v>70</v>
      </c>
      <c r="F1325" t="s" s="2">
        <v>301</v>
      </c>
      <c r="G1325" t="s" s="2">
        <v>2525</v>
      </c>
      <c r="H1325" s="5">
        <v>561</v>
      </c>
      <c r="I1325" t="s" s="2">
        <v>196</v>
      </c>
      <c r="J1325" t="s" s="2">
        <v>47</v>
      </c>
      <c r="K1325" t="s" s="2">
        <v>202</v>
      </c>
      <c r="L1325" t="s" s="2">
        <v>618</v>
      </c>
      <c r="M1325" s="5">
        <v>428864</v>
      </c>
      <c r="N1325" s="5">
        <v>6148112</v>
      </c>
      <c r="O1325" t="s" s="2">
        <v>1492</v>
      </c>
      <c r="P1325" t="s" s="2">
        <v>2667</v>
      </c>
      <c r="Q1325" t="s" s="2">
        <v>2527</v>
      </c>
      <c r="R1325" t="s" s="2">
        <f>_xlfn.IFERROR(INDEX('model_byCAP'!$D$2:$D$377,MATCH(Q1325,'model_byCAP'!$A$2:$A$377,0)),0)</f>
        <v>2490</v>
      </c>
    </row>
    <row r="1326" ht="15.35" customHeight="1">
      <c r="A1326" t="s" s="2">
        <v>2668</v>
      </c>
      <c r="B1326" s="4">
        <v>37587</v>
      </c>
      <c r="C1326" s="5">
        <v>2000</v>
      </c>
      <c r="D1326" s="5">
        <v>80</v>
      </c>
      <c r="E1326" s="5">
        <v>70</v>
      </c>
      <c r="F1326" t="s" s="2">
        <v>301</v>
      </c>
      <c r="G1326" t="s" s="2">
        <v>2525</v>
      </c>
      <c r="H1326" s="5">
        <v>561</v>
      </c>
      <c r="I1326" t="s" s="2">
        <v>196</v>
      </c>
      <c r="J1326" t="s" s="2">
        <v>47</v>
      </c>
      <c r="K1326" t="s" s="2">
        <v>202</v>
      </c>
      <c r="L1326" t="s" s="2">
        <v>618</v>
      </c>
      <c r="M1326" s="5">
        <v>428932</v>
      </c>
      <c r="N1326" s="5">
        <v>6147556</v>
      </c>
      <c r="O1326" t="s" s="2">
        <v>1492</v>
      </c>
      <c r="P1326" t="s" s="2">
        <v>2669</v>
      </c>
      <c r="Q1326" t="s" s="2">
        <v>2527</v>
      </c>
      <c r="R1326" t="s" s="2">
        <f>_xlfn.IFERROR(INDEX('model_byCAP'!$D$2:$D$377,MATCH(Q1326,'model_byCAP'!$A$2:$A$377,0)),0)</f>
        <v>2490</v>
      </c>
    </row>
    <row r="1327" ht="15.35" customHeight="1">
      <c r="A1327" t="s" s="2">
        <v>2670</v>
      </c>
      <c r="B1327" s="4">
        <v>37466</v>
      </c>
      <c r="C1327" s="5">
        <v>2000</v>
      </c>
      <c r="D1327" s="5">
        <v>80</v>
      </c>
      <c r="E1327" s="5">
        <v>70</v>
      </c>
      <c r="F1327" t="s" s="2">
        <v>301</v>
      </c>
      <c r="G1327" t="s" s="2">
        <v>2525</v>
      </c>
      <c r="H1327" s="5">
        <v>561</v>
      </c>
      <c r="I1327" t="s" s="2">
        <v>196</v>
      </c>
      <c r="J1327" t="s" s="2">
        <v>47</v>
      </c>
      <c r="K1327" t="s" s="2">
        <v>202</v>
      </c>
      <c r="L1327" t="s" s="2">
        <v>618</v>
      </c>
      <c r="M1327" s="5">
        <v>429014</v>
      </c>
      <c r="N1327" s="5">
        <v>6151447</v>
      </c>
      <c r="O1327" t="s" s="2">
        <v>1492</v>
      </c>
      <c r="P1327" t="s" s="2">
        <v>2671</v>
      </c>
      <c r="Q1327" t="s" s="2">
        <v>2527</v>
      </c>
      <c r="R1327" t="s" s="2">
        <f>_xlfn.IFERROR(INDEX('model_byCAP'!$D$2:$D$377,MATCH(Q1327,'model_byCAP'!$A$2:$A$377,0)),0)</f>
        <v>2490</v>
      </c>
    </row>
    <row r="1328" ht="15.35" customHeight="1">
      <c r="A1328" t="s" s="2">
        <v>2672</v>
      </c>
      <c r="B1328" s="4">
        <v>37580</v>
      </c>
      <c r="C1328" s="5">
        <v>2000</v>
      </c>
      <c r="D1328" s="5">
        <v>80</v>
      </c>
      <c r="E1328" s="5">
        <v>70</v>
      </c>
      <c r="F1328" t="s" s="2">
        <v>301</v>
      </c>
      <c r="G1328" t="s" s="2">
        <v>2525</v>
      </c>
      <c r="H1328" s="5">
        <v>561</v>
      </c>
      <c r="I1328" t="s" s="2">
        <v>196</v>
      </c>
      <c r="J1328" t="s" s="2">
        <v>47</v>
      </c>
      <c r="K1328" t="s" s="2">
        <v>202</v>
      </c>
      <c r="L1328" t="s" s="2">
        <v>618</v>
      </c>
      <c r="M1328" s="5">
        <v>429082</v>
      </c>
      <c r="N1328" s="5">
        <v>6150891</v>
      </c>
      <c r="O1328" t="s" s="2">
        <v>1492</v>
      </c>
      <c r="P1328" t="s" s="2">
        <v>2673</v>
      </c>
      <c r="Q1328" t="s" s="2">
        <v>2527</v>
      </c>
      <c r="R1328" t="s" s="2">
        <f>_xlfn.IFERROR(INDEX('model_byCAP'!$D$2:$D$377,MATCH(Q1328,'model_byCAP'!$A$2:$A$377,0)),0)</f>
        <v>2490</v>
      </c>
    </row>
    <row r="1329" ht="15.35" customHeight="1">
      <c r="A1329" t="s" s="2">
        <v>2674</v>
      </c>
      <c r="B1329" s="4">
        <v>37600</v>
      </c>
      <c r="C1329" s="5">
        <v>2000</v>
      </c>
      <c r="D1329" s="5">
        <v>80</v>
      </c>
      <c r="E1329" s="5">
        <v>70</v>
      </c>
      <c r="F1329" t="s" s="2">
        <v>301</v>
      </c>
      <c r="G1329" t="s" s="2">
        <v>2525</v>
      </c>
      <c r="H1329" s="5">
        <v>561</v>
      </c>
      <c r="I1329" t="s" s="2">
        <v>196</v>
      </c>
      <c r="J1329" t="s" s="2">
        <v>47</v>
      </c>
      <c r="K1329" t="s" s="2">
        <v>202</v>
      </c>
      <c r="L1329" t="s" s="2">
        <v>618</v>
      </c>
      <c r="M1329" s="5">
        <v>429151</v>
      </c>
      <c r="N1329" s="5">
        <v>6150335</v>
      </c>
      <c r="O1329" t="s" s="2">
        <v>1492</v>
      </c>
      <c r="P1329" t="s" s="2">
        <v>2675</v>
      </c>
      <c r="Q1329" t="s" s="2">
        <v>2527</v>
      </c>
      <c r="R1329" t="s" s="2">
        <f>_xlfn.IFERROR(INDEX('model_byCAP'!$D$2:$D$377,MATCH(Q1329,'model_byCAP'!$A$2:$A$377,0)),0)</f>
        <v>2490</v>
      </c>
    </row>
    <row r="1330" ht="15.35" customHeight="1">
      <c r="A1330" t="s" s="2">
        <v>2676</v>
      </c>
      <c r="B1330" s="4">
        <v>37585</v>
      </c>
      <c r="C1330" s="5">
        <v>2000</v>
      </c>
      <c r="D1330" s="5">
        <v>80</v>
      </c>
      <c r="E1330" s="5">
        <v>70</v>
      </c>
      <c r="F1330" t="s" s="2">
        <v>301</v>
      </c>
      <c r="G1330" t="s" s="2">
        <v>2525</v>
      </c>
      <c r="H1330" s="5">
        <v>561</v>
      </c>
      <c r="I1330" t="s" s="2">
        <v>196</v>
      </c>
      <c r="J1330" t="s" s="2">
        <v>47</v>
      </c>
      <c r="K1330" t="s" s="2">
        <v>202</v>
      </c>
      <c r="L1330" t="s" s="2">
        <v>618</v>
      </c>
      <c r="M1330" s="5">
        <v>429219</v>
      </c>
      <c r="N1330" s="5">
        <v>6149780</v>
      </c>
      <c r="O1330" t="s" s="2">
        <v>1492</v>
      </c>
      <c r="P1330" t="s" s="2">
        <v>2677</v>
      </c>
      <c r="Q1330" t="s" s="2">
        <v>2527</v>
      </c>
      <c r="R1330" t="s" s="2">
        <f>_xlfn.IFERROR(INDEX('model_byCAP'!$D$2:$D$377,MATCH(Q1330,'model_byCAP'!$A$2:$A$377,0)),0)</f>
        <v>2490</v>
      </c>
    </row>
    <row r="1331" ht="15.35" customHeight="1">
      <c r="A1331" t="s" s="2">
        <v>2678</v>
      </c>
      <c r="B1331" s="4">
        <v>37601</v>
      </c>
      <c r="C1331" s="5">
        <v>2000</v>
      </c>
      <c r="D1331" s="5">
        <v>80</v>
      </c>
      <c r="E1331" s="5">
        <v>70</v>
      </c>
      <c r="F1331" t="s" s="2">
        <v>301</v>
      </c>
      <c r="G1331" t="s" s="2">
        <v>2525</v>
      </c>
      <c r="H1331" s="5">
        <v>561</v>
      </c>
      <c r="I1331" t="s" s="2">
        <v>196</v>
      </c>
      <c r="J1331" t="s" s="2">
        <v>47</v>
      </c>
      <c r="K1331" t="s" s="2">
        <v>202</v>
      </c>
      <c r="L1331" t="s" s="2">
        <v>618</v>
      </c>
      <c r="M1331" s="5">
        <v>429287</v>
      </c>
      <c r="N1331" s="5">
        <v>6149224</v>
      </c>
      <c r="O1331" t="s" s="2">
        <v>1492</v>
      </c>
      <c r="P1331" t="s" s="2">
        <v>2679</v>
      </c>
      <c r="Q1331" t="s" s="2">
        <v>2527</v>
      </c>
      <c r="R1331" t="s" s="2">
        <f>_xlfn.IFERROR(INDEX('model_byCAP'!$D$2:$D$377,MATCH(Q1331,'model_byCAP'!$A$2:$A$377,0)),0)</f>
        <v>2490</v>
      </c>
    </row>
    <row r="1332" ht="15.35" customHeight="1">
      <c r="A1332" t="s" s="2">
        <v>2680</v>
      </c>
      <c r="B1332" s="4">
        <v>37595</v>
      </c>
      <c r="C1332" s="5">
        <v>2000</v>
      </c>
      <c r="D1332" s="5">
        <v>80</v>
      </c>
      <c r="E1332" s="5">
        <v>70</v>
      </c>
      <c r="F1332" t="s" s="2">
        <v>301</v>
      </c>
      <c r="G1332" t="s" s="2">
        <v>2525</v>
      </c>
      <c r="H1332" s="5">
        <v>561</v>
      </c>
      <c r="I1332" t="s" s="2">
        <v>196</v>
      </c>
      <c r="J1332" t="s" s="2">
        <v>47</v>
      </c>
      <c r="K1332" t="s" s="2">
        <v>202</v>
      </c>
      <c r="L1332" t="s" s="2">
        <v>618</v>
      </c>
      <c r="M1332" s="5">
        <v>429355</v>
      </c>
      <c r="N1332" s="5">
        <v>6148668</v>
      </c>
      <c r="O1332" t="s" s="2">
        <v>1492</v>
      </c>
      <c r="P1332" t="s" s="2">
        <v>2681</v>
      </c>
      <c r="Q1332" t="s" s="2">
        <v>2527</v>
      </c>
      <c r="R1332" t="s" s="2">
        <f>_xlfn.IFERROR(INDEX('model_byCAP'!$D$2:$D$377,MATCH(Q1332,'model_byCAP'!$A$2:$A$377,0)),0)</f>
        <v>2490</v>
      </c>
    </row>
    <row r="1333" ht="15.35" customHeight="1">
      <c r="A1333" t="s" s="2">
        <v>2682</v>
      </c>
      <c r="B1333" s="4">
        <v>37600</v>
      </c>
      <c r="C1333" s="5">
        <v>2000</v>
      </c>
      <c r="D1333" s="5">
        <v>80</v>
      </c>
      <c r="E1333" s="5">
        <v>70</v>
      </c>
      <c r="F1333" t="s" s="2">
        <v>301</v>
      </c>
      <c r="G1333" t="s" s="2">
        <v>2525</v>
      </c>
      <c r="H1333" s="5">
        <v>561</v>
      </c>
      <c r="I1333" t="s" s="2">
        <v>196</v>
      </c>
      <c r="J1333" t="s" s="2">
        <v>47</v>
      </c>
      <c r="K1333" t="s" s="2">
        <v>202</v>
      </c>
      <c r="L1333" t="s" s="2">
        <v>618</v>
      </c>
      <c r="M1333" s="5">
        <v>429424</v>
      </c>
      <c r="N1333" s="5">
        <v>6148112</v>
      </c>
      <c r="O1333" t="s" s="2">
        <v>1492</v>
      </c>
      <c r="P1333" t="s" s="2">
        <v>2683</v>
      </c>
      <c r="Q1333" t="s" s="2">
        <v>2527</v>
      </c>
      <c r="R1333" t="s" s="2">
        <f>_xlfn.IFERROR(INDEX('model_byCAP'!$D$2:$D$377,MATCH(Q1333,'model_byCAP'!$A$2:$A$377,0)),0)</f>
        <v>2490</v>
      </c>
    </row>
    <row r="1334" ht="15.35" customHeight="1">
      <c r="A1334" t="s" s="2">
        <v>2684</v>
      </c>
      <c r="B1334" s="4">
        <v>37594</v>
      </c>
      <c r="C1334" s="5">
        <v>2000</v>
      </c>
      <c r="D1334" s="5">
        <v>80</v>
      </c>
      <c r="E1334" s="5">
        <v>70</v>
      </c>
      <c r="F1334" t="s" s="2">
        <v>301</v>
      </c>
      <c r="G1334" t="s" s="2">
        <v>2525</v>
      </c>
      <c r="H1334" s="5">
        <v>561</v>
      </c>
      <c r="I1334" t="s" s="2">
        <v>196</v>
      </c>
      <c r="J1334" t="s" s="2">
        <v>47</v>
      </c>
      <c r="K1334" t="s" s="2">
        <v>202</v>
      </c>
      <c r="L1334" t="s" s="2">
        <v>618</v>
      </c>
      <c r="M1334" s="5">
        <v>429492</v>
      </c>
      <c r="N1334" s="5">
        <v>6147556</v>
      </c>
      <c r="O1334" t="s" s="2">
        <v>1492</v>
      </c>
      <c r="P1334" t="s" s="2">
        <v>2685</v>
      </c>
      <c r="Q1334" t="s" s="2">
        <v>2527</v>
      </c>
      <c r="R1334" t="s" s="2">
        <f>_xlfn.IFERROR(INDEX('model_byCAP'!$D$2:$D$377,MATCH(Q1334,'model_byCAP'!$A$2:$A$377,0)),0)</f>
        <v>2490</v>
      </c>
    </row>
    <row r="1335" ht="15.35" customHeight="1">
      <c r="A1335" t="s" s="2">
        <v>2686</v>
      </c>
      <c r="B1335" s="4">
        <v>39611</v>
      </c>
      <c r="C1335" s="5">
        <v>2000</v>
      </c>
      <c r="D1335" s="5">
        <v>80</v>
      </c>
      <c r="E1335" s="5">
        <v>60</v>
      </c>
      <c r="F1335" t="s" s="2">
        <v>301</v>
      </c>
      <c r="G1335" t="s" s="2">
        <v>2485</v>
      </c>
      <c r="H1335" s="5">
        <v>561</v>
      </c>
      <c r="I1335" t="s" s="2">
        <v>196</v>
      </c>
      <c r="J1335" t="s" s="2">
        <v>22</v>
      </c>
      <c r="K1335" t="s" s="2">
        <v>2687</v>
      </c>
      <c r="L1335" t="s" s="2">
        <v>1765</v>
      </c>
      <c r="M1335" s="5">
        <v>473485.35</v>
      </c>
      <c r="N1335" s="5">
        <v>6145059.45</v>
      </c>
      <c r="O1335" t="s" s="2">
        <v>305</v>
      </c>
      <c r="P1335" s="5">
        <v>344234357</v>
      </c>
      <c r="Q1335" t="s" s="2">
        <v>2489</v>
      </c>
      <c r="R1335" t="s" s="2">
        <f>_xlfn.IFERROR(INDEX('model_byCAP'!$D$2:$D$377,MATCH(Q1335,'model_byCAP'!$A$2:$A$377,0)),0)</f>
        <v>2490</v>
      </c>
    </row>
    <row r="1336" ht="15.35" customHeight="1">
      <c r="A1336" t="s" s="2">
        <v>2688</v>
      </c>
      <c r="B1336" s="4">
        <v>37609</v>
      </c>
      <c r="C1336" s="5">
        <v>2000</v>
      </c>
      <c r="D1336" s="5">
        <v>72</v>
      </c>
      <c r="E1336" s="5">
        <v>64</v>
      </c>
      <c r="F1336" t="s" s="2">
        <v>1746</v>
      </c>
      <c r="G1336" t="s" s="2">
        <v>2689</v>
      </c>
      <c r="H1336" s="5">
        <v>573</v>
      </c>
      <c r="I1336" t="s" s="2">
        <v>1041</v>
      </c>
      <c r="J1336" t="s" s="2">
        <v>22</v>
      </c>
      <c r="K1336" t="s" s="2">
        <v>2690</v>
      </c>
      <c r="L1336" t="s" s="2">
        <v>2351</v>
      </c>
      <c r="M1336" s="5">
        <v>461343.2</v>
      </c>
      <c r="N1336" s="5">
        <v>6170734.11</v>
      </c>
      <c r="O1336" t="s" s="2">
        <v>25</v>
      </c>
      <c r="P1336" s="5">
        <v>344226950</v>
      </c>
      <c r="Q1336" t="s" s="2">
        <v>2691</v>
      </c>
      <c r="R1336" t="s" s="2">
        <f>_xlfn.IFERROR(INDEX('model_byCAP'!$D$2:$D$377,MATCH(Q1336,'model_byCAP'!$A$2:$A$377,0)),0)</f>
        <v>2468</v>
      </c>
    </row>
    <row r="1337" ht="15.35" customHeight="1">
      <c r="A1337" t="s" s="2">
        <v>2692</v>
      </c>
      <c r="B1337" s="4">
        <v>40891</v>
      </c>
      <c r="C1337" s="5">
        <v>2000</v>
      </c>
      <c r="D1337" s="5">
        <v>80</v>
      </c>
      <c r="E1337" s="5">
        <v>60</v>
      </c>
      <c r="F1337" t="s" s="2">
        <v>301</v>
      </c>
      <c r="G1337" t="s" s="2">
        <v>2497</v>
      </c>
      <c r="H1337" s="5">
        <v>580</v>
      </c>
      <c r="I1337" t="s" s="2">
        <v>1542</v>
      </c>
      <c r="J1337" t="s" s="2">
        <v>22</v>
      </c>
      <c r="K1337" t="s" s="2">
        <v>2693</v>
      </c>
      <c r="L1337" s="5">
        <v>180</v>
      </c>
      <c r="M1337" s="5">
        <v>512424.01</v>
      </c>
      <c r="N1337" s="5">
        <v>6079448.33</v>
      </c>
      <c r="O1337" t="s" s="2">
        <v>305</v>
      </c>
      <c r="P1337" s="8">
        <v>44197622</v>
      </c>
      <c r="Q1337" t="s" s="2">
        <v>2502</v>
      </c>
      <c r="R1337" t="s" s="2">
        <f>_xlfn.IFERROR(INDEX('model_byCAP'!$D$2:$D$377,MATCH(Q1337,'model_byCAP'!$A$2:$A$377,0)),0)</f>
        <v>2490</v>
      </c>
    </row>
    <row r="1338" ht="15.35" customHeight="1">
      <c r="A1338" t="s" s="2">
        <v>2694</v>
      </c>
      <c r="B1338" s="4">
        <v>40891</v>
      </c>
      <c r="C1338" s="5">
        <v>2000</v>
      </c>
      <c r="D1338" s="5">
        <v>80</v>
      </c>
      <c r="E1338" s="5">
        <v>60</v>
      </c>
      <c r="F1338" t="s" s="2">
        <v>301</v>
      </c>
      <c r="G1338" t="s" s="2">
        <v>2497</v>
      </c>
      <c r="H1338" s="5">
        <v>580</v>
      </c>
      <c r="I1338" t="s" s="2">
        <v>1542</v>
      </c>
      <c r="J1338" t="s" s="2">
        <v>22</v>
      </c>
      <c r="K1338" t="s" s="2">
        <v>2693</v>
      </c>
      <c r="L1338" s="5">
        <v>180</v>
      </c>
      <c r="M1338" s="5">
        <v>512709.55</v>
      </c>
      <c r="N1338" s="5">
        <v>6079341.66</v>
      </c>
      <c r="O1338" t="s" s="2">
        <v>25</v>
      </c>
      <c r="P1338" s="5">
        <v>44197623</v>
      </c>
      <c r="Q1338" t="s" s="2">
        <v>2502</v>
      </c>
      <c r="R1338" t="s" s="2">
        <f>_xlfn.IFERROR(INDEX('model_byCAP'!$D$2:$D$377,MATCH(Q1338,'model_byCAP'!$A$2:$A$377,0)),0)</f>
        <v>2490</v>
      </c>
    </row>
    <row r="1339" ht="15.35" customHeight="1">
      <c r="A1339" t="s" s="2">
        <v>2695</v>
      </c>
      <c r="B1339" s="4">
        <v>40892</v>
      </c>
      <c r="C1339" s="5">
        <v>2000</v>
      </c>
      <c r="D1339" s="5">
        <v>80</v>
      </c>
      <c r="E1339" s="5">
        <v>60</v>
      </c>
      <c r="F1339" t="s" s="2">
        <v>301</v>
      </c>
      <c r="G1339" t="s" s="2">
        <v>2497</v>
      </c>
      <c r="H1339" s="5">
        <v>580</v>
      </c>
      <c r="I1339" t="s" s="2">
        <v>1542</v>
      </c>
      <c r="J1339" t="s" s="2">
        <v>22</v>
      </c>
      <c r="K1339" t="s" s="2">
        <v>2693</v>
      </c>
      <c r="L1339" s="5">
        <v>269</v>
      </c>
      <c r="M1339" s="5">
        <v>512992.57</v>
      </c>
      <c r="N1339" s="5">
        <v>6079234.26</v>
      </c>
      <c r="O1339" t="s" s="2">
        <v>25</v>
      </c>
      <c r="P1339" s="5">
        <v>44197624</v>
      </c>
      <c r="Q1339" t="s" s="2">
        <v>2502</v>
      </c>
      <c r="R1339" t="s" s="2">
        <f>_xlfn.IFERROR(INDEX('model_byCAP'!$D$2:$D$377,MATCH(Q1339,'model_byCAP'!$A$2:$A$377,0)),0)</f>
        <v>2490</v>
      </c>
    </row>
    <row r="1340" ht="15.35" customHeight="1">
      <c r="A1340" t="s" s="2">
        <v>2696</v>
      </c>
      <c r="B1340" s="4">
        <v>40892</v>
      </c>
      <c r="C1340" s="5">
        <v>2000</v>
      </c>
      <c r="D1340" s="5">
        <v>80</v>
      </c>
      <c r="E1340" s="5">
        <v>60</v>
      </c>
      <c r="F1340" t="s" s="2">
        <v>301</v>
      </c>
      <c r="G1340" t="s" s="2">
        <v>2497</v>
      </c>
      <c r="H1340" s="5">
        <v>580</v>
      </c>
      <c r="I1340" t="s" s="2">
        <v>1542</v>
      </c>
      <c r="J1340" t="s" s="2">
        <v>22</v>
      </c>
      <c r="K1340" t="s" s="2">
        <v>2693</v>
      </c>
      <c r="L1340" s="5">
        <v>283</v>
      </c>
      <c r="M1340" s="5">
        <v>513276.83</v>
      </c>
      <c r="N1340" s="5">
        <v>6079127.06</v>
      </c>
      <c r="O1340" t="s" s="2">
        <v>25</v>
      </c>
      <c r="P1340" s="5">
        <v>44197625</v>
      </c>
      <c r="Q1340" t="s" s="2">
        <v>2502</v>
      </c>
      <c r="R1340" t="s" s="2">
        <f>_xlfn.IFERROR(INDEX('model_byCAP'!$D$2:$D$377,MATCH(Q1340,'model_byCAP'!$A$2:$A$377,0)),0)</f>
        <v>2490</v>
      </c>
    </row>
    <row r="1341" ht="15.35" customHeight="1">
      <c r="A1341" t="s" s="2">
        <v>2697</v>
      </c>
      <c r="B1341" s="4">
        <v>40893</v>
      </c>
      <c r="C1341" s="5">
        <v>2000</v>
      </c>
      <c r="D1341" s="5">
        <v>80</v>
      </c>
      <c r="E1341" s="5">
        <v>60</v>
      </c>
      <c r="F1341" t="s" s="2">
        <v>301</v>
      </c>
      <c r="G1341" t="s" s="2">
        <v>2497</v>
      </c>
      <c r="H1341" s="5">
        <v>580</v>
      </c>
      <c r="I1341" t="s" s="2">
        <v>1542</v>
      </c>
      <c r="J1341" t="s" s="2">
        <v>22</v>
      </c>
      <c r="K1341" t="s" s="2">
        <v>2693</v>
      </c>
      <c r="L1341" s="5">
        <v>109</v>
      </c>
      <c r="M1341" s="5">
        <v>513276.83</v>
      </c>
      <c r="N1341" s="5">
        <v>6079127.06</v>
      </c>
      <c r="O1341" t="s" s="2">
        <v>25</v>
      </c>
      <c r="P1341" s="5">
        <v>44197626</v>
      </c>
      <c r="Q1341" t="s" s="2">
        <v>2502</v>
      </c>
      <c r="R1341" t="s" s="2">
        <f>_xlfn.IFERROR(INDEX('model_byCAP'!$D$2:$D$377,MATCH(Q1341,'model_byCAP'!$A$2:$A$377,0)),0)</f>
        <v>2490</v>
      </c>
    </row>
    <row r="1342" ht="15.35" customHeight="1">
      <c r="A1342" t="s" s="2">
        <v>2698</v>
      </c>
      <c r="B1342" s="4">
        <v>40893</v>
      </c>
      <c r="C1342" s="5">
        <v>2000</v>
      </c>
      <c r="D1342" s="5">
        <v>80</v>
      </c>
      <c r="E1342" s="5">
        <v>60</v>
      </c>
      <c r="F1342" t="s" s="2">
        <v>301</v>
      </c>
      <c r="G1342" t="s" s="2">
        <v>2497</v>
      </c>
      <c r="H1342" s="5">
        <v>580</v>
      </c>
      <c r="I1342" t="s" s="2">
        <v>1542</v>
      </c>
      <c r="J1342" t="s" s="2">
        <v>22</v>
      </c>
      <c r="K1342" t="s" s="2">
        <v>2693</v>
      </c>
      <c r="L1342" s="5">
        <v>174</v>
      </c>
      <c r="M1342" s="5">
        <v>513841.61</v>
      </c>
      <c r="N1342" s="5">
        <v>6078913.2</v>
      </c>
      <c r="O1342" t="s" s="2">
        <v>305</v>
      </c>
      <c r="P1342" s="5">
        <v>44197627</v>
      </c>
      <c r="Q1342" t="s" s="2">
        <v>2502</v>
      </c>
      <c r="R1342" t="s" s="2">
        <f>_xlfn.IFERROR(INDEX('model_byCAP'!$D$2:$D$377,MATCH(Q1342,'model_byCAP'!$A$2:$A$377,0)),0)</f>
        <v>2490</v>
      </c>
    </row>
    <row r="1343" ht="15.35" customHeight="1">
      <c r="A1343" t="s" s="2">
        <v>2699</v>
      </c>
      <c r="B1343" s="4">
        <v>40894</v>
      </c>
      <c r="C1343" s="5">
        <v>2000</v>
      </c>
      <c r="D1343" s="5">
        <v>80</v>
      </c>
      <c r="E1343" s="5">
        <v>60</v>
      </c>
      <c r="F1343" t="s" s="2">
        <v>301</v>
      </c>
      <c r="G1343" t="s" s="2">
        <v>2497</v>
      </c>
      <c r="H1343" s="5">
        <v>580</v>
      </c>
      <c r="I1343" t="s" s="2">
        <v>1542</v>
      </c>
      <c r="J1343" t="s" s="2">
        <v>22</v>
      </c>
      <c r="K1343" t="s" s="2">
        <v>2693</v>
      </c>
      <c r="L1343" s="5">
        <v>176</v>
      </c>
      <c r="M1343" s="5">
        <v>514122.02</v>
      </c>
      <c r="N1343" s="5">
        <v>6078802.06</v>
      </c>
      <c r="O1343" t="s" s="2">
        <v>25</v>
      </c>
      <c r="P1343" s="5">
        <v>44197628</v>
      </c>
      <c r="Q1343" t="s" s="2">
        <v>2502</v>
      </c>
      <c r="R1343" t="s" s="2">
        <f>_xlfn.IFERROR(INDEX('model_byCAP'!$D$2:$D$377,MATCH(Q1343,'model_byCAP'!$A$2:$A$377,0)),0)</f>
        <v>2490</v>
      </c>
    </row>
    <row r="1344" ht="15.35" customHeight="1">
      <c r="A1344" t="s" s="2">
        <v>2700</v>
      </c>
      <c r="B1344" s="4">
        <v>40893</v>
      </c>
      <c r="C1344" s="5">
        <v>2000</v>
      </c>
      <c r="D1344" s="5">
        <v>80</v>
      </c>
      <c r="E1344" s="5">
        <v>60</v>
      </c>
      <c r="F1344" t="s" s="2">
        <v>301</v>
      </c>
      <c r="G1344" t="s" s="2">
        <v>2497</v>
      </c>
      <c r="H1344" s="5">
        <v>580</v>
      </c>
      <c r="I1344" t="s" s="2">
        <v>1542</v>
      </c>
      <c r="J1344" t="s" s="2">
        <v>22</v>
      </c>
      <c r="K1344" t="s" s="2">
        <v>2693</v>
      </c>
      <c r="L1344" s="5">
        <v>31</v>
      </c>
      <c r="M1344" s="5">
        <v>514408.6</v>
      </c>
      <c r="N1344" s="5">
        <v>6078690.3</v>
      </c>
      <c r="O1344" t="s" s="2">
        <v>25</v>
      </c>
      <c r="P1344" s="5">
        <v>44197629</v>
      </c>
      <c r="Q1344" t="s" s="2">
        <v>2502</v>
      </c>
      <c r="R1344" t="s" s="2">
        <f>_xlfn.IFERROR(INDEX('model_byCAP'!$D$2:$D$377,MATCH(Q1344,'model_byCAP'!$A$2:$A$377,0)),0)</f>
        <v>2490</v>
      </c>
    </row>
    <row r="1345" ht="15.35" customHeight="1">
      <c r="A1345" t="s" s="2">
        <v>2701</v>
      </c>
      <c r="B1345" s="4">
        <v>41619</v>
      </c>
      <c r="C1345" s="5">
        <v>2000</v>
      </c>
      <c r="D1345" s="5">
        <v>80</v>
      </c>
      <c r="E1345" s="5">
        <v>67</v>
      </c>
      <c r="F1345" t="s" s="2">
        <v>301</v>
      </c>
      <c r="G1345" t="s" s="2">
        <v>2514</v>
      </c>
      <c r="H1345" s="5">
        <v>657</v>
      </c>
      <c r="I1345" t="s" s="2">
        <v>541</v>
      </c>
      <c r="J1345" t="s" s="2">
        <v>22</v>
      </c>
      <c r="K1345" t="s" s="2">
        <v>2702</v>
      </c>
      <c r="L1345" t="s" s="2">
        <v>1143</v>
      </c>
      <c r="M1345" s="5">
        <v>498170.53</v>
      </c>
      <c r="N1345" s="5">
        <v>6230340.14</v>
      </c>
      <c r="O1345" t="s" s="2">
        <v>305</v>
      </c>
      <c r="P1345" s="5">
        <v>4055478</v>
      </c>
      <c r="Q1345" t="s" s="2">
        <v>2516</v>
      </c>
      <c r="R1345" t="s" s="2">
        <f>_xlfn.IFERROR(INDEX('model_byCAP'!$D$2:$D$377,MATCH(Q1345,'model_byCAP'!$A$2:$A$377,0)),0)</f>
        <v>2490</v>
      </c>
    </row>
    <row r="1346" ht="15.35" customHeight="1">
      <c r="A1346" t="s" s="2">
        <v>2703</v>
      </c>
      <c r="B1346" s="4">
        <v>41624</v>
      </c>
      <c r="C1346" s="5">
        <v>2000</v>
      </c>
      <c r="D1346" s="5">
        <v>80</v>
      </c>
      <c r="E1346" s="5">
        <v>67</v>
      </c>
      <c r="F1346" t="s" s="2">
        <v>301</v>
      </c>
      <c r="G1346" t="s" s="2">
        <v>2514</v>
      </c>
      <c r="H1346" s="5">
        <v>657</v>
      </c>
      <c r="I1346" t="s" s="2">
        <v>541</v>
      </c>
      <c r="J1346" t="s" s="2">
        <v>22</v>
      </c>
      <c r="K1346" t="s" s="2">
        <v>2702</v>
      </c>
      <c r="L1346" t="s" s="2">
        <v>1143</v>
      </c>
      <c r="M1346" s="5">
        <v>497904.74</v>
      </c>
      <c r="N1346" s="5">
        <v>6230576.91</v>
      </c>
      <c r="O1346" t="s" s="2">
        <v>305</v>
      </c>
      <c r="P1346" s="5">
        <v>4055479</v>
      </c>
      <c r="Q1346" t="s" s="2">
        <v>2516</v>
      </c>
      <c r="R1346" t="s" s="2">
        <f>_xlfn.IFERROR(INDEX('model_byCAP'!$D$2:$D$377,MATCH(Q1346,'model_byCAP'!$A$2:$A$377,0)),0)</f>
        <v>2490</v>
      </c>
    </row>
    <row r="1347" ht="15.35" customHeight="1">
      <c r="A1347" t="s" s="2">
        <v>2704</v>
      </c>
      <c r="B1347" s="4">
        <v>41624</v>
      </c>
      <c r="C1347" s="5">
        <v>2000</v>
      </c>
      <c r="D1347" s="5">
        <v>80</v>
      </c>
      <c r="E1347" s="5">
        <v>67</v>
      </c>
      <c r="F1347" t="s" s="2">
        <v>301</v>
      </c>
      <c r="G1347" t="s" s="2">
        <v>2514</v>
      </c>
      <c r="H1347" s="5">
        <v>657</v>
      </c>
      <c r="I1347" t="s" s="2">
        <v>541</v>
      </c>
      <c r="J1347" t="s" s="2">
        <v>22</v>
      </c>
      <c r="K1347" t="s" s="2">
        <v>2702</v>
      </c>
      <c r="L1347" t="s" s="2">
        <v>2705</v>
      </c>
      <c r="M1347" s="5">
        <v>497642.8</v>
      </c>
      <c r="N1347" s="5">
        <v>6230815.23</v>
      </c>
      <c r="O1347" t="s" s="2">
        <v>305</v>
      </c>
      <c r="P1347" s="5">
        <v>4055480</v>
      </c>
      <c r="Q1347" t="s" s="2">
        <v>2516</v>
      </c>
      <c r="R1347" t="s" s="2">
        <f>_xlfn.IFERROR(INDEX('model_byCAP'!$D$2:$D$377,MATCH(Q1347,'model_byCAP'!$A$2:$A$377,0)),0)</f>
        <v>2490</v>
      </c>
    </row>
    <row r="1348" ht="15.35" customHeight="1">
      <c r="A1348" t="s" s="2">
        <v>2706</v>
      </c>
      <c r="B1348" s="4">
        <v>41624</v>
      </c>
      <c r="C1348" s="5">
        <v>2000</v>
      </c>
      <c r="D1348" s="5">
        <v>80</v>
      </c>
      <c r="E1348" s="5">
        <v>67</v>
      </c>
      <c r="F1348" t="s" s="2">
        <v>301</v>
      </c>
      <c r="G1348" t="s" s="2">
        <v>2514</v>
      </c>
      <c r="H1348" s="5">
        <v>657</v>
      </c>
      <c r="I1348" t="s" s="2">
        <v>541</v>
      </c>
      <c r="J1348" t="s" s="2">
        <v>22</v>
      </c>
      <c r="K1348" t="s" s="2">
        <v>2702</v>
      </c>
      <c r="L1348" t="s" s="2">
        <v>2705</v>
      </c>
      <c r="M1348" s="5">
        <v>497376.76</v>
      </c>
      <c r="N1348" s="5">
        <v>6231051.28</v>
      </c>
      <c r="O1348" t="s" s="2">
        <v>305</v>
      </c>
      <c r="P1348" s="5">
        <v>4055481</v>
      </c>
      <c r="Q1348" t="s" s="2">
        <v>2516</v>
      </c>
      <c r="R1348" t="s" s="2">
        <f>_xlfn.IFERROR(INDEX('model_byCAP'!$D$2:$D$377,MATCH(Q1348,'model_byCAP'!$A$2:$A$377,0)),0)</f>
        <v>2490</v>
      </c>
    </row>
    <row r="1349" ht="15.35" customHeight="1">
      <c r="A1349" t="s" s="2">
        <v>2707</v>
      </c>
      <c r="B1349" s="4">
        <v>41624</v>
      </c>
      <c r="C1349" s="5">
        <v>2000</v>
      </c>
      <c r="D1349" s="5">
        <v>80</v>
      </c>
      <c r="E1349" s="5">
        <v>67</v>
      </c>
      <c r="F1349" t="s" s="2">
        <v>301</v>
      </c>
      <c r="G1349" t="s" s="2">
        <v>2514</v>
      </c>
      <c r="H1349" s="5">
        <v>657</v>
      </c>
      <c r="I1349" t="s" s="2">
        <v>541</v>
      </c>
      <c r="J1349" t="s" s="2">
        <v>22</v>
      </c>
      <c r="K1349" t="s" s="2">
        <v>2702</v>
      </c>
      <c r="L1349" t="s" s="2">
        <v>2708</v>
      </c>
      <c r="M1349" s="5">
        <v>497114.03</v>
      </c>
      <c r="N1349" s="5">
        <v>6231288.27</v>
      </c>
      <c r="O1349" t="s" s="2">
        <v>305</v>
      </c>
      <c r="P1349" s="5">
        <v>4055482</v>
      </c>
      <c r="Q1349" t="s" s="2">
        <v>2516</v>
      </c>
      <c r="R1349" t="s" s="2">
        <f>_xlfn.IFERROR(INDEX('model_byCAP'!$D$2:$D$377,MATCH(Q1349,'model_byCAP'!$A$2:$A$377,0)),0)</f>
        <v>2490</v>
      </c>
    </row>
    <row r="1350" ht="15.35" customHeight="1">
      <c r="A1350" t="s" s="2">
        <v>2709</v>
      </c>
      <c r="B1350" s="4">
        <v>42732</v>
      </c>
      <c r="C1350" s="5">
        <v>2000</v>
      </c>
      <c r="D1350" s="5">
        <v>80</v>
      </c>
      <c r="E1350" s="5">
        <v>60</v>
      </c>
      <c r="F1350" t="s" s="2">
        <v>301</v>
      </c>
      <c r="G1350" t="s" s="2">
        <v>2514</v>
      </c>
      <c r="H1350" s="5">
        <v>657</v>
      </c>
      <c r="I1350" t="s" s="2">
        <v>541</v>
      </c>
      <c r="J1350" t="s" s="2">
        <v>22</v>
      </c>
      <c r="K1350" t="s" s="2">
        <v>2710</v>
      </c>
      <c r="L1350" t="s" s="2">
        <v>2406</v>
      </c>
      <c r="M1350" s="5">
        <v>485318</v>
      </c>
      <c r="N1350" s="5">
        <v>6229254</v>
      </c>
      <c r="O1350" t="s" s="2">
        <v>305</v>
      </c>
      <c r="P1350" s="5">
        <v>7020</v>
      </c>
      <c r="Q1350" t="s" s="2">
        <v>2516</v>
      </c>
      <c r="R1350" t="s" s="2">
        <f>_xlfn.IFERROR(INDEX('model_byCAP'!$D$2:$D$377,MATCH(Q1350,'model_byCAP'!$A$2:$A$377,0)),0)</f>
        <v>2490</v>
      </c>
    </row>
    <row r="1351" ht="15.35" customHeight="1">
      <c r="A1351" t="s" s="2">
        <v>2711</v>
      </c>
      <c r="B1351" s="4">
        <v>37630</v>
      </c>
      <c r="C1351" s="5">
        <v>2000</v>
      </c>
      <c r="D1351" s="5">
        <v>80</v>
      </c>
      <c r="E1351" s="5">
        <v>78</v>
      </c>
      <c r="F1351" t="s" s="2">
        <v>301</v>
      </c>
      <c r="G1351" t="s" s="2">
        <v>2485</v>
      </c>
      <c r="H1351" s="5">
        <v>665</v>
      </c>
      <c r="I1351" t="s" s="2">
        <v>316</v>
      </c>
      <c r="J1351" t="s" s="2">
        <v>47</v>
      </c>
      <c r="K1351" t="s" s="2">
        <v>2712</v>
      </c>
      <c r="L1351" t="s" s="2">
        <v>2285</v>
      </c>
      <c r="M1351" s="5">
        <v>451965.13</v>
      </c>
      <c r="N1351" s="5">
        <v>6280971.89</v>
      </c>
      <c r="O1351" t="s" s="2">
        <v>305</v>
      </c>
      <c r="P1351" s="5">
        <v>40177</v>
      </c>
      <c r="Q1351" t="s" s="2">
        <v>2489</v>
      </c>
      <c r="R1351" t="s" s="2">
        <f>_xlfn.IFERROR(INDEX('model_byCAP'!$D$2:$D$377,MATCH(Q1351,'model_byCAP'!$A$2:$A$377,0)),0)</f>
        <v>2490</v>
      </c>
    </row>
    <row r="1352" ht="15.35" customHeight="1">
      <c r="A1352" t="s" s="2">
        <v>2713</v>
      </c>
      <c r="B1352" s="4">
        <v>37612</v>
      </c>
      <c r="C1352" s="5">
        <v>2000</v>
      </c>
      <c r="D1352" s="5">
        <v>80</v>
      </c>
      <c r="E1352" s="5">
        <v>78</v>
      </c>
      <c r="F1352" t="s" s="2">
        <v>301</v>
      </c>
      <c r="G1352" t="s" s="2">
        <v>2485</v>
      </c>
      <c r="H1352" s="5">
        <v>665</v>
      </c>
      <c r="I1352" t="s" s="2">
        <v>316</v>
      </c>
      <c r="J1352" t="s" s="2">
        <v>47</v>
      </c>
      <c r="K1352" t="s" s="2">
        <v>2712</v>
      </c>
      <c r="L1352" t="s" s="2">
        <v>2285</v>
      </c>
      <c r="M1352" s="5">
        <v>452044.18</v>
      </c>
      <c r="N1352" s="5">
        <v>6280695.03</v>
      </c>
      <c r="O1352" t="s" s="2">
        <v>305</v>
      </c>
      <c r="P1352" s="5">
        <v>40177</v>
      </c>
      <c r="Q1352" t="s" s="2">
        <v>2489</v>
      </c>
      <c r="R1352" t="s" s="2">
        <f>_xlfn.IFERROR(INDEX('model_byCAP'!$D$2:$D$377,MATCH(Q1352,'model_byCAP'!$A$2:$A$377,0)),0)</f>
        <v>2490</v>
      </c>
    </row>
    <row r="1353" ht="15.35" customHeight="1">
      <c r="A1353" t="s" s="2">
        <v>2714</v>
      </c>
      <c r="B1353" s="4">
        <v>37612</v>
      </c>
      <c r="C1353" s="5">
        <v>2000</v>
      </c>
      <c r="D1353" s="5">
        <v>80</v>
      </c>
      <c r="E1353" s="5">
        <v>78</v>
      </c>
      <c r="F1353" t="s" s="2">
        <v>301</v>
      </c>
      <c r="G1353" t="s" s="2">
        <v>2485</v>
      </c>
      <c r="H1353" s="5">
        <v>665</v>
      </c>
      <c r="I1353" t="s" s="2">
        <v>316</v>
      </c>
      <c r="J1353" t="s" s="2">
        <v>47</v>
      </c>
      <c r="K1353" t="s" s="2">
        <v>2712</v>
      </c>
      <c r="L1353" t="s" s="2">
        <v>2285</v>
      </c>
      <c r="M1353" s="5">
        <v>452123.18</v>
      </c>
      <c r="N1353" s="5">
        <v>6280417.86</v>
      </c>
      <c r="O1353" t="s" s="2">
        <v>305</v>
      </c>
      <c r="P1353" s="5">
        <v>40177</v>
      </c>
      <c r="Q1353" t="s" s="2">
        <v>2489</v>
      </c>
      <c r="R1353" t="s" s="2">
        <f>_xlfn.IFERROR(INDEX('model_byCAP'!$D$2:$D$377,MATCH(Q1353,'model_byCAP'!$A$2:$A$377,0)),0)</f>
        <v>2490</v>
      </c>
    </row>
    <row r="1354" ht="15.35" customHeight="1">
      <c r="A1354" t="s" s="2">
        <v>2715</v>
      </c>
      <c r="B1354" s="4">
        <v>37629</v>
      </c>
      <c r="C1354" s="5">
        <v>2000</v>
      </c>
      <c r="D1354" s="5">
        <v>80</v>
      </c>
      <c r="E1354" s="5">
        <v>78</v>
      </c>
      <c r="F1354" t="s" s="2">
        <v>301</v>
      </c>
      <c r="G1354" t="s" s="2">
        <v>2485</v>
      </c>
      <c r="H1354" s="5">
        <v>665</v>
      </c>
      <c r="I1354" t="s" s="2">
        <v>316</v>
      </c>
      <c r="J1354" t="s" s="2">
        <v>47</v>
      </c>
      <c r="K1354" t="s" s="2">
        <v>2712</v>
      </c>
      <c r="L1354" t="s" s="2">
        <v>2285</v>
      </c>
      <c r="M1354" s="5">
        <v>452201.06</v>
      </c>
      <c r="N1354" s="5">
        <v>6280142.93</v>
      </c>
      <c r="O1354" t="s" s="2">
        <v>305</v>
      </c>
      <c r="P1354" s="5">
        <v>40177</v>
      </c>
      <c r="Q1354" t="s" s="2">
        <v>2489</v>
      </c>
      <c r="R1354" t="s" s="2">
        <f>_xlfn.IFERROR(INDEX('model_byCAP'!$D$2:$D$377,MATCH(Q1354,'model_byCAP'!$A$2:$A$377,0)),0)</f>
        <v>2490</v>
      </c>
    </row>
    <row r="1355" ht="15.35" customHeight="1">
      <c r="A1355" t="s" s="2">
        <v>2716</v>
      </c>
      <c r="B1355" s="4">
        <v>40137</v>
      </c>
      <c r="C1355" s="5">
        <v>2000</v>
      </c>
      <c r="D1355" s="5">
        <v>80</v>
      </c>
      <c r="E1355" s="5">
        <v>60</v>
      </c>
      <c r="F1355" t="s" s="2">
        <v>301</v>
      </c>
      <c r="G1355" t="s" s="2">
        <v>2485</v>
      </c>
      <c r="H1355" s="5">
        <v>665</v>
      </c>
      <c r="I1355" t="s" s="2">
        <v>316</v>
      </c>
      <c r="J1355" t="s" s="2">
        <v>22</v>
      </c>
      <c r="K1355" t="s" s="2">
        <v>2717</v>
      </c>
      <c r="L1355" t="s" s="2">
        <v>858</v>
      </c>
      <c r="M1355" s="5">
        <v>450130.42</v>
      </c>
      <c r="N1355" s="5">
        <v>6262881.92</v>
      </c>
      <c r="O1355" t="s" s="2">
        <v>305</v>
      </c>
      <c r="P1355" s="5">
        <v>40201379</v>
      </c>
      <c r="Q1355" t="s" s="2">
        <v>2489</v>
      </c>
      <c r="R1355" t="s" s="2">
        <f>_xlfn.IFERROR(INDEX('model_byCAP'!$D$2:$D$377,MATCH(Q1355,'model_byCAP'!$A$2:$A$377,0)),0)</f>
        <v>2490</v>
      </c>
    </row>
    <row r="1356" ht="15.35" customHeight="1">
      <c r="A1356" t="s" s="2">
        <v>2718</v>
      </c>
      <c r="B1356" s="4">
        <v>40753</v>
      </c>
      <c r="C1356" s="5">
        <v>2000</v>
      </c>
      <c r="D1356" s="5">
        <v>80</v>
      </c>
      <c r="E1356" s="5">
        <v>60</v>
      </c>
      <c r="F1356" t="s" s="2">
        <v>42</v>
      </c>
      <c r="G1356" t="s" s="2">
        <v>42</v>
      </c>
      <c r="H1356" s="5">
        <v>665</v>
      </c>
      <c r="I1356" t="s" s="2">
        <v>316</v>
      </c>
      <c r="J1356" t="s" s="2">
        <v>22</v>
      </c>
      <c r="K1356" t="s" s="2">
        <v>2719</v>
      </c>
      <c r="L1356" s="5">
        <v>66</v>
      </c>
      <c r="M1356" s="5">
        <v>450320.26</v>
      </c>
      <c r="N1356" s="5">
        <v>6262674.68</v>
      </c>
      <c r="O1356" t="s" s="2">
        <v>305</v>
      </c>
      <c r="P1356" s="5">
        <v>40221</v>
      </c>
      <c r="Q1356" t="s" s="2">
        <v>43</v>
      </c>
      <c r="R1356" s="5">
        <f>_xlfn.IFERROR(INDEX('model_byCAP'!$D$2:$D$377,MATCH(Q1356,'model_byCAP'!$A$2:$A$377,0)),0)</f>
        <v>0</v>
      </c>
    </row>
    <row r="1357" ht="15.35" customHeight="1">
      <c r="A1357" t="s" s="2">
        <v>2720</v>
      </c>
      <c r="B1357" s="4">
        <v>40906</v>
      </c>
      <c r="C1357" s="5">
        <v>2000</v>
      </c>
      <c r="D1357" s="5">
        <v>80</v>
      </c>
      <c r="E1357" s="5">
        <v>60</v>
      </c>
      <c r="F1357" t="s" s="2">
        <v>301</v>
      </c>
      <c r="G1357" t="s" s="2">
        <v>2497</v>
      </c>
      <c r="H1357" s="5">
        <v>665</v>
      </c>
      <c r="I1357" t="s" s="2">
        <v>316</v>
      </c>
      <c r="J1357" t="s" s="2">
        <v>22</v>
      </c>
      <c r="K1357" t="s" s="2">
        <v>2721</v>
      </c>
      <c r="L1357" t="s" s="2">
        <v>1090</v>
      </c>
      <c r="M1357" s="5">
        <v>451034.88</v>
      </c>
      <c r="N1357" s="5">
        <v>6261893.35</v>
      </c>
      <c r="O1357" t="s" s="2">
        <v>305</v>
      </c>
      <c r="P1357" s="5">
        <v>40222</v>
      </c>
      <c r="Q1357" t="s" s="2">
        <v>2502</v>
      </c>
      <c r="R1357" t="s" s="2">
        <f>_xlfn.IFERROR(INDEX('model_byCAP'!$D$2:$D$377,MATCH(Q1357,'model_byCAP'!$A$2:$A$377,0)),0)</f>
        <v>2490</v>
      </c>
    </row>
    <row r="1358" ht="15.35" customHeight="1">
      <c r="A1358" t="s" s="2">
        <v>2722</v>
      </c>
      <c r="B1358" s="4">
        <v>40905</v>
      </c>
      <c r="C1358" s="5">
        <v>2000</v>
      </c>
      <c r="D1358" s="5">
        <v>80</v>
      </c>
      <c r="E1358" s="5">
        <v>60</v>
      </c>
      <c r="F1358" t="s" s="2">
        <v>301</v>
      </c>
      <c r="G1358" t="s" s="2">
        <v>2497</v>
      </c>
      <c r="H1358" s="5">
        <v>665</v>
      </c>
      <c r="I1358" t="s" s="2">
        <v>316</v>
      </c>
      <c r="J1358" t="s" s="2">
        <v>22</v>
      </c>
      <c r="K1358" t="s" s="2">
        <v>2721</v>
      </c>
      <c r="L1358" t="s" s="2">
        <v>2723</v>
      </c>
      <c r="M1358" s="5">
        <v>450863.73</v>
      </c>
      <c r="N1358" s="5">
        <v>6262081.15</v>
      </c>
      <c r="O1358" t="s" s="2">
        <v>305</v>
      </c>
      <c r="P1358" s="5">
        <v>40223</v>
      </c>
      <c r="Q1358" t="s" s="2">
        <v>2502</v>
      </c>
      <c r="R1358" t="s" s="2">
        <f>_xlfn.IFERROR(INDEX('model_byCAP'!$D$2:$D$377,MATCH(Q1358,'model_byCAP'!$A$2:$A$377,0)),0)</f>
        <v>2490</v>
      </c>
    </row>
    <row r="1359" ht="15.35" customHeight="1">
      <c r="A1359" t="s" s="2">
        <v>2724</v>
      </c>
      <c r="B1359" s="4">
        <v>40903</v>
      </c>
      <c r="C1359" s="5">
        <v>2000</v>
      </c>
      <c r="D1359" s="5">
        <v>80</v>
      </c>
      <c r="E1359" s="5">
        <v>60</v>
      </c>
      <c r="F1359" t="s" s="2">
        <v>301</v>
      </c>
      <c r="G1359" t="s" s="2">
        <v>2497</v>
      </c>
      <c r="H1359" s="5">
        <v>665</v>
      </c>
      <c r="I1359" t="s" s="2">
        <v>316</v>
      </c>
      <c r="J1359" t="s" s="2">
        <v>22</v>
      </c>
      <c r="K1359" t="s" s="2">
        <v>2721</v>
      </c>
      <c r="L1359" t="s" s="2">
        <v>2725</v>
      </c>
      <c r="M1359" s="5">
        <v>450682.53</v>
      </c>
      <c r="N1359" s="5">
        <v>6262278.97</v>
      </c>
      <c r="O1359" t="s" s="2">
        <v>305</v>
      </c>
      <c r="P1359" s="5">
        <v>40224</v>
      </c>
      <c r="Q1359" t="s" s="2">
        <v>2502</v>
      </c>
      <c r="R1359" t="s" s="2">
        <f>_xlfn.IFERROR(INDEX('model_byCAP'!$D$2:$D$377,MATCH(Q1359,'model_byCAP'!$A$2:$A$377,0)),0)</f>
        <v>2490</v>
      </c>
    </row>
    <row r="1360" ht="15.35" customHeight="1">
      <c r="A1360" t="s" s="2">
        <v>2726</v>
      </c>
      <c r="B1360" s="4">
        <v>40906</v>
      </c>
      <c r="C1360" s="5">
        <v>2000</v>
      </c>
      <c r="D1360" s="5">
        <v>80</v>
      </c>
      <c r="E1360" s="5">
        <v>60</v>
      </c>
      <c r="F1360" t="s" s="2">
        <v>301</v>
      </c>
      <c r="G1360" t="s" s="2">
        <v>2497</v>
      </c>
      <c r="H1360" s="5">
        <v>665</v>
      </c>
      <c r="I1360" t="s" s="2">
        <v>316</v>
      </c>
      <c r="J1360" t="s" s="2">
        <v>22</v>
      </c>
      <c r="K1360" t="s" s="2">
        <v>2727</v>
      </c>
      <c r="L1360" t="s" s="2">
        <v>2356</v>
      </c>
      <c r="M1360" s="5">
        <v>450501.6</v>
      </c>
      <c r="N1360" s="5">
        <v>6262476.46</v>
      </c>
      <c r="O1360" t="s" s="2">
        <v>305</v>
      </c>
      <c r="P1360" s="5">
        <v>40225</v>
      </c>
      <c r="Q1360" t="s" s="2">
        <v>2502</v>
      </c>
      <c r="R1360" t="s" s="2">
        <f>_xlfn.IFERROR(INDEX('model_byCAP'!$D$2:$D$377,MATCH(Q1360,'model_byCAP'!$A$2:$A$377,0)),0)</f>
        <v>2490</v>
      </c>
    </row>
    <row r="1361" ht="15.35" customHeight="1">
      <c r="A1361" t="s" s="2">
        <v>2728</v>
      </c>
      <c r="B1361" s="4">
        <v>42614</v>
      </c>
      <c r="C1361" s="5">
        <v>2000</v>
      </c>
      <c r="D1361" s="5">
        <v>80</v>
      </c>
      <c r="E1361" s="5">
        <v>80</v>
      </c>
      <c r="F1361" t="s" s="2">
        <v>301</v>
      </c>
      <c r="G1361" t="s" s="2">
        <v>2514</v>
      </c>
      <c r="H1361" s="5">
        <v>665</v>
      </c>
      <c r="I1361" t="s" s="2">
        <v>316</v>
      </c>
      <c r="J1361" t="s" s="2">
        <v>22</v>
      </c>
      <c r="K1361" t="s" s="2">
        <v>1557</v>
      </c>
      <c r="L1361" t="s" s="2">
        <v>2729</v>
      </c>
      <c r="M1361" s="5">
        <v>449765</v>
      </c>
      <c r="N1361" s="5">
        <v>6250567</v>
      </c>
      <c r="O1361" t="s" s="2">
        <v>305</v>
      </c>
      <c r="P1361" s="5">
        <v>40391</v>
      </c>
      <c r="Q1361" t="s" s="2">
        <v>2516</v>
      </c>
      <c r="R1361" t="s" s="2">
        <f>_xlfn.IFERROR(INDEX('model_byCAP'!$D$2:$D$377,MATCH(Q1361,'model_byCAP'!$A$2:$A$377,0)),0)</f>
        <v>2490</v>
      </c>
    </row>
    <row r="1362" ht="15.35" customHeight="1">
      <c r="A1362" t="s" s="2">
        <v>2730</v>
      </c>
      <c r="B1362" s="4">
        <v>42614</v>
      </c>
      <c r="C1362" s="5">
        <v>2000</v>
      </c>
      <c r="D1362" s="5">
        <v>80</v>
      </c>
      <c r="E1362" s="5">
        <v>80</v>
      </c>
      <c r="F1362" t="s" s="2">
        <v>301</v>
      </c>
      <c r="G1362" t="s" s="2">
        <v>2514</v>
      </c>
      <c r="H1362" s="5">
        <v>665</v>
      </c>
      <c r="I1362" t="s" s="2">
        <v>316</v>
      </c>
      <c r="J1362" t="s" s="2">
        <v>22</v>
      </c>
      <c r="K1362" t="s" s="2">
        <v>1557</v>
      </c>
      <c r="L1362" t="s" s="2">
        <v>2729</v>
      </c>
      <c r="M1362" s="5">
        <v>449743</v>
      </c>
      <c r="N1362" s="5">
        <v>6250789</v>
      </c>
      <c r="O1362" t="s" s="2">
        <v>305</v>
      </c>
      <c r="P1362" s="5">
        <v>40392</v>
      </c>
      <c r="Q1362" t="s" s="2">
        <v>2516</v>
      </c>
      <c r="R1362" t="s" s="2">
        <f>_xlfn.IFERROR(INDEX('model_byCAP'!$D$2:$D$377,MATCH(Q1362,'model_byCAP'!$A$2:$A$377,0)),0)</f>
        <v>2490</v>
      </c>
    </row>
    <row r="1363" ht="15.35" customHeight="1">
      <c r="A1363" t="s" s="2">
        <v>2731</v>
      </c>
      <c r="B1363" s="4">
        <v>42614</v>
      </c>
      <c r="C1363" s="5">
        <v>2000</v>
      </c>
      <c r="D1363" s="5">
        <v>80</v>
      </c>
      <c r="E1363" s="5">
        <v>80</v>
      </c>
      <c r="F1363" t="s" s="2">
        <v>301</v>
      </c>
      <c r="G1363" t="s" s="2">
        <v>2514</v>
      </c>
      <c r="H1363" s="5">
        <v>665</v>
      </c>
      <c r="I1363" t="s" s="2">
        <v>316</v>
      </c>
      <c r="J1363" t="s" s="2">
        <v>22</v>
      </c>
      <c r="K1363" t="s" s="2">
        <v>1557</v>
      </c>
      <c r="L1363" t="s" s="2">
        <v>1227</v>
      </c>
      <c r="M1363" s="5">
        <v>449721</v>
      </c>
      <c r="N1363" s="5">
        <v>6251012</v>
      </c>
      <c r="O1363" t="s" s="2">
        <v>305</v>
      </c>
      <c r="P1363" s="5">
        <v>40393</v>
      </c>
      <c r="Q1363" t="s" s="2">
        <v>2516</v>
      </c>
      <c r="R1363" t="s" s="2">
        <f>_xlfn.IFERROR(INDEX('model_byCAP'!$D$2:$D$377,MATCH(Q1363,'model_byCAP'!$A$2:$A$377,0)),0)</f>
        <v>2490</v>
      </c>
    </row>
    <row r="1364" ht="15.35" customHeight="1">
      <c r="A1364" t="s" s="2">
        <v>2732</v>
      </c>
      <c r="B1364" s="4">
        <v>43069</v>
      </c>
      <c r="C1364" s="5">
        <v>2000</v>
      </c>
      <c r="D1364" s="5">
        <v>116</v>
      </c>
      <c r="E1364" s="5">
        <v>95</v>
      </c>
      <c r="F1364" t="s" s="2">
        <v>301</v>
      </c>
      <c r="G1364" t="s" s="2">
        <v>1249</v>
      </c>
      <c r="H1364" s="5">
        <v>665</v>
      </c>
      <c r="I1364" t="s" s="2">
        <v>316</v>
      </c>
      <c r="J1364" t="s" s="2">
        <v>22</v>
      </c>
      <c r="K1364" t="s" s="2">
        <v>2733</v>
      </c>
      <c r="L1364" t="s" s="2">
        <v>374</v>
      </c>
      <c r="M1364" s="5">
        <v>447710.49</v>
      </c>
      <c r="N1364" s="5">
        <v>6256544.433</v>
      </c>
      <c r="O1364" t="s" s="2">
        <v>25</v>
      </c>
      <c r="P1364" s="5">
        <v>40432</v>
      </c>
      <c r="Q1364" t="s" s="2">
        <v>1251</v>
      </c>
      <c r="R1364" t="s" s="2">
        <f>_xlfn.IFERROR(INDEX('model_byCAP'!$D$2:$D$377,MATCH(Q1364,'model_byCAP'!$A$2:$A$377,0)),0)</f>
        <v>1112</v>
      </c>
    </row>
    <row r="1365" ht="15.35" customHeight="1">
      <c r="A1365" t="s" s="2">
        <v>2734</v>
      </c>
      <c r="B1365" s="4">
        <v>44182</v>
      </c>
      <c r="C1365" s="5">
        <v>2000</v>
      </c>
      <c r="D1365" s="5">
        <v>82</v>
      </c>
      <c r="E1365" s="5">
        <v>58.7</v>
      </c>
      <c r="F1365" t="s" s="2">
        <v>2459</v>
      </c>
      <c r="G1365" t="s" s="2">
        <v>2460</v>
      </c>
      <c r="H1365" s="5">
        <v>727</v>
      </c>
      <c r="I1365" t="s" s="2">
        <v>2452</v>
      </c>
      <c r="J1365" t="s" s="2">
        <v>22</v>
      </c>
      <c r="K1365" t="s" s="2">
        <v>881</v>
      </c>
      <c r="L1365" t="s" s="2">
        <v>881</v>
      </c>
      <c r="M1365" s="5">
        <v>566170.376</v>
      </c>
      <c r="N1365" s="5">
        <v>6202672.879</v>
      </c>
      <c r="O1365" t="s" s="2">
        <v>25</v>
      </c>
      <c r="P1365" s="6"/>
      <c r="Q1365" t="s" s="2">
        <v>2461</v>
      </c>
      <c r="R1365" t="s" s="2">
        <f>_xlfn.IFERROR(INDEX('model_byCAP'!$D$2:$D$377,MATCH(Q1365,'model_byCAP'!$A$2:$A$377,0)),0)</f>
        <v>2462</v>
      </c>
    </row>
    <row r="1366" ht="15.35" customHeight="1">
      <c r="A1366" t="s" s="2">
        <v>2735</v>
      </c>
      <c r="B1366" s="4">
        <v>44182</v>
      </c>
      <c r="C1366" s="5">
        <v>2000</v>
      </c>
      <c r="D1366" s="5">
        <v>82</v>
      </c>
      <c r="E1366" s="5">
        <v>58.7</v>
      </c>
      <c r="F1366" t="s" s="2">
        <v>2459</v>
      </c>
      <c r="G1366" t="s" s="2">
        <v>2460</v>
      </c>
      <c r="H1366" s="5">
        <v>727</v>
      </c>
      <c r="I1366" t="s" s="2">
        <v>2452</v>
      </c>
      <c r="J1366" t="s" s="2">
        <v>22</v>
      </c>
      <c r="K1366" t="s" s="2">
        <v>881</v>
      </c>
      <c r="L1366" t="s" s="2">
        <v>881</v>
      </c>
      <c r="M1366" s="5">
        <v>566523.807</v>
      </c>
      <c r="N1366" s="5">
        <v>6202672.934</v>
      </c>
      <c r="O1366" t="s" s="2">
        <v>25</v>
      </c>
      <c r="P1366" s="6"/>
      <c r="Q1366" t="s" s="2">
        <v>2461</v>
      </c>
      <c r="R1366" t="s" s="2">
        <f>_xlfn.IFERROR(INDEX('model_byCAP'!$D$2:$D$377,MATCH(Q1366,'model_byCAP'!$A$2:$A$377,0)),0)</f>
        <v>2462</v>
      </c>
    </row>
    <row r="1367" ht="15.35" customHeight="1">
      <c r="A1367" t="s" s="2">
        <v>2736</v>
      </c>
      <c r="B1367" s="4">
        <v>41739</v>
      </c>
      <c r="C1367" s="5">
        <v>2000</v>
      </c>
      <c r="D1367" s="5">
        <v>90</v>
      </c>
      <c r="E1367" s="5">
        <v>106.5</v>
      </c>
      <c r="F1367" t="s" s="2">
        <v>301</v>
      </c>
      <c r="G1367" t="s" s="2">
        <v>2737</v>
      </c>
      <c r="H1367" s="5">
        <v>730</v>
      </c>
      <c r="I1367" t="s" s="2">
        <v>843</v>
      </c>
      <c r="J1367" t="s" s="2">
        <v>22</v>
      </c>
      <c r="K1367" t="s" s="2">
        <v>2738</v>
      </c>
      <c r="L1367" t="s" s="2">
        <v>2739</v>
      </c>
      <c r="M1367" s="5">
        <v>570818.08</v>
      </c>
      <c r="N1367" s="5">
        <v>6270040.69</v>
      </c>
      <c r="O1367" t="s" s="2">
        <v>305</v>
      </c>
      <c r="P1367" s="5">
        <v>95238</v>
      </c>
      <c r="Q1367" t="s" s="2">
        <v>2740</v>
      </c>
      <c r="R1367" t="s" s="2">
        <f>_xlfn.IFERROR(INDEX('model_byCAP'!$D$2:$D$377,MATCH(Q1367,'model_byCAP'!$A$2:$A$377,0)),0)</f>
        <v>2741</v>
      </c>
    </row>
    <row r="1368" ht="15.35" customHeight="1">
      <c r="A1368" t="s" s="2">
        <v>2742</v>
      </c>
      <c r="B1368" s="4">
        <v>41739</v>
      </c>
      <c r="C1368" s="5">
        <v>2000</v>
      </c>
      <c r="D1368" s="5">
        <v>90</v>
      </c>
      <c r="E1368" s="5">
        <v>106.5</v>
      </c>
      <c r="F1368" t="s" s="2">
        <v>301</v>
      </c>
      <c r="G1368" t="s" s="2">
        <v>2737</v>
      </c>
      <c r="H1368" s="5">
        <v>730</v>
      </c>
      <c r="I1368" t="s" s="2">
        <v>843</v>
      </c>
      <c r="J1368" t="s" s="2">
        <v>22</v>
      </c>
      <c r="K1368" t="s" s="2">
        <v>2738</v>
      </c>
      <c r="L1368" t="s" s="2">
        <v>1363</v>
      </c>
      <c r="M1368" s="5">
        <v>570980.9399999999</v>
      </c>
      <c r="N1368" s="5">
        <v>6269813.42</v>
      </c>
      <c r="O1368" t="s" s="2">
        <v>305</v>
      </c>
      <c r="P1368" s="5">
        <v>95239</v>
      </c>
      <c r="Q1368" t="s" s="2">
        <v>2740</v>
      </c>
      <c r="R1368" t="s" s="2">
        <f>_xlfn.IFERROR(INDEX('model_byCAP'!$D$2:$D$377,MATCH(Q1368,'model_byCAP'!$A$2:$A$377,0)),0)</f>
        <v>2741</v>
      </c>
    </row>
    <row r="1369" ht="15.35" customHeight="1">
      <c r="A1369" t="s" s="2">
        <v>2743</v>
      </c>
      <c r="B1369" s="4">
        <v>41738</v>
      </c>
      <c r="C1369" s="5">
        <v>2000</v>
      </c>
      <c r="D1369" s="5">
        <v>90</v>
      </c>
      <c r="E1369" s="5">
        <v>106.5</v>
      </c>
      <c r="F1369" t="s" s="2">
        <v>301</v>
      </c>
      <c r="G1369" t="s" s="2">
        <v>2737</v>
      </c>
      <c r="H1369" s="5">
        <v>730</v>
      </c>
      <c r="I1369" t="s" s="2">
        <v>843</v>
      </c>
      <c r="J1369" t="s" s="2">
        <v>22</v>
      </c>
      <c r="K1369" t="s" s="2">
        <v>2738</v>
      </c>
      <c r="L1369" t="s" s="2">
        <v>2744</v>
      </c>
      <c r="M1369" s="5">
        <v>571145.42</v>
      </c>
      <c r="N1369" s="5">
        <v>6269586.53</v>
      </c>
      <c r="O1369" t="s" s="2">
        <v>305</v>
      </c>
      <c r="P1369" s="5">
        <v>95240</v>
      </c>
      <c r="Q1369" t="s" s="2">
        <v>2740</v>
      </c>
      <c r="R1369" t="s" s="2">
        <f>_xlfn.IFERROR(INDEX('model_byCAP'!$D$2:$D$377,MATCH(Q1369,'model_byCAP'!$A$2:$A$377,0)),0)</f>
        <v>2741</v>
      </c>
    </row>
    <row r="1370" ht="15.35" customHeight="1">
      <c r="A1370" t="s" s="2">
        <v>2745</v>
      </c>
      <c r="B1370" s="4">
        <v>41738</v>
      </c>
      <c r="C1370" s="5">
        <v>2000</v>
      </c>
      <c r="D1370" s="5">
        <v>90</v>
      </c>
      <c r="E1370" s="5">
        <v>106.5</v>
      </c>
      <c r="F1370" t="s" s="2">
        <v>301</v>
      </c>
      <c r="G1370" t="s" s="2">
        <v>2737</v>
      </c>
      <c r="H1370" s="5">
        <v>730</v>
      </c>
      <c r="I1370" t="s" s="2">
        <v>843</v>
      </c>
      <c r="J1370" t="s" s="2">
        <v>22</v>
      </c>
      <c r="K1370" t="s" s="2">
        <v>2738</v>
      </c>
      <c r="L1370" t="s" s="2">
        <v>333</v>
      </c>
      <c r="M1370" s="5">
        <v>571308</v>
      </c>
      <c r="N1370" s="5">
        <v>6269357.84</v>
      </c>
      <c r="O1370" t="s" s="2">
        <v>305</v>
      </c>
      <c r="P1370" s="5">
        <v>95241</v>
      </c>
      <c r="Q1370" t="s" s="2">
        <v>2740</v>
      </c>
      <c r="R1370" t="s" s="2">
        <f>_xlfn.IFERROR(INDEX('model_byCAP'!$D$2:$D$377,MATCH(Q1370,'model_byCAP'!$A$2:$A$377,0)),0)</f>
        <v>2741</v>
      </c>
    </row>
    <row r="1371" ht="15.35" customHeight="1">
      <c r="A1371" t="s" s="2">
        <v>2746</v>
      </c>
      <c r="B1371" s="4">
        <v>41737</v>
      </c>
      <c r="C1371" s="5">
        <v>2000</v>
      </c>
      <c r="D1371" s="5">
        <v>90</v>
      </c>
      <c r="E1371" s="5">
        <v>106.5</v>
      </c>
      <c r="F1371" t="s" s="2">
        <v>301</v>
      </c>
      <c r="G1371" t="s" s="2">
        <v>2737</v>
      </c>
      <c r="H1371" s="5">
        <v>730</v>
      </c>
      <c r="I1371" t="s" s="2">
        <v>843</v>
      </c>
      <c r="J1371" t="s" s="2">
        <v>22</v>
      </c>
      <c r="K1371" t="s" s="2">
        <v>2738</v>
      </c>
      <c r="L1371" t="s" s="2">
        <v>405</v>
      </c>
      <c r="M1371" s="5">
        <v>571473.11</v>
      </c>
      <c r="N1371" s="5">
        <v>6269131.7</v>
      </c>
      <c r="O1371" t="s" s="2">
        <v>305</v>
      </c>
      <c r="P1371" s="5">
        <v>95242</v>
      </c>
      <c r="Q1371" t="s" s="2">
        <v>2740</v>
      </c>
      <c r="R1371" t="s" s="2">
        <f>_xlfn.IFERROR(INDEX('model_byCAP'!$D$2:$D$377,MATCH(Q1371,'model_byCAP'!$A$2:$A$377,0)),0)</f>
        <v>2741</v>
      </c>
    </row>
    <row r="1372" ht="15.35" customHeight="1">
      <c r="A1372" t="s" s="2">
        <v>2747</v>
      </c>
      <c r="B1372" s="4">
        <v>41737</v>
      </c>
      <c r="C1372" s="5">
        <v>2000</v>
      </c>
      <c r="D1372" s="5">
        <v>90</v>
      </c>
      <c r="E1372" s="5">
        <v>106.5</v>
      </c>
      <c r="F1372" t="s" s="2">
        <v>301</v>
      </c>
      <c r="G1372" t="s" s="2">
        <v>2737</v>
      </c>
      <c r="H1372" s="5">
        <v>730</v>
      </c>
      <c r="I1372" t="s" s="2">
        <v>843</v>
      </c>
      <c r="J1372" t="s" s="2">
        <v>22</v>
      </c>
      <c r="K1372" t="s" s="2">
        <v>2738</v>
      </c>
      <c r="L1372" t="s" s="2">
        <v>405</v>
      </c>
      <c r="M1372" s="5">
        <v>571637.13</v>
      </c>
      <c r="N1372" s="5">
        <v>6268902.68</v>
      </c>
      <c r="O1372" t="s" s="2">
        <v>305</v>
      </c>
      <c r="P1372" s="5">
        <v>95243</v>
      </c>
      <c r="Q1372" t="s" s="2">
        <v>2740</v>
      </c>
      <c r="R1372" t="s" s="2">
        <f>_xlfn.IFERROR(INDEX('model_byCAP'!$D$2:$D$377,MATCH(Q1372,'model_byCAP'!$A$2:$A$377,0)),0)</f>
        <v>2741</v>
      </c>
    </row>
    <row r="1373" ht="15.35" customHeight="1">
      <c r="A1373" t="s" s="2">
        <v>2748</v>
      </c>
      <c r="B1373" s="4">
        <v>41736</v>
      </c>
      <c r="C1373" s="5">
        <v>2000</v>
      </c>
      <c r="D1373" s="5">
        <v>90</v>
      </c>
      <c r="E1373" s="5">
        <v>106.5</v>
      </c>
      <c r="F1373" t="s" s="2">
        <v>301</v>
      </c>
      <c r="G1373" t="s" s="2">
        <v>2737</v>
      </c>
      <c r="H1373" s="5">
        <v>730</v>
      </c>
      <c r="I1373" t="s" s="2">
        <v>843</v>
      </c>
      <c r="J1373" t="s" s="2">
        <v>22</v>
      </c>
      <c r="K1373" t="s" s="2">
        <v>2738</v>
      </c>
      <c r="L1373" t="s" s="2">
        <v>405</v>
      </c>
      <c r="M1373" s="5">
        <v>571801.33</v>
      </c>
      <c r="N1373" s="5">
        <v>6268675.3</v>
      </c>
      <c r="O1373" t="s" s="2">
        <v>305</v>
      </c>
      <c r="P1373" s="5">
        <v>95244</v>
      </c>
      <c r="Q1373" t="s" s="2">
        <v>2740</v>
      </c>
      <c r="R1373" t="s" s="2">
        <f>_xlfn.IFERROR(INDEX('model_byCAP'!$D$2:$D$377,MATCH(Q1373,'model_byCAP'!$A$2:$A$377,0)),0)</f>
        <v>2741</v>
      </c>
    </row>
    <row r="1374" ht="15.35" customHeight="1">
      <c r="A1374" t="s" s="2">
        <v>2749</v>
      </c>
      <c r="B1374" s="4">
        <v>41454</v>
      </c>
      <c r="C1374" s="5">
        <v>2000</v>
      </c>
      <c r="D1374" s="5">
        <v>90</v>
      </c>
      <c r="E1374" s="5">
        <v>80</v>
      </c>
      <c r="F1374" t="s" s="2">
        <v>301</v>
      </c>
      <c r="G1374" t="s" s="2">
        <v>2737</v>
      </c>
      <c r="H1374" s="5">
        <v>730</v>
      </c>
      <c r="I1374" t="s" s="2">
        <v>843</v>
      </c>
      <c r="J1374" t="s" s="2">
        <v>22</v>
      </c>
      <c r="K1374" t="s" s="2">
        <v>2750</v>
      </c>
      <c r="L1374" t="s" s="2">
        <v>2751</v>
      </c>
      <c r="M1374" s="5">
        <v>564517</v>
      </c>
      <c r="N1374" s="5">
        <v>6251723.06</v>
      </c>
      <c r="O1374" t="s" s="2">
        <v>305</v>
      </c>
      <c r="P1374" s="5">
        <v>95245</v>
      </c>
      <c r="Q1374" t="s" s="2">
        <v>2740</v>
      </c>
      <c r="R1374" t="s" s="2">
        <f>_xlfn.IFERROR(INDEX('model_byCAP'!$D$2:$D$377,MATCH(Q1374,'model_byCAP'!$A$2:$A$377,0)),0)</f>
        <v>2741</v>
      </c>
    </row>
    <row r="1375" ht="15.35" customHeight="1">
      <c r="A1375" t="s" s="2">
        <v>2752</v>
      </c>
      <c r="B1375" s="4">
        <v>41454</v>
      </c>
      <c r="C1375" s="5">
        <v>2000</v>
      </c>
      <c r="D1375" s="5">
        <v>90</v>
      </c>
      <c r="E1375" s="5">
        <v>80</v>
      </c>
      <c r="F1375" t="s" s="2">
        <v>301</v>
      </c>
      <c r="G1375" t="s" s="2">
        <v>2737</v>
      </c>
      <c r="H1375" s="5">
        <v>730</v>
      </c>
      <c r="I1375" t="s" s="2">
        <v>843</v>
      </c>
      <c r="J1375" t="s" s="2">
        <v>22</v>
      </c>
      <c r="K1375" t="s" s="2">
        <v>2750</v>
      </c>
      <c r="L1375" t="s" s="2">
        <v>2753</v>
      </c>
      <c r="M1375" s="5">
        <v>564255.6</v>
      </c>
      <c r="N1375" s="5">
        <v>6251751.58</v>
      </c>
      <c r="O1375" t="s" s="2">
        <v>305</v>
      </c>
      <c r="P1375" s="5">
        <v>95246</v>
      </c>
      <c r="Q1375" t="s" s="2">
        <v>2740</v>
      </c>
      <c r="R1375" t="s" s="2">
        <f>_xlfn.IFERROR(INDEX('model_byCAP'!$D$2:$D$377,MATCH(Q1375,'model_byCAP'!$A$2:$A$377,0)),0)</f>
        <v>2741</v>
      </c>
    </row>
    <row r="1376" ht="15.35" customHeight="1">
      <c r="A1376" t="s" s="2">
        <v>2754</v>
      </c>
      <c r="B1376" s="4">
        <v>41454</v>
      </c>
      <c r="C1376" s="5">
        <v>2000</v>
      </c>
      <c r="D1376" s="5">
        <v>90</v>
      </c>
      <c r="E1376" s="5">
        <v>80</v>
      </c>
      <c r="F1376" t="s" s="2">
        <v>301</v>
      </c>
      <c r="G1376" t="s" s="2">
        <v>2737</v>
      </c>
      <c r="H1376" s="5">
        <v>730</v>
      </c>
      <c r="I1376" t="s" s="2">
        <v>843</v>
      </c>
      <c r="J1376" t="s" s="2">
        <v>22</v>
      </c>
      <c r="K1376" t="s" s="2">
        <v>2750</v>
      </c>
      <c r="L1376" t="s" s="2">
        <v>2755</v>
      </c>
      <c r="M1376" s="5">
        <v>563993.95</v>
      </c>
      <c r="N1376" s="5">
        <v>6251780.48</v>
      </c>
      <c r="O1376" t="s" s="2">
        <v>305</v>
      </c>
      <c r="P1376" s="5">
        <v>95247</v>
      </c>
      <c r="Q1376" t="s" s="2">
        <v>2740</v>
      </c>
      <c r="R1376" t="s" s="2">
        <f>_xlfn.IFERROR(INDEX('model_byCAP'!$D$2:$D$377,MATCH(Q1376,'model_byCAP'!$A$2:$A$377,0)),0)</f>
        <v>2741</v>
      </c>
    </row>
    <row r="1377" ht="15.35" customHeight="1">
      <c r="A1377" t="s" s="2">
        <v>2756</v>
      </c>
      <c r="B1377" s="4">
        <v>42198</v>
      </c>
      <c r="C1377" s="5">
        <v>2000</v>
      </c>
      <c r="D1377" s="5">
        <v>90</v>
      </c>
      <c r="E1377" s="5">
        <v>80</v>
      </c>
      <c r="F1377" t="s" s="2">
        <v>301</v>
      </c>
      <c r="G1377" t="s" s="2">
        <v>2737</v>
      </c>
      <c r="H1377" s="5">
        <v>730</v>
      </c>
      <c r="I1377" t="s" s="2">
        <v>843</v>
      </c>
      <c r="J1377" t="s" s="2">
        <v>22</v>
      </c>
      <c r="K1377" t="s" s="2">
        <v>2757</v>
      </c>
      <c r="L1377" t="s" s="2">
        <v>518</v>
      </c>
      <c r="M1377" s="5">
        <v>565938.63</v>
      </c>
      <c r="N1377" s="5">
        <v>6270506.73</v>
      </c>
      <c r="O1377" t="s" s="2">
        <v>305</v>
      </c>
      <c r="P1377" s="5">
        <v>4061761</v>
      </c>
      <c r="Q1377" t="s" s="2">
        <v>2740</v>
      </c>
      <c r="R1377" t="s" s="2">
        <f>_xlfn.IFERROR(INDEX('model_byCAP'!$D$2:$D$377,MATCH(Q1377,'model_byCAP'!$A$2:$A$377,0)),0)</f>
        <v>2741</v>
      </c>
    </row>
    <row r="1378" ht="15.35" customHeight="1">
      <c r="A1378" t="s" s="2">
        <v>2758</v>
      </c>
      <c r="B1378" s="4">
        <v>42200</v>
      </c>
      <c r="C1378" s="5">
        <v>2000</v>
      </c>
      <c r="D1378" s="5">
        <v>90</v>
      </c>
      <c r="E1378" s="5">
        <v>80</v>
      </c>
      <c r="F1378" t="s" s="2">
        <v>301</v>
      </c>
      <c r="G1378" t="s" s="2">
        <v>2737</v>
      </c>
      <c r="H1378" s="5">
        <v>730</v>
      </c>
      <c r="I1378" t="s" s="2">
        <v>843</v>
      </c>
      <c r="J1378" t="s" s="2">
        <v>22</v>
      </c>
      <c r="K1378" t="s" s="2">
        <v>2757</v>
      </c>
      <c r="L1378" t="s" s="2">
        <v>518</v>
      </c>
      <c r="M1378" s="5">
        <v>565589.63</v>
      </c>
      <c r="N1378" s="5">
        <v>6270632.69</v>
      </c>
      <c r="O1378" t="s" s="2">
        <v>305</v>
      </c>
      <c r="P1378" s="5">
        <v>4061762</v>
      </c>
      <c r="Q1378" t="s" s="2">
        <v>2740</v>
      </c>
      <c r="R1378" t="s" s="2">
        <f>_xlfn.IFERROR(INDEX('model_byCAP'!$D$2:$D$377,MATCH(Q1378,'model_byCAP'!$A$2:$A$377,0)),0)</f>
        <v>2741</v>
      </c>
    </row>
    <row r="1379" ht="15.35" customHeight="1">
      <c r="A1379" t="s" s="2">
        <v>2759</v>
      </c>
      <c r="B1379" s="4">
        <v>42208</v>
      </c>
      <c r="C1379" s="5">
        <v>2000</v>
      </c>
      <c r="D1379" s="5">
        <v>90</v>
      </c>
      <c r="E1379" s="5">
        <v>80</v>
      </c>
      <c r="F1379" t="s" s="2">
        <v>301</v>
      </c>
      <c r="G1379" t="s" s="2">
        <v>2737</v>
      </c>
      <c r="H1379" s="5">
        <v>730</v>
      </c>
      <c r="I1379" t="s" s="2">
        <v>843</v>
      </c>
      <c r="J1379" t="s" s="2">
        <v>22</v>
      </c>
      <c r="K1379" t="s" s="2">
        <v>2757</v>
      </c>
      <c r="L1379" t="s" s="2">
        <v>396</v>
      </c>
      <c r="M1379" s="5">
        <v>565240.04</v>
      </c>
      <c r="N1379" s="5">
        <v>6270758.67</v>
      </c>
      <c r="O1379" t="s" s="2">
        <v>305</v>
      </c>
      <c r="P1379" s="5">
        <v>4061763</v>
      </c>
      <c r="Q1379" t="s" s="2">
        <v>2740</v>
      </c>
      <c r="R1379" t="s" s="2">
        <f>_xlfn.IFERROR(INDEX('model_byCAP'!$D$2:$D$377,MATCH(Q1379,'model_byCAP'!$A$2:$A$377,0)),0)</f>
        <v>2741</v>
      </c>
    </row>
    <row r="1380" ht="15.35" customHeight="1">
      <c r="A1380" t="s" s="2">
        <v>2760</v>
      </c>
      <c r="B1380" s="4">
        <v>42205</v>
      </c>
      <c r="C1380" s="5">
        <v>2000</v>
      </c>
      <c r="D1380" s="5">
        <v>90</v>
      </c>
      <c r="E1380" s="5">
        <v>80</v>
      </c>
      <c r="F1380" t="s" s="2">
        <v>301</v>
      </c>
      <c r="G1380" t="s" s="2">
        <v>2737</v>
      </c>
      <c r="H1380" s="5">
        <v>730</v>
      </c>
      <c r="I1380" t="s" s="2">
        <v>843</v>
      </c>
      <c r="J1380" t="s" s="2">
        <v>22</v>
      </c>
      <c r="K1380" t="s" s="2">
        <v>2757</v>
      </c>
      <c r="L1380" t="s" s="2">
        <v>405</v>
      </c>
      <c r="M1380" s="5">
        <v>564891.26</v>
      </c>
      <c r="N1380" s="5">
        <v>6270884.58</v>
      </c>
      <c r="O1380" t="s" s="2">
        <v>305</v>
      </c>
      <c r="P1380" s="5">
        <v>4061764</v>
      </c>
      <c r="Q1380" t="s" s="2">
        <v>2740</v>
      </c>
      <c r="R1380" t="s" s="2">
        <f>_xlfn.IFERROR(INDEX('model_byCAP'!$D$2:$D$377,MATCH(Q1380,'model_byCAP'!$A$2:$A$377,0)),0)</f>
        <v>2741</v>
      </c>
    </row>
    <row r="1381" ht="15.35" customHeight="1">
      <c r="A1381" t="s" s="2">
        <v>2761</v>
      </c>
      <c r="B1381" s="4">
        <v>42203</v>
      </c>
      <c r="C1381" s="5">
        <v>2000</v>
      </c>
      <c r="D1381" s="5">
        <v>90</v>
      </c>
      <c r="E1381" s="5">
        <v>80</v>
      </c>
      <c r="F1381" t="s" s="2">
        <v>301</v>
      </c>
      <c r="G1381" t="s" s="2">
        <v>2737</v>
      </c>
      <c r="H1381" s="5">
        <v>730</v>
      </c>
      <c r="I1381" t="s" s="2">
        <v>843</v>
      </c>
      <c r="J1381" t="s" s="2">
        <v>22</v>
      </c>
      <c r="K1381" t="s" s="2">
        <v>2757</v>
      </c>
      <c r="L1381" t="s" s="2">
        <v>862</v>
      </c>
      <c r="M1381" s="5">
        <v>564541.04</v>
      </c>
      <c r="N1381" s="5">
        <v>6271010.55</v>
      </c>
      <c r="O1381" t="s" s="2">
        <v>305</v>
      </c>
      <c r="P1381" s="5">
        <v>4061765</v>
      </c>
      <c r="Q1381" t="s" s="2">
        <v>2740</v>
      </c>
      <c r="R1381" t="s" s="2">
        <f>_xlfn.IFERROR(INDEX('model_byCAP'!$D$2:$D$377,MATCH(Q1381,'model_byCAP'!$A$2:$A$377,0)),0)</f>
        <v>2741</v>
      </c>
    </row>
    <row r="1382" ht="15.35" customHeight="1">
      <c r="A1382" t="s" s="2">
        <v>2762</v>
      </c>
      <c r="B1382" s="4">
        <v>42200</v>
      </c>
      <c r="C1382" s="5">
        <v>2000</v>
      </c>
      <c r="D1382" s="5">
        <v>90</v>
      </c>
      <c r="E1382" s="5">
        <v>80</v>
      </c>
      <c r="F1382" t="s" s="2">
        <v>301</v>
      </c>
      <c r="G1382" t="s" s="2">
        <v>2737</v>
      </c>
      <c r="H1382" s="5">
        <v>730</v>
      </c>
      <c r="I1382" t="s" s="2">
        <v>843</v>
      </c>
      <c r="J1382" t="s" s="2">
        <v>22</v>
      </c>
      <c r="K1382" t="s" s="2">
        <v>2757</v>
      </c>
      <c r="L1382" t="s" s="2">
        <v>862</v>
      </c>
      <c r="M1382" s="5">
        <v>564191.46</v>
      </c>
      <c r="N1382" s="5">
        <v>6271136.83</v>
      </c>
      <c r="O1382" t="s" s="2">
        <v>305</v>
      </c>
      <c r="P1382" s="5">
        <v>4061766</v>
      </c>
      <c r="Q1382" t="s" s="2">
        <v>2740</v>
      </c>
      <c r="R1382" t="s" s="2">
        <f>_xlfn.IFERROR(INDEX('model_byCAP'!$D$2:$D$377,MATCH(Q1382,'model_byCAP'!$A$2:$A$377,0)),0)</f>
        <v>2741</v>
      </c>
    </row>
    <row r="1383" ht="15.35" customHeight="1">
      <c r="A1383" t="s" s="2">
        <v>2763</v>
      </c>
      <c r="B1383" s="4">
        <v>37533</v>
      </c>
      <c r="C1383" s="5">
        <v>2000</v>
      </c>
      <c r="D1383" s="5">
        <v>73.40000000000001</v>
      </c>
      <c r="E1383" s="5">
        <v>68</v>
      </c>
      <c r="F1383" t="s" s="2">
        <v>1989</v>
      </c>
      <c r="G1383" t="s" s="2">
        <v>2764</v>
      </c>
      <c r="H1383" s="5">
        <v>756</v>
      </c>
      <c r="I1383" t="s" s="2">
        <v>456</v>
      </c>
      <c r="J1383" t="s" s="2">
        <v>22</v>
      </c>
      <c r="K1383" t="s" s="2">
        <v>2765</v>
      </c>
      <c r="L1383" t="s" s="2">
        <v>481</v>
      </c>
      <c r="M1383" s="5">
        <v>517701.92</v>
      </c>
      <c r="N1383" s="5">
        <v>6207302.07</v>
      </c>
      <c r="O1383" t="s" s="2">
        <v>305</v>
      </c>
      <c r="P1383" s="5">
        <v>16101</v>
      </c>
      <c r="Q1383" t="s" s="2">
        <v>2766</v>
      </c>
      <c r="R1383" t="s" s="2">
        <f>_xlfn.IFERROR(INDEX('model_byCAP'!$D$2:$D$377,MATCH(Q1383,'model_byCAP'!$A$2:$A$377,0)),0)</f>
        <v>2321</v>
      </c>
    </row>
    <row r="1384" ht="15.35" customHeight="1">
      <c r="A1384" t="s" s="2">
        <v>2767</v>
      </c>
      <c r="B1384" s="4">
        <v>42196</v>
      </c>
      <c r="C1384" s="5">
        <v>2000</v>
      </c>
      <c r="D1384" s="5">
        <v>80</v>
      </c>
      <c r="E1384" s="5">
        <v>67</v>
      </c>
      <c r="F1384" t="s" s="2">
        <v>301</v>
      </c>
      <c r="G1384" t="s" s="2">
        <v>2485</v>
      </c>
      <c r="H1384" s="5">
        <v>760</v>
      </c>
      <c r="I1384" t="s" s="2">
        <v>331</v>
      </c>
      <c r="J1384" t="s" s="2">
        <v>22</v>
      </c>
      <c r="K1384" t="s" s="2">
        <v>2768</v>
      </c>
      <c r="L1384" t="s" s="2">
        <v>2769</v>
      </c>
      <c r="M1384" s="5">
        <v>473659.01</v>
      </c>
      <c r="N1384" s="5">
        <v>6208169.75</v>
      </c>
      <c r="O1384" t="s" s="2">
        <v>305</v>
      </c>
      <c r="P1384" s="5">
        <v>85171</v>
      </c>
      <c r="Q1384" t="s" s="2">
        <v>2489</v>
      </c>
      <c r="R1384" t="s" s="2">
        <f>_xlfn.IFERROR(INDEX('model_byCAP'!$D$2:$D$377,MATCH(Q1384,'model_byCAP'!$A$2:$A$377,0)),0)</f>
        <v>2490</v>
      </c>
    </row>
    <row r="1385" ht="15.35" customHeight="1">
      <c r="A1385" t="s" s="2">
        <v>2770</v>
      </c>
      <c r="B1385" s="4">
        <v>42192</v>
      </c>
      <c r="C1385" s="5">
        <v>2000</v>
      </c>
      <c r="D1385" s="5">
        <v>80</v>
      </c>
      <c r="E1385" s="5">
        <v>67</v>
      </c>
      <c r="F1385" t="s" s="2">
        <v>301</v>
      </c>
      <c r="G1385" t="s" s="2">
        <v>2485</v>
      </c>
      <c r="H1385" s="5">
        <v>760</v>
      </c>
      <c r="I1385" t="s" s="2">
        <v>331</v>
      </c>
      <c r="J1385" t="s" s="2">
        <v>22</v>
      </c>
      <c r="K1385" t="s" s="2">
        <v>2768</v>
      </c>
      <c r="L1385" t="s" s="2">
        <v>1181</v>
      </c>
      <c r="M1385" s="5">
        <v>473861.1</v>
      </c>
      <c r="N1385" s="5">
        <v>6208431.25</v>
      </c>
      <c r="O1385" t="s" s="2">
        <v>305</v>
      </c>
      <c r="P1385" s="5">
        <v>85172</v>
      </c>
      <c r="Q1385" t="s" s="2">
        <v>2489</v>
      </c>
      <c r="R1385" t="s" s="2">
        <f>_xlfn.IFERROR(INDEX('model_byCAP'!$D$2:$D$377,MATCH(Q1385,'model_byCAP'!$A$2:$A$377,0)),0)</f>
        <v>2490</v>
      </c>
    </row>
    <row r="1386" ht="15.35" customHeight="1">
      <c r="A1386" t="s" s="2">
        <v>2771</v>
      </c>
      <c r="B1386" s="4">
        <v>42189</v>
      </c>
      <c r="C1386" s="5">
        <v>2000</v>
      </c>
      <c r="D1386" s="5">
        <v>80</v>
      </c>
      <c r="E1386" s="5">
        <v>67</v>
      </c>
      <c r="F1386" t="s" s="2">
        <v>301</v>
      </c>
      <c r="G1386" t="s" s="2">
        <v>2485</v>
      </c>
      <c r="H1386" s="5">
        <v>760</v>
      </c>
      <c r="I1386" t="s" s="2">
        <v>331</v>
      </c>
      <c r="J1386" t="s" s="2">
        <v>22</v>
      </c>
      <c r="K1386" t="s" s="2">
        <v>2768</v>
      </c>
      <c r="L1386" t="s" s="2">
        <v>2772</v>
      </c>
      <c r="M1386" s="5">
        <v>474063.04</v>
      </c>
      <c r="N1386" s="5">
        <v>6208693.2</v>
      </c>
      <c r="O1386" t="s" s="2">
        <v>305</v>
      </c>
      <c r="P1386" s="5">
        <v>85173</v>
      </c>
      <c r="Q1386" t="s" s="2">
        <v>2489</v>
      </c>
      <c r="R1386" t="s" s="2">
        <f>_xlfn.IFERROR(INDEX('model_byCAP'!$D$2:$D$377,MATCH(Q1386,'model_byCAP'!$A$2:$A$377,0)),0)</f>
        <v>2490</v>
      </c>
    </row>
    <row r="1387" ht="15.35" customHeight="1">
      <c r="A1387" t="s" s="2">
        <v>2773</v>
      </c>
      <c r="B1387" s="4">
        <v>36887</v>
      </c>
      <c r="C1387" s="5">
        <v>2000</v>
      </c>
      <c r="D1387" s="5">
        <v>76</v>
      </c>
      <c r="E1387" s="5">
        <v>64</v>
      </c>
      <c r="F1387" t="s" s="2">
        <v>1989</v>
      </c>
      <c r="G1387" t="s" s="2">
        <v>2764</v>
      </c>
      <c r="H1387" s="5">
        <v>101</v>
      </c>
      <c r="I1387" t="s" s="2">
        <v>2774</v>
      </c>
      <c r="J1387" t="s" s="2">
        <v>47</v>
      </c>
      <c r="K1387" t="s" s="2">
        <v>1992</v>
      </c>
      <c r="L1387" t="s" s="2">
        <v>47</v>
      </c>
      <c r="M1387" s="5">
        <v>730459.11</v>
      </c>
      <c r="N1387" s="5">
        <v>6179564.85</v>
      </c>
      <c r="O1387" t="s" s="2">
        <v>305</v>
      </c>
      <c r="P1387" t="s" s="2">
        <v>2775</v>
      </c>
      <c r="Q1387" t="s" s="2">
        <v>2766</v>
      </c>
      <c r="R1387" t="s" s="2">
        <f>_xlfn.IFERROR(INDEX('model_byCAP'!$D$2:$D$377,MATCH(Q1387,'model_byCAP'!$A$2:$A$377,0)),0)</f>
        <v>2321</v>
      </c>
    </row>
    <row r="1388" ht="15.35" customHeight="1">
      <c r="A1388" t="s" s="2">
        <v>2776</v>
      </c>
      <c r="B1388" s="4">
        <v>36887</v>
      </c>
      <c r="C1388" s="5">
        <v>2000</v>
      </c>
      <c r="D1388" s="5">
        <v>76</v>
      </c>
      <c r="E1388" s="5">
        <v>64</v>
      </c>
      <c r="F1388" t="s" s="2">
        <v>1989</v>
      </c>
      <c r="G1388" t="s" s="2">
        <v>2764</v>
      </c>
      <c r="H1388" s="5">
        <v>101</v>
      </c>
      <c r="I1388" t="s" s="2">
        <v>2774</v>
      </c>
      <c r="J1388" t="s" s="2">
        <v>47</v>
      </c>
      <c r="K1388" t="s" s="2">
        <v>1992</v>
      </c>
      <c r="L1388" t="s" s="2">
        <v>618</v>
      </c>
      <c r="M1388" s="5">
        <v>730498.59</v>
      </c>
      <c r="N1388" s="5">
        <v>6179386.23</v>
      </c>
      <c r="O1388" t="s" s="2">
        <v>305</v>
      </c>
      <c r="P1388" t="s" s="2">
        <v>2775</v>
      </c>
      <c r="Q1388" t="s" s="2">
        <v>2766</v>
      </c>
      <c r="R1388" t="s" s="2">
        <f>_xlfn.IFERROR(INDEX('model_byCAP'!$D$2:$D$377,MATCH(Q1388,'model_byCAP'!$A$2:$A$377,0)),0)</f>
        <v>2321</v>
      </c>
    </row>
    <row r="1389" ht="15.35" customHeight="1">
      <c r="A1389" t="s" s="2">
        <v>2777</v>
      </c>
      <c r="B1389" s="4">
        <v>36887</v>
      </c>
      <c r="C1389" s="5">
        <v>2000</v>
      </c>
      <c r="D1389" s="5">
        <v>76</v>
      </c>
      <c r="E1389" s="5">
        <v>64</v>
      </c>
      <c r="F1389" t="s" s="2">
        <v>1989</v>
      </c>
      <c r="G1389" t="s" s="2">
        <v>2764</v>
      </c>
      <c r="H1389" s="5">
        <v>101</v>
      </c>
      <c r="I1389" t="s" s="2">
        <v>2774</v>
      </c>
      <c r="J1389" t="s" s="2">
        <v>47</v>
      </c>
      <c r="K1389" t="s" s="2">
        <v>1992</v>
      </c>
      <c r="L1389" t="s" s="2">
        <v>618</v>
      </c>
      <c r="M1389" s="5">
        <v>730534.8</v>
      </c>
      <c r="N1389" s="5">
        <v>6179206.92</v>
      </c>
      <c r="O1389" t="s" s="2">
        <v>305</v>
      </c>
      <c r="P1389" t="s" s="2">
        <v>2778</v>
      </c>
      <c r="Q1389" t="s" s="2">
        <v>2766</v>
      </c>
      <c r="R1389" t="s" s="2">
        <f>_xlfn.IFERROR(INDEX('model_byCAP'!$D$2:$D$377,MATCH(Q1389,'model_byCAP'!$A$2:$A$377,0)),0)</f>
        <v>2321</v>
      </c>
    </row>
    <row r="1390" ht="15.35" customHeight="1">
      <c r="A1390" t="s" s="2">
        <v>2779</v>
      </c>
      <c r="B1390" s="4">
        <v>36887</v>
      </c>
      <c r="C1390" s="5">
        <v>2000</v>
      </c>
      <c r="D1390" s="5">
        <v>76</v>
      </c>
      <c r="E1390" s="5">
        <v>64</v>
      </c>
      <c r="F1390" t="s" s="2">
        <v>1989</v>
      </c>
      <c r="G1390" t="s" s="2">
        <v>2764</v>
      </c>
      <c r="H1390" s="5">
        <v>101</v>
      </c>
      <c r="I1390" t="s" s="2">
        <v>2774</v>
      </c>
      <c r="J1390" t="s" s="2">
        <v>47</v>
      </c>
      <c r="K1390" t="s" s="2">
        <v>1992</v>
      </c>
      <c r="L1390" t="s" s="2">
        <v>618</v>
      </c>
      <c r="M1390" s="5">
        <v>730567.72</v>
      </c>
      <c r="N1390" s="5">
        <v>6179026.97</v>
      </c>
      <c r="O1390" t="s" s="2">
        <v>305</v>
      </c>
      <c r="P1390" t="s" s="2">
        <v>2778</v>
      </c>
      <c r="Q1390" t="s" s="2">
        <v>2766</v>
      </c>
      <c r="R1390" t="s" s="2">
        <f>_xlfn.IFERROR(INDEX('model_byCAP'!$D$2:$D$377,MATCH(Q1390,'model_byCAP'!$A$2:$A$377,0)),0)</f>
        <v>2321</v>
      </c>
    </row>
    <row r="1391" ht="15.35" customHeight="1">
      <c r="A1391" t="s" s="2">
        <v>2780</v>
      </c>
      <c r="B1391" s="4">
        <v>36887</v>
      </c>
      <c r="C1391" s="5">
        <v>2000</v>
      </c>
      <c r="D1391" s="5">
        <v>76</v>
      </c>
      <c r="E1391" s="5">
        <v>64</v>
      </c>
      <c r="F1391" t="s" s="2">
        <v>1989</v>
      </c>
      <c r="G1391" t="s" s="2">
        <v>2764</v>
      </c>
      <c r="H1391" s="5">
        <v>101</v>
      </c>
      <c r="I1391" t="s" s="2">
        <v>2774</v>
      </c>
      <c r="J1391" t="s" s="2">
        <v>47</v>
      </c>
      <c r="K1391" t="s" s="2">
        <v>1992</v>
      </c>
      <c r="L1391" t="s" s="2">
        <v>618</v>
      </c>
      <c r="M1391" s="5">
        <v>730597.23</v>
      </c>
      <c r="N1391" s="5">
        <v>6178846.74</v>
      </c>
      <c r="O1391" t="s" s="2">
        <v>305</v>
      </c>
      <c r="P1391" t="s" s="2">
        <v>2778</v>
      </c>
      <c r="Q1391" t="s" s="2">
        <v>2766</v>
      </c>
      <c r="R1391" t="s" s="2">
        <f>_xlfn.IFERROR(INDEX('model_byCAP'!$D$2:$D$377,MATCH(Q1391,'model_byCAP'!$A$2:$A$377,0)),0)</f>
        <v>2321</v>
      </c>
    </row>
    <row r="1392" ht="15.35" customHeight="1">
      <c r="A1392" t="s" s="2">
        <v>2781</v>
      </c>
      <c r="B1392" s="4">
        <v>36887</v>
      </c>
      <c r="C1392" s="5">
        <v>2000</v>
      </c>
      <c r="D1392" s="5">
        <v>76</v>
      </c>
      <c r="E1392" s="5">
        <v>64</v>
      </c>
      <c r="F1392" t="s" s="2">
        <v>1989</v>
      </c>
      <c r="G1392" t="s" s="2">
        <v>2764</v>
      </c>
      <c r="H1392" s="5">
        <v>101</v>
      </c>
      <c r="I1392" t="s" s="2">
        <v>2774</v>
      </c>
      <c r="J1392" t="s" s="2">
        <v>47</v>
      </c>
      <c r="K1392" t="s" s="2">
        <v>1992</v>
      </c>
      <c r="L1392" t="s" s="2">
        <v>618</v>
      </c>
      <c r="M1392" s="5">
        <v>730623.67</v>
      </c>
      <c r="N1392" s="5">
        <v>6178665.43</v>
      </c>
      <c r="O1392" t="s" s="2">
        <v>305</v>
      </c>
      <c r="P1392" t="s" s="2">
        <v>2778</v>
      </c>
      <c r="Q1392" t="s" s="2">
        <v>2766</v>
      </c>
      <c r="R1392" t="s" s="2">
        <f>_xlfn.IFERROR(INDEX('model_byCAP'!$D$2:$D$377,MATCH(Q1392,'model_byCAP'!$A$2:$A$377,0)),0)</f>
        <v>2321</v>
      </c>
    </row>
    <row r="1393" ht="15.35" customHeight="1">
      <c r="A1393" t="s" s="2">
        <v>2782</v>
      </c>
      <c r="B1393" s="4">
        <v>36887</v>
      </c>
      <c r="C1393" s="5">
        <v>2000</v>
      </c>
      <c r="D1393" s="5">
        <v>76</v>
      </c>
      <c r="E1393" s="5">
        <v>64</v>
      </c>
      <c r="F1393" t="s" s="2">
        <v>1989</v>
      </c>
      <c r="G1393" t="s" s="2">
        <v>2764</v>
      </c>
      <c r="H1393" s="5">
        <v>101</v>
      </c>
      <c r="I1393" t="s" s="2">
        <v>2774</v>
      </c>
      <c r="J1393" t="s" s="2">
        <v>47</v>
      </c>
      <c r="K1393" t="s" s="2">
        <v>1992</v>
      </c>
      <c r="L1393" t="s" s="2">
        <v>618</v>
      </c>
      <c r="M1393" s="5">
        <v>730646.67</v>
      </c>
      <c r="N1393" s="5">
        <v>6178483.95</v>
      </c>
      <c r="O1393" t="s" s="2">
        <v>305</v>
      </c>
      <c r="P1393" t="s" s="2">
        <v>2778</v>
      </c>
      <c r="Q1393" t="s" s="2">
        <v>2766</v>
      </c>
      <c r="R1393" t="s" s="2">
        <f>_xlfn.IFERROR(INDEX('model_byCAP'!$D$2:$D$377,MATCH(Q1393,'model_byCAP'!$A$2:$A$377,0)),0)</f>
        <v>2321</v>
      </c>
    </row>
    <row r="1394" ht="15.35" customHeight="1">
      <c r="A1394" t="s" s="2">
        <v>2783</v>
      </c>
      <c r="B1394" s="4">
        <v>36887</v>
      </c>
      <c r="C1394" s="5">
        <v>2000</v>
      </c>
      <c r="D1394" s="5">
        <v>76</v>
      </c>
      <c r="E1394" s="5">
        <v>64</v>
      </c>
      <c r="F1394" t="s" s="2">
        <v>1989</v>
      </c>
      <c r="G1394" t="s" s="2">
        <v>2764</v>
      </c>
      <c r="H1394" s="5">
        <v>101</v>
      </c>
      <c r="I1394" t="s" s="2">
        <v>2774</v>
      </c>
      <c r="J1394" t="s" s="2">
        <v>47</v>
      </c>
      <c r="K1394" t="s" s="2">
        <v>1992</v>
      </c>
      <c r="L1394" t="s" s="2">
        <v>618</v>
      </c>
      <c r="M1394" s="5">
        <v>730666.39</v>
      </c>
      <c r="N1394" s="5">
        <v>6178300.08</v>
      </c>
      <c r="O1394" t="s" s="2">
        <v>305</v>
      </c>
      <c r="P1394" t="s" s="2">
        <v>2778</v>
      </c>
      <c r="Q1394" t="s" s="2">
        <v>2766</v>
      </c>
      <c r="R1394" t="s" s="2">
        <f>_xlfn.IFERROR(INDEX('model_byCAP'!$D$2:$D$377,MATCH(Q1394,'model_byCAP'!$A$2:$A$377,0)),0)</f>
        <v>2321</v>
      </c>
    </row>
    <row r="1395" ht="15.35" customHeight="1">
      <c r="A1395" t="s" s="2">
        <v>2784</v>
      </c>
      <c r="B1395" s="4">
        <v>36887</v>
      </c>
      <c r="C1395" s="5">
        <v>2000</v>
      </c>
      <c r="D1395" s="5">
        <v>76</v>
      </c>
      <c r="E1395" s="5">
        <v>64</v>
      </c>
      <c r="F1395" t="s" s="2">
        <v>1989</v>
      </c>
      <c r="G1395" t="s" s="2">
        <v>2764</v>
      </c>
      <c r="H1395" s="5">
        <v>101</v>
      </c>
      <c r="I1395" t="s" s="2">
        <v>2774</v>
      </c>
      <c r="J1395" t="s" s="2">
        <v>47</v>
      </c>
      <c r="K1395" t="s" s="2">
        <v>1992</v>
      </c>
      <c r="L1395" t="s" s="2">
        <v>618</v>
      </c>
      <c r="M1395" s="5">
        <v>730682.71</v>
      </c>
      <c r="N1395" s="5">
        <v>6178119.88</v>
      </c>
      <c r="O1395" t="s" s="2">
        <v>305</v>
      </c>
      <c r="P1395" t="s" s="2">
        <v>2778</v>
      </c>
      <c r="Q1395" t="s" s="2">
        <v>2766</v>
      </c>
      <c r="R1395" t="s" s="2">
        <f>_xlfn.IFERROR(INDEX('model_byCAP'!$D$2:$D$377,MATCH(Q1395,'model_byCAP'!$A$2:$A$377,0)),0)</f>
        <v>2321</v>
      </c>
    </row>
    <row r="1396" ht="15.35" customHeight="1">
      <c r="A1396" t="s" s="2">
        <v>2785</v>
      </c>
      <c r="B1396" s="4">
        <v>36887</v>
      </c>
      <c r="C1396" s="5">
        <v>2000</v>
      </c>
      <c r="D1396" s="5">
        <v>76</v>
      </c>
      <c r="E1396" s="5">
        <v>64</v>
      </c>
      <c r="F1396" t="s" s="2">
        <v>1989</v>
      </c>
      <c r="G1396" t="s" s="2">
        <v>2764</v>
      </c>
      <c r="H1396" s="5">
        <v>101</v>
      </c>
      <c r="I1396" t="s" s="2">
        <v>2774</v>
      </c>
      <c r="J1396" t="s" s="2">
        <v>47</v>
      </c>
      <c r="K1396" t="s" s="2">
        <v>1992</v>
      </c>
      <c r="L1396" t="s" s="2">
        <v>618</v>
      </c>
      <c r="M1396" s="5">
        <v>730695.73</v>
      </c>
      <c r="N1396" s="5">
        <v>6177937.41</v>
      </c>
      <c r="O1396" t="s" s="2">
        <v>305</v>
      </c>
      <c r="P1396" t="s" s="2">
        <v>2778</v>
      </c>
      <c r="Q1396" t="s" s="2">
        <v>2766</v>
      </c>
      <c r="R1396" t="s" s="2">
        <f>_xlfn.IFERROR(INDEX('model_byCAP'!$D$2:$D$377,MATCH(Q1396,'model_byCAP'!$A$2:$A$377,0)),0)</f>
        <v>2321</v>
      </c>
    </row>
    <row r="1397" ht="15.35" customHeight="1">
      <c r="A1397" t="s" s="2">
        <v>2786</v>
      </c>
      <c r="B1397" s="4">
        <v>36887</v>
      </c>
      <c r="C1397" s="5">
        <v>2000</v>
      </c>
      <c r="D1397" s="5">
        <v>76</v>
      </c>
      <c r="E1397" s="5">
        <v>64</v>
      </c>
      <c r="F1397" t="s" s="2">
        <v>1989</v>
      </c>
      <c r="G1397" t="s" s="2">
        <v>2764</v>
      </c>
      <c r="H1397" s="5">
        <v>101</v>
      </c>
      <c r="I1397" t="s" s="2">
        <v>2774</v>
      </c>
      <c r="J1397" t="s" s="2">
        <v>47</v>
      </c>
      <c r="K1397" t="s" s="2">
        <v>1992</v>
      </c>
      <c r="L1397" t="s" s="2">
        <v>618</v>
      </c>
      <c r="M1397" s="5">
        <v>730705.4</v>
      </c>
      <c r="N1397" s="5">
        <v>6177754.73</v>
      </c>
      <c r="O1397" t="s" s="2">
        <v>305</v>
      </c>
      <c r="P1397" t="s" s="2">
        <v>2787</v>
      </c>
      <c r="Q1397" t="s" s="2">
        <v>2766</v>
      </c>
      <c r="R1397" t="s" s="2">
        <f>_xlfn.IFERROR(INDEX('model_byCAP'!$D$2:$D$377,MATCH(Q1397,'model_byCAP'!$A$2:$A$377,0)),0)</f>
        <v>2321</v>
      </c>
    </row>
    <row r="1398" ht="15.35" customHeight="1">
      <c r="A1398" t="s" s="2">
        <v>2788</v>
      </c>
      <c r="B1398" s="4">
        <v>36887</v>
      </c>
      <c r="C1398" s="5">
        <v>2000</v>
      </c>
      <c r="D1398" s="5">
        <v>76</v>
      </c>
      <c r="E1398" s="5">
        <v>64</v>
      </c>
      <c r="F1398" t="s" s="2">
        <v>1989</v>
      </c>
      <c r="G1398" t="s" s="2">
        <v>2764</v>
      </c>
      <c r="H1398" s="5">
        <v>101</v>
      </c>
      <c r="I1398" t="s" s="2">
        <v>2774</v>
      </c>
      <c r="J1398" t="s" s="2">
        <v>47</v>
      </c>
      <c r="K1398" t="s" s="2">
        <v>1992</v>
      </c>
      <c r="L1398" t="s" s="2">
        <v>618</v>
      </c>
      <c r="M1398" s="5">
        <v>730711.74</v>
      </c>
      <c r="N1398" s="5">
        <v>6177571.91</v>
      </c>
      <c r="O1398" t="s" s="2">
        <v>305</v>
      </c>
      <c r="P1398" t="s" s="2">
        <v>2789</v>
      </c>
      <c r="Q1398" t="s" s="2">
        <v>2766</v>
      </c>
      <c r="R1398" t="s" s="2">
        <f>_xlfn.IFERROR(INDEX('model_byCAP'!$D$2:$D$377,MATCH(Q1398,'model_byCAP'!$A$2:$A$377,0)),0)</f>
        <v>2321</v>
      </c>
    </row>
    <row r="1399" ht="15.35" customHeight="1">
      <c r="A1399" t="s" s="2">
        <v>2790</v>
      </c>
      <c r="B1399" s="4">
        <v>36887</v>
      </c>
      <c r="C1399" s="5">
        <v>2000</v>
      </c>
      <c r="D1399" s="5">
        <v>76</v>
      </c>
      <c r="E1399" s="5">
        <v>64</v>
      </c>
      <c r="F1399" t="s" s="2">
        <v>1989</v>
      </c>
      <c r="G1399" t="s" s="2">
        <v>2764</v>
      </c>
      <c r="H1399" s="5">
        <v>101</v>
      </c>
      <c r="I1399" t="s" s="2">
        <v>2774</v>
      </c>
      <c r="J1399" t="s" s="2">
        <v>47</v>
      </c>
      <c r="K1399" t="s" s="2">
        <v>1992</v>
      </c>
      <c r="L1399" t="s" s="2">
        <v>618</v>
      </c>
      <c r="M1399" s="5">
        <v>730714.73</v>
      </c>
      <c r="N1399" s="5">
        <v>6177389</v>
      </c>
      <c r="O1399" t="s" s="2">
        <v>305</v>
      </c>
      <c r="P1399" t="s" s="2">
        <v>2789</v>
      </c>
      <c r="Q1399" t="s" s="2">
        <v>2766</v>
      </c>
      <c r="R1399" t="s" s="2">
        <f>_xlfn.IFERROR(INDEX('model_byCAP'!$D$2:$D$377,MATCH(Q1399,'model_byCAP'!$A$2:$A$377,0)),0)</f>
        <v>2321</v>
      </c>
    </row>
    <row r="1400" ht="15.35" customHeight="1">
      <c r="A1400" t="s" s="2">
        <v>2791</v>
      </c>
      <c r="B1400" s="4">
        <v>36887</v>
      </c>
      <c r="C1400" s="5">
        <v>2000</v>
      </c>
      <c r="D1400" s="5">
        <v>76</v>
      </c>
      <c r="E1400" s="5">
        <v>64</v>
      </c>
      <c r="F1400" t="s" s="2">
        <v>1989</v>
      </c>
      <c r="G1400" t="s" s="2">
        <v>2764</v>
      </c>
      <c r="H1400" s="5">
        <v>101</v>
      </c>
      <c r="I1400" t="s" s="2">
        <v>2774</v>
      </c>
      <c r="J1400" t="s" s="2">
        <v>47</v>
      </c>
      <c r="K1400" t="s" s="2">
        <v>1992</v>
      </c>
      <c r="L1400" t="s" s="2">
        <v>618</v>
      </c>
      <c r="M1400" s="5">
        <v>730714.38</v>
      </c>
      <c r="N1400" s="5">
        <v>6177206.07</v>
      </c>
      <c r="O1400" t="s" s="2">
        <v>305</v>
      </c>
      <c r="P1400" t="s" s="2">
        <v>2789</v>
      </c>
      <c r="Q1400" t="s" s="2">
        <v>2766</v>
      </c>
      <c r="R1400" t="s" s="2">
        <f>_xlfn.IFERROR(INDEX('model_byCAP'!$D$2:$D$377,MATCH(Q1400,'model_byCAP'!$A$2:$A$377,0)),0)</f>
        <v>2321</v>
      </c>
    </row>
    <row r="1401" ht="15.35" customHeight="1">
      <c r="A1401" t="s" s="2">
        <v>2792</v>
      </c>
      <c r="B1401" s="4">
        <v>36887</v>
      </c>
      <c r="C1401" s="5">
        <v>2000</v>
      </c>
      <c r="D1401" s="5">
        <v>76</v>
      </c>
      <c r="E1401" s="5">
        <v>64</v>
      </c>
      <c r="F1401" t="s" s="2">
        <v>1989</v>
      </c>
      <c r="G1401" t="s" s="2">
        <v>2764</v>
      </c>
      <c r="H1401" s="5">
        <v>101</v>
      </c>
      <c r="I1401" t="s" s="2">
        <v>2774</v>
      </c>
      <c r="J1401" t="s" s="2">
        <v>47</v>
      </c>
      <c r="K1401" t="s" s="2">
        <v>1992</v>
      </c>
      <c r="L1401" t="s" s="2">
        <v>618</v>
      </c>
      <c r="M1401" s="5">
        <v>730710.6800000001</v>
      </c>
      <c r="N1401" s="5">
        <v>6177023.18</v>
      </c>
      <c r="O1401" t="s" s="2">
        <v>305</v>
      </c>
      <c r="P1401" t="s" s="2">
        <v>2789</v>
      </c>
      <c r="Q1401" t="s" s="2">
        <v>2766</v>
      </c>
      <c r="R1401" t="s" s="2">
        <f>_xlfn.IFERROR(INDEX('model_byCAP'!$D$2:$D$377,MATCH(Q1401,'model_byCAP'!$A$2:$A$377,0)),0)</f>
        <v>2321</v>
      </c>
    </row>
    <row r="1402" ht="15.35" customHeight="1">
      <c r="A1402" t="s" s="2">
        <v>2793</v>
      </c>
      <c r="B1402" s="4">
        <v>36887</v>
      </c>
      <c r="C1402" s="5">
        <v>2000</v>
      </c>
      <c r="D1402" s="5">
        <v>76</v>
      </c>
      <c r="E1402" s="5">
        <v>64</v>
      </c>
      <c r="F1402" t="s" s="2">
        <v>1989</v>
      </c>
      <c r="G1402" t="s" s="2">
        <v>2764</v>
      </c>
      <c r="H1402" s="5">
        <v>101</v>
      </c>
      <c r="I1402" t="s" s="2">
        <v>2774</v>
      </c>
      <c r="J1402" t="s" s="2">
        <v>47</v>
      </c>
      <c r="K1402" t="s" s="2">
        <v>1992</v>
      </c>
      <c r="L1402" t="s" s="2">
        <v>618</v>
      </c>
      <c r="M1402" s="5">
        <v>730703.63</v>
      </c>
      <c r="N1402" s="5">
        <v>6176840.38</v>
      </c>
      <c r="O1402" t="s" s="2">
        <v>305</v>
      </c>
      <c r="P1402" t="s" s="2">
        <v>2789</v>
      </c>
      <c r="Q1402" t="s" s="2">
        <v>2766</v>
      </c>
      <c r="R1402" t="s" s="2">
        <f>_xlfn.IFERROR(INDEX('model_byCAP'!$D$2:$D$377,MATCH(Q1402,'model_byCAP'!$A$2:$A$377,0)),0)</f>
        <v>2321</v>
      </c>
    </row>
    <row r="1403" ht="15.35" customHeight="1">
      <c r="A1403" t="s" s="2">
        <v>2794</v>
      </c>
      <c r="B1403" s="4">
        <v>36887</v>
      </c>
      <c r="C1403" s="5">
        <v>2000</v>
      </c>
      <c r="D1403" s="5">
        <v>76</v>
      </c>
      <c r="E1403" s="5">
        <v>64</v>
      </c>
      <c r="F1403" t="s" s="2">
        <v>1989</v>
      </c>
      <c r="G1403" t="s" s="2">
        <v>2764</v>
      </c>
      <c r="H1403" s="5">
        <v>101</v>
      </c>
      <c r="I1403" t="s" s="2">
        <v>2774</v>
      </c>
      <c r="J1403" t="s" s="2">
        <v>47</v>
      </c>
      <c r="K1403" t="s" s="2">
        <v>1992</v>
      </c>
      <c r="L1403" t="s" s="2">
        <v>618</v>
      </c>
      <c r="M1403" s="5">
        <v>730693.25</v>
      </c>
      <c r="N1403" s="5">
        <v>6176657.74</v>
      </c>
      <c r="O1403" t="s" s="2">
        <v>305</v>
      </c>
      <c r="P1403" t="s" s="2">
        <v>2789</v>
      </c>
      <c r="Q1403" t="s" s="2">
        <v>2766</v>
      </c>
      <c r="R1403" t="s" s="2">
        <f>_xlfn.IFERROR(INDEX('model_byCAP'!$D$2:$D$377,MATCH(Q1403,'model_byCAP'!$A$2:$A$377,0)),0)</f>
        <v>2321</v>
      </c>
    </row>
    <row r="1404" ht="15.35" customHeight="1">
      <c r="A1404" t="s" s="2">
        <v>2795</v>
      </c>
      <c r="B1404" s="4">
        <v>36887</v>
      </c>
      <c r="C1404" s="5">
        <v>2000</v>
      </c>
      <c r="D1404" s="5">
        <v>76</v>
      </c>
      <c r="E1404" s="5">
        <v>64</v>
      </c>
      <c r="F1404" t="s" s="2">
        <v>1989</v>
      </c>
      <c r="G1404" t="s" s="2">
        <v>2764</v>
      </c>
      <c r="H1404" s="5">
        <v>101</v>
      </c>
      <c r="I1404" t="s" s="2">
        <v>2774</v>
      </c>
      <c r="J1404" t="s" s="2">
        <v>47</v>
      </c>
      <c r="K1404" t="s" s="2">
        <v>1992</v>
      </c>
      <c r="L1404" t="s" s="2">
        <v>618</v>
      </c>
      <c r="M1404" s="5">
        <v>730679.52</v>
      </c>
      <c r="N1404" s="5">
        <v>6176475.33</v>
      </c>
      <c r="O1404" t="s" s="2">
        <v>305</v>
      </c>
      <c r="P1404" t="s" s="2">
        <v>2789</v>
      </c>
      <c r="Q1404" t="s" s="2">
        <v>2766</v>
      </c>
      <c r="R1404" t="s" s="2">
        <f>_xlfn.IFERROR(INDEX('model_byCAP'!$D$2:$D$377,MATCH(Q1404,'model_byCAP'!$A$2:$A$377,0)),0)</f>
        <v>2321</v>
      </c>
    </row>
    <row r="1405" ht="15.35" customHeight="1">
      <c r="A1405" t="s" s="2">
        <v>2796</v>
      </c>
      <c r="B1405" s="4">
        <v>36887</v>
      </c>
      <c r="C1405" s="5">
        <v>2000</v>
      </c>
      <c r="D1405" s="5">
        <v>76</v>
      </c>
      <c r="E1405" s="5">
        <v>64</v>
      </c>
      <c r="F1405" t="s" s="2">
        <v>1989</v>
      </c>
      <c r="G1405" t="s" s="2">
        <v>2764</v>
      </c>
      <c r="H1405" s="5">
        <v>101</v>
      </c>
      <c r="I1405" t="s" s="2">
        <v>2774</v>
      </c>
      <c r="J1405" t="s" s="2">
        <v>47</v>
      </c>
      <c r="K1405" t="s" s="2">
        <v>1992</v>
      </c>
      <c r="L1405" t="s" s="2">
        <v>618</v>
      </c>
      <c r="M1405" s="5">
        <v>730662.46</v>
      </c>
      <c r="N1405" s="5">
        <v>6176293.19</v>
      </c>
      <c r="O1405" t="s" s="2">
        <v>305</v>
      </c>
      <c r="P1405" t="s" s="2">
        <v>2789</v>
      </c>
      <c r="Q1405" t="s" s="2">
        <v>2766</v>
      </c>
      <c r="R1405" t="s" s="2">
        <f>_xlfn.IFERROR(INDEX('model_byCAP'!$D$2:$D$377,MATCH(Q1405,'model_byCAP'!$A$2:$A$377,0)),0)</f>
        <v>2321</v>
      </c>
    </row>
    <row r="1406" ht="15.35" customHeight="1">
      <c r="A1406" t="s" s="2">
        <v>2797</v>
      </c>
      <c r="B1406" s="4">
        <v>36887</v>
      </c>
      <c r="C1406" s="5">
        <v>2000</v>
      </c>
      <c r="D1406" s="5">
        <v>76</v>
      </c>
      <c r="E1406" s="5">
        <v>64</v>
      </c>
      <c r="F1406" t="s" s="2">
        <v>1989</v>
      </c>
      <c r="G1406" t="s" s="2">
        <v>2764</v>
      </c>
      <c r="H1406" s="5">
        <v>101</v>
      </c>
      <c r="I1406" t="s" s="2">
        <v>2774</v>
      </c>
      <c r="J1406" t="s" s="2">
        <v>47</v>
      </c>
      <c r="K1406" t="s" s="2">
        <v>1992</v>
      </c>
      <c r="L1406" t="s" s="2">
        <v>618</v>
      </c>
      <c r="M1406" s="5">
        <v>730642.0699999999</v>
      </c>
      <c r="N1406" s="5">
        <v>6176111.3</v>
      </c>
      <c r="O1406" t="s" s="2">
        <v>305</v>
      </c>
      <c r="P1406" t="s" s="2">
        <v>2789</v>
      </c>
      <c r="Q1406" t="s" s="2">
        <v>2766</v>
      </c>
      <c r="R1406" t="s" s="2">
        <f>_xlfn.IFERROR(INDEX('model_byCAP'!$D$2:$D$377,MATCH(Q1406,'model_byCAP'!$A$2:$A$377,0)),0)</f>
        <v>2321</v>
      </c>
    </row>
    <row r="1407" ht="15.35" customHeight="1">
      <c r="A1407" t="s" s="2">
        <v>2798</v>
      </c>
      <c r="B1407" s="4">
        <v>41631</v>
      </c>
      <c r="C1407" s="5">
        <v>2000</v>
      </c>
      <c r="D1407" s="5">
        <v>80</v>
      </c>
      <c r="E1407" s="5">
        <v>67</v>
      </c>
      <c r="F1407" t="s" s="2">
        <v>301</v>
      </c>
      <c r="G1407" t="s" s="2">
        <v>2514</v>
      </c>
      <c r="H1407" s="5">
        <v>101</v>
      </c>
      <c r="I1407" t="s" s="2">
        <v>2774</v>
      </c>
      <c r="J1407" t="s" s="2">
        <v>22</v>
      </c>
      <c r="K1407" t="s" s="2">
        <v>2799</v>
      </c>
      <c r="L1407" t="s" s="2">
        <v>2800</v>
      </c>
      <c r="M1407" s="5">
        <v>729050.09</v>
      </c>
      <c r="N1407" s="5">
        <v>6175789.47</v>
      </c>
      <c r="O1407" t="s" s="2">
        <v>305</v>
      </c>
      <c r="P1407" s="7">
        <v>5.71e+17</v>
      </c>
      <c r="Q1407" t="s" s="2">
        <v>2516</v>
      </c>
      <c r="R1407" t="s" s="2">
        <f>_xlfn.IFERROR(INDEX('model_byCAP'!$D$2:$D$377,MATCH(Q1407,'model_byCAP'!$A$2:$A$377,0)),0)</f>
        <v>2490</v>
      </c>
    </row>
    <row r="1408" ht="15.35" customHeight="1">
      <c r="A1408" t="s" s="2">
        <v>2801</v>
      </c>
      <c r="B1408" s="4">
        <v>41631</v>
      </c>
      <c r="C1408" s="5">
        <v>2000</v>
      </c>
      <c r="D1408" s="5">
        <v>80</v>
      </c>
      <c r="E1408" s="5">
        <v>67</v>
      </c>
      <c r="F1408" t="s" s="2">
        <v>301</v>
      </c>
      <c r="G1408" t="s" s="2">
        <v>2514</v>
      </c>
      <c r="H1408" s="5">
        <v>101</v>
      </c>
      <c r="I1408" t="s" s="2">
        <v>2774</v>
      </c>
      <c r="J1408" t="s" s="2">
        <v>22</v>
      </c>
      <c r="K1408" t="s" s="2">
        <v>2799</v>
      </c>
      <c r="L1408" t="s" s="2">
        <v>2800</v>
      </c>
      <c r="M1408" s="5">
        <v>728804.4</v>
      </c>
      <c r="N1408" s="5">
        <v>6175591.9</v>
      </c>
      <c r="O1408" t="s" s="2">
        <v>305</v>
      </c>
      <c r="P1408" s="7">
        <v>5.71e+17</v>
      </c>
      <c r="Q1408" t="s" s="2">
        <v>2516</v>
      </c>
      <c r="R1408" t="s" s="2">
        <f>_xlfn.IFERROR(INDEX('model_byCAP'!$D$2:$D$377,MATCH(Q1408,'model_byCAP'!$A$2:$A$377,0)),0)</f>
        <v>2490</v>
      </c>
    </row>
    <row r="1409" ht="15.35" customHeight="1">
      <c r="A1409" t="s" s="2">
        <v>2802</v>
      </c>
      <c r="B1409" s="4">
        <v>41631</v>
      </c>
      <c r="C1409" s="5">
        <v>2000</v>
      </c>
      <c r="D1409" s="5">
        <v>80</v>
      </c>
      <c r="E1409" s="5">
        <v>67</v>
      </c>
      <c r="F1409" t="s" s="2">
        <v>301</v>
      </c>
      <c r="G1409" t="s" s="2">
        <v>2514</v>
      </c>
      <c r="H1409" s="5">
        <v>101</v>
      </c>
      <c r="I1409" t="s" s="2">
        <v>2774</v>
      </c>
      <c r="J1409" t="s" s="2">
        <v>22</v>
      </c>
      <c r="K1409" t="s" s="2">
        <v>2799</v>
      </c>
      <c r="L1409" t="s" s="2">
        <v>2800</v>
      </c>
      <c r="M1409" s="5">
        <v>729296.46</v>
      </c>
      <c r="N1409" s="5">
        <v>6175987.63</v>
      </c>
      <c r="O1409" t="s" s="2">
        <v>305</v>
      </c>
      <c r="P1409" s="7">
        <v>5.71e+17</v>
      </c>
      <c r="Q1409" t="s" s="2">
        <v>2516</v>
      </c>
      <c r="R1409" t="s" s="2">
        <f>_xlfn.IFERROR(INDEX('model_byCAP'!$D$2:$D$377,MATCH(Q1409,'model_byCAP'!$A$2:$A$377,0)),0)</f>
        <v>2490</v>
      </c>
    </row>
    <row r="1410" ht="15.35" customHeight="1">
      <c r="A1410" t="s" s="2">
        <v>2803</v>
      </c>
      <c r="B1410" s="4">
        <v>40388</v>
      </c>
      <c r="C1410" s="5">
        <v>2000</v>
      </c>
      <c r="D1410" s="5">
        <v>80</v>
      </c>
      <c r="E1410" s="5">
        <v>59.9</v>
      </c>
      <c r="F1410" t="s" s="2">
        <v>301</v>
      </c>
      <c r="G1410" t="s" s="2">
        <v>2485</v>
      </c>
      <c r="H1410" s="5">
        <v>201</v>
      </c>
      <c r="I1410" t="s" s="2">
        <v>2804</v>
      </c>
      <c r="J1410" t="s" s="2">
        <v>22</v>
      </c>
      <c r="K1410" t="s" s="2">
        <v>2805</v>
      </c>
      <c r="L1410" t="s" s="2">
        <v>2806</v>
      </c>
      <c r="M1410" s="5">
        <v>707570.76</v>
      </c>
      <c r="N1410" s="5">
        <v>6193512.87</v>
      </c>
      <c r="O1410" t="s" s="2">
        <v>305</v>
      </c>
      <c r="P1410" s="7">
        <v>5.71e+17</v>
      </c>
      <c r="Q1410" t="s" s="2">
        <v>2489</v>
      </c>
      <c r="R1410" t="s" s="2">
        <f>_xlfn.IFERROR(INDEX('model_byCAP'!$D$2:$D$377,MATCH(Q1410,'model_byCAP'!$A$2:$A$377,0)),0)</f>
        <v>2490</v>
      </c>
    </row>
    <row r="1411" ht="15.35" customHeight="1">
      <c r="A1411" t="s" s="2">
        <v>2807</v>
      </c>
      <c r="B1411" s="4">
        <v>39503</v>
      </c>
      <c r="C1411" s="5">
        <v>2000</v>
      </c>
      <c r="D1411" s="5">
        <v>80</v>
      </c>
      <c r="E1411" s="5">
        <v>67</v>
      </c>
      <c r="F1411" t="s" s="2">
        <v>301</v>
      </c>
      <c r="G1411" t="s" s="2">
        <v>2485</v>
      </c>
      <c r="H1411" s="5">
        <v>787</v>
      </c>
      <c r="I1411" t="s" s="2">
        <v>21</v>
      </c>
      <c r="J1411" t="s" s="2">
        <v>22</v>
      </c>
      <c r="K1411" t="s" s="2">
        <v>2808</v>
      </c>
      <c r="L1411" t="s" s="2">
        <v>2809</v>
      </c>
      <c r="M1411" s="5">
        <v>461688.59</v>
      </c>
      <c r="N1411" s="5">
        <v>6287889.8</v>
      </c>
      <c r="O1411" t="s" s="2">
        <v>305</v>
      </c>
      <c r="P1411" s="5">
        <v>126268</v>
      </c>
      <c r="Q1411" t="s" s="2">
        <v>2489</v>
      </c>
      <c r="R1411" t="s" s="2">
        <f>_xlfn.IFERROR(INDEX('model_byCAP'!$D$2:$D$377,MATCH(Q1411,'model_byCAP'!$A$2:$A$377,0)),0)</f>
        <v>2490</v>
      </c>
    </row>
    <row r="1412" ht="15.35" customHeight="1">
      <c r="A1412" t="s" s="2">
        <v>2810</v>
      </c>
      <c r="B1412" s="4">
        <v>39512</v>
      </c>
      <c r="C1412" s="5">
        <v>2000</v>
      </c>
      <c r="D1412" s="5">
        <v>80</v>
      </c>
      <c r="E1412" s="5">
        <v>67</v>
      </c>
      <c r="F1412" t="s" s="2">
        <v>301</v>
      </c>
      <c r="G1412" t="s" s="2">
        <v>2485</v>
      </c>
      <c r="H1412" s="5">
        <v>787</v>
      </c>
      <c r="I1412" t="s" s="2">
        <v>21</v>
      </c>
      <c r="J1412" t="s" s="2">
        <v>22</v>
      </c>
      <c r="K1412" t="s" s="2">
        <v>2808</v>
      </c>
      <c r="L1412" t="s" s="2">
        <v>2809</v>
      </c>
      <c r="M1412" s="5">
        <v>461732.43</v>
      </c>
      <c r="N1412" s="5">
        <v>6287653.35</v>
      </c>
      <c r="O1412" t="s" s="2">
        <v>305</v>
      </c>
      <c r="P1412" s="5">
        <v>126270</v>
      </c>
      <c r="Q1412" t="s" s="2">
        <v>2489</v>
      </c>
      <c r="R1412" t="s" s="2">
        <f>_xlfn.IFERROR(INDEX('model_byCAP'!$D$2:$D$377,MATCH(Q1412,'model_byCAP'!$A$2:$A$377,0)),0)</f>
        <v>2490</v>
      </c>
    </row>
    <row r="1413" ht="15.35" customHeight="1">
      <c r="A1413" t="s" s="2">
        <v>2811</v>
      </c>
      <c r="B1413" s="4">
        <v>39512</v>
      </c>
      <c r="C1413" s="5">
        <v>2000</v>
      </c>
      <c r="D1413" s="5">
        <v>80</v>
      </c>
      <c r="E1413" s="5">
        <v>67</v>
      </c>
      <c r="F1413" t="s" s="2">
        <v>301</v>
      </c>
      <c r="G1413" t="s" s="2">
        <v>2485</v>
      </c>
      <c r="H1413" s="5">
        <v>787</v>
      </c>
      <c r="I1413" t="s" s="2">
        <v>21</v>
      </c>
      <c r="J1413" t="s" s="2">
        <v>22</v>
      </c>
      <c r="K1413" t="s" s="2">
        <v>2808</v>
      </c>
      <c r="L1413" t="s" s="2">
        <v>481</v>
      </c>
      <c r="M1413" s="5">
        <v>461775.86</v>
      </c>
      <c r="N1413" s="5">
        <v>6287418.11</v>
      </c>
      <c r="O1413" t="s" s="2">
        <v>305</v>
      </c>
      <c r="P1413" s="5">
        <v>126272</v>
      </c>
      <c r="Q1413" t="s" s="2">
        <v>2489</v>
      </c>
      <c r="R1413" t="s" s="2">
        <f>_xlfn.IFERROR(INDEX('model_byCAP'!$D$2:$D$377,MATCH(Q1413,'model_byCAP'!$A$2:$A$377,0)),0)</f>
        <v>2490</v>
      </c>
    </row>
    <row r="1414" ht="15.35" customHeight="1">
      <c r="A1414" t="s" s="2">
        <v>2812</v>
      </c>
      <c r="B1414" s="4">
        <v>39512</v>
      </c>
      <c r="C1414" s="5">
        <v>2000</v>
      </c>
      <c r="D1414" s="5">
        <v>80</v>
      </c>
      <c r="E1414" s="5">
        <v>67</v>
      </c>
      <c r="F1414" t="s" s="2">
        <v>301</v>
      </c>
      <c r="G1414" t="s" s="2">
        <v>2485</v>
      </c>
      <c r="H1414" s="5">
        <v>787</v>
      </c>
      <c r="I1414" t="s" s="2">
        <v>21</v>
      </c>
      <c r="J1414" t="s" s="2">
        <v>22</v>
      </c>
      <c r="K1414" t="s" s="2">
        <v>2808</v>
      </c>
      <c r="L1414" t="s" s="2">
        <v>481</v>
      </c>
      <c r="M1414" s="5">
        <v>461819.04</v>
      </c>
      <c r="N1414" s="5">
        <v>6287181.89</v>
      </c>
      <c r="O1414" t="s" s="2">
        <v>305</v>
      </c>
      <c r="P1414" s="5">
        <v>126274</v>
      </c>
      <c r="Q1414" t="s" s="2">
        <v>2489</v>
      </c>
      <c r="R1414" t="s" s="2">
        <f>_xlfn.IFERROR(INDEX('model_byCAP'!$D$2:$D$377,MATCH(Q1414,'model_byCAP'!$A$2:$A$377,0)),0)</f>
        <v>2490</v>
      </c>
    </row>
    <row r="1415" ht="15.35" customHeight="1">
      <c r="A1415" t="s" s="2">
        <v>2813</v>
      </c>
      <c r="B1415" s="4">
        <v>39512</v>
      </c>
      <c r="C1415" s="5">
        <v>2000</v>
      </c>
      <c r="D1415" s="5">
        <v>80</v>
      </c>
      <c r="E1415" s="5">
        <v>67</v>
      </c>
      <c r="F1415" t="s" s="2">
        <v>301</v>
      </c>
      <c r="G1415" t="s" s="2">
        <v>2485</v>
      </c>
      <c r="H1415" s="5">
        <v>787</v>
      </c>
      <c r="I1415" t="s" s="2">
        <v>21</v>
      </c>
      <c r="J1415" t="s" s="2">
        <v>22</v>
      </c>
      <c r="K1415" t="s" s="2">
        <v>2808</v>
      </c>
      <c r="L1415" t="s" s="2">
        <v>481</v>
      </c>
      <c r="M1415" s="5">
        <v>461862.64</v>
      </c>
      <c r="N1415" s="5">
        <v>6286945.57</v>
      </c>
      <c r="O1415" t="s" s="2">
        <v>305</v>
      </c>
      <c r="P1415" s="5">
        <v>126276</v>
      </c>
      <c r="Q1415" t="s" s="2">
        <v>2489</v>
      </c>
      <c r="R1415" t="s" s="2">
        <f>_xlfn.IFERROR(INDEX('model_byCAP'!$D$2:$D$377,MATCH(Q1415,'model_byCAP'!$A$2:$A$377,0)),0)</f>
        <v>2490</v>
      </c>
    </row>
    <row r="1416" ht="15.35" customHeight="1">
      <c r="A1416" t="s" s="2">
        <v>2814</v>
      </c>
      <c r="B1416" s="4">
        <v>39512</v>
      </c>
      <c r="C1416" s="5">
        <v>2000</v>
      </c>
      <c r="D1416" s="5">
        <v>80</v>
      </c>
      <c r="E1416" s="5">
        <v>67</v>
      </c>
      <c r="F1416" t="s" s="2">
        <v>301</v>
      </c>
      <c r="G1416" t="s" s="2">
        <v>2485</v>
      </c>
      <c r="H1416" s="5">
        <v>787</v>
      </c>
      <c r="I1416" t="s" s="2">
        <v>21</v>
      </c>
      <c r="J1416" t="s" s="2">
        <v>22</v>
      </c>
      <c r="K1416" t="s" s="2">
        <v>2808</v>
      </c>
      <c r="L1416" t="s" s="2">
        <v>481</v>
      </c>
      <c r="M1416" s="5">
        <v>461647.36</v>
      </c>
      <c r="N1416" s="5">
        <v>6288123.55</v>
      </c>
      <c r="O1416" t="s" s="2">
        <v>305</v>
      </c>
      <c r="P1416" s="5">
        <v>126278</v>
      </c>
      <c r="Q1416" t="s" s="2">
        <v>2489</v>
      </c>
      <c r="R1416" t="s" s="2">
        <f>_xlfn.IFERROR(INDEX('model_byCAP'!$D$2:$D$377,MATCH(Q1416,'model_byCAP'!$A$2:$A$377,0)),0)</f>
        <v>2490</v>
      </c>
    </row>
    <row r="1417" ht="15.35" customHeight="1">
      <c r="A1417" t="s" s="2">
        <v>2815</v>
      </c>
      <c r="B1417" s="4">
        <v>39646</v>
      </c>
      <c r="C1417" s="5">
        <v>2000</v>
      </c>
      <c r="D1417" s="5">
        <v>80</v>
      </c>
      <c r="E1417" s="5">
        <v>78</v>
      </c>
      <c r="F1417" t="s" s="2">
        <v>301</v>
      </c>
      <c r="G1417" t="s" s="2">
        <v>2525</v>
      </c>
      <c r="H1417" s="5">
        <v>791</v>
      </c>
      <c r="I1417" t="s" s="2">
        <v>1447</v>
      </c>
      <c r="J1417" t="s" s="2">
        <v>22</v>
      </c>
      <c r="K1417" t="s" s="2">
        <v>2816</v>
      </c>
      <c r="L1417" t="s" s="2">
        <v>2078</v>
      </c>
      <c r="M1417" s="5">
        <v>516162.5</v>
      </c>
      <c r="N1417" s="5">
        <v>6245623.34</v>
      </c>
      <c r="O1417" t="s" s="2">
        <v>305</v>
      </c>
      <c r="P1417" s="5">
        <v>4019373</v>
      </c>
      <c r="Q1417" t="s" s="2">
        <v>2527</v>
      </c>
      <c r="R1417" t="s" s="2">
        <f>_xlfn.IFERROR(INDEX('model_byCAP'!$D$2:$D$377,MATCH(Q1417,'model_byCAP'!$A$2:$A$377,0)),0)</f>
        <v>2490</v>
      </c>
    </row>
    <row r="1418" ht="15.35" customHeight="1">
      <c r="A1418" t="s" s="2">
        <v>2817</v>
      </c>
      <c r="B1418" s="4">
        <v>39645</v>
      </c>
      <c r="C1418" s="5">
        <v>2000</v>
      </c>
      <c r="D1418" s="5">
        <v>80</v>
      </c>
      <c r="E1418" s="5">
        <v>78</v>
      </c>
      <c r="F1418" t="s" s="2">
        <v>301</v>
      </c>
      <c r="G1418" t="s" s="2">
        <v>2525</v>
      </c>
      <c r="H1418" s="5">
        <v>791</v>
      </c>
      <c r="I1418" t="s" s="2">
        <v>1447</v>
      </c>
      <c r="J1418" t="s" s="2">
        <v>22</v>
      </c>
      <c r="K1418" t="s" s="2">
        <v>2816</v>
      </c>
      <c r="L1418" t="s" s="2">
        <v>2078</v>
      </c>
      <c r="M1418" s="5">
        <v>516308.63</v>
      </c>
      <c r="N1418" s="5">
        <v>6245855.44</v>
      </c>
      <c r="O1418" t="s" s="2">
        <v>305</v>
      </c>
      <c r="P1418" s="5">
        <v>4019375</v>
      </c>
      <c r="Q1418" t="s" s="2">
        <v>2527</v>
      </c>
      <c r="R1418" t="s" s="2">
        <f>_xlfn.IFERROR(INDEX('model_byCAP'!$D$2:$D$377,MATCH(Q1418,'model_byCAP'!$A$2:$A$377,0)),0)</f>
        <v>2490</v>
      </c>
    </row>
    <row r="1419" ht="15.35" customHeight="1">
      <c r="A1419" t="s" s="2">
        <v>2818</v>
      </c>
      <c r="B1419" s="4">
        <v>39799</v>
      </c>
      <c r="C1419" s="5">
        <v>2000</v>
      </c>
      <c r="D1419" s="5">
        <v>80</v>
      </c>
      <c r="E1419" s="5">
        <v>78</v>
      </c>
      <c r="F1419" t="s" s="2">
        <v>301</v>
      </c>
      <c r="G1419" t="s" s="2">
        <v>2485</v>
      </c>
      <c r="H1419" s="5">
        <v>791</v>
      </c>
      <c r="I1419" t="s" s="2">
        <v>1447</v>
      </c>
      <c r="J1419" t="s" s="2">
        <v>22</v>
      </c>
      <c r="K1419" t="s" s="2">
        <v>2819</v>
      </c>
      <c r="L1419" t="s" s="2">
        <v>594</v>
      </c>
      <c r="M1419" s="5">
        <v>523824.83</v>
      </c>
      <c r="N1419" s="5">
        <v>6279742.39</v>
      </c>
      <c r="O1419" t="s" s="2">
        <v>305</v>
      </c>
      <c r="P1419" s="5">
        <v>4022050</v>
      </c>
      <c r="Q1419" t="s" s="2">
        <v>2489</v>
      </c>
      <c r="R1419" t="s" s="2">
        <f>_xlfn.IFERROR(INDEX('model_byCAP'!$D$2:$D$377,MATCH(Q1419,'model_byCAP'!$A$2:$A$377,0)),0)</f>
        <v>2490</v>
      </c>
    </row>
    <row r="1420" ht="15.35" customHeight="1">
      <c r="A1420" t="s" s="2">
        <v>2820</v>
      </c>
      <c r="B1420" s="4">
        <v>39799</v>
      </c>
      <c r="C1420" s="5">
        <v>2000</v>
      </c>
      <c r="D1420" s="5">
        <v>80</v>
      </c>
      <c r="E1420" s="5">
        <v>78</v>
      </c>
      <c r="F1420" t="s" s="2">
        <v>301</v>
      </c>
      <c r="G1420" t="s" s="2">
        <v>2485</v>
      </c>
      <c r="H1420" s="5">
        <v>791</v>
      </c>
      <c r="I1420" t="s" s="2">
        <v>1447</v>
      </c>
      <c r="J1420" t="s" s="2">
        <v>22</v>
      </c>
      <c r="K1420" t="s" s="2">
        <v>2821</v>
      </c>
      <c r="L1420" t="s" s="2">
        <v>1047</v>
      </c>
      <c r="M1420" s="5">
        <v>524006.08</v>
      </c>
      <c r="N1420" s="5">
        <v>6279967.45</v>
      </c>
      <c r="O1420" t="s" s="2">
        <v>305</v>
      </c>
      <c r="P1420" s="5">
        <v>4022051</v>
      </c>
      <c r="Q1420" t="s" s="2">
        <v>2489</v>
      </c>
      <c r="R1420" t="s" s="2">
        <f>_xlfn.IFERROR(INDEX('model_byCAP'!$D$2:$D$377,MATCH(Q1420,'model_byCAP'!$A$2:$A$377,0)),0)</f>
        <v>2490</v>
      </c>
    </row>
    <row r="1421" ht="15.35" customHeight="1">
      <c r="A1421" t="s" s="2">
        <v>2822</v>
      </c>
      <c r="B1421" s="4">
        <v>41584</v>
      </c>
      <c r="C1421" s="5">
        <v>2000</v>
      </c>
      <c r="D1421" s="5">
        <v>90</v>
      </c>
      <c r="E1421" s="5">
        <v>80</v>
      </c>
      <c r="F1421" t="s" s="2">
        <v>301</v>
      </c>
      <c r="G1421" t="s" s="2">
        <v>2737</v>
      </c>
      <c r="H1421" s="5">
        <v>810</v>
      </c>
      <c r="I1421" t="s" s="2">
        <v>1102</v>
      </c>
      <c r="J1421" t="s" s="2">
        <v>22</v>
      </c>
      <c r="K1421" t="s" s="2">
        <v>2823</v>
      </c>
      <c r="L1421" t="s" s="2">
        <v>518</v>
      </c>
      <c r="M1421" s="5">
        <v>562572.86</v>
      </c>
      <c r="N1421" s="5">
        <v>6346736.21</v>
      </c>
      <c r="O1421" t="s" s="2">
        <v>305</v>
      </c>
      <c r="P1421" s="5">
        <v>154711</v>
      </c>
      <c r="Q1421" t="s" s="2">
        <v>2740</v>
      </c>
      <c r="R1421" t="s" s="2">
        <f>_xlfn.IFERROR(INDEX('model_byCAP'!$D$2:$D$377,MATCH(Q1421,'model_byCAP'!$A$2:$A$377,0)),0)</f>
        <v>2741</v>
      </c>
    </row>
    <row r="1422" ht="15.35" customHeight="1">
      <c r="A1422" t="s" s="2">
        <v>2824</v>
      </c>
      <c r="B1422" s="4">
        <v>41578</v>
      </c>
      <c r="C1422" s="5">
        <v>2000</v>
      </c>
      <c r="D1422" s="5">
        <v>90</v>
      </c>
      <c r="E1422" s="5">
        <v>80</v>
      </c>
      <c r="F1422" t="s" s="2">
        <v>301</v>
      </c>
      <c r="G1422" t="s" s="2">
        <v>2737</v>
      </c>
      <c r="H1422" s="5">
        <v>810</v>
      </c>
      <c r="I1422" t="s" s="2">
        <v>1102</v>
      </c>
      <c r="J1422" t="s" s="2">
        <v>22</v>
      </c>
      <c r="K1422" t="s" s="2">
        <v>2823</v>
      </c>
      <c r="L1422" t="s" s="2">
        <v>1310</v>
      </c>
      <c r="M1422" s="5">
        <v>562870.05</v>
      </c>
      <c r="N1422" s="5">
        <v>6346727.49</v>
      </c>
      <c r="O1422" t="s" s="2">
        <v>305</v>
      </c>
      <c r="P1422" s="5">
        <v>154712</v>
      </c>
      <c r="Q1422" t="s" s="2">
        <v>2740</v>
      </c>
      <c r="R1422" t="s" s="2">
        <f>_xlfn.IFERROR(INDEX('model_byCAP'!$D$2:$D$377,MATCH(Q1422,'model_byCAP'!$A$2:$A$377,0)),0)</f>
        <v>2741</v>
      </c>
    </row>
    <row r="1423" ht="15.35" customHeight="1">
      <c r="A1423" t="s" s="2">
        <v>2825</v>
      </c>
      <c r="B1423" s="4">
        <v>41583</v>
      </c>
      <c r="C1423" s="5">
        <v>2000</v>
      </c>
      <c r="D1423" s="5">
        <v>90</v>
      </c>
      <c r="E1423" s="5">
        <v>80</v>
      </c>
      <c r="F1423" t="s" s="2">
        <v>301</v>
      </c>
      <c r="G1423" t="s" s="2">
        <v>2737</v>
      </c>
      <c r="H1423" s="5">
        <v>810</v>
      </c>
      <c r="I1423" t="s" s="2">
        <v>1102</v>
      </c>
      <c r="J1423" t="s" s="2">
        <v>22</v>
      </c>
      <c r="K1423" t="s" s="2">
        <v>2826</v>
      </c>
      <c r="L1423" t="s" s="2">
        <v>481</v>
      </c>
      <c r="M1423" s="5">
        <v>563167.22</v>
      </c>
      <c r="N1423" s="5">
        <v>6346718.64</v>
      </c>
      <c r="O1423" t="s" s="2">
        <v>305</v>
      </c>
      <c r="P1423" s="5">
        <v>154713</v>
      </c>
      <c r="Q1423" t="s" s="2">
        <v>2740</v>
      </c>
      <c r="R1423" t="s" s="2">
        <f>_xlfn.IFERROR(INDEX('model_byCAP'!$D$2:$D$377,MATCH(Q1423,'model_byCAP'!$A$2:$A$377,0)),0)</f>
        <v>2741</v>
      </c>
    </row>
    <row r="1424" ht="15.35" customHeight="1">
      <c r="A1424" t="s" s="2">
        <v>2827</v>
      </c>
      <c r="B1424" s="4">
        <v>41580</v>
      </c>
      <c r="C1424" s="5">
        <v>2000</v>
      </c>
      <c r="D1424" s="5">
        <v>90</v>
      </c>
      <c r="E1424" s="5">
        <v>80</v>
      </c>
      <c r="F1424" t="s" s="2">
        <v>301</v>
      </c>
      <c r="G1424" t="s" s="2">
        <v>2737</v>
      </c>
      <c r="H1424" s="5">
        <v>810</v>
      </c>
      <c r="I1424" t="s" s="2">
        <v>1102</v>
      </c>
      <c r="J1424" t="s" s="2">
        <v>22</v>
      </c>
      <c r="K1424" t="s" s="2">
        <v>2826</v>
      </c>
      <c r="L1424" t="s" s="2">
        <v>481</v>
      </c>
      <c r="M1424" s="5">
        <v>563464.42</v>
      </c>
      <c r="N1424" s="5">
        <v>6346709.94</v>
      </c>
      <c r="O1424" t="s" s="2">
        <v>305</v>
      </c>
      <c r="P1424" s="5">
        <v>154714</v>
      </c>
      <c r="Q1424" t="s" s="2">
        <v>2740</v>
      </c>
      <c r="R1424" t="s" s="2">
        <f>_xlfn.IFERROR(INDEX('model_byCAP'!$D$2:$D$377,MATCH(Q1424,'model_byCAP'!$A$2:$A$377,0)),0)</f>
        <v>2741</v>
      </c>
    </row>
    <row r="1425" ht="15.35" customHeight="1">
      <c r="A1425" t="s" s="2">
        <v>2828</v>
      </c>
      <c r="B1425" s="4">
        <v>40905</v>
      </c>
      <c r="C1425" s="5">
        <v>2000</v>
      </c>
      <c r="D1425" s="5">
        <v>80</v>
      </c>
      <c r="E1425" s="5">
        <v>67</v>
      </c>
      <c r="F1425" t="s" s="2">
        <v>42</v>
      </c>
      <c r="G1425" t="s" s="2">
        <v>42</v>
      </c>
      <c r="H1425" s="5">
        <v>813</v>
      </c>
      <c r="I1425" t="s" s="2">
        <v>1708</v>
      </c>
      <c r="J1425" t="s" s="2">
        <v>22</v>
      </c>
      <c r="K1425" t="s" s="2">
        <v>2829</v>
      </c>
      <c r="L1425" t="s" s="2">
        <v>937</v>
      </c>
      <c r="M1425" s="5">
        <v>589264.59</v>
      </c>
      <c r="N1425" s="5">
        <v>6353011.01</v>
      </c>
      <c r="O1425" t="s" s="2">
        <v>305</v>
      </c>
      <c r="P1425" s="5">
        <v>78001</v>
      </c>
      <c r="Q1425" t="s" s="2">
        <v>43</v>
      </c>
      <c r="R1425" s="5">
        <f>_xlfn.IFERROR(INDEX('model_byCAP'!$D$2:$D$377,MATCH(Q1425,'model_byCAP'!$A$2:$A$377,0)),0)</f>
        <v>0</v>
      </c>
    </row>
    <row r="1426" ht="15.35" customHeight="1">
      <c r="A1426" t="s" s="2">
        <v>2830</v>
      </c>
      <c r="B1426" s="4">
        <v>40899</v>
      </c>
      <c r="C1426" s="5">
        <v>2000</v>
      </c>
      <c r="D1426" s="5">
        <v>80</v>
      </c>
      <c r="E1426" s="5">
        <v>67</v>
      </c>
      <c r="F1426" t="s" s="2">
        <v>42</v>
      </c>
      <c r="G1426" t="s" s="2">
        <v>42</v>
      </c>
      <c r="H1426" s="5">
        <v>813</v>
      </c>
      <c r="I1426" t="s" s="2">
        <v>1708</v>
      </c>
      <c r="J1426" t="s" s="2">
        <v>22</v>
      </c>
      <c r="K1426" t="s" s="2">
        <v>2829</v>
      </c>
      <c r="L1426" t="s" s="2">
        <v>937</v>
      </c>
      <c r="M1426" s="5">
        <v>589207.5600000001</v>
      </c>
      <c r="N1426" s="5">
        <v>6353303.86</v>
      </c>
      <c r="O1426" t="s" s="2">
        <v>305</v>
      </c>
      <c r="P1426" s="5">
        <v>78002</v>
      </c>
      <c r="Q1426" t="s" s="2">
        <v>43</v>
      </c>
      <c r="R1426" s="5">
        <f>_xlfn.IFERROR(INDEX('model_byCAP'!$D$2:$D$377,MATCH(Q1426,'model_byCAP'!$A$2:$A$377,0)),0)</f>
        <v>0</v>
      </c>
    </row>
    <row r="1427" ht="15.35" customHeight="1">
      <c r="A1427" t="s" s="2">
        <v>2831</v>
      </c>
      <c r="B1427" s="4">
        <v>42243</v>
      </c>
      <c r="C1427" s="5">
        <v>2000</v>
      </c>
      <c r="D1427" s="5">
        <v>80</v>
      </c>
      <c r="E1427" s="5">
        <v>67</v>
      </c>
      <c r="F1427" t="s" s="2">
        <v>301</v>
      </c>
      <c r="G1427" t="s" s="2">
        <v>2497</v>
      </c>
      <c r="H1427" s="5">
        <v>813</v>
      </c>
      <c r="I1427" t="s" s="2">
        <v>1708</v>
      </c>
      <c r="J1427" t="s" s="2">
        <v>22</v>
      </c>
      <c r="K1427" t="s" s="2">
        <v>2829</v>
      </c>
      <c r="L1427" t="s" s="2">
        <v>937</v>
      </c>
      <c r="M1427" s="5">
        <v>588964.64</v>
      </c>
      <c r="N1427" s="5">
        <v>6353076.93</v>
      </c>
      <c r="O1427" t="s" s="2">
        <v>305</v>
      </c>
      <c r="P1427" s="5">
        <v>49802</v>
      </c>
      <c r="Q1427" t="s" s="2">
        <v>2502</v>
      </c>
      <c r="R1427" t="s" s="2">
        <f>_xlfn.IFERROR(INDEX('model_byCAP'!$D$2:$D$377,MATCH(Q1427,'model_byCAP'!$A$2:$A$377,0)),0)</f>
        <v>2490</v>
      </c>
    </row>
    <row r="1428" ht="15.35" customHeight="1">
      <c r="A1428" t="s" s="2">
        <v>2832</v>
      </c>
      <c r="B1428" s="4">
        <v>42243</v>
      </c>
      <c r="C1428" s="5">
        <v>2000</v>
      </c>
      <c r="D1428" s="5">
        <v>80</v>
      </c>
      <c r="E1428" s="5">
        <v>67</v>
      </c>
      <c r="F1428" t="s" s="2">
        <v>301</v>
      </c>
      <c r="G1428" t="s" s="2">
        <v>2497</v>
      </c>
      <c r="H1428" s="5">
        <v>813</v>
      </c>
      <c r="I1428" t="s" s="2">
        <v>1708</v>
      </c>
      <c r="J1428" t="s" s="2">
        <v>22</v>
      </c>
      <c r="K1428" t="s" s="2">
        <v>2829</v>
      </c>
      <c r="L1428" t="s" s="2">
        <v>937</v>
      </c>
      <c r="M1428" s="5">
        <v>589015.49</v>
      </c>
      <c r="N1428" s="5">
        <v>6352781.16</v>
      </c>
      <c r="O1428" t="s" s="2">
        <v>305</v>
      </c>
      <c r="P1428" s="5">
        <v>49801</v>
      </c>
      <c r="Q1428" t="s" s="2">
        <v>2502</v>
      </c>
      <c r="R1428" t="s" s="2">
        <f>_xlfn.IFERROR(INDEX('model_byCAP'!$D$2:$D$377,MATCH(Q1428,'model_byCAP'!$A$2:$A$377,0)),0)</f>
        <v>2490</v>
      </c>
    </row>
    <row r="1429" ht="15.35" customHeight="1">
      <c r="A1429" t="s" s="2">
        <v>2833</v>
      </c>
      <c r="B1429" s="4">
        <v>37533</v>
      </c>
      <c r="C1429" s="5">
        <v>2000</v>
      </c>
      <c r="D1429" s="5">
        <v>76</v>
      </c>
      <c r="E1429" s="5">
        <v>70</v>
      </c>
      <c r="F1429" t="s" s="2">
        <v>1989</v>
      </c>
      <c r="G1429" t="s" s="2">
        <v>2764</v>
      </c>
      <c r="H1429" s="5">
        <v>851</v>
      </c>
      <c r="I1429" t="s" s="2">
        <v>1139</v>
      </c>
      <c r="J1429" t="s" s="2">
        <v>22</v>
      </c>
      <c r="K1429" t="s" s="2">
        <v>2834</v>
      </c>
      <c r="L1429" t="s" s="2">
        <v>543</v>
      </c>
      <c r="M1429" s="5">
        <v>563879.8</v>
      </c>
      <c r="N1429" s="5">
        <v>6325382.95</v>
      </c>
      <c r="O1429" t="s" s="2">
        <v>305</v>
      </c>
      <c r="P1429" t="s" s="2">
        <v>2835</v>
      </c>
      <c r="Q1429" t="s" s="2">
        <v>2766</v>
      </c>
      <c r="R1429" t="s" s="2">
        <f>_xlfn.IFERROR(INDEX('model_byCAP'!$D$2:$D$377,MATCH(Q1429,'model_byCAP'!$A$2:$A$377,0)),0)</f>
        <v>2321</v>
      </c>
    </row>
    <row r="1430" ht="15.35" customHeight="1">
      <c r="A1430" t="s" s="2">
        <v>2836</v>
      </c>
      <c r="B1430" s="4">
        <v>37532</v>
      </c>
      <c r="C1430" s="5">
        <v>2000</v>
      </c>
      <c r="D1430" s="5">
        <v>76</v>
      </c>
      <c r="E1430" s="5">
        <v>70</v>
      </c>
      <c r="F1430" t="s" s="2">
        <v>1989</v>
      </c>
      <c r="G1430" t="s" s="2">
        <v>2764</v>
      </c>
      <c r="H1430" s="5">
        <v>851</v>
      </c>
      <c r="I1430" t="s" s="2">
        <v>1139</v>
      </c>
      <c r="J1430" t="s" s="2">
        <v>22</v>
      </c>
      <c r="K1430" t="s" s="2">
        <v>2837</v>
      </c>
      <c r="L1430" t="s" s="2">
        <v>405</v>
      </c>
      <c r="M1430" s="5">
        <v>563645.6899999999</v>
      </c>
      <c r="N1430" s="5">
        <v>6325593.81</v>
      </c>
      <c r="O1430" t="s" s="2">
        <v>305</v>
      </c>
      <c r="P1430" t="s" s="2">
        <v>2838</v>
      </c>
      <c r="Q1430" t="s" s="2">
        <v>2766</v>
      </c>
      <c r="R1430" t="s" s="2">
        <f>_xlfn.IFERROR(INDEX('model_byCAP'!$D$2:$D$377,MATCH(Q1430,'model_byCAP'!$A$2:$A$377,0)),0)</f>
        <v>2321</v>
      </c>
    </row>
    <row r="1431" ht="15.35" customHeight="1">
      <c r="A1431" t="s" s="2">
        <v>2839</v>
      </c>
      <c r="B1431" s="4">
        <v>37529</v>
      </c>
      <c r="C1431" s="5">
        <v>2000</v>
      </c>
      <c r="D1431" s="5">
        <v>76</v>
      </c>
      <c r="E1431" s="5">
        <v>70</v>
      </c>
      <c r="F1431" t="s" s="2">
        <v>1989</v>
      </c>
      <c r="G1431" t="s" s="2">
        <v>2764</v>
      </c>
      <c r="H1431" s="5">
        <v>851</v>
      </c>
      <c r="I1431" t="s" s="2">
        <v>1139</v>
      </c>
      <c r="J1431" t="s" s="2">
        <v>22</v>
      </c>
      <c r="K1431" t="s" s="2">
        <v>2840</v>
      </c>
      <c r="L1431" t="s" s="2">
        <v>518</v>
      </c>
      <c r="M1431" s="5">
        <v>563411.36</v>
      </c>
      <c r="N1431" s="5">
        <v>6325804.14</v>
      </c>
      <c r="O1431" t="s" s="2">
        <v>305</v>
      </c>
      <c r="P1431" t="s" s="2">
        <v>2841</v>
      </c>
      <c r="Q1431" t="s" s="2">
        <v>2766</v>
      </c>
      <c r="R1431" t="s" s="2">
        <f>_xlfn.IFERROR(INDEX('model_byCAP'!$D$2:$D$377,MATCH(Q1431,'model_byCAP'!$A$2:$A$377,0)),0)</f>
        <v>2321</v>
      </c>
    </row>
    <row r="1432" ht="15.35" customHeight="1">
      <c r="A1432" t="s" s="2">
        <v>2842</v>
      </c>
      <c r="B1432" s="4">
        <v>37543</v>
      </c>
      <c r="C1432" s="5">
        <v>2000</v>
      </c>
      <c r="D1432" s="5">
        <v>76</v>
      </c>
      <c r="E1432" s="5">
        <v>70</v>
      </c>
      <c r="F1432" t="s" s="2">
        <v>1989</v>
      </c>
      <c r="G1432" t="s" s="2">
        <v>2764</v>
      </c>
      <c r="H1432" s="5">
        <v>851</v>
      </c>
      <c r="I1432" t="s" s="2">
        <v>1139</v>
      </c>
      <c r="J1432" t="s" s="2">
        <v>22</v>
      </c>
      <c r="K1432" t="s" s="2">
        <v>2843</v>
      </c>
      <c r="L1432" t="s" s="2">
        <v>481</v>
      </c>
      <c r="M1432" s="5">
        <v>562836.7</v>
      </c>
      <c r="N1432" s="5">
        <v>6326261.95</v>
      </c>
      <c r="O1432" t="s" s="2">
        <v>305</v>
      </c>
      <c r="P1432" t="s" s="2">
        <v>2844</v>
      </c>
      <c r="Q1432" t="s" s="2">
        <v>2766</v>
      </c>
      <c r="R1432" t="s" s="2">
        <f>_xlfn.IFERROR(INDEX('model_byCAP'!$D$2:$D$377,MATCH(Q1432,'model_byCAP'!$A$2:$A$377,0)),0)</f>
        <v>2321</v>
      </c>
    </row>
    <row r="1433" ht="15.35" customHeight="1">
      <c r="A1433" t="s" s="2">
        <v>2845</v>
      </c>
      <c r="B1433" s="4">
        <v>37543</v>
      </c>
      <c r="C1433" s="5">
        <v>2000</v>
      </c>
      <c r="D1433" s="5">
        <v>76</v>
      </c>
      <c r="E1433" s="5">
        <v>70</v>
      </c>
      <c r="F1433" t="s" s="2">
        <v>1989</v>
      </c>
      <c r="G1433" t="s" s="2">
        <v>2764</v>
      </c>
      <c r="H1433" s="5">
        <v>851</v>
      </c>
      <c r="I1433" t="s" s="2">
        <v>1139</v>
      </c>
      <c r="J1433" t="s" s="2">
        <v>22</v>
      </c>
      <c r="K1433" t="s" s="2">
        <v>2843</v>
      </c>
      <c r="L1433" t="s" s="2">
        <v>481</v>
      </c>
      <c r="M1433" s="5">
        <v>562661.5699999999</v>
      </c>
      <c r="N1433" s="5">
        <v>6326523.5</v>
      </c>
      <c r="O1433" t="s" s="2">
        <v>305</v>
      </c>
      <c r="P1433" t="s" s="2">
        <v>2846</v>
      </c>
      <c r="Q1433" t="s" s="2">
        <v>2766</v>
      </c>
      <c r="R1433" t="s" s="2">
        <f>_xlfn.IFERROR(INDEX('model_byCAP'!$D$2:$D$377,MATCH(Q1433,'model_byCAP'!$A$2:$A$377,0)),0)</f>
        <v>2321</v>
      </c>
    </row>
    <row r="1434" ht="15.35" customHeight="1">
      <c r="A1434" t="s" s="2">
        <v>2847</v>
      </c>
      <c r="B1434" s="4">
        <v>37543</v>
      </c>
      <c r="C1434" s="5">
        <v>2000</v>
      </c>
      <c r="D1434" s="5">
        <v>76</v>
      </c>
      <c r="E1434" s="5">
        <v>70</v>
      </c>
      <c r="F1434" t="s" s="2">
        <v>1989</v>
      </c>
      <c r="G1434" t="s" s="2">
        <v>2764</v>
      </c>
      <c r="H1434" s="5">
        <v>851</v>
      </c>
      <c r="I1434" t="s" s="2">
        <v>1139</v>
      </c>
      <c r="J1434" t="s" s="2">
        <v>22</v>
      </c>
      <c r="K1434" t="s" s="2">
        <v>2843</v>
      </c>
      <c r="L1434" t="s" s="2">
        <v>481</v>
      </c>
      <c r="M1434" s="5">
        <v>562486.3100000001</v>
      </c>
      <c r="N1434" s="5">
        <v>6326785.48</v>
      </c>
      <c r="O1434" t="s" s="2">
        <v>305</v>
      </c>
      <c r="P1434" t="s" s="2">
        <v>2848</v>
      </c>
      <c r="Q1434" t="s" s="2">
        <v>2766</v>
      </c>
      <c r="R1434" t="s" s="2">
        <f>_xlfn.IFERROR(INDEX('model_byCAP'!$D$2:$D$377,MATCH(Q1434,'model_byCAP'!$A$2:$A$377,0)),0)</f>
        <v>2321</v>
      </c>
    </row>
    <row r="1435" ht="15.35" customHeight="1">
      <c r="A1435" t="s" s="2">
        <v>2849</v>
      </c>
      <c r="B1435" s="4">
        <v>40005</v>
      </c>
      <c r="C1435" s="5">
        <v>1800</v>
      </c>
      <c r="D1435" s="5">
        <v>90</v>
      </c>
      <c r="E1435" s="5">
        <v>80</v>
      </c>
      <c r="F1435" t="s" s="2">
        <v>301</v>
      </c>
      <c r="G1435" t="s" s="2">
        <v>2850</v>
      </c>
      <c r="H1435" s="5">
        <v>760</v>
      </c>
      <c r="I1435" t="s" s="2">
        <v>331</v>
      </c>
      <c r="J1435" t="s" s="2">
        <v>22</v>
      </c>
      <c r="K1435" t="s" s="2">
        <v>2851</v>
      </c>
      <c r="L1435" t="s" s="2">
        <v>2852</v>
      </c>
      <c r="M1435" s="5">
        <v>467410.34</v>
      </c>
      <c r="N1435" s="5">
        <v>6214873.09</v>
      </c>
      <c r="O1435" t="s" s="2">
        <v>305</v>
      </c>
      <c r="P1435" s="5">
        <v>85090</v>
      </c>
      <c r="Q1435" t="s" s="2">
        <v>2853</v>
      </c>
      <c r="R1435" t="s" s="2">
        <f>_xlfn.IFERROR(INDEX('model_byCAP'!$D$2:$D$377,MATCH(Q1435,'model_byCAP'!$A$2:$A$377,0)),0)</f>
        <v>2854</v>
      </c>
    </row>
    <row r="1436" ht="15.35" customHeight="1">
      <c r="A1436" t="s" s="2">
        <v>2855</v>
      </c>
      <c r="B1436" s="4">
        <v>40007</v>
      </c>
      <c r="C1436" s="5">
        <v>1800</v>
      </c>
      <c r="D1436" s="5">
        <v>90</v>
      </c>
      <c r="E1436" s="5">
        <v>80</v>
      </c>
      <c r="F1436" t="s" s="2">
        <v>301</v>
      </c>
      <c r="G1436" t="s" s="2">
        <v>2850</v>
      </c>
      <c r="H1436" s="5">
        <v>760</v>
      </c>
      <c r="I1436" t="s" s="2">
        <v>331</v>
      </c>
      <c r="J1436" t="s" s="2">
        <v>22</v>
      </c>
      <c r="K1436" t="s" s="2">
        <v>2851</v>
      </c>
      <c r="L1436" t="s" s="2">
        <v>939</v>
      </c>
      <c r="M1436" s="5">
        <v>467760.31</v>
      </c>
      <c r="N1436" s="5">
        <v>6214943.2</v>
      </c>
      <c r="O1436" t="s" s="2">
        <v>305</v>
      </c>
      <c r="P1436" s="5">
        <v>85091</v>
      </c>
      <c r="Q1436" t="s" s="2">
        <v>2853</v>
      </c>
      <c r="R1436" t="s" s="2">
        <f>_xlfn.IFERROR(INDEX('model_byCAP'!$D$2:$D$377,MATCH(Q1436,'model_byCAP'!$A$2:$A$377,0)),0)</f>
        <v>2854</v>
      </c>
    </row>
    <row r="1437" ht="15.35" customHeight="1">
      <c r="A1437" t="s" s="2">
        <v>2856</v>
      </c>
      <c r="B1437" s="4">
        <v>40002</v>
      </c>
      <c r="C1437" s="5">
        <v>1800</v>
      </c>
      <c r="D1437" s="5">
        <v>90</v>
      </c>
      <c r="E1437" s="5">
        <v>80</v>
      </c>
      <c r="F1437" t="s" s="2">
        <v>301</v>
      </c>
      <c r="G1437" t="s" s="2">
        <v>2850</v>
      </c>
      <c r="H1437" s="5">
        <v>760</v>
      </c>
      <c r="I1437" t="s" s="2">
        <v>331</v>
      </c>
      <c r="J1437" t="s" s="2">
        <v>22</v>
      </c>
      <c r="K1437" t="s" s="2">
        <v>2851</v>
      </c>
      <c r="L1437" t="s" s="2">
        <v>2705</v>
      </c>
      <c r="M1437" s="5">
        <v>468111.42</v>
      </c>
      <c r="N1437" s="5">
        <v>6215011.69</v>
      </c>
      <c r="O1437" t="s" s="2">
        <v>305</v>
      </c>
      <c r="P1437" s="5">
        <v>85092</v>
      </c>
      <c r="Q1437" t="s" s="2">
        <v>2853</v>
      </c>
      <c r="R1437" t="s" s="2">
        <f>_xlfn.IFERROR(INDEX('model_byCAP'!$D$2:$D$377,MATCH(Q1437,'model_byCAP'!$A$2:$A$377,0)),0)</f>
        <v>2854</v>
      </c>
    </row>
    <row r="1438" ht="15.35" customHeight="1">
      <c r="A1438" t="s" s="2">
        <v>2857</v>
      </c>
      <c r="B1438" s="4">
        <v>40008</v>
      </c>
      <c r="C1438" s="5">
        <v>1800</v>
      </c>
      <c r="D1438" s="5">
        <v>90</v>
      </c>
      <c r="E1438" s="5">
        <v>80</v>
      </c>
      <c r="F1438" t="s" s="2">
        <v>301</v>
      </c>
      <c r="G1438" t="s" s="2">
        <v>2850</v>
      </c>
      <c r="H1438" s="5">
        <v>760</v>
      </c>
      <c r="I1438" t="s" s="2">
        <v>331</v>
      </c>
      <c r="J1438" t="s" s="2">
        <v>22</v>
      </c>
      <c r="K1438" t="s" s="2">
        <v>2851</v>
      </c>
      <c r="L1438" t="s" s="2">
        <v>2336</v>
      </c>
      <c r="M1438" s="5">
        <v>468462.23</v>
      </c>
      <c r="N1438" s="5">
        <v>6215079.17</v>
      </c>
      <c r="O1438" t="s" s="2">
        <v>305</v>
      </c>
      <c r="P1438" s="5">
        <v>85093</v>
      </c>
      <c r="Q1438" t="s" s="2">
        <v>2853</v>
      </c>
      <c r="R1438" t="s" s="2">
        <f>_xlfn.IFERROR(INDEX('model_byCAP'!$D$2:$D$377,MATCH(Q1438,'model_byCAP'!$A$2:$A$377,0)),0)</f>
        <v>2854</v>
      </c>
    </row>
    <row r="1439" ht="15.35" customHeight="1">
      <c r="A1439" t="s" s="2">
        <v>2858</v>
      </c>
      <c r="B1439" s="4">
        <v>38811</v>
      </c>
      <c r="C1439" s="5">
        <v>1750</v>
      </c>
      <c r="D1439" s="5">
        <v>66</v>
      </c>
      <c r="E1439" s="5">
        <v>60</v>
      </c>
      <c r="F1439" t="s" s="2">
        <v>301</v>
      </c>
      <c r="G1439" t="s" s="2">
        <v>2859</v>
      </c>
      <c r="H1439" s="5">
        <v>400</v>
      </c>
      <c r="I1439" t="s" s="2">
        <v>2068</v>
      </c>
      <c r="J1439" t="s" s="2">
        <v>22</v>
      </c>
      <c r="K1439" t="s" s="2">
        <v>2860</v>
      </c>
      <c r="L1439" t="s" s="2">
        <v>2861</v>
      </c>
      <c r="M1439" s="5">
        <v>864352.36</v>
      </c>
      <c r="N1439" s="5">
        <v>6132809.28</v>
      </c>
      <c r="O1439" t="s" s="2">
        <v>305</v>
      </c>
      <c r="P1439" t="s" s="2">
        <v>2862</v>
      </c>
      <c r="Q1439" t="s" s="2">
        <v>2863</v>
      </c>
      <c r="R1439" t="s" s="2">
        <f>_xlfn.IFERROR(INDEX('model_byCAP'!$D$2:$D$377,MATCH(Q1439,'model_byCAP'!$A$2:$A$377,0)),0)</f>
        <v>2864</v>
      </c>
    </row>
    <row r="1440" ht="15.35" customHeight="1">
      <c r="A1440" t="s" s="2">
        <v>2865</v>
      </c>
      <c r="B1440" s="4">
        <v>38811</v>
      </c>
      <c r="C1440" s="5">
        <v>1750</v>
      </c>
      <c r="D1440" s="5">
        <v>66</v>
      </c>
      <c r="E1440" s="5">
        <v>60</v>
      </c>
      <c r="F1440" t="s" s="2">
        <v>301</v>
      </c>
      <c r="G1440" t="s" s="2">
        <v>2859</v>
      </c>
      <c r="H1440" s="5">
        <v>400</v>
      </c>
      <c r="I1440" t="s" s="2">
        <v>2068</v>
      </c>
      <c r="J1440" t="s" s="2">
        <v>22</v>
      </c>
      <c r="K1440" t="s" s="2">
        <v>2860</v>
      </c>
      <c r="L1440" t="s" s="2">
        <v>2861</v>
      </c>
      <c r="M1440" s="5">
        <v>864411.04</v>
      </c>
      <c r="N1440" s="5">
        <v>6133000.15</v>
      </c>
      <c r="O1440" t="s" s="2">
        <v>305</v>
      </c>
      <c r="P1440" t="s" s="2">
        <v>2866</v>
      </c>
      <c r="Q1440" t="s" s="2">
        <v>2863</v>
      </c>
      <c r="R1440" t="s" s="2">
        <f>_xlfn.IFERROR(INDEX('model_byCAP'!$D$2:$D$377,MATCH(Q1440,'model_byCAP'!$A$2:$A$377,0)),0)</f>
        <v>2864</v>
      </c>
    </row>
    <row r="1441" ht="15.35" customHeight="1">
      <c r="A1441" t="s" s="2">
        <v>2867</v>
      </c>
      <c r="B1441" s="4">
        <v>38811</v>
      </c>
      <c r="C1441" s="5">
        <v>1750</v>
      </c>
      <c r="D1441" s="5">
        <v>66</v>
      </c>
      <c r="E1441" s="5">
        <v>60</v>
      </c>
      <c r="F1441" t="s" s="2">
        <v>301</v>
      </c>
      <c r="G1441" t="s" s="2">
        <v>2859</v>
      </c>
      <c r="H1441" s="5">
        <v>400</v>
      </c>
      <c r="I1441" t="s" s="2">
        <v>2068</v>
      </c>
      <c r="J1441" t="s" s="2">
        <v>22</v>
      </c>
      <c r="K1441" t="s" s="2">
        <v>2860</v>
      </c>
      <c r="L1441" t="s" s="2">
        <v>2861</v>
      </c>
      <c r="M1441" s="5">
        <v>864469.5</v>
      </c>
      <c r="N1441" s="5">
        <v>6133192.01</v>
      </c>
      <c r="O1441" t="s" s="2">
        <v>305</v>
      </c>
      <c r="P1441" t="s" s="2">
        <v>2868</v>
      </c>
      <c r="Q1441" t="s" s="2">
        <v>2863</v>
      </c>
      <c r="R1441" t="s" s="2">
        <f>_xlfn.IFERROR(INDEX('model_byCAP'!$D$2:$D$377,MATCH(Q1441,'model_byCAP'!$A$2:$A$377,0)),0)</f>
        <v>2864</v>
      </c>
    </row>
    <row r="1442" ht="15.35" customHeight="1">
      <c r="A1442" t="s" s="2">
        <v>2869</v>
      </c>
      <c r="B1442" s="4">
        <v>42114</v>
      </c>
      <c r="C1442" s="5">
        <v>1750</v>
      </c>
      <c r="D1442" s="5">
        <v>66</v>
      </c>
      <c r="E1442" s="5">
        <v>47</v>
      </c>
      <c r="F1442" t="s" s="2">
        <v>301</v>
      </c>
      <c r="G1442" t="s" s="2">
        <v>2859</v>
      </c>
      <c r="H1442" s="5">
        <v>450</v>
      </c>
      <c r="I1442" t="s" s="2">
        <v>2870</v>
      </c>
      <c r="J1442" t="s" s="2">
        <v>22</v>
      </c>
      <c r="K1442" t="s" s="2">
        <v>2871</v>
      </c>
      <c r="L1442" t="s" s="2">
        <v>2872</v>
      </c>
      <c r="M1442" s="5">
        <v>610599.66</v>
      </c>
      <c r="N1442" s="5">
        <v>6119012.41</v>
      </c>
      <c r="O1442" t="s" s="2">
        <v>305</v>
      </c>
      <c r="P1442" s="5">
        <v>144891</v>
      </c>
      <c r="Q1442" t="s" s="2">
        <v>2863</v>
      </c>
      <c r="R1442" t="s" s="2">
        <f>_xlfn.IFERROR(INDEX('model_byCAP'!$D$2:$D$377,MATCH(Q1442,'model_byCAP'!$A$2:$A$377,0)),0)</f>
        <v>2864</v>
      </c>
    </row>
    <row r="1443" ht="15.35" customHeight="1">
      <c r="A1443" t="s" s="2">
        <v>2873</v>
      </c>
      <c r="B1443" s="4">
        <v>42114</v>
      </c>
      <c r="C1443" s="5">
        <v>1750</v>
      </c>
      <c r="D1443" s="5">
        <v>66</v>
      </c>
      <c r="E1443" s="5">
        <v>47</v>
      </c>
      <c r="F1443" t="s" s="2">
        <v>301</v>
      </c>
      <c r="G1443" t="s" s="2">
        <v>2859</v>
      </c>
      <c r="H1443" s="5">
        <v>450</v>
      </c>
      <c r="I1443" t="s" s="2">
        <v>2870</v>
      </c>
      <c r="J1443" t="s" s="2">
        <v>22</v>
      </c>
      <c r="K1443" t="s" s="2">
        <v>2871</v>
      </c>
      <c r="L1443" t="s" s="2">
        <v>2872</v>
      </c>
      <c r="M1443" s="5">
        <v>610492.17</v>
      </c>
      <c r="N1443" s="5">
        <v>6119191.51</v>
      </c>
      <c r="O1443" t="s" s="2">
        <v>305</v>
      </c>
      <c r="P1443" s="5">
        <v>145212</v>
      </c>
      <c r="Q1443" t="s" s="2">
        <v>2863</v>
      </c>
      <c r="R1443" t="s" s="2">
        <f>_xlfn.IFERROR(INDEX('model_byCAP'!$D$2:$D$377,MATCH(Q1443,'model_byCAP'!$A$2:$A$377,0)),0)</f>
        <v>2864</v>
      </c>
    </row>
    <row r="1444" ht="15.35" customHeight="1">
      <c r="A1444" t="s" s="2">
        <v>2874</v>
      </c>
      <c r="B1444" s="4">
        <v>42113</v>
      </c>
      <c r="C1444" s="5">
        <v>1750</v>
      </c>
      <c r="D1444" s="5">
        <v>66</v>
      </c>
      <c r="E1444" s="5">
        <v>47</v>
      </c>
      <c r="F1444" t="s" s="2">
        <v>301</v>
      </c>
      <c r="G1444" t="s" s="2">
        <v>2859</v>
      </c>
      <c r="H1444" s="5">
        <v>450</v>
      </c>
      <c r="I1444" t="s" s="2">
        <v>2870</v>
      </c>
      <c r="J1444" t="s" s="2">
        <v>22</v>
      </c>
      <c r="K1444" t="s" s="2">
        <v>2871</v>
      </c>
      <c r="L1444" t="s" s="2">
        <v>2872</v>
      </c>
      <c r="M1444" s="5">
        <v>610524.08</v>
      </c>
      <c r="N1444" s="5">
        <v>6119393.58</v>
      </c>
      <c r="O1444" t="s" s="2">
        <v>305</v>
      </c>
      <c r="P1444" s="5">
        <v>145214</v>
      </c>
      <c r="Q1444" t="s" s="2">
        <v>2863</v>
      </c>
      <c r="R1444" t="s" s="2">
        <f>_xlfn.IFERROR(INDEX('model_byCAP'!$D$2:$D$377,MATCH(Q1444,'model_byCAP'!$A$2:$A$377,0)),0)</f>
        <v>2864</v>
      </c>
    </row>
    <row r="1445" ht="15.35" customHeight="1">
      <c r="A1445" t="s" s="2">
        <v>2875</v>
      </c>
      <c r="B1445" s="4">
        <v>37607</v>
      </c>
      <c r="C1445" s="5">
        <v>1750</v>
      </c>
      <c r="D1445" s="5">
        <v>66</v>
      </c>
      <c r="E1445" s="5">
        <v>67</v>
      </c>
      <c r="F1445" t="s" s="2">
        <v>301</v>
      </c>
      <c r="G1445" t="s" s="2">
        <v>2859</v>
      </c>
      <c r="H1445" s="5">
        <v>573</v>
      </c>
      <c r="I1445" t="s" s="2">
        <v>1041</v>
      </c>
      <c r="J1445" t="s" s="2">
        <v>22</v>
      </c>
      <c r="K1445" t="s" s="2">
        <v>2876</v>
      </c>
      <c r="L1445" t="s" s="2">
        <v>394</v>
      </c>
      <c r="M1445" s="5">
        <v>462125.36</v>
      </c>
      <c r="N1445" s="5">
        <v>6170859.98</v>
      </c>
      <c r="O1445" t="s" s="2">
        <v>25</v>
      </c>
      <c r="P1445" s="5">
        <v>344226946</v>
      </c>
      <c r="Q1445" t="s" s="2">
        <v>2863</v>
      </c>
      <c r="R1445" t="s" s="2">
        <f>_xlfn.IFERROR(INDEX('model_byCAP'!$D$2:$D$377,MATCH(Q1445,'model_byCAP'!$A$2:$A$377,0)),0)</f>
        <v>2864</v>
      </c>
    </row>
    <row r="1446" ht="15.35" customHeight="1">
      <c r="A1446" t="s" s="2">
        <v>2877</v>
      </c>
      <c r="B1446" s="4">
        <v>37607</v>
      </c>
      <c r="C1446" s="5">
        <v>1750</v>
      </c>
      <c r="D1446" s="5">
        <v>66</v>
      </c>
      <c r="E1446" s="5">
        <v>67</v>
      </c>
      <c r="F1446" t="s" s="2">
        <v>301</v>
      </c>
      <c r="G1446" t="s" s="2">
        <v>2859</v>
      </c>
      <c r="H1446" s="5">
        <v>573</v>
      </c>
      <c r="I1446" t="s" s="2">
        <v>1041</v>
      </c>
      <c r="J1446" t="s" s="2">
        <v>22</v>
      </c>
      <c r="K1446" t="s" s="2">
        <v>2878</v>
      </c>
      <c r="L1446" t="s" s="2">
        <v>394</v>
      </c>
      <c r="M1446" s="5">
        <v>461820.83</v>
      </c>
      <c r="N1446" s="5">
        <v>6170919.23</v>
      </c>
      <c r="O1446" t="s" s="2">
        <v>305</v>
      </c>
      <c r="P1446" s="5">
        <v>344226947</v>
      </c>
      <c r="Q1446" t="s" s="2">
        <v>2863</v>
      </c>
      <c r="R1446" t="s" s="2">
        <f>_xlfn.IFERROR(INDEX('model_byCAP'!$D$2:$D$377,MATCH(Q1446,'model_byCAP'!$A$2:$A$377,0)),0)</f>
        <v>2864</v>
      </c>
    </row>
    <row r="1447" ht="15.35" customHeight="1">
      <c r="A1447" t="s" s="2">
        <v>2879</v>
      </c>
      <c r="B1447" s="4">
        <v>37607</v>
      </c>
      <c r="C1447" s="5">
        <v>1750</v>
      </c>
      <c r="D1447" s="5">
        <v>66</v>
      </c>
      <c r="E1447" s="5">
        <v>67</v>
      </c>
      <c r="F1447" t="s" s="2">
        <v>301</v>
      </c>
      <c r="G1447" t="s" s="2">
        <v>2859</v>
      </c>
      <c r="H1447" s="5">
        <v>573</v>
      </c>
      <c r="I1447" t="s" s="2">
        <v>1041</v>
      </c>
      <c r="J1447" t="s" s="2">
        <v>22</v>
      </c>
      <c r="K1447" t="s" s="2">
        <v>2876</v>
      </c>
      <c r="L1447" t="s" s="2">
        <v>394</v>
      </c>
      <c r="M1447" s="5">
        <v>461511.22</v>
      </c>
      <c r="N1447" s="5">
        <v>6170983.6</v>
      </c>
      <c r="O1447" t="s" s="2">
        <v>25</v>
      </c>
      <c r="P1447" s="5">
        <v>344226948</v>
      </c>
      <c r="Q1447" t="s" s="2">
        <v>2863</v>
      </c>
      <c r="R1447" t="s" s="2">
        <f>_xlfn.IFERROR(INDEX('model_byCAP'!$D$2:$D$377,MATCH(Q1447,'model_byCAP'!$A$2:$A$377,0)),0)</f>
        <v>2864</v>
      </c>
    </row>
    <row r="1448" ht="15.35" customHeight="1">
      <c r="A1448" t="s" s="2">
        <v>2880</v>
      </c>
      <c r="B1448" s="4">
        <v>37972</v>
      </c>
      <c r="C1448" s="5">
        <v>1750</v>
      </c>
      <c r="D1448" s="5">
        <v>66</v>
      </c>
      <c r="E1448" s="5">
        <v>67</v>
      </c>
      <c r="F1448" t="s" s="2">
        <v>301</v>
      </c>
      <c r="G1448" t="s" s="2">
        <v>2859</v>
      </c>
      <c r="H1448" s="5">
        <v>773</v>
      </c>
      <c r="I1448" t="s" s="2">
        <v>1648</v>
      </c>
      <c r="J1448" t="s" s="2">
        <v>22</v>
      </c>
      <c r="K1448" t="s" s="2">
        <v>2881</v>
      </c>
      <c r="L1448" t="s" s="2">
        <v>394</v>
      </c>
      <c r="M1448" s="5">
        <v>477307.42</v>
      </c>
      <c r="N1448" s="5">
        <v>6291949.03</v>
      </c>
      <c r="O1448" t="s" s="2">
        <v>305</v>
      </c>
      <c r="P1448" s="5">
        <v>224368</v>
      </c>
      <c r="Q1448" t="s" s="2">
        <v>2863</v>
      </c>
      <c r="R1448" t="s" s="2">
        <f>_xlfn.IFERROR(INDEX('model_byCAP'!$D$2:$D$377,MATCH(Q1448,'model_byCAP'!$A$2:$A$377,0)),0)</f>
        <v>2864</v>
      </c>
    </row>
    <row r="1449" ht="15.35" customHeight="1">
      <c r="A1449" t="s" s="2">
        <v>2882</v>
      </c>
      <c r="B1449" s="4">
        <v>37972</v>
      </c>
      <c r="C1449" s="5">
        <v>1750</v>
      </c>
      <c r="D1449" s="5">
        <v>66</v>
      </c>
      <c r="E1449" s="5">
        <v>67</v>
      </c>
      <c r="F1449" t="s" s="2">
        <v>301</v>
      </c>
      <c r="G1449" t="s" s="2">
        <v>2859</v>
      </c>
      <c r="H1449" s="5">
        <v>773</v>
      </c>
      <c r="I1449" t="s" s="2">
        <v>1648</v>
      </c>
      <c r="J1449" t="s" s="2">
        <v>22</v>
      </c>
      <c r="K1449" t="s" s="2">
        <v>2883</v>
      </c>
      <c r="L1449" t="s" s="2">
        <v>2884</v>
      </c>
      <c r="M1449" s="5">
        <v>477310.99</v>
      </c>
      <c r="N1449" s="5">
        <v>6292164.4</v>
      </c>
      <c r="O1449" t="s" s="2">
        <v>305</v>
      </c>
      <c r="P1449" s="5">
        <v>224370</v>
      </c>
      <c r="Q1449" t="s" s="2">
        <v>2863</v>
      </c>
      <c r="R1449" t="s" s="2">
        <f>_xlfn.IFERROR(INDEX('model_byCAP'!$D$2:$D$377,MATCH(Q1449,'model_byCAP'!$A$2:$A$377,0)),0)</f>
        <v>2864</v>
      </c>
    </row>
    <row r="1450" ht="15.35" customHeight="1">
      <c r="A1450" t="s" s="2">
        <v>2885</v>
      </c>
      <c r="B1450" s="4">
        <v>37972</v>
      </c>
      <c r="C1450" s="5">
        <v>1750</v>
      </c>
      <c r="D1450" s="5">
        <v>66</v>
      </c>
      <c r="E1450" s="5">
        <v>67</v>
      </c>
      <c r="F1450" t="s" s="2">
        <v>301</v>
      </c>
      <c r="G1450" t="s" s="2">
        <v>2859</v>
      </c>
      <c r="H1450" s="5">
        <v>773</v>
      </c>
      <c r="I1450" t="s" s="2">
        <v>1648</v>
      </c>
      <c r="J1450" t="s" s="2">
        <v>22</v>
      </c>
      <c r="K1450" t="s" s="2">
        <v>2883</v>
      </c>
      <c r="L1450" t="s" s="2">
        <v>2884</v>
      </c>
      <c r="M1450" s="5">
        <v>477314.1</v>
      </c>
      <c r="N1450" s="5">
        <v>6292381.31</v>
      </c>
      <c r="O1450" t="s" s="2">
        <v>305</v>
      </c>
      <c r="P1450" s="5">
        <v>224372</v>
      </c>
      <c r="Q1450" t="s" s="2">
        <v>2863</v>
      </c>
      <c r="R1450" t="s" s="2">
        <f>_xlfn.IFERROR(INDEX('model_byCAP'!$D$2:$D$377,MATCH(Q1450,'model_byCAP'!$A$2:$A$377,0)),0)</f>
        <v>2864</v>
      </c>
    </row>
    <row r="1451" ht="15.35" customHeight="1">
      <c r="A1451" t="s" s="2">
        <v>2886</v>
      </c>
      <c r="B1451" s="4">
        <v>37972</v>
      </c>
      <c r="C1451" s="5">
        <v>1750</v>
      </c>
      <c r="D1451" s="5">
        <v>66</v>
      </c>
      <c r="E1451" s="5">
        <v>66.8</v>
      </c>
      <c r="F1451" t="s" s="2">
        <v>301</v>
      </c>
      <c r="G1451" t="s" s="2">
        <v>2859</v>
      </c>
      <c r="H1451" s="5">
        <v>773</v>
      </c>
      <c r="I1451" t="s" s="2">
        <v>1648</v>
      </c>
      <c r="J1451" t="s" s="2">
        <v>22</v>
      </c>
      <c r="K1451" t="s" s="2">
        <v>2887</v>
      </c>
      <c r="L1451" t="s" s="2">
        <v>524</v>
      </c>
      <c r="M1451" s="5">
        <v>488619.03</v>
      </c>
      <c r="N1451" s="5">
        <v>6303498.27</v>
      </c>
      <c r="O1451" t="s" s="2">
        <v>305</v>
      </c>
      <c r="P1451" s="5">
        <v>224356</v>
      </c>
      <c r="Q1451" t="s" s="2">
        <v>2863</v>
      </c>
      <c r="R1451" t="s" s="2">
        <f>_xlfn.IFERROR(INDEX('model_byCAP'!$D$2:$D$377,MATCH(Q1451,'model_byCAP'!$A$2:$A$377,0)),0)</f>
        <v>2864</v>
      </c>
    </row>
    <row r="1452" ht="15.35" customHeight="1">
      <c r="A1452" t="s" s="2">
        <v>2888</v>
      </c>
      <c r="B1452" s="4">
        <v>37972</v>
      </c>
      <c r="C1452" s="5">
        <v>1750</v>
      </c>
      <c r="D1452" s="5">
        <v>66</v>
      </c>
      <c r="E1452" s="5">
        <v>66.8</v>
      </c>
      <c r="F1452" t="s" s="2">
        <v>301</v>
      </c>
      <c r="G1452" t="s" s="2">
        <v>2859</v>
      </c>
      <c r="H1452" s="5">
        <v>773</v>
      </c>
      <c r="I1452" t="s" s="2">
        <v>1648</v>
      </c>
      <c r="J1452" t="s" s="2">
        <v>22</v>
      </c>
      <c r="K1452" t="s" s="2">
        <v>2887</v>
      </c>
      <c r="L1452" t="s" s="2">
        <v>524</v>
      </c>
      <c r="M1452" s="5">
        <v>488737.67</v>
      </c>
      <c r="N1452" s="5">
        <v>6303735.43</v>
      </c>
      <c r="O1452" t="s" s="2">
        <v>305</v>
      </c>
      <c r="P1452" s="5">
        <v>224358</v>
      </c>
      <c r="Q1452" t="s" s="2">
        <v>2863</v>
      </c>
      <c r="R1452" t="s" s="2">
        <f>_xlfn.IFERROR(INDEX('model_byCAP'!$D$2:$D$377,MATCH(Q1452,'model_byCAP'!$A$2:$A$377,0)),0)</f>
        <v>2864</v>
      </c>
    </row>
    <row r="1453" ht="15.35" customHeight="1">
      <c r="A1453" t="s" s="2">
        <v>2889</v>
      </c>
      <c r="B1453" s="4">
        <v>37583</v>
      </c>
      <c r="C1453" s="5">
        <v>1750</v>
      </c>
      <c r="D1453" s="5">
        <v>66</v>
      </c>
      <c r="E1453" s="5">
        <v>60</v>
      </c>
      <c r="F1453" t="s" s="2">
        <v>301</v>
      </c>
      <c r="G1453" t="s" s="2">
        <v>2859</v>
      </c>
      <c r="H1453" s="5">
        <v>779</v>
      </c>
      <c r="I1453" t="s" s="2">
        <v>1308</v>
      </c>
      <c r="J1453" t="s" s="2">
        <v>22</v>
      </c>
      <c r="K1453" t="s" s="2">
        <v>2890</v>
      </c>
      <c r="L1453" t="s" s="2">
        <v>518</v>
      </c>
      <c r="M1453" s="5">
        <v>498049.02</v>
      </c>
      <c r="N1453" s="5">
        <v>6270014.61</v>
      </c>
      <c r="O1453" t="s" s="2">
        <v>305</v>
      </c>
      <c r="P1453" s="5">
        <v>2050354</v>
      </c>
      <c r="Q1453" t="s" s="2">
        <v>2863</v>
      </c>
      <c r="R1453" t="s" s="2">
        <f>_xlfn.IFERROR(INDEX('model_byCAP'!$D$2:$D$377,MATCH(Q1453,'model_byCAP'!$A$2:$A$377,0)),0)</f>
        <v>2864</v>
      </c>
    </row>
    <row r="1454" ht="15.35" customHeight="1">
      <c r="A1454" t="s" s="2">
        <v>2891</v>
      </c>
      <c r="B1454" s="4">
        <v>37587</v>
      </c>
      <c r="C1454" s="5">
        <v>1750</v>
      </c>
      <c r="D1454" s="5">
        <v>66</v>
      </c>
      <c r="E1454" s="5">
        <v>60</v>
      </c>
      <c r="F1454" t="s" s="2">
        <v>301</v>
      </c>
      <c r="G1454" t="s" s="2">
        <v>2859</v>
      </c>
      <c r="H1454" s="5">
        <v>779</v>
      </c>
      <c r="I1454" t="s" s="2">
        <v>1308</v>
      </c>
      <c r="J1454" t="s" s="2">
        <v>22</v>
      </c>
      <c r="K1454" t="s" s="2">
        <v>2890</v>
      </c>
      <c r="L1454" t="s" s="2">
        <v>518</v>
      </c>
      <c r="M1454" s="5">
        <v>497924.36</v>
      </c>
      <c r="N1454" s="5">
        <v>6270232.3</v>
      </c>
      <c r="O1454" t="s" s="2">
        <v>305</v>
      </c>
      <c r="P1454" s="5">
        <v>2050355</v>
      </c>
      <c r="Q1454" t="s" s="2">
        <v>2863</v>
      </c>
      <c r="R1454" t="s" s="2">
        <f>_xlfn.IFERROR(INDEX('model_byCAP'!$D$2:$D$377,MATCH(Q1454,'model_byCAP'!$A$2:$A$377,0)),0)</f>
        <v>2864</v>
      </c>
    </row>
    <row r="1455" ht="15.35" customHeight="1">
      <c r="A1455" t="s" s="2">
        <v>2892</v>
      </c>
      <c r="B1455" s="4">
        <v>37587</v>
      </c>
      <c r="C1455" s="5">
        <v>1750</v>
      </c>
      <c r="D1455" s="5">
        <v>66</v>
      </c>
      <c r="E1455" s="5">
        <v>60</v>
      </c>
      <c r="F1455" t="s" s="2">
        <v>301</v>
      </c>
      <c r="G1455" t="s" s="2">
        <v>2859</v>
      </c>
      <c r="H1455" s="5">
        <v>779</v>
      </c>
      <c r="I1455" t="s" s="2">
        <v>1308</v>
      </c>
      <c r="J1455" t="s" s="2">
        <v>22</v>
      </c>
      <c r="K1455" t="s" s="2">
        <v>2890</v>
      </c>
      <c r="L1455" s="5">
        <v>1</v>
      </c>
      <c r="M1455" s="5">
        <v>497800.81</v>
      </c>
      <c r="N1455" s="5">
        <v>6270449.51</v>
      </c>
      <c r="O1455" t="s" s="2">
        <v>305</v>
      </c>
      <c r="P1455" s="5">
        <v>2050356</v>
      </c>
      <c r="Q1455" t="s" s="2">
        <v>2863</v>
      </c>
      <c r="R1455" t="s" s="2">
        <f>_xlfn.IFERROR(INDEX('model_byCAP'!$D$2:$D$377,MATCH(Q1455,'model_byCAP'!$A$2:$A$377,0)),0)</f>
        <v>2864</v>
      </c>
    </row>
    <row r="1456" ht="15.35" customHeight="1">
      <c r="A1456" t="s" s="2">
        <v>2893</v>
      </c>
      <c r="B1456" s="4">
        <v>37602</v>
      </c>
      <c r="C1456" s="5">
        <v>1750</v>
      </c>
      <c r="D1456" s="5">
        <v>66</v>
      </c>
      <c r="E1456" s="5">
        <v>60</v>
      </c>
      <c r="F1456" t="s" s="2">
        <v>301</v>
      </c>
      <c r="G1456" t="s" s="2">
        <v>2859</v>
      </c>
      <c r="H1456" s="5">
        <v>787</v>
      </c>
      <c r="I1456" t="s" s="2">
        <v>21</v>
      </c>
      <c r="J1456" t="s" s="2">
        <v>22</v>
      </c>
      <c r="K1456" t="s" s="2">
        <v>2894</v>
      </c>
      <c r="L1456" t="s" s="2">
        <v>481</v>
      </c>
      <c r="M1456" s="5">
        <v>467760.59</v>
      </c>
      <c r="N1456" s="5">
        <v>6300071.02</v>
      </c>
      <c r="O1456" t="s" s="2">
        <v>305</v>
      </c>
      <c r="P1456" s="5">
        <v>160384</v>
      </c>
      <c r="Q1456" t="s" s="2">
        <v>2863</v>
      </c>
      <c r="R1456" t="s" s="2">
        <f>_xlfn.IFERROR(INDEX('model_byCAP'!$D$2:$D$377,MATCH(Q1456,'model_byCAP'!$A$2:$A$377,0)),0)</f>
        <v>2864</v>
      </c>
    </row>
    <row r="1457" ht="15.35" customHeight="1">
      <c r="A1457" t="s" s="2">
        <v>2895</v>
      </c>
      <c r="B1457" s="4">
        <v>37602</v>
      </c>
      <c r="C1457" s="5">
        <v>1750</v>
      </c>
      <c r="D1457" s="5">
        <v>66</v>
      </c>
      <c r="E1457" s="5">
        <v>60</v>
      </c>
      <c r="F1457" t="s" s="2">
        <v>301</v>
      </c>
      <c r="G1457" t="s" s="2">
        <v>2859</v>
      </c>
      <c r="H1457" s="5">
        <v>787</v>
      </c>
      <c r="I1457" t="s" s="2">
        <v>21</v>
      </c>
      <c r="J1457" t="s" s="2">
        <v>22</v>
      </c>
      <c r="K1457" t="s" s="2">
        <v>2894</v>
      </c>
      <c r="L1457" t="s" s="2">
        <v>481</v>
      </c>
      <c r="M1457" s="5">
        <v>467622.86</v>
      </c>
      <c r="N1457" s="5">
        <v>6299855.77</v>
      </c>
      <c r="O1457" t="s" s="2">
        <v>305</v>
      </c>
      <c r="P1457" s="5">
        <v>160382</v>
      </c>
      <c r="Q1457" t="s" s="2">
        <v>2863</v>
      </c>
      <c r="R1457" t="s" s="2">
        <f>_xlfn.IFERROR(INDEX('model_byCAP'!$D$2:$D$377,MATCH(Q1457,'model_byCAP'!$A$2:$A$377,0)),0)</f>
        <v>2864</v>
      </c>
    </row>
    <row r="1458" ht="15.35" customHeight="1">
      <c r="A1458" t="s" s="2">
        <v>2896</v>
      </c>
      <c r="B1458" s="4">
        <v>37602</v>
      </c>
      <c r="C1458" s="5">
        <v>1750</v>
      </c>
      <c r="D1458" s="5">
        <v>66</v>
      </c>
      <c r="E1458" s="5">
        <v>60</v>
      </c>
      <c r="F1458" t="s" s="2">
        <v>301</v>
      </c>
      <c r="G1458" t="s" s="2">
        <v>2859</v>
      </c>
      <c r="H1458" s="5">
        <v>787</v>
      </c>
      <c r="I1458" t="s" s="2">
        <v>21</v>
      </c>
      <c r="J1458" t="s" s="2">
        <v>22</v>
      </c>
      <c r="K1458" t="s" s="2">
        <v>2894</v>
      </c>
      <c r="L1458" t="s" s="2">
        <v>481</v>
      </c>
      <c r="M1458" s="5">
        <v>467899.68</v>
      </c>
      <c r="N1458" s="5">
        <v>6300286.09</v>
      </c>
      <c r="O1458" t="s" s="2">
        <v>305</v>
      </c>
      <c r="P1458" s="5">
        <v>160386</v>
      </c>
      <c r="Q1458" t="s" s="2">
        <v>2863</v>
      </c>
      <c r="R1458" t="s" s="2">
        <f>_xlfn.IFERROR(INDEX('model_byCAP'!$D$2:$D$377,MATCH(Q1458,'model_byCAP'!$A$2:$A$377,0)),0)</f>
        <v>2864</v>
      </c>
    </row>
    <row r="1459" ht="15.35" customHeight="1">
      <c r="A1459" t="s" s="2">
        <v>2897</v>
      </c>
      <c r="B1459" s="4">
        <v>38448</v>
      </c>
      <c r="C1459" s="5">
        <v>1750</v>
      </c>
      <c r="D1459" s="5">
        <v>66</v>
      </c>
      <c r="E1459" s="5">
        <v>67</v>
      </c>
      <c r="F1459" t="s" s="2">
        <v>301</v>
      </c>
      <c r="G1459" t="s" s="2">
        <v>2859</v>
      </c>
      <c r="H1459" s="5">
        <v>787</v>
      </c>
      <c r="I1459" t="s" s="2">
        <v>21</v>
      </c>
      <c r="J1459" t="s" s="2">
        <v>22</v>
      </c>
      <c r="K1459" t="s" s="2">
        <v>2898</v>
      </c>
      <c r="L1459" t="s" s="2">
        <v>585</v>
      </c>
      <c r="M1459" s="5">
        <v>472323.93</v>
      </c>
      <c r="N1459" s="5">
        <v>6300059.46</v>
      </c>
      <c r="O1459" t="s" s="2">
        <v>305</v>
      </c>
      <c r="P1459" s="5">
        <v>125708</v>
      </c>
      <c r="Q1459" t="s" s="2">
        <v>2863</v>
      </c>
      <c r="R1459" t="s" s="2">
        <f>_xlfn.IFERROR(INDEX('model_byCAP'!$D$2:$D$377,MATCH(Q1459,'model_byCAP'!$A$2:$A$377,0)),0)</f>
        <v>2864</v>
      </c>
    </row>
    <row r="1460" ht="15.35" customHeight="1">
      <c r="A1460" t="s" s="2">
        <v>2899</v>
      </c>
      <c r="B1460" s="4">
        <v>38448</v>
      </c>
      <c r="C1460" s="5">
        <v>1750</v>
      </c>
      <c r="D1460" s="5">
        <v>66</v>
      </c>
      <c r="E1460" s="5">
        <v>67</v>
      </c>
      <c r="F1460" t="s" s="2">
        <v>301</v>
      </c>
      <c r="G1460" t="s" s="2">
        <v>2859</v>
      </c>
      <c r="H1460" s="5">
        <v>787</v>
      </c>
      <c r="I1460" t="s" s="2">
        <v>21</v>
      </c>
      <c r="J1460" t="s" s="2">
        <v>22</v>
      </c>
      <c r="K1460" t="s" s="2">
        <v>2898</v>
      </c>
      <c r="L1460" t="s" s="2">
        <v>585</v>
      </c>
      <c r="M1460" s="5">
        <v>472277.33</v>
      </c>
      <c r="N1460" s="5">
        <v>6300336.77</v>
      </c>
      <c r="O1460" t="s" s="2">
        <v>305</v>
      </c>
      <c r="P1460" s="5">
        <v>125710</v>
      </c>
      <c r="Q1460" t="s" s="2">
        <v>2863</v>
      </c>
      <c r="R1460" t="s" s="2">
        <f>_xlfn.IFERROR(INDEX('model_byCAP'!$D$2:$D$377,MATCH(Q1460,'model_byCAP'!$A$2:$A$377,0)),0)</f>
        <v>2864</v>
      </c>
    </row>
    <row r="1461" ht="15.35" customHeight="1">
      <c r="A1461" t="s" s="2">
        <v>2900</v>
      </c>
      <c r="B1461" s="4">
        <v>36805</v>
      </c>
      <c r="C1461" s="5">
        <v>1650</v>
      </c>
      <c r="D1461" s="5">
        <v>66</v>
      </c>
      <c r="E1461" s="5">
        <v>67</v>
      </c>
      <c r="F1461" t="s" s="2">
        <v>301</v>
      </c>
      <c r="G1461" t="s" s="2">
        <v>2901</v>
      </c>
      <c r="H1461" s="5">
        <v>329</v>
      </c>
      <c r="I1461" t="s" s="2">
        <v>2902</v>
      </c>
      <c r="J1461" t="s" s="2">
        <v>22</v>
      </c>
      <c r="K1461" t="s" s="2">
        <v>2903</v>
      </c>
      <c r="L1461" t="s" s="2">
        <v>481</v>
      </c>
      <c r="M1461" s="5">
        <v>681922.34</v>
      </c>
      <c r="N1461" s="5">
        <v>6139967.06</v>
      </c>
      <c r="O1461" t="s" s="2">
        <v>305</v>
      </c>
      <c r="P1461" s="5">
        <v>195414</v>
      </c>
      <c r="Q1461" t="s" s="2">
        <v>2904</v>
      </c>
      <c r="R1461" t="s" s="2">
        <f>_xlfn.IFERROR(INDEX('model_byCAP'!$D$2:$D$377,MATCH(Q1461,'model_byCAP'!$A$2:$A$377,0)),0)</f>
        <v>2905</v>
      </c>
    </row>
    <row r="1462" ht="15.35" customHeight="1">
      <c r="A1462" t="s" s="2">
        <v>2906</v>
      </c>
      <c r="B1462" s="4">
        <v>37196</v>
      </c>
      <c r="C1462" s="5">
        <v>1650</v>
      </c>
      <c r="D1462" s="5">
        <v>66</v>
      </c>
      <c r="E1462" s="5">
        <v>46</v>
      </c>
      <c r="F1462" t="s" s="2">
        <v>301</v>
      </c>
      <c r="G1462" t="s" s="2">
        <v>2901</v>
      </c>
      <c r="H1462" s="5">
        <v>360</v>
      </c>
      <c r="I1462" t="s" s="2">
        <v>463</v>
      </c>
      <c r="J1462" t="s" s="2">
        <v>22</v>
      </c>
      <c r="K1462" t="s" s="2">
        <v>2907</v>
      </c>
      <c r="L1462" t="s" s="2">
        <v>1260</v>
      </c>
      <c r="M1462" s="5">
        <v>632363.53</v>
      </c>
      <c r="N1462" s="5">
        <v>6081406.79</v>
      </c>
      <c r="O1462" t="s" s="2">
        <v>305</v>
      </c>
      <c r="P1462" s="5">
        <v>197053</v>
      </c>
      <c r="Q1462" t="s" s="2">
        <v>2904</v>
      </c>
      <c r="R1462" t="s" s="2">
        <f>_xlfn.IFERROR(INDEX('model_byCAP'!$D$2:$D$377,MATCH(Q1462,'model_byCAP'!$A$2:$A$377,0)),0)</f>
        <v>2905</v>
      </c>
    </row>
    <row r="1463" ht="15.35" customHeight="1">
      <c r="A1463" t="s" s="2">
        <v>2908</v>
      </c>
      <c r="B1463" s="4">
        <v>37196</v>
      </c>
      <c r="C1463" s="5">
        <v>1650</v>
      </c>
      <c r="D1463" s="5">
        <v>66</v>
      </c>
      <c r="E1463" s="5">
        <v>46</v>
      </c>
      <c r="F1463" t="s" s="2">
        <v>301</v>
      </c>
      <c r="G1463" t="s" s="2">
        <v>2901</v>
      </c>
      <c r="H1463" s="5">
        <v>360</v>
      </c>
      <c r="I1463" t="s" s="2">
        <v>463</v>
      </c>
      <c r="J1463" t="s" s="2">
        <v>22</v>
      </c>
      <c r="K1463" t="s" s="2">
        <v>2907</v>
      </c>
      <c r="L1463" t="s" s="2">
        <v>2909</v>
      </c>
      <c r="M1463" s="5">
        <v>632432.4</v>
      </c>
      <c r="N1463" s="5">
        <v>6081750.05</v>
      </c>
      <c r="O1463" t="s" s="2">
        <v>305</v>
      </c>
      <c r="P1463" s="5">
        <v>197055</v>
      </c>
      <c r="Q1463" t="s" s="2">
        <v>2904</v>
      </c>
      <c r="R1463" t="s" s="2">
        <f>_xlfn.IFERROR(INDEX('model_byCAP'!$D$2:$D$377,MATCH(Q1463,'model_byCAP'!$A$2:$A$377,0)),0)</f>
        <v>2905</v>
      </c>
    </row>
    <row r="1464" ht="15.35" customHeight="1">
      <c r="A1464" t="s" s="2">
        <v>2910</v>
      </c>
      <c r="B1464" s="4">
        <v>37196</v>
      </c>
      <c r="C1464" s="5">
        <v>1650</v>
      </c>
      <c r="D1464" s="5">
        <v>66</v>
      </c>
      <c r="E1464" s="5">
        <v>46</v>
      </c>
      <c r="F1464" t="s" s="2">
        <v>301</v>
      </c>
      <c r="G1464" t="s" s="2">
        <v>2901</v>
      </c>
      <c r="H1464" s="5">
        <v>360</v>
      </c>
      <c r="I1464" t="s" s="2">
        <v>463</v>
      </c>
      <c r="J1464" t="s" s="2">
        <v>22</v>
      </c>
      <c r="K1464" t="s" s="2">
        <v>2907</v>
      </c>
      <c r="L1464" t="s" s="2">
        <v>2809</v>
      </c>
      <c r="M1464" s="5">
        <v>632665.76</v>
      </c>
      <c r="N1464" s="5">
        <v>6081445.62</v>
      </c>
      <c r="O1464" t="s" s="2">
        <v>305</v>
      </c>
      <c r="P1464" s="5">
        <v>197056</v>
      </c>
      <c r="Q1464" t="s" s="2">
        <v>2904</v>
      </c>
      <c r="R1464" t="s" s="2">
        <f>_xlfn.IFERROR(INDEX('model_byCAP'!$D$2:$D$377,MATCH(Q1464,'model_byCAP'!$A$2:$A$377,0)),0)</f>
        <v>2905</v>
      </c>
    </row>
    <row r="1465" ht="15.35" customHeight="1">
      <c r="A1465" t="s" s="2">
        <v>2911</v>
      </c>
      <c r="B1465" s="4">
        <v>37196</v>
      </c>
      <c r="C1465" s="5">
        <v>1650</v>
      </c>
      <c r="D1465" s="5">
        <v>66</v>
      </c>
      <c r="E1465" s="5">
        <v>46</v>
      </c>
      <c r="F1465" t="s" s="2">
        <v>301</v>
      </c>
      <c r="G1465" t="s" s="2">
        <v>2901</v>
      </c>
      <c r="H1465" s="5">
        <v>360</v>
      </c>
      <c r="I1465" t="s" s="2">
        <v>463</v>
      </c>
      <c r="J1465" t="s" s="2">
        <v>22</v>
      </c>
      <c r="K1465" t="s" s="2">
        <v>2907</v>
      </c>
      <c r="L1465" t="s" s="2">
        <v>2809</v>
      </c>
      <c r="M1465" s="5">
        <v>632744.12</v>
      </c>
      <c r="N1465" s="5">
        <v>6081784.78</v>
      </c>
      <c r="O1465" t="s" s="2">
        <v>305</v>
      </c>
      <c r="P1465" s="5">
        <v>197057</v>
      </c>
      <c r="Q1465" t="s" s="2">
        <v>2904</v>
      </c>
      <c r="R1465" t="s" s="2">
        <f>_xlfn.IFERROR(INDEX('model_byCAP'!$D$2:$D$377,MATCH(Q1465,'model_byCAP'!$A$2:$A$377,0)),0)</f>
        <v>2905</v>
      </c>
    </row>
    <row r="1466" ht="15.35" customHeight="1">
      <c r="A1466" t="s" s="2">
        <v>2912</v>
      </c>
      <c r="B1466" s="4">
        <v>36817</v>
      </c>
      <c r="C1466" s="5">
        <v>1650</v>
      </c>
      <c r="D1466" s="5">
        <v>66</v>
      </c>
      <c r="E1466" s="5">
        <v>67</v>
      </c>
      <c r="F1466" t="s" s="2">
        <v>301</v>
      </c>
      <c r="G1466" t="s" s="2">
        <v>2913</v>
      </c>
      <c r="H1466" s="5">
        <v>573</v>
      </c>
      <c r="I1466" t="s" s="2">
        <v>1041</v>
      </c>
      <c r="J1466" t="s" s="2">
        <v>22</v>
      </c>
      <c r="K1466" t="s" s="2">
        <v>2914</v>
      </c>
      <c r="L1466" t="s" s="2">
        <v>338</v>
      </c>
      <c r="M1466" s="5">
        <v>461647.14</v>
      </c>
      <c r="N1466" s="5">
        <v>6170674.31</v>
      </c>
      <c r="O1466" t="s" s="2">
        <v>305</v>
      </c>
      <c r="P1466" s="5">
        <v>140662</v>
      </c>
      <c r="Q1466" t="s" s="2">
        <v>2915</v>
      </c>
      <c r="R1466" t="s" s="2">
        <f>_xlfn.IFERROR(INDEX('model_byCAP'!$D$2:$D$377,MATCH(Q1466,'model_byCAP'!$A$2:$A$377,0)),0)</f>
        <v>2905</v>
      </c>
    </row>
    <row r="1467" ht="15.35" customHeight="1">
      <c r="A1467" t="s" s="2">
        <v>2916</v>
      </c>
      <c r="B1467" s="4">
        <v>36827</v>
      </c>
      <c r="C1467" s="5">
        <v>1650</v>
      </c>
      <c r="D1467" s="5">
        <v>66</v>
      </c>
      <c r="E1467" s="5">
        <v>67</v>
      </c>
      <c r="F1467" t="s" s="2">
        <v>301</v>
      </c>
      <c r="G1467" t="s" s="2">
        <v>2913</v>
      </c>
      <c r="H1467" s="5">
        <v>573</v>
      </c>
      <c r="I1467" t="s" s="2">
        <v>1041</v>
      </c>
      <c r="J1467" t="s" s="2">
        <v>22</v>
      </c>
      <c r="K1467" t="s" s="2">
        <v>2914</v>
      </c>
      <c r="L1467" t="s" s="2">
        <v>2917</v>
      </c>
      <c r="M1467" s="5">
        <v>461952.51</v>
      </c>
      <c r="N1467" s="5">
        <v>6170614.37</v>
      </c>
      <c r="O1467" t="s" s="2">
        <v>305</v>
      </c>
      <c r="P1467" s="5">
        <v>140663</v>
      </c>
      <c r="Q1467" t="s" s="2">
        <v>2915</v>
      </c>
      <c r="R1467" t="s" s="2">
        <f>_xlfn.IFERROR(INDEX('model_byCAP'!$D$2:$D$377,MATCH(Q1467,'model_byCAP'!$A$2:$A$377,0)),0)</f>
        <v>2905</v>
      </c>
    </row>
    <row r="1468" ht="15.35" customHeight="1">
      <c r="A1468" t="s" s="2">
        <v>2918</v>
      </c>
      <c r="B1468" s="4">
        <v>36817</v>
      </c>
      <c r="C1468" s="5">
        <v>1650</v>
      </c>
      <c r="D1468" s="5">
        <v>66</v>
      </c>
      <c r="E1468" s="5">
        <v>67</v>
      </c>
      <c r="F1468" t="s" s="2">
        <v>301</v>
      </c>
      <c r="G1468" t="s" s="2">
        <v>2913</v>
      </c>
      <c r="H1468" s="5">
        <v>573</v>
      </c>
      <c r="I1468" t="s" s="2">
        <v>1041</v>
      </c>
      <c r="J1468" t="s" s="2">
        <v>22</v>
      </c>
      <c r="K1468" t="s" s="2">
        <v>2914</v>
      </c>
      <c r="L1468" t="s" s="2">
        <v>2919</v>
      </c>
      <c r="M1468" s="5">
        <v>462252.47</v>
      </c>
      <c r="N1468" s="5">
        <v>6170560.56</v>
      </c>
      <c r="O1468" t="s" s="2">
        <v>305</v>
      </c>
      <c r="P1468" s="5">
        <v>140664</v>
      </c>
      <c r="Q1468" t="s" s="2">
        <v>2915</v>
      </c>
      <c r="R1468" t="s" s="2">
        <f>_xlfn.IFERROR(INDEX('model_byCAP'!$D$2:$D$377,MATCH(Q1468,'model_byCAP'!$A$2:$A$377,0)),0)</f>
        <v>2905</v>
      </c>
    </row>
    <row r="1469" ht="15.35" customHeight="1">
      <c r="A1469" t="s" s="2">
        <v>2920</v>
      </c>
      <c r="B1469" s="4">
        <v>36591</v>
      </c>
      <c r="C1469" s="5">
        <v>1650</v>
      </c>
      <c r="D1469" s="5">
        <v>66</v>
      </c>
      <c r="E1469" s="5">
        <v>46</v>
      </c>
      <c r="F1469" t="s" s="2">
        <v>301</v>
      </c>
      <c r="G1469" t="s" s="2">
        <v>2913</v>
      </c>
      <c r="H1469" s="5">
        <v>621</v>
      </c>
      <c r="I1469" t="s" s="2">
        <v>2921</v>
      </c>
      <c r="J1469" t="s" s="2">
        <v>22</v>
      </c>
      <c r="K1469" t="s" s="2">
        <v>2922</v>
      </c>
      <c r="L1469" t="s" s="2">
        <v>2923</v>
      </c>
      <c r="M1469" s="5">
        <v>535947.21</v>
      </c>
      <c r="N1469" s="5">
        <v>6139205.06</v>
      </c>
      <c r="O1469" t="s" s="2">
        <v>305</v>
      </c>
      <c r="P1469" s="5">
        <v>203425</v>
      </c>
      <c r="Q1469" t="s" s="2">
        <v>2915</v>
      </c>
      <c r="R1469" t="s" s="2">
        <f>_xlfn.IFERROR(INDEX('model_byCAP'!$D$2:$D$377,MATCH(Q1469,'model_byCAP'!$A$2:$A$377,0)),0)</f>
        <v>2905</v>
      </c>
    </row>
    <row r="1470" ht="15.35" customHeight="1">
      <c r="A1470" t="s" s="2">
        <v>2924</v>
      </c>
      <c r="B1470" s="4">
        <v>36920</v>
      </c>
      <c r="C1470" s="5">
        <v>1650</v>
      </c>
      <c r="D1470" s="5">
        <v>66</v>
      </c>
      <c r="E1470" s="5">
        <v>67</v>
      </c>
      <c r="F1470" t="s" s="2">
        <v>301</v>
      </c>
      <c r="G1470" t="s" s="2">
        <v>2913</v>
      </c>
      <c r="H1470" s="5">
        <v>621</v>
      </c>
      <c r="I1470" t="s" s="2">
        <v>2921</v>
      </c>
      <c r="J1470" t="s" s="2">
        <v>22</v>
      </c>
      <c r="K1470" t="s" s="2">
        <v>2925</v>
      </c>
      <c r="L1470" t="s" s="2">
        <v>2926</v>
      </c>
      <c r="M1470" s="5">
        <v>519842.74</v>
      </c>
      <c r="N1470" s="5">
        <v>6158374.76</v>
      </c>
      <c r="O1470" t="s" s="2">
        <v>305</v>
      </c>
      <c r="P1470" s="5">
        <v>204118</v>
      </c>
      <c r="Q1470" t="s" s="2">
        <v>2915</v>
      </c>
      <c r="R1470" t="s" s="2">
        <f>_xlfn.IFERROR(INDEX('model_byCAP'!$D$2:$D$377,MATCH(Q1470,'model_byCAP'!$A$2:$A$377,0)),0)</f>
        <v>2905</v>
      </c>
    </row>
    <row r="1471" ht="15.35" customHeight="1">
      <c r="A1471" t="s" s="2">
        <v>2927</v>
      </c>
      <c r="B1471" s="4">
        <v>36920</v>
      </c>
      <c r="C1471" s="5">
        <v>1650</v>
      </c>
      <c r="D1471" s="5">
        <v>66</v>
      </c>
      <c r="E1471" s="5">
        <v>67</v>
      </c>
      <c r="F1471" t="s" s="2">
        <v>301</v>
      </c>
      <c r="G1471" t="s" s="2">
        <v>2913</v>
      </c>
      <c r="H1471" s="5">
        <v>621</v>
      </c>
      <c r="I1471" t="s" s="2">
        <v>2921</v>
      </c>
      <c r="J1471" t="s" s="2">
        <v>22</v>
      </c>
      <c r="K1471" t="s" s="2">
        <v>2925</v>
      </c>
      <c r="L1471" t="s" s="2">
        <v>1260</v>
      </c>
      <c r="M1471" s="5">
        <v>519626.15</v>
      </c>
      <c r="N1471" s="5">
        <v>6158539.62</v>
      </c>
      <c r="O1471" t="s" s="2">
        <v>305</v>
      </c>
      <c r="P1471" s="5">
        <v>2204119</v>
      </c>
      <c r="Q1471" t="s" s="2">
        <v>2915</v>
      </c>
      <c r="R1471" t="s" s="2">
        <f>_xlfn.IFERROR(INDEX('model_byCAP'!$D$2:$D$377,MATCH(Q1471,'model_byCAP'!$A$2:$A$377,0)),0)</f>
        <v>2905</v>
      </c>
    </row>
    <row r="1472" ht="15.35" customHeight="1">
      <c r="A1472" t="s" s="2">
        <v>2928</v>
      </c>
      <c r="B1472" s="4">
        <v>36920</v>
      </c>
      <c r="C1472" s="5">
        <v>1650</v>
      </c>
      <c r="D1472" s="5">
        <v>66</v>
      </c>
      <c r="E1472" s="5">
        <v>67</v>
      </c>
      <c r="F1472" t="s" s="2">
        <v>301</v>
      </c>
      <c r="G1472" t="s" s="2">
        <v>2913</v>
      </c>
      <c r="H1472" s="5">
        <v>621</v>
      </c>
      <c r="I1472" t="s" s="2">
        <v>2921</v>
      </c>
      <c r="J1472" t="s" s="2">
        <v>22</v>
      </c>
      <c r="K1472" t="s" s="2">
        <v>2925</v>
      </c>
      <c r="L1472" t="s" s="2">
        <v>481</v>
      </c>
      <c r="M1472" s="5">
        <v>519408.53</v>
      </c>
      <c r="N1472" s="5">
        <v>6158705.47</v>
      </c>
      <c r="O1472" t="s" s="2">
        <v>305</v>
      </c>
      <c r="P1472" s="5">
        <v>204120</v>
      </c>
      <c r="Q1472" t="s" s="2">
        <v>2915</v>
      </c>
      <c r="R1472" t="s" s="2">
        <f>_xlfn.IFERROR(INDEX('model_byCAP'!$D$2:$D$377,MATCH(Q1472,'model_byCAP'!$A$2:$A$377,0)),0)</f>
        <v>2905</v>
      </c>
    </row>
    <row r="1473" ht="15.35" customHeight="1">
      <c r="A1473" t="s" s="2">
        <v>2929</v>
      </c>
      <c r="B1473" s="4">
        <v>36852</v>
      </c>
      <c r="C1473" s="5">
        <v>1650</v>
      </c>
      <c r="D1473" s="5">
        <v>66</v>
      </c>
      <c r="E1473" s="5">
        <v>67</v>
      </c>
      <c r="F1473" t="s" s="2">
        <v>301</v>
      </c>
      <c r="G1473" t="s" s="2">
        <v>2913</v>
      </c>
      <c r="H1473" s="5">
        <v>661</v>
      </c>
      <c r="I1473" t="s" s="2">
        <v>562</v>
      </c>
      <c r="J1473" t="s" s="2">
        <v>22</v>
      </c>
      <c r="K1473" t="s" s="2">
        <v>2930</v>
      </c>
      <c r="L1473" t="s" s="2">
        <v>2931</v>
      </c>
      <c r="M1473" s="5">
        <v>476392.4</v>
      </c>
      <c r="N1473" s="5">
        <v>6251167.63</v>
      </c>
      <c r="O1473" t="s" s="2">
        <v>305</v>
      </c>
      <c r="P1473" s="5">
        <v>40170337</v>
      </c>
      <c r="Q1473" t="s" s="2">
        <v>2915</v>
      </c>
      <c r="R1473" t="s" s="2">
        <f>_xlfn.IFERROR(INDEX('model_byCAP'!$D$2:$D$377,MATCH(Q1473,'model_byCAP'!$A$2:$A$377,0)),0)</f>
        <v>2905</v>
      </c>
    </row>
    <row r="1474" ht="15.35" customHeight="1">
      <c r="A1474" t="s" s="2">
        <v>2932</v>
      </c>
      <c r="B1474" s="4">
        <v>36829</v>
      </c>
      <c r="C1474" s="5">
        <v>1650</v>
      </c>
      <c r="D1474" s="5">
        <v>66</v>
      </c>
      <c r="E1474" s="5">
        <v>67</v>
      </c>
      <c r="F1474" t="s" s="2">
        <v>301</v>
      </c>
      <c r="G1474" t="s" s="2">
        <v>2913</v>
      </c>
      <c r="H1474" s="5">
        <v>661</v>
      </c>
      <c r="I1474" t="s" s="2">
        <v>562</v>
      </c>
      <c r="J1474" t="s" s="2">
        <v>22</v>
      </c>
      <c r="K1474" t="s" s="2">
        <v>2930</v>
      </c>
      <c r="L1474" t="s" s="2">
        <v>2931</v>
      </c>
      <c r="M1474" s="5">
        <v>476418.17</v>
      </c>
      <c r="N1474" s="5">
        <v>6251477.52</v>
      </c>
      <c r="O1474" t="s" s="2">
        <v>305</v>
      </c>
      <c r="P1474" s="5">
        <v>40171338</v>
      </c>
      <c r="Q1474" t="s" s="2">
        <v>2915</v>
      </c>
      <c r="R1474" t="s" s="2">
        <f>_xlfn.IFERROR(INDEX('model_byCAP'!$D$2:$D$377,MATCH(Q1474,'model_byCAP'!$A$2:$A$377,0)),0)</f>
        <v>2905</v>
      </c>
    </row>
    <row r="1475" ht="15.35" customHeight="1">
      <c r="A1475" t="s" s="2">
        <v>2933</v>
      </c>
      <c r="B1475" s="4">
        <v>36852</v>
      </c>
      <c r="C1475" s="5">
        <v>1650</v>
      </c>
      <c r="D1475" s="5">
        <v>66</v>
      </c>
      <c r="E1475" s="5">
        <v>67</v>
      </c>
      <c r="F1475" t="s" s="2">
        <v>301</v>
      </c>
      <c r="G1475" t="s" s="2">
        <v>2913</v>
      </c>
      <c r="H1475" s="5">
        <v>661</v>
      </c>
      <c r="I1475" t="s" s="2">
        <v>562</v>
      </c>
      <c r="J1475" t="s" s="2">
        <v>22</v>
      </c>
      <c r="K1475" t="s" s="2">
        <v>2934</v>
      </c>
      <c r="L1475" t="s" s="2">
        <v>2078</v>
      </c>
      <c r="M1475" s="5">
        <v>476447.02</v>
      </c>
      <c r="N1475" s="5">
        <v>6251787.16</v>
      </c>
      <c r="O1475" t="s" s="2">
        <v>305</v>
      </c>
      <c r="P1475" s="5">
        <v>40172339</v>
      </c>
      <c r="Q1475" t="s" s="2">
        <v>2915</v>
      </c>
      <c r="R1475" t="s" s="2">
        <f>_xlfn.IFERROR(INDEX('model_byCAP'!$D$2:$D$377,MATCH(Q1475,'model_byCAP'!$A$2:$A$377,0)),0)</f>
        <v>2905</v>
      </c>
    </row>
    <row r="1476" ht="15.35" customHeight="1">
      <c r="A1476" t="s" s="2">
        <v>2935</v>
      </c>
      <c r="B1476" s="4">
        <v>36848</v>
      </c>
      <c r="C1476" s="5">
        <v>1650</v>
      </c>
      <c r="D1476" s="5">
        <v>66</v>
      </c>
      <c r="E1476" s="5">
        <v>67</v>
      </c>
      <c r="F1476" t="s" s="2">
        <v>301</v>
      </c>
      <c r="G1476" t="s" s="2">
        <v>2913</v>
      </c>
      <c r="H1476" s="5">
        <v>661</v>
      </c>
      <c r="I1476" t="s" s="2">
        <v>562</v>
      </c>
      <c r="J1476" t="s" s="2">
        <v>22</v>
      </c>
      <c r="K1476" t="s" s="2">
        <v>2934</v>
      </c>
      <c r="L1476" t="s" s="2">
        <v>1744</v>
      </c>
      <c r="M1476" s="5">
        <v>476475.96</v>
      </c>
      <c r="N1476" s="5">
        <v>6252096.28</v>
      </c>
      <c r="O1476" t="s" s="2">
        <v>305</v>
      </c>
      <c r="P1476" s="5">
        <v>40173340</v>
      </c>
      <c r="Q1476" t="s" s="2">
        <v>2915</v>
      </c>
      <c r="R1476" t="s" s="2">
        <f>_xlfn.IFERROR(INDEX('model_byCAP'!$D$2:$D$377,MATCH(Q1476,'model_byCAP'!$A$2:$A$377,0)),0)</f>
        <v>2905</v>
      </c>
    </row>
    <row r="1477" ht="15.35" customHeight="1">
      <c r="A1477" t="s" s="2">
        <v>2936</v>
      </c>
      <c r="B1477" s="4">
        <v>37608</v>
      </c>
      <c r="C1477" s="5">
        <v>1500</v>
      </c>
      <c r="D1477" s="5">
        <v>64</v>
      </c>
      <c r="E1477" s="5">
        <v>48</v>
      </c>
      <c r="F1477" t="s" s="2">
        <v>1746</v>
      </c>
      <c r="G1477" t="s" s="2">
        <v>2937</v>
      </c>
      <c r="H1477" s="5">
        <v>482</v>
      </c>
      <c r="I1477" t="s" s="2">
        <v>1523</v>
      </c>
      <c r="J1477" t="s" s="2">
        <v>22</v>
      </c>
      <c r="K1477" t="s" s="2">
        <v>2938</v>
      </c>
      <c r="L1477" t="s" s="2">
        <v>2939</v>
      </c>
      <c r="M1477" s="5">
        <v>609737.01</v>
      </c>
      <c r="N1477" s="5">
        <v>6072825.21</v>
      </c>
      <c r="O1477" t="s" s="2">
        <v>305</v>
      </c>
      <c r="P1477" s="5">
        <v>19456104</v>
      </c>
      <c r="Q1477" t="s" s="2">
        <v>2940</v>
      </c>
      <c r="R1477" t="s" s="2">
        <f>_xlfn.IFERROR(INDEX('model_byCAP'!$D$2:$D$377,MATCH(Q1477,'model_byCAP'!$A$2:$A$377,0)),0)</f>
        <v>2941</v>
      </c>
    </row>
    <row r="1478" ht="15.35" customHeight="1">
      <c r="A1478" t="s" s="2">
        <v>2942</v>
      </c>
      <c r="B1478" s="4">
        <v>37608</v>
      </c>
      <c r="C1478" s="5">
        <v>1500</v>
      </c>
      <c r="D1478" s="5">
        <v>64</v>
      </c>
      <c r="E1478" s="5">
        <v>48</v>
      </c>
      <c r="F1478" t="s" s="2">
        <v>1746</v>
      </c>
      <c r="G1478" t="s" s="2">
        <v>2937</v>
      </c>
      <c r="H1478" s="5">
        <v>482</v>
      </c>
      <c r="I1478" t="s" s="2">
        <v>1523</v>
      </c>
      <c r="J1478" t="s" s="2">
        <v>22</v>
      </c>
      <c r="K1478" t="s" s="2">
        <v>2943</v>
      </c>
      <c r="L1478" t="s" s="2">
        <v>1008</v>
      </c>
      <c r="M1478" s="5">
        <v>609261.78</v>
      </c>
      <c r="N1478" s="5">
        <v>6072883.58</v>
      </c>
      <c r="O1478" t="s" s="2">
        <v>305</v>
      </c>
      <c r="P1478" s="5">
        <v>19076204</v>
      </c>
      <c r="Q1478" t="s" s="2">
        <v>2940</v>
      </c>
      <c r="R1478" t="s" s="2">
        <f>_xlfn.IFERROR(INDEX('model_byCAP'!$D$2:$D$377,MATCH(Q1478,'model_byCAP'!$A$2:$A$377,0)),0)</f>
        <v>2941</v>
      </c>
    </row>
    <row r="1479" ht="15.35" customHeight="1">
      <c r="A1479" t="s" s="2">
        <v>2944</v>
      </c>
      <c r="B1479" s="4">
        <v>38679</v>
      </c>
      <c r="C1479" s="5">
        <v>1500</v>
      </c>
      <c r="D1479" s="5">
        <v>64</v>
      </c>
      <c r="E1479" s="5">
        <v>48</v>
      </c>
      <c r="F1479" t="s" s="2">
        <v>1746</v>
      </c>
      <c r="G1479" t="s" s="2">
        <v>2945</v>
      </c>
      <c r="H1479" s="5">
        <v>561</v>
      </c>
      <c r="I1479" t="s" s="2">
        <v>196</v>
      </c>
      <c r="J1479" t="s" s="2">
        <v>22</v>
      </c>
      <c r="K1479" t="s" s="2">
        <v>2946</v>
      </c>
      <c r="L1479" s="5">
        <v>1061</v>
      </c>
      <c r="M1479" s="5">
        <v>485540.06</v>
      </c>
      <c r="N1479" s="5">
        <v>6122309.9</v>
      </c>
      <c r="O1479" t="s" s="2">
        <v>25</v>
      </c>
      <c r="P1479" s="5">
        <v>44194450</v>
      </c>
      <c r="Q1479" t="s" s="2">
        <v>2947</v>
      </c>
      <c r="R1479" t="s" s="2">
        <f>_xlfn.IFERROR(INDEX('model_byCAP'!$D$2:$D$377,MATCH(Q1479,'model_byCAP'!$A$2:$A$377,0)),0)</f>
        <v>2941</v>
      </c>
    </row>
    <row r="1480" ht="15.35" customHeight="1">
      <c r="A1480" t="s" s="2">
        <v>2948</v>
      </c>
      <c r="B1480" s="4">
        <v>38680</v>
      </c>
      <c r="C1480" s="5">
        <v>1500</v>
      </c>
      <c r="D1480" s="5">
        <v>64</v>
      </c>
      <c r="E1480" s="5">
        <v>48</v>
      </c>
      <c r="F1480" t="s" s="2">
        <v>1746</v>
      </c>
      <c r="G1480" t="s" s="2">
        <v>2945</v>
      </c>
      <c r="H1480" s="5">
        <v>561</v>
      </c>
      <c r="I1480" t="s" s="2">
        <v>196</v>
      </c>
      <c r="J1480" t="s" s="2">
        <v>22</v>
      </c>
      <c r="K1480" t="s" s="2">
        <v>2946</v>
      </c>
      <c r="L1480" s="5">
        <v>1297</v>
      </c>
      <c r="M1480" s="5">
        <v>484762.44</v>
      </c>
      <c r="N1480" s="5">
        <v>6122309.97</v>
      </c>
      <c r="O1480" t="s" s="2">
        <v>305</v>
      </c>
      <c r="P1480" s="5">
        <v>44194451</v>
      </c>
      <c r="Q1480" t="s" s="2">
        <v>2947</v>
      </c>
      <c r="R1480" t="s" s="2">
        <f>_xlfn.IFERROR(INDEX('model_byCAP'!$D$2:$D$377,MATCH(Q1480,'model_byCAP'!$A$2:$A$377,0)),0)</f>
        <v>2941</v>
      </c>
    </row>
    <row r="1481" ht="15.35" customHeight="1">
      <c r="A1481" t="s" s="2">
        <v>2949</v>
      </c>
      <c r="B1481" s="4">
        <v>38679</v>
      </c>
      <c r="C1481" s="5">
        <v>1500</v>
      </c>
      <c r="D1481" s="5">
        <v>64</v>
      </c>
      <c r="E1481" s="5">
        <v>48</v>
      </c>
      <c r="F1481" t="s" s="2">
        <v>1746</v>
      </c>
      <c r="G1481" t="s" s="2">
        <v>2945</v>
      </c>
      <c r="H1481" s="5">
        <v>561</v>
      </c>
      <c r="I1481" t="s" s="2">
        <v>196</v>
      </c>
      <c r="J1481" t="s" s="2">
        <v>22</v>
      </c>
      <c r="K1481" t="s" s="2">
        <v>2946</v>
      </c>
      <c r="L1481" s="5">
        <v>1297</v>
      </c>
      <c r="M1481" s="5">
        <v>484761.68</v>
      </c>
      <c r="N1481" s="5">
        <v>6122307.18</v>
      </c>
      <c r="O1481" t="s" s="2">
        <v>25</v>
      </c>
      <c r="P1481" s="5">
        <v>44194452</v>
      </c>
      <c r="Q1481" t="s" s="2">
        <v>2947</v>
      </c>
      <c r="R1481" t="s" s="2">
        <f>_xlfn.IFERROR(INDEX('model_byCAP'!$D$2:$D$377,MATCH(Q1481,'model_byCAP'!$A$2:$A$377,0)),0)</f>
        <v>2941</v>
      </c>
    </row>
    <row r="1482" ht="15.35" customHeight="1">
      <c r="A1482" t="s" s="2">
        <v>2950</v>
      </c>
      <c r="B1482" s="4">
        <v>36440</v>
      </c>
      <c r="C1482" s="5">
        <v>1500</v>
      </c>
      <c r="D1482" s="5">
        <v>64</v>
      </c>
      <c r="E1482" s="5">
        <v>60</v>
      </c>
      <c r="F1482" t="s" s="2">
        <v>1746</v>
      </c>
      <c r="G1482" t="s" s="2">
        <v>2951</v>
      </c>
      <c r="H1482" s="5">
        <v>575</v>
      </c>
      <c r="I1482" t="s" s="2">
        <v>2952</v>
      </c>
      <c r="J1482" t="s" s="2">
        <v>22</v>
      </c>
      <c r="K1482" t="s" s="2">
        <v>2953</v>
      </c>
      <c r="L1482" t="s" s="2">
        <v>548</v>
      </c>
      <c r="M1482" s="5">
        <v>510600.9</v>
      </c>
      <c r="N1482" s="5">
        <v>6160229.03</v>
      </c>
      <c r="O1482" t="s" s="2">
        <v>305</v>
      </c>
      <c r="P1482" s="5">
        <v>203193</v>
      </c>
      <c r="Q1482" t="s" s="2">
        <v>2954</v>
      </c>
      <c r="R1482" t="s" s="2">
        <f>_xlfn.IFERROR(INDEX('model_byCAP'!$D$2:$D$377,MATCH(Q1482,'model_byCAP'!$A$2:$A$377,0)),0)</f>
        <v>2955</v>
      </c>
    </row>
    <row r="1483" ht="15.35" customHeight="1">
      <c r="A1483" t="s" s="2">
        <v>2956</v>
      </c>
      <c r="B1483" s="4">
        <v>36812</v>
      </c>
      <c r="C1483" s="5">
        <v>1500</v>
      </c>
      <c r="D1483" s="5">
        <v>64</v>
      </c>
      <c r="E1483" s="5">
        <v>60</v>
      </c>
      <c r="F1483" t="s" s="2">
        <v>1746</v>
      </c>
      <c r="G1483" t="s" s="2">
        <v>2951</v>
      </c>
      <c r="H1483" s="5">
        <v>575</v>
      </c>
      <c r="I1483" t="s" s="2">
        <v>2952</v>
      </c>
      <c r="J1483" t="s" s="2">
        <v>22</v>
      </c>
      <c r="K1483" t="s" s="2">
        <v>2953</v>
      </c>
      <c r="L1483" t="s" s="2">
        <v>548</v>
      </c>
      <c r="M1483" s="5">
        <v>510700.22</v>
      </c>
      <c r="N1483" s="5">
        <v>6160054.86</v>
      </c>
      <c r="O1483" t="s" s="2">
        <v>305</v>
      </c>
      <c r="P1483" s="5">
        <v>2203873</v>
      </c>
      <c r="Q1483" t="s" s="2">
        <v>2954</v>
      </c>
      <c r="R1483" t="s" s="2">
        <f>_xlfn.IFERROR(INDEX('model_byCAP'!$D$2:$D$377,MATCH(Q1483,'model_byCAP'!$A$2:$A$377,0)),0)</f>
        <v>2955</v>
      </c>
    </row>
    <row r="1484" ht="15.35" customHeight="1">
      <c r="A1484" t="s" s="2">
        <v>2957</v>
      </c>
      <c r="B1484" s="4">
        <v>36838</v>
      </c>
      <c r="C1484" s="5">
        <v>1500</v>
      </c>
      <c r="D1484" s="5">
        <v>64</v>
      </c>
      <c r="E1484" s="5">
        <v>60</v>
      </c>
      <c r="F1484" t="s" s="2">
        <v>1746</v>
      </c>
      <c r="G1484" t="s" s="2">
        <v>2951</v>
      </c>
      <c r="H1484" s="5">
        <v>580</v>
      </c>
      <c r="I1484" t="s" s="2">
        <v>1542</v>
      </c>
      <c r="J1484" t="s" s="2">
        <v>22</v>
      </c>
      <c r="K1484" t="s" s="2">
        <v>2958</v>
      </c>
      <c r="L1484" s="5">
        <v>101</v>
      </c>
      <c r="M1484" s="5">
        <v>510077.61</v>
      </c>
      <c r="N1484" s="5">
        <v>6080453.97</v>
      </c>
      <c r="O1484" t="s" s="2">
        <v>305</v>
      </c>
      <c r="P1484" s="5">
        <v>91450</v>
      </c>
      <c r="Q1484" t="s" s="2">
        <v>2954</v>
      </c>
      <c r="R1484" t="s" s="2">
        <f>_xlfn.IFERROR(INDEX('model_byCAP'!$D$2:$D$377,MATCH(Q1484,'model_byCAP'!$A$2:$A$377,0)),0)</f>
        <v>2955</v>
      </c>
    </row>
    <row r="1485" ht="15.35" customHeight="1">
      <c r="A1485" t="s" s="2">
        <v>2959</v>
      </c>
      <c r="B1485" s="4">
        <v>36838</v>
      </c>
      <c r="C1485" s="5">
        <v>1500</v>
      </c>
      <c r="D1485" s="5">
        <v>64</v>
      </c>
      <c r="E1485" s="5">
        <v>60</v>
      </c>
      <c r="F1485" t="s" s="2">
        <v>1746</v>
      </c>
      <c r="G1485" t="s" s="2">
        <v>2937</v>
      </c>
      <c r="H1485" s="5">
        <v>580</v>
      </c>
      <c r="I1485" t="s" s="2">
        <v>1542</v>
      </c>
      <c r="J1485" t="s" s="2">
        <v>22</v>
      </c>
      <c r="K1485" t="s" s="2">
        <v>2958</v>
      </c>
      <c r="L1485" s="5">
        <v>363</v>
      </c>
      <c r="M1485" s="5">
        <v>510357.48</v>
      </c>
      <c r="N1485" s="5">
        <v>6080330.79</v>
      </c>
      <c r="O1485" t="s" s="2">
        <v>305</v>
      </c>
      <c r="P1485" s="5">
        <v>91451</v>
      </c>
      <c r="Q1485" t="s" s="2">
        <v>2940</v>
      </c>
      <c r="R1485" t="s" s="2">
        <f>_xlfn.IFERROR(INDEX('model_byCAP'!$D$2:$D$377,MATCH(Q1485,'model_byCAP'!$A$2:$A$377,0)),0)</f>
        <v>2941</v>
      </c>
    </row>
    <row r="1486" ht="15.35" customHeight="1">
      <c r="A1486" t="s" s="2">
        <v>2960</v>
      </c>
      <c r="B1486" s="4">
        <v>36838</v>
      </c>
      <c r="C1486" s="5">
        <v>1500</v>
      </c>
      <c r="D1486" s="5">
        <v>64</v>
      </c>
      <c r="E1486" s="5">
        <v>60</v>
      </c>
      <c r="F1486" t="s" s="2">
        <v>1746</v>
      </c>
      <c r="G1486" t="s" s="2">
        <v>2951</v>
      </c>
      <c r="H1486" s="5">
        <v>580</v>
      </c>
      <c r="I1486" t="s" s="2">
        <v>1542</v>
      </c>
      <c r="J1486" t="s" s="2">
        <v>22</v>
      </c>
      <c r="K1486" t="s" s="2">
        <v>2958</v>
      </c>
      <c r="L1486" s="5">
        <v>417</v>
      </c>
      <c r="M1486" s="5">
        <v>510642.63</v>
      </c>
      <c r="N1486" s="5">
        <v>6080205.56</v>
      </c>
      <c r="O1486" t="s" s="2">
        <v>25</v>
      </c>
      <c r="P1486" s="5">
        <v>91452</v>
      </c>
      <c r="Q1486" t="s" s="2">
        <v>2954</v>
      </c>
      <c r="R1486" t="s" s="2">
        <f>_xlfn.IFERROR(INDEX('model_byCAP'!$D$2:$D$377,MATCH(Q1486,'model_byCAP'!$A$2:$A$377,0)),0)</f>
        <v>2955</v>
      </c>
    </row>
    <row r="1487" ht="15.35" customHeight="1">
      <c r="A1487" t="s" s="2">
        <v>2961</v>
      </c>
      <c r="B1487" s="4">
        <v>36838</v>
      </c>
      <c r="C1487" s="5">
        <v>1500</v>
      </c>
      <c r="D1487" s="5">
        <v>64</v>
      </c>
      <c r="E1487" s="5">
        <v>60</v>
      </c>
      <c r="F1487" t="s" s="2">
        <v>1746</v>
      </c>
      <c r="G1487" t="s" s="2">
        <v>2951</v>
      </c>
      <c r="H1487" s="5">
        <v>580</v>
      </c>
      <c r="I1487" t="s" s="2">
        <v>1542</v>
      </c>
      <c r="J1487" t="s" s="2">
        <v>22</v>
      </c>
      <c r="K1487" t="s" s="2">
        <v>2958</v>
      </c>
      <c r="L1487" s="5">
        <v>347</v>
      </c>
      <c r="M1487" s="5">
        <v>510917.62</v>
      </c>
      <c r="N1487" s="5">
        <v>6080084.57</v>
      </c>
      <c r="O1487" t="s" s="2">
        <v>305</v>
      </c>
      <c r="P1487" s="5">
        <v>91453</v>
      </c>
      <c r="Q1487" t="s" s="2">
        <v>2954</v>
      </c>
      <c r="R1487" t="s" s="2">
        <f>_xlfn.IFERROR(INDEX('model_byCAP'!$D$2:$D$377,MATCH(Q1487,'model_byCAP'!$A$2:$A$377,0)),0)</f>
        <v>2955</v>
      </c>
    </row>
    <row r="1488" ht="15.35" customHeight="1">
      <c r="A1488" t="s" s="2">
        <v>2962</v>
      </c>
      <c r="B1488" s="4">
        <v>36843</v>
      </c>
      <c r="C1488" s="5">
        <v>1500</v>
      </c>
      <c r="D1488" s="5">
        <v>64</v>
      </c>
      <c r="E1488" s="5">
        <v>60</v>
      </c>
      <c r="F1488" t="s" s="2">
        <v>1746</v>
      </c>
      <c r="G1488" t="s" s="2">
        <v>2951</v>
      </c>
      <c r="H1488" s="5">
        <v>580</v>
      </c>
      <c r="I1488" t="s" s="2">
        <v>1542</v>
      </c>
      <c r="J1488" t="s" s="2">
        <v>22</v>
      </c>
      <c r="K1488" t="s" s="2">
        <v>2958</v>
      </c>
      <c r="L1488" s="5">
        <v>348</v>
      </c>
      <c r="M1488" s="5">
        <v>511198.34</v>
      </c>
      <c r="N1488" s="5">
        <v>6079960.89</v>
      </c>
      <c r="O1488" t="s" s="2">
        <v>305</v>
      </c>
      <c r="P1488" s="5">
        <v>91454</v>
      </c>
      <c r="Q1488" t="s" s="2">
        <v>2954</v>
      </c>
      <c r="R1488" t="s" s="2">
        <f>_xlfn.IFERROR(INDEX('model_byCAP'!$D$2:$D$377,MATCH(Q1488,'model_byCAP'!$A$2:$A$377,0)),0)</f>
        <v>2955</v>
      </c>
    </row>
    <row r="1489" ht="15.35" customHeight="1">
      <c r="A1489" t="s" s="2">
        <v>2963</v>
      </c>
      <c r="B1489" s="4">
        <v>36846</v>
      </c>
      <c r="C1489" s="5">
        <v>1500</v>
      </c>
      <c r="D1489" s="5">
        <v>64</v>
      </c>
      <c r="E1489" s="5">
        <v>60</v>
      </c>
      <c r="F1489" t="s" s="2">
        <v>1746</v>
      </c>
      <c r="G1489" t="s" s="2">
        <v>2951</v>
      </c>
      <c r="H1489" s="5">
        <v>580</v>
      </c>
      <c r="I1489" t="s" s="2">
        <v>1542</v>
      </c>
      <c r="J1489" t="s" s="2">
        <v>22</v>
      </c>
      <c r="K1489" t="s" s="2">
        <v>2958</v>
      </c>
      <c r="L1489" s="5">
        <v>411</v>
      </c>
      <c r="M1489" s="5">
        <v>511478.06</v>
      </c>
      <c r="N1489" s="5">
        <v>6079838.22</v>
      </c>
      <c r="O1489" t="s" s="2">
        <v>305</v>
      </c>
      <c r="P1489" s="5">
        <v>91455</v>
      </c>
      <c r="Q1489" t="s" s="2">
        <v>2954</v>
      </c>
      <c r="R1489" t="s" s="2">
        <f>_xlfn.IFERROR(INDEX('model_byCAP'!$D$2:$D$377,MATCH(Q1489,'model_byCAP'!$A$2:$A$377,0)),0)</f>
        <v>2955</v>
      </c>
    </row>
    <row r="1490" ht="15.35" customHeight="1">
      <c r="A1490" t="s" s="2">
        <v>2964</v>
      </c>
      <c r="B1490" s="4">
        <v>36850</v>
      </c>
      <c r="C1490" s="5">
        <v>1500</v>
      </c>
      <c r="D1490" s="5">
        <v>64</v>
      </c>
      <c r="E1490" s="5">
        <v>60</v>
      </c>
      <c r="F1490" t="s" s="2">
        <v>1746</v>
      </c>
      <c r="G1490" t="s" s="2">
        <v>2951</v>
      </c>
      <c r="H1490" s="5">
        <v>580</v>
      </c>
      <c r="I1490" t="s" s="2">
        <v>1542</v>
      </c>
      <c r="J1490" t="s" s="2">
        <v>22</v>
      </c>
      <c r="K1490" t="s" s="2">
        <v>2958</v>
      </c>
      <c r="L1490" s="5">
        <v>308</v>
      </c>
      <c r="M1490" s="5">
        <v>511761.25</v>
      </c>
      <c r="N1490" s="5">
        <v>6079720.82</v>
      </c>
      <c r="O1490" t="s" s="2">
        <v>25</v>
      </c>
      <c r="P1490" s="5">
        <v>91456</v>
      </c>
      <c r="Q1490" t="s" s="2">
        <v>2954</v>
      </c>
      <c r="R1490" t="s" s="2">
        <f>_xlfn.IFERROR(INDEX('model_byCAP'!$D$2:$D$377,MATCH(Q1490,'model_byCAP'!$A$2:$A$377,0)),0)</f>
        <v>2955</v>
      </c>
    </row>
    <row r="1491" ht="15.35" customHeight="1">
      <c r="A1491" t="s" s="2">
        <v>2965</v>
      </c>
      <c r="B1491" s="4">
        <v>36853</v>
      </c>
      <c r="C1491" s="5">
        <v>1500</v>
      </c>
      <c r="D1491" s="5">
        <v>64</v>
      </c>
      <c r="E1491" s="5">
        <v>60</v>
      </c>
      <c r="F1491" t="s" s="2">
        <v>1746</v>
      </c>
      <c r="G1491" t="s" s="2">
        <v>2951</v>
      </c>
      <c r="H1491" s="5">
        <v>580</v>
      </c>
      <c r="I1491" t="s" s="2">
        <v>1542</v>
      </c>
      <c r="J1491" t="s" s="2">
        <v>22</v>
      </c>
      <c r="K1491" t="s" s="2">
        <v>2958</v>
      </c>
      <c r="L1491" s="5">
        <v>187</v>
      </c>
      <c r="M1491" s="5">
        <v>512022.49</v>
      </c>
      <c r="N1491" s="5">
        <v>6079563.64</v>
      </c>
      <c r="O1491" t="s" s="2">
        <v>25</v>
      </c>
      <c r="P1491" s="5">
        <v>91457</v>
      </c>
      <c r="Q1491" t="s" s="2">
        <v>2954</v>
      </c>
      <c r="R1491" t="s" s="2">
        <f>_xlfn.IFERROR(INDEX('model_byCAP'!$D$2:$D$377,MATCH(Q1491,'model_byCAP'!$A$2:$A$377,0)),0)</f>
        <v>2955</v>
      </c>
    </row>
    <row r="1492" ht="15.35" customHeight="1">
      <c r="A1492" t="s" s="2">
        <v>2966</v>
      </c>
      <c r="B1492" s="4">
        <v>37607</v>
      </c>
      <c r="C1492" s="5">
        <v>1500</v>
      </c>
      <c r="D1492" s="5">
        <v>64</v>
      </c>
      <c r="E1492" s="5">
        <v>60</v>
      </c>
      <c r="F1492" t="s" s="2">
        <v>1746</v>
      </c>
      <c r="G1492" t="s" s="2">
        <v>2937</v>
      </c>
      <c r="H1492" s="5">
        <v>707</v>
      </c>
      <c r="I1492" t="s" s="2">
        <v>616</v>
      </c>
      <c r="J1492" t="s" s="2">
        <v>22</v>
      </c>
      <c r="K1492" t="s" s="2">
        <v>2967</v>
      </c>
      <c r="L1492" t="s" s="2">
        <v>1201</v>
      </c>
      <c r="M1492" s="5">
        <v>578171.5699999999</v>
      </c>
      <c r="N1492" s="5">
        <v>6260171.4</v>
      </c>
      <c r="O1492" t="s" s="2">
        <v>305</v>
      </c>
      <c r="P1492" s="5">
        <v>95190</v>
      </c>
      <c r="Q1492" t="s" s="2">
        <v>2940</v>
      </c>
      <c r="R1492" t="s" s="2">
        <f>_xlfn.IFERROR(INDEX('model_byCAP'!$D$2:$D$377,MATCH(Q1492,'model_byCAP'!$A$2:$A$377,0)),0)</f>
        <v>2941</v>
      </c>
    </row>
    <row r="1493" ht="15.35" customHeight="1">
      <c r="A1493" t="s" s="2">
        <v>2968</v>
      </c>
      <c r="B1493" s="4">
        <v>37607</v>
      </c>
      <c r="C1493" s="5">
        <v>1500</v>
      </c>
      <c r="D1493" s="5">
        <v>64</v>
      </c>
      <c r="E1493" s="5">
        <v>60</v>
      </c>
      <c r="F1493" t="s" s="2">
        <v>1746</v>
      </c>
      <c r="G1493" t="s" s="2">
        <v>2937</v>
      </c>
      <c r="H1493" s="5">
        <v>707</v>
      </c>
      <c r="I1493" t="s" s="2">
        <v>616</v>
      </c>
      <c r="J1493" t="s" s="2">
        <v>22</v>
      </c>
      <c r="K1493" t="s" s="2">
        <v>2967</v>
      </c>
      <c r="L1493" t="s" s="2">
        <v>2969</v>
      </c>
      <c r="M1493" s="5">
        <v>577882.91</v>
      </c>
      <c r="N1493" s="5">
        <v>6260166.83</v>
      </c>
      <c r="O1493" t="s" s="2">
        <v>305</v>
      </c>
      <c r="P1493" s="5">
        <v>95190</v>
      </c>
      <c r="Q1493" t="s" s="2">
        <v>2940</v>
      </c>
      <c r="R1493" t="s" s="2">
        <f>_xlfn.IFERROR(INDEX('model_byCAP'!$D$2:$D$377,MATCH(Q1493,'model_byCAP'!$A$2:$A$377,0)),0)</f>
        <v>2941</v>
      </c>
    </row>
    <row r="1494" ht="15.35" customHeight="1">
      <c r="A1494" t="s" s="2">
        <v>2970</v>
      </c>
      <c r="B1494" s="4">
        <v>37607</v>
      </c>
      <c r="C1494" s="5">
        <v>1500</v>
      </c>
      <c r="D1494" s="5">
        <v>64</v>
      </c>
      <c r="E1494" s="5">
        <v>60</v>
      </c>
      <c r="F1494" t="s" s="2">
        <v>1746</v>
      </c>
      <c r="G1494" t="s" s="2">
        <v>2937</v>
      </c>
      <c r="H1494" s="5">
        <v>707</v>
      </c>
      <c r="I1494" t="s" s="2">
        <v>616</v>
      </c>
      <c r="J1494" t="s" s="2">
        <v>22</v>
      </c>
      <c r="K1494" t="s" s="2">
        <v>2967</v>
      </c>
      <c r="L1494" t="s" s="2">
        <v>2969</v>
      </c>
      <c r="M1494" s="5">
        <v>577604.1899999999</v>
      </c>
      <c r="N1494" s="5">
        <v>6260221.01</v>
      </c>
      <c r="O1494" t="s" s="2">
        <v>305</v>
      </c>
      <c r="P1494" s="5">
        <v>95190</v>
      </c>
      <c r="Q1494" t="s" s="2">
        <v>2940</v>
      </c>
      <c r="R1494" t="s" s="2">
        <f>_xlfn.IFERROR(INDEX('model_byCAP'!$D$2:$D$377,MATCH(Q1494,'model_byCAP'!$A$2:$A$377,0)),0)</f>
        <v>2941</v>
      </c>
    </row>
    <row r="1495" ht="15.35" customHeight="1">
      <c r="A1495" t="s" s="2">
        <v>2971</v>
      </c>
      <c r="B1495" s="4">
        <v>37607</v>
      </c>
      <c r="C1495" s="5">
        <v>1500</v>
      </c>
      <c r="D1495" s="5">
        <v>64</v>
      </c>
      <c r="E1495" s="5">
        <v>60</v>
      </c>
      <c r="F1495" t="s" s="2">
        <v>1746</v>
      </c>
      <c r="G1495" t="s" s="2">
        <v>2937</v>
      </c>
      <c r="H1495" s="5">
        <v>707</v>
      </c>
      <c r="I1495" t="s" s="2">
        <v>616</v>
      </c>
      <c r="J1495" t="s" s="2">
        <v>22</v>
      </c>
      <c r="K1495" t="s" s="2">
        <v>2967</v>
      </c>
      <c r="L1495" t="s" s="2">
        <v>1373</v>
      </c>
      <c r="M1495" s="5">
        <v>577110.52</v>
      </c>
      <c r="N1495" s="5">
        <v>6260502.57</v>
      </c>
      <c r="O1495" t="s" s="2">
        <v>305</v>
      </c>
      <c r="P1495" s="5">
        <v>95191</v>
      </c>
      <c r="Q1495" t="s" s="2">
        <v>2940</v>
      </c>
      <c r="R1495" t="s" s="2">
        <f>_xlfn.IFERROR(INDEX('model_byCAP'!$D$2:$D$377,MATCH(Q1495,'model_byCAP'!$A$2:$A$377,0)),0)</f>
        <v>2941</v>
      </c>
    </row>
    <row r="1496" ht="15.35" customHeight="1">
      <c r="A1496" t="s" s="2">
        <v>2972</v>
      </c>
      <c r="B1496" s="4">
        <v>37607</v>
      </c>
      <c r="C1496" s="5">
        <v>1500</v>
      </c>
      <c r="D1496" s="5">
        <v>64</v>
      </c>
      <c r="E1496" s="5">
        <v>60</v>
      </c>
      <c r="F1496" t="s" s="2">
        <v>1746</v>
      </c>
      <c r="G1496" t="s" s="2">
        <v>2937</v>
      </c>
      <c r="H1496" s="5">
        <v>707</v>
      </c>
      <c r="I1496" t="s" s="2">
        <v>616</v>
      </c>
      <c r="J1496" t="s" s="2">
        <v>22</v>
      </c>
      <c r="K1496" t="s" s="2">
        <v>2967</v>
      </c>
      <c r="L1496" t="s" s="2">
        <v>2973</v>
      </c>
      <c r="M1496" s="5">
        <v>577342.3</v>
      </c>
      <c r="N1496" s="5">
        <v>6260335.68</v>
      </c>
      <c r="O1496" t="s" s="2">
        <v>305</v>
      </c>
      <c r="P1496" s="5">
        <v>95191</v>
      </c>
      <c r="Q1496" t="s" s="2">
        <v>2940</v>
      </c>
      <c r="R1496" t="s" s="2">
        <f>_xlfn.IFERROR(INDEX('model_byCAP'!$D$2:$D$377,MATCH(Q1496,'model_byCAP'!$A$2:$A$377,0)),0)</f>
        <v>2941</v>
      </c>
    </row>
    <row r="1497" ht="15.35" customHeight="1">
      <c r="A1497" t="s" s="2">
        <v>2974</v>
      </c>
      <c r="B1497" s="4">
        <v>37607</v>
      </c>
      <c r="C1497" s="5">
        <v>1500</v>
      </c>
      <c r="D1497" s="5">
        <v>64</v>
      </c>
      <c r="E1497" s="5">
        <v>60</v>
      </c>
      <c r="F1497" t="s" s="2">
        <v>1746</v>
      </c>
      <c r="G1497" t="s" s="2">
        <v>2937</v>
      </c>
      <c r="H1497" s="5">
        <v>707</v>
      </c>
      <c r="I1497" t="s" s="2">
        <v>616</v>
      </c>
      <c r="J1497" t="s" s="2">
        <v>22</v>
      </c>
      <c r="K1497" t="s" s="2">
        <v>2967</v>
      </c>
      <c r="L1497" t="s" s="2">
        <v>2975</v>
      </c>
      <c r="M1497" s="5">
        <v>576914.05</v>
      </c>
      <c r="N1497" s="5">
        <v>6260711.25</v>
      </c>
      <c r="O1497" t="s" s="2">
        <v>305</v>
      </c>
      <c r="P1497" s="5">
        <v>95191</v>
      </c>
      <c r="Q1497" t="s" s="2">
        <v>2940</v>
      </c>
      <c r="R1497" t="s" s="2">
        <f>_xlfn.IFERROR(INDEX('model_byCAP'!$D$2:$D$377,MATCH(Q1497,'model_byCAP'!$A$2:$A$377,0)),0)</f>
        <v>2941</v>
      </c>
    </row>
    <row r="1498" ht="15.35" customHeight="1">
      <c r="A1498" t="s" s="2">
        <v>2976</v>
      </c>
      <c r="B1498" s="4">
        <v>37607</v>
      </c>
      <c r="C1498" s="5">
        <v>1500</v>
      </c>
      <c r="D1498" s="5">
        <v>64</v>
      </c>
      <c r="E1498" s="5">
        <v>60</v>
      </c>
      <c r="F1498" t="s" s="2">
        <v>1746</v>
      </c>
      <c r="G1498" t="s" s="2">
        <v>2937</v>
      </c>
      <c r="H1498" s="5">
        <v>707</v>
      </c>
      <c r="I1498" t="s" s="2">
        <v>616</v>
      </c>
      <c r="J1498" t="s" s="2">
        <v>22</v>
      </c>
      <c r="K1498" t="s" s="2">
        <v>2967</v>
      </c>
      <c r="L1498" t="s" s="2">
        <v>500</v>
      </c>
      <c r="M1498" s="5">
        <v>576775.04</v>
      </c>
      <c r="N1498" s="5">
        <v>6260961.99</v>
      </c>
      <c r="O1498" t="s" s="2">
        <v>305</v>
      </c>
      <c r="P1498" s="5">
        <v>95192</v>
      </c>
      <c r="Q1498" t="s" s="2">
        <v>2940</v>
      </c>
      <c r="R1498" t="s" s="2">
        <f>_xlfn.IFERROR(INDEX('model_byCAP'!$D$2:$D$377,MATCH(Q1498,'model_byCAP'!$A$2:$A$377,0)),0)</f>
        <v>2941</v>
      </c>
    </row>
    <row r="1499" ht="15.35" customHeight="1">
      <c r="A1499" t="s" s="2">
        <v>2977</v>
      </c>
      <c r="B1499" s="4">
        <v>37607</v>
      </c>
      <c r="C1499" s="5">
        <v>1500</v>
      </c>
      <c r="D1499" s="5">
        <v>64</v>
      </c>
      <c r="E1499" s="5">
        <v>60</v>
      </c>
      <c r="F1499" t="s" s="2">
        <v>1746</v>
      </c>
      <c r="G1499" t="s" s="2">
        <v>2937</v>
      </c>
      <c r="H1499" s="5">
        <v>707</v>
      </c>
      <c r="I1499" t="s" s="2">
        <v>616</v>
      </c>
      <c r="J1499" t="s" s="2">
        <v>22</v>
      </c>
      <c r="K1499" t="s" s="2">
        <v>2967</v>
      </c>
      <c r="L1499" s="5">
        <v>93</v>
      </c>
      <c r="M1499" s="5">
        <v>576687.77</v>
      </c>
      <c r="N1499" s="5">
        <v>6261237.74</v>
      </c>
      <c r="O1499" t="s" s="2">
        <v>305</v>
      </c>
      <c r="P1499" s="5">
        <v>95192</v>
      </c>
      <c r="Q1499" t="s" s="2">
        <v>2940</v>
      </c>
      <c r="R1499" t="s" s="2">
        <f>_xlfn.IFERROR(INDEX('model_byCAP'!$D$2:$D$377,MATCH(Q1499,'model_byCAP'!$A$2:$A$377,0)),0)</f>
        <v>2941</v>
      </c>
    </row>
    <row r="1500" ht="15.35" customHeight="1">
      <c r="A1500" t="s" s="2">
        <v>2978</v>
      </c>
      <c r="B1500" s="4">
        <v>37607</v>
      </c>
      <c r="C1500" s="5">
        <v>1500</v>
      </c>
      <c r="D1500" s="5">
        <v>64</v>
      </c>
      <c r="E1500" s="5">
        <v>60</v>
      </c>
      <c r="F1500" t="s" s="2">
        <v>1746</v>
      </c>
      <c r="G1500" t="s" s="2">
        <v>2937</v>
      </c>
      <c r="H1500" s="5">
        <v>707</v>
      </c>
      <c r="I1500" t="s" s="2">
        <v>616</v>
      </c>
      <c r="J1500" t="s" s="2">
        <v>22</v>
      </c>
      <c r="K1500" t="s" s="2">
        <v>2967</v>
      </c>
      <c r="L1500" t="s" s="2">
        <v>2979</v>
      </c>
      <c r="M1500" s="5">
        <v>576662.25</v>
      </c>
      <c r="N1500" s="5">
        <v>6261522.5</v>
      </c>
      <c r="O1500" t="s" s="2">
        <v>305</v>
      </c>
      <c r="P1500" s="5">
        <v>95192</v>
      </c>
      <c r="Q1500" t="s" s="2">
        <v>2940</v>
      </c>
      <c r="R1500" t="s" s="2">
        <f>_xlfn.IFERROR(INDEX('model_byCAP'!$D$2:$D$377,MATCH(Q1500,'model_byCAP'!$A$2:$A$377,0)),0)</f>
        <v>2941</v>
      </c>
    </row>
    <row r="1501" ht="15.35" customHeight="1">
      <c r="A1501" t="s" s="2">
        <v>2980</v>
      </c>
      <c r="B1501" s="4">
        <v>37607</v>
      </c>
      <c r="C1501" s="5">
        <v>1500</v>
      </c>
      <c r="D1501" s="5">
        <v>64</v>
      </c>
      <c r="E1501" s="5">
        <v>60</v>
      </c>
      <c r="F1501" t="s" s="2">
        <v>1746</v>
      </c>
      <c r="G1501" t="s" s="2">
        <v>2937</v>
      </c>
      <c r="H1501" s="5">
        <v>707</v>
      </c>
      <c r="I1501" t="s" s="2">
        <v>616</v>
      </c>
      <c r="J1501" t="s" s="2">
        <v>22</v>
      </c>
      <c r="K1501" t="s" s="2">
        <v>2967</v>
      </c>
      <c r="L1501" t="s" s="2">
        <v>2979</v>
      </c>
      <c r="M1501" s="5">
        <v>576696.61</v>
      </c>
      <c r="N1501" s="5">
        <v>6261809.85</v>
      </c>
      <c r="O1501" t="s" s="2">
        <v>305</v>
      </c>
      <c r="P1501" s="5">
        <v>95193</v>
      </c>
      <c r="Q1501" t="s" s="2">
        <v>2940</v>
      </c>
      <c r="R1501" t="s" s="2">
        <f>_xlfn.IFERROR(INDEX('model_byCAP'!$D$2:$D$377,MATCH(Q1501,'model_byCAP'!$A$2:$A$377,0)),0)</f>
        <v>2941</v>
      </c>
    </row>
    <row r="1502" ht="15.35" customHeight="1">
      <c r="A1502" t="s" s="2">
        <v>2981</v>
      </c>
      <c r="B1502" s="4">
        <v>37607</v>
      </c>
      <c r="C1502" s="5">
        <v>1500</v>
      </c>
      <c r="D1502" s="5">
        <v>64</v>
      </c>
      <c r="E1502" s="5">
        <v>60</v>
      </c>
      <c r="F1502" t="s" s="2">
        <v>1746</v>
      </c>
      <c r="G1502" t="s" s="2">
        <v>2937</v>
      </c>
      <c r="H1502" s="5">
        <v>707</v>
      </c>
      <c r="I1502" t="s" s="2">
        <v>616</v>
      </c>
      <c r="J1502" t="s" s="2">
        <v>22</v>
      </c>
      <c r="K1502" t="s" s="2">
        <v>2967</v>
      </c>
      <c r="L1502" t="s" s="2">
        <v>1611</v>
      </c>
      <c r="M1502" s="5">
        <v>576791.4300000001</v>
      </c>
      <c r="N1502" s="5">
        <v>6262076.41</v>
      </c>
      <c r="O1502" t="s" s="2">
        <v>305</v>
      </c>
      <c r="P1502" s="5">
        <v>95193</v>
      </c>
      <c r="Q1502" t="s" s="2">
        <v>2940</v>
      </c>
      <c r="R1502" t="s" s="2">
        <f>_xlfn.IFERROR(INDEX('model_byCAP'!$D$2:$D$377,MATCH(Q1502,'model_byCAP'!$A$2:$A$377,0)),0)</f>
        <v>2941</v>
      </c>
    </row>
    <row r="1503" ht="15.35" customHeight="1">
      <c r="A1503" t="s" s="2">
        <v>2982</v>
      </c>
      <c r="B1503" s="4">
        <v>37606</v>
      </c>
      <c r="C1503" s="5">
        <v>1500</v>
      </c>
      <c r="D1503" s="5">
        <v>64</v>
      </c>
      <c r="E1503" s="5">
        <v>68</v>
      </c>
      <c r="F1503" t="s" s="2">
        <v>1746</v>
      </c>
      <c r="G1503" t="s" s="2">
        <v>2937</v>
      </c>
      <c r="H1503" s="5">
        <v>760</v>
      </c>
      <c r="I1503" t="s" s="2">
        <v>331</v>
      </c>
      <c r="J1503" t="s" s="2">
        <v>22</v>
      </c>
      <c r="K1503" t="s" s="2">
        <v>2983</v>
      </c>
      <c r="L1503" t="s" s="2">
        <v>585</v>
      </c>
      <c r="M1503" s="5">
        <v>452461.5</v>
      </c>
      <c r="N1503" s="5">
        <v>6231110.93</v>
      </c>
      <c r="O1503" t="s" s="2">
        <v>305</v>
      </c>
      <c r="P1503" s="5">
        <v>85073</v>
      </c>
      <c r="Q1503" t="s" s="2">
        <v>2940</v>
      </c>
      <c r="R1503" t="s" s="2">
        <f>_xlfn.IFERROR(INDEX('model_byCAP'!$D$2:$D$377,MATCH(Q1503,'model_byCAP'!$A$2:$A$377,0)),0)</f>
        <v>2941</v>
      </c>
    </row>
    <row r="1504" ht="15.35" customHeight="1">
      <c r="A1504" t="s" s="2">
        <v>2984</v>
      </c>
      <c r="B1504" s="4">
        <v>37606</v>
      </c>
      <c r="C1504" s="5">
        <v>1500</v>
      </c>
      <c r="D1504" s="5">
        <v>64</v>
      </c>
      <c r="E1504" s="5">
        <v>68</v>
      </c>
      <c r="F1504" t="s" s="2">
        <v>1746</v>
      </c>
      <c r="G1504" t="s" s="2">
        <v>2937</v>
      </c>
      <c r="H1504" s="5">
        <v>760</v>
      </c>
      <c r="I1504" t="s" s="2">
        <v>331</v>
      </c>
      <c r="J1504" t="s" s="2">
        <v>22</v>
      </c>
      <c r="K1504" t="s" s="2">
        <v>2985</v>
      </c>
      <c r="L1504" t="s" s="2">
        <v>2078</v>
      </c>
      <c r="M1504" s="5">
        <v>452651.53</v>
      </c>
      <c r="N1504" s="5">
        <v>6231380.79</v>
      </c>
      <c r="O1504" t="s" s="2">
        <v>305</v>
      </c>
      <c r="P1504" s="5">
        <v>85073</v>
      </c>
      <c r="Q1504" t="s" s="2">
        <v>2940</v>
      </c>
      <c r="R1504" t="s" s="2">
        <f>_xlfn.IFERROR(INDEX('model_byCAP'!$D$2:$D$377,MATCH(Q1504,'model_byCAP'!$A$2:$A$377,0)),0)</f>
        <v>2941</v>
      </c>
    </row>
    <row r="1505" ht="15.35" customHeight="1">
      <c r="A1505" t="s" s="2">
        <v>2986</v>
      </c>
      <c r="B1505" s="4">
        <v>37606</v>
      </c>
      <c r="C1505" s="5">
        <v>1500</v>
      </c>
      <c r="D1505" s="5">
        <v>64</v>
      </c>
      <c r="E1505" s="5">
        <v>68</v>
      </c>
      <c r="F1505" t="s" s="2">
        <v>1746</v>
      </c>
      <c r="G1505" t="s" s="2">
        <v>2937</v>
      </c>
      <c r="H1505" s="5">
        <v>760</v>
      </c>
      <c r="I1505" t="s" s="2">
        <v>331</v>
      </c>
      <c r="J1505" t="s" s="2">
        <v>22</v>
      </c>
      <c r="K1505" t="s" s="2">
        <v>2985</v>
      </c>
      <c r="L1505" t="s" s="2">
        <v>2987</v>
      </c>
      <c r="M1505" s="5">
        <v>452840.94</v>
      </c>
      <c r="N1505" s="5">
        <v>6231649.75</v>
      </c>
      <c r="O1505" t="s" s="2">
        <v>305</v>
      </c>
      <c r="P1505" s="5">
        <v>85073</v>
      </c>
      <c r="Q1505" t="s" s="2">
        <v>2940</v>
      </c>
      <c r="R1505" t="s" s="2">
        <f>_xlfn.IFERROR(INDEX('model_byCAP'!$D$2:$D$377,MATCH(Q1505,'model_byCAP'!$A$2:$A$377,0)),0)</f>
        <v>2941</v>
      </c>
    </row>
    <row r="1506" ht="15.35" customHeight="1">
      <c r="A1506" t="s" s="2">
        <v>2988</v>
      </c>
      <c r="B1506" s="4">
        <v>37606</v>
      </c>
      <c r="C1506" s="5">
        <v>1500</v>
      </c>
      <c r="D1506" s="5">
        <v>64</v>
      </c>
      <c r="E1506" s="5">
        <v>68</v>
      </c>
      <c r="F1506" t="s" s="2">
        <v>1746</v>
      </c>
      <c r="G1506" t="s" s="2">
        <v>2937</v>
      </c>
      <c r="H1506" s="5">
        <v>760</v>
      </c>
      <c r="I1506" t="s" s="2">
        <v>331</v>
      </c>
      <c r="J1506" t="s" s="2">
        <v>22</v>
      </c>
      <c r="K1506" t="s" s="2">
        <v>2985</v>
      </c>
      <c r="L1506" t="s" s="2">
        <v>2989</v>
      </c>
      <c r="M1506" s="5">
        <v>453031.61</v>
      </c>
      <c r="N1506" s="5">
        <v>6231919.99</v>
      </c>
      <c r="O1506" t="s" s="2">
        <v>305</v>
      </c>
      <c r="P1506" s="5">
        <v>85073</v>
      </c>
      <c r="Q1506" t="s" s="2">
        <v>2940</v>
      </c>
      <c r="R1506" t="s" s="2">
        <f>_xlfn.IFERROR(INDEX('model_byCAP'!$D$2:$D$377,MATCH(Q1506,'model_byCAP'!$A$2:$A$377,0)),0)</f>
        <v>2941</v>
      </c>
    </row>
    <row r="1507" ht="15.35" customHeight="1">
      <c r="A1507" t="s" s="2">
        <v>2990</v>
      </c>
      <c r="B1507" s="4">
        <v>37603</v>
      </c>
      <c r="C1507" s="5">
        <v>1500</v>
      </c>
      <c r="D1507" s="5">
        <v>64</v>
      </c>
      <c r="E1507" s="5">
        <v>68</v>
      </c>
      <c r="F1507" t="s" s="2">
        <v>1746</v>
      </c>
      <c r="G1507" t="s" s="2">
        <v>2937</v>
      </c>
      <c r="H1507" s="5">
        <v>760</v>
      </c>
      <c r="I1507" t="s" s="2">
        <v>331</v>
      </c>
      <c r="J1507" t="s" s="2">
        <v>22</v>
      </c>
      <c r="K1507" t="s" s="2">
        <v>2985</v>
      </c>
      <c r="L1507" t="s" s="2">
        <v>2991</v>
      </c>
      <c r="M1507" s="5">
        <v>453220.71</v>
      </c>
      <c r="N1507" s="5">
        <v>6232190.1</v>
      </c>
      <c r="O1507" t="s" s="2">
        <v>305</v>
      </c>
      <c r="P1507" s="5">
        <v>85074</v>
      </c>
      <c r="Q1507" t="s" s="2">
        <v>2940</v>
      </c>
      <c r="R1507" t="s" s="2">
        <f>_xlfn.IFERROR(INDEX('model_byCAP'!$D$2:$D$377,MATCH(Q1507,'model_byCAP'!$A$2:$A$377,0)),0)</f>
        <v>2941</v>
      </c>
    </row>
    <row r="1508" ht="15.35" customHeight="1">
      <c r="A1508" t="s" s="2">
        <v>2992</v>
      </c>
      <c r="B1508" s="4">
        <v>37606</v>
      </c>
      <c r="C1508" s="5">
        <v>1500</v>
      </c>
      <c r="D1508" s="5">
        <v>64</v>
      </c>
      <c r="E1508" s="5">
        <v>68</v>
      </c>
      <c r="F1508" t="s" s="2">
        <v>1746</v>
      </c>
      <c r="G1508" t="s" s="2">
        <v>2937</v>
      </c>
      <c r="H1508" s="5">
        <v>760</v>
      </c>
      <c r="I1508" t="s" s="2">
        <v>331</v>
      </c>
      <c r="J1508" t="s" s="2">
        <v>22</v>
      </c>
      <c r="K1508" t="s" s="2">
        <v>2983</v>
      </c>
      <c r="L1508" t="s" s="2">
        <v>498</v>
      </c>
      <c r="M1508" s="5">
        <v>452683.08</v>
      </c>
      <c r="N1508" s="5">
        <v>6230792.8</v>
      </c>
      <c r="O1508" t="s" s="2">
        <v>305</v>
      </c>
      <c r="P1508" s="5">
        <v>85073</v>
      </c>
      <c r="Q1508" t="s" s="2">
        <v>2940</v>
      </c>
      <c r="R1508" t="s" s="2">
        <f>_xlfn.IFERROR(INDEX('model_byCAP'!$D$2:$D$377,MATCH(Q1508,'model_byCAP'!$A$2:$A$377,0)),0)</f>
        <v>2941</v>
      </c>
    </row>
    <row r="1509" ht="15.35" customHeight="1">
      <c r="A1509" t="s" s="2">
        <v>2993</v>
      </c>
      <c r="B1509" s="4">
        <v>37606</v>
      </c>
      <c r="C1509" s="5">
        <v>1500</v>
      </c>
      <c r="D1509" s="5">
        <v>64</v>
      </c>
      <c r="E1509" s="5">
        <v>68</v>
      </c>
      <c r="F1509" t="s" s="2">
        <v>1746</v>
      </c>
      <c r="G1509" t="s" s="2">
        <v>2937</v>
      </c>
      <c r="H1509" s="5">
        <v>760</v>
      </c>
      <c r="I1509" t="s" s="2">
        <v>331</v>
      </c>
      <c r="J1509" t="s" s="2">
        <v>22</v>
      </c>
      <c r="K1509" t="s" s="2">
        <v>2983</v>
      </c>
      <c r="L1509" t="s" s="2">
        <v>2994</v>
      </c>
      <c r="M1509" s="5">
        <v>452877.56</v>
      </c>
      <c r="N1509" s="5">
        <v>6231070.95</v>
      </c>
      <c r="O1509" t="s" s="2">
        <v>305</v>
      </c>
      <c r="P1509" s="5">
        <v>85073</v>
      </c>
      <c r="Q1509" t="s" s="2">
        <v>2940</v>
      </c>
      <c r="R1509" t="s" s="2">
        <f>_xlfn.IFERROR(INDEX('model_byCAP'!$D$2:$D$377,MATCH(Q1509,'model_byCAP'!$A$2:$A$377,0)),0)</f>
        <v>2941</v>
      </c>
    </row>
    <row r="1510" ht="15.35" customHeight="1">
      <c r="A1510" t="s" s="2">
        <v>2995</v>
      </c>
      <c r="B1510" s="4">
        <v>37606</v>
      </c>
      <c r="C1510" s="5">
        <v>1500</v>
      </c>
      <c r="D1510" s="5">
        <v>64</v>
      </c>
      <c r="E1510" s="5">
        <v>68</v>
      </c>
      <c r="F1510" t="s" s="2">
        <v>1746</v>
      </c>
      <c r="G1510" t="s" s="2">
        <v>2937</v>
      </c>
      <c r="H1510" s="5">
        <v>760</v>
      </c>
      <c r="I1510" t="s" s="2">
        <v>331</v>
      </c>
      <c r="J1510" t="s" s="2">
        <v>22</v>
      </c>
      <c r="K1510" t="s" s="2">
        <v>2996</v>
      </c>
      <c r="L1510" t="s" s="2">
        <v>1504</v>
      </c>
      <c r="M1510" s="5">
        <v>453064</v>
      </c>
      <c r="N1510" s="5">
        <v>6231332.58</v>
      </c>
      <c r="O1510" t="s" s="2">
        <v>305</v>
      </c>
      <c r="P1510" s="5">
        <v>85073</v>
      </c>
      <c r="Q1510" t="s" s="2">
        <v>2940</v>
      </c>
      <c r="R1510" t="s" s="2">
        <f>_xlfn.IFERROR(INDEX('model_byCAP'!$D$2:$D$377,MATCH(Q1510,'model_byCAP'!$A$2:$A$377,0)),0)</f>
        <v>2941</v>
      </c>
    </row>
    <row r="1511" ht="15.35" customHeight="1">
      <c r="A1511" t="s" s="2">
        <v>2997</v>
      </c>
      <c r="B1511" s="4">
        <v>37606</v>
      </c>
      <c r="C1511" s="5">
        <v>1500</v>
      </c>
      <c r="D1511" s="5">
        <v>64</v>
      </c>
      <c r="E1511" s="5">
        <v>68</v>
      </c>
      <c r="F1511" t="s" s="2">
        <v>1746</v>
      </c>
      <c r="G1511" t="s" s="2">
        <v>2937</v>
      </c>
      <c r="H1511" s="5">
        <v>760</v>
      </c>
      <c r="I1511" t="s" s="2">
        <v>331</v>
      </c>
      <c r="J1511" t="s" s="2">
        <v>22</v>
      </c>
      <c r="K1511" t="s" s="2">
        <v>2996</v>
      </c>
      <c r="L1511" t="s" s="2">
        <v>2998</v>
      </c>
      <c r="M1511" s="5">
        <v>453253.79</v>
      </c>
      <c r="N1511" s="5">
        <v>6231602.58</v>
      </c>
      <c r="O1511" t="s" s="2">
        <v>305</v>
      </c>
      <c r="P1511" s="5">
        <v>85073</v>
      </c>
      <c r="Q1511" t="s" s="2">
        <v>2940</v>
      </c>
      <c r="R1511" t="s" s="2">
        <f>_xlfn.IFERROR(INDEX('model_byCAP'!$D$2:$D$377,MATCH(Q1511,'model_byCAP'!$A$2:$A$377,0)),0)</f>
        <v>2941</v>
      </c>
    </row>
    <row r="1512" ht="15.35" customHeight="1">
      <c r="A1512" t="s" s="2">
        <v>2999</v>
      </c>
      <c r="B1512" s="4">
        <v>37606</v>
      </c>
      <c r="C1512" s="5">
        <v>1500</v>
      </c>
      <c r="D1512" s="5">
        <v>64</v>
      </c>
      <c r="E1512" s="5">
        <v>68</v>
      </c>
      <c r="F1512" t="s" s="2">
        <v>1746</v>
      </c>
      <c r="G1512" t="s" s="2">
        <v>2937</v>
      </c>
      <c r="H1512" s="5">
        <v>760</v>
      </c>
      <c r="I1512" t="s" s="2">
        <v>331</v>
      </c>
      <c r="J1512" t="s" s="2">
        <v>22</v>
      </c>
      <c r="K1512" t="s" s="2">
        <v>2996</v>
      </c>
      <c r="L1512" t="s" s="2">
        <v>3000</v>
      </c>
      <c r="M1512" s="5">
        <v>453442.88</v>
      </c>
      <c r="N1512" s="5">
        <v>6231872.14</v>
      </c>
      <c r="O1512" t="s" s="2">
        <v>305</v>
      </c>
      <c r="P1512" s="5">
        <v>85073</v>
      </c>
      <c r="Q1512" t="s" s="2">
        <v>2940</v>
      </c>
      <c r="R1512" t="s" s="2">
        <f>_xlfn.IFERROR(INDEX('model_byCAP'!$D$2:$D$377,MATCH(Q1512,'model_byCAP'!$A$2:$A$377,0)),0)</f>
        <v>2941</v>
      </c>
    </row>
    <row r="1513" ht="15.35" customHeight="1">
      <c r="A1513" t="s" s="2">
        <v>3001</v>
      </c>
      <c r="B1513" s="4">
        <v>38528</v>
      </c>
      <c r="C1513" s="5">
        <v>1500</v>
      </c>
      <c r="D1513" s="5">
        <v>72</v>
      </c>
      <c r="E1513" s="5">
        <v>63.9</v>
      </c>
      <c r="F1513" t="s" s="2">
        <v>301</v>
      </c>
      <c r="G1513" t="s" s="2">
        <v>3002</v>
      </c>
      <c r="H1513" s="5">
        <v>810</v>
      </c>
      <c r="I1513" t="s" s="2">
        <v>1102</v>
      </c>
      <c r="J1513" t="s" s="2">
        <v>22</v>
      </c>
      <c r="K1513" t="s" s="2">
        <v>3003</v>
      </c>
      <c r="L1513" t="s" s="2">
        <v>3004</v>
      </c>
      <c r="M1513" s="5">
        <v>556362.5699999999</v>
      </c>
      <c r="N1513" s="5">
        <v>6345019.31</v>
      </c>
      <c r="O1513" t="s" s="2">
        <v>305</v>
      </c>
      <c r="P1513" s="5">
        <v>101</v>
      </c>
      <c r="Q1513" t="s" s="2">
        <v>3005</v>
      </c>
      <c r="R1513" t="s" s="2">
        <f>_xlfn.IFERROR(INDEX('model_byCAP'!$D$2:$D$377,MATCH(Q1513,'model_byCAP'!$A$2:$A$377,0)),0)</f>
        <v>3006</v>
      </c>
    </row>
    <row r="1514" ht="15.35" customHeight="1">
      <c r="A1514" t="s" s="2">
        <v>3007</v>
      </c>
      <c r="B1514" s="4">
        <v>38527</v>
      </c>
      <c r="C1514" s="5">
        <v>1500</v>
      </c>
      <c r="D1514" s="5">
        <v>72</v>
      </c>
      <c r="E1514" s="5">
        <v>63.9</v>
      </c>
      <c r="F1514" t="s" s="2">
        <v>301</v>
      </c>
      <c r="G1514" t="s" s="2">
        <v>3002</v>
      </c>
      <c r="H1514" s="5">
        <v>810</v>
      </c>
      <c r="I1514" t="s" s="2">
        <v>1102</v>
      </c>
      <c r="J1514" t="s" s="2">
        <v>22</v>
      </c>
      <c r="K1514" t="s" s="2">
        <v>3003</v>
      </c>
      <c r="L1514" t="s" s="2">
        <v>3004</v>
      </c>
      <c r="M1514" s="5">
        <v>556444</v>
      </c>
      <c r="N1514" s="5">
        <v>6344832</v>
      </c>
      <c r="O1514" t="s" s="2">
        <v>25</v>
      </c>
      <c r="P1514" s="5">
        <v>102</v>
      </c>
      <c r="Q1514" t="s" s="2">
        <v>3005</v>
      </c>
      <c r="R1514" t="s" s="2">
        <f>_xlfn.IFERROR(INDEX('model_byCAP'!$D$2:$D$377,MATCH(Q1514,'model_byCAP'!$A$2:$A$377,0)),0)</f>
        <v>3006</v>
      </c>
    </row>
    <row r="1515" ht="15.35" customHeight="1">
      <c r="A1515" t="s" s="2">
        <v>3008</v>
      </c>
      <c r="B1515" s="4">
        <v>38527</v>
      </c>
      <c r="C1515" s="5">
        <v>1500</v>
      </c>
      <c r="D1515" s="5">
        <v>72</v>
      </c>
      <c r="E1515" s="5">
        <v>63.9</v>
      </c>
      <c r="F1515" t="s" s="2">
        <v>301</v>
      </c>
      <c r="G1515" t="s" s="2">
        <v>3002</v>
      </c>
      <c r="H1515" s="5">
        <v>810</v>
      </c>
      <c r="I1515" t="s" s="2">
        <v>1102</v>
      </c>
      <c r="J1515" t="s" s="2">
        <v>22</v>
      </c>
      <c r="K1515" t="s" s="2">
        <v>3003</v>
      </c>
      <c r="L1515" t="s" s="2">
        <v>3004</v>
      </c>
      <c r="M1515" s="5">
        <v>556525.59</v>
      </c>
      <c r="N1515" s="5">
        <v>6344645.16</v>
      </c>
      <c r="O1515" t="s" s="2">
        <v>305</v>
      </c>
      <c r="P1515" s="5">
        <v>103</v>
      </c>
      <c r="Q1515" t="s" s="2">
        <v>3005</v>
      </c>
      <c r="R1515" t="s" s="2">
        <f>_xlfn.IFERROR(INDEX('model_byCAP'!$D$2:$D$377,MATCH(Q1515,'model_byCAP'!$A$2:$A$377,0)),0)</f>
        <v>3006</v>
      </c>
    </row>
    <row r="1516" ht="15.35" customHeight="1">
      <c r="A1516" t="s" s="2">
        <v>3009</v>
      </c>
      <c r="B1516" s="4">
        <v>38525</v>
      </c>
      <c r="C1516" s="5">
        <v>1500</v>
      </c>
      <c r="D1516" s="5">
        <v>72</v>
      </c>
      <c r="E1516" s="5">
        <v>63.9</v>
      </c>
      <c r="F1516" t="s" s="2">
        <v>301</v>
      </c>
      <c r="G1516" t="s" s="2">
        <v>3002</v>
      </c>
      <c r="H1516" s="5">
        <v>810</v>
      </c>
      <c r="I1516" t="s" s="2">
        <v>1102</v>
      </c>
      <c r="J1516" t="s" s="2">
        <v>22</v>
      </c>
      <c r="K1516" t="s" s="2">
        <v>3003</v>
      </c>
      <c r="L1516" t="s" s="2">
        <v>3010</v>
      </c>
      <c r="M1516" s="5">
        <v>556688.29</v>
      </c>
      <c r="N1516" s="5">
        <v>6344271.98</v>
      </c>
      <c r="O1516" t="s" s="2">
        <v>305</v>
      </c>
      <c r="P1516" s="5">
        <v>104</v>
      </c>
      <c r="Q1516" t="s" s="2">
        <v>3005</v>
      </c>
      <c r="R1516" t="s" s="2">
        <f>_xlfn.IFERROR(INDEX('model_byCAP'!$D$2:$D$377,MATCH(Q1516,'model_byCAP'!$A$2:$A$377,0)),0)</f>
        <v>3006</v>
      </c>
    </row>
    <row r="1517" ht="15.35" customHeight="1">
      <c r="A1517" t="s" s="2">
        <v>3011</v>
      </c>
      <c r="B1517" s="4">
        <v>38526</v>
      </c>
      <c r="C1517" s="5">
        <v>1500</v>
      </c>
      <c r="D1517" s="5">
        <v>72</v>
      </c>
      <c r="E1517" s="5">
        <v>63.9</v>
      </c>
      <c r="F1517" t="s" s="2">
        <v>301</v>
      </c>
      <c r="G1517" t="s" s="2">
        <v>3012</v>
      </c>
      <c r="H1517" s="5">
        <v>810</v>
      </c>
      <c r="I1517" t="s" s="2">
        <v>1102</v>
      </c>
      <c r="J1517" t="s" s="2">
        <v>22</v>
      </c>
      <c r="K1517" t="s" s="2">
        <v>3003</v>
      </c>
      <c r="L1517" t="s" s="2">
        <v>3013</v>
      </c>
      <c r="M1517" s="5">
        <v>556768.1</v>
      </c>
      <c r="N1517" s="5">
        <v>6344088.79</v>
      </c>
      <c r="O1517" t="s" s="2">
        <v>305</v>
      </c>
      <c r="P1517" s="5">
        <v>105</v>
      </c>
      <c r="Q1517" t="s" s="2">
        <v>3014</v>
      </c>
      <c r="R1517" t="s" s="2">
        <f>_xlfn.IFERROR(INDEX('model_byCAP'!$D$2:$D$377,MATCH(Q1517,'model_byCAP'!$A$2:$A$377,0)),0)</f>
        <v>3006</v>
      </c>
    </row>
    <row r="1518" ht="15.35" customHeight="1">
      <c r="A1518" t="s" s="2">
        <v>3015</v>
      </c>
      <c r="B1518" s="4">
        <v>38526</v>
      </c>
      <c r="C1518" s="5">
        <v>1500</v>
      </c>
      <c r="D1518" s="5">
        <v>72</v>
      </c>
      <c r="E1518" s="5">
        <v>63.9</v>
      </c>
      <c r="F1518" t="s" s="2">
        <v>301</v>
      </c>
      <c r="G1518" t="s" s="2">
        <v>3002</v>
      </c>
      <c r="H1518" s="5">
        <v>810</v>
      </c>
      <c r="I1518" t="s" s="2">
        <v>1102</v>
      </c>
      <c r="J1518" t="s" s="2">
        <v>22</v>
      </c>
      <c r="K1518" t="s" s="2">
        <v>3003</v>
      </c>
      <c r="L1518" t="s" s="2">
        <v>3016</v>
      </c>
      <c r="M1518" s="5">
        <v>556607.01</v>
      </c>
      <c r="N1518" s="5">
        <v>6344458.2</v>
      </c>
      <c r="O1518" t="s" s="2">
        <v>305</v>
      </c>
      <c r="P1518" s="5">
        <v>106</v>
      </c>
      <c r="Q1518" t="s" s="2">
        <v>3005</v>
      </c>
      <c r="R1518" t="s" s="2">
        <f>_xlfn.IFERROR(INDEX('model_byCAP'!$D$2:$D$377,MATCH(Q1518,'model_byCAP'!$A$2:$A$377,0)),0)</f>
        <v>3006</v>
      </c>
    </row>
    <row r="1519" ht="15.35" customHeight="1">
      <c r="A1519" t="s" s="2">
        <v>3017</v>
      </c>
      <c r="B1519" s="4">
        <v>38525</v>
      </c>
      <c r="C1519" s="5">
        <v>1500</v>
      </c>
      <c r="D1519" s="5">
        <v>72</v>
      </c>
      <c r="E1519" s="5">
        <v>63.9</v>
      </c>
      <c r="F1519" t="s" s="2">
        <v>301</v>
      </c>
      <c r="G1519" t="s" s="2">
        <v>3002</v>
      </c>
      <c r="H1519" s="5">
        <v>810</v>
      </c>
      <c r="I1519" t="s" s="2">
        <v>1102</v>
      </c>
      <c r="J1519" t="s" s="2">
        <v>22</v>
      </c>
      <c r="K1519" t="s" s="2">
        <v>3003</v>
      </c>
      <c r="L1519" t="s" s="2">
        <v>3018</v>
      </c>
      <c r="M1519" s="5">
        <v>556845.5699999999</v>
      </c>
      <c r="N1519" s="5">
        <v>6343904.89</v>
      </c>
      <c r="O1519" t="s" s="2">
        <v>305</v>
      </c>
      <c r="P1519" s="5">
        <v>107</v>
      </c>
      <c r="Q1519" t="s" s="2">
        <v>3005</v>
      </c>
      <c r="R1519" t="s" s="2">
        <f>_xlfn.IFERROR(INDEX('model_byCAP'!$D$2:$D$377,MATCH(Q1519,'model_byCAP'!$A$2:$A$377,0)),0)</f>
        <v>3006</v>
      </c>
    </row>
    <row r="1520" ht="15.35" customHeight="1">
      <c r="A1520" t="s" s="2">
        <v>3019</v>
      </c>
      <c r="B1520" s="4">
        <v>37606</v>
      </c>
      <c r="C1520" s="5">
        <v>1300</v>
      </c>
      <c r="D1520" s="5">
        <v>60</v>
      </c>
      <c r="E1520" s="5">
        <v>60</v>
      </c>
      <c r="F1520" t="s" s="2">
        <v>2328</v>
      </c>
      <c r="G1520" t="s" s="2">
        <v>3020</v>
      </c>
      <c r="H1520" s="5">
        <v>400</v>
      </c>
      <c r="I1520" t="s" s="2">
        <v>2068</v>
      </c>
      <c r="J1520" t="s" s="2">
        <v>22</v>
      </c>
      <c r="K1520" t="s" s="2">
        <v>2860</v>
      </c>
      <c r="L1520" t="s" s="2">
        <v>3021</v>
      </c>
      <c r="M1520" s="5">
        <v>863704.5699999999</v>
      </c>
      <c r="N1520" s="5">
        <v>6131575.37</v>
      </c>
      <c r="O1520" t="s" s="2">
        <v>305</v>
      </c>
      <c r="P1520" t="s" s="2">
        <v>3022</v>
      </c>
      <c r="Q1520" t="s" s="2">
        <v>3023</v>
      </c>
      <c r="R1520" t="s" s="2">
        <f>_xlfn.IFERROR(INDEX('model_byCAP'!$D$2:$D$377,MATCH(Q1520,'model_byCAP'!$A$2:$A$377,0)),0)</f>
        <v>3024</v>
      </c>
    </row>
    <row r="1521" ht="15.35" customHeight="1">
      <c r="A1521" t="s" s="2">
        <v>3025</v>
      </c>
      <c r="B1521" s="4">
        <v>37606</v>
      </c>
      <c r="C1521" s="5">
        <v>1300</v>
      </c>
      <c r="D1521" s="5">
        <v>60</v>
      </c>
      <c r="E1521" s="5">
        <v>60</v>
      </c>
      <c r="F1521" t="s" s="2">
        <v>2328</v>
      </c>
      <c r="G1521" t="s" s="2">
        <v>3020</v>
      </c>
      <c r="H1521" s="5">
        <v>400</v>
      </c>
      <c r="I1521" t="s" s="2">
        <v>2068</v>
      </c>
      <c r="J1521" t="s" s="2">
        <v>22</v>
      </c>
      <c r="K1521" t="s" s="2">
        <v>2860</v>
      </c>
      <c r="L1521" t="s" s="2">
        <v>3026</v>
      </c>
      <c r="M1521" s="5">
        <v>863832.01</v>
      </c>
      <c r="N1521" s="5">
        <v>6131824.63</v>
      </c>
      <c r="O1521" t="s" s="2">
        <v>305</v>
      </c>
      <c r="P1521" t="s" s="2">
        <v>3027</v>
      </c>
      <c r="Q1521" t="s" s="2">
        <v>3023</v>
      </c>
      <c r="R1521" t="s" s="2">
        <f>_xlfn.IFERROR(INDEX('model_byCAP'!$D$2:$D$377,MATCH(Q1521,'model_byCAP'!$A$2:$A$377,0)),0)</f>
        <v>3024</v>
      </c>
    </row>
    <row r="1522" ht="15.35" customHeight="1">
      <c r="A1522" t="s" s="2">
        <v>3028</v>
      </c>
      <c r="B1522" s="4">
        <v>37606</v>
      </c>
      <c r="C1522" s="5">
        <v>1300</v>
      </c>
      <c r="D1522" s="5">
        <v>60</v>
      </c>
      <c r="E1522" s="5">
        <v>60</v>
      </c>
      <c r="F1522" t="s" s="2">
        <v>2328</v>
      </c>
      <c r="G1522" t="s" s="2">
        <v>3020</v>
      </c>
      <c r="H1522" s="5">
        <v>400</v>
      </c>
      <c r="I1522" t="s" s="2">
        <v>2068</v>
      </c>
      <c r="J1522" t="s" s="2">
        <v>22</v>
      </c>
      <c r="K1522" t="s" s="2">
        <v>2860</v>
      </c>
      <c r="L1522" t="s" s="2">
        <v>3026</v>
      </c>
      <c r="M1522" s="5">
        <v>863959.87</v>
      </c>
      <c r="N1522" s="5">
        <v>6132074.56</v>
      </c>
      <c r="O1522" t="s" s="2">
        <v>305</v>
      </c>
      <c r="P1522" t="s" s="2">
        <v>3029</v>
      </c>
      <c r="Q1522" t="s" s="2">
        <v>3023</v>
      </c>
      <c r="R1522" t="s" s="2">
        <f>_xlfn.IFERROR(INDEX('model_byCAP'!$D$2:$D$377,MATCH(Q1522,'model_byCAP'!$A$2:$A$377,0)),0)</f>
        <v>3024</v>
      </c>
    </row>
    <row r="1523" ht="15.35" customHeight="1">
      <c r="A1523" t="s" s="2">
        <v>3030</v>
      </c>
      <c r="B1523" s="4">
        <v>37602</v>
      </c>
      <c r="C1523" s="5">
        <v>1300</v>
      </c>
      <c r="D1523" s="5">
        <v>60</v>
      </c>
      <c r="E1523" s="5">
        <v>60</v>
      </c>
      <c r="F1523" t="s" s="2">
        <v>42</v>
      </c>
      <c r="G1523" t="s" s="2">
        <v>42</v>
      </c>
      <c r="H1523" s="5">
        <v>400</v>
      </c>
      <c r="I1523" t="s" s="2">
        <v>2068</v>
      </c>
      <c r="J1523" t="s" s="2">
        <v>22</v>
      </c>
      <c r="K1523" t="s" s="2">
        <v>2486</v>
      </c>
      <c r="L1523" t="s" s="2">
        <v>3031</v>
      </c>
      <c r="M1523" s="5">
        <v>874722.54</v>
      </c>
      <c r="N1523" s="5">
        <v>6115940.51</v>
      </c>
      <c r="O1523" t="s" s="2">
        <v>305</v>
      </c>
      <c r="P1523" t="s" s="2">
        <v>3032</v>
      </c>
      <c r="Q1523" t="s" s="2">
        <v>43</v>
      </c>
      <c r="R1523" s="5">
        <f>_xlfn.IFERROR(INDEX('model_byCAP'!$D$2:$D$377,MATCH(Q1523,'model_byCAP'!$A$2:$A$377,0)),0)</f>
        <v>0</v>
      </c>
    </row>
    <row r="1524" ht="15.35" customHeight="1">
      <c r="A1524" t="s" s="2">
        <v>3033</v>
      </c>
      <c r="B1524" s="4">
        <v>37602</v>
      </c>
      <c r="C1524" s="5">
        <v>1300</v>
      </c>
      <c r="D1524" s="5">
        <v>60</v>
      </c>
      <c r="E1524" s="5">
        <v>60</v>
      </c>
      <c r="F1524" t="s" s="2">
        <v>42</v>
      </c>
      <c r="G1524" t="s" s="2">
        <v>42</v>
      </c>
      <c r="H1524" s="5">
        <v>400</v>
      </c>
      <c r="I1524" t="s" s="2">
        <v>2068</v>
      </c>
      <c r="J1524" t="s" s="2">
        <v>22</v>
      </c>
      <c r="K1524" t="s" s="2">
        <v>2486</v>
      </c>
      <c r="L1524" t="s" s="2">
        <v>3031</v>
      </c>
      <c r="M1524" s="5">
        <v>874637.42</v>
      </c>
      <c r="N1524" s="5">
        <v>6116230.07</v>
      </c>
      <c r="O1524" t="s" s="2">
        <v>305</v>
      </c>
      <c r="P1524" t="s" s="2">
        <v>3034</v>
      </c>
      <c r="Q1524" t="s" s="2">
        <v>43</v>
      </c>
      <c r="R1524" s="5">
        <f>_xlfn.IFERROR(INDEX('model_byCAP'!$D$2:$D$377,MATCH(Q1524,'model_byCAP'!$A$2:$A$377,0)),0)</f>
        <v>0</v>
      </c>
    </row>
    <row r="1525" ht="15.35" customHeight="1">
      <c r="A1525" t="s" s="2">
        <v>3035</v>
      </c>
      <c r="B1525" s="4">
        <v>37602</v>
      </c>
      <c r="C1525" s="5">
        <v>1300</v>
      </c>
      <c r="D1525" s="5">
        <v>60</v>
      </c>
      <c r="E1525" s="5">
        <v>60</v>
      </c>
      <c r="F1525" t="s" s="2">
        <v>42</v>
      </c>
      <c r="G1525" t="s" s="2">
        <v>42</v>
      </c>
      <c r="H1525" s="5">
        <v>400</v>
      </c>
      <c r="I1525" t="s" s="2">
        <v>2068</v>
      </c>
      <c r="J1525" t="s" s="2">
        <v>22</v>
      </c>
      <c r="K1525" t="s" s="2">
        <v>2486</v>
      </c>
      <c r="L1525" t="s" s="2">
        <v>3031</v>
      </c>
      <c r="M1525" s="5">
        <v>874551.59</v>
      </c>
      <c r="N1525" s="5">
        <v>6116520.17</v>
      </c>
      <c r="O1525" t="s" s="2">
        <v>305</v>
      </c>
      <c r="P1525" t="s" s="2">
        <v>3036</v>
      </c>
      <c r="Q1525" t="s" s="2">
        <v>43</v>
      </c>
      <c r="R1525" s="5">
        <f>_xlfn.IFERROR(INDEX('model_byCAP'!$D$2:$D$377,MATCH(Q1525,'model_byCAP'!$A$2:$A$377,0)),0)</f>
        <v>0</v>
      </c>
    </row>
    <row r="1526" ht="15.35" customHeight="1">
      <c r="A1526" t="s" s="2">
        <v>3037</v>
      </c>
      <c r="B1526" s="4">
        <v>37602</v>
      </c>
      <c r="C1526" s="5">
        <v>1300</v>
      </c>
      <c r="D1526" s="5">
        <v>60</v>
      </c>
      <c r="E1526" s="5">
        <v>60</v>
      </c>
      <c r="F1526" t="s" s="2">
        <v>42</v>
      </c>
      <c r="G1526" t="s" s="2">
        <v>42</v>
      </c>
      <c r="H1526" s="5">
        <v>400</v>
      </c>
      <c r="I1526" t="s" s="2">
        <v>2068</v>
      </c>
      <c r="J1526" t="s" s="2">
        <v>22</v>
      </c>
      <c r="K1526" t="s" s="2">
        <v>2486</v>
      </c>
      <c r="L1526" t="s" s="2">
        <v>3031</v>
      </c>
      <c r="M1526" s="5">
        <v>874465.6</v>
      </c>
      <c r="N1526" s="5">
        <v>6116809.69</v>
      </c>
      <c r="O1526" t="s" s="2">
        <v>305</v>
      </c>
      <c r="P1526" t="s" s="2">
        <v>3038</v>
      </c>
      <c r="Q1526" t="s" s="2">
        <v>43</v>
      </c>
      <c r="R1526" s="5">
        <f>_xlfn.IFERROR(INDEX('model_byCAP'!$D$2:$D$377,MATCH(Q1526,'model_byCAP'!$A$2:$A$377,0)),0)</f>
        <v>0</v>
      </c>
    </row>
    <row r="1527" ht="15.35" customHeight="1">
      <c r="A1527" t="s" s="2">
        <v>3039</v>
      </c>
      <c r="B1527" s="4">
        <v>37602</v>
      </c>
      <c r="C1527" s="5">
        <v>1300</v>
      </c>
      <c r="D1527" s="5">
        <v>60</v>
      </c>
      <c r="E1527" s="5">
        <v>60</v>
      </c>
      <c r="F1527" t="s" s="2">
        <v>42</v>
      </c>
      <c r="G1527" t="s" s="2">
        <v>42</v>
      </c>
      <c r="H1527" s="5">
        <v>400</v>
      </c>
      <c r="I1527" t="s" s="2">
        <v>2068</v>
      </c>
      <c r="J1527" t="s" s="2">
        <v>22</v>
      </c>
      <c r="K1527" t="s" s="2">
        <v>2486</v>
      </c>
      <c r="L1527" t="s" s="2">
        <v>3031</v>
      </c>
      <c r="M1527" s="5">
        <v>874379.66</v>
      </c>
      <c r="N1527" s="5">
        <v>6117099.05</v>
      </c>
      <c r="O1527" t="s" s="2">
        <v>305</v>
      </c>
      <c r="P1527" t="s" s="2">
        <v>3040</v>
      </c>
      <c r="Q1527" t="s" s="2">
        <v>43</v>
      </c>
      <c r="R1527" s="5">
        <f>_xlfn.IFERROR(INDEX('model_byCAP'!$D$2:$D$377,MATCH(Q1527,'model_byCAP'!$A$2:$A$377,0)),0)</f>
        <v>0</v>
      </c>
    </row>
    <row r="1528" ht="15.35" customHeight="1">
      <c r="A1528" t="s" s="2">
        <v>3041</v>
      </c>
      <c r="B1528" s="4">
        <v>37594</v>
      </c>
      <c r="C1528" s="5">
        <v>1300</v>
      </c>
      <c r="D1528" s="5">
        <v>62</v>
      </c>
      <c r="E1528" s="5">
        <v>49</v>
      </c>
      <c r="F1528" t="s" s="2">
        <v>1989</v>
      </c>
      <c r="G1528" t="s" s="2">
        <v>3042</v>
      </c>
      <c r="H1528" s="5">
        <v>420</v>
      </c>
      <c r="I1528" t="s" s="2">
        <v>3043</v>
      </c>
      <c r="J1528" t="s" s="2">
        <v>22</v>
      </c>
      <c r="K1528" t="s" s="2">
        <v>3044</v>
      </c>
      <c r="L1528" t="s" s="2">
        <v>3045</v>
      </c>
      <c r="M1528" s="5">
        <v>557716.26</v>
      </c>
      <c r="N1528" s="5">
        <v>6123549.15</v>
      </c>
      <c r="O1528" t="s" s="2">
        <v>305</v>
      </c>
      <c r="P1528" s="5">
        <v>127470</v>
      </c>
      <c r="Q1528" t="s" s="2">
        <v>3046</v>
      </c>
      <c r="R1528" t="s" s="2">
        <f>_xlfn.IFERROR(INDEX('model_byCAP'!$D$2:$D$377,MATCH(Q1528,'model_byCAP'!$A$2:$A$377,0)),0)</f>
        <v>3047</v>
      </c>
    </row>
    <row r="1529" ht="15.35" customHeight="1">
      <c r="A1529" t="s" s="2">
        <v>3048</v>
      </c>
      <c r="B1529" s="4">
        <v>36586</v>
      </c>
      <c r="C1529" s="5">
        <v>1300</v>
      </c>
      <c r="D1529" s="5">
        <v>60</v>
      </c>
      <c r="E1529" s="5">
        <v>46</v>
      </c>
      <c r="F1529" t="s" s="2">
        <v>2328</v>
      </c>
      <c r="G1529" t="s" s="2">
        <v>3020</v>
      </c>
      <c r="H1529" s="5">
        <v>510</v>
      </c>
      <c r="I1529" t="s" s="2">
        <v>3049</v>
      </c>
      <c r="J1529" t="s" s="2">
        <v>22</v>
      </c>
      <c r="K1529" t="s" s="2">
        <v>3050</v>
      </c>
      <c r="L1529" s="5">
        <v>2</v>
      </c>
      <c r="M1529" s="5">
        <v>529290.74</v>
      </c>
      <c r="N1529" s="5">
        <v>6117041.95</v>
      </c>
      <c r="O1529" t="s" s="2">
        <v>305</v>
      </c>
      <c r="P1529" s="5">
        <v>200104</v>
      </c>
      <c r="Q1529" t="s" s="2">
        <v>3023</v>
      </c>
      <c r="R1529" t="s" s="2">
        <f>_xlfn.IFERROR(INDEX('model_byCAP'!$D$2:$D$377,MATCH(Q1529,'model_byCAP'!$A$2:$A$377,0)),0)</f>
        <v>3024</v>
      </c>
    </row>
    <row r="1530" ht="15.35" customHeight="1">
      <c r="A1530" t="s" s="2">
        <v>3051</v>
      </c>
      <c r="B1530" s="4">
        <v>36583</v>
      </c>
      <c r="C1530" s="5">
        <v>1300</v>
      </c>
      <c r="D1530" s="5">
        <v>60</v>
      </c>
      <c r="E1530" s="5">
        <v>46</v>
      </c>
      <c r="F1530" t="s" s="2">
        <v>2328</v>
      </c>
      <c r="G1530" t="s" s="2">
        <v>3020</v>
      </c>
      <c r="H1530" s="5">
        <v>510</v>
      </c>
      <c r="I1530" t="s" s="2">
        <v>3049</v>
      </c>
      <c r="J1530" t="s" s="2">
        <v>22</v>
      </c>
      <c r="K1530" t="s" s="2">
        <v>3050</v>
      </c>
      <c r="L1530" s="5">
        <v>2</v>
      </c>
      <c r="M1530" s="5">
        <v>529507.1899999999</v>
      </c>
      <c r="N1530" s="5">
        <v>6117301.49</v>
      </c>
      <c r="O1530" t="s" s="2">
        <v>305</v>
      </c>
      <c r="P1530" s="5">
        <v>200105</v>
      </c>
      <c r="Q1530" t="s" s="2">
        <v>3023</v>
      </c>
      <c r="R1530" t="s" s="2">
        <f>_xlfn.IFERROR(INDEX('model_byCAP'!$D$2:$D$377,MATCH(Q1530,'model_byCAP'!$A$2:$A$377,0)),0)</f>
        <v>3024</v>
      </c>
    </row>
    <row r="1531" ht="15.35" customHeight="1">
      <c r="A1531" t="s" s="2">
        <v>3052</v>
      </c>
      <c r="B1531" s="4">
        <v>37147</v>
      </c>
      <c r="C1531" s="5">
        <v>1300</v>
      </c>
      <c r="D1531" s="5">
        <v>60</v>
      </c>
      <c r="E1531" s="5">
        <v>50</v>
      </c>
      <c r="F1531" t="s" s="2">
        <v>2328</v>
      </c>
      <c r="G1531" t="s" s="2">
        <v>3020</v>
      </c>
      <c r="H1531" s="5">
        <v>530</v>
      </c>
      <c r="I1531" t="s" s="2">
        <v>1357</v>
      </c>
      <c r="J1531" t="s" s="2">
        <v>22</v>
      </c>
      <c r="K1531" t="s" s="2">
        <v>3053</v>
      </c>
      <c r="L1531" t="s" s="2">
        <v>548</v>
      </c>
      <c r="M1531" s="5">
        <v>499391.07</v>
      </c>
      <c r="N1531" s="5">
        <v>6185445.84</v>
      </c>
      <c r="O1531" t="s" s="2">
        <v>305</v>
      </c>
      <c r="P1531" s="5">
        <v>16094</v>
      </c>
      <c r="Q1531" t="s" s="2">
        <v>3023</v>
      </c>
      <c r="R1531" t="s" s="2">
        <f>_xlfn.IFERROR(INDEX('model_byCAP'!$D$2:$D$377,MATCH(Q1531,'model_byCAP'!$A$2:$A$377,0)),0)</f>
        <v>3024</v>
      </c>
    </row>
    <row r="1532" ht="15.35" customHeight="1">
      <c r="A1532" t="s" s="2">
        <v>3054</v>
      </c>
      <c r="B1532" s="4">
        <v>37152</v>
      </c>
      <c r="C1532" s="5">
        <v>1300</v>
      </c>
      <c r="D1532" s="5">
        <v>60</v>
      </c>
      <c r="E1532" s="5">
        <v>50</v>
      </c>
      <c r="F1532" t="s" s="2">
        <v>2328</v>
      </c>
      <c r="G1532" t="s" s="2">
        <v>3020</v>
      </c>
      <c r="H1532" s="5">
        <v>530</v>
      </c>
      <c r="I1532" t="s" s="2">
        <v>1357</v>
      </c>
      <c r="J1532" t="s" s="2">
        <v>22</v>
      </c>
      <c r="K1532" t="s" s="2">
        <v>3053</v>
      </c>
      <c r="L1532" t="s" s="2">
        <v>548</v>
      </c>
      <c r="M1532" s="5">
        <v>499472.6</v>
      </c>
      <c r="N1532" s="5">
        <v>6185628.73</v>
      </c>
      <c r="O1532" t="s" s="2">
        <v>305</v>
      </c>
      <c r="P1532" s="5">
        <v>16095</v>
      </c>
      <c r="Q1532" t="s" s="2">
        <v>3023</v>
      </c>
      <c r="R1532" t="s" s="2">
        <f>_xlfn.IFERROR(INDEX('model_byCAP'!$D$2:$D$377,MATCH(Q1532,'model_byCAP'!$A$2:$A$377,0)),0)</f>
        <v>3024</v>
      </c>
    </row>
    <row r="1533" ht="15.35" customHeight="1">
      <c r="A1533" t="s" s="2">
        <v>3055</v>
      </c>
      <c r="B1533" s="4">
        <v>37144</v>
      </c>
      <c r="C1533" s="5">
        <v>1300</v>
      </c>
      <c r="D1533" s="5">
        <v>60</v>
      </c>
      <c r="E1533" s="5">
        <v>50</v>
      </c>
      <c r="F1533" t="s" s="2">
        <v>2328</v>
      </c>
      <c r="G1533" t="s" s="2">
        <v>3020</v>
      </c>
      <c r="H1533" s="5">
        <v>530</v>
      </c>
      <c r="I1533" t="s" s="2">
        <v>1357</v>
      </c>
      <c r="J1533" t="s" s="2">
        <v>22</v>
      </c>
      <c r="K1533" t="s" s="2">
        <v>3056</v>
      </c>
      <c r="L1533" t="s" s="2">
        <v>1363</v>
      </c>
      <c r="M1533" s="5">
        <v>499655.45</v>
      </c>
      <c r="N1533" s="5">
        <v>6185546.65</v>
      </c>
      <c r="O1533" t="s" s="2">
        <v>305</v>
      </c>
      <c r="P1533" s="5">
        <v>16096</v>
      </c>
      <c r="Q1533" t="s" s="2">
        <v>3023</v>
      </c>
      <c r="R1533" t="s" s="2">
        <f>_xlfn.IFERROR(INDEX('model_byCAP'!$D$2:$D$377,MATCH(Q1533,'model_byCAP'!$A$2:$A$377,0)),0)</f>
        <v>3024</v>
      </c>
    </row>
    <row r="1534" ht="15.35" customHeight="1">
      <c r="A1534" t="s" s="2">
        <v>3057</v>
      </c>
      <c r="B1534" s="4">
        <v>37142</v>
      </c>
      <c r="C1534" s="5">
        <v>1300</v>
      </c>
      <c r="D1534" s="5">
        <v>60</v>
      </c>
      <c r="E1534" s="5">
        <v>50</v>
      </c>
      <c r="F1534" t="s" s="2">
        <v>2328</v>
      </c>
      <c r="G1534" t="s" s="2">
        <v>3020</v>
      </c>
      <c r="H1534" s="5">
        <v>530</v>
      </c>
      <c r="I1534" t="s" s="2">
        <v>1357</v>
      </c>
      <c r="J1534" t="s" s="2">
        <v>22</v>
      </c>
      <c r="K1534" t="s" s="2">
        <v>3056</v>
      </c>
      <c r="L1534" t="s" s="2">
        <v>1363</v>
      </c>
      <c r="M1534" s="5">
        <v>499736.88</v>
      </c>
      <c r="N1534" s="5">
        <v>6185729.43</v>
      </c>
      <c r="O1534" t="s" s="2">
        <v>305</v>
      </c>
      <c r="P1534" s="5">
        <v>16097</v>
      </c>
      <c r="Q1534" t="s" s="2">
        <v>3023</v>
      </c>
      <c r="R1534" t="s" s="2">
        <f>_xlfn.IFERROR(INDEX('model_byCAP'!$D$2:$D$377,MATCH(Q1534,'model_byCAP'!$A$2:$A$377,0)),0)</f>
        <v>3024</v>
      </c>
    </row>
    <row r="1535" ht="15.35" customHeight="1">
      <c r="A1535" t="s" s="2">
        <v>3058</v>
      </c>
      <c r="B1535" s="4">
        <v>37595</v>
      </c>
      <c r="C1535" s="5">
        <v>1300</v>
      </c>
      <c r="D1535" s="5">
        <v>60</v>
      </c>
      <c r="E1535" s="5">
        <v>50</v>
      </c>
      <c r="F1535" t="s" s="2">
        <v>2328</v>
      </c>
      <c r="G1535" t="s" s="2">
        <v>3020</v>
      </c>
      <c r="H1535" s="5">
        <v>530</v>
      </c>
      <c r="I1535" t="s" s="2">
        <v>1357</v>
      </c>
      <c r="J1535" t="s" s="2">
        <v>22</v>
      </c>
      <c r="K1535" t="s" s="2">
        <v>3053</v>
      </c>
      <c r="L1535" t="s" s="2">
        <v>548</v>
      </c>
      <c r="M1535" s="5">
        <v>499554.87</v>
      </c>
      <c r="N1535" s="5">
        <v>6185810.84</v>
      </c>
      <c r="O1535" t="s" s="2">
        <v>305</v>
      </c>
      <c r="P1535" s="5">
        <v>16098</v>
      </c>
      <c r="Q1535" t="s" s="2">
        <v>3023</v>
      </c>
      <c r="R1535" t="s" s="2">
        <f>_xlfn.IFERROR(INDEX('model_byCAP'!$D$2:$D$377,MATCH(Q1535,'model_byCAP'!$A$2:$A$377,0)),0)</f>
        <v>3024</v>
      </c>
    </row>
    <row r="1536" ht="15.35" customHeight="1">
      <c r="A1536" t="s" s="2">
        <v>3059</v>
      </c>
      <c r="B1536" s="4">
        <v>37034</v>
      </c>
      <c r="C1536" s="5">
        <v>1300</v>
      </c>
      <c r="D1536" s="5">
        <v>60</v>
      </c>
      <c r="E1536" s="5">
        <v>50</v>
      </c>
      <c r="F1536" t="s" s="2">
        <v>2328</v>
      </c>
      <c r="G1536" t="s" s="2">
        <v>3020</v>
      </c>
      <c r="H1536" s="5">
        <v>530</v>
      </c>
      <c r="I1536" t="s" s="2">
        <v>1357</v>
      </c>
      <c r="J1536" t="s" s="2">
        <v>22</v>
      </c>
      <c r="K1536" t="s" s="2">
        <v>3053</v>
      </c>
      <c r="L1536" t="s" s="2">
        <v>3060</v>
      </c>
      <c r="M1536" s="5">
        <v>499573.81</v>
      </c>
      <c r="N1536" s="5">
        <v>6185364.11</v>
      </c>
      <c r="O1536" t="s" s="2">
        <v>305</v>
      </c>
      <c r="P1536" s="5">
        <v>16099</v>
      </c>
      <c r="Q1536" t="s" s="2">
        <v>3023</v>
      </c>
      <c r="R1536" t="s" s="2">
        <f>_xlfn.IFERROR(INDEX('model_byCAP'!$D$2:$D$377,MATCH(Q1536,'model_byCAP'!$A$2:$A$377,0)),0)</f>
        <v>3024</v>
      </c>
    </row>
    <row r="1537" ht="15.35" customHeight="1">
      <c r="A1537" t="s" s="2">
        <v>3061</v>
      </c>
      <c r="B1537" s="4">
        <v>36936</v>
      </c>
      <c r="C1537" s="5">
        <v>1300</v>
      </c>
      <c r="D1537" s="5">
        <v>60</v>
      </c>
      <c r="E1537" s="5">
        <v>46</v>
      </c>
      <c r="F1537" t="s" s="2">
        <v>2328</v>
      </c>
      <c r="G1537" t="s" s="2">
        <v>3020</v>
      </c>
      <c r="H1537" s="5">
        <v>530</v>
      </c>
      <c r="I1537" t="s" s="2">
        <v>1357</v>
      </c>
      <c r="J1537" t="s" s="2">
        <v>22</v>
      </c>
      <c r="K1537" t="s" s="2">
        <v>3062</v>
      </c>
      <c r="L1537" t="s" s="2">
        <v>3063</v>
      </c>
      <c r="M1537" s="5">
        <v>487562.92</v>
      </c>
      <c r="N1537" s="5">
        <v>6184643.09</v>
      </c>
      <c r="O1537" t="s" s="2">
        <v>305</v>
      </c>
      <c r="P1537" s="5">
        <v>140567</v>
      </c>
      <c r="Q1537" t="s" s="2">
        <v>3023</v>
      </c>
      <c r="R1537" t="s" s="2">
        <f>_xlfn.IFERROR(INDEX('model_byCAP'!$D$2:$D$377,MATCH(Q1537,'model_byCAP'!$A$2:$A$377,0)),0)</f>
        <v>3024</v>
      </c>
    </row>
    <row r="1538" ht="15.35" customHeight="1">
      <c r="A1538" t="s" s="2">
        <v>3064</v>
      </c>
      <c r="B1538" s="4">
        <v>36937</v>
      </c>
      <c r="C1538" s="5">
        <v>1300</v>
      </c>
      <c r="D1538" s="5">
        <v>60</v>
      </c>
      <c r="E1538" s="5">
        <v>46</v>
      </c>
      <c r="F1538" t="s" s="2">
        <v>2328</v>
      </c>
      <c r="G1538" t="s" s="2">
        <v>3020</v>
      </c>
      <c r="H1538" s="5">
        <v>530</v>
      </c>
      <c r="I1538" t="s" s="2">
        <v>1357</v>
      </c>
      <c r="J1538" t="s" s="2">
        <v>22</v>
      </c>
      <c r="K1538" t="s" s="2">
        <v>3062</v>
      </c>
      <c r="L1538" t="s" s="2">
        <v>1153</v>
      </c>
      <c r="M1538" s="5">
        <v>488228.02</v>
      </c>
      <c r="N1538" s="5">
        <v>6184859.7</v>
      </c>
      <c r="O1538" t="s" s="2">
        <v>305</v>
      </c>
      <c r="P1538" s="5">
        <v>141054</v>
      </c>
      <c r="Q1538" t="s" s="2">
        <v>3023</v>
      </c>
      <c r="R1538" t="s" s="2">
        <f>_xlfn.IFERROR(INDEX('model_byCAP'!$D$2:$D$377,MATCH(Q1538,'model_byCAP'!$A$2:$A$377,0)),0)</f>
        <v>3024</v>
      </c>
    </row>
    <row r="1539" ht="15.35" customHeight="1">
      <c r="A1539" t="s" s="2">
        <v>3065</v>
      </c>
      <c r="B1539" s="4">
        <v>37111</v>
      </c>
      <c r="C1539" s="5">
        <v>1300</v>
      </c>
      <c r="D1539" s="5">
        <v>60</v>
      </c>
      <c r="E1539" s="5">
        <v>46</v>
      </c>
      <c r="F1539" t="s" s="2">
        <v>2328</v>
      </c>
      <c r="G1539" t="s" s="2">
        <v>3020</v>
      </c>
      <c r="H1539" s="5">
        <v>530</v>
      </c>
      <c r="I1539" t="s" s="2">
        <v>1357</v>
      </c>
      <c r="J1539" t="s" s="2">
        <v>22</v>
      </c>
      <c r="K1539" t="s" s="2">
        <v>3062</v>
      </c>
      <c r="L1539" t="s" s="2">
        <v>1053</v>
      </c>
      <c r="M1539" s="5">
        <v>487896.25</v>
      </c>
      <c r="N1539" s="5">
        <v>6184751.09</v>
      </c>
      <c r="O1539" t="s" s="2">
        <v>305</v>
      </c>
      <c r="P1539" s="5">
        <v>141055</v>
      </c>
      <c r="Q1539" t="s" s="2">
        <v>3023</v>
      </c>
      <c r="R1539" t="s" s="2">
        <f>_xlfn.IFERROR(INDEX('model_byCAP'!$D$2:$D$377,MATCH(Q1539,'model_byCAP'!$A$2:$A$377,0)),0)</f>
        <v>3024</v>
      </c>
    </row>
    <row r="1540" ht="15.35" customHeight="1">
      <c r="A1540" t="s" s="2">
        <v>3066</v>
      </c>
      <c r="B1540" s="4">
        <v>36937</v>
      </c>
      <c r="C1540" s="5">
        <v>1300</v>
      </c>
      <c r="D1540" s="5">
        <v>60</v>
      </c>
      <c r="E1540" s="5">
        <v>46</v>
      </c>
      <c r="F1540" t="s" s="2">
        <v>2328</v>
      </c>
      <c r="G1540" t="s" s="2">
        <v>3020</v>
      </c>
      <c r="H1540" s="5">
        <v>530</v>
      </c>
      <c r="I1540" t="s" s="2">
        <v>1357</v>
      </c>
      <c r="J1540" t="s" s="2">
        <v>22</v>
      </c>
      <c r="K1540" t="s" s="2">
        <v>3062</v>
      </c>
      <c r="L1540" t="s" s="2">
        <v>390</v>
      </c>
      <c r="M1540" s="5">
        <v>488215.8</v>
      </c>
      <c r="N1540" s="5">
        <v>6185059.56</v>
      </c>
      <c r="O1540" t="s" s="2">
        <v>305</v>
      </c>
      <c r="P1540" s="5">
        <v>141056</v>
      </c>
      <c r="Q1540" t="s" s="2">
        <v>3023</v>
      </c>
      <c r="R1540" t="s" s="2">
        <f>_xlfn.IFERROR(INDEX('model_byCAP'!$D$2:$D$377,MATCH(Q1540,'model_byCAP'!$A$2:$A$377,0)),0)</f>
        <v>3024</v>
      </c>
    </row>
    <row r="1541" ht="15.35" customHeight="1">
      <c r="A1541" t="s" s="2">
        <v>3067</v>
      </c>
      <c r="B1541" s="4">
        <v>37140</v>
      </c>
      <c r="C1541" s="5">
        <v>1300</v>
      </c>
      <c r="D1541" s="5">
        <v>60</v>
      </c>
      <c r="E1541" s="5">
        <v>46</v>
      </c>
      <c r="F1541" t="s" s="2">
        <v>2328</v>
      </c>
      <c r="G1541" t="s" s="2">
        <v>3020</v>
      </c>
      <c r="H1541" s="5">
        <v>530</v>
      </c>
      <c r="I1541" t="s" s="2">
        <v>1357</v>
      </c>
      <c r="J1541" t="s" s="2">
        <v>22</v>
      </c>
      <c r="K1541" t="s" s="2">
        <v>3062</v>
      </c>
      <c r="L1541" t="s" s="2">
        <v>390</v>
      </c>
      <c r="M1541" s="5">
        <v>487882.91</v>
      </c>
      <c r="N1541" s="5">
        <v>6184951.07</v>
      </c>
      <c r="O1541" t="s" s="2">
        <v>305</v>
      </c>
      <c r="P1541" s="5">
        <v>141057</v>
      </c>
      <c r="Q1541" t="s" s="2">
        <v>3023</v>
      </c>
      <c r="R1541" t="s" s="2">
        <f>_xlfn.IFERROR(INDEX('model_byCAP'!$D$2:$D$377,MATCH(Q1541,'model_byCAP'!$A$2:$A$377,0)),0)</f>
        <v>3024</v>
      </c>
    </row>
    <row r="1542" ht="15.35" customHeight="1">
      <c r="A1542" t="s" s="2">
        <v>3068</v>
      </c>
      <c r="B1542" s="4">
        <v>37028</v>
      </c>
      <c r="C1542" s="5">
        <v>1300</v>
      </c>
      <c r="D1542" s="5">
        <v>60</v>
      </c>
      <c r="E1542" s="5">
        <v>46</v>
      </c>
      <c r="F1542" t="s" s="2">
        <v>2328</v>
      </c>
      <c r="G1542" t="s" s="2">
        <v>3020</v>
      </c>
      <c r="H1542" s="5">
        <v>530</v>
      </c>
      <c r="I1542" t="s" s="2">
        <v>1357</v>
      </c>
      <c r="J1542" t="s" s="2">
        <v>22</v>
      </c>
      <c r="K1542" t="s" s="2">
        <v>3062</v>
      </c>
      <c r="L1542" t="s" s="2">
        <v>390</v>
      </c>
      <c r="M1542" s="5">
        <v>488203.08</v>
      </c>
      <c r="N1542" s="5">
        <v>6185259.18</v>
      </c>
      <c r="O1542" t="s" s="2">
        <v>305</v>
      </c>
      <c r="P1542" s="5">
        <v>141058</v>
      </c>
      <c r="Q1542" t="s" s="2">
        <v>3023</v>
      </c>
      <c r="R1542" t="s" s="2">
        <f>_xlfn.IFERROR(INDEX('model_byCAP'!$D$2:$D$377,MATCH(Q1542,'model_byCAP'!$A$2:$A$377,0)),0)</f>
        <v>3024</v>
      </c>
    </row>
    <row r="1543" ht="15.35" customHeight="1">
      <c r="A1543" t="s" s="2">
        <v>3069</v>
      </c>
      <c r="B1543" s="4">
        <v>37117</v>
      </c>
      <c r="C1543" s="5">
        <v>1300</v>
      </c>
      <c r="D1543" s="5">
        <v>60</v>
      </c>
      <c r="E1543" s="5">
        <v>46</v>
      </c>
      <c r="F1543" t="s" s="2">
        <v>2328</v>
      </c>
      <c r="G1543" t="s" s="2">
        <v>3020</v>
      </c>
      <c r="H1543" s="5">
        <v>530</v>
      </c>
      <c r="I1543" t="s" s="2">
        <v>1357</v>
      </c>
      <c r="J1543" t="s" s="2">
        <v>22</v>
      </c>
      <c r="K1543" t="s" s="2">
        <v>3062</v>
      </c>
      <c r="L1543" t="s" s="2">
        <v>1053</v>
      </c>
      <c r="M1543" s="5">
        <v>487870.37</v>
      </c>
      <c r="N1543" s="5">
        <v>6185151.17</v>
      </c>
      <c r="O1543" t="s" s="2">
        <v>305</v>
      </c>
      <c r="P1543" s="5">
        <v>141059</v>
      </c>
      <c r="Q1543" t="s" s="2">
        <v>3023</v>
      </c>
      <c r="R1543" t="s" s="2">
        <f>_xlfn.IFERROR(INDEX('model_byCAP'!$D$2:$D$377,MATCH(Q1543,'model_byCAP'!$A$2:$A$377,0)),0)</f>
        <v>3024</v>
      </c>
    </row>
    <row r="1544" ht="15.35" customHeight="1">
      <c r="A1544" t="s" s="2">
        <v>3070</v>
      </c>
      <c r="B1544" s="4">
        <v>37049</v>
      </c>
      <c r="C1544" s="5">
        <v>1300</v>
      </c>
      <c r="D1544" s="5">
        <v>60</v>
      </c>
      <c r="E1544" s="5">
        <v>46</v>
      </c>
      <c r="F1544" t="s" s="2">
        <v>2328</v>
      </c>
      <c r="G1544" t="s" s="2">
        <v>3020</v>
      </c>
      <c r="H1544" s="5">
        <v>530</v>
      </c>
      <c r="I1544" t="s" s="2">
        <v>1357</v>
      </c>
      <c r="J1544" t="s" s="2">
        <v>22</v>
      </c>
      <c r="K1544" t="s" s="2">
        <v>3062</v>
      </c>
      <c r="L1544" t="s" s="2">
        <v>3063</v>
      </c>
      <c r="M1544" s="5">
        <v>487550.73</v>
      </c>
      <c r="N1544" s="5">
        <v>6184842.44</v>
      </c>
      <c r="O1544" t="s" s="2">
        <v>305</v>
      </c>
      <c r="P1544" s="5">
        <v>141089</v>
      </c>
      <c r="Q1544" t="s" s="2">
        <v>3023</v>
      </c>
      <c r="R1544" t="s" s="2">
        <f>_xlfn.IFERROR(INDEX('model_byCAP'!$D$2:$D$377,MATCH(Q1544,'model_byCAP'!$A$2:$A$377,0)),0)</f>
        <v>3024</v>
      </c>
    </row>
    <row r="1545" ht="15.35" customHeight="1">
      <c r="A1545" t="s" s="2">
        <v>3071</v>
      </c>
      <c r="B1545" s="4">
        <v>37049</v>
      </c>
      <c r="C1545" s="5">
        <v>1300</v>
      </c>
      <c r="D1545" s="5">
        <v>60</v>
      </c>
      <c r="E1545" s="5">
        <v>46</v>
      </c>
      <c r="F1545" t="s" s="2">
        <v>2328</v>
      </c>
      <c r="G1545" t="s" s="2">
        <v>3020</v>
      </c>
      <c r="H1545" s="5">
        <v>530</v>
      </c>
      <c r="I1545" t="s" s="2">
        <v>1357</v>
      </c>
      <c r="J1545" t="s" s="2">
        <v>22</v>
      </c>
      <c r="K1545" t="s" s="2">
        <v>3062</v>
      </c>
      <c r="L1545" t="s" s="2">
        <v>3063</v>
      </c>
      <c r="M1545" s="5">
        <v>487537.42</v>
      </c>
      <c r="N1545" s="5">
        <v>6185041.91</v>
      </c>
      <c r="O1545" t="s" s="2">
        <v>305</v>
      </c>
      <c r="P1545" s="5">
        <v>141090</v>
      </c>
      <c r="Q1545" t="s" s="2">
        <v>3023</v>
      </c>
      <c r="R1545" t="s" s="2">
        <f>_xlfn.IFERROR(INDEX('model_byCAP'!$D$2:$D$377,MATCH(Q1545,'model_byCAP'!$A$2:$A$377,0)),0)</f>
        <v>3024</v>
      </c>
    </row>
    <row r="1546" ht="15.35" customHeight="1">
      <c r="A1546" t="s" s="2">
        <v>3072</v>
      </c>
      <c r="B1546" s="4">
        <v>36742</v>
      </c>
      <c r="C1546" s="5">
        <v>1300</v>
      </c>
      <c r="D1546" s="5">
        <v>62</v>
      </c>
      <c r="E1546" s="5">
        <v>49</v>
      </c>
      <c r="F1546" t="s" s="2">
        <v>1989</v>
      </c>
      <c r="G1546" t="s" s="2">
        <v>3042</v>
      </c>
      <c r="H1546" s="5">
        <v>530</v>
      </c>
      <c r="I1546" t="s" s="2">
        <v>1357</v>
      </c>
      <c r="J1546" t="s" s="2">
        <v>22</v>
      </c>
      <c r="K1546" t="s" s="2">
        <v>3073</v>
      </c>
      <c r="L1546" t="s" s="2">
        <v>2931</v>
      </c>
      <c r="M1546" s="5">
        <v>499948.02</v>
      </c>
      <c r="N1546" s="5">
        <v>6178709.47</v>
      </c>
      <c r="O1546" t="s" s="2">
        <v>305</v>
      </c>
      <c r="P1546" s="5">
        <v>62021</v>
      </c>
      <c r="Q1546" t="s" s="2">
        <v>3046</v>
      </c>
      <c r="R1546" t="s" s="2">
        <f>_xlfn.IFERROR(INDEX('model_byCAP'!$D$2:$D$377,MATCH(Q1546,'model_byCAP'!$A$2:$A$377,0)),0)</f>
        <v>3047</v>
      </c>
    </row>
    <row r="1547" ht="15.35" customHeight="1">
      <c r="A1547" t="s" s="2">
        <v>3074</v>
      </c>
      <c r="B1547" s="4">
        <v>36742</v>
      </c>
      <c r="C1547" s="5">
        <v>1300</v>
      </c>
      <c r="D1547" s="5">
        <v>62</v>
      </c>
      <c r="E1547" s="5">
        <v>49</v>
      </c>
      <c r="F1547" t="s" s="2">
        <v>1989</v>
      </c>
      <c r="G1547" t="s" s="2">
        <v>3042</v>
      </c>
      <c r="H1547" s="5">
        <v>530</v>
      </c>
      <c r="I1547" t="s" s="2">
        <v>1357</v>
      </c>
      <c r="J1547" t="s" s="2">
        <v>22</v>
      </c>
      <c r="K1547" t="s" s="2">
        <v>3073</v>
      </c>
      <c r="L1547" t="s" s="2">
        <v>2348</v>
      </c>
      <c r="M1547" s="5">
        <v>499900.71</v>
      </c>
      <c r="N1547" s="5">
        <v>6179036.83</v>
      </c>
      <c r="O1547" t="s" s="2">
        <v>305</v>
      </c>
      <c r="P1547" s="5">
        <v>62023</v>
      </c>
      <c r="Q1547" t="s" s="2">
        <v>3046</v>
      </c>
      <c r="R1547" t="s" s="2">
        <f>_xlfn.IFERROR(INDEX('model_byCAP'!$D$2:$D$377,MATCH(Q1547,'model_byCAP'!$A$2:$A$377,0)),0)</f>
        <v>3047</v>
      </c>
    </row>
    <row r="1548" ht="15.35" customHeight="1">
      <c r="A1548" t="s" s="2">
        <v>3075</v>
      </c>
      <c r="B1548" s="4">
        <v>37600</v>
      </c>
      <c r="C1548" s="5">
        <v>1300</v>
      </c>
      <c r="D1548" s="5">
        <v>62</v>
      </c>
      <c r="E1548" s="5">
        <v>49</v>
      </c>
      <c r="F1548" t="s" s="2">
        <v>1989</v>
      </c>
      <c r="G1548" t="s" s="2">
        <v>3076</v>
      </c>
      <c r="H1548" s="5">
        <v>530</v>
      </c>
      <c r="I1548" t="s" s="2">
        <v>1357</v>
      </c>
      <c r="J1548" t="s" s="2">
        <v>22</v>
      </c>
      <c r="K1548" t="s" s="2">
        <v>3077</v>
      </c>
      <c r="L1548" t="s" s="2">
        <v>3078</v>
      </c>
      <c r="M1548" s="5">
        <v>489823.89</v>
      </c>
      <c r="N1548" s="5">
        <v>6170558.69</v>
      </c>
      <c r="O1548" t="s" s="2">
        <v>305</v>
      </c>
      <c r="P1548" s="5">
        <v>344227018</v>
      </c>
      <c r="Q1548" t="s" s="2">
        <v>3079</v>
      </c>
      <c r="R1548" t="s" s="2">
        <f>_xlfn.IFERROR(INDEX('model_byCAP'!$D$2:$D$377,MATCH(Q1548,'model_byCAP'!$A$2:$A$377,0)),0)</f>
        <v>3047</v>
      </c>
    </row>
    <row r="1549" ht="15.35" customHeight="1">
      <c r="A1549" t="s" s="2">
        <v>3080</v>
      </c>
      <c r="B1549" s="4">
        <v>37600</v>
      </c>
      <c r="C1549" s="5">
        <v>1300</v>
      </c>
      <c r="D1549" s="5">
        <v>62</v>
      </c>
      <c r="E1549" s="5">
        <v>49</v>
      </c>
      <c r="F1549" t="s" s="2">
        <v>1989</v>
      </c>
      <c r="G1549" t="s" s="2">
        <v>3076</v>
      </c>
      <c r="H1549" s="5">
        <v>530</v>
      </c>
      <c r="I1549" t="s" s="2">
        <v>1357</v>
      </c>
      <c r="J1549" t="s" s="2">
        <v>22</v>
      </c>
      <c r="K1549" t="s" s="2">
        <v>3077</v>
      </c>
      <c r="L1549" t="s" s="2">
        <v>3081</v>
      </c>
      <c r="M1549" s="5">
        <v>489780.93</v>
      </c>
      <c r="N1549" s="5">
        <v>6170392.61</v>
      </c>
      <c r="O1549" t="s" s="2">
        <v>305</v>
      </c>
      <c r="P1549" s="5">
        <v>344227019</v>
      </c>
      <c r="Q1549" t="s" s="2">
        <v>3079</v>
      </c>
      <c r="R1549" t="s" s="2">
        <f>_xlfn.IFERROR(INDEX('model_byCAP'!$D$2:$D$377,MATCH(Q1549,'model_byCAP'!$A$2:$A$377,0)),0)</f>
        <v>3047</v>
      </c>
    </row>
    <row r="1550" ht="15.35" customHeight="1">
      <c r="A1550" t="s" s="2">
        <v>3082</v>
      </c>
      <c r="B1550" s="4">
        <v>36480</v>
      </c>
      <c r="C1550" s="5">
        <v>1300</v>
      </c>
      <c r="D1550" s="5">
        <v>60</v>
      </c>
      <c r="E1550" s="5">
        <v>46</v>
      </c>
      <c r="F1550" t="s" s="2">
        <v>2328</v>
      </c>
      <c r="G1550" t="s" s="2">
        <v>3020</v>
      </c>
      <c r="H1550" s="5">
        <v>550</v>
      </c>
      <c r="I1550" t="s" s="2">
        <v>526</v>
      </c>
      <c r="J1550" t="s" s="2">
        <v>22</v>
      </c>
      <c r="K1550" t="s" s="2">
        <v>3083</v>
      </c>
      <c r="L1550" s="5">
        <v>4</v>
      </c>
      <c r="M1550" s="5">
        <v>501219.1</v>
      </c>
      <c r="N1550" s="5">
        <v>6107762.55</v>
      </c>
      <c r="O1550" t="s" s="2">
        <v>305</v>
      </c>
      <c r="P1550" s="5">
        <v>44196565</v>
      </c>
      <c r="Q1550" t="s" s="2">
        <v>3023</v>
      </c>
      <c r="R1550" t="s" s="2">
        <f>_xlfn.IFERROR(INDEX('model_byCAP'!$D$2:$D$377,MATCH(Q1550,'model_byCAP'!$A$2:$A$377,0)),0)</f>
        <v>3024</v>
      </c>
    </row>
    <row r="1551" ht="15.35" customHeight="1">
      <c r="A1551" t="s" s="2">
        <v>3084</v>
      </c>
      <c r="B1551" s="4">
        <v>36739</v>
      </c>
      <c r="C1551" s="5">
        <v>1300</v>
      </c>
      <c r="D1551" s="5">
        <v>60</v>
      </c>
      <c r="E1551" s="5">
        <v>46</v>
      </c>
      <c r="F1551" t="s" s="2">
        <v>2328</v>
      </c>
      <c r="G1551" t="s" s="2">
        <v>3020</v>
      </c>
      <c r="H1551" s="5">
        <v>550</v>
      </c>
      <c r="I1551" t="s" s="2">
        <v>526</v>
      </c>
      <c r="J1551" t="s" s="2">
        <v>22</v>
      </c>
      <c r="K1551" t="s" s="2">
        <v>3083</v>
      </c>
      <c r="L1551" s="5">
        <v>97</v>
      </c>
      <c r="M1551" s="5">
        <v>501234.83</v>
      </c>
      <c r="N1551" s="5">
        <v>6108035.94</v>
      </c>
      <c r="O1551" t="s" s="2">
        <v>305</v>
      </c>
      <c r="P1551" s="5">
        <v>44196566</v>
      </c>
      <c r="Q1551" t="s" s="2">
        <v>3023</v>
      </c>
      <c r="R1551" t="s" s="2">
        <f>_xlfn.IFERROR(INDEX('model_byCAP'!$D$2:$D$377,MATCH(Q1551,'model_byCAP'!$A$2:$A$377,0)),0)</f>
        <v>3024</v>
      </c>
    </row>
    <row r="1552" ht="15.35" customHeight="1">
      <c r="A1552" t="s" s="2">
        <v>3085</v>
      </c>
      <c r="B1552" s="4">
        <v>36739</v>
      </c>
      <c r="C1552" s="5">
        <v>1300</v>
      </c>
      <c r="D1552" s="5">
        <v>60</v>
      </c>
      <c r="E1552" s="5">
        <v>46</v>
      </c>
      <c r="F1552" t="s" s="2">
        <v>2328</v>
      </c>
      <c r="G1552" t="s" s="2">
        <v>3020</v>
      </c>
      <c r="H1552" s="5">
        <v>550</v>
      </c>
      <c r="I1552" t="s" s="2">
        <v>526</v>
      </c>
      <c r="J1552" t="s" s="2">
        <v>22</v>
      </c>
      <c r="K1552" t="s" s="2">
        <v>3086</v>
      </c>
      <c r="L1552" s="5">
        <v>89</v>
      </c>
      <c r="M1552" s="5">
        <v>501444.05</v>
      </c>
      <c r="N1552" s="5">
        <v>6108151.85</v>
      </c>
      <c r="O1552" t="s" s="2">
        <v>305</v>
      </c>
      <c r="P1552" s="5">
        <v>44196567</v>
      </c>
      <c r="Q1552" t="s" s="2">
        <v>3023</v>
      </c>
      <c r="R1552" t="s" s="2">
        <f>_xlfn.IFERROR(INDEX('model_byCAP'!$D$2:$D$377,MATCH(Q1552,'model_byCAP'!$A$2:$A$377,0)),0)</f>
        <v>3024</v>
      </c>
    </row>
    <row r="1553" ht="15.35" customHeight="1">
      <c r="A1553" t="s" s="2">
        <v>3087</v>
      </c>
      <c r="B1553" s="4">
        <v>36739</v>
      </c>
      <c r="C1553" s="5">
        <v>1300</v>
      </c>
      <c r="D1553" s="5">
        <v>0.1</v>
      </c>
      <c r="E1553" s="5">
        <v>0.1</v>
      </c>
      <c r="F1553" t="s" s="2">
        <v>42</v>
      </c>
      <c r="G1553" t="s" s="2">
        <v>42</v>
      </c>
      <c r="H1553" s="5">
        <v>550</v>
      </c>
      <c r="I1553" t="s" s="2">
        <v>526</v>
      </c>
      <c r="J1553" t="s" s="2">
        <v>22</v>
      </c>
      <c r="K1553" t="s" s="2">
        <v>3083</v>
      </c>
      <c r="L1553" s="5">
        <v>496</v>
      </c>
      <c r="M1553" s="5">
        <v>501428.33</v>
      </c>
      <c r="N1553" s="5">
        <v>6107865.53</v>
      </c>
      <c r="O1553" t="s" s="2">
        <v>305</v>
      </c>
      <c r="P1553" s="5">
        <v>44196568</v>
      </c>
      <c r="Q1553" t="s" s="2">
        <v>43</v>
      </c>
      <c r="R1553" s="5">
        <f>_xlfn.IFERROR(INDEX('model_byCAP'!$D$2:$D$377,MATCH(Q1553,'model_byCAP'!$A$2:$A$377,0)),0)</f>
        <v>0</v>
      </c>
    </row>
    <row r="1554" ht="15.35" customHeight="1">
      <c r="A1554" t="s" s="2">
        <v>3088</v>
      </c>
      <c r="B1554" s="4">
        <v>36739</v>
      </c>
      <c r="C1554" s="5">
        <v>1300</v>
      </c>
      <c r="D1554" s="5">
        <v>60</v>
      </c>
      <c r="E1554" s="5">
        <v>46</v>
      </c>
      <c r="F1554" t="s" s="2">
        <v>2328</v>
      </c>
      <c r="G1554" t="s" s="2">
        <v>3020</v>
      </c>
      <c r="H1554" s="5">
        <v>550</v>
      </c>
      <c r="I1554" t="s" s="2">
        <v>526</v>
      </c>
      <c r="J1554" t="s" s="2">
        <v>22</v>
      </c>
      <c r="K1554" t="s" s="2">
        <v>3083</v>
      </c>
      <c r="L1554" s="5">
        <v>5</v>
      </c>
      <c r="M1554" s="5">
        <v>501638.56</v>
      </c>
      <c r="N1554" s="5">
        <v>6107968.46</v>
      </c>
      <c r="O1554" t="s" s="2">
        <v>305</v>
      </c>
      <c r="P1554" s="5">
        <v>44196569</v>
      </c>
      <c r="Q1554" t="s" s="2">
        <v>3023</v>
      </c>
      <c r="R1554" t="s" s="2">
        <f>_xlfn.IFERROR(INDEX('model_byCAP'!$D$2:$D$377,MATCH(Q1554,'model_byCAP'!$A$2:$A$377,0)),0)</f>
        <v>3024</v>
      </c>
    </row>
    <row r="1555" ht="15.35" customHeight="1">
      <c r="A1555" t="s" s="2">
        <v>3089</v>
      </c>
      <c r="B1555" s="4">
        <v>36291</v>
      </c>
      <c r="C1555" s="5">
        <v>1300</v>
      </c>
      <c r="D1555" s="5">
        <v>60</v>
      </c>
      <c r="E1555" s="5">
        <v>46</v>
      </c>
      <c r="F1555" t="s" s="2">
        <v>2328</v>
      </c>
      <c r="G1555" t="s" s="2">
        <v>3020</v>
      </c>
      <c r="H1555" s="5">
        <v>550</v>
      </c>
      <c r="I1555" t="s" s="2">
        <v>526</v>
      </c>
      <c r="J1555" t="s" s="2">
        <v>22</v>
      </c>
      <c r="K1555" t="s" s="2">
        <v>3090</v>
      </c>
      <c r="L1555" s="5">
        <v>1288</v>
      </c>
      <c r="M1555" s="5">
        <v>500663.53</v>
      </c>
      <c r="N1555" s="5">
        <v>6102238.76</v>
      </c>
      <c r="O1555" t="s" s="2">
        <v>305</v>
      </c>
      <c r="P1555" s="5">
        <v>90411</v>
      </c>
      <c r="Q1555" t="s" s="2">
        <v>3023</v>
      </c>
      <c r="R1555" t="s" s="2">
        <f>_xlfn.IFERROR(INDEX('model_byCAP'!$D$2:$D$377,MATCH(Q1555,'model_byCAP'!$A$2:$A$377,0)),0)</f>
        <v>3024</v>
      </c>
    </row>
    <row r="1556" ht="15.35" customHeight="1">
      <c r="A1556" t="s" s="2">
        <v>3091</v>
      </c>
      <c r="B1556" s="4">
        <v>36320</v>
      </c>
      <c r="C1556" s="5">
        <v>1300</v>
      </c>
      <c r="D1556" s="5">
        <v>60</v>
      </c>
      <c r="E1556" s="5">
        <v>46</v>
      </c>
      <c r="F1556" t="s" s="2">
        <v>2328</v>
      </c>
      <c r="G1556" t="s" s="2">
        <v>3092</v>
      </c>
      <c r="H1556" s="5">
        <v>550</v>
      </c>
      <c r="I1556" t="s" s="2">
        <v>526</v>
      </c>
      <c r="J1556" t="s" s="2">
        <v>22</v>
      </c>
      <c r="K1556" t="s" s="2">
        <v>3093</v>
      </c>
      <c r="L1556" s="5">
        <v>95</v>
      </c>
      <c r="M1556" s="5">
        <v>508837.96</v>
      </c>
      <c r="N1556" s="5">
        <v>6116163.55</v>
      </c>
      <c r="O1556" t="s" s="2">
        <v>305</v>
      </c>
      <c r="P1556" s="5">
        <v>90617</v>
      </c>
      <c r="Q1556" t="s" s="2">
        <v>3094</v>
      </c>
      <c r="R1556" t="s" s="2">
        <f>_xlfn.IFERROR(INDEX('model_byCAP'!$D$2:$D$377,MATCH(Q1556,'model_byCAP'!$A$2:$A$377,0)),0)</f>
        <v>3024</v>
      </c>
    </row>
    <row r="1557" ht="15.35" customHeight="1">
      <c r="A1557" t="s" s="2">
        <v>3095</v>
      </c>
      <c r="B1557" s="4">
        <v>36241</v>
      </c>
      <c r="C1557" s="5">
        <v>1300</v>
      </c>
      <c r="D1557" s="5">
        <v>60</v>
      </c>
      <c r="E1557" s="5">
        <v>46</v>
      </c>
      <c r="F1557" t="s" s="2">
        <v>2328</v>
      </c>
      <c r="G1557" t="s" s="2">
        <v>3020</v>
      </c>
      <c r="H1557" s="5">
        <v>550</v>
      </c>
      <c r="I1557" t="s" s="2">
        <v>526</v>
      </c>
      <c r="J1557" t="s" s="2">
        <v>22</v>
      </c>
      <c r="K1557" t="s" s="2">
        <v>3096</v>
      </c>
      <c r="L1557" s="5">
        <v>7</v>
      </c>
      <c r="M1557" s="5">
        <v>508508.88</v>
      </c>
      <c r="N1557" s="5">
        <v>6116280.37</v>
      </c>
      <c r="O1557" t="s" s="2">
        <v>305</v>
      </c>
      <c r="P1557" s="5">
        <v>90618</v>
      </c>
      <c r="Q1557" t="s" s="2">
        <v>3023</v>
      </c>
      <c r="R1557" t="s" s="2">
        <f>_xlfn.IFERROR(INDEX('model_byCAP'!$D$2:$D$377,MATCH(Q1557,'model_byCAP'!$A$2:$A$377,0)),0)</f>
        <v>3024</v>
      </c>
    </row>
    <row r="1558" ht="15.35" customHeight="1">
      <c r="A1558" t="s" s="2">
        <v>3097</v>
      </c>
      <c r="B1558" s="4">
        <v>36241</v>
      </c>
      <c r="C1558" s="5">
        <v>1300</v>
      </c>
      <c r="D1558" s="5">
        <v>60</v>
      </c>
      <c r="E1558" s="5">
        <v>46</v>
      </c>
      <c r="F1558" t="s" s="2">
        <v>2328</v>
      </c>
      <c r="G1558" t="s" s="2">
        <v>3020</v>
      </c>
      <c r="H1558" s="5">
        <v>550</v>
      </c>
      <c r="I1558" t="s" s="2">
        <v>526</v>
      </c>
      <c r="J1558" t="s" s="2">
        <v>22</v>
      </c>
      <c r="K1558" t="s" s="2">
        <v>3098</v>
      </c>
      <c r="L1558" s="5">
        <v>1</v>
      </c>
      <c r="M1558" s="5">
        <v>508163.47</v>
      </c>
      <c r="N1558" s="5">
        <v>6116402.35</v>
      </c>
      <c r="O1558" t="s" s="2">
        <v>305</v>
      </c>
      <c r="P1558" s="5">
        <v>90619</v>
      </c>
      <c r="Q1558" t="s" s="2">
        <v>3023</v>
      </c>
      <c r="R1558" t="s" s="2">
        <f>_xlfn.IFERROR(INDEX('model_byCAP'!$D$2:$D$377,MATCH(Q1558,'model_byCAP'!$A$2:$A$377,0)),0)</f>
        <v>3024</v>
      </c>
    </row>
    <row r="1559" ht="15.35" customHeight="1">
      <c r="A1559" t="s" s="2">
        <v>3099</v>
      </c>
      <c r="B1559" s="4">
        <v>36241</v>
      </c>
      <c r="C1559" s="5">
        <v>1300</v>
      </c>
      <c r="D1559" s="5">
        <v>60</v>
      </c>
      <c r="E1559" s="5">
        <v>46</v>
      </c>
      <c r="F1559" t="s" s="2">
        <v>2328</v>
      </c>
      <c r="G1559" t="s" s="2">
        <v>3020</v>
      </c>
      <c r="H1559" s="5">
        <v>550</v>
      </c>
      <c r="I1559" t="s" s="2">
        <v>526</v>
      </c>
      <c r="J1559" t="s" s="2">
        <v>22</v>
      </c>
      <c r="K1559" t="s" s="2">
        <v>3098</v>
      </c>
      <c r="L1559" s="5">
        <v>11</v>
      </c>
      <c r="M1559" s="5">
        <v>508404.5</v>
      </c>
      <c r="N1559" s="5">
        <v>6116582.79</v>
      </c>
      <c r="O1559" t="s" s="2">
        <v>305</v>
      </c>
      <c r="P1559" s="5">
        <v>90620</v>
      </c>
      <c r="Q1559" t="s" s="2">
        <v>3023</v>
      </c>
      <c r="R1559" t="s" s="2">
        <f>_xlfn.IFERROR(INDEX('model_byCAP'!$D$2:$D$377,MATCH(Q1559,'model_byCAP'!$A$2:$A$377,0)),0)</f>
        <v>3024</v>
      </c>
    </row>
    <row r="1560" ht="15.35" customHeight="1">
      <c r="A1560" t="s" s="2">
        <v>3100</v>
      </c>
      <c r="B1560" s="4">
        <v>36426</v>
      </c>
      <c r="C1560" s="5">
        <v>1300</v>
      </c>
      <c r="D1560" s="5">
        <v>60</v>
      </c>
      <c r="E1560" s="5">
        <v>46</v>
      </c>
      <c r="F1560" t="s" s="2">
        <v>2328</v>
      </c>
      <c r="G1560" t="s" s="2">
        <v>3020</v>
      </c>
      <c r="H1560" s="5">
        <v>550</v>
      </c>
      <c r="I1560" t="s" s="2">
        <v>526</v>
      </c>
      <c r="J1560" t="s" s="2">
        <v>22</v>
      </c>
      <c r="K1560" t="s" s="2">
        <v>3101</v>
      </c>
      <c r="L1560" s="5">
        <v>17</v>
      </c>
      <c r="M1560" s="5">
        <v>496578.66</v>
      </c>
      <c r="N1560" s="5">
        <v>6110519.2</v>
      </c>
      <c r="O1560" t="s" s="2">
        <v>305</v>
      </c>
      <c r="P1560" s="5">
        <v>90980</v>
      </c>
      <c r="Q1560" t="s" s="2">
        <v>3023</v>
      </c>
      <c r="R1560" t="s" s="2">
        <f>_xlfn.IFERROR(INDEX('model_byCAP'!$D$2:$D$377,MATCH(Q1560,'model_byCAP'!$A$2:$A$377,0)),0)</f>
        <v>3024</v>
      </c>
    </row>
    <row r="1561" ht="15.35" customHeight="1">
      <c r="A1561" t="s" s="2">
        <v>3102</v>
      </c>
      <c r="B1561" s="4">
        <v>36426</v>
      </c>
      <c r="C1561" s="5">
        <v>1300</v>
      </c>
      <c r="D1561" s="5">
        <v>60</v>
      </c>
      <c r="E1561" s="5">
        <v>46</v>
      </c>
      <c r="F1561" t="s" s="2">
        <v>2328</v>
      </c>
      <c r="G1561" t="s" s="2">
        <v>3020</v>
      </c>
      <c r="H1561" s="5">
        <v>550</v>
      </c>
      <c r="I1561" t="s" s="2">
        <v>526</v>
      </c>
      <c r="J1561" t="s" s="2">
        <v>22</v>
      </c>
      <c r="K1561" t="s" s="2">
        <v>42</v>
      </c>
      <c r="L1561" s="5">
        <v>0</v>
      </c>
      <c r="M1561" s="5">
        <v>496312.79</v>
      </c>
      <c r="N1561" s="5">
        <v>6109890.38</v>
      </c>
      <c r="O1561" t="s" s="2">
        <v>305</v>
      </c>
      <c r="P1561" s="5">
        <v>90980</v>
      </c>
      <c r="Q1561" t="s" s="2">
        <v>3023</v>
      </c>
      <c r="R1561" t="s" s="2">
        <f>_xlfn.IFERROR(INDEX('model_byCAP'!$D$2:$D$377,MATCH(Q1561,'model_byCAP'!$A$2:$A$377,0)),0)</f>
        <v>3024</v>
      </c>
    </row>
    <row r="1562" ht="15.35" customHeight="1">
      <c r="A1562" t="s" s="2">
        <v>3103</v>
      </c>
      <c r="B1562" s="4">
        <v>36491</v>
      </c>
      <c r="C1562" s="5">
        <v>1300</v>
      </c>
      <c r="D1562" s="5">
        <v>60</v>
      </c>
      <c r="E1562" s="5">
        <v>46</v>
      </c>
      <c r="F1562" t="s" s="2">
        <v>2328</v>
      </c>
      <c r="G1562" t="s" s="2">
        <v>3020</v>
      </c>
      <c r="H1562" s="5">
        <v>550</v>
      </c>
      <c r="I1562" t="s" s="2">
        <v>526</v>
      </c>
      <c r="J1562" t="s" s="2">
        <v>22</v>
      </c>
      <c r="K1562" t="s" s="2">
        <v>3096</v>
      </c>
      <c r="L1562" s="5">
        <v>175</v>
      </c>
      <c r="M1562" s="5">
        <v>508773.04</v>
      </c>
      <c r="N1562" s="5">
        <v>6116451.75</v>
      </c>
      <c r="O1562" t="s" s="2">
        <v>305</v>
      </c>
      <c r="P1562" s="5">
        <v>91025</v>
      </c>
      <c r="Q1562" t="s" s="2">
        <v>3023</v>
      </c>
      <c r="R1562" t="s" s="2">
        <f>_xlfn.IFERROR(INDEX('model_byCAP'!$D$2:$D$377,MATCH(Q1562,'model_byCAP'!$A$2:$A$377,0)),0)</f>
        <v>3024</v>
      </c>
    </row>
    <row r="1563" ht="15.35" customHeight="1">
      <c r="A1563" t="s" s="2">
        <v>3104</v>
      </c>
      <c r="B1563" s="4">
        <v>36655</v>
      </c>
      <c r="C1563" s="5">
        <v>1300</v>
      </c>
      <c r="D1563" s="5">
        <v>62</v>
      </c>
      <c r="E1563" s="5">
        <v>49</v>
      </c>
      <c r="F1563" t="s" s="2">
        <v>1989</v>
      </c>
      <c r="G1563" t="s" s="2">
        <v>3105</v>
      </c>
      <c r="H1563" s="5">
        <v>561</v>
      </c>
      <c r="I1563" t="s" s="2">
        <v>196</v>
      </c>
      <c r="J1563" t="s" s="2">
        <v>22</v>
      </c>
      <c r="K1563" t="s" s="2">
        <v>3106</v>
      </c>
      <c r="L1563" s="5">
        <v>354</v>
      </c>
      <c r="M1563" s="5">
        <v>484373.64</v>
      </c>
      <c r="N1563" s="5">
        <v>6122309.06</v>
      </c>
      <c r="O1563" t="s" s="2">
        <v>305</v>
      </c>
      <c r="P1563" s="5">
        <v>91160</v>
      </c>
      <c r="Q1563" t="s" s="2">
        <v>3107</v>
      </c>
      <c r="R1563" t="s" s="2">
        <f>_xlfn.IFERROR(INDEX('model_byCAP'!$D$2:$D$377,MATCH(Q1563,'model_byCAP'!$A$2:$A$377,0)),0)</f>
        <v>3047</v>
      </c>
    </row>
    <row r="1564" ht="15.35" customHeight="1">
      <c r="A1564" t="s" s="2">
        <v>3108</v>
      </c>
      <c r="B1564" s="4">
        <v>36655</v>
      </c>
      <c r="C1564" s="5">
        <v>1300</v>
      </c>
      <c r="D1564" s="5">
        <v>62</v>
      </c>
      <c r="E1564" s="5">
        <v>49</v>
      </c>
      <c r="F1564" t="s" s="2">
        <v>1989</v>
      </c>
      <c r="G1564" t="s" s="2">
        <v>3105</v>
      </c>
      <c r="H1564" s="5">
        <v>561</v>
      </c>
      <c r="I1564" t="s" s="2">
        <v>196</v>
      </c>
      <c r="J1564" t="s" s="2">
        <v>22</v>
      </c>
      <c r="K1564" t="s" s="2">
        <v>3106</v>
      </c>
      <c r="L1564" s="5">
        <v>388</v>
      </c>
      <c r="M1564" s="5">
        <v>483985.18</v>
      </c>
      <c r="N1564" s="5">
        <v>6122307.86</v>
      </c>
      <c r="O1564" t="s" s="2">
        <v>305</v>
      </c>
      <c r="P1564" s="5">
        <v>91161</v>
      </c>
      <c r="Q1564" t="s" s="2">
        <v>3107</v>
      </c>
      <c r="R1564" t="s" s="2">
        <f>_xlfn.IFERROR(INDEX('model_byCAP'!$D$2:$D$377,MATCH(Q1564,'model_byCAP'!$A$2:$A$377,0)),0)</f>
        <v>3047</v>
      </c>
    </row>
    <row r="1565" ht="15.35" customHeight="1">
      <c r="A1565" t="s" s="2">
        <v>3109</v>
      </c>
      <c r="B1565" s="4">
        <v>36655</v>
      </c>
      <c r="C1565" s="5">
        <v>1300</v>
      </c>
      <c r="D1565" s="5">
        <v>62</v>
      </c>
      <c r="E1565" s="5">
        <v>49</v>
      </c>
      <c r="F1565" t="s" s="2">
        <v>1989</v>
      </c>
      <c r="G1565" t="s" s="2">
        <v>3105</v>
      </c>
      <c r="H1565" s="5">
        <v>561</v>
      </c>
      <c r="I1565" t="s" s="2">
        <v>196</v>
      </c>
      <c r="J1565" t="s" s="2">
        <v>22</v>
      </c>
      <c r="K1565" t="s" s="2">
        <v>3106</v>
      </c>
      <c r="L1565" s="5">
        <v>1071</v>
      </c>
      <c r="M1565" s="5">
        <v>483596.2</v>
      </c>
      <c r="N1565" s="5">
        <v>6122307.08</v>
      </c>
      <c r="O1565" t="s" s="2">
        <v>305</v>
      </c>
      <c r="P1565" s="5">
        <v>91162</v>
      </c>
      <c r="Q1565" t="s" s="2">
        <v>3107</v>
      </c>
      <c r="R1565" t="s" s="2">
        <f>_xlfn.IFERROR(INDEX('model_byCAP'!$D$2:$D$377,MATCH(Q1565,'model_byCAP'!$A$2:$A$377,0)),0)</f>
        <v>3047</v>
      </c>
    </row>
    <row r="1566" ht="15.35" customHeight="1">
      <c r="A1566" t="s" s="2">
        <v>3110</v>
      </c>
      <c r="B1566" s="4">
        <v>37568</v>
      </c>
      <c r="C1566" s="5">
        <v>1300</v>
      </c>
      <c r="D1566" s="5">
        <v>62</v>
      </c>
      <c r="E1566" s="5">
        <v>49</v>
      </c>
      <c r="F1566" t="s" s="2">
        <v>1989</v>
      </c>
      <c r="G1566" t="s" s="2">
        <v>3111</v>
      </c>
      <c r="H1566" s="5">
        <v>561</v>
      </c>
      <c r="I1566" t="s" s="2">
        <v>196</v>
      </c>
      <c r="J1566" t="s" s="2">
        <v>22</v>
      </c>
      <c r="K1566" t="s" s="2">
        <v>3112</v>
      </c>
      <c r="L1566" t="s" s="2">
        <v>3113</v>
      </c>
      <c r="M1566" s="5">
        <v>480543.72</v>
      </c>
      <c r="N1566" s="5">
        <v>6140052.32</v>
      </c>
      <c r="O1566" t="s" s="2">
        <v>305</v>
      </c>
      <c r="P1566" s="5">
        <v>44192614</v>
      </c>
      <c r="Q1566" t="s" s="2">
        <v>3114</v>
      </c>
      <c r="R1566" t="s" s="2">
        <f>_xlfn.IFERROR(INDEX('model_byCAP'!$D$2:$D$377,MATCH(Q1566,'model_byCAP'!$A$2:$A$377,0)),0)</f>
        <v>3047</v>
      </c>
    </row>
    <row r="1567" ht="15.35" customHeight="1">
      <c r="A1567" t="s" s="2">
        <v>3115</v>
      </c>
      <c r="B1567" s="4">
        <v>37568</v>
      </c>
      <c r="C1567" s="5">
        <v>1300</v>
      </c>
      <c r="D1567" s="5">
        <v>62</v>
      </c>
      <c r="E1567" s="5">
        <v>49</v>
      </c>
      <c r="F1567" t="s" s="2">
        <v>1989</v>
      </c>
      <c r="G1567" t="s" s="2">
        <v>3111</v>
      </c>
      <c r="H1567" s="5">
        <v>561</v>
      </c>
      <c r="I1567" t="s" s="2">
        <v>196</v>
      </c>
      <c r="J1567" t="s" s="2">
        <v>22</v>
      </c>
      <c r="K1567" t="s" s="2">
        <v>3112</v>
      </c>
      <c r="L1567" t="s" s="2">
        <v>3116</v>
      </c>
      <c r="M1567" s="5">
        <v>480065.16</v>
      </c>
      <c r="N1567" s="5">
        <v>6139993.83</v>
      </c>
      <c r="O1567" t="s" s="2">
        <v>305</v>
      </c>
      <c r="P1567" s="5">
        <v>44192615</v>
      </c>
      <c r="Q1567" t="s" s="2">
        <v>3114</v>
      </c>
      <c r="R1567" t="s" s="2">
        <f>_xlfn.IFERROR(INDEX('model_byCAP'!$D$2:$D$377,MATCH(Q1567,'model_byCAP'!$A$2:$A$377,0)),0)</f>
        <v>3047</v>
      </c>
    </row>
    <row r="1568" ht="15.35" customHeight="1">
      <c r="A1568" t="s" s="2">
        <v>3117</v>
      </c>
      <c r="B1568" s="4">
        <v>37568</v>
      </c>
      <c r="C1568" s="5">
        <v>1300</v>
      </c>
      <c r="D1568" s="5">
        <v>62</v>
      </c>
      <c r="E1568" s="5">
        <v>49</v>
      </c>
      <c r="F1568" t="s" s="2">
        <v>1989</v>
      </c>
      <c r="G1568" t="s" s="2">
        <v>3111</v>
      </c>
      <c r="H1568" s="5">
        <v>561</v>
      </c>
      <c r="I1568" t="s" s="2">
        <v>196</v>
      </c>
      <c r="J1568" t="s" s="2">
        <v>22</v>
      </c>
      <c r="K1568" t="s" s="2">
        <v>3112</v>
      </c>
      <c r="L1568" t="s" s="2">
        <v>3118</v>
      </c>
      <c r="M1568" s="5">
        <v>479589.17</v>
      </c>
      <c r="N1568" s="5">
        <v>6139935.02</v>
      </c>
      <c r="O1568" t="s" s="2">
        <v>305</v>
      </c>
      <c r="P1568" s="5">
        <v>44192616</v>
      </c>
      <c r="Q1568" t="s" s="2">
        <v>3114</v>
      </c>
      <c r="R1568" t="s" s="2">
        <f>_xlfn.IFERROR(INDEX('model_byCAP'!$D$2:$D$377,MATCH(Q1568,'model_byCAP'!$A$2:$A$377,0)),0)</f>
        <v>3047</v>
      </c>
    </row>
    <row r="1569" ht="15.35" customHeight="1">
      <c r="A1569" t="s" s="2">
        <v>3119</v>
      </c>
      <c r="B1569" s="4">
        <v>36620</v>
      </c>
      <c r="C1569" s="5">
        <v>1300</v>
      </c>
      <c r="D1569" s="5">
        <v>62</v>
      </c>
      <c r="E1569" s="5">
        <v>49</v>
      </c>
      <c r="F1569" t="s" s="2">
        <v>1989</v>
      </c>
      <c r="G1569" t="s" s="2">
        <v>3042</v>
      </c>
      <c r="H1569" s="5">
        <v>575</v>
      </c>
      <c r="I1569" t="s" s="2">
        <v>2952</v>
      </c>
      <c r="J1569" t="s" s="2">
        <v>22</v>
      </c>
      <c r="K1569" t="s" s="2">
        <v>3120</v>
      </c>
      <c r="L1569" t="s" s="2">
        <v>3121</v>
      </c>
      <c r="M1569" s="5">
        <v>502293.79</v>
      </c>
      <c r="N1569" s="5">
        <v>6160374.91</v>
      </c>
      <c r="O1569" t="s" s="2">
        <v>305</v>
      </c>
      <c r="P1569" s="8">
        <v>140526</v>
      </c>
      <c r="Q1569" t="s" s="2">
        <v>3046</v>
      </c>
      <c r="R1569" t="s" s="2">
        <f>_xlfn.IFERROR(INDEX('model_byCAP'!$D$2:$D$377,MATCH(Q1569,'model_byCAP'!$A$2:$A$377,0)),0)</f>
        <v>3047</v>
      </c>
    </row>
    <row r="1570" ht="15.35" customHeight="1">
      <c r="A1570" t="s" s="2">
        <v>3122</v>
      </c>
      <c r="B1570" s="4">
        <v>36620</v>
      </c>
      <c r="C1570" s="5">
        <v>1300</v>
      </c>
      <c r="D1570" s="5">
        <v>62</v>
      </c>
      <c r="E1570" s="5">
        <v>0.1</v>
      </c>
      <c r="F1570" t="s" s="2">
        <v>1989</v>
      </c>
      <c r="G1570" t="s" s="2">
        <v>3042</v>
      </c>
      <c r="H1570" s="5">
        <v>575</v>
      </c>
      <c r="I1570" t="s" s="2">
        <v>2952</v>
      </c>
      <c r="J1570" t="s" s="2">
        <v>22</v>
      </c>
      <c r="K1570" t="s" s="2">
        <v>3120</v>
      </c>
      <c r="L1570" t="s" s="2">
        <v>1591</v>
      </c>
      <c r="M1570" s="5">
        <v>502179.79</v>
      </c>
      <c r="N1570" s="5">
        <v>6160063.26</v>
      </c>
      <c r="O1570" t="s" s="2">
        <v>305</v>
      </c>
      <c r="P1570" s="8">
        <v>140527</v>
      </c>
      <c r="Q1570" t="s" s="2">
        <v>3046</v>
      </c>
      <c r="R1570" t="s" s="2">
        <f>_xlfn.IFERROR(INDEX('model_byCAP'!$D$2:$D$377,MATCH(Q1570,'model_byCAP'!$A$2:$A$377,0)),0)</f>
        <v>3047</v>
      </c>
    </row>
    <row r="1571" ht="15.35" customHeight="1">
      <c r="A1571" t="s" s="2">
        <v>3123</v>
      </c>
      <c r="B1571" s="4">
        <v>36620</v>
      </c>
      <c r="C1571" s="5">
        <v>1300</v>
      </c>
      <c r="D1571" s="5">
        <v>62</v>
      </c>
      <c r="E1571" s="5">
        <v>0.1</v>
      </c>
      <c r="F1571" t="s" s="2">
        <v>1989</v>
      </c>
      <c r="G1571" t="s" s="2">
        <v>3042</v>
      </c>
      <c r="H1571" s="5">
        <v>575</v>
      </c>
      <c r="I1571" t="s" s="2">
        <v>2952</v>
      </c>
      <c r="J1571" t="s" s="2">
        <v>22</v>
      </c>
      <c r="K1571" t="s" s="2">
        <v>3120</v>
      </c>
      <c r="L1571" t="s" s="2">
        <v>3124</v>
      </c>
      <c r="M1571" s="5">
        <v>502069.83</v>
      </c>
      <c r="N1571" s="5">
        <v>6159760.14</v>
      </c>
      <c r="O1571" t="s" s="2">
        <v>305</v>
      </c>
      <c r="P1571" s="8">
        <v>140529</v>
      </c>
      <c r="Q1571" t="s" s="2">
        <v>3046</v>
      </c>
      <c r="R1571" t="s" s="2">
        <f>_xlfn.IFERROR(INDEX('model_byCAP'!$D$2:$D$377,MATCH(Q1571,'model_byCAP'!$A$2:$A$377,0)),0)</f>
        <v>3047</v>
      </c>
    </row>
    <row r="1572" ht="15.35" customHeight="1">
      <c r="A1572" t="s" s="2">
        <v>3125</v>
      </c>
      <c r="B1572" s="4">
        <v>36459</v>
      </c>
      <c r="C1572" s="5">
        <v>1300</v>
      </c>
      <c r="D1572" s="5">
        <v>62</v>
      </c>
      <c r="E1572" s="5">
        <v>45</v>
      </c>
      <c r="F1572" t="s" s="2">
        <v>1989</v>
      </c>
      <c r="G1572" t="s" s="2">
        <v>3042</v>
      </c>
      <c r="H1572" s="5">
        <v>580</v>
      </c>
      <c r="I1572" t="s" s="2">
        <v>1542</v>
      </c>
      <c r="J1572" t="s" s="2">
        <v>22</v>
      </c>
      <c r="K1572" t="s" s="2">
        <v>3126</v>
      </c>
      <c r="L1572" s="5">
        <v>9</v>
      </c>
      <c r="M1572" s="5">
        <v>513602.25</v>
      </c>
      <c r="N1572" s="5">
        <v>6098649.09</v>
      </c>
      <c r="O1572" t="s" s="2">
        <v>305</v>
      </c>
      <c r="P1572" s="5">
        <v>200299</v>
      </c>
      <c r="Q1572" t="s" s="2">
        <v>3046</v>
      </c>
      <c r="R1572" t="s" s="2">
        <f>_xlfn.IFERROR(INDEX('model_byCAP'!$D$2:$D$377,MATCH(Q1572,'model_byCAP'!$A$2:$A$377,0)),0)</f>
        <v>3047</v>
      </c>
    </row>
    <row r="1573" ht="15.35" customHeight="1">
      <c r="A1573" t="s" s="2">
        <v>3127</v>
      </c>
      <c r="B1573" s="4">
        <v>36516</v>
      </c>
      <c r="C1573" s="5">
        <v>1300</v>
      </c>
      <c r="D1573" s="5">
        <v>62</v>
      </c>
      <c r="E1573" s="5">
        <v>45</v>
      </c>
      <c r="F1573" t="s" s="2">
        <v>1989</v>
      </c>
      <c r="G1573" t="s" s="2">
        <v>3128</v>
      </c>
      <c r="H1573" s="5">
        <v>580</v>
      </c>
      <c r="I1573" t="s" s="2">
        <v>1542</v>
      </c>
      <c r="J1573" t="s" s="2">
        <v>22</v>
      </c>
      <c r="K1573" t="s" s="2">
        <v>3126</v>
      </c>
      <c r="L1573" s="5">
        <v>16</v>
      </c>
      <c r="M1573" s="5">
        <v>516370.86</v>
      </c>
      <c r="N1573" s="5">
        <v>6100149.36</v>
      </c>
      <c r="O1573" t="s" s="2">
        <v>305</v>
      </c>
      <c r="P1573" s="5">
        <v>200301</v>
      </c>
      <c r="Q1573" t="s" s="2">
        <v>3129</v>
      </c>
      <c r="R1573" t="s" s="2">
        <f>_xlfn.IFERROR(INDEX('model_byCAP'!$D$2:$D$377,MATCH(Q1573,'model_byCAP'!$A$2:$A$377,0)),0)</f>
        <v>3047</v>
      </c>
    </row>
    <row r="1574" ht="15.35" customHeight="1">
      <c r="A1574" t="s" s="2">
        <v>3130</v>
      </c>
      <c r="B1574" s="4">
        <v>36312</v>
      </c>
      <c r="C1574" s="5">
        <v>1300</v>
      </c>
      <c r="D1574" s="5">
        <v>60</v>
      </c>
      <c r="E1574" s="5">
        <v>46</v>
      </c>
      <c r="F1574" t="s" s="2">
        <v>2328</v>
      </c>
      <c r="G1574" t="s" s="2">
        <v>3020</v>
      </c>
      <c r="H1574" s="5">
        <v>621</v>
      </c>
      <c r="I1574" t="s" s="2">
        <v>2921</v>
      </c>
      <c r="J1574" t="s" s="2">
        <v>22</v>
      </c>
      <c r="K1574" t="s" s="2">
        <v>2922</v>
      </c>
      <c r="L1574" t="s" s="2">
        <v>394</v>
      </c>
      <c r="M1574" s="5">
        <v>535572.97</v>
      </c>
      <c r="N1574" s="5">
        <v>6138554.51</v>
      </c>
      <c r="O1574" t="s" s="2">
        <v>305</v>
      </c>
      <c r="P1574" s="5">
        <v>2203009</v>
      </c>
      <c r="Q1574" t="s" s="2">
        <v>3023</v>
      </c>
      <c r="R1574" t="s" s="2">
        <f>_xlfn.IFERROR(INDEX('model_byCAP'!$D$2:$D$377,MATCH(Q1574,'model_byCAP'!$A$2:$A$377,0)),0)</f>
        <v>3024</v>
      </c>
    </row>
    <row r="1575" ht="15.35" customHeight="1">
      <c r="A1575" t="s" s="2">
        <v>3131</v>
      </c>
      <c r="B1575" s="4">
        <v>36312</v>
      </c>
      <c r="C1575" s="5">
        <v>1300</v>
      </c>
      <c r="D1575" s="5">
        <v>60</v>
      </c>
      <c r="E1575" s="5">
        <v>46</v>
      </c>
      <c r="F1575" t="s" s="2">
        <v>2328</v>
      </c>
      <c r="G1575" t="s" s="2">
        <v>3020</v>
      </c>
      <c r="H1575" s="5">
        <v>621</v>
      </c>
      <c r="I1575" t="s" s="2">
        <v>2921</v>
      </c>
      <c r="J1575" t="s" s="2">
        <v>22</v>
      </c>
      <c r="K1575" t="s" s="2">
        <v>2922</v>
      </c>
      <c r="L1575" t="s" s="2">
        <v>394</v>
      </c>
      <c r="M1575" s="5">
        <v>536393.4300000001</v>
      </c>
      <c r="N1575" s="5">
        <v>6138755.58</v>
      </c>
      <c r="O1575" t="s" s="2">
        <v>305</v>
      </c>
      <c r="P1575" s="5">
        <v>203009</v>
      </c>
      <c r="Q1575" t="s" s="2">
        <v>3023</v>
      </c>
      <c r="R1575" t="s" s="2">
        <f>_xlfn.IFERROR(INDEX('model_byCAP'!$D$2:$D$377,MATCH(Q1575,'model_byCAP'!$A$2:$A$377,0)),0)</f>
        <v>3024</v>
      </c>
    </row>
    <row r="1576" ht="15.35" customHeight="1">
      <c r="A1576" t="s" s="2">
        <v>3132</v>
      </c>
      <c r="B1576" s="4">
        <v>36816</v>
      </c>
      <c r="C1576" s="5">
        <v>1300</v>
      </c>
      <c r="D1576" s="5">
        <v>60</v>
      </c>
      <c r="E1576" s="5">
        <v>46</v>
      </c>
      <c r="F1576" t="s" s="2">
        <v>2328</v>
      </c>
      <c r="G1576" t="s" s="2">
        <v>3020</v>
      </c>
      <c r="H1576" s="5">
        <v>621</v>
      </c>
      <c r="I1576" t="s" s="2">
        <v>2921</v>
      </c>
      <c r="J1576" t="s" s="2">
        <v>22</v>
      </c>
      <c r="K1576" t="s" s="2">
        <v>3133</v>
      </c>
      <c r="L1576" s="5">
        <v>290</v>
      </c>
      <c r="M1576" s="5">
        <v>527308.77</v>
      </c>
      <c r="N1576" s="5">
        <v>6137560.47</v>
      </c>
      <c r="O1576" t="s" s="2">
        <v>305</v>
      </c>
      <c r="P1576" s="5">
        <v>200132</v>
      </c>
      <c r="Q1576" t="s" s="2">
        <v>3023</v>
      </c>
      <c r="R1576" t="s" s="2">
        <f>_xlfn.IFERROR(INDEX('model_byCAP'!$D$2:$D$377,MATCH(Q1576,'model_byCAP'!$A$2:$A$377,0)),0)</f>
        <v>3024</v>
      </c>
    </row>
    <row r="1577" ht="15.35" customHeight="1">
      <c r="A1577" t="s" s="2">
        <v>3134</v>
      </c>
      <c r="B1577" s="4">
        <v>36907</v>
      </c>
      <c r="C1577" s="5">
        <v>1300</v>
      </c>
      <c r="D1577" s="5">
        <v>60</v>
      </c>
      <c r="E1577" s="5">
        <v>46</v>
      </c>
      <c r="F1577" t="s" s="2">
        <v>2328</v>
      </c>
      <c r="G1577" t="s" s="2">
        <v>3020</v>
      </c>
      <c r="H1577" s="5">
        <v>621</v>
      </c>
      <c r="I1577" t="s" s="2">
        <v>2921</v>
      </c>
      <c r="J1577" t="s" s="2">
        <v>22</v>
      </c>
      <c r="K1577" t="s" s="2">
        <v>3133</v>
      </c>
      <c r="L1577" s="5">
        <v>291</v>
      </c>
      <c r="M1577" s="5">
        <v>525706.37</v>
      </c>
      <c r="N1577" s="5">
        <v>6137662.26</v>
      </c>
      <c r="O1577" t="s" s="2">
        <v>305</v>
      </c>
      <c r="P1577" s="5">
        <v>200133</v>
      </c>
      <c r="Q1577" t="s" s="2">
        <v>3023</v>
      </c>
      <c r="R1577" t="s" s="2">
        <f>_xlfn.IFERROR(INDEX('model_byCAP'!$D$2:$D$377,MATCH(Q1577,'model_byCAP'!$A$2:$A$377,0)),0)</f>
        <v>3024</v>
      </c>
    </row>
    <row r="1578" ht="15.35" customHeight="1">
      <c r="A1578" t="s" s="2">
        <v>3135</v>
      </c>
      <c r="B1578" s="4">
        <v>36486</v>
      </c>
      <c r="C1578" s="5">
        <v>1300</v>
      </c>
      <c r="D1578" s="5">
        <v>60</v>
      </c>
      <c r="E1578" s="5">
        <v>46</v>
      </c>
      <c r="F1578" t="s" s="2">
        <v>2328</v>
      </c>
      <c r="G1578" t="s" s="2">
        <v>3020</v>
      </c>
      <c r="H1578" s="5">
        <v>621</v>
      </c>
      <c r="I1578" t="s" s="2">
        <v>2921</v>
      </c>
      <c r="J1578" t="s" s="2">
        <v>22</v>
      </c>
      <c r="K1578" t="s" s="2">
        <v>3136</v>
      </c>
      <c r="L1578" s="5">
        <v>26</v>
      </c>
      <c r="M1578" s="5">
        <v>526844.46</v>
      </c>
      <c r="N1578" s="5">
        <v>6137181.56</v>
      </c>
      <c r="O1578" t="s" s="2">
        <v>305</v>
      </c>
      <c r="P1578" s="8">
        <v>200274</v>
      </c>
      <c r="Q1578" t="s" s="2">
        <v>3023</v>
      </c>
      <c r="R1578" t="s" s="2">
        <f>_xlfn.IFERROR(INDEX('model_byCAP'!$D$2:$D$377,MATCH(Q1578,'model_byCAP'!$A$2:$A$377,0)),0)</f>
        <v>3024</v>
      </c>
    </row>
    <row r="1579" ht="15.35" customHeight="1">
      <c r="A1579" t="s" s="2">
        <v>3137</v>
      </c>
      <c r="B1579" s="4">
        <v>36427</v>
      </c>
      <c r="C1579" s="5">
        <v>1300</v>
      </c>
      <c r="D1579" s="5">
        <v>60</v>
      </c>
      <c r="E1579" s="5">
        <v>46</v>
      </c>
      <c r="F1579" t="s" s="2">
        <v>2328</v>
      </c>
      <c r="G1579" t="s" s="2">
        <v>3020</v>
      </c>
      <c r="H1579" s="5">
        <v>621</v>
      </c>
      <c r="I1579" t="s" s="2">
        <v>2921</v>
      </c>
      <c r="J1579" t="s" s="2">
        <v>22</v>
      </c>
      <c r="K1579" t="s" s="2">
        <v>3138</v>
      </c>
      <c r="L1579" s="5">
        <v>1</v>
      </c>
      <c r="M1579" s="5">
        <v>522147.76</v>
      </c>
      <c r="N1579" s="5">
        <v>6136196.76</v>
      </c>
      <c r="O1579" t="s" s="2">
        <v>305</v>
      </c>
      <c r="P1579" s="5">
        <v>200298</v>
      </c>
      <c r="Q1579" t="s" s="2">
        <v>3023</v>
      </c>
      <c r="R1579" t="s" s="2">
        <f>_xlfn.IFERROR(INDEX('model_byCAP'!$D$2:$D$377,MATCH(Q1579,'model_byCAP'!$A$2:$A$377,0)),0)</f>
        <v>3024</v>
      </c>
    </row>
    <row r="1580" ht="15.35" customHeight="1">
      <c r="A1580" t="s" s="2">
        <v>3139</v>
      </c>
      <c r="B1580" s="4">
        <v>36671</v>
      </c>
      <c r="C1580" s="5">
        <v>1300</v>
      </c>
      <c r="D1580" s="5">
        <v>62</v>
      </c>
      <c r="E1580" s="5">
        <v>45</v>
      </c>
      <c r="F1580" t="s" s="2">
        <v>1989</v>
      </c>
      <c r="G1580" t="s" s="2">
        <v>3042</v>
      </c>
      <c r="H1580" s="5">
        <v>621</v>
      </c>
      <c r="I1580" t="s" s="2">
        <v>2921</v>
      </c>
      <c r="J1580" t="s" s="2">
        <v>22</v>
      </c>
      <c r="K1580" t="s" s="2">
        <v>3140</v>
      </c>
      <c r="L1580" s="5">
        <v>69</v>
      </c>
      <c r="M1580" s="5">
        <v>531417.3100000001</v>
      </c>
      <c r="N1580" s="5">
        <v>6132077.38</v>
      </c>
      <c r="O1580" t="s" s="2">
        <v>305</v>
      </c>
      <c r="P1580" s="5">
        <v>200303</v>
      </c>
      <c r="Q1580" t="s" s="2">
        <v>3046</v>
      </c>
      <c r="R1580" t="s" s="2">
        <f>_xlfn.IFERROR(INDEX('model_byCAP'!$D$2:$D$377,MATCH(Q1580,'model_byCAP'!$A$2:$A$377,0)),0)</f>
        <v>3047</v>
      </c>
    </row>
    <row r="1581" ht="15.35" customHeight="1">
      <c r="A1581" t="s" s="2">
        <v>3141</v>
      </c>
      <c r="B1581" s="4">
        <v>36595</v>
      </c>
      <c r="C1581" s="5">
        <v>1300</v>
      </c>
      <c r="D1581" s="5">
        <v>62</v>
      </c>
      <c r="E1581" s="5">
        <v>45</v>
      </c>
      <c r="F1581" t="s" s="2">
        <v>1989</v>
      </c>
      <c r="G1581" t="s" s="2">
        <v>3042</v>
      </c>
      <c r="H1581" s="5">
        <v>621</v>
      </c>
      <c r="I1581" t="s" s="2">
        <v>2921</v>
      </c>
      <c r="J1581" t="s" s="2">
        <v>22</v>
      </c>
      <c r="K1581" t="s" s="2">
        <v>3142</v>
      </c>
      <c r="L1581" s="5">
        <v>12</v>
      </c>
      <c r="M1581" s="5">
        <v>520989.64</v>
      </c>
      <c r="N1581" s="5">
        <v>6136196.79</v>
      </c>
      <c r="O1581" t="s" s="2">
        <v>305</v>
      </c>
      <c r="P1581" s="5">
        <v>200307</v>
      </c>
      <c r="Q1581" t="s" s="2">
        <v>3046</v>
      </c>
      <c r="R1581" t="s" s="2">
        <f>_xlfn.IFERROR(INDEX('model_byCAP'!$D$2:$D$377,MATCH(Q1581,'model_byCAP'!$A$2:$A$377,0)),0)</f>
        <v>3047</v>
      </c>
    </row>
    <row r="1582" ht="15.35" customHeight="1">
      <c r="A1582" t="s" s="2">
        <v>3143</v>
      </c>
      <c r="B1582" s="4">
        <v>37320</v>
      </c>
      <c r="C1582" s="5">
        <v>1300</v>
      </c>
      <c r="D1582" s="5">
        <v>60</v>
      </c>
      <c r="E1582" s="5">
        <v>46</v>
      </c>
      <c r="F1582" t="s" s="2">
        <v>2328</v>
      </c>
      <c r="G1582" t="s" s="2">
        <v>3020</v>
      </c>
      <c r="H1582" s="5">
        <v>621</v>
      </c>
      <c r="I1582" t="s" s="2">
        <v>2921</v>
      </c>
      <c r="J1582" t="s" s="2">
        <v>22</v>
      </c>
      <c r="K1582" t="s" s="2">
        <v>3144</v>
      </c>
      <c r="L1582" s="5">
        <v>16</v>
      </c>
      <c r="M1582" s="5">
        <v>526459.74</v>
      </c>
      <c r="N1582" s="5">
        <v>6134788.34</v>
      </c>
      <c r="O1582" t="s" s="2">
        <v>305</v>
      </c>
      <c r="P1582" s="5">
        <v>200136</v>
      </c>
      <c r="Q1582" t="s" s="2">
        <v>3023</v>
      </c>
      <c r="R1582" t="s" s="2">
        <f>_xlfn.IFERROR(INDEX('model_byCAP'!$D$2:$D$377,MATCH(Q1582,'model_byCAP'!$A$2:$A$377,0)),0)</f>
        <v>3024</v>
      </c>
    </row>
    <row r="1583" ht="15.35" customHeight="1">
      <c r="A1583" t="s" s="2">
        <v>3145</v>
      </c>
      <c r="B1583" s="4">
        <v>36800</v>
      </c>
      <c r="C1583" s="5">
        <v>1300</v>
      </c>
      <c r="D1583" s="5">
        <v>62</v>
      </c>
      <c r="E1583" s="5">
        <v>68</v>
      </c>
      <c r="F1583" t="s" s="2">
        <v>1989</v>
      </c>
      <c r="G1583" t="s" s="2">
        <v>3042</v>
      </c>
      <c r="H1583" s="5">
        <v>657</v>
      </c>
      <c r="I1583" t="s" s="2">
        <v>541</v>
      </c>
      <c r="J1583" t="s" s="2">
        <v>22</v>
      </c>
      <c r="K1583" t="s" s="2">
        <v>3146</v>
      </c>
      <c r="L1583" t="s" s="2">
        <v>518</v>
      </c>
      <c r="M1583" s="5">
        <v>501863.19</v>
      </c>
      <c r="N1583" s="5">
        <v>6246570.94</v>
      </c>
      <c r="O1583" t="s" s="2">
        <v>305</v>
      </c>
      <c r="P1583" s="5">
        <v>2050327</v>
      </c>
      <c r="Q1583" t="s" s="2">
        <v>3046</v>
      </c>
      <c r="R1583" t="s" s="2">
        <f>_xlfn.IFERROR(INDEX('model_byCAP'!$D$2:$D$377,MATCH(Q1583,'model_byCAP'!$A$2:$A$377,0)),0)</f>
        <v>3047</v>
      </c>
    </row>
    <row r="1584" ht="15.35" customHeight="1">
      <c r="A1584" t="s" s="2">
        <v>3147</v>
      </c>
      <c r="B1584" s="4">
        <v>36800</v>
      </c>
      <c r="C1584" s="5">
        <v>1300</v>
      </c>
      <c r="D1584" s="5">
        <v>62</v>
      </c>
      <c r="E1584" s="5">
        <v>68</v>
      </c>
      <c r="F1584" t="s" s="2">
        <v>1989</v>
      </c>
      <c r="G1584" t="s" s="2">
        <v>3042</v>
      </c>
      <c r="H1584" s="5">
        <v>657</v>
      </c>
      <c r="I1584" t="s" s="2">
        <v>541</v>
      </c>
      <c r="J1584" t="s" s="2">
        <v>22</v>
      </c>
      <c r="K1584" t="s" s="2">
        <v>3146</v>
      </c>
      <c r="L1584" t="s" s="2">
        <v>518</v>
      </c>
      <c r="M1584" s="5">
        <v>501631.64</v>
      </c>
      <c r="N1584" s="5">
        <v>6246719.94</v>
      </c>
      <c r="O1584" t="s" s="2">
        <v>305</v>
      </c>
      <c r="P1584" s="5">
        <v>2050328</v>
      </c>
      <c r="Q1584" t="s" s="2">
        <v>3046</v>
      </c>
      <c r="R1584" t="s" s="2">
        <f>_xlfn.IFERROR(INDEX('model_byCAP'!$D$2:$D$377,MATCH(Q1584,'model_byCAP'!$A$2:$A$377,0)),0)</f>
        <v>3047</v>
      </c>
    </row>
    <row r="1585" ht="15.35" customHeight="1">
      <c r="A1585" t="s" s="2">
        <v>3148</v>
      </c>
      <c r="B1585" s="4">
        <v>36800</v>
      </c>
      <c r="C1585" s="5">
        <v>1300</v>
      </c>
      <c r="D1585" s="5">
        <v>62</v>
      </c>
      <c r="E1585" s="5">
        <v>68</v>
      </c>
      <c r="F1585" t="s" s="2">
        <v>1989</v>
      </c>
      <c r="G1585" t="s" s="2">
        <v>3042</v>
      </c>
      <c r="H1585" s="5">
        <v>657</v>
      </c>
      <c r="I1585" t="s" s="2">
        <v>541</v>
      </c>
      <c r="J1585" t="s" s="2">
        <v>22</v>
      </c>
      <c r="K1585" t="s" s="2">
        <v>3146</v>
      </c>
      <c r="L1585" t="s" s="2">
        <v>543</v>
      </c>
      <c r="M1585" s="5">
        <v>501398.64</v>
      </c>
      <c r="N1585" s="5">
        <v>6246868.81</v>
      </c>
      <c r="O1585" t="s" s="2">
        <v>305</v>
      </c>
      <c r="P1585" s="5">
        <v>2050329</v>
      </c>
      <c r="Q1585" t="s" s="2">
        <v>3046</v>
      </c>
      <c r="R1585" t="s" s="2">
        <f>_xlfn.IFERROR(INDEX('model_byCAP'!$D$2:$D$377,MATCH(Q1585,'model_byCAP'!$A$2:$A$377,0)),0)</f>
        <v>3047</v>
      </c>
    </row>
    <row r="1586" ht="15.35" customHeight="1">
      <c r="A1586" t="s" s="2">
        <v>3149</v>
      </c>
      <c r="B1586" s="4">
        <v>36800</v>
      </c>
      <c r="C1586" s="5">
        <v>1300</v>
      </c>
      <c r="D1586" s="5">
        <v>62</v>
      </c>
      <c r="E1586" s="5">
        <v>68</v>
      </c>
      <c r="F1586" t="s" s="2">
        <v>1989</v>
      </c>
      <c r="G1586" t="s" s="2">
        <v>3042</v>
      </c>
      <c r="H1586" s="5">
        <v>657</v>
      </c>
      <c r="I1586" t="s" s="2">
        <v>541</v>
      </c>
      <c r="J1586" t="s" s="2">
        <v>22</v>
      </c>
      <c r="K1586" t="s" s="2">
        <v>3146</v>
      </c>
      <c r="L1586" t="s" s="2">
        <v>1318</v>
      </c>
      <c r="M1586" s="5">
        <v>501166.51</v>
      </c>
      <c r="N1586" s="5">
        <v>6247018.1</v>
      </c>
      <c r="O1586" t="s" s="2">
        <v>305</v>
      </c>
      <c r="P1586" s="5">
        <v>2050330</v>
      </c>
      <c r="Q1586" t="s" s="2">
        <v>3046</v>
      </c>
      <c r="R1586" t="s" s="2">
        <f>_xlfn.IFERROR(INDEX('model_byCAP'!$D$2:$D$377,MATCH(Q1586,'model_byCAP'!$A$2:$A$377,0)),0)</f>
        <v>3047</v>
      </c>
    </row>
    <row r="1587" ht="15.35" customHeight="1">
      <c r="A1587" t="s" s="2">
        <v>3150</v>
      </c>
      <c r="B1587" s="4">
        <v>36800</v>
      </c>
      <c r="C1587" s="5">
        <v>1300</v>
      </c>
      <c r="D1587" s="5">
        <v>62</v>
      </c>
      <c r="E1587" s="5">
        <v>68</v>
      </c>
      <c r="F1587" t="s" s="2">
        <v>1989</v>
      </c>
      <c r="G1587" t="s" s="2">
        <v>3042</v>
      </c>
      <c r="H1587" s="5">
        <v>657</v>
      </c>
      <c r="I1587" t="s" s="2">
        <v>541</v>
      </c>
      <c r="J1587" t="s" s="2">
        <v>22</v>
      </c>
      <c r="K1587" t="s" s="2">
        <v>3146</v>
      </c>
      <c r="L1587" t="s" s="2">
        <v>1603</v>
      </c>
      <c r="M1587" s="5">
        <v>500933.51</v>
      </c>
      <c r="N1587" s="5">
        <v>6247167.55</v>
      </c>
      <c r="O1587" t="s" s="2">
        <v>305</v>
      </c>
      <c r="P1587" s="5">
        <v>2050331</v>
      </c>
      <c r="Q1587" t="s" s="2">
        <v>3046</v>
      </c>
      <c r="R1587" t="s" s="2">
        <f>_xlfn.IFERROR(INDEX('model_byCAP'!$D$2:$D$377,MATCH(Q1587,'model_byCAP'!$A$2:$A$377,0)),0)</f>
        <v>3047</v>
      </c>
    </row>
    <row r="1588" ht="15.35" customHeight="1">
      <c r="A1588" t="s" s="2">
        <v>3151</v>
      </c>
      <c r="B1588" s="4">
        <v>36800</v>
      </c>
      <c r="C1588" s="5">
        <v>1300</v>
      </c>
      <c r="D1588" s="5">
        <v>62</v>
      </c>
      <c r="E1588" s="5">
        <v>68</v>
      </c>
      <c r="F1588" t="s" s="2">
        <v>1989</v>
      </c>
      <c r="G1588" t="s" s="2">
        <v>3042</v>
      </c>
      <c r="H1588" s="5">
        <v>657</v>
      </c>
      <c r="I1588" t="s" s="2">
        <v>541</v>
      </c>
      <c r="J1588" t="s" s="2">
        <v>22</v>
      </c>
      <c r="K1588" t="s" s="2">
        <v>3152</v>
      </c>
      <c r="L1588" t="s" s="2">
        <v>502</v>
      </c>
      <c r="M1588" s="5">
        <v>500703.26</v>
      </c>
      <c r="N1588" s="5">
        <v>6247316.4</v>
      </c>
      <c r="O1588" t="s" s="2">
        <v>305</v>
      </c>
      <c r="P1588" s="5">
        <v>2050332</v>
      </c>
      <c r="Q1588" t="s" s="2">
        <v>3046</v>
      </c>
      <c r="R1588" t="s" s="2">
        <f>_xlfn.IFERROR(INDEX('model_byCAP'!$D$2:$D$377,MATCH(Q1588,'model_byCAP'!$A$2:$A$377,0)),0)</f>
        <v>3047</v>
      </c>
    </row>
    <row r="1589" ht="15.35" customHeight="1">
      <c r="A1589" t="s" s="2">
        <v>3153</v>
      </c>
      <c r="B1589" s="4">
        <v>36800</v>
      </c>
      <c r="C1589" s="5">
        <v>1300</v>
      </c>
      <c r="D1589" s="5">
        <v>62</v>
      </c>
      <c r="E1589" s="5">
        <v>68</v>
      </c>
      <c r="F1589" t="s" s="2">
        <v>1989</v>
      </c>
      <c r="G1589" t="s" s="2">
        <v>3042</v>
      </c>
      <c r="H1589" s="5">
        <v>657</v>
      </c>
      <c r="I1589" t="s" s="2">
        <v>541</v>
      </c>
      <c r="J1589" t="s" s="2">
        <v>22</v>
      </c>
      <c r="K1589" t="s" s="2">
        <v>3152</v>
      </c>
      <c r="L1589" t="s" s="2">
        <v>502</v>
      </c>
      <c r="M1589" s="5">
        <v>500470.31</v>
      </c>
      <c r="N1589" s="5">
        <v>6247466.49</v>
      </c>
      <c r="O1589" t="s" s="2">
        <v>305</v>
      </c>
      <c r="P1589" s="5">
        <v>2050333</v>
      </c>
      <c r="Q1589" t="s" s="2">
        <v>3046</v>
      </c>
      <c r="R1589" t="s" s="2">
        <f>_xlfn.IFERROR(INDEX('model_byCAP'!$D$2:$D$377,MATCH(Q1589,'model_byCAP'!$A$2:$A$377,0)),0)</f>
        <v>3047</v>
      </c>
    </row>
    <row r="1590" ht="15.35" customHeight="1">
      <c r="A1590" t="s" s="2">
        <v>3154</v>
      </c>
      <c r="B1590" s="4">
        <v>37606</v>
      </c>
      <c r="C1590" s="5">
        <v>1300</v>
      </c>
      <c r="D1590" s="5">
        <v>60</v>
      </c>
      <c r="E1590" s="5">
        <v>45</v>
      </c>
      <c r="F1590" t="s" s="2">
        <v>2328</v>
      </c>
      <c r="G1590" t="s" s="2">
        <v>3020</v>
      </c>
      <c r="H1590" s="5">
        <v>706</v>
      </c>
      <c r="I1590" t="s" s="2">
        <v>3155</v>
      </c>
      <c r="J1590" t="s" s="2">
        <v>22</v>
      </c>
      <c r="K1590" t="s" s="2">
        <v>3156</v>
      </c>
      <c r="L1590" t="s" s="2">
        <v>3157</v>
      </c>
      <c r="M1590" s="5">
        <v>603088.77</v>
      </c>
      <c r="N1590" s="5">
        <v>6224572.3</v>
      </c>
      <c r="O1590" t="s" s="2">
        <v>305</v>
      </c>
      <c r="P1590" s="5">
        <v>2002291</v>
      </c>
      <c r="Q1590" t="s" s="2">
        <v>3023</v>
      </c>
      <c r="R1590" t="s" s="2">
        <f>_xlfn.IFERROR(INDEX('model_byCAP'!$D$2:$D$377,MATCH(Q1590,'model_byCAP'!$A$2:$A$377,0)),0)</f>
        <v>3024</v>
      </c>
    </row>
    <row r="1591" ht="15.35" customHeight="1">
      <c r="A1591" t="s" s="2">
        <v>3158</v>
      </c>
      <c r="B1591" s="4">
        <v>37606</v>
      </c>
      <c r="C1591" s="5">
        <v>1300</v>
      </c>
      <c r="D1591" s="5">
        <v>60</v>
      </c>
      <c r="E1591" s="5">
        <v>45</v>
      </c>
      <c r="F1591" t="s" s="2">
        <v>2328</v>
      </c>
      <c r="G1591" t="s" s="2">
        <v>3020</v>
      </c>
      <c r="H1591" s="5">
        <v>706</v>
      </c>
      <c r="I1591" t="s" s="2">
        <v>3155</v>
      </c>
      <c r="J1591" t="s" s="2">
        <v>22</v>
      </c>
      <c r="K1591" t="s" s="2">
        <v>3156</v>
      </c>
      <c r="L1591" t="s" s="2">
        <v>3157</v>
      </c>
      <c r="M1591" s="5">
        <v>602998.25</v>
      </c>
      <c r="N1591" s="5">
        <v>6225072.26</v>
      </c>
      <c r="O1591" t="s" s="2">
        <v>305</v>
      </c>
      <c r="P1591" s="5">
        <v>2002301</v>
      </c>
      <c r="Q1591" t="s" s="2">
        <v>3023</v>
      </c>
      <c r="R1591" t="s" s="2">
        <f>_xlfn.IFERROR(INDEX('model_byCAP'!$D$2:$D$377,MATCH(Q1591,'model_byCAP'!$A$2:$A$377,0)),0)</f>
        <v>3024</v>
      </c>
    </row>
    <row r="1592" ht="15.35" customHeight="1">
      <c r="A1592" t="s" s="2">
        <v>3159</v>
      </c>
      <c r="B1592" s="4">
        <v>37606</v>
      </c>
      <c r="C1592" s="5">
        <v>1300</v>
      </c>
      <c r="D1592" s="5">
        <v>60</v>
      </c>
      <c r="E1592" s="5">
        <v>45</v>
      </c>
      <c r="F1592" t="s" s="2">
        <v>2328</v>
      </c>
      <c r="G1592" t="s" s="2">
        <v>3020</v>
      </c>
      <c r="H1592" s="5">
        <v>706</v>
      </c>
      <c r="I1592" t="s" s="2">
        <v>3155</v>
      </c>
      <c r="J1592" t="s" s="2">
        <v>22</v>
      </c>
      <c r="K1592" t="s" s="2">
        <v>3156</v>
      </c>
      <c r="L1592" t="s" s="2">
        <v>3160</v>
      </c>
      <c r="M1592" s="5">
        <v>603027.04</v>
      </c>
      <c r="N1592" s="5">
        <v>6224904.91</v>
      </c>
      <c r="O1592" t="s" s="2">
        <v>305</v>
      </c>
      <c r="P1592" s="5">
        <v>2002311</v>
      </c>
      <c r="Q1592" t="s" s="2">
        <v>3023</v>
      </c>
      <c r="R1592" t="s" s="2">
        <f>_xlfn.IFERROR(INDEX('model_byCAP'!$D$2:$D$377,MATCH(Q1592,'model_byCAP'!$A$2:$A$377,0)),0)</f>
        <v>3024</v>
      </c>
    </row>
    <row r="1593" ht="15.35" customHeight="1">
      <c r="A1593" t="s" s="2">
        <v>3161</v>
      </c>
      <c r="B1593" s="4">
        <v>37606</v>
      </c>
      <c r="C1593" s="5">
        <v>1300</v>
      </c>
      <c r="D1593" s="5">
        <v>60</v>
      </c>
      <c r="E1593" s="5">
        <v>45</v>
      </c>
      <c r="F1593" t="s" s="2">
        <v>2328</v>
      </c>
      <c r="G1593" t="s" s="2">
        <v>3020</v>
      </c>
      <c r="H1593" s="5">
        <v>706</v>
      </c>
      <c r="I1593" t="s" s="2">
        <v>3155</v>
      </c>
      <c r="J1593" t="s" s="2">
        <v>22</v>
      </c>
      <c r="K1593" t="s" s="2">
        <v>3156</v>
      </c>
      <c r="L1593" t="s" s="2">
        <v>3157</v>
      </c>
      <c r="M1593" s="5">
        <v>603057.8199999999</v>
      </c>
      <c r="N1593" s="5">
        <v>6224738.61</v>
      </c>
      <c r="O1593" t="s" s="2">
        <v>305</v>
      </c>
      <c r="P1593" s="5">
        <v>2002321</v>
      </c>
      <c r="Q1593" t="s" s="2">
        <v>3023</v>
      </c>
      <c r="R1593" t="s" s="2">
        <f>_xlfn.IFERROR(INDEX('model_byCAP'!$D$2:$D$377,MATCH(Q1593,'model_byCAP'!$A$2:$A$377,0)),0)</f>
        <v>3024</v>
      </c>
    </row>
    <row r="1594" ht="15.35" customHeight="1">
      <c r="A1594" t="s" s="2">
        <v>3162</v>
      </c>
      <c r="B1594" s="4">
        <v>36738</v>
      </c>
      <c r="C1594" s="5">
        <v>1300</v>
      </c>
      <c r="D1594" s="5">
        <v>62</v>
      </c>
      <c r="E1594" s="5">
        <v>69</v>
      </c>
      <c r="F1594" t="s" s="2">
        <v>1989</v>
      </c>
      <c r="G1594" t="s" s="2">
        <v>3042</v>
      </c>
      <c r="H1594" s="5">
        <v>756</v>
      </c>
      <c r="I1594" t="s" s="2">
        <v>456</v>
      </c>
      <c r="J1594" t="s" s="2">
        <v>22</v>
      </c>
      <c r="K1594" t="s" s="2">
        <v>3163</v>
      </c>
      <c r="L1594" t="s" s="2">
        <v>3164</v>
      </c>
      <c r="M1594" s="5">
        <v>504047.32</v>
      </c>
      <c r="N1594" s="5">
        <v>6197641.83</v>
      </c>
      <c r="O1594" t="s" s="2">
        <v>305</v>
      </c>
      <c r="P1594" s="5">
        <v>16084</v>
      </c>
      <c r="Q1594" t="s" s="2">
        <v>3046</v>
      </c>
      <c r="R1594" t="s" s="2">
        <f>_xlfn.IFERROR(INDEX('model_byCAP'!$D$2:$D$377,MATCH(Q1594,'model_byCAP'!$A$2:$A$377,0)),0)</f>
        <v>3047</v>
      </c>
    </row>
    <row r="1595" ht="15.35" customHeight="1">
      <c r="A1595" t="s" s="2">
        <v>3165</v>
      </c>
      <c r="B1595" s="4">
        <v>36738</v>
      </c>
      <c r="C1595" s="5">
        <v>1300</v>
      </c>
      <c r="D1595" s="5">
        <v>62</v>
      </c>
      <c r="E1595" s="5">
        <v>69</v>
      </c>
      <c r="F1595" t="s" s="2">
        <v>1989</v>
      </c>
      <c r="G1595" t="s" s="2">
        <v>3042</v>
      </c>
      <c r="H1595" s="5">
        <v>756</v>
      </c>
      <c r="I1595" t="s" s="2">
        <v>456</v>
      </c>
      <c r="J1595" t="s" s="2">
        <v>22</v>
      </c>
      <c r="K1595" t="s" s="2">
        <v>3163</v>
      </c>
      <c r="L1595" t="s" s="2">
        <v>1161</v>
      </c>
      <c r="M1595" s="5">
        <v>504093.11</v>
      </c>
      <c r="N1595" s="5">
        <v>6197827.37</v>
      </c>
      <c r="O1595" t="s" s="2">
        <v>305</v>
      </c>
      <c r="P1595" s="5">
        <v>16084</v>
      </c>
      <c r="Q1595" t="s" s="2">
        <v>3046</v>
      </c>
      <c r="R1595" t="s" s="2">
        <f>_xlfn.IFERROR(INDEX('model_byCAP'!$D$2:$D$377,MATCH(Q1595,'model_byCAP'!$A$2:$A$377,0)),0)</f>
        <v>3047</v>
      </c>
    </row>
    <row r="1596" ht="15.35" customHeight="1">
      <c r="A1596" t="s" s="2">
        <v>3166</v>
      </c>
      <c r="B1596" s="4">
        <v>36738</v>
      </c>
      <c r="C1596" s="5">
        <v>1300</v>
      </c>
      <c r="D1596" s="5">
        <v>62</v>
      </c>
      <c r="E1596" s="5">
        <v>69</v>
      </c>
      <c r="F1596" t="s" s="2">
        <v>1989</v>
      </c>
      <c r="G1596" t="s" s="2">
        <v>3042</v>
      </c>
      <c r="H1596" s="5">
        <v>756</v>
      </c>
      <c r="I1596" t="s" s="2">
        <v>456</v>
      </c>
      <c r="J1596" t="s" s="2">
        <v>22</v>
      </c>
      <c r="K1596" t="s" s="2">
        <v>3163</v>
      </c>
      <c r="L1596" t="s" s="2">
        <v>3167</v>
      </c>
      <c r="M1596" s="5">
        <v>504002.2</v>
      </c>
      <c r="N1596" s="5">
        <v>6197456.9</v>
      </c>
      <c r="O1596" t="s" s="2">
        <v>305</v>
      </c>
      <c r="P1596" s="5">
        <v>16085</v>
      </c>
      <c r="Q1596" t="s" s="2">
        <v>3046</v>
      </c>
      <c r="R1596" t="s" s="2">
        <f>_xlfn.IFERROR(INDEX('model_byCAP'!$D$2:$D$377,MATCH(Q1596,'model_byCAP'!$A$2:$A$377,0)),0)</f>
        <v>3047</v>
      </c>
    </row>
    <row r="1597" ht="15.35" customHeight="1">
      <c r="A1597" t="s" s="2">
        <v>3168</v>
      </c>
      <c r="B1597" s="4">
        <v>37609</v>
      </c>
      <c r="C1597" s="5">
        <v>1300</v>
      </c>
      <c r="D1597" s="5">
        <v>62</v>
      </c>
      <c r="E1597" s="5">
        <v>60</v>
      </c>
      <c r="F1597" t="s" s="2">
        <v>1989</v>
      </c>
      <c r="G1597" t="s" s="2">
        <v>3076</v>
      </c>
      <c r="H1597" s="5">
        <v>773</v>
      </c>
      <c r="I1597" t="s" s="2">
        <v>1648</v>
      </c>
      <c r="J1597" t="s" s="2">
        <v>22</v>
      </c>
      <c r="K1597" t="s" s="2">
        <v>3169</v>
      </c>
      <c r="L1597" t="s" s="2">
        <v>1603</v>
      </c>
      <c r="M1597" s="5">
        <v>482756.17</v>
      </c>
      <c r="N1597" s="5">
        <v>6288207.6</v>
      </c>
      <c r="O1597" t="s" s="2">
        <v>305</v>
      </c>
      <c r="P1597" s="5">
        <v>224178</v>
      </c>
      <c r="Q1597" t="s" s="2">
        <v>3079</v>
      </c>
      <c r="R1597" t="s" s="2">
        <f>_xlfn.IFERROR(INDEX('model_byCAP'!$D$2:$D$377,MATCH(Q1597,'model_byCAP'!$A$2:$A$377,0)),0)</f>
        <v>3047</v>
      </c>
    </row>
    <row r="1598" ht="15.35" customHeight="1">
      <c r="A1598" t="s" s="2">
        <v>3170</v>
      </c>
      <c r="B1598" s="4">
        <v>37609</v>
      </c>
      <c r="C1598" s="5">
        <v>1300</v>
      </c>
      <c r="D1598" s="5">
        <v>62</v>
      </c>
      <c r="E1598" s="5">
        <v>60</v>
      </c>
      <c r="F1598" t="s" s="2">
        <v>1989</v>
      </c>
      <c r="G1598" t="s" s="2">
        <v>3076</v>
      </c>
      <c r="H1598" s="5">
        <v>773</v>
      </c>
      <c r="I1598" t="s" s="2">
        <v>1648</v>
      </c>
      <c r="J1598" t="s" s="2">
        <v>22</v>
      </c>
      <c r="K1598" t="s" s="2">
        <v>3171</v>
      </c>
      <c r="L1598" t="s" s="2">
        <v>1603</v>
      </c>
      <c r="M1598" s="5">
        <v>482702.28</v>
      </c>
      <c r="N1598" s="5">
        <v>6287913.21</v>
      </c>
      <c r="O1598" t="s" s="2">
        <v>305</v>
      </c>
      <c r="P1598" s="5">
        <v>224176</v>
      </c>
      <c r="Q1598" t="s" s="2">
        <v>3079</v>
      </c>
      <c r="R1598" t="s" s="2">
        <f>_xlfn.IFERROR(INDEX('model_byCAP'!$D$2:$D$377,MATCH(Q1598,'model_byCAP'!$A$2:$A$377,0)),0)</f>
        <v>3047</v>
      </c>
    </row>
    <row r="1599" ht="15.35" customHeight="1">
      <c r="A1599" t="s" s="2">
        <v>3172</v>
      </c>
      <c r="B1599" s="4">
        <v>36515</v>
      </c>
      <c r="C1599" s="5">
        <v>1000</v>
      </c>
      <c r="D1599" s="5">
        <v>54</v>
      </c>
      <c r="E1599" s="5">
        <v>48</v>
      </c>
      <c r="F1599" t="s" s="2">
        <v>1989</v>
      </c>
      <c r="G1599" t="s" s="2">
        <v>3173</v>
      </c>
      <c r="H1599" s="5">
        <v>326</v>
      </c>
      <c r="I1599" t="s" s="2">
        <v>1263</v>
      </c>
      <c r="J1599" t="s" s="2">
        <v>22</v>
      </c>
      <c r="K1599" t="s" s="2">
        <v>3174</v>
      </c>
      <c r="L1599" t="s" s="2">
        <v>3175</v>
      </c>
      <c r="M1599" s="5">
        <v>638084.2</v>
      </c>
      <c r="N1599" s="5">
        <v>6171351.59</v>
      </c>
      <c r="O1599" t="s" s="2">
        <v>305</v>
      </c>
      <c r="P1599" t="s" s="2">
        <v>3176</v>
      </c>
      <c r="Q1599" t="s" s="2">
        <v>3177</v>
      </c>
      <c r="R1599" t="s" s="2">
        <f>_xlfn.IFERROR(INDEX('model_byCAP'!$D$2:$D$377,MATCH(Q1599,'model_byCAP'!$A$2:$A$377,0)),0)</f>
        <v>3178</v>
      </c>
    </row>
    <row r="1600" ht="15.35" customHeight="1">
      <c r="A1600" t="s" s="2">
        <v>3179</v>
      </c>
      <c r="B1600" s="4">
        <v>36515</v>
      </c>
      <c r="C1600" s="5">
        <v>1000</v>
      </c>
      <c r="D1600" s="5">
        <v>54</v>
      </c>
      <c r="E1600" s="5">
        <v>48</v>
      </c>
      <c r="F1600" t="s" s="2">
        <v>1989</v>
      </c>
      <c r="G1600" t="s" s="2">
        <v>3173</v>
      </c>
      <c r="H1600" s="5">
        <v>326</v>
      </c>
      <c r="I1600" t="s" s="2">
        <v>1263</v>
      </c>
      <c r="J1600" t="s" s="2">
        <v>22</v>
      </c>
      <c r="K1600" t="s" s="2">
        <v>3174</v>
      </c>
      <c r="L1600" t="s" s="2">
        <v>3180</v>
      </c>
      <c r="M1600" s="5">
        <v>638029.09</v>
      </c>
      <c r="N1600" s="5">
        <v>6171196.27</v>
      </c>
      <c r="O1600" t="s" s="2">
        <v>305</v>
      </c>
      <c r="P1600" t="s" s="2">
        <v>3176</v>
      </c>
      <c r="Q1600" t="s" s="2">
        <v>3177</v>
      </c>
      <c r="R1600" t="s" s="2">
        <f>_xlfn.IFERROR(INDEX('model_byCAP'!$D$2:$D$377,MATCH(Q1600,'model_byCAP'!$A$2:$A$377,0)),0)</f>
        <v>3178</v>
      </c>
    </row>
    <row r="1601" ht="15.35" customHeight="1">
      <c r="A1601" t="s" s="2">
        <v>3181</v>
      </c>
      <c r="B1601" s="4">
        <v>36507</v>
      </c>
      <c r="C1601" s="5">
        <v>1000</v>
      </c>
      <c r="D1601" s="5">
        <v>54</v>
      </c>
      <c r="E1601" s="5">
        <v>48</v>
      </c>
      <c r="F1601" t="s" s="2">
        <v>1989</v>
      </c>
      <c r="G1601" t="s" s="2">
        <v>3173</v>
      </c>
      <c r="H1601" s="5">
        <v>326</v>
      </c>
      <c r="I1601" t="s" s="2">
        <v>1263</v>
      </c>
      <c r="J1601" t="s" s="2">
        <v>22</v>
      </c>
      <c r="K1601" t="s" s="2">
        <v>3182</v>
      </c>
      <c r="L1601" t="s" s="2">
        <v>3183</v>
      </c>
      <c r="M1601" s="5">
        <v>637973.73</v>
      </c>
      <c r="N1601" s="5">
        <v>6171040.96</v>
      </c>
      <c r="O1601" t="s" s="2">
        <v>305</v>
      </c>
      <c r="P1601" s="5">
        <v>40081257</v>
      </c>
      <c r="Q1601" t="s" s="2">
        <v>3177</v>
      </c>
      <c r="R1601" t="s" s="2">
        <f>_xlfn.IFERROR(INDEX('model_byCAP'!$D$2:$D$377,MATCH(Q1601,'model_byCAP'!$A$2:$A$377,0)),0)</f>
        <v>3178</v>
      </c>
    </row>
    <row r="1602" ht="15.35" customHeight="1">
      <c r="A1602" t="s" s="2">
        <v>3184</v>
      </c>
      <c r="B1602" s="4">
        <v>36706</v>
      </c>
      <c r="C1602" s="5">
        <v>1000</v>
      </c>
      <c r="D1602" s="5">
        <v>54.2</v>
      </c>
      <c r="E1602" s="5">
        <v>47.8</v>
      </c>
      <c r="F1602" t="s" s="2">
        <v>1989</v>
      </c>
      <c r="G1602" t="s" s="2">
        <v>3173</v>
      </c>
      <c r="H1602" s="5">
        <v>329</v>
      </c>
      <c r="I1602" t="s" s="2">
        <v>2902</v>
      </c>
      <c r="J1602" t="s" s="2">
        <v>22</v>
      </c>
      <c r="K1602" t="s" s="2">
        <v>3185</v>
      </c>
      <c r="L1602" t="s" s="2">
        <v>2872</v>
      </c>
      <c r="M1602" s="5">
        <v>679487.59</v>
      </c>
      <c r="N1602" s="5">
        <v>6141573.65</v>
      </c>
      <c r="O1602" t="s" s="2">
        <v>305</v>
      </c>
      <c r="P1602" s="5">
        <v>195069</v>
      </c>
      <c r="Q1602" t="s" s="2">
        <v>3177</v>
      </c>
      <c r="R1602" t="s" s="2">
        <f>_xlfn.IFERROR(INDEX('model_byCAP'!$D$2:$D$377,MATCH(Q1602,'model_byCAP'!$A$2:$A$377,0)),0)</f>
        <v>3178</v>
      </c>
    </row>
    <row r="1603" ht="15.35" customHeight="1">
      <c r="A1603" t="s" s="2">
        <v>3186</v>
      </c>
      <c r="B1603" s="4">
        <v>36546</v>
      </c>
      <c r="C1603" s="5">
        <v>1000</v>
      </c>
      <c r="D1603" s="5">
        <v>54.2</v>
      </c>
      <c r="E1603" s="5">
        <v>45</v>
      </c>
      <c r="F1603" t="s" s="2">
        <v>1989</v>
      </c>
      <c r="G1603" t="s" s="2">
        <v>3173</v>
      </c>
      <c r="H1603" s="5">
        <v>360</v>
      </c>
      <c r="I1603" t="s" s="2">
        <v>463</v>
      </c>
      <c r="J1603" t="s" s="2">
        <v>22</v>
      </c>
      <c r="K1603" t="s" s="2">
        <v>3187</v>
      </c>
      <c r="L1603" t="s" s="2">
        <v>394</v>
      </c>
      <c r="M1603" s="5">
        <v>639306.6</v>
      </c>
      <c r="N1603" s="5">
        <v>6075314.2</v>
      </c>
      <c r="O1603" t="s" s="2">
        <v>305</v>
      </c>
      <c r="P1603" s="5">
        <v>194119</v>
      </c>
      <c r="Q1603" t="s" s="2">
        <v>3177</v>
      </c>
      <c r="R1603" t="s" s="2">
        <f>_xlfn.IFERROR(INDEX('model_byCAP'!$D$2:$D$377,MATCH(Q1603,'model_byCAP'!$A$2:$A$377,0)),0)</f>
        <v>3178</v>
      </c>
    </row>
    <row r="1604" ht="15.35" customHeight="1">
      <c r="A1604" t="s" s="2">
        <v>3188</v>
      </c>
      <c r="B1604" s="4">
        <v>36546</v>
      </c>
      <c r="C1604" s="5">
        <v>1000</v>
      </c>
      <c r="D1604" s="5">
        <v>54.2</v>
      </c>
      <c r="E1604" s="5">
        <v>45</v>
      </c>
      <c r="F1604" t="s" s="2">
        <v>1989</v>
      </c>
      <c r="G1604" t="s" s="2">
        <v>3173</v>
      </c>
      <c r="H1604" s="5">
        <v>360</v>
      </c>
      <c r="I1604" t="s" s="2">
        <v>463</v>
      </c>
      <c r="J1604" t="s" s="2">
        <v>22</v>
      </c>
      <c r="K1604" t="s" s="2">
        <v>3189</v>
      </c>
      <c r="L1604" t="s" s="2">
        <v>3190</v>
      </c>
      <c r="M1604" s="5">
        <v>639204.3199999999</v>
      </c>
      <c r="N1604" s="5">
        <v>6075172.38</v>
      </c>
      <c r="O1604" t="s" s="2">
        <v>305</v>
      </c>
      <c r="P1604" s="5">
        <v>194120</v>
      </c>
      <c r="Q1604" t="s" s="2">
        <v>3177</v>
      </c>
      <c r="R1604" t="s" s="2">
        <f>_xlfn.IFERROR(INDEX('model_byCAP'!$D$2:$D$377,MATCH(Q1604,'model_byCAP'!$A$2:$A$377,0)),0)</f>
        <v>3178</v>
      </c>
    </row>
    <row r="1605" ht="15.35" customHeight="1">
      <c r="A1605" t="s" s="2">
        <v>3191</v>
      </c>
      <c r="B1605" s="4">
        <v>36546</v>
      </c>
      <c r="C1605" s="5">
        <v>1000</v>
      </c>
      <c r="D1605" s="5">
        <v>54.2</v>
      </c>
      <c r="E1605" s="5">
        <v>45</v>
      </c>
      <c r="F1605" t="s" s="2">
        <v>1989</v>
      </c>
      <c r="G1605" t="s" s="2">
        <v>3173</v>
      </c>
      <c r="H1605" s="5">
        <v>360</v>
      </c>
      <c r="I1605" t="s" s="2">
        <v>463</v>
      </c>
      <c r="J1605" t="s" s="2">
        <v>22</v>
      </c>
      <c r="K1605" t="s" s="2">
        <v>3189</v>
      </c>
      <c r="L1605" t="s" s="2">
        <v>3192</v>
      </c>
      <c r="M1605" s="5">
        <v>639159.08</v>
      </c>
      <c r="N1605" s="5">
        <v>6075340.63</v>
      </c>
      <c r="O1605" t="s" s="2">
        <v>305</v>
      </c>
      <c r="P1605" s="5">
        <v>194121</v>
      </c>
      <c r="Q1605" t="s" s="2">
        <v>3177</v>
      </c>
      <c r="R1605" t="s" s="2">
        <f>_xlfn.IFERROR(INDEX('model_byCAP'!$D$2:$D$377,MATCH(Q1605,'model_byCAP'!$A$2:$A$377,0)),0)</f>
        <v>3178</v>
      </c>
    </row>
    <row r="1606" ht="15.35" customHeight="1">
      <c r="A1606" t="s" s="2">
        <v>3193</v>
      </c>
      <c r="B1606" s="4">
        <v>36546</v>
      </c>
      <c r="C1606" s="5">
        <v>1000</v>
      </c>
      <c r="D1606" s="5">
        <v>54.2</v>
      </c>
      <c r="E1606" s="5">
        <v>45</v>
      </c>
      <c r="F1606" t="s" s="2">
        <v>1989</v>
      </c>
      <c r="G1606" t="s" s="2">
        <v>3173</v>
      </c>
      <c r="H1606" s="5">
        <v>360</v>
      </c>
      <c r="I1606" t="s" s="2">
        <v>463</v>
      </c>
      <c r="J1606" t="s" s="2">
        <v>22</v>
      </c>
      <c r="K1606" t="s" s="2">
        <v>3187</v>
      </c>
      <c r="L1606" t="s" s="2">
        <v>3194</v>
      </c>
      <c r="M1606" s="5">
        <v>639260.38</v>
      </c>
      <c r="N1606" s="5">
        <v>6075482.83</v>
      </c>
      <c r="O1606" t="s" s="2">
        <v>305</v>
      </c>
      <c r="P1606" s="5">
        <v>194122</v>
      </c>
      <c r="Q1606" t="s" s="2">
        <v>3177</v>
      </c>
      <c r="R1606" t="s" s="2">
        <f>_xlfn.IFERROR(INDEX('model_byCAP'!$D$2:$D$377,MATCH(Q1606,'model_byCAP'!$A$2:$A$377,0)),0)</f>
        <v>3178</v>
      </c>
    </row>
    <row r="1607" ht="15.35" customHeight="1">
      <c r="A1607" t="s" s="2">
        <v>3195</v>
      </c>
      <c r="B1607" s="4">
        <v>36843</v>
      </c>
      <c r="C1607" s="5">
        <v>1000</v>
      </c>
      <c r="D1607" s="5">
        <v>54.2</v>
      </c>
      <c r="E1607" s="5">
        <v>48</v>
      </c>
      <c r="F1607" t="s" s="2">
        <v>42</v>
      </c>
      <c r="G1607" t="s" s="2">
        <v>42</v>
      </c>
      <c r="H1607" s="5">
        <v>479</v>
      </c>
      <c r="I1607" t="s" s="2">
        <v>2082</v>
      </c>
      <c r="J1607" t="s" s="2">
        <v>22</v>
      </c>
      <c r="K1607" t="s" s="2">
        <v>3196</v>
      </c>
      <c r="L1607" t="s" s="2">
        <v>403</v>
      </c>
      <c r="M1607" s="5">
        <v>608286.73</v>
      </c>
      <c r="N1607" s="5">
        <v>6108873.43</v>
      </c>
      <c r="O1607" t="s" s="2">
        <v>305</v>
      </c>
      <c r="P1607" s="5">
        <v>50738</v>
      </c>
      <c r="Q1607" t="s" s="2">
        <v>43</v>
      </c>
      <c r="R1607" s="5">
        <f>_xlfn.IFERROR(INDEX('model_byCAP'!$D$2:$D$377,MATCH(Q1607,'model_byCAP'!$A$2:$A$377,0)),0)</f>
        <v>0</v>
      </c>
    </row>
    <row r="1608" ht="15.35" customHeight="1">
      <c r="A1608" t="s" s="2">
        <v>3197</v>
      </c>
      <c r="B1608" s="4">
        <v>36844</v>
      </c>
      <c r="C1608" s="5">
        <v>1000</v>
      </c>
      <c r="D1608" s="5">
        <v>54.2</v>
      </c>
      <c r="E1608" s="5">
        <v>48</v>
      </c>
      <c r="F1608" t="s" s="2">
        <v>42</v>
      </c>
      <c r="G1608" t="s" s="2">
        <v>42</v>
      </c>
      <c r="H1608" s="5">
        <v>479</v>
      </c>
      <c r="I1608" t="s" s="2">
        <v>2082</v>
      </c>
      <c r="J1608" t="s" s="2">
        <v>22</v>
      </c>
      <c r="K1608" t="s" s="2">
        <v>3196</v>
      </c>
      <c r="L1608" t="s" s="2">
        <v>403</v>
      </c>
      <c r="M1608" s="5">
        <v>608137.14</v>
      </c>
      <c r="N1608" s="5">
        <v>6109086.53</v>
      </c>
      <c r="O1608" t="s" s="2">
        <v>305</v>
      </c>
      <c r="P1608" s="5">
        <v>50739</v>
      </c>
      <c r="Q1608" t="s" s="2">
        <v>43</v>
      </c>
      <c r="R1608" s="5">
        <f>_xlfn.IFERROR(INDEX('model_byCAP'!$D$2:$D$377,MATCH(Q1608,'model_byCAP'!$A$2:$A$377,0)),0)</f>
        <v>0</v>
      </c>
    </row>
    <row r="1609" ht="15.35" customHeight="1">
      <c r="A1609" t="s" s="2">
        <v>3198</v>
      </c>
      <c r="B1609" s="4">
        <v>36828</v>
      </c>
      <c r="C1609" s="5">
        <v>1000</v>
      </c>
      <c r="D1609" s="5">
        <v>54.2</v>
      </c>
      <c r="E1609" s="5">
        <v>47.8</v>
      </c>
      <c r="F1609" t="s" s="2">
        <v>1989</v>
      </c>
      <c r="G1609" t="s" s="2">
        <v>3173</v>
      </c>
      <c r="H1609" s="5">
        <v>482</v>
      </c>
      <c r="I1609" t="s" s="2">
        <v>1523</v>
      </c>
      <c r="J1609" t="s" s="2">
        <v>22</v>
      </c>
      <c r="K1609" t="s" s="2">
        <v>3199</v>
      </c>
      <c r="L1609" t="s" s="2">
        <v>2872</v>
      </c>
      <c r="M1609" s="5">
        <v>610240.53</v>
      </c>
      <c r="N1609" s="5">
        <v>6081543.69</v>
      </c>
      <c r="O1609" t="s" s="2">
        <v>305</v>
      </c>
      <c r="P1609" s="5">
        <v>10056221</v>
      </c>
      <c r="Q1609" t="s" s="2">
        <v>3177</v>
      </c>
      <c r="R1609" t="s" s="2">
        <f>_xlfn.IFERROR(INDEX('model_byCAP'!$D$2:$D$377,MATCH(Q1609,'model_byCAP'!$A$2:$A$377,0)),0)</f>
        <v>3178</v>
      </c>
    </row>
    <row r="1610" ht="15.35" customHeight="1">
      <c r="A1610" t="s" s="2">
        <v>3200</v>
      </c>
      <c r="B1610" s="4">
        <v>36822</v>
      </c>
      <c r="C1610" s="5">
        <v>1000</v>
      </c>
      <c r="D1610" s="5">
        <v>54.2</v>
      </c>
      <c r="E1610" s="5">
        <v>47.8</v>
      </c>
      <c r="F1610" t="s" s="2">
        <v>1989</v>
      </c>
      <c r="G1610" t="s" s="2">
        <v>3173</v>
      </c>
      <c r="H1610" s="5">
        <v>482</v>
      </c>
      <c r="I1610" t="s" s="2">
        <v>1523</v>
      </c>
      <c r="J1610" t="s" s="2">
        <v>22</v>
      </c>
      <c r="K1610" t="s" s="2">
        <v>3201</v>
      </c>
      <c r="L1610" s="5">
        <v>28</v>
      </c>
      <c r="M1610" s="5">
        <v>609351.4399999999</v>
      </c>
      <c r="N1610" s="5">
        <v>6069549.75</v>
      </c>
      <c r="O1610" t="s" s="2">
        <v>305</v>
      </c>
      <c r="P1610" s="5">
        <v>21516105</v>
      </c>
      <c r="Q1610" t="s" s="2">
        <v>3177</v>
      </c>
      <c r="R1610" t="s" s="2">
        <f>_xlfn.IFERROR(INDEX('model_byCAP'!$D$2:$D$377,MATCH(Q1610,'model_byCAP'!$A$2:$A$377,0)),0)</f>
        <v>3178</v>
      </c>
    </row>
    <row r="1611" ht="15.35" customHeight="1">
      <c r="A1611" t="s" s="2">
        <v>3202</v>
      </c>
      <c r="B1611" s="4">
        <v>36822</v>
      </c>
      <c r="C1611" s="5">
        <v>1000</v>
      </c>
      <c r="D1611" s="5">
        <v>54.2</v>
      </c>
      <c r="E1611" s="5">
        <v>47.8</v>
      </c>
      <c r="F1611" t="s" s="2">
        <v>1989</v>
      </c>
      <c r="G1611" t="s" s="2">
        <v>3173</v>
      </c>
      <c r="H1611" s="5">
        <v>482</v>
      </c>
      <c r="I1611" t="s" s="2">
        <v>1523</v>
      </c>
      <c r="J1611" t="s" s="2">
        <v>22</v>
      </c>
      <c r="K1611" t="s" s="2">
        <v>3201</v>
      </c>
      <c r="L1611" t="s" s="2">
        <v>3203</v>
      </c>
      <c r="M1611" s="5">
        <v>609296.26</v>
      </c>
      <c r="N1611" s="5">
        <v>6070111.1</v>
      </c>
      <c r="O1611" t="s" s="2">
        <v>305</v>
      </c>
      <c r="P1611" s="5">
        <v>21516109</v>
      </c>
      <c r="Q1611" t="s" s="2">
        <v>3177</v>
      </c>
      <c r="R1611" t="s" s="2">
        <f>_xlfn.IFERROR(INDEX('model_byCAP'!$D$2:$D$377,MATCH(Q1611,'model_byCAP'!$A$2:$A$377,0)),0)</f>
        <v>3178</v>
      </c>
    </row>
    <row r="1612" ht="15.35" customHeight="1">
      <c r="A1612" t="s" s="2">
        <v>3204</v>
      </c>
      <c r="B1612" s="4">
        <v>36824</v>
      </c>
      <c r="C1612" s="5">
        <v>1000</v>
      </c>
      <c r="D1612" s="5">
        <v>54.2</v>
      </c>
      <c r="E1612" s="5">
        <v>47.8</v>
      </c>
      <c r="F1612" t="s" s="2">
        <v>1989</v>
      </c>
      <c r="G1612" t="s" s="2">
        <v>3173</v>
      </c>
      <c r="H1612" s="5">
        <v>482</v>
      </c>
      <c r="I1612" t="s" s="2">
        <v>1523</v>
      </c>
      <c r="J1612" t="s" s="2">
        <v>22</v>
      </c>
      <c r="K1612" t="s" s="2">
        <v>3201</v>
      </c>
      <c r="L1612" t="s" s="2">
        <v>3205</v>
      </c>
      <c r="M1612" s="5">
        <v>611228.21</v>
      </c>
      <c r="N1612" s="5">
        <v>6069388.93</v>
      </c>
      <c r="O1612" t="s" s="2">
        <v>305</v>
      </c>
      <c r="P1612" s="5">
        <v>21972106</v>
      </c>
      <c r="Q1612" t="s" s="2">
        <v>3177</v>
      </c>
      <c r="R1612" t="s" s="2">
        <f>_xlfn.IFERROR(INDEX('model_byCAP'!$D$2:$D$377,MATCH(Q1612,'model_byCAP'!$A$2:$A$377,0)),0)</f>
        <v>3178</v>
      </c>
    </row>
    <row r="1613" ht="15.35" customHeight="1">
      <c r="A1613" t="s" s="2">
        <v>3206</v>
      </c>
      <c r="B1613" s="4">
        <v>36146</v>
      </c>
      <c r="C1613" s="5">
        <v>1000</v>
      </c>
      <c r="D1613" s="5">
        <v>54</v>
      </c>
      <c r="E1613" s="5">
        <v>50</v>
      </c>
      <c r="F1613" t="s" s="2">
        <v>1989</v>
      </c>
      <c r="G1613" t="s" s="2">
        <v>3207</v>
      </c>
      <c r="H1613" s="5">
        <v>482</v>
      </c>
      <c r="I1613" t="s" s="2">
        <v>1523</v>
      </c>
      <c r="J1613" t="s" s="2">
        <v>22</v>
      </c>
      <c r="K1613" t="s" s="2">
        <v>3208</v>
      </c>
      <c r="L1613" t="s" s="2">
        <v>524</v>
      </c>
      <c r="M1613" s="5">
        <v>620019.76</v>
      </c>
      <c r="N1613" s="5">
        <v>6107188.04</v>
      </c>
      <c r="O1613" t="s" s="2">
        <v>305</v>
      </c>
      <c r="P1613" s="5">
        <v>37436214</v>
      </c>
      <c r="Q1613" t="s" s="2">
        <v>3209</v>
      </c>
      <c r="R1613" t="s" s="2">
        <f>_xlfn.IFERROR(INDEX('model_byCAP'!$D$2:$D$377,MATCH(Q1613,'model_byCAP'!$A$2:$A$377,0)),0)</f>
        <v>3178</v>
      </c>
    </row>
    <row r="1614" ht="15.35" customHeight="1">
      <c r="A1614" t="s" s="2">
        <v>3210</v>
      </c>
      <c r="B1614" s="4">
        <v>37502</v>
      </c>
      <c r="C1614" s="5">
        <v>1000</v>
      </c>
      <c r="D1614" s="5">
        <v>54.2</v>
      </c>
      <c r="E1614" s="5">
        <v>47.8</v>
      </c>
      <c r="F1614" t="s" s="2">
        <v>1989</v>
      </c>
      <c r="G1614" t="s" s="2">
        <v>3173</v>
      </c>
      <c r="H1614" s="5">
        <v>482</v>
      </c>
      <c r="I1614" t="s" s="2">
        <v>1523</v>
      </c>
      <c r="J1614" t="s" s="2">
        <v>22</v>
      </c>
      <c r="K1614" t="s" s="2">
        <v>3211</v>
      </c>
      <c r="L1614" t="s" s="2">
        <v>1196</v>
      </c>
      <c r="M1614" s="5">
        <v>607939.13</v>
      </c>
      <c r="N1614" s="5">
        <v>6080065.29</v>
      </c>
      <c r="O1614" t="s" s="2">
        <v>305</v>
      </c>
      <c r="P1614" s="5">
        <v>11464204</v>
      </c>
      <c r="Q1614" t="s" s="2">
        <v>3177</v>
      </c>
      <c r="R1614" t="s" s="2">
        <f>_xlfn.IFERROR(INDEX('model_byCAP'!$D$2:$D$377,MATCH(Q1614,'model_byCAP'!$A$2:$A$377,0)),0)</f>
        <v>3178</v>
      </c>
    </row>
    <row r="1615" ht="15.35" customHeight="1">
      <c r="A1615" t="s" s="2">
        <v>3212</v>
      </c>
      <c r="B1615" s="4">
        <v>36598</v>
      </c>
      <c r="C1615" s="5">
        <v>1000</v>
      </c>
      <c r="D1615" s="5">
        <v>54</v>
      </c>
      <c r="E1615" s="5">
        <v>45</v>
      </c>
      <c r="F1615" t="s" s="2">
        <v>1989</v>
      </c>
      <c r="G1615" t="s" s="2">
        <v>3173</v>
      </c>
      <c r="H1615" s="5">
        <v>510</v>
      </c>
      <c r="I1615" t="s" s="2">
        <v>3049</v>
      </c>
      <c r="J1615" t="s" s="2">
        <v>22</v>
      </c>
      <c r="K1615" t="s" s="2">
        <v>3213</v>
      </c>
      <c r="L1615" s="5">
        <v>63</v>
      </c>
      <c r="M1615" s="5">
        <v>517263.29</v>
      </c>
      <c r="N1615" s="5">
        <v>6133425.63</v>
      </c>
      <c r="O1615" t="s" s="2">
        <v>305</v>
      </c>
      <c r="P1615" s="5">
        <v>200003</v>
      </c>
      <c r="Q1615" t="s" s="2">
        <v>3177</v>
      </c>
      <c r="R1615" t="s" s="2">
        <f>_xlfn.IFERROR(INDEX('model_byCAP'!$D$2:$D$377,MATCH(Q1615,'model_byCAP'!$A$2:$A$377,0)),0)</f>
        <v>3178</v>
      </c>
    </row>
    <row r="1616" ht="15.35" customHeight="1">
      <c r="A1616" t="s" s="2">
        <v>3214</v>
      </c>
      <c r="B1616" s="4">
        <v>36837</v>
      </c>
      <c r="C1616" s="5">
        <v>1000</v>
      </c>
      <c r="D1616" s="5">
        <v>54.2</v>
      </c>
      <c r="E1616" s="5">
        <v>45</v>
      </c>
      <c r="F1616" t="s" s="2">
        <v>1989</v>
      </c>
      <c r="G1616" t="s" s="2">
        <v>3173</v>
      </c>
      <c r="H1616" s="5">
        <v>510</v>
      </c>
      <c r="I1616" t="s" s="2">
        <v>3049</v>
      </c>
      <c r="J1616" t="s" s="2">
        <v>22</v>
      </c>
      <c r="K1616" t="s" s="2">
        <v>3215</v>
      </c>
      <c r="L1616" s="5">
        <v>199</v>
      </c>
      <c r="M1616" s="5">
        <v>517938.66</v>
      </c>
      <c r="N1616" s="5">
        <v>6128444.61</v>
      </c>
      <c r="O1616" t="s" s="2">
        <v>305</v>
      </c>
      <c r="P1616" s="5">
        <v>200113</v>
      </c>
      <c r="Q1616" t="s" s="2">
        <v>3177</v>
      </c>
      <c r="R1616" t="s" s="2">
        <f>_xlfn.IFERROR(INDEX('model_byCAP'!$D$2:$D$377,MATCH(Q1616,'model_byCAP'!$A$2:$A$377,0)),0)</f>
        <v>3178</v>
      </c>
    </row>
    <row r="1617" ht="15.35" customHeight="1">
      <c r="A1617" t="s" s="2">
        <v>3216</v>
      </c>
      <c r="B1617" s="4">
        <v>36838</v>
      </c>
      <c r="C1617" s="5">
        <v>1000</v>
      </c>
      <c r="D1617" s="5">
        <v>54.2</v>
      </c>
      <c r="E1617" s="5">
        <v>45</v>
      </c>
      <c r="F1617" t="s" s="2">
        <v>1989</v>
      </c>
      <c r="G1617" t="s" s="2">
        <v>3173</v>
      </c>
      <c r="H1617" s="5">
        <v>510</v>
      </c>
      <c r="I1617" t="s" s="2">
        <v>3049</v>
      </c>
      <c r="J1617" t="s" s="2">
        <v>22</v>
      </c>
      <c r="K1617" t="s" s="2">
        <v>3215</v>
      </c>
      <c r="L1617" s="5">
        <v>6</v>
      </c>
      <c r="M1617" s="5">
        <v>517951.92</v>
      </c>
      <c r="N1617" s="5">
        <v>6128041.14</v>
      </c>
      <c r="O1617" t="s" s="2">
        <v>305</v>
      </c>
      <c r="P1617" s="5">
        <v>200114</v>
      </c>
      <c r="Q1617" t="s" s="2">
        <v>3177</v>
      </c>
      <c r="R1617" t="s" s="2">
        <f>_xlfn.IFERROR(INDEX('model_byCAP'!$D$2:$D$377,MATCH(Q1617,'model_byCAP'!$A$2:$A$377,0)),0)</f>
        <v>3178</v>
      </c>
    </row>
    <row r="1618" ht="15.35" customHeight="1">
      <c r="A1618" t="s" s="2">
        <v>3217</v>
      </c>
      <c r="B1618" s="4">
        <v>36837</v>
      </c>
      <c r="C1618" s="5">
        <v>1000</v>
      </c>
      <c r="D1618" s="5">
        <v>54.2</v>
      </c>
      <c r="E1618" s="5">
        <v>45</v>
      </c>
      <c r="F1618" t="s" s="2">
        <v>1989</v>
      </c>
      <c r="G1618" t="s" s="2">
        <v>3173</v>
      </c>
      <c r="H1618" s="5">
        <v>510</v>
      </c>
      <c r="I1618" t="s" s="2">
        <v>3049</v>
      </c>
      <c r="J1618" t="s" s="2">
        <v>22</v>
      </c>
      <c r="K1618" t="s" s="2">
        <v>3215</v>
      </c>
      <c r="L1618" s="5">
        <v>21</v>
      </c>
      <c r="M1618" s="5">
        <v>517964.98</v>
      </c>
      <c r="N1618" s="5">
        <v>6127637.48</v>
      </c>
      <c r="O1618" t="s" s="2">
        <v>305</v>
      </c>
      <c r="P1618" s="5">
        <v>200115</v>
      </c>
      <c r="Q1618" t="s" s="2">
        <v>3177</v>
      </c>
      <c r="R1618" t="s" s="2">
        <f>_xlfn.IFERROR(INDEX('model_byCAP'!$D$2:$D$377,MATCH(Q1618,'model_byCAP'!$A$2:$A$377,0)),0)</f>
        <v>3178</v>
      </c>
    </row>
    <row r="1619" ht="15.35" customHeight="1">
      <c r="A1619" t="s" s="2">
        <v>3218</v>
      </c>
      <c r="B1619" s="4">
        <v>36837</v>
      </c>
      <c r="C1619" s="5">
        <v>1000</v>
      </c>
      <c r="D1619" s="5">
        <v>54.2</v>
      </c>
      <c r="E1619" s="5">
        <v>45</v>
      </c>
      <c r="F1619" t="s" s="2">
        <v>1989</v>
      </c>
      <c r="G1619" t="s" s="2">
        <v>3173</v>
      </c>
      <c r="H1619" s="5">
        <v>510</v>
      </c>
      <c r="I1619" t="s" s="2">
        <v>3049</v>
      </c>
      <c r="J1619" t="s" s="2">
        <v>22</v>
      </c>
      <c r="K1619" t="s" s="2">
        <v>3215</v>
      </c>
      <c r="L1619" s="5">
        <v>1</v>
      </c>
      <c r="M1619" s="5">
        <v>517978.63</v>
      </c>
      <c r="N1619" s="5">
        <v>6127234.41</v>
      </c>
      <c r="O1619" t="s" s="2">
        <v>305</v>
      </c>
      <c r="P1619" s="5">
        <v>200116</v>
      </c>
      <c r="Q1619" t="s" s="2">
        <v>3177</v>
      </c>
      <c r="R1619" t="s" s="2">
        <f>_xlfn.IFERROR(INDEX('model_byCAP'!$D$2:$D$377,MATCH(Q1619,'model_byCAP'!$A$2:$A$377,0)),0)</f>
        <v>3178</v>
      </c>
    </row>
    <row r="1620" ht="15.35" customHeight="1">
      <c r="A1620" t="s" s="2">
        <v>3219</v>
      </c>
      <c r="B1620" s="4">
        <v>36759</v>
      </c>
      <c r="C1620" s="5">
        <v>1000</v>
      </c>
      <c r="D1620" s="5">
        <v>54.2</v>
      </c>
      <c r="E1620" s="5">
        <v>45</v>
      </c>
      <c r="F1620" t="s" s="2">
        <v>1989</v>
      </c>
      <c r="G1620" t="s" s="2">
        <v>3173</v>
      </c>
      <c r="H1620" s="5">
        <v>510</v>
      </c>
      <c r="I1620" t="s" s="2">
        <v>3049</v>
      </c>
      <c r="J1620" t="s" s="2">
        <v>22</v>
      </c>
      <c r="K1620" t="s" s="2">
        <v>3220</v>
      </c>
      <c r="L1620" s="5">
        <v>13</v>
      </c>
      <c r="M1620" s="5">
        <v>515666.3</v>
      </c>
      <c r="N1620" s="5">
        <v>6132208.45</v>
      </c>
      <c r="O1620" t="s" s="2">
        <v>305</v>
      </c>
      <c r="P1620" s="5">
        <v>200119</v>
      </c>
      <c r="Q1620" t="s" s="2">
        <v>3177</v>
      </c>
      <c r="R1620" t="s" s="2">
        <f>_xlfn.IFERROR(INDEX('model_byCAP'!$D$2:$D$377,MATCH(Q1620,'model_byCAP'!$A$2:$A$377,0)),0)</f>
        <v>3178</v>
      </c>
    </row>
    <row r="1621" ht="15.35" customHeight="1">
      <c r="A1621" t="s" s="2">
        <v>3221</v>
      </c>
      <c r="B1621" s="4">
        <v>36306</v>
      </c>
      <c r="C1621" s="5">
        <v>1000</v>
      </c>
      <c r="D1621" s="5">
        <v>54.2</v>
      </c>
      <c r="E1621" s="5">
        <v>46</v>
      </c>
      <c r="F1621" t="s" s="2">
        <v>1989</v>
      </c>
      <c r="G1621" t="s" s="2">
        <v>3173</v>
      </c>
      <c r="H1621" s="5">
        <v>510</v>
      </c>
      <c r="I1621" t="s" s="2">
        <v>3049</v>
      </c>
      <c r="J1621" t="s" s="2">
        <v>22</v>
      </c>
      <c r="K1621" t="s" s="2">
        <v>3222</v>
      </c>
      <c r="L1621" s="5">
        <v>12</v>
      </c>
      <c r="M1621" s="5">
        <v>522586.44</v>
      </c>
      <c r="N1621" s="5">
        <v>6129433.11</v>
      </c>
      <c r="O1621" t="s" s="2">
        <v>305</v>
      </c>
      <c r="P1621" s="5">
        <v>200283</v>
      </c>
      <c r="Q1621" t="s" s="2">
        <v>3177</v>
      </c>
      <c r="R1621" t="s" s="2">
        <f>_xlfn.IFERROR(INDEX('model_byCAP'!$D$2:$D$377,MATCH(Q1621,'model_byCAP'!$A$2:$A$377,0)),0)</f>
        <v>3178</v>
      </c>
    </row>
    <row r="1622" ht="15.35" customHeight="1">
      <c r="A1622" t="s" s="2">
        <v>3223</v>
      </c>
      <c r="B1622" s="4">
        <v>36306</v>
      </c>
      <c r="C1622" s="5">
        <v>1000</v>
      </c>
      <c r="D1622" s="5">
        <v>54.2</v>
      </c>
      <c r="E1622" s="5">
        <v>46</v>
      </c>
      <c r="F1622" t="s" s="2">
        <v>1989</v>
      </c>
      <c r="G1622" t="s" s="2">
        <v>3173</v>
      </c>
      <c r="H1622" s="5">
        <v>510</v>
      </c>
      <c r="I1622" t="s" s="2">
        <v>3049</v>
      </c>
      <c r="J1622" t="s" s="2">
        <v>22</v>
      </c>
      <c r="K1622" t="s" s="2">
        <v>3222</v>
      </c>
      <c r="L1622" s="5">
        <v>8</v>
      </c>
      <c r="M1622" s="5">
        <v>521939.55</v>
      </c>
      <c r="N1622" s="5">
        <v>6129681.12</v>
      </c>
      <c r="O1622" t="s" s="2">
        <v>305</v>
      </c>
      <c r="P1622" s="5">
        <v>200284</v>
      </c>
      <c r="Q1622" t="s" s="2">
        <v>3177</v>
      </c>
      <c r="R1622" t="s" s="2">
        <f>_xlfn.IFERROR(INDEX('model_byCAP'!$D$2:$D$377,MATCH(Q1622,'model_byCAP'!$A$2:$A$377,0)),0)</f>
        <v>3178</v>
      </c>
    </row>
    <row r="1623" ht="15.35" customHeight="1">
      <c r="A1623" t="s" s="2">
        <v>3224</v>
      </c>
      <c r="B1623" s="4">
        <v>36339</v>
      </c>
      <c r="C1623" s="5">
        <v>1000</v>
      </c>
      <c r="D1623" s="5">
        <v>54.2</v>
      </c>
      <c r="E1623" s="5">
        <v>46</v>
      </c>
      <c r="F1623" t="s" s="2">
        <v>1989</v>
      </c>
      <c r="G1623" t="s" s="2">
        <v>3173</v>
      </c>
      <c r="H1623" s="5">
        <v>510</v>
      </c>
      <c r="I1623" t="s" s="2">
        <v>3049</v>
      </c>
      <c r="J1623" t="s" s="2">
        <v>22</v>
      </c>
      <c r="K1623" t="s" s="2">
        <v>3222</v>
      </c>
      <c r="L1623" s="5">
        <v>9</v>
      </c>
      <c r="M1623" s="5">
        <v>520872.82</v>
      </c>
      <c r="N1623" s="5">
        <v>6128359.51</v>
      </c>
      <c r="O1623" t="s" s="2">
        <v>305</v>
      </c>
      <c r="P1623" s="5">
        <v>200286</v>
      </c>
      <c r="Q1623" t="s" s="2">
        <v>3177</v>
      </c>
      <c r="R1623" t="s" s="2">
        <f>_xlfn.IFERROR(INDEX('model_byCAP'!$D$2:$D$377,MATCH(Q1623,'model_byCAP'!$A$2:$A$377,0)),0)</f>
        <v>3178</v>
      </c>
    </row>
    <row r="1624" ht="15.35" customHeight="1">
      <c r="A1624" t="s" s="2">
        <v>3225</v>
      </c>
      <c r="B1624" s="4">
        <v>36306</v>
      </c>
      <c r="C1624" s="5">
        <v>1000</v>
      </c>
      <c r="D1624" s="5">
        <v>54.2</v>
      </c>
      <c r="E1624" s="5">
        <v>46</v>
      </c>
      <c r="F1624" t="s" s="2">
        <v>1989</v>
      </c>
      <c r="G1624" t="s" s="2">
        <v>3173</v>
      </c>
      <c r="H1624" s="5">
        <v>510</v>
      </c>
      <c r="I1624" t="s" s="2">
        <v>3049</v>
      </c>
      <c r="J1624" t="s" s="2">
        <v>22</v>
      </c>
      <c r="K1624" t="s" s="2">
        <v>3222</v>
      </c>
      <c r="L1624" s="5">
        <v>6</v>
      </c>
      <c r="M1624" s="5">
        <v>520063.74</v>
      </c>
      <c r="N1624" s="5">
        <v>6128113.51</v>
      </c>
      <c r="O1624" t="s" s="2">
        <v>305</v>
      </c>
      <c r="P1624" s="5">
        <v>200287</v>
      </c>
      <c r="Q1624" t="s" s="2">
        <v>3177</v>
      </c>
      <c r="R1624" t="s" s="2">
        <f>_xlfn.IFERROR(INDEX('model_byCAP'!$D$2:$D$377,MATCH(Q1624,'model_byCAP'!$A$2:$A$377,0)),0)</f>
        <v>3178</v>
      </c>
    </row>
    <row r="1625" ht="15.35" customHeight="1">
      <c r="A1625" t="s" s="2">
        <v>3226</v>
      </c>
      <c r="B1625" s="4">
        <v>36306</v>
      </c>
      <c r="C1625" s="5">
        <v>1000</v>
      </c>
      <c r="D1625" s="5">
        <v>54.2</v>
      </c>
      <c r="E1625" s="5">
        <v>46</v>
      </c>
      <c r="F1625" t="s" s="2">
        <v>1989</v>
      </c>
      <c r="G1625" t="s" s="2">
        <v>3173</v>
      </c>
      <c r="H1625" s="5">
        <v>510</v>
      </c>
      <c r="I1625" t="s" s="2">
        <v>3049</v>
      </c>
      <c r="J1625" t="s" s="2">
        <v>22</v>
      </c>
      <c r="K1625" t="s" s="2">
        <v>3222</v>
      </c>
      <c r="L1625" s="5">
        <v>117</v>
      </c>
      <c r="M1625" s="5">
        <v>521472.26</v>
      </c>
      <c r="N1625" s="5">
        <v>6128319.66</v>
      </c>
      <c r="O1625" t="s" s="2">
        <v>305</v>
      </c>
      <c r="P1625" s="5">
        <v>200288</v>
      </c>
      <c r="Q1625" t="s" s="2">
        <v>3177</v>
      </c>
      <c r="R1625" t="s" s="2">
        <f>_xlfn.IFERROR(INDEX('model_byCAP'!$D$2:$D$377,MATCH(Q1625,'model_byCAP'!$A$2:$A$377,0)),0)</f>
        <v>3178</v>
      </c>
    </row>
    <row r="1626" ht="15.35" customHeight="1">
      <c r="A1626" t="s" s="2">
        <v>3227</v>
      </c>
      <c r="B1626" s="4">
        <v>36600</v>
      </c>
      <c r="C1626" s="5">
        <v>1000</v>
      </c>
      <c r="D1626" s="5">
        <v>60</v>
      </c>
      <c r="E1626" s="5">
        <v>50</v>
      </c>
      <c r="F1626" t="s" s="2">
        <v>1746</v>
      </c>
      <c r="G1626" t="s" s="2">
        <v>3228</v>
      </c>
      <c r="H1626" s="5">
        <v>530</v>
      </c>
      <c r="I1626" t="s" s="2">
        <v>1357</v>
      </c>
      <c r="J1626" t="s" s="2">
        <v>22</v>
      </c>
      <c r="K1626" t="s" s="2">
        <v>3229</v>
      </c>
      <c r="L1626" t="s" s="2">
        <v>1271</v>
      </c>
      <c r="M1626" s="5">
        <v>492449.73</v>
      </c>
      <c r="N1626" s="5">
        <v>6181770.9</v>
      </c>
      <c r="O1626" t="s" s="2">
        <v>305</v>
      </c>
      <c r="P1626" s="5">
        <v>140097</v>
      </c>
      <c r="Q1626" t="s" s="2">
        <v>3230</v>
      </c>
      <c r="R1626" t="s" s="2">
        <f>_xlfn.IFERROR(INDEX('model_byCAP'!$D$2:$D$377,MATCH(Q1626,'model_byCAP'!$A$2:$A$377,0)),0)</f>
        <v>3231</v>
      </c>
    </row>
    <row r="1627" ht="15.35" customHeight="1">
      <c r="A1627" t="s" s="2">
        <v>3232</v>
      </c>
      <c r="B1627" s="4">
        <v>36600</v>
      </c>
      <c r="C1627" s="5">
        <v>1000</v>
      </c>
      <c r="D1627" s="5">
        <v>60</v>
      </c>
      <c r="E1627" s="5">
        <v>50</v>
      </c>
      <c r="F1627" t="s" s="2">
        <v>1746</v>
      </c>
      <c r="G1627" t="s" s="2">
        <v>3228</v>
      </c>
      <c r="H1627" s="5">
        <v>530</v>
      </c>
      <c r="I1627" t="s" s="2">
        <v>1357</v>
      </c>
      <c r="J1627" t="s" s="2">
        <v>22</v>
      </c>
      <c r="K1627" t="s" s="2">
        <v>3229</v>
      </c>
      <c r="L1627" t="s" s="2">
        <v>1000</v>
      </c>
      <c r="M1627" s="5">
        <v>492260.36</v>
      </c>
      <c r="N1627" s="5">
        <v>6181878.49</v>
      </c>
      <c r="O1627" t="s" s="2">
        <v>305</v>
      </c>
      <c r="P1627" s="5">
        <v>140098</v>
      </c>
      <c r="Q1627" t="s" s="2">
        <v>3230</v>
      </c>
      <c r="R1627" t="s" s="2">
        <f>_xlfn.IFERROR(INDEX('model_byCAP'!$D$2:$D$377,MATCH(Q1627,'model_byCAP'!$A$2:$A$377,0)),0)</f>
        <v>3231</v>
      </c>
    </row>
    <row r="1628" ht="15.35" customHeight="1">
      <c r="A1628" t="s" s="2">
        <v>3233</v>
      </c>
      <c r="B1628" s="4">
        <v>36600</v>
      </c>
      <c r="C1628" s="5">
        <v>1000</v>
      </c>
      <c r="D1628" s="5">
        <v>60</v>
      </c>
      <c r="E1628" s="5">
        <v>50</v>
      </c>
      <c r="F1628" t="s" s="2">
        <v>1746</v>
      </c>
      <c r="G1628" t="s" s="2">
        <v>3228</v>
      </c>
      <c r="H1628" s="5">
        <v>530</v>
      </c>
      <c r="I1628" t="s" s="2">
        <v>1357</v>
      </c>
      <c r="J1628" t="s" s="2">
        <v>22</v>
      </c>
      <c r="K1628" t="s" s="2">
        <v>3229</v>
      </c>
      <c r="L1628" t="s" s="2">
        <v>1002</v>
      </c>
      <c r="M1628" s="5">
        <v>492069.27</v>
      </c>
      <c r="N1628" s="5">
        <v>6181984.38</v>
      </c>
      <c r="O1628" t="s" s="2">
        <v>305</v>
      </c>
      <c r="P1628" s="5">
        <v>140099</v>
      </c>
      <c r="Q1628" t="s" s="2">
        <v>3230</v>
      </c>
      <c r="R1628" t="s" s="2">
        <f>_xlfn.IFERROR(INDEX('model_byCAP'!$D$2:$D$377,MATCH(Q1628,'model_byCAP'!$A$2:$A$377,0)),0)</f>
        <v>3231</v>
      </c>
    </row>
    <row r="1629" ht="15.35" customHeight="1">
      <c r="A1629" t="s" s="2">
        <v>3234</v>
      </c>
      <c r="B1629" s="4">
        <v>36600</v>
      </c>
      <c r="C1629" s="5">
        <v>1000</v>
      </c>
      <c r="D1629" s="5">
        <v>60</v>
      </c>
      <c r="E1629" s="5">
        <v>50</v>
      </c>
      <c r="F1629" t="s" s="2">
        <v>1746</v>
      </c>
      <c r="G1629" t="s" s="2">
        <v>3228</v>
      </c>
      <c r="H1629" s="5">
        <v>530</v>
      </c>
      <c r="I1629" t="s" s="2">
        <v>1357</v>
      </c>
      <c r="J1629" t="s" s="2">
        <v>22</v>
      </c>
      <c r="K1629" t="s" s="2">
        <v>3229</v>
      </c>
      <c r="L1629" t="s" s="2">
        <v>3235</v>
      </c>
      <c r="M1629" s="5">
        <v>491883.59</v>
      </c>
      <c r="N1629" s="5">
        <v>6182094</v>
      </c>
      <c r="O1629" t="s" s="2">
        <v>305</v>
      </c>
      <c r="P1629" s="5">
        <v>140100</v>
      </c>
      <c r="Q1629" t="s" s="2">
        <v>3230</v>
      </c>
      <c r="R1629" t="s" s="2">
        <f>_xlfn.IFERROR(INDEX('model_byCAP'!$D$2:$D$377,MATCH(Q1629,'model_byCAP'!$A$2:$A$377,0)),0)</f>
        <v>3231</v>
      </c>
    </row>
    <row r="1630" ht="15.35" customHeight="1">
      <c r="A1630" t="s" s="2">
        <v>3236</v>
      </c>
      <c r="B1630" s="4">
        <v>36626</v>
      </c>
      <c r="C1630" s="5">
        <v>1000</v>
      </c>
      <c r="D1630" s="5">
        <v>60</v>
      </c>
      <c r="E1630" s="5">
        <v>50</v>
      </c>
      <c r="F1630" t="s" s="2">
        <v>1746</v>
      </c>
      <c r="G1630" t="s" s="2">
        <v>3228</v>
      </c>
      <c r="H1630" s="5">
        <v>530</v>
      </c>
      <c r="I1630" t="s" s="2">
        <v>1357</v>
      </c>
      <c r="J1630" t="s" s="2">
        <v>22</v>
      </c>
      <c r="K1630" t="s" s="2">
        <v>3237</v>
      </c>
      <c r="L1630" t="s" s="2">
        <v>524</v>
      </c>
      <c r="M1630" s="5">
        <v>501296.85</v>
      </c>
      <c r="N1630" s="5">
        <v>6171774.27</v>
      </c>
      <c r="O1630" t="s" s="2">
        <v>305</v>
      </c>
      <c r="P1630" s="5">
        <v>140102</v>
      </c>
      <c r="Q1630" t="s" s="2">
        <v>3230</v>
      </c>
      <c r="R1630" t="s" s="2">
        <f>_xlfn.IFERROR(INDEX('model_byCAP'!$D$2:$D$377,MATCH(Q1630,'model_byCAP'!$A$2:$A$377,0)),0)</f>
        <v>3231</v>
      </c>
    </row>
    <row r="1631" ht="15.35" customHeight="1">
      <c r="A1631" t="s" s="2">
        <v>3238</v>
      </c>
      <c r="B1631" s="4">
        <v>36626</v>
      </c>
      <c r="C1631" s="5">
        <v>1000</v>
      </c>
      <c r="D1631" s="5">
        <v>60</v>
      </c>
      <c r="E1631" s="5">
        <v>50</v>
      </c>
      <c r="F1631" t="s" s="2">
        <v>1746</v>
      </c>
      <c r="G1631" t="s" s="2">
        <v>3228</v>
      </c>
      <c r="H1631" s="5">
        <v>530</v>
      </c>
      <c r="I1631" t="s" s="2">
        <v>1357</v>
      </c>
      <c r="J1631" t="s" s="2">
        <v>22</v>
      </c>
      <c r="K1631" t="s" s="2">
        <v>3237</v>
      </c>
      <c r="L1631" t="s" s="2">
        <v>338</v>
      </c>
      <c r="M1631" s="5">
        <v>501485.6</v>
      </c>
      <c r="N1631" s="5">
        <v>6171723.68</v>
      </c>
      <c r="O1631" t="s" s="2">
        <v>305</v>
      </c>
      <c r="P1631" s="5">
        <v>140103</v>
      </c>
      <c r="Q1631" t="s" s="2">
        <v>3230</v>
      </c>
      <c r="R1631" t="s" s="2">
        <f>_xlfn.IFERROR(INDEX('model_byCAP'!$D$2:$D$377,MATCH(Q1631,'model_byCAP'!$A$2:$A$377,0)),0)</f>
        <v>3231</v>
      </c>
    </row>
    <row r="1632" ht="15.35" customHeight="1">
      <c r="A1632" t="s" s="2">
        <v>3239</v>
      </c>
      <c r="B1632" s="4">
        <v>36626</v>
      </c>
      <c r="C1632" s="5">
        <v>1000</v>
      </c>
      <c r="D1632" s="5">
        <v>60</v>
      </c>
      <c r="E1632" s="5">
        <v>50</v>
      </c>
      <c r="F1632" t="s" s="2">
        <v>1746</v>
      </c>
      <c r="G1632" t="s" s="2">
        <v>3228</v>
      </c>
      <c r="H1632" s="5">
        <v>530</v>
      </c>
      <c r="I1632" t="s" s="2">
        <v>1357</v>
      </c>
      <c r="J1632" t="s" s="2">
        <v>22</v>
      </c>
      <c r="K1632" t="s" s="2">
        <v>3237</v>
      </c>
      <c r="L1632" t="s" s="2">
        <v>1339</v>
      </c>
      <c r="M1632" s="5">
        <v>501674.43</v>
      </c>
      <c r="N1632" s="5">
        <v>6171673.17</v>
      </c>
      <c r="O1632" t="s" s="2">
        <v>305</v>
      </c>
      <c r="P1632" s="5">
        <v>140104</v>
      </c>
      <c r="Q1632" t="s" s="2">
        <v>3230</v>
      </c>
      <c r="R1632" t="s" s="2">
        <f>_xlfn.IFERROR(INDEX('model_byCAP'!$D$2:$D$377,MATCH(Q1632,'model_byCAP'!$A$2:$A$377,0)),0)</f>
        <v>3231</v>
      </c>
    </row>
    <row r="1633" ht="15.35" customHeight="1">
      <c r="A1633" t="s" s="2">
        <v>3240</v>
      </c>
      <c r="B1633" s="4">
        <v>36626</v>
      </c>
      <c r="C1633" s="5">
        <v>1000</v>
      </c>
      <c r="D1633" s="5">
        <v>60</v>
      </c>
      <c r="E1633" s="5">
        <v>50</v>
      </c>
      <c r="F1633" t="s" s="2">
        <v>1746</v>
      </c>
      <c r="G1633" t="s" s="2">
        <v>3228</v>
      </c>
      <c r="H1633" s="5">
        <v>530</v>
      </c>
      <c r="I1633" t="s" s="2">
        <v>1357</v>
      </c>
      <c r="J1633" t="s" s="2">
        <v>22</v>
      </c>
      <c r="K1633" t="s" s="2">
        <v>3237</v>
      </c>
      <c r="L1633" t="s" s="2">
        <v>498</v>
      </c>
      <c r="M1633" s="5">
        <v>501862.63</v>
      </c>
      <c r="N1633" s="5">
        <v>6171622.55</v>
      </c>
      <c r="O1633" t="s" s="2">
        <v>305</v>
      </c>
      <c r="P1633" s="5">
        <v>140105</v>
      </c>
      <c r="Q1633" t="s" s="2">
        <v>3230</v>
      </c>
      <c r="R1633" t="s" s="2">
        <f>_xlfn.IFERROR(INDEX('model_byCAP'!$D$2:$D$377,MATCH(Q1633,'model_byCAP'!$A$2:$A$377,0)),0)</f>
        <v>3231</v>
      </c>
    </row>
    <row r="1634" ht="15.35" customHeight="1">
      <c r="A1634" t="s" s="2">
        <v>3241</v>
      </c>
      <c r="B1634" s="4">
        <v>36699</v>
      </c>
      <c r="C1634" s="5">
        <v>1000</v>
      </c>
      <c r="D1634" s="5">
        <v>54.2</v>
      </c>
      <c r="E1634" s="5">
        <v>45</v>
      </c>
      <c r="F1634" t="s" s="2">
        <v>1989</v>
      </c>
      <c r="G1634" t="s" s="2">
        <v>3173</v>
      </c>
      <c r="H1634" s="5">
        <v>540</v>
      </c>
      <c r="I1634" t="s" s="2">
        <v>2092</v>
      </c>
      <c r="J1634" t="s" s="2">
        <v>22</v>
      </c>
      <c r="K1634" t="s" s="2">
        <v>3242</v>
      </c>
      <c r="L1634" s="5">
        <v>7</v>
      </c>
      <c r="M1634" s="5">
        <v>547404.86</v>
      </c>
      <c r="N1634" s="5">
        <v>6076972.78</v>
      </c>
      <c r="O1634" t="s" s="2">
        <v>305</v>
      </c>
      <c r="P1634" s="5">
        <v>200124</v>
      </c>
      <c r="Q1634" t="s" s="2">
        <v>3177</v>
      </c>
      <c r="R1634" t="s" s="2">
        <f>_xlfn.IFERROR(INDEX('model_byCAP'!$D$2:$D$377,MATCH(Q1634,'model_byCAP'!$A$2:$A$377,0)),0)</f>
        <v>3178</v>
      </c>
    </row>
    <row r="1635" ht="15.35" customHeight="1">
      <c r="A1635" t="s" s="2">
        <v>3243</v>
      </c>
      <c r="B1635" s="4">
        <v>36704</v>
      </c>
      <c r="C1635" s="5">
        <v>1000</v>
      </c>
      <c r="D1635" s="5">
        <v>54.2</v>
      </c>
      <c r="E1635" s="5">
        <v>45</v>
      </c>
      <c r="F1635" t="s" s="2">
        <v>1989</v>
      </c>
      <c r="G1635" t="s" s="2">
        <v>3173</v>
      </c>
      <c r="H1635" s="5">
        <v>540</v>
      </c>
      <c r="I1635" t="s" s="2">
        <v>2092</v>
      </c>
      <c r="J1635" t="s" s="2">
        <v>22</v>
      </c>
      <c r="K1635" t="s" s="2">
        <v>3242</v>
      </c>
      <c r="L1635" s="5">
        <v>7</v>
      </c>
      <c r="M1635" s="5">
        <v>547561.09</v>
      </c>
      <c r="N1635" s="5">
        <v>6077101.57</v>
      </c>
      <c r="O1635" t="s" s="2">
        <v>305</v>
      </c>
      <c r="P1635" s="5">
        <v>200125</v>
      </c>
      <c r="Q1635" t="s" s="2">
        <v>3177</v>
      </c>
      <c r="R1635" t="s" s="2">
        <f>_xlfn.IFERROR(INDEX('model_byCAP'!$D$2:$D$377,MATCH(Q1635,'model_byCAP'!$A$2:$A$377,0)),0)</f>
        <v>3178</v>
      </c>
    </row>
    <row r="1636" ht="15.35" customHeight="1">
      <c r="A1636" t="s" s="2">
        <v>3244</v>
      </c>
      <c r="B1636" s="4">
        <v>36244</v>
      </c>
      <c r="C1636" s="5">
        <v>1000</v>
      </c>
      <c r="D1636" s="5">
        <v>54.2</v>
      </c>
      <c r="E1636" s="5">
        <v>45</v>
      </c>
      <c r="F1636" t="s" s="2">
        <v>1989</v>
      </c>
      <c r="G1636" t="s" s="2">
        <v>3245</v>
      </c>
      <c r="H1636" s="5">
        <v>550</v>
      </c>
      <c r="I1636" t="s" s="2">
        <v>526</v>
      </c>
      <c r="J1636" t="s" s="2">
        <v>22</v>
      </c>
      <c r="K1636" t="s" s="2">
        <v>3246</v>
      </c>
      <c r="L1636" s="5">
        <v>78</v>
      </c>
      <c r="M1636" s="5">
        <v>498570.2</v>
      </c>
      <c r="N1636" s="5">
        <v>6106551.09</v>
      </c>
      <c r="O1636" t="s" s="2">
        <v>305</v>
      </c>
      <c r="P1636" s="5">
        <v>90539</v>
      </c>
      <c r="Q1636" t="s" s="2">
        <v>3247</v>
      </c>
      <c r="R1636" t="s" s="2">
        <f>_xlfn.IFERROR(INDEX('model_byCAP'!$D$2:$D$377,MATCH(Q1636,'model_byCAP'!$A$2:$A$377,0)),0)</f>
        <v>3178</v>
      </c>
    </row>
    <row r="1637" ht="15.35" customHeight="1">
      <c r="A1637" t="s" s="2">
        <v>3248</v>
      </c>
      <c r="B1637" s="4">
        <v>35199</v>
      </c>
      <c r="C1637" s="5">
        <v>1000</v>
      </c>
      <c r="D1637" s="5">
        <v>0.1</v>
      </c>
      <c r="E1637" s="5">
        <v>0.1</v>
      </c>
      <c r="F1637" t="s" s="2">
        <v>42</v>
      </c>
      <c r="G1637" t="s" s="2">
        <v>42</v>
      </c>
      <c r="H1637" s="5">
        <v>575</v>
      </c>
      <c r="I1637" t="s" s="2">
        <v>2952</v>
      </c>
      <c r="J1637" t="s" s="2">
        <v>22</v>
      </c>
      <c r="K1637" t="s" s="2">
        <v>3249</v>
      </c>
      <c r="L1637" t="s" s="2">
        <v>2389</v>
      </c>
      <c r="M1637" s="5">
        <v>492030.44</v>
      </c>
      <c r="N1637" s="5">
        <v>6154443.8</v>
      </c>
      <c r="O1637" t="s" s="2">
        <v>305</v>
      </c>
      <c r="P1637" s="5">
        <v>59971</v>
      </c>
      <c r="Q1637" t="s" s="2">
        <v>43</v>
      </c>
      <c r="R1637" s="5">
        <f>_xlfn.IFERROR(INDEX('model_byCAP'!$D$2:$D$377,MATCH(Q1637,'model_byCAP'!$A$2:$A$377,0)),0)</f>
        <v>0</v>
      </c>
    </row>
    <row r="1638" ht="15.35" customHeight="1">
      <c r="A1638" t="s" s="2">
        <v>3250</v>
      </c>
      <c r="B1638" s="4">
        <v>36150</v>
      </c>
      <c r="C1638" s="5">
        <v>1000</v>
      </c>
      <c r="D1638" s="5">
        <v>0.1</v>
      </c>
      <c r="E1638" s="5">
        <v>0.1</v>
      </c>
      <c r="F1638" t="s" s="2">
        <v>1746</v>
      </c>
      <c r="G1638" t="s" s="2">
        <v>3251</v>
      </c>
      <c r="H1638" s="5">
        <v>575</v>
      </c>
      <c r="I1638" t="s" s="2">
        <v>2952</v>
      </c>
      <c r="J1638" t="s" s="2">
        <v>22</v>
      </c>
      <c r="K1638" t="s" s="2">
        <v>3249</v>
      </c>
      <c r="L1638" t="s" s="2">
        <v>2389</v>
      </c>
      <c r="M1638" s="5">
        <v>492202.86</v>
      </c>
      <c r="N1638" s="5">
        <v>6154651.47</v>
      </c>
      <c r="O1638" t="s" s="2">
        <v>25</v>
      </c>
      <c r="P1638" s="5">
        <v>61862</v>
      </c>
      <c r="Q1638" t="s" s="2">
        <v>3252</v>
      </c>
      <c r="R1638" t="s" s="2">
        <f>_xlfn.IFERROR(INDEX('model_byCAP'!$D$2:$D$377,MATCH(Q1638,'model_byCAP'!$A$2:$A$377,0)),0)</f>
        <v>3231</v>
      </c>
    </row>
    <row r="1639" ht="15.35" customHeight="1">
      <c r="A1639" t="s" s="2">
        <v>3253</v>
      </c>
      <c r="B1639" s="4">
        <v>36290</v>
      </c>
      <c r="C1639" s="5">
        <v>1000</v>
      </c>
      <c r="D1639" s="5">
        <v>54</v>
      </c>
      <c r="E1639" s="5">
        <v>45</v>
      </c>
      <c r="F1639" t="s" s="2">
        <v>1989</v>
      </c>
      <c r="G1639" t="s" s="2">
        <v>3173</v>
      </c>
      <c r="H1639" s="5">
        <v>575</v>
      </c>
      <c r="I1639" t="s" s="2">
        <v>2952</v>
      </c>
      <c r="J1639" t="s" s="2">
        <v>22</v>
      </c>
      <c r="K1639" t="s" s="2">
        <v>3254</v>
      </c>
      <c r="L1639" s="5">
        <v>12</v>
      </c>
      <c r="M1639" s="5">
        <v>495682.02</v>
      </c>
      <c r="N1639" s="5">
        <v>6138661.55</v>
      </c>
      <c r="O1639" t="s" s="2">
        <v>25</v>
      </c>
      <c r="P1639" s="5">
        <v>90627</v>
      </c>
      <c r="Q1639" t="s" s="2">
        <v>3177</v>
      </c>
      <c r="R1639" t="s" s="2">
        <f>_xlfn.IFERROR(INDEX('model_byCAP'!$D$2:$D$377,MATCH(Q1639,'model_byCAP'!$A$2:$A$377,0)),0)</f>
        <v>3178</v>
      </c>
    </row>
    <row r="1640" ht="15.35" customHeight="1">
      <c r="A1640" t="s" s="2">
        <v>3255</v>
      </c>
      <c r="B1640" s="4">
        <v>36576</v>
      </c>
      <c r="C1640" s="5">
        <v>1000</v>
      </c>
      <c r="D1640" s="5">
        <v>54.2</v>
      </c>
      <c r="E1640" s="5">
        <v>45</v>
      </c>
      <c r="F1640" t="s" s="2">
        <v>1989</v>
      </c>
      <c r="G1640" t="s" s="2">
        <v>3173</v>
      </c>
      <c r="H1640" s="5">
        <v>580</v>
      </c>
      <c r="I1640" t="s" s="2">
        <v>1542</v>
      </c>
      <c r="J1640" t="s" s="2">
        <v>22</v>
      </c>
      <c r="K1640" t="s" s="2">
        <v>3256</v>
      </c>
      <c r="L1640" s="5">
        <v>2</v>
      </c>
      <c r="M1640" s="5">
        <v>535568.3199999999</v>
      </c>
      <c r="N1640" s="5">
        <v>6093307.45</v>
      </c>
      <c r="O1640" t="s" s="2">
        <v>305</v>
      </c>
      <c r="P1640" s="5">
        <v>200302</v>
      </c>
      <c r="Q1640" t="s" s="2">
        <v>3177</v>
      </c>
      <c r="R1640" t="s" s="2">
        <f>_xlfn.IFERROR(INDEX('model_byCAP'!$D$2:$D$377,MATCH(Q1640,'model_byCAP'!$A$2:$A$377,0)),0)</f>
        <v>3178</v>
      </c>
    </row>
    <row r="1641" ht="15.35" customHeight="1">
      <c r="A1641" t="s" s="2">
        <v>3257</v>
      </c>
      <c r="B1641" s="4">
        <v>36840</v>
      </c>
      <c r="C1641" s="5">
        <v>1000</v>
      </c>
      <c r="D1641" s="5">
        <v>54</v>
      </c>
      <c r="E1641" s="5">
        <v>50</v>
      </c>
      <c r="F1641" t="s" s="2">
        <v>1989</v>
      </c>
      <c r="G1641" t="s" s="2">
        <v>3173</v>
      </c>
      <c r="H1641" s="5">
        <v>621</v>
      </c>
      <c r="I1641" t="s" s="2">
        <v>2921</v>
      </c>
      <c r="J1641" t="s" s="2">
        <v>22</v>
      </c>
      <c r="K1641" t="s" s="2">
        <v>3258</v>
      </c>
      <c r="L1641" t="s" s="2">
        <v>431</v>
      </c>
      <c r="M1641" s="5">
        <v>531547.39</v>
      </c>
      <c r="N1641" s="5">
        <v>6142864.56</v>
      </c>
      <c r="O1641" t="s" s="2">
        <v>305</v>
      </c>
      <c r="P1641" s="5">
        <v>203870</v>
      </c>
      <c r="Q1641" t="s" s="2">
        <v>3177</v>
      </c>
      <c r="R1641" t="s" s="2">
        <f>_xlfn.IFERROR(INDEX('model_byCAP'!$D$2:$D$377,MATCH(Q1641,'model_byCAP'!$A$2:$A$377,0)),0)</f>
        <v>3178</v>
      </c>
    </row>
    <row r="1642" ht="15.35" customHeight="1">
      <c r="A1642" t="s" s="2">
        <v>3259</v>
      </c>
      <c r="B1642" s="4">
        <v>36840</v>
      </c>
      <c r="C1642" s="5">
        <v>1000</v>
      </c>
      <c r="D1642" s="5">
        <v>54</v>
      </c>
      <c r="E1642" s="5">
        <v>50</v>
      </c>
      <c r="F1642" t="s" s="2">
        <v>1989</v>
      </c>
      <c r="G1642" t="s" s="2">
        <v>3173</v>
      </c>
      <c r="H1642" s="5">
        <v>621</v>
      </c>
      <c r="I1642" t="s" s="2">
        <v>2921</v>
      </c>
      <c r="J1642" t="s" s="2">
        <v>22</v>
      </c>
      <c r="K1642" t="s" s="2">
        <v>3258</v>
      </c>
      <c r="L1642" t="s" s="2">
        <v>431</v>
      </c>
      <c r="M1642" s="5">
        <v>532002.84</v>
      </c>
      <c r="N1642" s="5">
        <v>6142269.11</v>
      </c>
      <c r="O1642" t="s" s="2">
        <v>305</v>
      </c>
      <c r="P1642" s="5">
        <v>203871</v>
      </c>
      <c r="Q1642" t="s" s="2">
        <v>3177</v>
      </c>
      <c r="R1642" t="s" s="2">
        <f>_xlfn.IFERROR(INDEX('model_byCAP'!$D$2:$D$377,MATCH(Q1642,'model_byCAP'!$A$2:$A$377,0)),0)</f>
        <v>3178</v>
      </c>
    </row>
    <row r="1643" ht="15.35" customHeight="1">
      <c r="A1643" t="s" s="2">
        <v>3260</v>
      </c>
      <c r="B1643" s="4">
        <v>36840</v>
      </c>
      <c r="C1643" s="5">
        <v>1000</v>
      </c>
      <c r="D1643" s="5">
        <v>54</v>
      </c>
      <c r="E1643" s="5">
        <v>50</v>
      </c>
      <c r="F1643" t="s" s="2">
        <v>1989</v>
      </c>
      <c r="G1643" t="s" s="2">
        <v>3173</v>
      </c>
      <c r="H1643" s="5">
        <v>621</v>
      </c>
      <c r="I1643" t="s" s="2">
        <v>2921</v>
      </c>
      <c r="J1643" t="s" s="2">
        <v>22</v>
      </c>
      <c r="K1643" t="s" s="2">
        <v>3258</v>
      </c>
      <c r="L1643" t="s" s="2">
        <v>431</v>
      </c>
      <c r="M1643" s="5">
        <v>531775.26</v>
      </c>
      <c r="N1643" s="5">
        <v>6142566.47</v>
      </c>
      <c r="O1643" t="s" s="2">
        <v>305</v>
      </c>
      <c r="P1643" s="5">
        <v>203872</v>
      </c>
      <c r="Q1643" t="s" s="2">
        <v>3177</v>
      </c>
      <c r="R1643" t="s" s="2">
        <f>_xlfn.IFERROR(INDEX('model_byCAP'!$D$2:$D$377,MATCH(Q1643,'model_byCAP'!$A$2:$A$377,0)),0)</f>
        <v>3178</v>
      </c>
    </row>
    <row r="1644" ht="15.35" customHeight="1">
      <c r="A1644" t="s" s="2">
        <v>3261</v>
      </c>
      <c r="B1644" s="4">
        <v>36585</v>
      </c>
      <c r="C1644" s="5">
        <v>1000</v>
      </c>
      <c r="D1644" s="5">
        <v>54.2</v>
      </c>
      <c r="E1644" s="5">
        <v>47.8</v>
      </c>
      <c r="F1644" t="s" s="2">
        <v>1989</v>
      </c>
      <c r="G1644" t="s" s="2">
        <v>3173</v>
      </c>
      <c r="H1644" s="5">
        <v>657</v>
      </c>
      <c r="I1644" t="s" s="2">
        <v>541</v>
      </c>
      <c r="J1644" t="s" s="2">
        <v>22</v>
      </c>
      <c r="K1644" t="s" s="2">
        <v>3262</v>
      </c>
      <c r="L1644" t="s" s="2">
        <v>2931</v>
      </c>
      <c r="M1644" s="5">
        <v>477252.33</v>
      </c>
      <c r="N1644" s="5">
        <v>6232269.22</v>
      </c>
      <c r="O1644" t="s" s="2">
        <v>305</v>
      </c>
      <c r="P1644" s="5">
        <v>40153303</v>
      </c>
      <c r="Q1644" t="s" s="2">
        <v>3177</v>
      </c>
      <c r="R1644" t="s" s="2">
        <f>_xlfn.IFERROR(INDEX('model_byCAP'!$D$2:$D$377,MATCH(Q1644,'model_byCAP'!$A$2:$A$377,0)),0)</f>
        <v>3178</v>
      </c>
    </row>
    <row r="1645" ht="15.35" customHeight="1">
      <c r="A1645" t="s" s="2">
        <v>3263</v>
      </c>
      <c r="B1645" s="4">
        <v>36585</v>
      </c>
      <c r="C1645" s="5">
        <v>1000</v>
      </c>
      <c r="D1645" s="5">
        <v>54.2</v>
      </c>
      <c r="E1645" s="5">
        <v>47.8</v>
      </c>
      <c r="F1645" t="s" s="2">
        <v>1989</v>
      </c>
      <c r="G1645" t="s" s="2">
        <v>3173</v>
      </c>
      <c r="H1645" s="5">
        <v>657</v>
      </c>
      <c r="I1645" t="s" s="2">
        <v>541</v>
      </c>
      <c r="J1645" t="s" s="2">
        <v>22</v>
      </c>
      <c r="K1645" t="s" s="2">
        <v>3262</v>
      </c>
      <c r="L1645" t="s" s="2">
        <v>2931</v>
      </c>
      <c r="M1645" s="5">
        <v>477153.52</v>
      </c>
      <c r="N1645" s="5">
        <v>6232503.58</v>
      </c>
      <c r="O1645" t="s" s="2">
        <v>305</v>
      </c>
      <c r="P1645" s="5">
        <v>40153303</v>
      </c>
      <c r="Q1645" t="s" s="2">
        <v>3177</v>
      </c>
      <c r="R1645" t="s" s="2">
        <f>_xlfn.IFERROR(INDEX('model_byCAP'!$D$2:$D$377,MATCH(Q1645,'model_byCAP'!$A$2:$A$377,0)),0)</f>
        <v>3178</v>
      </c>
    </row>
    <row r="1646" ht="15.35" customHeight="1">
      <c r="A1646" t="s" s="2">
        <v>3264</v>
      </c>
      <c r="B1646" s="4">
        <v>36585</v>
      </c>
      <c r="C1646" s="5">
        <v>1000</v>
      </c>
      <c r="D1646" s="5">
        <v>54.2</v>
      </c>
      <c r="E1646" s="5">
        <v>47.8</v>
      </c>
      <c r="F1646" t="s" s="2">
        <v>1989</v>
      </c>
      <c r="G1646" t="s" s="2">
        <v>3173</v>
      </c>
      <c r="H1646" s="5">
        <v>657</v>
      </c>
      <c r="I1646" t="s" s="2">
        <v>541</v>
      </c>
      <c r="J1646" t="s" s="2">
        <v>22</v>
      </c>
      <c r="K1646" t="s" s="2">
        <v>3262</v>
      </c>
      <c r="L1646" t="s" s="2">
        <v>2931</v>
      </c>
      <c r="M1646" s="5">
        <v>477055.95</v>
      </c>
      <c r="N1646" s="5">
        <v>6232736.57</v>
      </c>
      <c r="O1646" t="s" s="2">
        <v>305</v>
      </c>
      <c r="P1646" s="5">
        <v>40153303</v>
      </c>
      <c r="Q1646" t="s" s="2">
        <v>3177</v>
      </c>
      <c r="R1646" t="s" s="2">
        <f>_xlfn.IFERROR(INDEX('model_byCAP'!$D$2:$D$377,MATCH(Q1646,'model_byCAP'!$A$2:$A$377,0)),0)</f>
        <v>3178</v>
      </c>
    </row>
    <row r="1647" ht="15.35" customHeight="1">
      <c r="A1647" t="s" s="2">
        <v>3265</v>
      </c>
      <c r="B1647" s="4">
        <v>36585</v>
      </c>
      <c r="C1647" s="5">
        <v>1000</v>
      </c>
      <c r="D1647" s="5">
        <v>54.2</v>
      </c>
      <c r="E1647" s="5">
        <v>47.8</v>
      </c>
      <c r="F1647" t="s" s="2">
        <v>1989</v>
      </c>
      <c r="G1647" t="s" s="2">
        <v>3173</v>
      </c>
      <c r="H1647" s="5">
        <v>657</v>
      </c>
      <c r="I1647" t="s" s="2">
        <v>541</v>
      </c>
      <c r="J1647" t="s" s="2">
        <v>22</v>
      </c>
      <c r="K1647" t="s" s="2">
        <v>3266</v>
      </c>
      <c r="L1647" t="s" s="2">
        <v>518</v>
      </c>
      <c r="M1647" s="5">
        <v>476957.88</v>
      </c>
      <c r="N1647" s="5">
        <v>6232971.44</v>
      </c>
      <c r="O1647" t="s" s="2">
        <v>305</v>
      </c>
      <c r="P1647" s="5">
        <v>40153303</v>
      </c>
      <c r="Q1647" t="s" s="2">
        <v>3177</v>
      </c>
      <c r="R1647" t="s" s="2">
        <f>_xlfn.IFERROR(INDEX('model_byCAP'!$D$2:$D$377,MATCH(Q1647,'model_byCAP'!$A$2:$A$377,0)),0)</f>
        <v>3178</v>
      </c>
    </row>
    <row r="1648" ht="15.35" customHeight="1">
      <c r="A1648" t="s" s="2">
        <v>3267</v>
      </c>
      <c r="B1648" s="4">
        <v>36732</v>
      </c>
      <c r="C1648" s="5">
        <v>1000</v>
      </c>
      <c r="D1648" s="5">
        <v>54.2</v>
      </c>
      <c r="E1648" s="5">
        <v>47.9</v>
      </c>
      <c r="F1648" t="s" s="2">
        <v>1989</v>
      </c>
      <c r="G1648" t="s" s="2">
        <v>3268</v>
      </c>
      <c r="H1648" s="5">
        <v>657</v>
      </c>
      <c r="I1648" t="s" s="2">
        <v>541</v>
      </c>
      <c r="J1648" t="s" s="2">
        <v>22</v>
      </c>
      <c r="K1648" t="s" s="2">
        <v>1378</v>
      </c>
      <c r="L1648" t="s" s="2">
        <v>3269</v>
      </c>
      <c r="M1648" s="5">
        <v>479302.66</v>
      </c>
      <c r="N1648" s="5">
        <v>6222963.92</v>
      </c>
      <c r="O1648" t="s" s="2">
        <v>305</v>
      </c>
      <c r="P1648" s="5">
        <v>8506851</v>
      </c>
      <c r="Q1648" t="s" s="2">
        <v>3270</v>
      </c>
      <c r="R1648" t="s" s="2">
        <f>_xlfn.IFERROR(INDEX('model_byCAP'!$D$2:$D$377,MATCH(Q1648,'model_byCAP'!$A$2:$A$377,0)),0)</f>
        <v>3271</v>
      </c>
    </row>
    <row r="1649" ht="15.35" customHeight="1">
      <c r="A1649" t="s" s="2">
        <v>3272</v>
      </c>
      <c r="B1649" s="4">
        <v>36727</v>
      </c>
      <c r="C1649" s="5">
        <v>1000</v>
      </c>
      <c r="D1649" s="5">
        <v>54.2</v>
      </c>
      <c r="E1649" s="5">
        <v>47.9</v>
      </c>
      <c r="F1649" t="s" s="2">
        <v>1989</v>
      </c>
      <c r="G1649" t="s" s="2">
        <v>3268</v>
      </c>
      <c r="H1649" s="5">
        <v>657</v>
      </c>
      <c r="I1649" t="s" s="2">
        <v>541</v>
      </c>
      <c r="J1649" t="s" s="2">
        <v>22</v>
      </c>
      <c r="K1649" t="s" s="2">
        <v>1378</v>
      </c>
      <c r="L1649" t="s" s="2">
        <v>3273</v>
      </c>
      <c r="M1649" s="5">
        <v>479803.72</v>
      </c>
      <c r="N1649" s="5">
        <v>6222997.09</v>
      </c>
      <c r="O1649" t="s" s="2">
        <v>305</v>
      </c>
      <c r="P1649" s="5">
        <v>8506851</v>
      </c>
      <c r="Q1649" t="s" s="2">
        <v>3270</v>
      </c>
      <c r="R1649" t="s" s="2">
        <f>_xlfn.IFERROR(INDEX('model_byCAP'!$D$2:$D$377,MATCH(Q1649,'model_byCAP'!$A$2:$A$377,0)),0)</f>
        <v>3271</v>
      </c>
    </row>
    <row r="1650" ht="15.35" customHeight="1">
      <c r="A1650" t="s" s="2">
        <v>3274</v>
      </c>
      <c r="B1650" s="4">
        <v>36727</v>
      </c>
      <c r="C1650" s="5">
        <v>1000</v>
      </c>
      <c r="D1650" s="5">
        <v>54.2</v>
      </c>
      <c r="E1650" s="5">
        <v>47.9</v>
      </c>
      <c r="F1650" t="s" s="2">
        <v>1989</v>
      </c>
      <c r="G1650" t="s" s="2">
        <v>3268</v>
      </c>
      <c r="H1650" s="5">
        <v>657</v>
      </c>
      <c r="I1650" t="s" s="2">
        <v>541</v>
      </c>
      <c r="J1650" t="s" s="2">
        <v>22</v>
      </c>
      <c r="K1650" t="s" s="2">
        <v>1378</v>
      </c>
      <c r="L1650" t="s" s="2">
        <v>3273</v>
      </c>
      <c r="M1650" s="5">
        <v>479553.47</v>
      </c>
      <c r="N1650" s="5">
        <v>6222980.65</v>
      </c>
      <c r="O1650" t="s" s="2">
        <v>305</v>
      </c>
      <c r="P1650" s="5">
        <v>8506851</v>
      </c>
      <c r="Q1650" t="s" s="2">
        <v>3270</v>
      </c>
      <c r="R1650" t="s" s="2">
        <f>_xlfn.IFERROR(INDEX('model_byCAP'!$D$2:$D$377,MATCH(Q1650,'model_byCAP'!$A$2:$A$377,0)),0)</f>
        <v>3271</v>
      </c>
    </row>
    <row r="1651" ht="15.35" customHeight="1">
      <c r="A1651" t="s" s="2">
        <v>3275</v>
      </c>
      <c r="B1651" s="4">
        <v>36489</v>
      </c>
      <c r="C1651" s="5">
        <v>1000</v>
      </c>
      <c r="D1651" s="5">
        <v>54.2</v>
      </c>
      <c r="E1651" s="5">
        <v>47.8</v>
      </c>
      <c r="F1651" t="s" s="2">
        <v>1989</v>
      </c>
      <c r="G1651" t="s" s="2">
        <v>3173</v>
      </c>
      <c r="H1651" s="5">
        <v>657</v>
      </c>
      <c r="I1651" t="s" s="2">
        <v>541</v>
      </c>
      <c r="J1651" t="s" s="2">
        <v>22</v>
      </c>
      <c r="K1651" t="s" s="2">
        <v>3276</v>
      </c>
      <c r="L1651" t="s" s="2">
        <v>3277</v>
      </c>
      <c r="M1651" s="5">
        <v>481064.6</v>
      </c>
      <c r="N1651" s="5">
        <v>6224985.41</v>
      </c>
      <c r="O1651" t="s" s="2">
        <v>305</v>
      </c>
      <c r="P1651" s="5">
        <v>7142265</v>
      </c>
      <c r="Q1651" t="s" s="2">
        <v>3177</v>
      </c>
      <c r="R1651" t="s" s="2">
        <f>_xlfn.IFERROR(INDEX('model_byCAP'!$D$2:$D$377,MATCH(Q1651,'model_byCAP'!$A$2:$A$377,0)),0)</f>
        <v>3178</v>
      </c>
    </row>
    <row r="1652" ht="15.35" customHeight="1">
      <c r="A1652" t="s" s="2">
        <v>3278</v>
      </c>
      <c r="B1652" s="4">
        <v>36489</v>
      </c>
      <c r="C1652" s="5">
        <v>1000</v>
      </c>
      <c r="D1652" s="5">
        <v>54.2</v>
      </c>
      <c r="E1652" s="5">
        <v>47.8</v>
      </c>
      <c r="F1652" t="s" s="2">
        <v>1989</v>
      </c>
      <c r="G1652" t="s" s="2">
        <v>3173</v>
      </c>
      <c r="H1652" s="5">
        <v>657</v>
      </c>
      <c r="I1652" t="s" s="2">
        <v>541</v>
      </c>
      <c r="J1652" t="s" s="2">
        <v>22</v>
      </c>
      <c r="K1652" t="s" s="2">
        <v>3276</v>
      </c>
      <c r="L1652" t="s" s="2">
        <v>3279</v>
      </c>
      <c r="M1652" s="5">
        <v>481178.95</v>
      </c>
      <c r="N1652" s="5">
        <v>6224839.26</v>
      </c>
      <c r="O1652" t="s" s="2">
        <v>305</v>
      </c>
      <c r="P1652" s="5">
        <v>7142267</v>
      </c>
      <c r="Q1652" t="s" s="2">
        <v>3177</v>
      </c>
      <c r="R1652" t="s" s="2">
        <f>_xlfn.IFERROR(INDEX('model_byCAP'!$D$2:$D$377,MATCH(Q1652,'model_byCAP'!$A$2:$A$377,0)),0)</f>
        <v>3178</v>
      </c>
    </row>
    <row r="1653" ht="15.35" customHeight="1">
      <c r="A1653" t="s" s="2">
        <v>3280</v>
      </c>
      <c r="B1653" s="4">
        <v>36489</v>
      </c>
      <c r="C1653" s="5">
        <v>1000</v>
      </c>
      <c r="D1653" s="5">
        <v>54</v>
      </c>
      <c r="E1653" s="5">
        <v>48</v>
      </c>
      <c r="F1653" t="s" s="2">
        <v>1989</v>
      </c>
      <c r="G1653" t="s" s="2">
        <v>3268</v>
      </c>
      <c r="H1653" s="5">
        <v>657</v>
      </c>
      <c r="I1653" t="s" s="2">
        <v>541</v>
      </c>
      <c r="J1653" t="s" s="2">
        <v>22</v>
      </c>
      <c r="K1653" t="s" s="2">
        <v>1378</v>
      </c>
      <c r="L1653" t="s" s="2">
        <v>3281</v>
      </c>
      <c r="M1653" s="5">
        <v>481292.82</v>
      </c>
      <c r="N1653" s="5">
        <v>6224693.27</v>
      </c>
      <c r="O1653" t="s" s="2">
        <v>305</v>
      </c>
      <c r="P1653" s="5">
        <v>7142269</v>
      </c>
      <c r="Q1653" t="s" s="2">
        <v>3270</v>
      </c>
      <c r="R1653" t="s" s="2">
        <f>_xlfn.IFERROR(INDEX('model_byCAP'!$D$2:$D$377,MATCH(Q1653,'model_byCAP'!$A$2:$A$377,0)),0)</f>
        <v>3271</v>
      </c>
    </row>
    <row r="1654" ht="15.35" customHeight="1">
      <c r="A1654" t="s" s="2">
        <v>3282</v>
      </c>
      <c r="B1654" s="4">
        <v>36517</v>
      </c>
      <c r="C1654" s="5">
        <v>1000</v>
      </c>
      <c r="D1654" s="5">
        <v>54</v>
      </c>
      <c r="E1654" s="5">
        <v>47.9</v>
      </c>
      <c r="F1654" t="s" s="2">
        <v>1989</v>
      </c>
      <c r="G1654" t="s" s="2">
        <v>3173</v>
      </c>
      <c r="H1654" s="5">
        <v>657</v>
      </c>
      <c r="I1654" t="s" s="2">
        <v>541</v>
      </c>
      <c r="J1654" t="s" s="2">
        <v>22</v>
      </c>
      <c r="K1654" t="s" s="2">
        <v>3283</v>
      </c>
      <c r="L1654" t="s" s="2">
        <v>518</v>
      </c>
      <c r="M1654" s="5">
        <v>488242.64</v>
      </c>
      <c r="N1654" s="5">
        <v>6238801.89</v>
      </c>
      <c r="O1654" t="s" s="2">
        <v>305</v>
      </c>
      <c r="P1654" s="5">
        <v>7142451</v>
      </c>
      <c r="Q1654" t="s" s="2">
        <v>3177</v>
      </c>
      <c r="R1654" t="s" s="2">
        <f>_xlfn.IFERROR(INDEX('model_byCAP'!$D$2:$D$377,MATCH(Q1654,'model_byCAP'!$A$2:$A$377,0)),0)</f>
        <v>3178</v>
      </c>
    </row>
    <row r="1655" ht="15.35" customHeight="1">
      <c r="A1655" t="s" s="2">
        <v>3284</v>
      </c>
      <c r="B1655" s="4">
        <v>36517</v>
      </c>
      <c r="C1655" s="5">
        <v>1000</v>
      </c>
      <c r="D1655" s="5">
        <v>54</v>
      </c>
      <c r="E1655" s="5">
        <v>47.9</v>
      </c>
      <c r="F1655" t="s" s="2">
        <v>1989</v>
      </c>
      <c r="G1655" t="s" s="2">
        <v>3173</v>
      </c>
      <c r="H1655" s="5">
        <v>657</v>
      </c>
      <c r="I1655" t="s" s="2">
        <v>541</v>
      </c>
      <c r="J1655" t="s" s="2">
        <v>22</v>
      </c>
      <c r="K1655" t="s" s="2">
        <v>3283</v>
      </c>
      <c r="L1655" t="s" s="2">
        <v>518</v>
      </c>
      <c r="M1655" s="5">
        <v>488311.19</v>
      </c>
      <c r="N1655" s="5">
        <v>6239091.44</v>
      </c>
      <c r="O1655" t="s" s="2">
        <v>305</v>
      </c>
      <c r="P1655" s="5">
        <v>7142453</v>
      </c>
      <c r="Q1655" t="s" s="2">
        <v>3177</v>
      </c>
      <c r="R1655" t="s" s="2">
        <f>_xlfn.IFERROR(INDEX('model_byCAP'!$D$2:$D$377,MATCH(Q1655,'model_byCAP'!$A$2:$A$377,0)),0)</f>
        <v>3178</v>
      </c>
    </row>
    <row r="1656" ht="15.35" customHeight="1">
      <c r="A1656" t="s" s="2">
        <v>3285</v>
      </c>
      <c r="B1656" s="4">
        <v>36591</v>
      </c>
      <c r="C1656" s="5">
        <v>1000</v>
      </c>
      <c r="D1656" s="5">
        <v>54</v>
      </c>
      <c r="E1656" s="5">
        <v>48</v>
      </c>
      <c r="F1656" t="s" s="2">
        <v>1989</v>
      </c>
      <c r="G1656" t="s" s="2">
        <v>3173</v>
      </c>
      <c r="H1656" s="5">
        <v>657</v>
      </c>
      <c r="I1656" t="s" s="2">
        <v>541</v>
      </c>
      <c r="J1656" t="s" s="2">
        <v>22</v>
      </c>
      <c r="K1656" t="s" s="2">
        <v>3283</v>
      </c>
      <c r="L1656" t="s" s="2">
        <v>3286</v>
      </c>
      <c r="M1656" s="5">
        <v>488378.81</v>
      </c>
      <c r="N1656" s="5">
        <v>6239381.97</v>
      </c>
      <c r="O1656" t="s" s="2">
        <v>305</v>
      </c>
      <c r="P1656" s="5">
        <v>7142455</v>
      </c>
      <c r="Q1656" t="s" s="2">
        <v>3177</v>
      </c>
      <c r="R1656" t="s" s="2">
        <f>_xlfn.IFERROR(INDEX('model_byCAP'!$D$2:$D$377,MATCH(Q1656,'model_byCAP'!$A$2:$A$377,0)),0)</f>
        <v>3178</v>
      </c>
    </row>
    <row r="1657" ht="15.35" customHeight="1">
      <c r="A1657" t="s" s="2">
        <v>3287</v>
      </c>
      <c r="B1657" s="4">
        <v>36707</v>
      </c>
      <c r="C1657" s="5">
        <v>1000</v>
      </c>
      <c r="D1657" s="5">
        <v>54.2</v>
      </c>
      <c r="E1657" s="5">
        <v>47.8</v>
      </c>
      <c r="F1657" t="s" s="2">
        <v>1989</v>
      </c>
      <c r="G1657" t="s" s="2">
        <v>3173</v>
      </c>
      <c r="H1657" s="5">
        <v>657</v>
      </c>
      <c r="I1657" t="s" s="2">
        <v>541</v>
      </c>
      <c r="J1657" t="s" s="2">
        <v>22</v>
      </c>
      <c r="K1657" t="s" s="2">
        <v>3288</v>
      </c>
      <c r="L1657" t="s" s="2">
        <v>1445</v>
      </c>
      <c r="M1657" s="5">
        <v>484458.52</v>
      </c>
      <c r="N1657" s="5">
        <v>6235260.43</v>
      </c>
      <c r="O1657" t="s" s="2">
        <v>305</v>
      </c>
      <c r="P1657" s="5">
        <v>7142913</v>
      </c>
      <c r="Q1657" t="s" s="2">
        <v>3177</v>
      </c>
      <c r="R1657" t="s" s="2">
        <f>_xlfn.IFERROR(INDEX('model_byCAP'!$D$2:$D$377,MATCH(Q1657,'model_byCAP'!$A$2:$A$377,0)),0)</f>
        <v>3178</v>
      </c>
    </row>
    <row r="1658" ht="15.35" customHeight="1">
      <c r="A1658" t="s" s="2">
        <v>3289</v>
      </c>
      <c r="B1658" s="4">
        <v>36707</v>
      </c>
      <c r="C1658" s="5">
        <v>1000</v>
      </c>
      <c r="D1658" s="5">
        <v>54.2</v>
      </c>
      <c r="E1658" s="5">
        <v>47.8</v>
      </c>
      <c r="F1658" t="s" s="2">
        <v>1989</v>
      </c>
      <c r="G1658" t="s" s="2">
        <v>3173</v>
      </c>
      <c r="H1658" s="5">
        <v>657</v>
      </c>
      <c r="I1658" t="s" s="2">
        <v>541</v>
      </c>
      <c r="J1658" t="s" s="2">
        <v>22</v>
      </c>
      <c r="K1658" t="s" s="2">
        <v>3288</v>
      </c>
      <c r="L1658" t="s" s="2">
        <v>498</v>
      </c>
      <c r="M1658" s="5">
        <v>484448.03</v>
      </c>
      <c r="N1658" s="5">
        <v>6235510.31</v>
      </c>
      <c r="O1658" t="s" s="2">
        <v>305</v>
      </c>
      <c r="P1658" s="5">
        <v>7142915</v>
      </c>
      <c r="Q1658" t="s" s="2">
        <v>3177</v>
      </c>
      <c r="R1658" t="s" s="2">
        <f>_xlfn.IFERROR(INDEX('model_byCAP'!$D$2:$D$377,MATCH(Q1658,'model_byCAP'!$A$2:$A$377,0)),0)</f>
        <v>3178</v>
      </c>
    </row>
    <row r="1659" ht="15.35" customHeight="1">
      <c r="A1659" t="s" s="2">
        <v>3290</v>
      </c>
      <c r="B1659" s="4">
        <v>36048</v>
      </c>
      <c r="C1659" s="5">
        <v>1000</v>
      </c>
      <c r="D1659" s="5">
        <v>54</v>
      </c>
      <c r="E1659" s="5">
        <v>60</v>
      </c>
      <c r="F1659" t="s" s="2">
        <v>1989</v>
      </c>
      <c r="G1659" t="s" s="2">
        <v>3173</v>
      </c>
      <c r="H1659" s="5">
        <v>657</v>
      </c>
      <c r="I1659" t="s" s="2">
        <v>541</v>
      </c>
      <c r="J1659" t="s" s="2">
        <v>22</v>
      </c>
      <c r="K1659" t="s" s="2">
        <v>3291</v>
      </c>
      <c r="L1659" t="s" s="2">
        <v>3292</v>
      </c>
      <c r="M1659" s="5">
        <v>490823.05</v>
      </c>
      <c r="N1659" s="5">
        <v>6236313.36</v>
      </c>
      <c r="O1659" t="s" s="2">
        <v>305</v>
      </c>
      <c r="P1659" s="5">
        <v>7141419</v>
      </c>
      <c r="Q1659" t="s" s="2">
        <v>3177</v>
      </c>
      <c r="R1659" t="s" s="2">
        <f>_xlfn.IFERROR(INDEX('model_byCAP'!$D$2:$D$377,MATCH(Q1659,'model_byCAP'!$A$2:$A$377,0)),0)</f>
        <v>3178</v>
      </c>
    </row>
    <row r="1660" ht="15.35" customHeight="1">
      <c r="A1660" t="s" s="2">
        <v>3293</v>
      </c>
      <c r="B1660" s="4">
        <v>36022</v>
      </c>
      <c r="C1660" s="5">
        <v>1000</v>
      </c>
      <c r="D1660" s="5">
        <v>54.2</v>
      </c>
      <c r="E1660" s="5">
        <v>60</v>
      </c>
      <c r="F1660" t="s" s="2">
        <v>1989</v>
      </c>
      <c r="G1660" t="s" s="2">
        <v>3173</v>
      </c>
      <c r="H1660" s="5">
        <v>657</v>
      </c>
      <c r="I1660" t="s" s="2">
        <v>541</v>
      </c>
      <c r="J1660" t="s" s="2">
        <v>22</v>
      </c>
      <c r="K1660" t="s" s="2">
        <v>3291</v>
      </c>
      <c r="L1660" t="s" s="2">
        <v>2386</v>
      </c>
      <c r="M1660" s="5">
        <v>490889.44</v>
      </c>
      <c r="N1660" s="5">
        <v>6236070.17</v>
      </c>
      <c r="O1660" t="s" s="2">
        <v>305</v>
      </c>
      <c r="P1660" s="5">
        <v>7141420</v>
      </c>
      <c r="Q1660" t="s" s="2">
        <v>3177</v>
      </c>
      <c r="R1660" t="s" s="2">
        <f>_xlfn.IFERROR(INDEX('model_byCAP'!$D$2:$D$377,MATCH(Q1660,'model_byCAP'!$A$2:$A$377,0)),0)</f>
        <v>3178</v>
      </c>
    </row>
    <row r="1661" ht="15.35" customHeight="1">
      <c r="A1661" t="s" s="2">
        <v>3294</v>
      </c>
      <c r="B1661" s="4">
        <v>36022</v>
      </c>
      <c r="C1661" s="5">
        <v>1000</v>
      </c>
      <c r="D1661" s="5">
        <v>54</v>
      </c>
      <c r="E1661" s="5">
        <v>60</v>
      </c>
      <c r="F1661" t="s" s="2">
        <v>1989</v>
      </c>
      <c r="G1661" t="s" s="2">
        <v>3173</v>
      </c>
      <c r="H1661" s="5">
        <v>657</v>
      </c>
      <c r="I1661" t="s" s="2">
        <v>541</v>
      </c>
      <c r="J1661" t="s" s="2">
        <v>22</v>
      </c>
      <c r="K1661" t="s" s="2">
        <v>3291</v>
      </c>
      <c r="L1661" t="s" s="2">
        <v>3295</v>
      </c>
      <c r="M1661" s="5">
        <v>490956.17</v>
      </c>
      <c r="N1661" s="5">
        <v>6235827.63</v>
      </c>
      <c r="O1661" t="s" s="2">
        <v>305</v>
      </c>
      <c r="P1661" s="5">
        <v>7141421</v>
      </c>
      <c r="Q1661" t="s" s="2">
        <v>3177</v>
      </c>
      <c r="R1661" t="s" s="2">
        <f>_xlfn.IFERROR(INDEX('model_byCAP'!$D$2:$D$377,MATCH(Q1661,'model_byCAP'!$A$2:$A$377,0)),0)</f>
        <v>3178</v>
      </c>
    </row>
    <row r="1662" ht="15.35" customHeight="1">
      <c r="A1662" t="s" s="2">
        <v>3296</v>
      </c>
      <c r="B1662" s="4">
        <v>36070</v>
      </c>
      <c r="C1662" s="5">
        <v>1000</v>
      </c>
      <c r="D1662" s="5">
        <v>75</v>
      </c>
      <c r="E1662" s="5">
        <v>48</v>
      </c>
      <c r="F1662" t="s" s="2">
        <v>1989</v>
      </c>
      <c r="G1662" t="s" s="2">
        <v>3173</v>
      </c>
      <c r="H1662" s="5">
        <v>657</v>
      </c>
      <c r="I1662" t="s" s="2">
        <v>541</v>
      </c>
      <c r="J1662" t="s" s="2">
        <v>22</v>
      </c>
      <c r="K1662" t="s" s="2">
        <v>3297</v>
      </c>
      <c r="L1662" t="s" s="2">
        <v>1059</v>
      </c>
      <c r="M1662" s="5">
        <v>482831.97</v>
      </c>
      <c r="N1662" s="5">
        <v>6227867.13</v>
      </c>
      <c r="O1662" t="s" s="2">
        <v>305</v>
      </c>
      <c r="P1662" s="5">
        <v>7141553</v>
      </c>
      <c r="Q1662" t="s" s="2">
        <v>3177</v>
      </c>
      <c r="R1662" t="s" s="2">
        <f>_xlfn.IFERROR(INDEX('model_byCAP'!$D$2:$D$377,MATCH(Q1662,'model_byCAP'!$A$2:$A$377,0)),0)</f>
        <v>3178</v>
      </c>
    </row>
    <row r="1663" ht="15.35" customHeight="1">
      <c r="A1663" t="s" s="2">
        <v>3298</v>
      </c>
      <c r="B1663" s="4">
        <v>36070</v>
      </c>
      <c r="C1663" s="5">
        <v>1000</v>
      </c>
      <c r="D1663" s="5">
        <v>75</v>
      </c>
      <c r="E1663" s="5">
        <v>48</v>
      </c>
      <c r="F1663" t="s" s="2">
        <v>1989</v>
      </c>
      <c r="G1663" t="s" s="2">
        <v>3173</v>
      </c>
      <c r="H1663" s="5">
        <v>657</v>
      </c>
      <c r="I1663" t="s" s="2">
        <v>541</v>
      </c>
      <c r="J1663" t="s" s="2">
        <v>22</v>
      </c>
      <c r="K1663" t="s" s="2">
        <v>3297</v>
      </c>
      <c r="L1663" t="s" s="2">
        <v>1059</v>
      </c>
      <c r="M1663" s="5">
        <v>482845.1</v>
      </c>
      <c r="N1663" s="5">
        <v>6228117.97</v>
      </c>
      <c r="O1663" t="s" s="2">
        <v>305</v>
      </c>
      <c r="P1663" s="5">
        <v>7141554</v>
      </c>
      <c r="Q1663" t="s" s="2">
        <v>3177</v>
      </c>
      <c r="R1663" t="s" s="2">
        <f>_xlfn.IFERROR(INDEX('model_byCAP'!$D$2:$D$377,MATCH(Q1663,'model_byCAP'!$A$2:$A$377,0)),0)</f>
        <v>3178</v>
      </c>
    </row>
    <row r="1664" ht="15.35" customHeight="1">
      <c r="A1664" t="s" s="2">
        <v>3299</v>
      </c>
      <c r="B1664" s="4">
        <v>36070</v>
      </c>
      <c r="C1664" s="5">
        <v>1000</v>
      </c>
      <c r="D1664" s="5">
        <v>54.2</v>
      </c>
      <c r="E1664" s="5">
        <v>48</v>
      </c>
      <c r="F1664" t="s" s="2">
        <v>1989</v>
      </c>
      <c r="G1664" t="s" s="2">
        <v>3173</v>
      </c>
      <c r="H1664" s="5">
        <v>657</v>
      </c>
      <c r="I1664" t="s" s="2">
        <v>541</v>
      </c>
      <c r="J1664" t="s" s="2">
        <v>22</v>
      </c>
      <c r="K1664" t="s" s="2">
        <v>3297</v>
      </c>
      <c r="L1664" t="s" s="2">
        <v>1059</v>
      </c>
      <c r="M1664" s="5">
        <v>482863.96</v>
      </c>
      <c r="N1664" s="5">
        <v>6228366.14</v>
      </c>
      <c r="O1664" t="s" s="2">
        <v>305</v>
      </c>
      <c r="P1664" s="5">
        <v>7141555</v>
      </c>
      <c r="Q1664" t="s" s="2">
        <v>3177</v>
      </c>
      <c r="R1664" t="s" s="2">
        <f>_xlfn.IFERROR(INDEX('model_byCAP'!$D$2:$D$377,MATCH(Q1664,'model_byCAP'!$A$2:$A$377,0)),0)</f>
        <v>3178</v>
      </c>
    </row>
    <row r="1665" ht="15.35" customHeight="1">
      <c r="A1665" t="s" s="2">
        <v>3300</v>
      </c>
      <c r="B1665" s="4">
        <v>36489</v>
      </c>
      <c r="C1665" s="5">
        <v>1000</v>
      </c>
      <c r="D1665" s="5">
        <v>48</v>
      </c>
      <c r="E1665" s="5">
        <v>48</v>
      </c>
      <c r="F1665" t="s" s="2">
        <v>1989</v>
      </c>
      <c r="G1665" t="s" s="2">
        <v>3173</v>
      </c>
      <c r="H1665" s="5">
        <v>657</v>
      </c>
      <c r="I1665" t="s" s="2">
        <v>541</v>
      </c>
      <c r="J1665" t="s" s="2">
        <v>22</v>
      </c>
      <c r="K1665" t="s" s="2">
        <v>3276</v>
      </c>
      <c r="L1665" t="s" s="2">
        <v>2931</v>
      </c>
      <c r="M1665" s="5">
        <v>480950.41</v>
      </c>
      <c r="N1665" s="5">
        <v>6225131.57</v>
      </c>
      <c r="O1665" t="s" s="2">
        <v>305</v>
      </c>
      <c r="P1665" s="5">
        <v>7142263</v>
      </c>
      <c r="Q1665" t="s" s="2">
        <v>3177</v>
      </c>
      <c r="R1665" t="s" s="2">
        <f>_xlfn.IFERROR(INDEX('model_byCAP'!$D$2:$D$377,MATCH(Q1665,'model_byCAP'!$A$2:$A$377,0)),0)</f>
        <v>3178</v>
      </c>
    </row>
    <row r="1666" ht="15.35" customHeight="1">
      <c r="A1666" t="s" s="2">
        <v>3301</v>
      </c>
      <c r="B1666" s="4">
        <v>36813</v>
      </c>
      <c r="C1666" s="5">
        <v>1000</v>
      </c>
      <c r="D1666" s="5">
        <v>0.1</v>
      </c>
      <c r="E1666" s="5">
        <v>0.1</v>
      </c>
      <c r="F1666" t="s" s="2">
        <v>1746</v>
      </c>
      <c r="G1666" t="s" s="2">
        <v>3302</v>
      </c>
      <c r="H1666" s="5">
        <v>661</v>
      </c>
      <c r="I1666" t="s" s="2">
        <v>562</v>
      </c>
      <c r="J1666" t="s" s="2">
        <v>22</v>
      </c>
      <c r="K1666" t="s" s="2">
        <v>572</v>
      </c>
      <c r="L1666" t="s" s="2">
        <v>1332</v>
      </c>
      <c r="M1666" s="5">
        <v>492014.75</v>
      </c>
      <c r="N1666" s="5">
        <v>6252938.89</v>
      </c>
      <c r="O1666" t="s" s="2">
        <v>305</v>
      </c>
      <c r="P1666" s="5">
        <v>2050323</v>
      </c>
      <c r="Q1666" t="s" s="2">
        <v>3303</v>
      </c>
      <c r="R1666" t="s" s="2">
        <f>_xlfn.IFERROR(INDEX('model_byCAP'!$D$2:$D$377,MATCH(Q1666,'model_byCAP'!$A$2:$A$377,0)),0)</f>
        <v>3231</v>
      </c>
    </row>
    <row r="1667" ht="15.35" customHeight="1">
      <c r="A1667" t="s" s="2">
        <v>3304</v>
      </c>
      <c r="B1667" s="4">
        <v>36800</v>
      </c>
      <c r="C1667" s="5">
        <v>1000</v>
      </c>
      <c r="D1667" s="5">
        <v>60</v>
      </c>
      <c r="E1667" s="5">
        <v>45</v>
      </c>
      <c r="F1667" t="s" s="2">
        <v>1746</v>
      </c>
      <c r="G1667" t="s" s="2">
        <v>3302</v>
      </c>
      <c r="H1667" s="5">
        <v>661</v>
      </c>
      <c r="I1667" t="s" s="2">
        <v>562</v>
      </c>
      <c r="J1667" t="s" s="2">
        <v>22</v>
      </c>
      <c r="K1667" t="s" s="2">
        <v>572</v>
      </c>
      <c r="L1667" t="s" s="2">
        <v>3305</v>
      </c>
      <c r="M1667" s="5">
        <v>491848.59</v>
      </c>
      <c r="N1667" s="5">
        <v>6253098.91</v>
      </c>
      <c r="O1667" t="s" s="2">
        <v>305</v>
      </c>
      <c r="P1667" s="5">
        <v>2050324</v>
      </c>
      <c r="Q1667" t="s" s="2">
        <v>3303</v>
      </c>
      <c r="R1667" t="s" s="2">
        <f>_xlfn.IFERROR(INDEX('model_byCAP'!$D$2:$D$377,MATCH(Q1667,'model_byCAP'!$A$2:$A$377,0)),0)</f>
        <v>3231</v>
      </c>
    </row>
    <row r="1668" ht="15.35" customHeight="1">
      <c r="A1668" t="s" s="2">
        <v>3306</v>
      </c>
      <c r="B1668" s="4">
        <v>36800</v>
      </c>
      <c r="C1668" s="5">
        <v>1000</v>
      </c>
      <c r="D1668" s="5">
        <v>0.1</v>
      </c>
      <c r="E1668" s="5">
        <v>0.1</v>
      </c>
      <c r="F1668" t="s" s="2">
        <v>1746</v>
      </c>
      <c r="G1668" t="s" s="2">
        <v>3302</v>
      </c>
      <c r="H1668" s="5">
        <v>661</v>
      </c>
      <c r="I1668" t="s" s="2">
        <v>562</v>
      </c>
      <c r="J1668" t="s" s="2">
        <v>22</v>
      </c>
      <c r="K1668" t="s" s="2">
        <v>572</v>
      </c>
      <c r="L1668" t="s" s="2">
        <v>3307</v>
      </c>
      <c r="M1668" s="5">
        <v>491678.75</v>
      </c>
      <c r="N1668" s="5">
        <v>6253259.28</v>
      </c>
      <c r="O1668" t="s" s="2">
        <v>305</v>
      </c>
      <c r="P1668" s="5">
        <v>2050325</v>
      </c>
      <c r="Q1668" t="s" s="2">
        <v>3303</v>
      </c>
      <c r="R1668" t="s" s="2">
        <f>_xlfn.IFERROR(INDEX('model_byCAP'!$D$2:$D$377,MATCH(Q1668,'model_byCAP'!$A$2:$A$377,0)),0)</f>
        <v>3231</v>
      </c>
    </row>
    <row r="1669" ht="15.35" customHeight="1">
      <c r="A1669" t="s" s="2">
        <v>3308</v>
      </c>
      <c r="B1669" s="4">
        <v>36800</v>
      </c>
      <c r="C1669" s="5">
        <v>1000</v>
      </c>
      <c r="D1669" s="5">
        <v>0.1</v>
      </c>
      <c r="E1669" s="5">
        <v>0.1</v>
      </c>
      <c r="F1669" t="s" s="2">
        <v>1746</v>
      </c>
      <c r="G1669" t="s" s="2">
        <v>3302</v>
      </c>
      <c r="H1669" s="5">
        <v>661</v>
      </c>
      <c r="I1669" t="s" s="2">
        <v>562</v>
      </c>
      <c r="J1669" t="s" s="2">
        <v>22</v>
      </c>
      <c r="K1669" t="s" s="2">
        <v>572</v>
      </c>
      <c r="L1669" t="s" s="2">
        <v>3309</v>
      </c>
      <c r="M1669" s="5">
        <v>491510.21</v>
      </c>
      <c r="N1669" s="5">
        <v>6253419.03</v>
      </c>
      <c r="O1669" t="s" s="2">
        <v>305</v>
      </c>
      <c r="P1669" s="5">
        <v>2050326</v>
      </c>
      <c r="Q1669" t="s" s="2">
        <v>3303</v>
      </c>
      <c r="R1669" t="s" s="2">
        <f>_xlfn.IFERROR(INDEX('model_byCAP'!$D$2:$D$377,MATCH(Q1669,'model_byCAP'!$A$2:$A$377,0)),0)</f>
        <v>3231</v>
      </c>
    </row>
    <row r="1670" ht="15.35" customHeight="1">
      <c r="A1670" t="s" s="2">
        <v>3310</v>
      </c>
      <c r="B1670" s="4">
        <v>36588</v>
      </c>
      <c r="C1670" s="5">
        <v>1000</v>
      </c>
      <c r="D1670" s="5">
        <v>54.2</v>
      </c>
      <c r="E1670" s="5">
        <v>47.8</v>
      </c>
      <c r="F1670" t="s" s="2">
        <v>1989</v>
      </c>
      <c r="G1670" t="s" s="2">
        <v>3173</v>
      </c>
      <c r="H1670" s="5">
        <v>661</v>
      </c>
      <c r="I1670" t="s" s="2">
        <v>562</v>
      </c>
      <c r="J1670" t="s" s="2">
        <v>22</v>
      </c>
      <c r="K1670" t="s" s="2">
        <v>3311</v>
      </c>
      <c r="L1670" t="s" s="2">
        <v>3312</v>
      </c>
      <c r="M1670" s="5">
        <v>478946.62</v>
      </c>
      <c r="N1670" s="5">
        <v>6249131.24</v>
      </c>
      <c r="O1670" t="s" s="2">
        <v>305</v>
      </c>
      <c r="P1670" s="5">
        <v>40147297</v>
      </c>
      <c r="Q1670" t="s" s="2">
        <v>3177</v>
      </c>
      <c r="R1670" t="s" s="2">
        <f>_xlfn.IFERROR(INDEX('model_byCAP'!$D$2:$D$377,MATCH(Q1670,'model_byCAP'!$A$2:$A$377,0)),0)</f>
        <v>3178</v>
      </c>
    </row>
    <row r="1671" ht="15.35" customHeight="1">
      <c r="A1671" t="s" s="2">
        <v>3313</v>
      </c>
      <c r="B1671" s="4">
        <v>36588</v>
      </c>
      <c r="C1671" s="5">
        <v>1000</v>
      </c>
      <c r="D1671" s="5">
        <v>54.2</v>
      </c>
      <c r="E1671" s="5">
        <v>47.8</v>
      </c>
      <c r="F1671" t="s" s="2">
        <v>1989</v>
      </c>
      <c r="G1671" t="s" s="2">
        <v>3173</v>
      </c>
      <c r="H1671" s="5">
        <v>661</v>
      </c>
      <c r="I1671" t="s" s="2">
        <v>562</v>
      </c>
      <c r="J1671" t="s" s="2">
        <v>22</v>
      </c>
      <c r="K1671" t="s" s="2">
        <v>3311</v>
      </c>
      <c r="L1671" t="s" s="2">
        <v>1161</v>
      </c>
      <c r="M1671" s="5">
        <v>479073.96</v>
      </c>
      <c r="N1671" s="5">
        <v>6248470.58</v>
      </c>
      <c r="O1671" t="s" s="2">
        <v>305</v>
      </c>
      <c r="P1671" s="5">
        <v>40152302</v>
      </c>
      <c r="Q1671" t="s" s="2">
        <v>3177</v>
      </c>
      <c r="R1671" t="s" s="2">
        <f>_xlfn.IFERROR(INDEX('model_byCAP'!$D$2:$D$377,MATCH(Q1671,'model_byCAP'!$A$2:$A$377,0)),0)</f>
        <v>3178</v>
      </c>
    </row>
    <row r="1672" ht="15.35" customHeight="1">
      <c r="A1672" t="s" s="2">
        <v>3314</v>
      </c>
      <c r="B1672" s="4">
        <v>36502</v>
      </c>
      <c r="C1672" s="5">
        <v>1000</v>
      </c>
      <c r="D1672" s="5">
        <v>54.2</v>
      </c>
      <c r="E1672" s="5">
        <v>47.8</v>
      </c>
      <c r="F1672" t="s" s="2">
        <v>1989</v>
      </c>
      <c r="G1672" t="s" s="2">
        <v>3173</v>
      </c>
      <c r="H1672" s="5">
        <v>661</v>
      </c>
      <c r="I1672" t="s" s="2">
        <v>562</v>
      </c>
      <c r="J1672" t="s" s="2">
        <v>22</v>
      </c>
      <c r="K1672" t="s" s="2">
        <v>3315</v>
      </c>
      <c r="L1672" t="s" s="2">
        <v>2384</v>
      </c>
      <c r="M1672" s="5">
        <v>485394.42</v>
      </c>
      <c r="N1672" s="5">
        <v>6249032.11</v>
      </c>
      <c r="O1672" t="s" s="2">
        <v>305</v>
      </c>
      <c r="P1672" s="5">
        <v>40196288</v>
      </c>
      <c r="Q1672" t="s" s="2">
        <v>3177</v>
      </c>
      <c r="R1672" t="s" s="2">
        <f>_xlfn.IFERROR(INDEX('model_byCAP'!$D$2:$D$377,MATCH(Q1672,'model_byCAP'!$A$2:$A$377,0)),0)</f>
        <v>3178</v>
      </c>
    </row>
    <row r="1673" ht="15.35" customHeight="1">
      <c r="A1673" t="s" s="2">
        <v>3316</v>
      </c>
      <c r="B1673" s="4">
        <v>36502</v>
      </c>
      <c r="C1673" s="5">
        <v>1000</v>
      </c>
      <c r="D1673" s="5">
        <v>54.2</v>
      </c>
      <c r="E1673" s="5">
        <v>47.8</v>
      </c>
      <c r="F1673" t="s" s="2">
        <v>1989</v>
      </c>
      <c r="G1673" t="s" s="2">
        <v>3173</v>
      </c>
      <c r="H1673" s="5">
        <v>661</v>
      </c>
      <c r="I1673" t="s" s="2">
        <v>562</v>
      </c>
      <c r="J1673" t="s" s="2">
        <v>22</v>
      </c>
      <c r="K1673" t="s" s="2">
        <v>3315</v>
      </c>
      <c r="L1673" t="s" s="2">
        <v>3317</v>
      </c>
      <c r="M1673" s="5">
        <v>485575.76</v>
      </c>
      <c r="N1673" s="5">
        <v>6248880.17</v>
      </c>
      <c r="O1673" t="s" s="2">
        <v>305</v>
      </c>
      <c r="P1673" s="5">
        <v>40197288</v>
      </c>
      <c r="Q1673" t="s" s="2">
        <v>3177</v>
      </c>
      <c r="R1673" t="s" s="2">
        <f>_xlfn.IFERROR(INDEX('model_byCAP'!$D$2:$D$377,MATCH(Q1673,'model_byCAP'!$A$2:$A$377,0)),0)</f>
        <v>3178</v>
      </c>
    </row>
    <row r="1674" ht="15.35" customHeight="1">
      <c r="A1674" t="s" s="2">
        <v>3318</v>
      </c>
      <c r="B1674" s="4">
        <v>36662</v>
      </c>
      <c r="C1674" s="5">
        <v>1000</v>
      </c>
      <c r="D1674" s="5">
        <v>54.2</v>
      </c>
      <c r="E1674" s="5">
        <v>47.8</v>
      </c>
      <c r="F1674" t="s" s="2">
        <v>1989</v>
      </c>
      <c r="G1674" t="s" s="2">
        <v>3173</v>
      </c>
      <c r="H1674" s="5">
        <v>661</v>
      </c>
      <c r="I1674" t="s" s="2">
        <v>562</v>
      </c>
      <c r="J1674" t="s" s="2">
        <v>22</v>
      </c>
      <c r="K1674" t="s" s="2">
        <v>3319</v>
      </c>
      <c r="L1674" t="s" s="2">
        <v>1537</v>
      </c>
      <c r="M1674" s="5">
        <v>469794.53</v>
      </c>
      <c r="N1674" s="5">
        <v>6243026.53</v>
      </c>
      <c r="O1674" t="s" s="2">
        <v>305</v>
      </c>
      <c r="P1674" s="5">
        <v>40160323</v>
      </c>
      <c r="Q1674" t="s" s="2">
        <v>3177</v>
      </c>
      <c r="R1674" t="s" s="2">
        <f>_xlfn.IFERROR(INDEX('model_byCAP'!$D$2:$D$377,MATCH(Q1674,'model_byCAP'!$A$2:$A$377,0)),0)</f>
        <v>3178</v>
      </c>
    </row>
    <row r="1675" ht="15.35" customHeight="1">
      <c r="A1675" t="s" s="2">
        <v>3320</v>
      </c>
      <c r="B1675" s="4">
        <v>36662</v>
      </c>
      <c r="C1675" s="5">
        <v>1000</v>
      </c>
      <c r="D1675" s="5">
        <v>54.2</v>
      </c>
      <c r="E1675" s="5">
        <v>47.8</v>
      </c>
      <c r="F1675" t="s" s="2">
        <v>1989</v>
      </c>
      <c r="G1675" t="s" s="2">
        <v>3173</v>
      </c>
      <c r="H1675" s="5">
        <v>661</v>
      </c>
      <c r="I1675" t="s" s="2">
        <v>562</v>
      </c>
      <c r="J1675" t="s" s="2">
        <v>22</v>
      </c>
      <c r="K1675" t="s" s="2">
        <v>3319</v>
      </c>
      <c r="L1675" t="s" s="2">
        <v>1424</v>
      </c>
      <c r="M1675" s="5">
        <v>469636.32</v>
      </c>
      <c r="N1675" s="5">
        <v>6243152.23</v>
      </c>
      <c r="O1675" t="s" s="2">
        <v>305</v>
      </c>
      <c r="P1675" s="5">
        <v>40161324</v>
      </c>
      <c r="Q1675" t="s" s="2">
        <v>3177</v>
      </c>
      <c r="R1675" t="s" s="2">
        <f>_xlfn.IFERROR(INDEX('model_byCAP'!$D$2:$D$377,MATCH(Q1675,'model_byCAP'!$A$2:$A$377,0)),0)</f>
        <v>3178</v>
      </c>
    </row>
    <row r="1676" ht="15.35" customHeight="1">
      <c r="A1676" t="s" s="2">
        <v>3321</v>
      </c>
      <c r="B1676" s="4">
        <v>36676</v>
      </c>
      <c r="C1676" s="5">
        <v>1000</v>
      </c>
      <c r="D1676" s="5">
        <v>54.2</v>
      </c>
      <c r="E1676" s="5">
        <v>47.8</v>
      </c>
      <c r="F1676" t="s" s="2">
        <v>1989</v>
      </c>
      <c r="G1676" t="s" s="2">
        <v>3173</v>
      </c>
      <c r="H1676" s="5">
        <v>661</v>
      </c>
      <c r="I1676" t="s" s="2">
        <v>562</v>
      </c>
      <c r="J1676" t="s" s="2">
        <v>22</v>
      </c>
      <c r="K1676" t="s" s="2">
        <v>3322</v>
      </c>
      <c r="L1676" t="s" s="2">
        <v>995</v>
      </c>
      <c r="M1676" s="5">
        <v>470267.59</v>
      </c>
      <c r="N1676" s="5">
        <v>6252915.6</v>
      </c>
      <c r="O1676" t="s" s="2">
        <v>305</v>
      </c>
      <c r="P1676" s="5">
        <v>40162325</v>
      </c>
      <c r="Q1676" t="s" s="2">
        <v>3177</v>
      </c>
      <c r="R1676" t="s" s="2">
        <f>_xlfn.IFERROR(INDEX('model_byCAP'!$D$2:$D$377,MATCH(Q1676,'model_byCAP'!$A$2:$A$377,0)),0)</f>
        <v>3178</v>
      </c>
    </row>
    <row r="1677" ht="15.35" customHeight="1">
      <c r="A1677" t="s" s="2">
        <v>3323</v>
      </c>
      <c r="B1677" s="4">
        <v>36655</v>
      </c>
      <c r="C1677" s="5">
        <v>1000</v>
      </c>
      <c r="D1677" s="5">
        <v>54.2</v>
      </c>
      <c r="E1677" s="5">
        <v>47.8</v>
      </c>
      <c r="F1677" t="s" s="2">
        <v>1989</v>
      </c>
      <c r="G1677" t="s" s="2">
        <v>3173</v>
      </c>
      <c r="H1677" s="5">
        <v>671</v>
      </c>
      <c r="I1677" t="s" s="2">
        <v>378</v>
      </c>
      <c r="J1677" t="s" s="2">
        <v>22</v>
      </c>
      <c r="K1677" t="s" s="2">
        <v>3324</v>
      </c>
      <c r="L1677" t="s" s="2">
        <v>1596</v>
      </c>
      <c r="M1677" s="5">
        <v>468414.76</v>
      </c>
      <c r="N1677" s="5">
        <v>6256547.49</v>
      </c>
      <c r="O1677" t="s" s="2">
        <v>305</v>
      </c>
      <c r="P1677" s="5">
        <v>40157310</v>
      </c>
      <c r="Q1677" t="s" s="2">
        <v>3177</v>
      </c>
      <c r="R1677" t="s" s="2">
        <f>_xlfn.IFERROR(INDEX('model_byCAP'!$D$2:$D$377,MATCH(Q1677,'model_byCAP'!$A$2:$A$377,0)),0)</f>
        <v>3178</v>
      </c>
    </row>
    <row r="1678" ht="15.35" customHeight="1">
      <c r="A1678" t="s" s="2">
        <v>3325</v>
      </c>
      <c r="B1678" s="4">
        <v>36655</v>
      </c>
      <c r="C1678" s="5">
        <v>1000</v>
      </c>
      <c r="D1678" s="5">
        <v>54.2</v>
      </c>
      <c r="E1678" s="5">
        <v>47.8</v>
      </c>
      <c r="F1678" t="s" s="2">
        <v>1989</v>
      </c>
      <c r="G1678" t="s" s="2">
        <v>3173</v>
      </c>
      <c r="H1678" s="5">
        <v>671</v>
      </c>
      <c r="I1678" t="s" s="2">
        <v>378</v>
      </c>
      <c r="J1678" t="s" s="2">
        <v>22</v>
      </c>
      <c r="K1678" t="s" s="2">
        <v>3324</v>
      </c>
      <c r="L1678" t="s" s="2">
        <v>476</v>
      </c>
      <c r="M1678" s="5">
        <v>468220.8</v>
      </c>
      <c r="N1678" s="5">
        <v>6256351.7</v>
      </c>
      <c r="O1678" t="s" s="2">
        <v>305</v>
      </c>
      <c r="P1678" s="5">
        <v>40157310</v>
      </c>
      <c r="Q1678" t="s" s="2">
        <v>3177</v>
      </c>
      <c r="R1678" t="s" s="2">
        <f>_xlfn.IFERROR(INDEX('model_byCAP'!$D$2:$D$377,MATCH(Q1678,'model_byCAP'!$A$2:$A$377,0)),0)</f>
        <v>3178</v>
      </c>
    </row>
    <row r="1679" ht="15.35" customHeight="1">
      <c r="A1679" t="s" s="2">
        <v>3326</v>
      </c>
      <c r="B1679" s="4">
        <v>36655</v>
      </c>
      <c r="C1679" s="5">
        <v>1000</v>
      </c>
      <c r="D1679" s="5">
        <v>54.2</v>
      </c>
      <c r="E1679" s="5">
        <v>47.8</v>
      </c>
      <c r="F1679" t="s" s="2">
        <v>1989</v>
      </c>
      <c r="G1679" t="s" s="2">
        <v>3173</v>
      </c>
      <c r="H1679" s="5">
        <v>671</v>
      </c>
      <c r="I1679" t="s" s="2">
        <v>378</v>
      </c>
      <c r="J1679" t="s" s="2">
        <v>22</v>
      </c>
      <c r="K1679" t="s" s="2">
        <v>3324</v>
      </c>
      <c r="L1679" t="s" s="2">
        <v>471</v>
      </c>
      <c r="M1679" s="5">
        <v>468026.75</v>
      </c>
      <c r="N1679" s="5">
        <v>6256155.08</v>
      </c>
      <c r="O1679" t="s" s="2">
        <v>305</v>
      </c>
      <c r="P1679" s="5">
        <v>40157310</v>
      </c>
      <c r="Q1679" t="s" s="2">
        <v>3177</v>
      </c>
      <c r="R1679" t="s" s="2">
        <f>_xlfn.IFERROR(INDEX('model_byCAP'!$D$2:$D$377,MATCH(Q1679,'model_byCAP'!$A$2:$A$377,0)),0)</f>
        <v>3178</v>
      </c>
    </row>
    <row r="1680" ht="15.35" customHeight="1">
      <c r="A1680" t="s" s="2">
        <v>3327</v>
      </c>
      <c r="B1680" s="4">
        <v>36655</v>
      </c>
      <c r="C1680" s="5">
        <v>1000</v>
      </c>
      <c r="D1680" s="5">
        <v>54.2</v>
      </c>
      <c r="E1680" s="5">
        <v>47.8</v>
      </c>
      <c r="F1680" t="s" s="2">
        <v>1989</v>
      </c>
      <c r="G1680" t="s" s="2">
        <v>3173</v>
      </c>
      <c r="H1680" s="5">
        <v>671</v>
      </c>
      <c r="I1680" t="s" s="2">
        <v>378</v>
      </c>
      <c r="J1680" t="s" s="2">
        <v>22</v>
      </c>
      <c r="K1680" t="s" s="2">
        <v>3324</v>
      </c>
      <c r="L1680" t="s" s="2">
        <v>1617</v>
      </c>
      <c r="M1680" s="5">
        <v>467833.16</v>
      </c>
      <c r="N1680" s="5">
        <v>6255959.89</v>
      </c>
      <c r="O1680" t="s" s="2">
        <v>305</v>
      </c>
      <c r="P1680" s="5">
        <v>40157310</v>
      </c>
      <c r="Q1680" t="s" s="2">
        <v>3177</v>
      </c>
      <c r="R1680" t="s" s="2">
        <f>_xlfn.IFERROR(INDEX('model_byCAP'!$D$2:$D$377,MATCH(Q1680,'model_byCAP'!$A$2:$A$377,0)),0)</f>
        <v>3178</v>
      </c>
    </row>
    <row r="1681" ht="15.35" customHeight="1">
      <c r="A1681" t="s" s="2">
        <v>3328</v>
      </c>
      <c r="B1681" s="4">
        <v>36655</v>
      </c>
      <c r="C1681" s="5">
        <v>1000</v>
      </c>
      <c r="D1681" s="5">
        <v>54.2</v>
      </c>
      <c r="E1681" s="5">
        <v>47.8</v>
      </c>
      <c r="F1681" t="s" s="2">
        <v>1989</v>
      </c>
      <c r="G1681" t="s" s="2">
        <v>3173</v>
      </c>
      <c r="H1681" s="5">
        <v>671</v>
      </c>
      <c r="I1681" t="s" s="2">
        <v>378</v>
      </c>
      <c r="J1681" t="s" s="2">
        <v>22</v>
      </c>
      <c r="K1681" t="s" s="2">
        <v>3324</v>
      </c>
      <c r="L1681" t="s" s="2">
        <v>3203</v>
      </c>
      <c r="M1681" s="5">
        <v>468644.08</v>
      </c>
      <c r="N1681" s="5">
        <v>6255804.36</v>
      </c>
      <c r="O1681" t="s" s="2">
        <v>305</v>
      </c>
      <c r="P1681" s="5">
        <v>40157310</v>
      </c>
      <c r="Q1681" t="s" s="2">
        <v>3177</v>
      </c>
      <c r="R1681" t="s" s="2">
        <f>_xlfn.IFERROR(INDEX('model_byCAP'!$D$2:$D$377,MATCH(Q1681,'model_byCAP'!$A$2:$A$377,0)),0)</f>
        <v>3178</v>
      </c>
    </row>
    <row r="1682" ht="15.35" customHeight="1">
      <c r="A1682" t="s" s="2">
        <v>3329</v>
      </c>
      <c r="B1682" s="4">
        <v>36655</v>
      </c>
      <c r="C1682" s="5">
        <v>1000</v>
      </c>
      <c r="D1682" s="5">
        <v>54.2</v>
      </c>
      <c r="E1682" s="5">
        <v>47.8</v>
      </c>
      <c r="F1682" t="s" s="2">
        <v>1989</v>
      </c>
      <c r="G1682" t="s" s="2">
        <v>3173</v>
      </c>
      <c r="H1682" s="5">
        <v>671</v>
      </c>
      <c r="I1682" t="s" s="2">
        <v>378</v>
      </c>
      <c r="J1682" t="s" s="2">
        <v>22</v>
      </c>
      <c r="K1682" t="s" s="2">
        <v>3324</v>
      </c>
      <c r="L1682" t="s" s="2">
        <v>3330</v>
      </c>
      <c r="M1682" s="5">
        <v>468373.71</v>
      </c>
      <c r="N1682" s="5">
        <v>6255855.76</v>
      </c>
      <c r="O1682" t="s" s="2">
        <v>305</v>
      </c>
      <c r="P1682" s="5">
        <v>40157310</v>
      </c>
      <c r="Q1682" t="s" s="2">
        <v>3177</v>
      </c>
      <c r="R1682" t="s" s="2">
        <f>_xlfn.IFERROR(INDEX('model_byCAP'!$D$2:$D$377,MATCH(Q1682,'model_byCAP'!$A$2:$A$377,0)),0)</f>
        <v>3178</v>
      </c>
    </row>
    <row r="1683" ht="15.35" customHeight="1">
      <c r="A1683" t="s" s="2">
        <v>3331</v>
      </c>
      <c r="B1683" s="4">
        <v>36655</v>
      </c>
      <c r="C1683" s="5">
        <v>1000</v>
      </c>
      <c r="D1683" s="5">
        <v>54.2</v>
      </c>
      <c r="E1683" s="5">
        <v>47.8</v>
      </c>
      <c r="F1683" t="s" s="2">
        <v>1989</v>
      </c>
      <c r="G1683" t="s" s="2">
        <v>3173</v>
      </c>
      <c r="H1683" s="5">
        <v>671</v>
      </c>
      <c r="I1683" t="s" s="2">
        <v>378</v>
      </c>
      <c r="J1683" t="s" s="2">
        <v>22</v>
      </c>
      <c r="K1683" t="s" s="2">
        <v>3324</v>
      </c>
      <c r="L1683" t="s" s="2">
        <v>3332</v>
      </c>
      <c r="M1683" s="5">
        <v>468099.95</v>
      </c>
      <c r="N1683" s="5">
        <v>6255908.1</v>
      </c>
      <c r="O1683" t="s" s="2">
        <v>305</v>
      </c>
      <c r="P1683" s="5">
        <v>40157310</v>
      </c>
      <c r="Q1683" t="s" s="2">
        <v>3177</v>
      </c>
      <c r="R1683" t="s" s="2">
        <f>_xlfn.IFERROR(INDEX('model_byCAP'!$D$2:$D$377,MATCH(Q1683,'model_byCAP'!$A$2:$A$377,0)),0)</f>
        <v>3178</v>
      </c>
    </row>
    <row r="1684" ht="15.35" customHeight="1">
      <c r="A1684" t="s" s="2">
        <v>3333</v>
      </c>
      <c r="B1684" s="4">
        <v>36655</v>
      </c>
      <c r="C1684" s="5">
        <v>1000</v>
      </c>
      <c r="D1684" s="5">
        <v>54.2</v>
      </c>
      <c r="E1684" s="5">
        <v>47.8</v>
      </c>
      <c r="F1684" t="s" s="2">
        <v>1989</v>
      </c>
      <c r="G1684" t="s" s="2">
        <v>3173</v>
      </c>
      <c r="H1684" s="5">
        <v>671</v>
      </c>
      <c r="I1684" t="s" s="2">
        <v>378</v>
      </c>
      <c r="J1684" t="s" s="2">
        <v>22</v>
      </c>
      <c r="K1684" t="s" s="2">
        <v>3324</v>
      </c>
      <c r="L1684" t="s" s="2">
        <v>1301</v>
      </c>
      <c r="M1684" s="5">
        <v>468529.03</v>
      </c>
      <c r="N1684" s="5">
        <v>6256175.86</v>
      </c>
      <c r="O1684" t="s" s="2">
        <v>305</v>
      </c>
      <c r="P1684" s="5">
        <v>40157310</v>
      </c>
      <c r="Q1684" t="s" s="2">
        <v>3177</v>
      </c>
      <c r="R1684" t="s" s="2">
        <f>_xlfn.IFERROR(INDEX('model_byCAP'!$D$2:$D$377,MATCH(Q1684,'model_byCAP'!$A$2:$A$377,0)),0)</f>
        <v>3178</v>
      </c>
    </row>
    <row r="1685" ht="15.35" customHeight="1">
      <c r="A1685" t="s" s="2">
        <v>3334</v>
      </c>
      <c r="B1685" s="4">
        <v>36676</v>
      </c>
      <c r="C1685" s="5">
        <v>1000</v>
      </c>
      <c r="D1685" s="5">
        <v>54.2</v>
      </c>
      <c r="E1685" s="5">
        <v>47.8</v>
      </c>
      <c r="F1685" t="s" s="2">
        <v>1989</v>
      </c>
      <c r="G1685" t="s" s="2">
        <v>3173</v>
      </c>
      <c r="H1685" s="5">
        <v>671</v>
      </c>
      <c r="I1685" t="s" s="2">
        <v>378</v>
      </c>
      <c r="J1685" t="s" s="2">
        <v>22</v>
      </c>
      <c r="K1685" t="s" s="2">
        <v>3335</v>
      </c>
      <c r="L1685" t="s" s="2">
        <v>3336</v>
      </c>
      <c r="M1685" s="5">
        <v>470104.2</v>
      </c>
      <c r="N1685" s="5">
        <v>6253102.06</v>
      </c>
      <c r="O1685" t="s" s="2">
        <v>305</v>
      </c>
      <c r="P1685" s="5">
        <v>40163326</v>
      </c>
      <c r="Q1685" t="s" s="2">
        <v>3177</v>
      </c>
      <c r="R1685" t="s" s="2">
        <f>_xlfn.IFERROR(INDEX('model_byCAP'!$D$2:$D$377,MATCH(Q1685,'model_byCAP'!$A$2:$A$377,0)),0)</f>
        <v>3178</v>
      </c>
    </row>
    <row r="1686" ht="15.35" customHeight="1">
      <c r="A1686" t="s" s="2">
        <v>3337</v>
      </c>
      <c r="B1686" s="4">
        <v>36676</v>
      </c>
      <c r="C1686" s="5">
        <v>1000</v>
      </c>
      <c r="D1686" s="5">
        <v>54.2</v>
      </c>
      <c r="E1686" s="5">
        <v>47.8</v>
      </c>
      <c r="F1686" t="s" s="2">
        <v>1989</v>
      </c>
      <c r="G1686" t="s" s="2">
        <v>3173</v>
      </c>
      <c r="H1686" s="5">
        <v>671</v>
      </c>
      <c r="I1686" t="s" s="2">
        <v>378</v>
      </c>
      <c r="J1686" t="s" s="2">
        <v>22</v>
      </c>
      <c r="K1686" t="s" s="2">
        <v>3335</v>
      </c>
      <c r="L1686" t="s" s="2">
        <v>2348</v>
      </c>
      <c r="M1686" s="5">
        <v>469942.69</v>
      </c>
      <c r="N1686" s="5">
        <v>6253287.98</v>
      </c>
      <c r="O1686" t="s" s="2">
        <v>305</v>
      </c>
      <c r="P1686" s="5">
        <v>40164327</v>
      </c>
      <c r="Q1686" t="s" s="2">
        <v>3177</v>
      </c>
      <c r="R1686" t="s" s="2">
        <f>_xlfn.IFERROR(INDEX('model_byCAP'!$D$2:$D$377,MATCH(Q1686,'model_byCAP'!$A$2:$A$377,0)),0)</f>
        <v>3178</v>
      </c>
    </row>
    <row r="1687" ht="15.35" customHeight="1">
      <c r="A1687" t="s" s="2">
        <v>3338</v>
      </c>
      <c r="B1687" s="4">
        <v>36676</v>
      </c>
      <c r="C1687" s="5">
        <v>1000</v>
      </c>
      <c r="D1687" s="5">
        <v>54.2</v>
      </c>
      <c r="E1687" s="5">
        <v>47.8</v>
      </c>
      <c r="F1687" t="s" s="2">
        <v>1989</v>
      </c>
      <c r="G1687" t="s" s="2">
        <v>3173</v>
      </c>
      <c r="H1687" s="5">
        <v>671</v>
      </c>
      <c r="I1687" t="s" s="2">
        <v>378</v>
      </c>
      <c r="J1687" t="s" s="2">
        <v>22</v>
      </c>
      <c r="K1687" t="s" s="2">
        <v>3335</v>
      </c>
      <c r="L1687" t="s" s="2">
        <v>3336</v>
      </c>
      <c r="M1687" s="5">
        <v>469779.16</v>
      </c>
      <c r="N1687" s="5">
        <v>6253476.18</v>
      </c>
      <c r="O1687" t="s" s="2">
        <v>305</v>
      </c>
      <c r="P1687" s="5">
        <v>40165328</v>
      </c>
      <c r="Q1687" t="s" s="2">
        <v>3177</v>
      </c>
      <c r="R1687" t="s" s="2">
        <f>_xlfn.IFERROR(INDEX('model_byCAP'!$D$2:$D$377,MATCH(Q1687,'model_byCAP'!$A$2:$A$377,0)),0)</f>
        <v>3178</v>
      </c>
    </row>
    <row r="1688" ht="15.35" customHeight="1">
      <c r="A1688" t="s" s="2">
        <v>3339</v>
      </c>
      <c r="B1688" s="4">
        <v>36749</v>
      </c>
      <c r="C1688" s="5">
        <v>1000</v>
      </c>
      <c r="D1688" s="5">
        <v>54</v>
      </c>
      <c r="E1688" s="5">
        <v>50</v>
      </c>
      <c r="F1688" t="s" s="2">
        <v>1989</v>
      </c>
      <c r="G1688" t="s" s="2">
        <v>3340</v>
      </c>
      <c r="H1688" s="5">
        <v>741</v>
      </c>
      <c r="I1688" t="s" s="2">
        <v>2306</v>
      </c>
      <c r="J1688" t="s" s="2">
        <v>22</v>
      </c>
      <c r="K1688" t="s" s="2">
        <v>3341</v>
      </c>
      <c r="L1688" t="s" s="2">
        <v>2348</v>
      </c>
      <c r="M1688" s="5">
        <v>599007.9</v>
      </c>
      <c r="N1688" s="5">
        <v>6184933.8</v>
      </c>
      <c r="O1688" t="s" s="2">
        <v>305</v>
      </c>
      <c r="P1688" s="5">
        <v>2012141</v>
      </c>
      <c r="Q1688" t="s" s="2">
        <v>3342</v>
      </c>
      <c r="R1688" t="s" s="2">
        <f>_xlfn.IFERROR(INDEX('model_byCAP'!$D$2:$D$377,MATCH(Q1688,'model_byCAP'!$A$2:$A$377,0)),0)</f>
        <v>3271</v>
      </c>
    </row>
    <row r="1689" ht="15.35" customHeight="1">
      <c r="A1689" t="s" s="2">
        <v>3343</v>
      </c>
      <c r="B1689" s="4">
        <v>36749</v>
      </c>
      <c r="C1689" s="5">
        <v>1000</v>
      </c>
      <c r="D1689" s="5">
        <v>54</v>
      </c>
      <c r="E1689" s="5">
        <v>50</v>
      </c>
      <c r="F1689" t="s" s="2">
        <v>1989</v>
      </c>
      <c r="G1689" t="s" s="2">
        <v>3340</v>
      </c>
      <c r="H1689" s="5">
        <v>741</v>
      </c>
      <c r="I1689" t="s" s="2">
        <v>2306</v>
      </c>
      <c r="J1689" t="s" s="2">
        <v>22</v>
      </c>
      <c r="K1689" t="s" s="2">
        <v>3341</v>
      </c>
      <c r="L1689" t="s" s="2">
        <v>2348</v>
      </c>
      <c r="M1689" s="5">
        <v>598986.3199999999</v>
      </c>
      <c r="N1689" s="5">
        <v>6184709.4</v>
      </c>
      <c r="O1689" t="s" s="2">
        <v>305</v>
      </c>
      <c r="P1689" s="5">
        <v>2012142</v>
      </c>
      <c r="Q1689" t="s" s="2">
        <v>3342</v>
      </c>
      <c r="R1689" t="s" s="2">
        <f>_xlfn.IFERROR(INDEX('model_byCAP'!$D$2:$D$377,MATCH(Q1689,'model_byCAP'!$A$2:$A$377,0)),0)</f>
        <v>3271</v>
      </c>
    </row>
    <row r="1690" ht="15.35" customHeight="1">
      <c r="A1690" t="s" s="2">
        <v>3344</v>
      </c>
      <c r="B1690" s="4">
        <v>36749</v>
      </c>
      <c r="C1690" s="5">
        <v>1000</v>
      </c>
      <c r="D1690" s="5">
        <v>54</v>
      </c>
      <c r="E1690" s="5">
        <v>50</v>
      </c>
      <c r="F1690" t="s" s="2">
        <v>1989</v>
      </c>
      <c r="G1690" t="s" s="2">
        <v>3340</v>
      </c>
      <c r="H1690" s="5">
        <v>741</v>
      </c>
      <c r="I1690" t="s" s="2">
        <v>2306</v>
      </c>
      <c r="J1690" t="s" s="2">
        <v>22</v>
      </c>
      <c r="K1690" t="s" s="2">
        <v>3345</v>
      </c>
      <c r="L1690" t="s" s="2">
        <v>518</v>
      </c>
      <c r="M1690" s="5">
        <v>598965</v>
      </c>
      <c r="N1690" s="5">
        <v>6184485.48</v>
      </c>
      <c r="O1690" t="s" s="2">
        <v>305</v>
      </c>
      <c r="P1690" s="5">
        <v>2012143</v>
      </c>
      <c r="Q1690" t="s" s="2">
        <v>3342</v>
      </c>
      <c r="R1690" t="s" s="2">
        <f>_xlfn.IFERROR(INDEX('model_byCAP'!$D$2:$D$377,MATCH(Q1690,'model_byCAP'!$A$2:$A$377,0)),0)</f>
        <v>3271</v>
      </c>
    </row>
    <row r="1691" ht="15.35" customHeight="1">
      <c r="A1691" t="s" s="2">
        <v>3346</v>
      </c>
      <c r="B1691" s="4">
        <v>36749</v>
      </c>
      <c r="C1691" s="5">
        <v>1000</v>
      </c>
      <c r="D1691" s="5">
        <v>54</v>
      </c>
      <c r="E1691" s="5">
        <v>50</v>
      </c>
      <c r="F1691" t="s" s="2">
        <v>1989</v>
      </c>
      <c r="G1691" t="s" s="2">
        <v>3340</v>
      </c>
      <c r="H1691" s="5">
        <v>741</v>
      </c>
      <c r="I1691" t="s" s="2">
        <v>2306</v>
      </c>
      <c r="J1691" t="s" s="2">
        <v>22</v>
      </c>
      <c r="K1691" t="s" s="2">
        <v>3347</v>
      </c>
      <c r="L1691" t="s" s="2">
        <v>2872</v>
      </c>
      <c r="M1691" s="5">
        <v>601164.1899999999</v>
      </c>
      <c r="N1691" s="5">
        <v>6185790.17</v>
      </c>
      <c r="O1691" t="s" s="2">
        <v>305</v>
      </c>
      <c r="P1691" s="5">
        <v>2012151</v>
      </c>
      <c r="Q1691" t="s" s="2">
        <v>3342</v>
      </c>
      <c r="R1691" t="s" s="2">
        <f>_xlfn.IFERROR(INDEX('model_byCAP'!$D$2:$D$377,MATCH(Q1691,'model_byCAP'!$A$2:$A$377,0)),0)</f>
        <v>3271</v>
      </c>
    </row>
    <row r="1692" ht="15.35" customHeight="1">
      <c r="A1692" t="s" s="2">
        <v>3348</v>
      </c>
      <c r="B1692" s="4">
        <v>36749</v>
      </c>
      <c r="C1692" s="5">
        <v>1000</v>
      </c>
      <c r="D1692" s="5">
        <v>54</v>
      </c>
      <c r="E1692" s="5">
        <v>50</v>
      </c>
      <c r="F1692" t="s" s="2">
        <v>1989</v>
      </c>
      <c r="G1692" t="s" s="2">
        <v>3340</v>
      </c>
      <c r="H1692" s="5">
        <v>741</v>
      </c>
      <c r="I1692" t="s" s="2">
        <v>2306</v>
      </c>
      <c r="J1692" t="s" s="2">
        <v>22</v>
      </c>
      <c r="K1692" t="s" s="2">
        <v>3347</v>
      </c>
      <c r="L1692" t="s" s="2">
        <v>3349</v>
      </c>
      <c r="M1692" s="5">
        <v>601229.0600000001</v>
      </c>
      <c r="N1692" s="5">
        <v>6185476.67</v>
      </c>
      <c r="O1692" t="s" s="2">
        <v>305</v>
      </c>
      <c r="P1692" s="5">
        <v>2012152</v>
      </c>
      <c r="Q1692" t="s" s="2">
        <v>3342</v>
      </c>
      <c r="R1692" t="s" s="2">
        <f>_xlfn.IFERROR(INDEX('model_byCAP'!$D$2:$D$377,MATCH(Q1692,'model_byCAP'!$A$2:$A$377,0)),0)</f>
        <v>3271</v>
      </c>
    </row>
    <row r="1693" ht="15.35" customHeight="1">
      <c r="A1693" t="s" s="2">
        <v>3350</v>
      </c>
      <c r="B1693" s="4">
        <v>36749</v>
      </c>
      <c r="C1693" s="5">
        <v>1000</v>
      </c>
      <c r="D1693" s="5">
        <v>54</v>
      </c>
      <c r="E1693" s="5">
        <v>50</v>
      </c>
      <c r="F1693" t="s" s="2">
        <v>1989</v>
      </c>
      <c r="G1693" t="s" s="2">
        <v>3340</v>
      </c>
      <c r="H1693" s="5">
        <v>741</v>
      </c>
      <c r="I1693" t="s" s="2">
        <v>2306</v>
      </c>
      <c r="J1693" t="s" s="2">
        <v>22</v>
      </c>
      <c r="K1693" t="s" s="2">
        <v>3347</v>
      </c>
      <c r="L1693" t="s" s="2">
        <v>3351</v>
      </c>
      <c r="M1693" s="5">
        <v>601294.0699999999</v>
      </c>
      <c r="N1693" s="5">
        <v>6185172.24</v>
      </c>
      <c r="O1693" t="s" s="2">
        <v>305</v>
      </c>
      <c r="P1693" s="5">
        <v>2012153</v>
      </c>
      <c r="Q1693" t="s" s="2">
        <v>3342</v>
      </c>
      <c r="R1693" t="s" s="2">
        <f>_xlfn.IFERROR(INDEX('model_byCAP'!$D$2:$D$377,MATCH(Q1693,'model_byCAP'!$A$2:$A$377,0)),0)</f>
        <v>3271</v>
      </c>
    </row>
    <row r="1694" ht="15.35" customHeight="1">
      <c r="A1694" t="s" s="2">
        <v>3352</v>
      </c>
      <c r="B1694" s="4">
        <v>36749</v>
      </c>
      <c r="C1694" s="5">
        <v>1000</v>
      </c>
      <c r="D1694" s="5">
        <v>54</v>
      </c>
      <c r="E1694" s="5">
        <v>50</v>
      </c>
      <c r="F1694" t="s" s="2">
        <v>1989</v>
      </c>
      <c r="G1694" t="s" s="2">
        <v>3340</v>
      </c>
      <c r="H1694" s="5">
        <v>741</v>
      </c>
      <c r="I1694" t="s" s="2">
        <v>2306</v>
      </c>
      <c r="J1694" t="s" s="2">
        <v>22</v>
      </c>
      <c r="K1694" t="s" s="2">
        <v>3353</v>
      </c>
      <c r="L1694" t="s" s="2">
        <v>2078</v>
      </c>
      <c r="M1694" s="5">
        <v>601361.9</v>
      </c>
      <c r="N1694" s="5">
        <v>6184843.03</v>
      </c>
      <c r="O1694" t="s" s="2">
        <v>305</v>
      </c>
      <c r="P1694" s="5">
        <v>2012154</v>
      </c>
      <c r="Q1694" t="s" s="2">
        <v>3342</v>
      </c>
      <c r="R1694" t="s" s="2">
        <f>_xlfn.IFERROR(INDEX('model_byCAP'!$D$2:$D$377,MATCH(Q1694,'model_byCAP'!$A$2:$A$377,0)),0)</f>
        <v>3271</v>
      </c>
    </row>
    <row r="1695" ht="15.35" customHeight="1">
      <c r="A1695" t="s" s="2">
        <v>3354</v>
      </c>
      <c r="B1695" s="4">
        <v>36749</v>
      </c>
      <c r="C1695" s="5">
        <v>1000</v>
      </c>
      <c r="D1695" s="5">
        <v>54</v>
      </c>
      <c r="E1695" s="5">
        <v>50</v>
      </c>
      <c r="F1695" t="s" s="2">
        <v>1989</v>
      </c>
      <c r="G1695" t="s" s="2">
        <v>3340</v>
      </c>
      <c r="H1695" s="5">
        <v>741</v>
      </c>
      <c r="I1695" t="s" s="2">
        <v>2306</v>
      </c>
      <c r="J1695" t="s" s="2">
        <v>22</v>
      </c>
      <c r="K1695" t="s" s="2">
        <v>3353</v>
      </c>
      <c r="L1695" t="s" s="2">
        <v>3355</v>
      </c>
      <c r="M1695" s="5">
        <v>601426.17</v>
      </c>
      <c r="N1695" s="5">
        <v>6184537.75</v>
      </c>
      <c r="O1695" t="s" s="2">
        <v>305</v>
      </c>
      <c r="P1695" s="5">
        <v>2012155</v>
      </c>
      <c r="Q1695" t="s" s="2">
        <v>3342</v>
      </c>
      <c r="R1695" t="s" s="2">
        <f>_xlfn.IFERROR(INDEX('model_byCAP'!$D$2:$D$377,MATCH(Q1695,'model_byCAP'!$A$2:$A$377,0)),0)</f>
        <v>3271</v>
      </c>
    </row>
    <row r="1696" ht="15.35" customHeight="1">
      <c r="A1696" t="s" s="2">
        <v>3356</v>
      </c>
      <c r="B1696" s="4">
        <v>36571</v>
      </c>
      <c r="C1696" s="5">
        <v>1000</v>
      </c>
      <c r="D1696" s="5">
        <v>54</v>
      </c>
      <c r="E1696" s="5">
        <v>50</v>
      </c>
      <c r="F1696" t="s" s="2">
        <v>1989</v>
      </c>
      <c r="G1696" t="s" s="2">
        <v>3340</v>
      </c>
      <c r="H1696" s="5">
        <v>741</v>
      </c>
      <c r="I1696" t="s" s="2">
        <v>2306</v>
      </c>
      <c r="J1696" t="s" s="2">
        <v>22</v>
      </c>
      <c r="K1696" t="s" s="2">
        <v>3357</v>
      </c>
      <c r="L1696" t="s" s="2">
        <v>992</v>
      </c>
      <c r="M1696" s="5">
        <v>596327.52</v>
      </c>
      <c r="N1696" s="5">
        <v>6189953.4</v>
      </c>
      <c r="O1696" t="s" s="2">
        <v>305</v>
      </c>
      <c r="P1696" s="5">
        <v>2012111</v>
      </c>
      <c r="Q1696" t="s" s="2">
        <v>3342</v>
      </c>
      <c r="R1696" t="s" s="2">
        <f>_xlfn.IFERROR(INDEX('model_byCAP'!$D$2:$D$377,MATCH(Q1696,'model_byCAP'!$A$2:$A$377,0)),0)</f>
        <v>3271</v>
      </c>
    </row>
    <row r="1697" ht="15.35" customHeight="1">
      <c r="A1697" t="s" s="2">
        <v>3358</v>
      </c>
      <c r="B1697" s="4">
        <v>36571</v>
      </c>
      <c r="C1697" s="5">
        <v>1000</v>
      </c>
      <c r="D1697" s="5">
        <v>54</v>
      </c>
      <c r="E1697" s="5">
        <v>50</v>
      </c>
      <c r="F1697" t="s" s="2">
        <v>1989</v>
      </c>
      <c r="G1697" t="s" s="2">
        <v>3340</v>
      </c>
      <c r="H1697" s="5">
        <v>741</v>
      </c>
      <c r="I1697" t="s" s="2">
        <v>2306</v>
      </c>
      <c r="J1697" t="s" s="2">
        <v>22</v>
      </c>
      <c r="K1697" t="s" s="2">
        <v>3357</v>
      </c>
      <c r="L1697" t="s" s="2">
        <v>992</v>
      </c>
      <c r="M1697" s="5">
        <v>596269.14</v>
      </c>
      <c r="N1697" s="5">
        <v>6189710.75</v>
      </c>
      <c r="O1697" t="s" s="2">
        <v>305</v>
      </c>
      <c r="P1697" s="5">
        <v>2012112</v>
      </c>
      <c r="Q1697" t="s" s="2">
        <v>3342</v>
      </c>
      <c r="R1697" t="s" s="2">
        <f>_xlfn.IFERROR(INDEX('model_byCAP'!$D$2:$D$377,MATCH(Q1697,'model_byCAP'!$A$2:$A$377,0)),0)</f>
        <v>3271</v>
      </c>
    </row>
    <row r="1698" ht="15.35" customHeight="1">
      <c r="A1698" t="s" s="2">
        <v>3359</v>
      </c>
      <c r="B1698" s="4">
        <v>36571</v>
      </c>
      <c r="C1698" s="5">
        <v>1000</v>
      </c>
      <c r="D1698" s="5">
        <v>54</v>
      </c>
      <c r="E1698" s="5">
        <v>50</v>
      </c>
      <c r="F1698" t="s" s="2">
        <v>1989</v>
      </c>
      <c r="G1698" t="s" s="2">
        <v>3340</v>
      </c>
      <c r="H1698" s="5">
        <v>741</v>
      </c>
      <c r="I1698" t="s" s="2">
        <v>2306</v>
      </c>
      <c r="J1698" t="s" s="2">
        <v>22</v>
      </c>
      <c r="K1698" t="s" s="2">
        <v>3357</v>
      </c>
      <c r="L1698" t="s" s="2">
        <v>481</v>
      </c>
      <c r="M1698" s="5">
        <v>596209.39</v>
      </c>
      <c r="N1698" s="5">
        <v>6189460.01</v>
      </c>
      <c r="O1698" t="s" s="2">
        <v>305</v>
      </c>
      <c r="P1698" s="5">
        <v>2012113</v>
      </c>
      <c r="Q1698" t="s" s="2">
        <v>3342</v>
      </c>
      <c r="R1698" t="s" s="2">
        <f>_xlfn.IFERROR(INDEX('model_byCAP'!$D$2:$D$377,MATCH(Q1698,'model_byCAP'!$A$2:$A$377,0)),0)</f>
        <v>3271</v>
      </c>
    </row>
    <row r="1699" ht="15.35" customHeight="1">
      <c r="A1699" t="s" s="2">
        <v>3360</v>
      </c>
      <c r="B1699" s="4">
        <v>37613</v>
      </c>
      <c r="C1699" s="5">
        <v>1000</v>
      </c>
      <c r="D1699" s="5">
        <v>54.2</v>
      </c>
      <c r="E1699" s="5">
        <v>50</v>
      </c>
      <c r="F1699" t="s" s="2">
        <v>1989</v>
      </c>
      <c r="G1699" t="s" s="2">
        <v>3173</v>
      </c>
      <c r="H1699" s="5">
        <v>756</v>
      </c>
      <c r="I1699" t="s" s="2">
        <v>456</v>
      </c>
      <c r="J1699" t="s" s="2">
        <v>22</v>
      </c>
      <c r="K1699" t="s" s="2">
        <v>3361</v>
      </c>
      <c r="L1699" s="5">
        <v>50</v>
      </c>
      <c r="M1699" s="5">
        <v>507830.13</v>
      </c>
      <c r="N1699" s="5">
        <v>6201228.07</v>
      </c>
      <c r="O1699" t="s" s="2">
        <v>305</v>
      </c>
      <c r="P1699" s="5">
        <v>16103</v>
      </c>
      <c r="Q1699" t="s" s="2">
        <v>3177</v>
      </c>
      <c r="R1699" t="s" s="2">
        <f>_xlfn.IFERROR(INDEX('model_byCAP'!$D$2:$D$377,MATCH(Q1699,'model_byCAP'!$A$2:$A$377,0)),0)</f>
        <v>3178</v>
      </c>
    </row>
    <row r="1700" ht="15.35" customHeight="1">
      <c r="A1700" t="s" s="2">
        <v>3362</v>
      </c>
      <c r="B1700" s="4">
        <v>36708</v>
      </c>
      <c r="C1700" s="5">
        <v>1000</v>
      </c>
      <c r="D1700" s="5">
        <v>54.2</v>
      </c>
      <c r="E1700" s="5">
        <v>50</v>
      </c>
      <c r="F1700" t="s" s="2">
        <v>1989</v>
      </c>
      <c r="G1700" t="s" s="2">
        <v>3268</v>
      </c>
      <c r="H1700" s="5">
        <v>766</v>
      </c>
      <c r="I1700" t="s" s="2">
        <v>3363</v>
      </c>
      <c r="J1700" t="s" s="2">
        <v>22</v>
      </c>
      <c r="K1700" t="s" s="2">
        <v>3364</v>
      </c>
      <c r="L1700" t="s" s="2">
        <v>1184</v>
      </c>
      <c r="M1700" s="5">
        <v>553938.33</v>
      </c>
      <c r="N1700" s="5">
        <v>6176285.67</v>
      </c>
      <c r="O1700" t="s" s="2">
        <v>305</v>
      </c>
      <c r="P1700" s="5">
        <v>300231</v>
      </c>
      <c r="Q1700" t="s" s="2">
        <v>3270</v>
      </c>
      <c r="R1700" t="s" s="2">
        <f>_xlfn.IFERROR(INDEX('model_byCAP'!$D$2:$D$377,MATCH(Q1700,'model_byCAP'!$A$2:$A$377,0)),0)</f>
        <v>3271</v>
      </c>
    </row>
    <row r="1701" ht="15.35" customHeight="1">
      <c r="A1701" t="s" s="2">
        <v>3365</v>
      </c>
      <c r="B1701" s="4">
        <v>36708</v>
      </c>
      <c r="C1701" s="5">
        <v>1000</v>
      </c>
      <c r="D1701" s="5">
        <v>54.2</v>
      </c>
      <c r="E1701" s="5">
        <v>50</v>
      </c>
      <c r="F1701" t="s" s="2">
        <v>1989</v>
      </c>
      <c r="G1701" t="s" s="2">
        <v>3268</v>
      </c>
      <c r="H1701" s="5">
        <v>766</v>
      </c>
      <c r="I1701" t="s" s="2">
        <v>3363</v>
      </c>
      <c r="J1701" t="s" s="2">
        <v>22</v>
      </c>
      <c r="K1701" t="s" s="2">
        <v>3364</v>
      </c>
      <c r="L1701" t="s" s="2">
        <v>3366</v>
      </c>
      <c r="M1701" s="5">
        <v>553959.88</v>
      </c>
      <c r="N1701" s="5">
        <v>6176498.76</v>
      </c>
      <c r="O1701" t="s" s="2">
        <v>305</v>
      </c>
      <c r="P1701" s="5">
        <v>300241</v>
      </c>
      <c r="Q1701" t="s" s="2">
        <v>3270</v>
      </c>
      <c r="R1701" t="s" s="2">
        <f>_xlfn.IFERROR(INDEX('model_byCAP'!$D$2:$D$377,MATCH(Q1701,'model_byCAP'!$A$2:$A$377,0)),0)</f>
        <v>3271</v>
      </c>
    </row>
    <row r="1702" ht="15.35" customHeight="1">
      <c r="A1702" t="s" s="2">
        <v>3367</v>
      </c>
      <c r="B1702" s="4">
        <v>36708</v>
      </c>
      <c r="C1702" s="5">
        <v>1000</v>
      </c>
      <c r="D1702" s="5">
        <v>54.2</v>
      </c>
      <c r="E1702" s="5">
        <v>50</v>
      </c>
      <c r="F1702" t="s" s="2">
        <v>1989</v>
      </c>
      <c r="G1702" t="s" s="2">
        <v>3268</v>
      </c>
      <c r="H1702" s="5">
        <v>766</v>
      </c>
      <c r="I1702" t="s" s="2">
        <v>3363</v>
      </c>
      <c r="J1702" t="s" s="2">
        <v>22</v>
      </c>
      <c r="K1702" t="s" s="2">
        <v>3364</v>
      </c>
      <c r="L1702" t="s" s="2">
        <v>3366</v>
      </c>
      <c r="M1702" s="5">
        <v>553982.74</v>
      </c>
      <c r="N1702" s="5">
        <v>6176714.41</v>
      </c>
      <c r="O1702" t="s" s="2">
        <v>305</v>
      </c>
      <c r="P1702" s="5">
        <v>300251</v>
      </c>
      <c r="Q1702" t="s" s="2">
        <v>3270</v>
      </c>
      <c r="R1702" t="s" s="2">
        <f>_xlfn.IFERROR(INDEX('model_byCAP'!$D$2:$D$377,MATCH(Q1702,'model_byCAP'!$A$2:$A$377,0)),0)</f>
        <v>3271</v>
      </c>
    </row>
    <row r="1703" ht="15.35" customHeight="1">
      <c r="A1703" t="s" s="2">
        <v>3368</v>
      </c>
      <c r="B1703" s="4">
        <v>37512</v>
      </c>
      <c r="C1703" s="5">
        <v>1000</v>
      </c>
      <c r="D1703" s="5">
        <v>54.2</v>
      </c>
      <c r="E1703" s="5">
        <v>50</v>
      </c>
      <c r="F1703" t="s" s="2">
        <v>1989</v>
      </c>
      <c r="G1703" t="s" s="2">
        <v>3268</v>
      </c>
      <c r="H1703" s="5">
        <v>766</v>
      </c>
      <c r="I1703" t="s" s="2">
        <v>3363</v>
      </c>
      <c r="J1703" t="s" s="2">
        <v>22</v>
      </c>
      <c r="K1703" t="s" s="2">
        <v>3369</v>
      </c>
      <c r="L1703" t="s" s="2">
        <v>2931</v>
      </c>
      <c r="M1703" s="5">
        <v>548567.26</v>
      </c>
      <c r="N1703" s="5">
        <v>6181933.28</v>
      </c>
      <c r="O1703" t="s" s="2">
        <v>305</v>
      </c>
      <c r="P1703" s="5">
        <v>300301</v>
      </c>
      <c r="Q1703" t="s" s="2">
        <v>3270</v>
      </c>
      <c r="R1703" t="s" s="2">
        <f>_xlfn.IFERROR(INDEX('model_byCAP'!$D$2:$D$377,MATCH(Q1703,'model_byCAP'!$A$2:$A$377,0)),0)</f>
        <v>3271</v>
      </c>
    </row>
    <row r="1704" ht="15.35" customHeight="1">
      <c r="A1704" t="s" s="2">
        <v>3370</v>
      </c>
      <c r="B1704" s="4">
        <v>36355</v>
      </c>
      <c r="C1704" s="5">
        <v>1000</v>
      </c>
      <c r="D1704" s="5">
        <v>54</v>
      </c>
      <c r="E1704" s="5">
        <v>50</v>
      </c>
      <c r="F1704" t="s" s="2">
        <v>1989</v>
      </c>
      <c r="G1704" t="s" s="2">
        <v>3173</v>
      </c>
      <c r="H1704" s="5">
        <v>773</v>
      </c>
      <c r="I1704" t="s" s="2">
        <v>1648</v>
      </c>
      <c r="J1704" t="s" s="2">
        <v>22</v>
      </c>
      <c r="K1704" t="s" s="2">
        <v>3371</v>
      </c>
      <c r="L1704" t="s" s="2">
        <v>500</v>
      </c>
      <c r="M1704" s="5">
        <v>482058.79</v>
      </c>
      <c r="N1704" s="5">
        <v>6284880.29</v>
      </c>
      <c r="O1704" t="s" s="2">
        <v>305</v>
      </c>
      <c r="P1704" s="5">
        <v>223723</v>
      </c>
      <c r="Q1704" t="s" s="2">
        <v>3177</v>
      </c>
      <c r="R1704" t="s" s="2">
        <f>_xlfn.IFERROR(INDEX('model_byCAP'!$D$2:$D$377,MATCH(Q1704,'model_byCAP'!$A$2:$A$377,0)),0)</f>
        <v>3178</v>
      </c>
    </row>
    <row r="1705" ht="15.35" customHeight="1">
      <c r="A1705" t="s" s="2">
        <v>3372</v>
      </c>
      <c r="B1705" s="4">
        <v>36355</v>
      </c>
      <c r="C1705" s="5">
        <v>1000</v>
      </c>
      <c r="D1705" s="5">
        <v>54</v>
      </c>
      <c r="E1705" s="5">
        <v>50</v>
      </c>
      <c r="F1705" t="s" s="2">
        <v>1989</v>
      </c>
      <c r="G1705" t="s" s="2">
        <v>3173</v>
      </c>
      <c r="H1705" s="5">
        <v>773</v>
      </c>
      <c r="I1705" t="s" s="2">
        <v>1648</v>
      </c>
      <c r="J1705" t="s" s="2">
        <v>22</v>
      </c>
      <c r="K1705" t="s" s="2">
        <v>3371</v>
      </c>
      <c r="L1705" t="s" s="2">
        <v>2078</v>
      </c>
      <c r="M1705" s="5">
        <v>482135.91</v>
      </c>
      <c r="N1705" s="5">
        <v>6285246.94</v>
      </c>
      <c r="O1705" t="s" s="2">
        <v>305</v>
      </c>
      <c r="P1705" s="5">
        <v>223724</v>
      </c>
      <c r="Q1705" t="s" s="2">
        <v>3177</v>
      </c>
      <c r="R1705" t="s" s="2">
        <f>_xlfn.IFERROR(INDEX('model_byCAP'!$D$2:$D$377,MATCH(Q1705,'model_byCAP'!$A$2:$A$377,0)),0)</f>
        <v>3178</v>
      </c>
    </row>
    <row r="1706" ht="15.35" customHeight="1">
      <c r="A1706" t="s" s="2">
        <v>3373</v>
      </c>
      <c r="B1706" s="4">
        <v>36348</v>
      </c>
      <c r="C1706" s="5">
        <v>1000</v>
      </c>
      <c r="D1706" s="5">
        <v>54</v>
      </c>
      <c r="E1706" s="5">
        <v>45</v>
      </c>
      <c r="F1706" t="s" s="2">
        <v>1989</v>
      </c>
      <c r="G1706" t="s" s="2">
        <v>3173</v>
      </c>
      <c r="H1706" s="5">
        <v>773</v>
      </c>
      <c r="I1706" t="s" s="2">
        <v>1648</v>
      </c>
      <c r="J1706" t="s" s="2">
        <v>22</v>
      </c>
      <c r="K1706" t="s" s="2">
        <v>3374</v>
      </c>
      <c r="L1706" t="s" s="2">
        <v>3375</v>
      </c>
      <c r="M1706" s="5">
        <v>485417.18</v>
      </c>
      <c r="N1706" s="5">
        <v>6289794.14</v>
      </c>
      <c r="O1706" t="s" s="2">
        <v>305</v>
      </c>
      <c r="P1706" s="5">
        <v>223725</v>
      </c>
      <c r="Q1706" t="s" s="2">
        <v>3177</v>
      </c>
      <c r="R1706" t="s" s="2">
        <f>_xlfn.IFERROR(INDEX('model_byCAP'!$D$2:$D$377,MATCH(Q1706,'model_byCAP'!$A$2:$A$377,0)),0)</f>
        <v>3178</v>
      </c>
    </row>
    <row r="1707" ht="15.35" customHeight="1">
      <c r="A1707" t="s" s="2">
        <v>3376</v>
      </c>
      <c r="B1707" s="4">
        <v>36348</v>
      </c>
      <c r="C1707" s="5">
        <v>1000</v>
      </c>
      <c r="D1707" s="5">
        <v>54</v>
      </c>
      <c r="E1707" s="5">
        <v>45</v>
      </c>
      <c r="F1707" t="s" s="2">
        <v>1989</v>
      </c>
      <c r="G1707" t="s" s="2">
        <v>3173</v>
      </c>
      <c r="H1707" s="5">
        <v>773</v>
      </c>
      <c r="I1707" t="s" s="2">
        <v>1648</v>
      </c>
      <c r="J1707" t="s" s="2">
        <v>22</v>
      </c>
      <c r="K1707" t="s" s="2">
        <v>3374</v>
      </c>
      <c r="L1707" t="s" s="2">
        <v>1105</v>
      </c>
      <c r="M1707" s="5">
        <v>485423.81</v>
      </c>
      <c r="N1707" s="5">
        <v>6289584</v>
      </c>
      <c r="O1707" t="s" s="2">
        <v>305</v>
      </c>
      <c r="P1707" s="5">
        <v>223726</v>
      </c>
      <c r="Q1707" t="s" s="2">
        <v>3177</v>
      </c>
      <c r="R1707" t="s" s="2">
        <f>_xlfn.IFERROR(INDEX('model_byCAP'!$D$2:$D$377,MATCH(Q1707,'model_byCAP'!$A$2:$A$377,0)),0)</f>
        <v>3178</v>
      </c>
    </row>
    <row r="1708" ht="15.35" customHeight="1">
      <c r="A1708" t="s" s="2">
        <v>3377</v>
      </c>
      <c r="B1708" s="4">
        <v>36495</v>
      </c>
      <c r="C1708" s="5">
        <v>1000</v>
      </c>
      <c r="D1708" s="5">
        <v>54</v>
      </c>
      <c r="E1708" s="5">
        <v>45</v>
      </c>
      <c r="F1708" t="s" s="2">
        <v>1989</v>
      </c>
      <c r="G1708" t="s" s="2">
        <v>3173</v>
      </c>
      <c r="H1708" s="5">
        <v>773</v>
      </c>
      <c r="I1708" t="s" s="2">
        <v>1648</v>
      </c>
      <c r="J1708" t="s" s="2">
        <v>22</v>
      </c>
      <c r="K1708" t="s" s="2">
        <v>3374</v>
      </c>
      <c r="L1708" t="s" s="2">
        <v>1315</v>
      </c>
      <c r="M1708" s="5">
        <v>485399.95</v>
      </c>
      <c r="N1708" s="5">
        <v>6290214.95</v>
      </c>
      <c r="O1708" t="s" s="2">
        <v>305</v>
      </c>
      <c r="P1708" s="5">
        <v>223840</v>
      </c>
      <c r="Q1708" t="s" s="2">
        <v>3177</v>
      </c>
      <c r="R1708" t="s" s="2">
        <f>_xlfn.IFERROR(INDEX('model_byCAP'!$D$2:$D$377,MATCH(Q1708,'model_byCAP'!$A$2:$A$377,0)),0)</f>
        <v>3178</v>
      </c>
    </row>
    <row r="1709" ht="15.35" customHeight="1">
      <c r="A1709" t="s" s="2">
        <v>3378</v>
      </c>
      <c r="B1709" s="4">
        <v>36495</v>
      </c>
      <c r="C1709" s="5">
        <v>1000</v>
      </c>
      <c r="D1709" s="5">
        <v>54</v>
      </c>
      <c r="E1709" s="5">
        <v>45</v>
      </c>
      <c r="F1709" t="s" s="2">
        <v>1989</v>
      </c>
      <c r="G1709" t="s" s="2">
        <v>3173</v>
      </c>
      <c r="H1709" s="5">
        <v>773</v>
      </c>
      <c r="I1709" t="s" s="2">
        <v>1648</v>
      </c>
      <c r="J1709" t="s" s="2">
        <v>22</v>
      </c>
      <c r="K1709" t="s" s="2">
        <v>3374</v>
      </c>
      <c r="L1709" t="s" s="2">
        <v>1008</v>
      </c>
      <c r="M1709" s="5">
        <v>485410.16</v>
      </c>
      <c r="N1709" s="5">
        <v>6290003.86</v>
      </c>
      <c r="O1709" t="s" s="2">
        <v>305</v>
      </c>
      <c r="P1709" s="5">
        <v>223841</v>
      </c>
      <c r="Q1709" t="s" s="2">
        <v>3177</v>
      </c>
      <c r="R1709" t="s" s="2">
        <f>_xlfn.IFERROR(INDEX('model_byCAP'!$D$2:$D$377,MATCH(Q1709,'model_byCAP'!$A$2:$A$377,0)),0)</f>
        <v>3178</v>
      </c>
    </row>
    <row r="1710" ht="15.35" customHeight="1">
      <c r="A1710" t="s" s="2">
        <v>3379</v>
      </c>
      <c r="B1710" s="4">
        <v>36543</v>
      </c>
      <c r="C1710" s="5">
        <v>1000</v>
      </c>
      <c r="D1710" s="5">
        <v>54</v>
      </c>
      <c r="E1710" s="5">
        <v>45</v>
      </c>
      <c r="F1710" t="s" s="2">
        <v>1989</v>
      </c>
      <c r="G1710" t="s" s="2">
        <v>3173</v>
      </c>
      <c r="H1710" s="5">
        <v>773</v>
      </c>
      <c r="I1710" t="s" s="2">
        <v>1648</v>
      </c>
      <c r="J1710" t="s" s="2">
        <v>22</v>
      </c>
      <c r="K1710" t="s" s="2">
        <v>3371</v>
      </c>
      <c r="L1710" t="s" s="2">
        <v>1105</v>
      </c>
      <c r="M1710" s="5">
        <v>482096.29</v>
      </c>
      <c r="N1710" s="5">
        <v>6285063.72</v>
      </c>
      <c r="O1710" t="s" s="2">
        <v>305</v>
      </c>
      <c r="P1710" s="5">
        <v>223852</v>
      </c>
      <c r="Q1710" t="s" s="2">
        <v>3177</v>
      </c>
      <c r="R1710" t="s" s="2">
        <f>_xlfn.IFERROR(INDEX('model_byCAP'!$D$2:$D$377,MATCH(Q1710,'model_byCAP'!$A$2:$A$377,0)),0)</f>
        <v>3178</v>
      </c>
    </row>
    <row r="1711" ht="15.35" customHeight="1">
      <c r="A1711" t="s" s="2">
        <v>3380</v>
      </c>
      <c r="B1711" s="4">
        <v>36568</v>
      </c>
      <c r="C1711" s="5">
        <v>1000</v>
      </c>
      <c r="D1711" s="5">
        <v>54</v>
      </c>
      <c r="E1711" s="5">
        <v>50</v>
      </c>
      <c r="F1711" t="s" s="2">
        <v>1989</v>
      </c>
      <c r="G1711" t="s" s="2">
        <v>3173</v>
      </c>
      <c r="H1711" s="5">
        <v>773</v>
      </c>
      <c r="I1711" t="s" s="2">
        <v>1648</v>
      </c>
      <c r="J1711" t="s" s="2">
        <v>22</v>
      </c>
      <c r="K1711" t="s" s="2">
        <v>3381</v>
      </c>
      <c r="L1711" t="s" s="2">
        <v>1310</v>
      </c>
      <c r="M1711" s="5">
        <v>484279.73</v>
      </c>
      <c r="N1711" s="5">
        <v>6286557.17</v>
      </c>
      <c r="O1711" t="s" s="2">
        <v>305</v>
      </c>
      <c r="P1711" s="5">
        <v>223857</v>
      </c>
      <c r="Q1711" t="s" s="2">
        <v>3177</v>
      </c>
      <c r="R1711" t="s" s="2">
        <f>_xlfn.IFERROR(INDEX('model_byCAP'!$D$2:$D$377,MATCH(Q1711,'model_byCAP'!$A$2:$A$377,0)),0)</f>
        <v>3178</v>
      </c>
    </row>
    <row r="1712" ht="15.35" customHeight="1">
      <c r="A1712" t="s" s="2">
        <v>3382</v>
      </c>
      <c r="B1712" s="4">
        <v>36568</v>
      </c>
      <c r="C1712" s="5">
        <v>1000</v>
      </c>
      <c r="D1712" s="5">
        <v>54</v>
      </c>
      <c r="E1712" s="5">
        <v>50</v>
      </c>
      <c r="F1712" t="s" s="2">
        <v>1989</v>
      </c>
      <c r="G1712" t="s" s="2">
        <v>3173</v>
      </c>
      <c r="H1712" s="5">
        <v>773</v>
      </c>
      <c r="I1712" t="s" s="2">
        <v>1648</v>
      </c>
      <c r="J1712" t="s" s="2">
        <v>22</v>
      </c>
      <c r="K1712" t="s" s="2">
        <v>3381</v>
      </c>
      <c r="L1712" t="s" s="2">
        <v>3383</v>
      </c>
      <c r="M1712" s="5">
        <v>484429.95</v>
      </c>
      <c r="N1712" s="5">
        <v>6286798.06</v>
      </c>
      <c r="O1712" t="s" s="2">
        <v>305</v>
      </c>
      <c r="P1712" s="5">
        <v>223858</v>
      </c>
      <c r="Q1712" t="s" s="2">
        <v>3177</v>
      </c>
      <c r="R1712" t="s" s="2">
        <f>_xlfn.IFERROR(INDEX('model_byCAP'!$D$2:$D$377,MATCH(Q1712,'model_byCAP'!$A$2:$A$377,0)),0)</f>
        <v>3178</v>
      </c>
    </row>
    <row r="1713" ht="15.35" customHeight="1">
      <c r="A1713" t="s" s="2">
        <v>3384</v>
      </c>
      <c r="B1713" s="4">
        <v>36568</v>
      </c>
      <c r="C1713" s="5">
        <v>1000</v>
      </c>
      <c r="D1713" s="5">
        <v>54</v>
      </c>
      <c r="E1713" s="5">
        <v>50</v>
      </c>
      <c r="F1713" t="s" s="2">
        <v>1989</v>
      </c>
      <c r="G1713" t="s" s="2">
        <v>3173</v>
      </c>
      <c r="H1713" s="5">
        <v>773</v>
      </c>
      <c r="I1713" t="s" s="2">
        <v>1648</v>
      </c>
      <c r="J1713" t="s" s="2">
        <v>22</v>
      </c>
      <c r="K1713" t="s" s="2">
        <v>3381</v>
      </c>
      <c r="L1713" t="s" s="2">
        <v>2348</v>
      </c>
      <c r="M1713" s="5">
        <v>484579.62</v>
      </c>
      <c r="N1713" s="5">
        <v>6287037.76</v>
      </c>
      <c r="O1713" t="s" s="2">
        <v>305</v>
      </c>
      <c r="P1713" s="5">
        <v>223859</v>
      </c>
      <c r="Q1713" t="s" s="2">
        <v>3177</v>
      </c>
      <c r="R1713" t="s" s="2">
        <f>_xlfn.IFERROR(INDEX('model_byCAP'!$D$2:$D$377,MATCH(Q1713,'model_byCAP'!$A$2:$A$377,0)),0)</f>
        <v>3178</v>
      </c>
    </row>
    <row r="1714" ht="15.35" customHeight="1">
      <c r="A1714" t="s" s="2">
        <v>3385</v>
      </c>
      <c r="B1714" s="4">
        <v>36552</v>
      </c>
      <c r="C1714" s="5">
        <v>1000</v>
      </c>
      <c r="D1714" s="5">
        <v>54</v>
      </c>
      <c r="E1714" s="5">
        <v>50</v>
      </c>
      <c r="F1714" t="s" s="2">
        <v>1989</v>
      </c>
      <c r="G1714" t="s" s="2">
        <v>3173</v>
      </c>
      <c r="H1714" s="5">
        <v>773</v>
      </c>
      <c r="I1714" t="s" s="2">
        <v>1648</v>
      </c>
      <c r="J1714" t="s" s="2">
        <v>22</v>
      </c>
      <c r="K1714" t="s" s="2">
        <v>3371</v>
      </c>
      <c r="L1714" t="s" s="2">
        <v>481</v>
      </c>
      <c r="M1714" s="5">
        <v>482212.32</v>
      </c>
      <c r="N1714" s="5">
        <v>6285614.54</v>
      </c>
      <c r="O1714" t="s" s="2">
        <v>305</v>
      </c>
      <c r="P1714" s="5">
        <v>223860</v>
      </c>
      <c r="Q1714" t="s" s="2">
        <v>3177</v>
      </c>
      <c r="R1714" t="s" s="2">
        <f>_xlfn.IFERROR(INDEX('model_byCAP'!$D$2:$D$377,MATCH(Q1714,'model_byCAP'!$A$2:$A$377,0)),0)</f>
        <v>3178</v>
      </c>
    </row>
    <row r="1715" ht="15.35" customHeight="1">
      <c r="A1715" t="s" s="2">
        <v>3386</v>
      </c>
      <c r="B1715" s="4">
        <v>36552</v>
      </c>
      <c r="C1715" s="5">
        <v>1000</v>
      </c>
      <c r="D1715" s="5">
        <v>54</v>
      </c>
      <c r="E1715" s="5">
        <v>50</v>
      </c>
      <c r="F1715" t="s" s="2">
        <v>1989</v>
      </c>
      <c r="G1715" t="s" s="2">
        <v>3173</v>
      </c>
      <c r="H1715" s="5">
        <v>773</v>
      </c>
      <c r="I1715" t="s" s="2">
        <v>1648</v>
      </c>
      <c r="J1715" t="s" s="2">
        <v>22</v>
      </c>
      <c r="K1715" t="s" s="2">
        <v>3371</v>
      </c>
      <c r="L1715" t="s" s="2">
        <v>481</v>
      </c>
      <c r="M1715" s="5">
        <v>482174.22</v>
      </c>
      <c r="N1715" s="5">
        <v>6285430.59</v>
      </c>
      <c r="O1715" t="s" s="2">
        <v>305</v>
      </c>
      <c r="P1715" s="5">
        <v>223861</v>
      </c>
      <c r="Q1715" t="s" s="2">
        <v>3177</v>
      </c>
      <c r="R1715" t="s" s="2">
        <f>_xlfn.IFERROR(INDEX('model_byCAP'!$D$2:$D$377,MATCH(Q1715,'model_byCAP'!$A$2:$A$377,0)),0)</f>
        <v>3178</v>
      </c>
    </row>
    <row r="1716" ht="15.35" customHeight="1">
      <c r="A1716" t="s" s="2">
        <v>3387</v>
      </c>
      <c r="B1716" s="4">
        <v>36598</v>
      </c>
      <c r="C1716" s="5">
        <v>1000</v>
      </c>
      <c r="D1716" s="5">
        <v>54.2</v>
      </c>
      <c r="E1716" s="5">
        <v>50</v>
      </c>
      <c r="F1716" t="s" s="2">
        <v>1989</v>
      </c>
      <c r="G1716" t="s" s="2">
        <v>3173</v>
      </c>
      <c r="H1716" s="5">
        <v>773</v>
      </c>
      <c r="I1716" t="s" s="2">
        <v>1648</v>
      </c>
      <c r="J1716" t="s" s="2">
        <v>22</v>
      </c>
      <c r="K1716" t="s" s="2">
        <v>3388</v>
      </c>
      <c r="L1716" t="s" s="2">
        <v>2872</v>
      </c>
      <c r="M1716" s="5">
        <v>489980.74</v>
      </c>
      <c r="N1716" s="5">
        <v>6305670.14</v>
      </c>
      <c r="O1716" t="s" s="2">
        <v>305</v>
      </c>
      <c r="P1716" s="5">
        <v>223889</v>
      </c>
      <c r="Q1716" t="s" s="2">
        <v>3177</v>
      </c>
      <c r="R1716" t="s" s="2">
        <f>_xlfn.IFERROR(INDEX('model_byCAP'!$D$2:$D$377,MATCH(Q1716,'model_byCAP'!$A$2:$A$377,0)),0)</f>
        <v>3178</v>
      </c>
    </row>
    <row r="1717" ht="15.35" customHeight="1">
      <c r="A1717" t="s" s="2">
        <v>3389</v>
      </c>
      <c r="B1717" s="4">
        <v>36598</v>
      </c>
      <c r="C1717" s="5">
        <v>1000</v>
      </c>
      <c r="D1717" s="5">
        <v>54.2</v>
      </c>
      <c r="E1717" s="5">
        <v>50</v>
      </c>
      <c r="F1717" t="s" s="2">
        <v>1989</v>
      </c>
      <c r="G1717" t="s" s="2">
        <v>3173</v>
      </c>
      <c r="H1717" s="5">
        <v>773</v>
      </c>
      <c r="I1717" t="s" s="2">
        <v>1648</v>
      </c>
      <c r="J1717" t="s" s="2">
        <v>22</v>
      </c>
      <c r="K1717" t="s" s="2">
        <v>3388</v>
      </c>
      <c r="L1717" t="s" s="2">
        <v>2809</v>
      </c>
      <c r="M1717" s="5">
        <v>490080.67</v>
      </c>
      <c r="N1717" s="5">
        <v>6305821.22</v>
      </c>
      <c r="O1717" t="s" s="2">
        <v>305</v>
      </c>
      <c r="P1717" s="5">
        <v>223890</v>
      </c>
      <c r="Q1717" t="s" s="2">
        <v>3177</v>
      </c>
      <c r="R1717" t="s" s="2">
        <f>_xlfn.IFERROR(INDEX('model_byCAP'!$D$2:$D$377,MATCH(Q1717,'model_byCAP'!$A$2:$A$377,0)),0)</f>
        <v>3178</v>
      </c>
    </row>
    <row r="1718" ht="15.35" customHeight="1">
      <c r="A1718" t="s" s="2">
        <v>3390</v>
      </c>
      <c r="B1718" s="4">
        <v>36598</v>
      </c>
      <c r="C1718" s="5">
        <v>1000</v>
      </c>
      <c r="D1718" s="5">
        <v>54.2</v>
      </c>
      <c r="E1718" s="5">
        <v>50</v>
      </c>
      <c r="F1718" t="s" s="2">
        <v>1989</v>
      </c>
      <c r="G1718" t="s" s="2">
        <v>3173</v>
      </c>
      <c r="H1718" s="5">
        <v>773</v>
      </c>
      <c r="I1718" t="s" s="2">
        <v>1648</v>
      </c>
      <c r="J1718" t="s" s="2">
        <v>22</v>
      </c>
      <c r="K1718" t="s" s="2">
        <v>3388</v>
      </c>
      <c r="L1718" t="s" s="2">
        <v>3391</v>
      </c>
      <c r="M1718" s="5">
        <v>490181.29</v>
      </c>
      <c r="N1718" s="5">
        <v>6305971.32</v>
      </c>
      <c r="O1718" t="s" s="2">
        <v>305</v>
      </c>
      <c r="P1718" s="5">
        <v>223891</v>
      </c>
      <c r="Q1718" t="s" s="2">
        <v>3177</v>
      </c>
      <c r="R1718" t="s" s="2">
        <f>_xlfn.IFERROR(INDEX('model_byCAP'!$D$2:$D$377,MATCH(Q1718,'model_byCAP'!$A$2:$A$377,0)),0)</f>
        <v>3178</v>
      </c>
    </row>
    <row r="1719" ht="15.35" customHeight="1">
      <c r="A1719" t="s" s="2">
        <v>3392</v>
      </c>
      <c r="B1719" s="4">
        <v>36641</v>
      </c>
      <c r="C1719" s="5">
        <v>1000</v>
      </c>
      <c r="D1719" s="5">
        <v>54</v>
      </c>
      <c r="E1719" s="5">
        <v>50</v>
      </c>
      <c r="F1719" t="s" s="2">
        <v>1989</v>
      </c>
      <c r="G1719" t="s" s="2">
        <v>3173</v>
      </c>
      <c r="H1719" s="5">
        <v>773</v>
      </c>
      <c r="I1719" t="s" s="2">
        <v>1648</v>
      </c>
      <c r="J1719" t="s" s="2">
        <v>22</v>
      </c>
      <c r="K1719" t="s" s="2">
        <v>3381</v>
      </c>
      <c r="L1719" t="s" s="2">
        <v>3393</v>
      </c>
      <c r="M1719" s="5">
        <v>483464.6</v>
      </c>
      <c r="N1719" s="5">
        <v>6284480.49</v>
      </c>
      <c r="O1719" t="s" s="2">
        <v>305</v>
      </c>
      <c r="P1719" s="5">
        <v>223892</v>
      </c>
      <c r="Q1719" t="s" s="2">
        <v>3177</v>
      </c>
      <c r="R1719" t="s" s="2">
        <f>_xlfn.IFERROR(INDEX('model_byCAP'!$D$2:$D$377,MATCH(Q1719,'model_byCAP'!$A$2:$A$377,0)),0)</f>
        <v>3178</v>
      </c>
    </row>
    <row r="1720" ht="15.35" customHeight="1">
      <c r="A1720" t="s" s="2">
        <v>3394</v>
      </c>
      <c r="B1720" s="4">
        <v>36641</v>
      </c>
      <c r="C1720" s="5">
        <v>1000</v>
      </c>
      <c r="D1720" s="5">
        <v>54</v>
      </c>
      <c r="E1720" s="5">
        <v>50</v>
      </c>
      <c r="F1720" t="s" s="2">
        <v>1989</v>
      </c>
      <c r="G1720" t="s" s="2">
        <v>3173</v>
      </c>
      <c r="H1720" s="5">
        <v>773</v>
      </c>
      <c r="I1720" t="s" s="2">
        <v>1648</v>
      </c>
      <c r="J1720" t="s" s="2">
        <v>22</v>
      </c>
      <c r="K1720" t="s" s="2">
        <v>3381</v>
      </c>
      <c r="L1720" t="s" s="2">
        <v>3395</v>
      </c>
      <c r="M1720" s="5">
        <v>483438.85</v>
      </c>
      <c r="N1720" s="5">
        <v>6284688.36</v>
      </c>
      <c r="O1720" t="s" s="2">
        <v>305</v>
      </c>
      <c r="P1720" s="5">
        <v>223893</v>
      </c>
      <c r="Q1720" t="s" s="2">
        <v>3177</v>
      </c>
      <c r="R1720" t="s" s="2">
        <f>_xlfn.IFERROR(INDEX('model_byCAP'!$D$2:$D$377,MATCH(Q1720,'model_byCAP'!$A$2:$A$377,0)),0)</f>
        <v>3178</v>
      </c>
    </row>
    <row r="1721" ht="15.35" customHeight="1">
      <c r="A1721" t="s" s="2">
        <v>3396</v>
      </c>
      <c r="B1721" s="4">
        <v>37546</v>
      </c>
      <c r="C1721" s="5">
        <v>1000</v>
      </c>
      <c r="D1721" s="5">
        <v>54.2</v>
      </c>
      <c r="E1721" s="5">
        <v>50</v>
      </c>
      <c r="F1721" t="s" s="2">
        <v>1989</v>
      </c>
      <c r="G1721" t="s" s="2">
        <v>3268</v>
      </c>
      <c r="H1721" s="5">
        <v>773</v>
      </c>
      <c r="I1721" t="s" s="2">
        <v>1648</v>
      </c>
      <c r="J1721" t="s" s="2">
        <v>22</v>
      </c>
      <c r="K1721" t="s" s="2">
        <v>3397</v>
      </c>
      <c r="L1721" t="s" s="2">
        <v>2931</v>
      </c>
      <c r="M1721" s="5">
        <v>480427.19</v>
      </c>
      <c r="N1721" s="5">
        <v>6288083.18</v>
      </c>
      <c r="O1721" t="s" s="2">
        <v>305</v>
      </c>
      <c r="P1721" s="5">
        <v>224138</v>
      </c>
      <c r="Q1721" t="s" s="2">
        <v>3270</v>
      </c>
      <c r="R1721" t="s" s="2">
        <f>_xlfn.IFERROR(INDEX('model_byCAP'!$D$2:$D$377,MATCH(Q1721,'model_byCAP'!$A$2:$A$377,0)),0)</f>
        <v>3271</v>
      </c>
    </row>
    <row r="1722" ht="15.35" customHeight="1">
      <c r="A1722" t="s" s="2">
        <v>3398</v>
      </c>
      <c r="B1722" s="4">
        <v>37546</v>
      </c>
      <c r="C1722" s="5">
        <v>1000</v>
      </c>
      <c r="D1722" s="5">
        <v>54.2</v>
      </c>
      <c r="E1722" s="5">
        <v>50</v>
      </c>
      <c r="F1722" t="s" s="2">
        <v>1989</v>
      </c>
      <c r="G1722" t="s" s="2">
        <v>3268</v>
      </c>
      <c r="H1722" s="5">
        <v>773</v>
      </c>
      <c r="I1722" t="s" s="2">
        <v>1648</v>
      </c>
      <c r="J1722" t="s" s="2">
        <v>22</v>
      </c>
      <c r="K1722" t="s" s="2">
        <v>3399</v>
      </c>
      <c r="L1722" t="s" s="2">
        <v>481</v>
      </c>
      <c r="M1722" s="5">
        <v>480396.95</v>
      </c>
      <c r="N1722" s="5">
        <v>6287915.97</v>
      </c>
      <c r="O1722" t="s" s="2">
        <v>305</v>
      </c>
      <c r="P1722" s="5">
        <v>224136</v>
      </c>
      <c r="Q1722" t="s" s="2">
        <v>3270</v>
      </c>
      <c r="R1722" t="s" s="2">
        <f>_xlfn.IFERROR(INDEX('model_byCAP'!$D$2:$D$377,MATCH(Q1722,'model_byCAP'!$A$2:$A$377,0)),0)</f>
        <v>3271</v>
      </c>
    </row>
    <row r="1723" ht="15.35" customHeight="1">
      <c r="A1723" t="s" s="2">
        <v>3400</v>
      </c>
      <c r="B1723" s="4">
        <v>35760</v>
      </c>
      <c r="C1723" s="5">
        <v>1000</v>
      </c>
      <c r="D1723" s="5">
        <v>54</v>
      </c>
      <c r="E1723" s="5">
        <v>45</v>
      </c>
      <c r="F1723" t="s" s="2">
        <v>1989</v>
      </c>
      <c r="G1723" t="s" s="2">
        <v>3173</v>
      </c>
      <c r="H1723" s="5">
        <v>779</v>
      </c>
      <c r="I1723" t="s" s="2">
        <v>1308</v>
      </c>
      <c r="J1723" t="s" s="2">
        <v>22</v>
      </c>
      <c r="K1723" t="s" s="2">
        <v>3401</v>
      </c>
      <c r="L1723" t="s" s="2">
        <v>1656</v>
      </c>
      <c r="M1723" s="5">
        <v>494121.12</v>
      </c>
      <c r="N1723" s="5">
        <v>6272563.11</v>
      </c>
      <c r="O1723" t="s" s="2">
        <v>305</v>
      </c>
      <c r="P1723" s="5">
        <v>2050286</v>
      </c>
      <c r="Q1723" t="s" s="2">
        <v>3177</v>
      </c>
      <c r="R1723" t="s" s="2">
        <f>_xlfn.IFERROR(INDEX('model_byCAP'!$D$2:$D$377,MATCH(Q1723,'model_byCAP'!$A$2:$A$377,0)),0)</f>
        <v>3178</v>
      </c>
    </row>
    <row r="1724" ht="15.35" customHeight="1">
      <c r="A1724" t="s" s="2">
        <v>3402</v>
      </c>
      <c r="B1724" s="4">
        <v>35877</v>
      </c>
      <c r="C1724" s="5">
        <v>1000</v>
      </c>
      <c r="D1724" s="5">
        <v>54</v>
      </c>
      <c r="E1724" s="5">
        <v>45</v>
      </c>
      <c r="F1724" t="s" s="2">
        <v>1989</v>
      </c>
      <c r="G1724" t="s" s="2">
        <v>3173</v>
      </c>
      <c r="H1724" s="5">
        <v>779</v>
      </c>
      <c r="I1724" t="s" s="2">
        <v>1308</v>
      </c>
      <c r="J1724" t="s" s="2">
        <v>22</v>
      </c>
      <c r="K1724" t="s" s="2">
        <v>3401</v>
      </c>
      <c r="L1724" t="s" s="2">
        <v>990</v>
      </c>
      <c r="M1724" s="5">
        <v>494131.94</v>
      </c>
      <c r="N1724" s="5">
        <v>6272395.75</v>
      </c>
      <c r="O1724" t="s" s="2">
        <v>305</v>
      </c>
      <c r="P1724" s="5">
        <v>2050288</v>
      </c>
      <c r="Q1724" t="s" s="2">
        <v>3177</v>
      </c>
      <c r="R1724" t="s" s="2">
        <f>_xlfn.IFERROR(INDEX('model_byCAP'!$D$2:$D$377,MATCH(Q1724,'model_byCAP'!$A$2:$A$377,0)),0)</f>
        <v>3178</v>
      </c>
    </row>
    <row r="1725" ht="15.35" customHeight="1">
      <c r="A1725" t="s" s="2">
        <v>3403</v>
      </c>
      <c r="B1725" s="4">
        <v>35877</v>
      </c>
      <c r="C1725" s="5">
        <v>1000</v>
      </c>
      <c r="D1725" s="5">
        <v>54</v>
      </c>
      <c r="E1725" s="5">
        <v>45</v>
      </c>
      <c r="F1725" t="s" s="2">
        <v>1989</v>
      </c>
      <c r="G1725" t="s" s="2">
        <v>3173</v>
      </c>
      <c r="H1725" s="5">
        <v>779</v>
      </c>
      <c r="I1725" t="s" s="2">
        <v>1308</v>
      </c>
      <c r="J1725" t="s" s="2">
        <v>22</v>
      </c>
      <c r="K1725" t="s" s="2">
        <v>3401</v>
      </c>
      <c r="L1725" t="s" s="2">
        <v>524</v>
      </c>
      <c r="M1725" s="5">
        <v>494447.86</v>
      </c>
      <c r="N1725" s="5">
        <v>6272280.44</v>
      </c>
      <c r="O1725" t="s" s="2">
        <v>305</v>
      </c>
      <c r="P1725" s="5">
        <v>2050295</v>
      </c>
      <c r="Q1725" t="s" s="2">
        <v>3177</v>
      </c>
      <c r="R1725" t="s" s="2">
        <f>_xlfn.IFERROR(INDEX('model_byCAP'!$D$2:$D$377,MATCH(Q1725,'model_byCAP'!$A$2:$A$377,0)),0)</f>
        <v>3178</v>
      </c>
    </row>
    <row r="1726" ht="15.35" customHeight="1">
      <c r="A1726" t="s" s="2">
        <v>3404</v>
      </c>
      <c r="B1726" s="4">
        <v>35877</v>
      </c>
      <c r="C1726" s="5">
        <v>1000</v>
      </c>
      <c r="D1726" s="5">
        <v>54</v>
      </c>
      <c r="E1726" s="5">
        <v>45</v>
      </c>
      <c r="F1726" t="s" s="2">
        <v>1989</v>
      </c>
      <c r="G1726" t="s" s="2">
        <v>3173</v>
      </c>
      <c r="H1726" s="5">
        <v>779</v>
      </c>
      <c r="I1726" t="s" s="2">
        <v>1308</v>
      </c>
      <c r="J1726" t="s" s="2">
        <v>22</v>
      </c>
      <c r="K1726" t="s" s="2">
        <v>3401</v>
      </c>
      <c r="L1726" t="s" s="2">
        <v>524</v>
      </c>
      <c r="M1726" s="5">
        <v>494439.67</v>
      </c>
      <c r="N1726" s="5">
        <v>6272449.73</v>
      </c>
      <c r="O1726" t="s" s="2">
        <v>305</v>
      </c>
      <c r="P1726" s="5">
        <v>2050296</v>
      </c>
      <c r="Q1726" t="s" s="2">
        <v>3177</v>
      </c>
      <c r="R1726" t="s" s="2">
        <f>_xlfn.IFERROR(INDEX('model_byCAP'!$D$2:$D$377,MATCH(Q1726,'model_byCAP'!$A$2:$A$377,0)),0)</f>
        <v>3178</v>
      </c>
    </row>
    <row r="1727" ht="15.35" customHeight="1">
      <c r="A1727" t="s" s="2">
        <v>3405</v>
      </c>
      <c r="B1727" s="4">
        <v>35961</v>
      </c>
      <c r="C1727" s="5">
        <v>1000</v>
      </c>
      <c r="D1727" s="5">
        <v>54</v>
      </c>
      <c r="E1727" s="5">
        <v>45</v>
      </c>
      <c r="F1727" t="s" s="2">
        <v>1989</v>
      </c>
      <c r="G1727" t="s" s="2">
        <v>3173</v>
      </c>
      <c r="H1727" s="5">
        <v>779</v>
      </c>
      <c r="I1727" t="s" s="2">
        <v>1308</v>
      </c>
      <c r="J1727" t="s" s="2">
        <v>22</v>
      </c>
      <c r="K1727" t="s" s="2">
        <v>3401</v>
      </c>
      <c r="L1727" t="s" s="2">
        <v>394</v>
      </c>
      <c r="M1727" s="5">
        <v>494142.8</v>
      </c>
      <c r="N1727" s="5">
        <v>6272228.69</v>
      </c>
      <c r="O1727" t="s" s="2">
        <v>305</v>
      </c>
      <c r="P1727" s="5">
        <v>2050297</v>
      </c>
      <c r="Q1727" t="s" s="2">
        <v>3177</v>
      </c>
      <c r="R1727" t="s" s="2">
        <f>_xlfn.IFERROR(INDEX('model_byCAP'!$D$2:$D$377,MATCH(Q1727,'model_byCAP'!$A$2:$A$377,0)),0)</f>
        <v>3178</v>
      </c>
    </row>
    <row r="1728" ht="15.35" customHeight="1">
      <c r="A1728" t="s" s="2">
        <v>3406</v>
      </c>
      <c r="B1728" s="4">
        <v>35877</v>
      </c>
      <c r="C1728" s="5">
        <v>1000</v>
      </c>
      <c r="D1728" s="5">
        <v>54</v>
      </c>
      <c r="E1728" s="5">
        <v>45</v>
      </c>
      <c r="F1728" t="s" s="2">
        <v>1989</v>
      </c>
      <c r="G1728" t="s" s="2">
        <v>3173</v>
      </c>
      <c r="H1728" s="5">
        <v>779</v>
      </c>
      <c r="I1728" t="s" s="2">
        <v>1308</v>
      </c>
      <c r="J1728" t="s" s="2">
        <v>22</v>
      </c>
      <c r="K1728" t="s" s="2">
        <v>3401</v>
      </c>
      <c r="L1728" t="s" s="2">
        <v>524</v>
      </c>
      <c r="M1728" s="5">
        <v>494429.59</v>
      </c>
      <c r="N1728" s="5">
        <v>6272617.43</v>
      </c>
      <c r="O1728" t="s" s="2">
        <v>305</v>
      </c>
      <c r="P1728" s="5">
        <v>2050298</v>
      </c>
      <c r="Q1728" t="s" s="2">
        <v>3177</v>
      </c>
      <c r="R1728" t="s" s="2">
        <f>_xlfn.IFERROR(INDEX('model_byCAP'!$D$2:$D$377,MATCH(Q1728,'model_byCAP'!$A$2:$A$377,0)),0)</f>
        <v>3178</v>
      </c>
    </row>
    <row r="1729" ht="15.35" customHeight="1">
      <c r="A1729" t="s" s="2">
        <v>3407</v>
      </c>
      <c r="B1729" s="4">
        <v>37609</v>
      </c>
      <c r="C1729" s="5">
        <v>1000</v>
      </c>
      <c r="D1729" s="5">
        <v>54.2</v>
      </c>
      <c r="E1729" s="5">
        <v>50</v>
      </c>
      <c r="F1729" t="s" s="2">
        <v>1989</v>
      </c>
      <c r="G1729" t="s" s="2">
        <v>3173</v>
      </c>
      <c r="H1729" s="5">
        <v>787</v>
      </c>
      <c r="I1729" t="s" s="2">
        <v>21</v>
      </c>
      <c r="J1729" t="s" s="2">
        <v>22</v>
      </c>
      <c r="K1729" t="s" s="2">
        <v>3408</v>
      </c>
      <c r="L1729" t="s" s="2">
        <v>1105</v>
      </c>
      <c r="M1729" s="5">
        <v>460128.52</v>
      </c>
      <c r="N1729" s="5">
        <v>6298359.86</v>
      </c>
      <c r="O1729" t="s" s="2">
        <v>305</v>
      </c>
      <c r="P1729" s="5">
        <v>160392</v>
      </c>
      <c r="Q1729" t="s" s="2">
        <v>3177</v>
      </c>
      <c r="R1729" t="s" s="2">
        <f>_xlfn.IFERROR(INDEX('model_byCAP'!$D$2:$D$377,MATCH(Q1729,'model_byCAP'!$A$2:$A$377,0)),0)</f>
        <v>3178</v>
      </c>
    </row>
    <row r="1730" ht="15.35" customHeight="1">
      <c r="A1730" t="s" s="2">
        <v>3409</v>
      </c>
      <c r="B1730" s="4">
        <v>37609</v>
      </c>
      <c r="C1730" s="5">
        <v>1000</v>
      </c>
      <c r="D1730" s="5">
        <v>54.2</v>
      </c>
      <c r="E1730" s="5">
        <v>50</v>
      </c>
      <c r="F1730" t="s" s="2">
        <v>1989</v>
      </c>
      <c r="G1730" t="s" s="2">
        <v>3173</v>
      </c>
      <c r="H1730" s="5">
        <v>787</v>
      </c>
      <c r="I1730" t="s" s="2">
        <v>21</v>
      </c>
      <c r="J1730" t="s" s="2">
        <v>22</v>
      </c>
      <c r="K1730" t="s" s="2">
        <v>3408</v>
      </c>
      <c r="L1730" t="s" s="2">
        <v>3410</v>
      </c>
      <c r="M1730" s="5">
        <v>460047.65</v>
      </c>
      <c r="N1730" s="5">
        <v>6298179.72</v>
      </c>
      <c r="O1730" t="s" s="2">
        <v>305</v>
      </c>
      <c r="P1730" s="5">
        <v>160396</v>
      </c>
      <c r="Q1730" t="s" s="2">
        <v>3177</v>
      </c>
      <c r="R1730" t="s" s="2">
        <f>_xlfn.IFERROR(INDEX('model_byCAP'!$D$2:$D$377,MATCH(Q1730,'model_byCAP'!$A$2:$A$377,0)),0)</f>
        <v>3178</v>
      </c>
    </row>
    <row r="1731" ht="15.35" customHeight="1">
      <c r="A1731" t="s" s="2">
        <v>3411</v>
      </c>
      <c r="B1731" s="4">
        <v>37609</v>
      </c>
      <c r="C1731" s="5">
        <v>1000</v>
      </c>
      <c r="D1731" s="5">
        <v>54.2</v>
      </c>
      <c r="E1731" s="5">
        <v>50</v>
      </c>
      <c r="F1731" t="s" s="2">
        <v>1989</v>
      </c>
      <c r="G1731" t="s" s="2">
        <v>3173</v>
      </c>
      <c r="H1731" s="5">
        <v>787</v>
      </c>
      <c r="I1731" t="s" s="2">
        <v>21</v>
      </c>
      <c r="J1731" t="s" s="2">
        <v>22</v>
      </c>
      <c r="K1731" t="s" s="2">
        <v>3408</v>
      </c>
      <c r="L1731" t="s" s="2">
        <v>3410</v>
      </c>
      <c r="M1731" s="5">
        <v>460210.01</v>
      </c>
      <c r="N1731" s="5">
        <v>6298539.75</v>
      </c>
      <c r="O1731" t="s" s="2">
        <v>305</v>
      </c>
      <c r="P1731" s="5">
        <v>160398</v>
      </c>
      <c r="Q1731" t="s" s="2">
        <v>3177</v>
      </c>
      <c r="R1731" t="s" s="2">
        <f>_xlfn.IFERROR(INDEX('model_byCAP'!$D$2:$D$377,MATCH(Q1731,'model_byCAP'!$A$2:$A$377,0)),0)</f>
        <v>3178</v>
      </c>
    </row>
    <row r="1732" ht="15.35" customHeight="1">
      <c r="A1732" t="s" s="2">
        <v>3412</v>
      </c>
      <c r="B1732" s="4">
        <v>36452</v>
      </c>
      <c r="C1732" s="5">
        <v>1000</v>
      </c>
      <c r="D1732" s="5">
        <v>54.2</v>
      </c>
      <c r="E1732" s="5">
        <v>50</v>
      </c>
      <c r="F1732" t="s" s="2">
        <v>1989</v>
      </c>
      <c r="G1732" t="s" s="2">
        <v>3268</v>
      </c>
      <c r="H1732" s="5">
        <v>791</v>
      </c>
      <c r="I1732" t="s" s="2">
        <v>1447</v>
      </c>
      <c r="J1732" t="s" s="2">
        <v>22</v>
      </c>
      <c r="K1732" t="s" s="2">
        <v>3413</v>
      </c>
      <c r="L1732" t="s" s="2">
        <v>3414</v>
      </c>
      <c r="M1732" s="5">
        <v>541094.95</v>
      </c>
      <c r="N1732" s="5">
        <v>6254225.94</v>
      </c>
      <c r="O1732" t="s" s="2">
        <v>305</v>
      </c>
      <c r="P1732" s="5">
        <v>3123091</v>
      </c>
      <c r="Q1732" t="s" s="2">
        <v>3270</v>
      </c>
      <c r="R1732" t="s" s="2">
        <f>_xlfn.IFERROR(INDEX('model_byCAP'!$D$2:$D$377,MATCH(Q1732,'model_byCAP'!$A$2:$A$377,0)),0)</f>
        <v>3271</v>
      </c>
    </row>
    <row r="1733" ht="15.35" customHeight="1">
      <c r="A1733" t="s" s="2">
        <v>3415</v>
      </c>
      <c r="B1733" s="4">
        <v>36452</v>
      </c>
      <c r="C1733" s="5">
        <v>1000</v>
      </c>
      <c r="D1733" s="5">
        <v>54.2</v>
      </c>
      <c r="E1733" s="5">
        <v>50</v>
      </c>
      <c r="F1733" t="s" s="2">
        <v>1989</v>
      </c>
      <c r="G1733" t="s" s="2">
        <v>3173</v>
      </c>
      <c r="H1733" s="5">
        <v>791</v>
      </c>
      <c r="I1733" t="s" s="2">
        <v>1447</v>
      </c>
      <c r="J1733" t="s" s="2">
        <v>22</v>
      </c>
      <c r="K1733" t="s" s="2">
        <v>3413</v>
      </c>
      <c r="L1733" t="s" s="2">
        <v>1196</v>
      </c>
      <c r="M1733" s="5">
        <v>541379.12</v>
      </c>
      <c r="N1733" s="5">
        <v>6254293.69</v>
      </c>
      <c r="O1733" t="s" s="2">
        <v>305</v>
      </c>
      <c r="P1733" s="5">
        <v>3123092</v>
      </c>
      <c r="Q1733" t="s" s="2">
        <v>3177</v>
      </c>
      <c r="R1733" t="s" s="2">
        <f>_xlfn.IFERROR(INDEX('model_byCAP'!$D$2:$D$377,MATCH(Q1733,'model_byCAP'!$A$2:$A$377,0)),0)</f>
        <v>3178</v>
      </c>
    </row>
    <row r="1734" ht="15.35" customHeight="1">
      <c r="A1734" t="s" s="2">
        <v>3416</v>
      </c>
      <c r="B1734" s="4">
        <v>36452</v>
      </c>
      <c r="C1734" s="5">
        <v>1000</v>
      </c>
      <c r="D1734" s="5">
        <v>54.2</v>
      </c>
      <c r="E1734" s="5">
        <v>50</v>
      </c>
      <c r="F1734" t="s" s="2">
        <v>1989</v>
      </c>
      <c r="G1734" t="s" s="2">
        <v>3173</v>
      </c>
      <c r="H1734" s="5">
        <v>791</v>
      </c>
      <c r="I1734" t="s" s="2">
        <v>1447</v>
      </c>
      <c r="J1734" t="s" s="2">
        <v>22</v>
      </c>
      <c r="K1734" t="s" s="2">
        <v>3413</v>
      </c>
      <c r="L1734" t="s" s="2">
        <v>1196</v>
      </c>
      <c r="M1734" s="5">
        <v>541663.3100000001</v>
      </c>
      <c r="N1734" s="5">
        <v>6254361.24</v>
      </c>
      <c r="O1734" t="s" s="2">
        <v>305</v>
      </c>
      <c r="P1734" s="5">
        <v>3123093</v>
      </c>
      <c r="Q1734" t="s" s="2">
        <v>3177</v>
      </c>
      <c r="R1734" t="s" s="2">
        <f>_xlfn.IFERROR(INDEX('model_byCAP'!$D$2:$D$377,MATCH(Q1734,'model_byCAP'!$A$2:$A$377,0)),0)</f>
        <v>3178</v>
      </c>
    </row>
    <row r="1735" ht="15.35" customHeight="1">
      <c r="A1735" t="s" s="2">
        <v>3417</v>
      </c>
      <c r="B1735" s="4">
        <v>36668</v>
      </c>
      <c r="C1735" s="5">
        <v>1000</v>
      </c>
      <c r="D1735" s="5">
        <v>54.2</v>
      </c>
      <c r="E1735" s="5">
        <v>50</v>
      </c>
      <c r="F1735" t="s" s="2">
        <v>1989</v>
      </c>
      <c r="G1735" t="s" s="2">
        <v>3173</v>
      </c>
      <c r="H1735" s="5">
        <v>791</v>
      </c>
      <c r="I1735" t="s" s="2">
        <v>1447</v>
      </c>
      <c r="J1735" t="s" s="2">
        <v>22</v>
      </c>
      <c r="K1735" t="s" s="2">
        <v>3418</v>
      </c>
      <c r="L1735" t="s" s="2">
        <v>481</v>
      </c>
      <c r="M1735" s="5">
        <v>536348.59</v>
      </c>
      <c r="N1735" s="5">
        <v>6248302.54</v>
      </c>
      <c r="O1735" t="s" s="2">
        <v>305</v>
      </c>
      <c r="P1735" s="5">
        <v>3123114</v>
      </c>
      <c r="Q1735" t="s" s="2">
        <v>3177</v>
      </c>
      <c r="R1735" t="s" s="2">
        <f>_xlfn.IFERROR(INDEX('model_byCAP'!$D$2:$D$377,MATCH(Q1735,'model_byCAP'!$A$2:$A$377,0)),0)</f>
        <v>3178</v>
      </c>
    </row>
    <row r="1736" ht="15.35" customHeight="1">
      <c r="A1736" t="s" s="2">
        <v>3419</v>
      </c>
      <c r="B1736" s="4">
        <v>36668</v>
      </c>
      <c r="C1736" s="5">
        <v>1000</v>
      </c>
      <c r="D1736" s="5">
        <v>54.2</v>
      </c>
      <c r="E1736" s="5">
        <v>50</v>
      </c>
      <c r="F1736" t="s" s="2">
        <v>1989</v>
      </c>
      <c r="G1736" t="s" s="2">
        <v>3173</v>
      </c>
      <c r="H1736" s="5">
        <v>791</v>
      </c>
      <c r="I1736" t="s" s="2">
        <v>1447</v>
      </c>
      <c r="J1736" t="s" s="2">
        <v>22</v>
      </c>
      <c r="K1736" t="s" s="2">
        <v>3418</v>
      </c>
      <c r="L1736" t="s" s="2">
        <v>1002</v>
      </c>
      <c r="M1736" s="5">
        <v>536323.67</v>
      </c>
      <c r="N1736" s="5">
        <v>6248526.41</v>
      </c>
      <c r="O1736" t="s" s="2">
        <v>305</v>
      </c>
      <c r="P1736" s="5">
        <v>3123115</v>
      </c>
      <c r="Q1736" t="s" s="2">
        <v>3177</v>
      </c>
      <c r="R1736" t="s" s="2">
        <f>_xlfn.IFERROR(INDEX('model_byCAP'!$D$2:$D$377,MATCH(Q1736,'model_byCAP'!$A$2:$A$377,0)),0)</f>
        <v>3178</v>
      </c>
    </row>
    <row r="1737" ht="15.35" customHeight="1">
      <c r="A1737" t="s" s="2">
        <v>3420</v>
      </c>
      <c r="B1737" s="4">
        <v>36668</v>
      </c>
      <c r="C1737" s="5">
        <v>1000</v>
      </c>
      <c r="D1737" s="5">
        <v>54.2</v>
      </c>
      <c r="E1737" s="5">
        <v>50</v>
      </c>
      <c r="F1737" t="s" s="2">
        <v>1989</v>
      </c>
      <c r="G1737" t="s" s="2">
        <v>3173</v>
      </c>
      <c r="H1737" s="5">
        <v>791</v>
      </c>
      <c r="I1737" t="s" s="2">
        <v>1447</v>
      </c>
      <c r="J1737" t="s" s="2">
        <v>22</v>
      </c>
      <c r="K1737" t="s" s="2">
        <v>3418</v>
      </c>
      <c r="L1737" t="s" s="2">
        <v>928</v>
      </c>
      <c r="M1737" s="5">
        <v>536301.98</v>
      </c>
      <c r="N1737" s="5">
        <v>6248747.73</v>
      </c>
      <c r="O1737" t="s" s="2">
        <v>305</v>
      </c>
      <c r="P1737" s="5">
        <v>3123116</v>
      </c>
      <c r="Q1737" t="s" s="2">
        <v>3177</v>
      </c>
      <c r="R1737" t="s" s="2">
        <f>_xlfn.IFERROR(INDEX('model_byCAP'!$D$2:$D$377,MATCH(Q1737,'model_byCAP'!$A$2:$A$377,0)),0)</f>
        <v>3178</v>
      </c>
    </row>
    <row r="1738" ht="15.35" customHeight="1">
      <c r="A1738" t="s" s="2">
        <v>3421</v>
      </c>
      <c r="B1738" s="4">
        <v>36668</v>
      </c>
      <c r="C1738" s="5">
        <v>1000</v>
      </c>
      <c r="D1738" s="5">
        <v>54.2</v>
      </c>
      <c r="E1738" s="5">
        <v>50</v>
      </c>
      <c r="F1738" t="s" s="2">
        <v>1989</v>
      </c>
      <c r="G1738" t="s" s="2">
        <v>3173</v>
      </c>
      <c r="H1738" s="5">
        <v>791</v>
      </c>
      <c r="I1738" t="s" s="2">
        <v>1447</v>
      </c>
      <c r="J1738" t="s" s="2">
        <v>22</v>
      </c>
      <c r="K1738" t="s" s="2">
        <v>3418</v>
      </c>
      <c r="L1738" t="s" s="2">
        <v>3422</v>
      </c>
      <c r="M1738" s="5">
        <v>536278.0699999999</v>
      </c>
      <c r="N1738" s="5">
        <v>6248970.69</v>
      </c>
      <c r="O1738" t="s" s="2">
        <v>305</v>
      </c>
      <c r="P1738" s="5">
        <v>3123117</v>
      </c>
      <c r="Q1738" t="s" s="2">
        <v>3177</v>
      </c>
      <c r="R1738" t="s" s="2">
        <f>_xlfn.IFERROR(INDEX('model_byCAP'!$D$2:$D$377,MATCH(Q1738,'model_byCAP'!$A$2:$A$377,0)),0)</f>
        <v>3178</v>
      </c>
    </row>
    <row r="1739" ht="15.35" customHeight="1">
      <c r="A1739" t="s" s="2">
        <v>3423</v>
      </c>
      <c r="B1739" s="4">
        <v>36668</v>
      </c>
      <c r="C1739" s="5">
        <v>1000</v>
      </c>
      <c r="D1739" s="5">
        <v>54.2</v>
      </c>
      <c r="E1739" s="5">
        <v>50</v>
      </c>
      <c r="F1739" t="s" s="2">
        <v>1989</v>
      </c>
      <c r="G1739" t="s" s="2">
        <v>3173</v>
      </c>
      <c r="H1739" s="5">
        <v>791</v>
      </c>
      <c r="I1739" t="s" s="2">
        <v>1447</v>
      </c>
      <c r="J1739" t="s" s="2">
        <v>22</v>
      </c>
      <c r="K1739" t="s" s="2">
        <v>3418</v>
      </c>
      <c r="L1739" t="s" s="2">
        <v>3424</v>
      </c>
      <c r="M1739" s="5">
        <v>536254.98</v>
      </c>
      <c r="N1739" s="5">
        <v>6249193.52</v>
      </c>
      <c r="O1739" t="s" s="2">
        <v>305</v>
      </c>
      <c r="P1739" s="5">
        <v>3123118</v>
      </c>
      <c r="Q1739" t="s" s="2">
        <v>3177</v>
      </c>
      <c r="R1739" t="s" s="2">
        <f>_xlfn.IFERROR(INDEX('model_byCAP'!$D$2:$D$377,MATCH(Q1739,'model_byCAP'!$A$2:$A$377,0)),0)</f>
        <v>3178</v>
      </c>
    </row>
    <row r="1740" ht="15.35" customHeight="1">
      <c r="A1740" t="s" s="2">
        <v>3425</v>
      </c>
      <c r="B1740" s="4">
        <v>36209</v>
      </c>
      <c r="C1740" s="5">
        <v>1000</v>
      </c>
      <c r="D1740" s="5">
        <v>54</v>
      </c>
      <c r="E1740" s="5">
        <v>50</v>
      </c>
      <c r="F1740" t="s" s="2">
        <v>1989</v>
      </c>
      <c r="G1740" t="s" s="2">
        <v>3173</v>
      </c>
      <c r="H1740" s="5">
        <v>791</v>
      </c>
      <c r="I1740" t="s" s="2">
        <v>1447</v>
      </c>
      <c r="J1740" t="s" s="2">
        <v>22</v>
      </c>
      <c r="K1740" t="s" s="2">
        <v>3426</v>
      </c>
      <c r="L1740" t="s" s="2">
        <v>3427</v>
      </c>
      <c r="M1740" s="5">
        <v>512667.61</v>
      </c>
      <c r="N1740" s="5">
        <v>6242490.39</v>
      </c>
      <c r="O1740" t="s" s="2">
        <v>305</v>
      </c>
      <c r="P1740" s="5">
        <v>3097664</v>
      </c>
      <c r="Q1740" t="s" s="2">
        <v>3177</v>
      </c>
      <c r="R1740" t="s" s="2">
        <f>_xlfn.IFERROR(INDEX('model_byCAP'!$D$2:$D$377,MATCH(Q1740,'model_byCAP'!$A$2:$A$377,0)),0)</f>
        <v>3178</v>
      </c>
    </row>
    <row r="1741" ht="15.35" customHeight="1">
      <c r="A1741" t="s" s="2">
        <v>3428</v>
      </c>
      <c r="B1741" s="4">
        <v>36196</v>
      </c>
      <c r="C1741" s="5">
        <v>1000</v>
      </c>
      <c r="D1741" s="5">
        <v>54</v>
      </c>
      <c r="E1741" s="5">
        <v>50</v>
      </c>
      <c r="F1741" t="s" s="2">
        <v>1989</v>
      </c>
      <c r="G1741" t="s" s="2">
        <v>3173</v>
      </c>
      <c r="H1741" s="5">
        <v>791</v>
      </c>
      <c r="I1741" t="s" s="2">
        <v>1447</v>
      </c>
      <c r="J1741" t="s" s="2">
        <v>22</v>
      </c>
      <c r="K1741" t="s" s="2">
        <v>3426</v>
      </c>
      <c r="L1741" t="s" s="2">
        <v>3427</v>
      </c>
      <c r="M1741" s="5">
        <v>512746.41</v>
      </c>
      <c r="N1741" s="5">
        <v>6242305.84</v>
      </c>
      <c r="O1741" t="s" s="2">
        <v>305</v>
      </c>
      <c r="P1741" s="5">
        <v>3097665</v>
      </c>
      <c r="Q1741" t="s" s="2">
        <v>3177</v>
      </c>
      <c r="R1741" t="s" s="2">
        <f>_xlfn.IFERROR(INDEX('model_byCAP'!$D$2:$D$377,MATCH(Q1741,'model_byCAP'!$A$2:$A$377,0)),0)</f>
        <v>3178</v>
      </c>
    </row>
    <row r="1742" ht="15.35" customHeight="1">
      <c r="A1742" t="s" s="2">
        <v>3429</v>
      </c>
      <c r="B1742" s="4">
        <v>36707</v>
      </c>
      <c r="C1742" s="5">
        <v>1000</v>
      </c>
      <c r="D1742" s="5">
        <v>60</v>
      </c>
      <c r="E1742" s="5">
        <v>45</v>
      </c>
      <c r="F1742" t="s" s="2">
        <v>1746</v>
      </c>
      <c r="G1742" t="s" s="2">
        <v>3228</v>
      </c>
      <c r="H1742" s="5">
        <v>840</v>
      </c>
      <c r="I1742" t="s" s="2">
        <v>973</v>
      </c>
      <c r="J1742" t="s" s="2">
        <v>22</v>
      </c>
      <c r="K1742" t="s" s="2">
        <v>3430</v>
      </c>
      <c r="L1742" t="s" s="2">
        <v>1165</v>
      </c>
      <c r="M1742" s="5">
        <v>541775.5600000001</v>
      </c>
      <c r="N1742" s="5">
        <v>6287257.12</v>
      </c>
      <c r="O1742" t="s" s="2">
        <v>305</v>
      </c>
      <c r="P1742" s="5">
        <v>413</v>
      </c>
      <c r="Q1742" t="s" s="2">
        <v>3230</v>
      </c>
      <c r="R1742" t="s" s="2">
        <f>_xlfn.IFERROR(INDEX('model_byCAP'!$D$2:$D$377,MATCH(Q1742,'model_byCAP'!$A$2:$A$377,0)),0)</f>
        <v>3231</v>
      </c>
    </row>
    <row r="1743" ht="15.35" customHeight="1">
      <c r="A1743" t="s" s="2">
        <v>3431</v>
      </c>
      <c r="B1743" s="4">
        <v>36707</v>
      </c>
      <c r="C1743" s="5">
        <v>1000</v>
      </c>
      <c r="D1743" s="5">
        <v>60</v>
      </c>
      <c r="E1743" s="5">
        <v>45</v>
      </c>
      <c r="F1743" t="s" s="2">
        <v>1746</v>
      </c>
      <c r="G1743" t="s" s="2">
        <v>3228</v>
      </c>
      <c r="H1743" s="5">
        <v>840</v>
      </c>
      <c r="I1743" t="s" s="2">
        <v>973</v>
      </c>
      <c r="J1743" t="s" s="2">
        <v>22</v>
      </c>
      <c r="K1743" t="s" s="2">
        <v>3432</v>
      </c>
      <c r="L1743" t="s" s="2">
        <v>3433</v>
      </c>
      <c r="M1743" s="5">
        <v>541762.71</v>
      </c>
      <c r="N1743" s="5">
        <v>6287441.38</v>
      </c>
      <c r="O1743" t="s" s="2">
        <v>305</v>
      </c>
      <c r="P1743" s="5">
        <v>414</v>
      </c>
      <c r="Q1743" t="s" s="2">
        <v>3230</v>
      </c>
      <c r="R1743" t="s" s="2">
        <f>_xlfn.IFERROR(INDEX('model_byCAP'!$D$2:$D$377,MATCH(Q1743,'model_byCAP'!$A$2:$A$377,0)),0)</f>
        <v>3231</v>
      </c>
    </row>
    <row r="1744" ht="15.35" customHeight="1">
      <c r="A1744" t="s" s="2">
        <v>3434</v>
      </c>
      <c r="B1744" s="4">
        <v>36707</v>
      </c>
      <c r="C1744" s="5">
        <v>1000</v>
      </c>
      <c r="D1744" s="5">
        <v>60</v>
      </c>
      <c r="E1744" s="5">
        <v>45</v>
      </c>
      <c r="F1744" t="s" s="2">
        <v>1746</v>
      </c>
      <c r="G1744" t="s" s="2">
        <v>3228</v>
      </c>
      <c r="H1744" s="5">
        <v>840</v>
      </c>
      <c r="I1744" t="s" s="2">
        <v>973</v>
      </c>
      <c r="J1744" t="s" s="2">
        <v>22</v>
      </c>
      <c r="K1744" t="s" s="2">
        <v>3432</v>
      </c>
      <c r="L1744" t="s" s="2">
        <v>1291</v>
      </c>
      <c r="M1744" s="5">
        <v>541750.83</v>
      </c>
      <c r="N1744" s="5">
        <v>6287624.38</v>
      </c>
      <c r="O1744" t="s" s="2">
        <v>305</v>
      </c>
      <c r="P1744" s="5">
        <v>415</v>
      </c>
      <c r="Q1744" t="s" s="2">
        <v>3230</v>
      </c>
      <c r="R1744" t="s" s="2">
        <f>_xlfn.IFERROR(INDEX('model_byCAP'!$D$2:$D$377,MATCH(Q1744,'model_byCAP'!$A$2:$A$377,0)),0)</f>
        <v>3231</v>
      </c>
    </row>
    <row r="1745" ht="15.35" customHeight="1">
      <c r="A1745" t="s" s="2">
        <v>3435</v>
      </c>
      <c r="B1745" s="4">
        <v>36707</v>
      </c>
      <c r="C1745" s="5">
        <v>1000</v>
      </c>
      <c r="D1745" s="5">
        <v>60</v>
      </c>
      <c r="E1745" s="5">
        <v>45</v>
      </c>
      <c r="F1745" t="s" s="2">
        <v>1746</v>
      </c>
      <c r="G1745" t="s" s="2">
        <v>3228</v>
      </c>
      <c r="H1745" s="5">
        <v>840</v>
      </c>
      <c r="I1745" t="s" s="2">
        <v>973</v>
      </c>
      <c r="J1745" t="s" s="2">
        <v>22</v>
      </c>
      <c r="K1745" t="s" s="2">
        <v>3432</v>
      </c>
      <c r="L1745" t="s" s="2">
        <v>524</v>
      </c>
      <c r="M1745" s="5">
        <v>541737.54</v>
      </c>
      <c r="N1745" s="5">
        <v>6287808.18</v>
      </c>
      <c r="O1745" t="s" s="2">
        <v>305</v>
      </c>
      <c r="P1745" s="5">
        <v>416</v>
      </c>
      <c r="Q1745" t="s" s="2">
        <v>3230</v>
      </c>
      <c r="R1745" t="s" s="2">
        <f>_xlfn.IFERROR(INDEX('model_byCAP'!$D$2:$D$377,MATCH(Q1745,'model_byCAP'!$A$2:$A$377,0)),0)</f>
        <v>3231</v>
      </c>
    </row>
    <row r="1746" ht="15.35" customHeight="1">
      <c r="A1746" t="s" s="2">
        <v>3436</v>
      </c>
      <c r="B1746" s="4">
        <v>36430</v>
      </c>
      <c r="C1746" s="5">
        <v>1000</v>
      </c>
      <c r="D1746" s="5">
        <v>54.2</v>
      </c>
      <c r="E1746" s="5">
        <v>45</v>
      </c>
      <c r="F1746" t="s" s="2">
        <v>1989</v>
      </c>
      <c r="G1746" t="s" s="2">
        <v>3173</v>
      </c>
      <c r="H1746" s="5">
        <v>851</v>
      </c>
      <c r="I1746" t="s" s="2">
        <v>1139</v>
      </c>
      <c r="J1746" t="s" s="2">
        <v>22</v>
      </c>
      <c r="K1746" t="s" s="2">
        <v>3437</v>
      </c>
      <c r="L1746" t="s" s="2">
        <v>1165</v>
      </c>
      <c r="M1746" s="5">
        <v>579470.6800000001</v>
      </c>
      <c r="N1746" s="5">
        <v>6329091.85</v>
      </c>
      <c r="O1746" t="s" s="2">
        <v>305</v>
      </c>
      <c r="P1746" t="s" s="2">
        <v>3438</v>
      </c>
      <c r="Q1746" t="s" s="2">
        <v>3177</v>
      </c>
      <c r="R1746" t="s" s="2">
        <f>_xlfn.IFERROR(INDEX('model_byCAP'!$D$2:$D$377,MATCH(Q1746,'model_byCAP'!$A$2:$A$377,0)),0)</f>
        <v>3178</v>
      </c>
    </row>
    <row r="1747" ht="15.35" customHeight="1">
      <c r="A1747" t="s" s="2">
        <v>3439</v>
      </c>
      <c r="B1747" s="4">
        <v>36430</v>
      </c>
      <c r="C1747" s="5">
        <v>1000</v>
      </c>
      <c r="D1747" s="5">
        <v>54.2</v>
      </c>
      <c r="E1747" s="5">
        <v>45</v>
      </c>
      <c r="F1747" t="s" s="2">
        <v>1989</v>
      </c>
      <c r="G1747" t="s" s="2">
        <v>3173</v>
      </c>
      <c r="H1747" s="5">
        <v>851</v>
      </c>
      <c r="I1747" t="s" s="2">
        <v>1139</v>
      </c>
      <c r="J1747" t="s" s="2">
        <v>22</v>
      </c>
      <c r="K1747" t="s" s="2">
        <v>3437</v>
      </c>
      <c r="L1747" t="s" s="2">
        <v>500</v>
      </c>
      <c r="M1747" s="5">
        <v>579122.45</v>
      </c>
      <c r="N1747" s="5">
        <v>6329247</v>
      </c>
      <c r="O1747" t="s" s="2">
        <v>305</v>
      </c>
      <c r="P1747" t="s" s="2">
        <v>3438</v>
      </c>
      <c r="Q1747" t="s" s="2">
        <v>3177</v>
      </c>
      <c r="R1747" t="s" s="2">
        <f>_xlfn.IFERROR(INDEX('model_byCAP'!$D$2:$D$377,MATCH(Q1747,'model_byCAP'!$A$2:$A$377,0)),0)</f>
        <v>3178</v>
      </c>
    </row>
    <row r="1748" ht="15.35" customHeight="1">
      <c r="A1748" t="s" s="2">
        <v>3440</v>
      </c>
      <c r="B1748" s="4">
        <v>36430</v>
      </c>
      <c r="C1748" s="5">
        <v>1000</v>
      </c>
      <c r="D1748" s="5">
        <v>54.2</v>
      </c>
      <c r="E1748" s="5">
        <v>45</v>
      </c>
      <c r="F1748" t="s" s="2">
        <v>1989</v>
      </c>
      <c r="G1748" t="s" s="2">
        <v>3173</v>
      </c>
      <c r="H1748" s="5">
        <v>851</v>
      </c>
      <c r="I1748" t="s" s="2">
        <v>1139</v>
      </c>
      <c r="J1748" t="s" s="2">
        <v>22</v>
      </c>
      <c r="K1748" t="s" s="2">
        <v>3437</v>
      </c>
      <c r="L1748" t="s" s="2">
        <v>481</v>
      </c>
      <c r="M1748" s="5">
        <v>578776.1899999999</v>
      </c>
      <c r="N1748" s="5">
        <v>6329401.3</v>
      </c>
      <c r="O1748" t="s" s="2">
        <v>305</v>
      </c>
      <c r="P1748" t="s" s="2">
        <v>3438</v>
      </c>
      <c r="Q1748" t="s" s="2">
        <v>3177</v>
      </c>
      <c r="R1748" t="s" s="2">
        <f>_xlfn.IFERROR(INDEX('model_byCAP'!$D$2:$D$377,MATCH(Q1748,'model_byCAP'!$A$2:$A$377,0)),0)</f>
        <v>3178</v>
      </c>
    </row>
    <row r="1749" ht="15.35" customHeight="1">
      <c r="A1749" t="s" s="2">
        <v>3441</v>
      </c>
      <c r="B1749" s="4">
        <v>36430</v>
      </c>
      <c r="C1749" s="5">
        <v>1000</v>
      </c>
      <c r="D1749" s="5">
        <v>54.2</v>
      </c>
      <c r="E1749" s="5">
        <v>45</v>
      </c>
      <c r="F1749" t="s" s="2">
        <v>1989</v>
      </c>
      <c r="G1749" t="s" s="2">
        <v>3173</v>
      </c>
      <c r="H1749" s="5">
        <v>851</v>
      </c>
      <c r="I1749" t="s" s="2">
        <v>1139</v>
      </c>
      <c r="J1749" t="s" s="2">
        <v>22</v>
      </c>
      <c r="K1749" t="s" s="2">
        <v>3437</v>
      </c>
      <c r="L1749" t="s" s="2">
        <v>474</v>
      </c>
      <c r="M1749" s="5">
        <v>579431.29</v>
      </c>
      <c r="N1749" s="5">
        <v>6329470.75</v>
      </c>
      <c r="O1749" t="s" s="2">
        <v>305</v>
      </c>
      <c r="P1749" t="s" s="2">
        <v>3438</v>
      </c>
      <c r="Q1749" t="s" s="2">
        <v>3177</v>
      </c>
      <c r="R1749" t="s" s="2">
        <f>_xlfn.IFERROR(INDEX('model_byCAP'!$D$2:$D$377,MATCH(Q1749,'model_byCAP'!$A$2:$A$377,0)),0)</f>
        <v>3178</v>
      </c>
    </row>
    <row r="1750" ht="15.35" customHeight="1">
      <c r="A1750" t="s" s="2">
        <v>3442</v>
      </c>
      <c r="B1750" s="4">
        <v>36430</v>
      </c>
      <c r="C1750" s="5">
        <v>1000</v>
      </c>
      <c r="D1750" s="5">
        <v>54.2</v>
      </c>
      <c r="E1750" s="5">
        <v>45</v>
      </c>
      <c r="F1750" t="s" s="2">
        <v>1989</v>
      </c>
      <c r="G1750" t="s" s="2">
        <v>3173</v>
      </c>
      <c r="H1750" s="5">
        <v>851</v>
      </c>
      <c r="I1750" t="s" s="2">
        <v>1139</v>
      </c>
      <c r="J1750" t="s" s="2">
        <v>22</v>
      </c>
      <c r="K1750" t="s" s="2">
        <v>3437</v>
      </c>
      <c r="L1750" t="s" s="2">
        <v>481</v>
      </c>
      <c r="M1750" s="5">
        <v>579082.98</v>
      </c>
      <c r="N1750" s="5">
        <v>6329625.76</v>
      </c>
      <c r="O1750" t="s" s="2">
        <v>305</v>
      </c>
      <c r="P1750" t="s" s="2">
        <v>3438</v>
      </c>
      <c r="Q1750" t="s" s="2">
        <v>3177</v>
      </c>
      <c r="R1750" t="s" s="2">
        <f>_xlfn.IFERROR(INDEX('model_byCAP'!$D$2:$D$377,MATCH(Q1750,'model_byCAP'!$A$2:$A$377,0)),0)</f>
        <v>3178</v>
      </c>
    </row>
    <row r="1751" ht="15.35" customHeight="1">
      <c r="A1751" t="s" s="2">
        <v>3443</v>
      </c>
      <c r="B1751" s="4">
        <v>36817</v>
      </c>
      <c r="C1751" s="5">
        <v>900</v>
      </c>
      <c r="D1751" s="5">
        <v>52</v>
      </c>
      <c r="E1751" s="5">
        <v>49</v>
      </c>
      <c r="F1751" t="s" s="2">
        <v>1746</v>
      </c>
      <c r="G1751" t="s" s="2">
        <v>3444</v>
      </c>
      <c r="H1751" s="5">
        <v>316</v>
      </c>
      <c r="I1751" t="s" s="2">
        <v>1769</v>
      </c>
      <c r="J1751" t="s" s="2">
        <v>22</v>
      </c>
      <c r="K1751" t="s" s="2">
        <v>3445</v>
      </c>
      <c r="L1751" t="s" s="2">
        <v>481</v>
      </c>
      <c r="M1751" s="5">
        <v>658397.4300000001</v>
      </c>
      <c r="N1751" s="5">
        <v>6169604.15</v>
      </c>
      <c r="O1751" t="s" s="2">
        <v>305</v>
      </c>
      <c r="P1751" s="5">
        <v>40022035</v>
      </c>
      <c r="Q1751" t="s" s="2">
        <v>3446</v>
      </c>
      <c r="R1751" t="s" s="2">
        <f>_xlfn.IFERROR(INDEX('model_byCAP'!$D$2:$D$377,MATCH(Q1751,'model_byCAP'!$A$2:$A$377,0)),0)</f>
        <v>3447</v>
      </c>
    </row>
    <row r="1752" ht="15.35" customHeight="1">
      <c r="A1752" t="s" s="2">
        <v>3448</v>
      </c>
      <c r="B1752" s="4">
        <v>36817</v>
      </c>
      <c r="C1752" s="5">
        <v>900</v>
      </c>
      <c r="D1752" s="5">
        <v>52</v>
      </c>
      <c r="E1752" s="5">
        <v>49</v>
      </c>
      <c r="F1752" t="s" s="2">
        <v>1746</v>
      </c>
      <c r="G1752" t="s" s="2">
        <v>3444</v>
      </c>
      <c r="H1752" s="5">
        <v>316</v>
      </c>
      <c r="I1752" t="s" s="2">
        <v>1769</v>
      </c>
      <c r="J1752" t="s" s="2">
        <v>22</v>
      </c>
      <c r="K1752" t="s" s="2">
        <v>3445</v>
      </c>
      <c r="L1752" t="s" s="2">
        <v>481</v>
      </c>
      <c r="M1752" s="5">
        <v>658593.5699999999</v>
      </c>
      <c r="N1752" s="5">
        <v>6169744.52</v>
      </c>
      <c r="O1752" t="s" s="2">
        <v>305</v>
      </c>
      <c r="P1752" s="5">
        <v>40022042</v>
      </c>
      <c r="Q1752" t="s" s="2">
        <v>3446</v>
      </c>
      <c r="R1752" t="s" s="2">
        <f>_xlfn.IFERROR(INDEX('model_byCAP'!$D$2:$D$377,MATCH(Q1752,'model_byCAP'!$A$2:$A$377,0)),0)</f>
        <v>3447</v>
      </c>
    </row>
    <row r="1753" ht="15.35" customHeight="1">
      <c r="A1753" t="s" s="2">
        <v>3449</v>
      </c>
      <c r="B1753" s="4">
        <v>36817</v>
      </c>
      <c r="C1753" s="5">
        <v>900</v>
      </c>
      <c r="D1753" s="5">
        <v>52</v>
      </c>
      <c r="E1753" s="5">
        <v>49</v>
      </c>
      <c r="F1753" t="s" s="2">
        <v>1746</v>
      </c>
      <c r="G1753" t="s" s="2">
        <v>3444</v>
      </c>
      <c r="H1753" s="5">
        <v>316</v>
      </c>
      <c r="I1753" t="s" s="2">
        <v>1769</v>
      </c>
      <c r="J1753" t="s" s="2">
        <v>22</v>
      </c>
      <c r="K1753" t="s" s="2">
        <v>3445</v>
      </c>
      <c r="L1753" t="s" s="2">
        <v>481</v>
      </c>
      <c r="M1753" s="5">
        <v>658789.24</v>
      </c>
      <c r="N1753" s="5">
        <v>6169881.97</v>
      </c>
      <c r="O1753" t="s" s="2">
        <v>305</v>
      </c>
      <c r="P1753" s="5">
        <v>40022051</v>
      </c>
      <c r="Q1753" t="s" s="2">
        <v>3446</v>
      </c>
      <c r="R1753" t="s" s="2">
        <f>_xlfn.IFERROR(INDEX('model_byCAP'!$D$2:$D$377,MATCH(Q1753,'model_byCAP'!$A$2:$A$377,0)),0)</f>
        <v>3447</v>
      </c>
    </row>
    <row r="1754" ht="15.35" customHeight="1">
      <c r="A1754" t="s" s="2">
        <v>3450</v>
      </c>
      <c r="B1754" s="4">
        <v>37971</v>
      </c>
      <c r="C1754" s="5">
        <v>900</v>
      </c>
      <c r="D1754" s="5">
        <v>52</v>
      </c>
      <c r="E1754" s="5">
        <v>44</v>
      </c>
      <c r="F1754" t="s" s="2">
        <v>1746</v>
      </c>
      <c r="G1754" t="s" s="2">
        <v>3444</v>
      </c>
      <c r="H1754" s="5">
        <v>350</v>
      </c>
      <c r="I1754" t="s" s="2">
        <v>3451</v>
      </c>
      <c r="J1754" t="s" s="2">
        <v>22</v>
      </c>
      <c r="K1754" t="s" s="2">
        <v>3452</v>
      </c>
      <c r="L1754" t="s" s="2">
        <v>3453</v>
      </c>
      <c r="M1754" s="5">
        <v>682687.4399999999</v>
      </c>
      <c r="N1754" s="5">
        <v>6178503.53</v>
      </c>
      <c r="O1754" t="s" s="2">
        <v>305</v>
      </c>
      <c r="P1754" s="5">
        <v>15319923</v>
      </c>
      <c r="Q1754" t="s" s="2">
        <v>3446</v>
      </c>
      <c r="R1754" t="s" s="2">
        <f>_xlfn.IFERROR(INDEX('model_byCAP'!$D$2:$D$377,MATCH(Q1754,'model_byCAP'!$A$2:$A$377,0)),0)</f>
        <v>3447</v>
      </c>
    </row>
    <row r="1755" ht="15.35" customHeight="1">
      <c r="A1755" t="s" s="2">
        <v>3454</v>
      </c>
      <c r="B1755" s="4">
        <v>37971</v>
      </c>
      <c r="C1755" s="5">
        <v>900</v>
      </c>
      <c r="D1755" s="5">
        <v>52</v>
      </c>
      <c r="E1755" s="5">
        <v>44</v>
      </c>
      <c r="F1755" t="s" s="2">
        <v>1746</v>
      </c>
      <c r="G1755" t="s" s="2">
        <v>3444</v>
      </c>
      <c r="H1755" s="5">
        <v>350</v>
      </c>
      <c r="I1755" t="s" s="2">
        <v>3451</v>
      </c>
      <c r="J1755" t="s" s="2">
        <v>22</v>
      </c>
      <c r="K1755" t="s" s="2">
        <v>3452</v>
      </c>
      <c r="L1755" t="s" s="2">
        <v>3453</v>
      </c>
      <c r="M1755" s="5">
        <v>682886.92</v>
      </c>
      <c r="N1755" s="5">
        <v>6178514.1</v>
      </c>
      <c r="O1755" t="s" s="2">
        <v>305</v>
      </c>
      <c r="P1755" s="5">
        <v>15319855</v>
      </c>
      <c r="Q1755" t="s" s="2">
        <v>3446</v>
      </c>
      <c r="R1755" t="s" s="2">
        <f>_xlfn.IFERROR(INDEX('model_byCAP'!$D$2:$D$377,MATCH(Q1755,'model_byCAP'!$A$2:$A$377,0)),0)</f>
        <v>3447</v>
      </c>
    </row>
    <row r="1756" ht="15.35" customHeight="1">
      <c r="A1756" t="s" s="2">
        <v>3455</v>
      </c>
      <c r="B1756" s="4">
        <v>37977</v>
      </c>
      <c r="C1756" s="5">
        <v>900</v>
      </c>
      <c r="D1756" s="5">
        <v>52</v>
      </c>
      <c r="E1756" s="5">
        <v>49</v>
      </c>
      <c r="F1756" t="s" s="2">
        <v>1746</v>
      </c>
      <c r="G1756" t="s" s="2">
        <v>3444</v>
      </c>
      <c r="H1756" s="5">
        <v>376</v>
      </c>
      <c r="I1756" t="s" s="2">
        <v>1991</v>
      </c>
      <c r="J1756" t="s" s="2">
        <v>22</v>
      </c>
      <c r="K1756" t="s" s="2">
        <v>3456</v>
      </c>
      <c r="L1756" t="s" s="2">
        <v>1345</v>
      </c>
      <c r="M1756" s="5">
        <v>687218.27</v>
      </c>
      <c r="N1756" s="5">
        <v>6061270.18</v>
      </c>
      <c r="O1756" t="s" s="2">
        <v>305</v>
      </c>
      <c r="P1756" s="5">
        <v>2123015</v>
      </c>
      <c r="Q1756" t="s" s="2">
        <v>3446</v>
      </c>
      <c r="R1756" t="s" s="2">
        <f>_xlfn.IFERROR(INDEX('model_byCAP'!$D$2:$D$377,MATCH(Q1756,'model_byCAP'!$A$2:$A$377,0)),0)</f>
        <v>3447</v>
      </c>
    </row>
    <row r="1757" ht="15.35" customHeight="1">
      <c r="A1757" t="s" s="2">
        <v>3457</v>
      </c>
      <c r="B1757" s="4">
        <v>37977</v>
      </c>
      <c r="C1757" s="5">
        <v>900</v>
      </c>
      <c r="D1757" s="5">
        <v>52</v>
      </c>
      <c r="E1757" s="5">
        <v>49</v>
      </c>
      <c r="F1757" t="s" s="2">
        <v>1746</v>
      </c>
      <c r="G1757" t="s" s="2">
        <v>3444</v>
      </c>
      <c r="H1757" s="5">
        <v>376</v>
      </c>
      <c r="I1757" t="s" s="2">
        <v>1991</v>
      </c>
      <c r="J1757" t="s" s="2">
        <v>22</v>
      </c>
      <c r="K1757" t="s" s="2">
        <v>3456</v>
      </c>
      <c r="L1757" t="s" s="2">
        <v>1345</v>
      </c>
      <c r="M1757" s="5">
        <v>687280.1800000001</v>
      </c>
      <c r="N1757" s="5">
        <v>6061028.28</v>
      </c>
      <c r="O1757" t="s" s="2">
        <v>305</v>
      </c>
      <c r="P1757" s="5">
        <v>2123017</v>
      </c>
      <c r="Q1757" t="s" s="2">
        <v>3446</v>
      </c>
      <c r="R1757" t="s" s="2">
        <f>_xlfn.IFERROR(INDEX('model_byCAP'!$D$2:$D$377,MATCH(Q1757,'model_byCAP'!$A$2:$A$377,0)),0)</f>
        <v>3447</v>
      </c>
    </row>
    <row r="1758" ht="15.35" customHeight="1">
      <c r="A1758" t="s" s="2">
        <v>3458</v>
      </c>
      <c r="B1758" s="4">
        <v>37977</v>
      </c>
      <c r="C1758" s="5">
        <v>900</v>
      </c>
      <c r="D1758" s="5">
        <v>52</v>
      </c>
      <c r="E1758" s="5">
        <v>49</v>
      </c>
      <c r="F1758" t="s" s="2">
        <v>1746</v>
      </c>
      <c r="G1758" t="s" s="2">
        <v>3444</v>
      </c>
      <c r="H1758" s="5">
        <v>376</v>
      </c>
      <c r="I1758" t="s" s="2">
        <v>1991</v>
      </c>
      <c r="J1758" t="s" s="2">
        <v>22</v>
      </c>
      <c r="K1758" t="s" s="2">
        <v>3459</v>
      </c>
      <c r="L1758" t="s" s="2">
        <v>3460</v>
      </c>
      <c r="M1758" s="5">
        <v>687342.14</v>
      </c>
      <c r="N1758" s="5">
        <v>6060786.18</v>
      </c>
      <c r="O1758" t="s" s="2">
        <v>305</v>
      </c>
      <c r="P1758" s="5">
        <v>2123019</v>
      </c>
      <c r="Q1758" t="s" s="2">
        <v>3446</v>
      </c>
      <c r="R1758" t="s" s="2">
        <f>_xlfn.IFERROR(INDEX('model_byCAP'!$D$2:$D$377,MATCH(Q1758,'model_byCAP'!$A$2:$A$377,0)),0)</f>
        <v>3447</v>
      </c>
    </row>
    <row r="1759" ht="15.35" customHeight="1">
      <c r="A1759" t="s" s="2">
        <v>3461</v>
      </c>
      <c r="B1759" s="4">
        <v>37595</v>
      </c>
      <c r="C1759" s="5">
        <v>900</v>
      </c>
      <c r="D1759" s="5">
        <v>52</v>
      </c>
      <c r="E1759" s="5">
        <v>49</v>
      </c>
      <c r="F1759" t="s" s="2">
        <v>1746</v>
      </c>
      <c r="G1759" t="s" s="2">
        <v>3444</v>
      </c>
      <c r="H1759" s="5">
        <v>400</v>
      </c>
      <c r="I1759" t="s" s="2">
        <v>2068</v>
      </c>
      <c r="J1759" t="s" s="2">
        <v>22</v>
      </c>
      <c r="K1759" t="s" s="2">
        <v>3462</v>
      </c>
      <c r="L1759" t="s" s="2">
        <v>431</v>
      </c>
      <c r="M1759" s="5">
        <v>886442.88</v>
      </c>
      <c r="N1759" s="5">
        <v>6117707.47</v>
      </c>
      <c r="O1759" t="s" s="2">
        <v>305</v>
      </c>
      <c r="P1759" t="s" s="2">
        <v>3463</v>
      </c>
      <c r="Q1759" t="s" s="2">
        <v>3446</v>
      </c>
      <c r="R1759" t="s" s="2">
        <f>_xlfn.IFERROR(INDEX('model_byCAP'!$D$2:$D$377,MATCH(Q1759,'model_byCAP'!$A$2:$A$377,0)),0)</f>
        <v>3447</v>
      </c>
    </row>
    <row r="1760" ht="15.35" customHeight="1">
      <c r="A1760" t="s" s="2">
        <v>3464</v>
      </c>
      <c r="B1760" s="4">
        <v>37595</v>
      </c>
      <c r="C1760" s="5">
        <v>900</v>
      </c>
      <c r="D1760" s="5">
        <v>52</v>
      </c>
      <c r="E1760" s="5">
        <v>49</v>
      </c>
      <c r="F1760" t="s" s="2">
        <v>1746</v>
      </c>
      <c r="G1760" t="s" s="2">
        <v>3444</v>
      </c>
      <c r="H1760" s="5">
        <v>400</v>
      </c>
      <c r="I1760" t="s" s="2">
        <v>2068</v>
      </c>
      <c r="J1760" t="s" s="2">
        <v>22</v>
      </c>
      <c r="K1760" t="s" s="2">
        <v>3462</v>
      </c>
      <c r="L1760" t="s" s="2">
        <v>3414</v>
      </c>
      <c r="M1760" s="5">
        <v>886239.5600000001</v>
      </c>
      <c r="N1760" s="5">
        <v>6117662.74</v>
      </c>
      <c r="O1760" t="s" s="2">
        <v>305</v>
      </c>
      <c r="P1760" t="s" s="2">
        <v>3465</v>
      </c>
      <c r="Q1760" t="s" s="2">
        <v>3446</v>
      </c>
      <c r="R1760" t="s" s="2">
        <f>_xlfn.IFERROR(INDEX('model_byCAP'!$D$2:$D$377,MATCH(Q1760,'model_byCAP'!$A$2:$A$377,0)),0)</f>
        <v>3447</v>
      </c>
    </row>
    <row r="1761" ht="15.35" customHeight="1">
      <c r="A1761" t="s" s="2">
        <v>3466</v>
      </c>
      <c r="B1761" s="4">
        <v>37595</v>
      </c>
      <c r="C1761" s="5">
        <v>900</v>
      </c>
      <c r="D1761" s="5">
        <v>52</v>
      </c>
      <c r="E1761" s="5">
        <v>49</v>
      </c>
      <c r="F1761" t="s" s="2">
        <v>1746</v>
      </c>
      <c r="G1761" t="s" s="2">
        <v>3444</v>
      </c>
      <c r="H1761" s="5">
        <v>400</v>
      </c>
      <c r="I1761" t="s" s="2">
        <v>2068</v>
      </c>
      <c r="J1761" t="s" s="2">
        <v>22</v>
      </c>
      <c r="K1761" t="s" s="2">
        <v>3462</v>
      </c>
      <c r="L1761" t="s" s="2">
        <v>431</v>
      </c>
      <c r="M1761" s="5">
        <v>886036.75</v>
      </c>
      <c r="N1761" s="5">
        <v>6117618.47</v>
      </c>
      <c r="O1761" t="s" s="2">
        <v>305</v>
      </c>
      <c r="P1761" t="s" s="2">
        <v>3467</v>
      </c>
      <c r="Q1761" t="s" s="2">
        <v>3446</v>
      </c>
      <c r="R1761" t="s" s="2">
        <f>_xlfn.IFERROR(INDEX('model_byCAP'!$D$2:$D$377,MATCH(Q1761,'model_byCAP'!$A$2:$A$377,0)),0)</f>
        <v>3447</v>
      </c>
    </row>
    <row r="1762" ht="15.35" customHeight="1">
      <c r="A1762" t="s" s="2">
        <v>3468</v>
      </c>
      <c r="B1762" s="4">
        <v>37613</v>
      </c>
      <c r="C1762" s="5">
        <v>900</v>
      </c>
      <c r="D1762" s="5">
        <v>52</v>
      </c>
      <c r="E1762" s="5">
        <v>49</v>
      </c>
      <c r="F1762" t="s" s="2">
        <v>1746</v>
      </c>
      <c r="G1762" t="s" s="2">
        <v>3469</v>
      </c>
      <c r="H1762" s="5">
        <v>430</v>
      </c>
      <c r="I1762" t="s" s="2">
        <v>3470</v>
      </c>
      <c r="J1762" t="s" s="2">
        <v>22</v>
      </c>
      <c r="K1762" t="s" s="2">
        <v>3471</v>
      </c>
      <c r="L1762" t="s" s="2">
        <v>3472</v>
      </c>
      <c r="M1762" s="5">
        <v>588473.8100000001</v>
      </c>
      <c r="N1762" s="5">
        <v>6125118.39</v>
      </c>
      <c r="O1762" t="s" s="2">
        <v>305</v>
      </c>
      <c r="P1762" s="5">
        <v>127497</v>
      </c>
      <c r="Q1762" t="s" s="2">
        <v>3473</v>
      </c>
      <c r="R1762" t="s" s="2">
        <f>_xlfn.IFERROR(INDEX('model_byCAP'!$D$2:$D$377,MATCH(Q1762,'model_byCAP'!$A$2:$A$377,0)),0)</f>
        <v>3447</v>
      </c>
    </row>
    <row r="1763" ht="15.35" customHeight="1">
      <c r="A1763" t="s" s="2">
        <v>3474</v>
      </c>
      <c r="B1763" s="4">
        <v>37025</v>
      </c>
      <c r="C1763" s="5">
        <v>900</v>
      </c>
      <c r="D1763" s="5">
        <v>52</v>
      </c>
      <c r="E1763" s="5">
        <v>44</v>
      </c>
      <c r="F1763" t="s" s="2">
        <v>1746</v>
      </c>
      <c r="G1763" t="s" s="2">
        <v>3444</v>
      </c>
      <c r="H1763" s="5">
        <v>461</v>
      </c>
      <c r="I1763" t="s" s="2">
        <v>3475</v>
      </c>
      <c r="J1763" t="s" s="2">
        <v>22</v>
      </c>
      <c r="K1763" t="s" s="2">
        <v>3476</v>
      </c>
      <c r="L1763" t="s" s="2">
        <v>1055</v>
      </c>
      <c r="M1763" s="5">
        <v>579899.66</v>
      </c>
      <c r="N1763" s="5">
        <v>6135498.54</v>
      </c>
      <c r="O1763" t="s" s="2">
        <v>305</v>
      </c>
      <c r="P1763" s="5">
        <v>99251</v>
      </c>
      <c r="Q1763" t="s" s="2">
        <v>3446</v>
      </c>
      <c r="R1763" t="s" s="2">
        <f>_xlfn.IFERROR(INDEX('model_byCAP'!$D$2:$D$377,MATCH(Q1763,'model_byCAP'!$A$2:$A$377,0)),0)</f>
        <v>3447</v>
      </c>
    </row>
    <row r="1764" ht="15.35" customHeight="1">
      <c r="A1764" t="s" s="2">
        <v>3477</v>
      </c>
      <c r="B1764" s="4">
        <v>37025</v>
      </c>
      <c r="C1764" s="5">
        <v>900</v>
      </c>
      <c r="D1764" s="5">
        <v>52</v>
      </c>
      <c r="E1764" s="5">
        <v>44</v>
      </c>
      <c r="F1764" t="s" s="2">
        <v>1746</v>
      </c>
      <c r="G1764" t="s" s="2">
        <v>3444</v>
      </c>
      <c r="H1764" s="5">
        <v>461</v>
      </c>
      <c r="I1764" t="s" s="2">
        <v>3475</v>
      </c>
      <c r="J1764" t="s" s="2">
        <v>22</v>
      </c>
      <c r="K1764" t="s" s="2">
        <v>3478</v>
      </c>
      <c r="L1764" t="s" s="2">
        <v>3479</v>
      </c>
      <c r="M1764" s="5">
        <v>580064.4</v>
      </c>
      <c r="N1764" s="5">
        <v>6135562.94</v>
      </c>
      <c r="O1764" t="s" s="2">
        <v>305</v>
      </c>
      <c r="P1764" s="5">
        <v>99650</v>
      </c>
      <c r="Q1764" t="s" s="2">
        <v>3446</v>
      </c>
      <c r="R1764" t="s" s="2">
        <f>_xlfn.IFERROR(INDEX('model_byCAP'!$D$2:$D$377,MATCH(Q1764,'model_byCAP'!$A$2:$A$377,0)),0)</f>
        <v>3447</v>
      </c>
    </row>
    <row r="1765" ht="15.35" customHeight="1">
      <c r="A1765" t="s" s="2">
        <v>3480</v>
      </c>
      <c r="B1765" s="4">
        <v>37025</v>
      </c>
      <c r="C1765" s="5">
        <v>900</v>
      </c>
      <c r="D1765" s="5">
        <v>52</v>
      </c>
      <c r="E1765" s="5">
        <v>44</v>
      </c>
      <c r="F1765" t="s" s="2">
        <v>1746</v>
      </c>
      <c r="G1765" t="s" s="2">
        <v>3444</v>
      </c>
      <c r="H1765" s="5">
        <v>461</v>
      </c>
      <c r="I1765" t="s" s="2">
        <v>3475</v>
      </c>
      <c r="J1765" t="s" s="2">
        <v>22</v>
      </c>
      <c r="K1765" t="s" s="2">
        <v>3478</v>
      </c>
      <c r="L1765" t="s" s="2">
        <v>3479</v>
      </c>
      <c r="M1765" s="5">
        <v>579991.5600000001</v>
      </c>
      <c r="N1765" s="5">
        <v>6135698.55</v>
      </c>
      <c r="O1765" t="s" s="2">
        <v>305</v>
      </c>
      <c r="P1765" s="5">
        <v>99651</v>
      </c>
      <c r="Q1765" t="s" s="2">
        <v>3446</v>
      </c>
      <c r="R1765" t="s" s="2">
        <f>_xlfn.IFERROR(INDEX('model_byCAP'!$D$2:$D$377,MATCH(Q1765,'model_byCAP'!$A$2:$A$377,0)),0)</f>
        <v>3447</v>
      </c>
    </row>
    <row r="1766" ht="15.35" customHeight="1">
      <c r="A1766" t="s" s="2">
        <v>3481</v>
      </c>
      <c r="B1766" s="4">
        <v>37435</v>
      </c>
      <c r="C1766" s="5">
        <v>900</v>
      </c>
      <c r="D1766" s="5">
        <v>52</v>
      </c>
      <c r="E1766" s="5">
        <v>44</v>
      </c>
      <c r="F1766" t="s" s="2">
        <v>1746</v>
      </c>
      <c r="G1766" t="s" s="2">
        <v>3444</v>
      </c>
      <c r="H1766" s="5">
        <v>461</v>
      </c>
      <c r="I1766" t="s" s="2">
        <v>3475</v>
      </c>
      <c r="J1766" t="s" s="2">
        <v>22</v>
      </c>
      <c r="K1766" t="s" s="2">
        <v>3482</v>
      </c>
      <c r="L1766" t="s" s="2">
        <v>1276</v>
      </c>
      <c r="M1766" s="5">
        <v>587713.13</v>
      </c>
      <c r="N1766" s="5">
        <v>6132619.71</v>
      </c>
      <c r="O1766" t="s" s="2">
        <v>305</v>
      </c>
      <c r="P1766" s="5">
        <v>112283</v>
      </c>
      <c r="Q1766" t="s" s="2">
        <v>3446</v>
      </c>
      <c r="R1766" t="s" s="2">
        <f>_xlfn.IFERROR(INDEX('model_byCAP'!$D$2:$D$377,MATCH(Q1766,'model_byCAP'!$A$2:$A$377,0)),0)</f>
        <v>3447</v>
      </c>
    </row>
    <row r="1767" ht="15.35" customHeight="1">
      <c r="A1767" t="s" s="2">
        <v>3483</v>
      </c>
      <c r="B1767" s="4">
        <v>37435</v>
      </c>
      <c r="C1767" s="5">
        <v>900</v>
      </c>
      <c r="D1767" s="5">
        <v>52</v>
      </c>
      <c r="E1767" s="5">
        <v>44</v>
      </c>
      <c r="F1767" t="s" s="2">
        <v>1746</v>
      </c>
      <c r="G1767" t="s" s="2">
        <v>3444</v>
      </c>
      <c r="H1767" s="5">
        <v>461</v>
      </c>
      <c r="I1767" t="s" s="2">
        <v>3475</v>
      </c>
      <c r="J1767" t="s" s="2">
        <v>22</v>
      </c>
      <c r="K1767" t="s" s="2">
        <v>3482</v>
      </c>
      <c r="L1767" t="s" s="2">
        <v>1276</v>
      </c>
      <c r="M1767" s="5">
        <v>587684</v>
      </c>
      <c r="N1767" s="5">
        <v>6132777.64</v>
      </c>
      <c r="O1767" t="s" s="2">
        <v>305</v>
      </c>
      <c r="P1767" s="5">
        <v>112284</v>
      </c>
      <c r="Q1767" t="s" s="2">
        <v>3446</v>
      </c>
      <c r="R1767" t="s" s="2">
        <f>_xlfn.IFERROR(INDEX('model_byCAP'!$D$2:$D$377,MATCH(Q1767,'model_byCAP'!$A$2:$A$377,0)),0)</f>
        <v>3447</v>
      </c>
    </row>
    <row r="1768" ht="15.35" customHeight="1">
      <c r="A1768" t="s" s="2">
        <v>3484</v>
      </c>
      <c r="B1768" s="4">
        <v>36875</v>
      </c>
      <c r="C1768" s="5">
        <v>900</v>
      </c>
      <c r="D1768" s="5">
        <v>52</v>
      </c>
      <c r="E1768" s="5">
        <v>49</v>
      </c>
      <c r="F1768" t="s" s="2">
        <v>1746</v>
      </c>
      <c r="G1768" t="s" s="2">
        <v>3485</v>
      </c>
      <c r="H1768" s="5">
        <v>479</v>
      </c>
      <c r="I1768" t="s" s="2">
        <v>2082</v>
      </c>
      <c r="J1768" t="s" s="2">
        <v>22</v>
      </c>
      <c r="K1768" t="s" s="2">
        <v>3486</v>
      </c>
      <c r="L1768" t="s" s="2">
        <v>2809</v>
      </c>
      <c r="M1768" s="5">
        <v>607434.02</v>
      </c>
      <c r="N1768" s="5">
        <v>6114605.11</v>
      </c>
      <c r="O1768" t="s" s="2">
        <v>305</v>
      </c>
      <c r="P1768" s="5">
        <v>99244</v>
      </c>
      <c r="Q1768" t="s" s="2">
        <v>3487</v>
      </c>
      <c r="R1768" t="s" s="2">
        <f>_xlfn.IFERROR(INDEX('model_byCAP'!$D$2:$D$377,MATCH(Q1768,'model_byCAP'!$A$2:$A$377,0)),0)</f>
        <v>3447</v>
      </c>
    </row>
    <row r="1769" ht="15.35" customHeight="1">
      <c r="A1769" t="s" s="2">
        <v>3488</v>
      </c>
      <c r="B1769" s="4">
        <v>36881</v>
      </c>
      <c r="C1769" s="5">
        <v>900</v>
      </c>
      <c r="D1769" s="5">
        <v>52</v>
      </c>
      <c r="E1769" s="5">
        <v>49</v>
      </c>
      <c r="F1769" t="s" s="2">
        <v>1746</v>
      </c>
      <c r="G1769" t="s" s="2">
        <v>3444</v>
      </c>
      <c r="H1769" s="5">
        <v>479</v>
      </c>
      <c r="I1769" t="s" s="2">
        <v>2082</v>
      </c>
      <c r="J1769" t="s" s="2">
        <v>22</v>
      </c>
      <c r="K1769" t="s" s="2">
        <v>3489</v>
      </c>
      <c r="L1769" t="s" s="2">
        <v>1611</v>
      </c>
      <c r="M1769" s="5">
        <v>605984.4</v>
      </c>
      <c r="N1769" s="5">
        <v>6112043.85</v>
      </c>
      <c r="O1769" t="s" s="2">
        <v>305</v>
      </c>
      <c r="P1769" s="5">
        <v>99245</v>
      </c>
      <c r="Q1769" t="s" s="2">
        <v>3446</v>
      </c>
      <c r="R1769" t="s" s="2">
        <f>_xlfn.IFERROR(INDEX('model_byCAP'!$D$2:$D$377,MATCH(Q1769,'model_byCAP'!$A$2:$A$377,0)),0)</f>
        <v>3447</v>
      </c>
    </row>
    <row r="1770" ht="15.35" customHeight="1">
      <c r="A1770" t="s" s="2">
        <v>3490</v>
      </c>
      <c r="B1770" s="4">
        <v>36881</v>
      </c>
      <c r="C1770" s="5">
        <v>900</v>
      </c>
      <c r="D1770" s="5">
        <v>52</v>
      </c>
      <c r="E1770" s="5">
        <v>49</v>
      </c>
      <c r="F1770" t="s" s="2">
        <v>1746</v>
      </c>
      <c r="G1770" t="s" s="2">
        <v>3444</v>
      </c>
      <c r="H1770" s="5">
        <v>479</v>
      </c>
      <c r="I1770" t="s" s="2">
        <v>2082</v>
      </c>
      <c r="J1770" t="s" s="2">
        <v>22</v>
      </c>
      <c r="K1770" t="s" s="2">
        <v>3489</v>
      </c>
      <c r="L1770" t="s" s="2">
        <v>492</v>
      </c>
      <c r="M1770" s="5">
        <v>606149.4399999999</v>
      </c>
      <c r="N1770" s="5">
        <v>6112137.78</v>
      </c>
      <c r="O1770" t="s" s="2">
        <v>305</v>
      </c>
      <c r="P1770" s="5">
        <v>99245</v>
      </c>
      <c r="Q1770" t="s" s="2">
        <v>3446</v>
      </c>
      <c r="R1770" t="s" s="2">
        <f>_xlfn.IFERROR(INDEX('model_byCAP'!$D$2:$D$377,MATCH(Q1770,'model_byCAP'!$A$2:$A$377,0)),0)</f>
        <v>3447</v>
      </c>
    </row>
    <row r="1771" ht="15.35" customHeight="1">
      <c r="A1771" t="s" s="2">
        <v>3491</v>
      </c>
      <c r="B1771" s="4">
        <v>36871</v>
      </c>
      <c r="C1771" s="5">
        <v>900</v>
      </c>
      <c r="D1771" s="5">
        <v>52</v>
      </c>
      <c r="E1771" s="5">
        <v>49</v>
      </c>
      <c r="F1771" t="s" s="2">
        <v>1746</v>
      </c>
      <c r="G1771" t="s" s="2">
        <v>3444</v>
      </c>
      <c r="H1771" s="5">
        <v>479</v>
      </c>
      <c r="I1771" t="s" s="2">
        <v>2082</v>
      </c>
      <c r="J1771" t="s" s="2">
        <v>22</v>
      </c>
      <c r="K1771" t="s" s="2">
        <v>3492</v>
      </c>
      <c r="L1771" t="s" s="2">
        <v>2809</v>
      </c>
      <c r="M1771" s="5">
        <v>607452.11</v>
      </c>
      <c r="N1771" s="5">
        <v>6114427.07</v>
      </c>
      <c r="O1771" t="s" s="2">
        <v>305</v>
      </c>
      <c r="P1771" s="5">
        <v>99255</v>
      </c>
      <c r="Q1771" t="s" s="2">
        <v>3446</v>
      </c>
      <c r="R1771" t="s" s="2">
        <f>_xlfn.IFERROR(INDEX('model_byCAP'!$D$2:$D$377,MATCH(Q1771,'model_byCAP'!$A$2:$A$377,0)),0)</f>
        <v>3447</v>
      </c>
    </row>
    <row r="1772" ht="15.35" customHeight="1">
      <c r="A1772" t="s" s="2">
        <v>3493</v>
      </c>
      <c r="B1772" s="4">
        <v>36871</v>
      </c>
      <c r="C1772" s="5">
        <v>900</v>
      </c>
      <c r="D1772" s="5">
        <v>47</v>
      </c>
      <c r="E1772" s="5">
        <v>50</v>
      </c>
      <c r="F1772" t="s" s="2">
        <v>1746</v>
      </c>
      <c r="G1772" t="s" s="2">
        <v>3444</v>
      </c>
      <c r="H1772" s="5">
        <v>479</v>
      </c>
      <c r="I1772" t="s" s="2">
        <v>2082</v>
      </c>
      <c r="J1772" t="s" s="2">
        <v>22</v>
      </c>
      <c r="K1772" t="s" s="2">
        <v>3494</v>
      </c>
      <c r="L1772" t="s" s="2">
        <v>3495</v>
      </c>
      <c r="M1772" s="5">
        <v>607467.28</v>
      </c>
      <c r="N1772" s="5">
        <v>6114247.14</v>
      </c>
      <c r="O1772" t="s" s="2">
        <v>305</v>
      </c>
      <c r="P1772" s="5">
        <v>99256</v>
      </c>
      <c r="Q1772" t="s" s="2">
        <v>3446</v>
      </c>
      <c r="R1772" t="s" s="2">
        <f>_xlfn.IFERROR(INDEX('model_byCAP'!$D$2:$D$377,MATCH(Q1772,'model_byCAP'!$A$2:$A$377,0)),0)</f>
        <v>3447</v>
      </c>
    </row>
    <row r="1773" ht="15.35" customHeight="1">
      <c r="A1773" t="s" s="2">
        <v>3496</v>
      </c>
      <c r="B1773" s="4">
        <v>37610</v>
      </c>
      <c r="C1773" s="5">
        <v>900</v>
      </c>
      <c r="D1773" s="5">
        <v>52</v>
      </c>
      <c r="E1773" s="5">
        <v>49</v>
      </c>
      <c r="F1773" t="s" s="2">
        <v>1746</v>
      </c>
      <c r="G1773" t="s" s="2">
        <v>3444</v>
      </c>
      <c r="H1773" s="5">
        <v>479</v>
      </c>
      <c r="I1773" t="s" s="2">
        <v>2082</v>
      </c>
      <c r="J1773" t="s" s="2">
        <v>22</v>
      </c>
      <c r="K1773" t="s" s="2">
        <v>3497</v>
      </c>
      <c r="L1773" t="s" s="2">
        <v>481</v>
      </c>
      <c r="M1773" s="5">
        <v>607305.65</v>
      </c>
      <c r="N1773" s="5">
        <v>6107644.25</v>
      </c>
      <c r="O1773" t="s" s="2">
        <v>305</v>
      </c>
      <c r="P1773" s="5">
        <v>50742</v>
      </c>
      <c r="Q1773" t="s" s="2">
        <v>3446</v>
      </c>
      <c r="R1773" t="s" s="2">
        <f>_xlfn.IFERROR(INDEX('model_byCAP'!$D$2:$D$377,MATCH(Q1773,'model_byCAP'!$A$2:$A$377,0)),0)</f>
        <v>3447</v>
      </c>
    </row>
    <row r="1774" ht="15.35" customHeight="1">
      <c r="A1774" t="s" s="2">
        <v>3498</v>
      </c>
      <c r="B1774" s="4">
        <v>37610</v>
      </c>
      <c r="C1774" s="5">
        <v>900</v>
      </c>
      <c r="D1774" s="5">
        <v>52</v>
      </c>
      <c r="E1774" s="5">
        <v>49</v>
      </c>
      <c r="F1774" t="s" s="2">
        <v>1746</v>
      </c>
      <c r="G1774" t="s" s="2">
        <v>3444</v>
      </c>
      <c r="H1774" s="5">
        <v>479</v>
      </c>
      <c r="I1774" t="s" s="2">
        <v>2082</v>
      </c>
      <c r="J1774" t="s" s="2">
        <v>22</v>
      </c>
      <c r="K1774" t="s" s="2">
        <v>3497</v>
      </c>
      <c r="L1774" t="s" s="2">
        <v>481</v>
      </c>
      <c r="M1774" s="5">
        <v>607572.86</v>
      </c>
      <c r="N1774" s="5">
        <v>6107726.53</v>
      </c>
      <c r="O1774" t="s" s="2">
        <v>305</v>
      </c>
      <c r="P1774" s="5">
        <v>50743</v>
      </c>
      <c r="Q1774" t="s" s="2">
        <v>3446</v>
      </c>
      <c r="R1774" t="s" s="2">
        <f>_xlfn.IFERROR(INDEX('model_byCAP'!$D$2:$D$377,MATCH(Q1774,'model_byCAP'!$A$2:$A$377,0)),0)</f>
        <v>3447</v>
      </c>
    </row>
    <row r="1775" ht="15.35" customHeight="1">
      <c r="A1775" t="s" s="2">
        <v>3499</v>
      </c>
      <c r="B1775" s="4">
        <v>37610</v>
      </c>
      <c r="C1775" s="5">
        <v>900</v>
      </c>
      <c r="D1775" s="5">
        <v>52</v>
      </c>
      <c r="E1775" s="5">
        <v>49</v>
      </c>
      <c r="F1775" t="s" s="2">
        <v>1746</v>
      </c>
      <c r="G1775" t="s" s="2">
        <v>3444</v>
      </c>
      <c r="H1775" s="5">
        <v>479</v>
      </c>
      <c r="I1775" t="s" s="2">
        <v>2082</v>
      </c>
      <c r="J1775" t="s" s="2">
        <v>22</v>
      </c>
      <c r="K1775" t="s" s="2">
        <v>3497</v>
      </c>
      <c r="L1775" t="s" s="2">
        <v>1105</v>
      </c>
      <c r="M1775" s="5">
        <v>607840.11</v>
      </c>
      <c r="N1775" s="5">
        <v>6107809.01</v>
      </c>
      <c r="O1775" t="s" s="2">
        <v>305</v>
      </c>
      <c r="P1775" s="5">
        <v>50744</v>
      </c>
      <c r="Q1775" t="s" s="2">
        <v>3446</v>
      </c>
      <c r="R1775" t="s" s="2">
        <f>_xlfn.IFERROR(INDEX('model_byCAP'!$D$2:$D$377,MATCH(Q1775,'model_byCAP'!$A$2:$A$377,0)),0)</f>
        <v>3447</v>
      </c>
    </row>
    <row r="1776" ht="15.35" customHeight="1">
      <c r="A1776" t="s" s="2">
        <v>3500</v>
      </c>
      <c r="B1776" s="4">
        <v>37610</v>
      </c>
      <c r="C1776" s="5">
        <v>900</v>
      </c>
      <c r="D1776" s="5">
        <v>52</v>
      </c>
      <c r="E1776" s="5">
        <v>54</v>
      </c>
      <c r="F1776" t="s" s="2">
        <v>1746</v>
      </c>
      <c r="G1776" t="s" s="2">
        <v>3444</v>
      </c>
      <c r="H1776" s="5">
        <v>479</v>
      </c>
      <c r="I1776" t="s" s="2">
        <v>2082</v>
      </c>
      <c r="J1776" t="s" s="2">
        <v>22</v>
      </c>
      <c r="K1776" t="s" s="2">
        <v>3501</v>
      </c>
      <c r="L1776" t="s" s="2">
        <v>524</v>
      </c>
      <c r="M1776" s="5">
        <v>594422.16</v>
      </c>
      <c r="N1776" s="5">
        <v>6110946.09</v>
      </c>
      <c r="O1776" t="s" s="2">
        <v>305</v>
      </c>
      <c r="P1776" s="5">
        <v>50748</v>
      </c>
      <c r="Q1776" t="s" s="2">
        <v>3446</v>
      </c>
      <c r="R1776" t="s" s="2">
        <f>_xlfn.IFERROR(INDEX('model_byCAP'!$D$2:$D$377,MATCH(Q1776,'model_byCAP'!$A$2:$A$377,0)),0)</f>
        <v>3447</v>
      </c>
    </row>
    <row r="1777" ht="15.35" customHeight="1">
      <c r="A1777" t="s" s="2">
        <v>3502</v>
      </c>
      <c r="B1777" s="4">
        <v>37610</v>
      </c>
      <c r="C1777" s="5">
        <v>900</v>
      </c>
      <c r="D1777" s="5">
        <v>52</v>
      </c>
      <c r="E1777" s="5">
        <v>54</v>
      </c>
      <c r="F1777" t="s" s="2">
        <v>1746</v>
      </c>
      <c r="G1777" t="s" s="2">
        <v>3444</v>
      </c>
      <c r="H1777" s="5">
        <v>479</v>
      </c>
      <c r="I1777" t="s" s="2">
        <v>2082</v>
      </c>
      <c r="J1777" t="s" s="2">
        <v>22</v>
      </c>
      <c r="K1777" t="s" s="2">
        <v>3501</v>
      </c>
      <c r="L1777" t="s" s="2">
        <v>524</v>
      </c>
      <c r="M1777" s="5">
        <v>594539.1800000001</v>
      </c>
      <c r="N1777" s="5">
        <v>6110719.23</v>
      </c>
      <c r="O1777" t="s" s="2">
        <v>305</v>
      </c>
      <c r="P1777" s="5">
        <v>50749</v>
      </c>
      <c r="Q1777" t="s" s="2">
        <v>3446</v>
      </c>
      <c r="R1777" t="s" s="2">
        <f>_xlfn.IFERROR(INDEX('model_byCAP'!$D$2:$D$377,MATCH(Q1777,'model_byCAP'!$A$2:$A$377,0)),0)</f>
        <v>3447</v>
      </c>
    </row>
    <row r="1778" ht="15.35" customHeight="1">
      <c r="A1778" t="s" s="2">
        <v>3503</v>
      </c>
      <c r="B1778" s="4">
        <v>37610</v>
      </c>
      <c r="C1778" s="5">
        <v>900</v>
      </c>
      <c r="D1778" s="5">
        <v>52</v>
      </c>
      <c r="E1778" s="5">
        <v>54</v>
      </c>
      <c r="F1778" t="s" s="2">
        <v>1746</v>
      </c>
      <c r="G1778" t="s" s="2">
        <v>3444</v>
      </c>
      <c r="H1778" s="5">
        <v>479</v>
      </c>
      <c r="I1778" t="s" s="2">
        <v>2082</v>
      </c>
      <c r="J1778" t="s" s="2">
        <v>22</v>
      </c>
      <c r="K1778" t="s" s="2">
        <v>3501</v>
      </c>
      <c r="L1778" s="5">
        <v>4</v>
      </c>
      <c r="M1778" s="5">
        <v>594284.99</v>
      </c>
      <c r="N1778" s="5">
        <v>6110730.01</v>
      </c>
      <c r="O1778" t="s" s="2">
        <v>305</v>
      </c>
      <c r="P1778" s="5">
        <v>50750</v>
      </c>
      <c r="Q1778" t="s" s="2">
        <v>3446</v>
      </c>
      <c r="R1778" t="s" s="2">
        <f>_xlfn.IFERROR(INDEX('model_byCAP'!$D$2:$D$377,MATCH(Q1778,'model_byCAP'!$A$2:$A$377,0)),0)</f>
        <v>3447</v>
      </c>
    </row>
    <row r="1779" ht="15.35" customHeight="1">
      <c r="A1779" t="s" s="2">
        <v>3504</v>
      </c>
      <c r="B1779" s="4">
        <v>43089</v>
      </c>
      <c r="C1779" s="5">
        <v>900</v>
      </c>
      <c r="D1779" s="5">
        <v>61</v>
      </c>
      <c r="E1779" s="5">
        <v>46</v>
      </c>
      <c r="F1779" t="s" s="2">
        <v>3505</v>
      </c>
      <c r="G1779" t="s" s="2">
        <v>3506</v>
      </c>
      <c r="H1779" s="5">
        <v>479</v>
      </c>
      <c r="I1779" t="s" s="2">
        <v>2082</v>
      </c>
      <c r="J1779" t="s" s="2">
        <v>22</v>
      </c>
      <c r="K1779" t="s" s="2">
        <v>3507</v>
      </c>
      <c r="L1779" t="s" s="2">
        <v>937</v>
      </c>
      <c r="M1779" s="5">
        <v>597836.5600000001</v>
      </c>
      <c r="N1779" s="5">
        <v>6093430.59</v>
      </c>
      <c r="O1779" t="s" s="2">
        <v>305</v>
      </c>
      <c r="P1779" s="5">
        <v>803594</v>
      </c>
      <c r="Q1779" t="s" s="2">
        <v>3508</v>
      </c>
      <c r="R1779" t="s" s="2">
        <f>_xlfn.IFERROR(INDEX('model_byCAP'!$D$2:$D$377,MATCH(Q1779,'model_byCAP'!$A$2:$A$377,0)),0)</f>
        <v>3509</v>
      </c>
    </row>
    <row r="1780" ht="15.35" customHeight="1">
      <c r="A1780" t="s" s="2">
        <v>3510</v>
      </c>
      <c r="B1780" s="4">
        <v>43104</v>
      </c>
      <c r="C1780" s="5">
        <v>900</v>
      </c>
      <c r="D1780" s="5">
        <v>61</v>
      </c>
      <c r="E1780" s="5">
        <v>46</v>
      </c>
      <c r="F1780" t="s" s="2">
        <v>3505</v>
      </c>
      <c r="G1780" t="s" s="2">
        <v>3506</v>
      </c>
      <c r="H1780" s="5">
        <v>479</v>
      </c>
      <c r="I1780" t="s" s="2">
        <v>2082</v>
      </c>
      <c r="J1780" t="s" s="2">
        <v>22</v>
      </c>
      <c r="K1780" t="s" s="2">
        <v>3511</v>
      </c>
      <c r="L1780" t="s" s="2">
        <v>1419</v>
      </c>
      <c r="M1780" s="5">
        <v>597830.05</v>
      </c>
      <c r="N1780" s="5">
        <v>6093580.12</v>
      </c>
      <c r="O1780" t="s" s="2">
        <v>305</v>
      </c>
      <c r="P1780" s="5">
        <v>35637</v>
      </c>
      <c r="Q1780" t="s" s="2">
        <v>3508</v>
      </c>
      <c r="R1780" t="s" s="2">
        <f>_xlfn.IFERROR(INDEX('model_byCAP'!$D$2:$D$377,MATCH(Q1780,'model_byCAP'!$A$2:$A$377,0)),0)</f>
        <v>3509</v>
      </c>
    </row>
    <row r="1781" ht="15.35" customHeight="1">
      <c r="A1781" t="s" s="2">
        <v>3512</v>
      </c>
      <c r="B1781" s="4">
        <v>37224</v>
      </c>
      <c r="C1781" s="5">
        <v>900</v>
      </c>
      <c r="D1781" s="5">
        <v>52.2</v>
      </c>
      <c r="E1781" s="5">
        <v>44</v>
      </c>
      <c r="F1781" t="s" s="2">
        <v>1746</v>
      </c>
      <c r="G1781" t="s" s="2">
        <v>3444</v>
      </c>
      <c r="H1781" s="5">
        <v>482</v>
      </c>
      <c r="I1781" t="s" s="2">
        <v>1523</v>
      </c>
      <c r="J1781" t="s" s="2">
        <v>22</v>
      </c>
      <c r="K1781" t="s" s="2">
        <v>3513</v>
      </c>
      <c r="L1781" t="s" s="2">
        <v>2872</v>
      </c>
      <c r="M1781" s="5">
        <v>610747.24</v>
      </c>
      <c r="N1781" s="5">
        <v>6069248.73</v>
      </c>
      <c r="O1781" t="s" s="2">
        <v>305</v>
      </c>
      <c r="P1781" s="5">
        <v>23456119</v>
      </c>
      <c r="Q1781" t="s" s="2">
        <v>3446</v>
      </c>
      <c r="R1781" t="s" s="2">
        <f>_xlfn.IFERROR(INDEX('model_byCAP'!$D$2:$D$377,MATCH(Q1781,'model_byCAP'!$A$2:$A$377,0)),0)</f>
        <v>3447</v>
      </c>
    </row>
    <row r="1782" ht="15.35" customHeight="1">
      <c r="A1782" t="s" s="2">
        <v>3514</v>
      </c>
      <c r="B1782" s="4">
        <v>37498</v>
      </c>
      <c r="C1782" s="5">
        <v>900</v>
      </c>
      <c r="D1782" s="5">
        <v>52</v>
      </c>
      <c r="E1782" s="5">
        <v>49</v>
      </c>
      <c r="F1782" t="s" s="2">
        <v>1746</v>
      </c>
      <c r="G1782" t="s" s="2">
        <v>3515</v>
      </c>
      <c r="H1782" s="5">
        <v>482</v>
      </c>
      <c r="I1782" t="s" s="2">
        <v>1523</v>
      </c>
      <c r="J1782" t="s" s="2">
        <v>22</v>
      </c>
      <c r="K1782" t="s" s="2">
        <v>3516</v>
      </c>
      <c r="L1782" t="s" s="2">
        <v>1717</v>
      </c>
      <c r="M1782" s="5">
        <v>609622.92</v>
      </c>
      <c r="N1782" s="5">
        <v>6075528.99</v>
      </c>
      <c r="O1782" t="s" s="2">
        <v>305</v>
      </c>
      <c r="P1782" t="s" s="2">
        <v>3517</v>
      </c>
      <c r="Q1782" t="s" s="2">
        <v>3518</v>
      </c>
      <c r="R1782" t="s" s="2">
        <f>_xlfn.IFERROR(INDEX('model_byCAP'!$D$2:$D$377,MATCH(Q1782,'model_byCAP'!$A$2:$A$377,0)),0)</f>
        <v>3519</v>
      </c>
    </row>
    <row r="1783" ht="15.35" customHeight="1">
      <c r="A1783" t="s" s="2">
        <v>3520</v>
      </c>
      <c r="B1783" s="4">
        <v>37596</v>
      </c>
      <c r="C1783" s="5">
        <v>900</v>
      </c>
      <c r="D1783" s="5">
        <v>52</v>
      </c>
      <c r="E1783" s="5">
        <v>49</v>
      </c>
      <c r="F1783" t="s" s="2">
        <v>1746</v>
      </c>
      <c r="G1783" t="s" s="2">
        <v>3521</v>
      </c>
      <c r="H1783" s="5">
        <v>482</v>
      </c>
      <c r="I1783" t="s" s="2">
        <v>1523</v>
      </c>
      <c r="J1783" t="s" s="2">
        <v>22</v>
      </c>
      <c r="K1783" t="s" s="2">
        <v>3522</v>
      </c>
      <c r="L1783" t="s" s="2">
        <v>394</v>
      </c>
      <c r="M1783" s="5">
        <v>622121.53</v>
      </c>
      <c r="N1783" s="5">
        <v>6101376.44</v>
      </c>
      <c r="O1783" t="s" s="2">
        <v>305</v>
      </c>
      <c r="P1783" t="s" s="2">
        <v>3523</v>
      </c>
      <c r="Q1783" t="s" s="2">
        <v>3524</v>
      </c>
      <c r="R1783" t="s" s="2">
        <f>_xlfn.IFERROR(INDEX('model_byCAP'!$D$2:$D$377,MATCH(Q1783,'model_byCAP'!$A$2:$A$377,0)),0)</f>
        <v>3447</v>
      </c>
    </row>
    <row r="1784" ht="15.35" customHeight="1">
      <c r="A1784" t="s" s="2">
        <v>3525</v>
      </c>
      <c r="B1784" s="4">
        <v>37596</v>
      </c>
      <c r="C1784" s="5">
        <v>900</v>
      </c>
      <c r="D1784" s="5">
        <v>52</v>
      </c>
      <c r="E1784" s="5">
        <v>49</v>
      </c>
      <c r="F1784" t="s" s="2">
        <v>1746</v>
      </c>
      <c r="G1784" t="s" s="2">
        <v>3521</v>
      </c>
      <c r="H1784" s="5">
        <v>482</v>
      </c>
      <c r="I1784" t="s" s="2">
        <v>1523</v>
      </c>
      <c r="J1784" t="s" s="2">
        <v>22</v>
      </c>
      <c r="K1784" t="s" s="2">
        <v>3526</v>
      </c>
      <c r="L1784" t="s" s="2">
        <v>481</v>
      </c>
      <c r="M1784" s="5">
        <v>622252.26</v>
      </c>
      <c r="N1784" s="5">
        <v>6101838.83</v>
      </c>
      <c r="O1784" t="s" s="2">
        <v>305</v>
      </c>
      <c r="P1784" s="5">
        <v>35348006</v>
      </c>
      <c r="Q1784" t="s" s="2">
        <v>3524</v>
      </c>
      <c r="R1784" t="s" s="2">
        <f>_xlfn.IFERROR(INDEX('model_byCAP'!$D$2:$D$377,MATCH(Q1784,'model_byCAP'!$A$2:$A$377,0)),0)</f>
        <v>3447</v>
      </c>
    </row>
    <row r="1785" ht="15.35" customHeight="1">
      <c r="A1785" t="s" s="2">
        <v>3527</v>
      </c>
      <c r="B1785" s="4">
        <v>37596</v>
      </c>
      <c r="C1785" s="5">
        <v>900</v>
      </c>
      <c r="D1785" s="5">
        <v>52</v>
      </c>
      <c r="E1785" s="5">
        <v>49</v>
      </c>
      <c r="F1785" t="s" s="2">
        <v>1746</v>
      </c>
      <c r="G1785" t="s" s="2">
        <v>3521</v>
      </c>
      <c r="H1785" s="5">
        <v>482</v>
      </c>
      <c r="I1785" t="s" s="2">
        <v>1523</v>
      </c>
      <c r="J1785" t="s" s="2">
        <v>22</v>
      </c>
      <c r="K1785" t="s" s="2">
        <v>3522</v>
      </c>
      <c r="L1785" t="s" s="2">
        <v>585</v>
      </c>
      <c r="M1785" s="5">
        <v>622186.53</v>
      </c>
      <c r="N1785" s="5">
        <v>6101607.63</v>
      </c>
      <c r="O1785" t="s" s="2">
        <v>305</v>
      </c>
      <c r="P1785" s="5">
        <v>35348008</v>
      </c>
      <c r="Q1785" t="s" s="2">
        <v>3524</v>
      </c>
      <c r="R1785" t="s" s="2">
        <f>_xlfn.IFERROR(INDEX('model_byCAP'!$D$2:$D$377,MATCH(Q1785,'model_byCAP'!$A$2:$A$377,0)),0)</f>
        <v>3447</v>
      </c>
    </row>
    <row r="1786" ht="15.35" customHeight="1">
      <c r="A1786" t="s" s="2">
        <v>3528</v>
      </c>
      <c r="B1786" s="4">
        <v>37609</v>
      </c>
      <c r="C1786" s="5">
        <v>900</v>
      </c>
      <c r="D1786" s="5">
        <v>52</v>
      </c>
      <c r="E1786" s="5">
        <v>49</v>
      </c>
      <c r="F1786" t="s" s="2">
        <v>1746</v>
      </c>
      <c r="G1786" t="s" s="2">
        <v>3444</v>
      </c>
      <c r="H1786" s="5">
        <v>482</v>
      </c>
      <c r="I1786" t="s" s="2">
        <v>1523</v>
      </c>
      <c r="J1786" t="s" s="2">
        <v>22</v>
      </c>
      <c r="K1786" t="s" s="2">
        <v>3529</v>
      </c>
      <c r="L1786" t="s" s="2">
        <v>492</v>
      </c>
      <c r="M1786" s="5">
        <v>609406.87</v>
      </c>
      <c r="N1786" s="5">
        <v>6068977.67</v>
      </c>
      <c r="O1786" t="s" s="2">
        <v>305</v>
      </c>
      <c r="P1786" s="5">
        <v>23820322</v>
      </c>
      <c r="Q1786" t="s" s="2">
        <v>3446</v>
      </c>
      <c r="R1786" t="s" s="2">
        <f>_xlfn.IFERROR(INDEX('model_byCAP'!$D$2:$D$377,MATCH(Q1786,'model_byCAP'!$A$2:$A$377,0)),0)</f>
        <v>3447</v>
      </c>
    </row>
    <row r="1787" ht="15.35" customHeight="1">
      <c r="A1787" t="s" s="2">
        <v>3530</v>
      </c>
      <c r="B1787" s="4">
        <v>37613</v>
      </c>
      <c r="C1787" s="5">
        <v>900</v>
      </c>
      <c r="D1787" s="5">
        <v>52</v>
      </c>
      <c r="E1787" s="5">
        <v>49</v>
      </c>
      <c r="F1787" t="s" s="2">
        <v>42</v>
      </c>
      <c r="G1787" t="s" s="2">
        <v>42</v>
      </c>
      <c r="H1787" s="5">
        <v>482</v>
      </c>
      <c r="I1787" t="s" s="2">
        <v>1523</v>
      </c>
      <c r="J1787" t="s" s="2">
        <v>22</v>
      </c>
      <c r="K1787" t="s" s="2">
        <v>3531</v>
      </c>
      <c r="L1787" t="s" s="2">
        <v>856</v>
      </c>
      <c r="M1787" s="5">
        <v>610975.65</v>
      </c>
      <c r="N1787" s="5">
        <v>6069726.38</v>
      </c>
      <c r="O1787" t="s" s="2">
        <v>305</v>
      </c>
      <c r="P1787" s="5">
        <v>21972108</v>
      </c>
      <c r="Q1787" t="s" s="2">
        <v>43</v>
      </c>
      <c r="R1787" s="5">
        <f>_xlfn.IFERROR(INDEX('model_byCAP'!$D$2:$D$377,MATCH(Q1787,'model_byCAP'!$A$2:$A$377,0)),0)</f>
        <v>0</v>
      </c>
    </row>
    <row r="1788" ht="15.35" customHeight="1">
      <c r="A1788" t="s" s="2">
        <v>3532</v>
      </c>
      <c r="B1788" s="4">
        <v>36753</v>
      </c>
      <c r="C1788" s="5">
        <v>900</v>
      </c>
      <c r="D1788" s="5">
        <v>52</v>
      </c>
      <c r="E1788" s="5">
        <v>44</v>
      </c>
      <c r="F1788" t="s" s="2">
        <v>1746</v>
      </c>
      <c r="G1788" t="s" s="2">
        <v>3533</v>
      </c>
      <c r="H1788" s="5">
        <v>510</v>
      </c>
      <c r="I1788" t="s" s="2">
        <v>3049</v>
      </c>
      <c r="J1788" t="s" s="2">
        <v>22</v>
      </c>
      <c r="K1788" t="s" s="2">
        <v>3534</v>
      </c>
      <c r="L1788" s="5">
        <v>249</v>
      </c>
      <c r="M1788" s="5">
        <v>538692.85</v>
      </c>
      <c r="N1788" s="5">
        <v>6132658.21</v>
      </c>
      <c r="O1788" t="s" s="2">
        <v>305</v>
      </c>
      <c r="P1788" s="5">
        <v>200121</v>
      </c>
      <c r="Q1788" t="s" s="2">
        <v>3535</v>
      </c>
      <c r="R1788" t="s" s="2">
        <f>_xlfn.IFERROR(INDEX('model_byCAP'!$D$2:$D$377,MATCH(Q1788,'model_byCAP'!$A$2:$A$377,0)),0)</f>
        <v>3447</v>
      </c>
    </row>
    <row r="1789" ht="15.35" customHeight="1">
      <c r="A1789" t="s" s="2">
        <v>3536</v>
      </c>
      <c r="B1789" s="4">
        <v>36753</v>
      </c>
      <c r="C1789" s="5">
        <v>900</v>
      </c>
      <c r="D1789" s="5">
        <v>52</v>
      </c>
      <c r="E1789" s="5">
        <v>44</v>
      </c>
      <c r="F1789" t="s" s="2">
        <v>1746</v>
      </c>
      <c r="G1789" t="s" s="2">
        <v>3533</v>
      </c>
      <c r="H1789" s="5">
        <v>510</v>
      </c>
      <c r="I1789" t="s" s="2">
        <v>3049</v>
      </c>
      <c r="J1789" t="s" s="2">
        <v>22</v>
      </c>
      <c r="K1789" t="s" s="2">
        <v>3537</v>
      </c>
      <c r="L1789" s="5">
        <v>5</v>
      </c>
      <c r="M1789" s="5">
        <v>538165.99</v>
      </c>
      <c r="N1789" s="5">
        <v>6132370.94</v>
      </c>
      <c r="O1789" t="s" s="2">
        <v>305</v>
      </c>
      <c r="P1789" s="5">
        <v>200122</v>
      </c>
      <c r="Q1789" t="s" s="2">
        <v>3535</v>
      </c>
      <c r="R1789" t="s" s="2">
        <f>_xlfn.IFERROR(INDEX('model_byCAP'!$D$2:$D$377,MATCH(Q1789,'model_byCAP'!$A$2:$A$377,0)),0)</f>
        <v>3447</v>
      </c>
    </row>
    <row r="1790" ht="15.35" customHeight="1">
      <c r="A1790" t="s" s="2">
        <v>3538</v>
      </c>
      <c r="B1790" s="4">
        <v>37978</v>
      </c>
      <c r="C1790" s="5">
        <v>900</v>
      </c>
      <c r="D1790" s="5">
        <v>52</v>
      </c>
      <c r="E1790" s="5">
        <v>54</v>
      </c>
      <c r="F1790" t="s" s="2">
        <v>1746</v>
      </c>
      <c r="G1790" t="s" s="2">
        <v>3444</v>
      </c>
      <c r="H1790" s="5">
        <v>550</v>
      </c>
      <c r="I1790" t="s" s="2">
        <v>526</v>
      </c>
      <c r="J1790" t="s" s="2">
        <v>22</v>
      </c>
      <c r="K1790" t="s" s="2">
        <v>3539</v>
      </c>
      <c r="L1790" s="5">
        <v>132</v>
      </c>
      <c r="M1790" s="5">
        <v>496213.51</v>
      </c>
      <c r="N1790" s="5">
        <v>6087908.13</v>
      </c>
      <c r="O1790" t="s" s="2">
        <v>305</v>
      </c>
      <c r="P1790" s="5">
        <v>44193364</v>
      </c>
      <c r="Q1790" t="s" s="2">
        <v>3446</v>
      </c>
      <c r="R1790" t="s" s="2">
        <f>_xlfn.IFERROR(INDEX('model_byCAP'!$D$2:$D$377,MATCH(Q1790,'model_byCAP'!$A$2:$A$377,0)),0)</f>
        <v>3447</v>
      </c>
    </row>
    <row r="1791" ht="15.35" customHeight="1">
      <c r="A1791" t="s" s="2">
        <v>3540</v>
      </c>
      <c r="B1791" s="4">
        <v>37978</v>
      </c>
      <c r="C1791" s="5">
        <v>900</v>
      </c>
      <c r="D1791" s="5">
        <v>52</v>
      </c>
      <c r="E1791" s="5">
        <v>54</v>
      </c>
      <c r="F1791" t="s" s="2">
        <v>1746</v>
      </c>
      <c r="G1791" t="s" s="2">
        <v>3444</v>
      </c>
      <c r="H1791" s="5">
        <v>550</v>
      </c>
      <c r="I1791" t="s" s="2">
        <v>526</v>
      </c>
      <c r="J1791" t="s" s="2">
        <v>22</v>
      </c>
      <c r="K1791" t="s" s="2">
        <v>3539</v>
      </c>
      <c r="L1791" s="5">
        <v>132</v>
      </c>
      <c r="M1791" s="5">
        <v>496449.59</v>
      </c>
      <c r="N1791" s="5">
        <v>6087923.37</v>
      </c>
      <c r="O1791" t="s" s="2">
        <v>305</v>
      </c>
      <c r="P1791" s="5">
        <v>44193365</v>
      </c>
      <c r="Q1791" t="s" s="2">
        <v>3446</v>
      </c>
      <c r="R1791" t="s" s="2">
        <f>_xlfn.IFERROR(INDEX('model_byCAP'!$D$2:$D$377,MATCH(Q1791,'model_byCAP'!$A$2:$A$377,0)),0)</f>
        <v>3447</v>
      </c>
    </row>
    <row r="1792" ht="15.35" customHeight="1">
      <c r="A1792" t="s" s="2">
        <v>3541</v>
      </c>
      <c r="B1792" s="4">
        <v>37601</v>
      </c>
      <c r="C1792" s="5">
        <v>900</v>
      </c>
      <c r="D1792" s="5">
        <v>52</v>
      </c>
      <c r="E1792" s="5">
        <v>44</v>
      </c>
      <c r="F1792" t="s" s="2">
        <v>1746</v>
      </c>
      <c r="G1792" t="s" s="2">
        <v>3444</v>
      </c>
      <c r="H1792" s="5">
        <v>573</v>
      </c>
      <c r="I1792" t="s" s="2">
        <v>1041</v>
      </c>
      <c r="J1792" t="s" s="2">
        <v>22</v>
      </c>
      <c r="K1792" t="s" s="2">
        <v>3542</v>
      </c>
      <c r="L1792" t="s" s="2">
        <v>1122</v>
      </c>
      <c r="M1792" s="5">
        <v>477888.15</v>
      </c>
      <c r="N1792" s="5">
        <v>6164330.85</v>
      </c>
      <c r="O1792" t="s" s="2">
        <v>25</v>
      </c>
      <c r="P1792" t="s" s="2">
        <v>3543</v>
      </c>
      <c r="Q1792" t="s" s="2">
        <v>3446</v>
      </c>
      <c r="R1792" t="s" s="2">
        <f>_xlfn.IFERROR(INDEX('model_byCAP'!$D$2:$D$377,MATCH(Q1792,'model_byCAP'!$A$2:$A$377,0)),0)</f>
        <v>3447</v>
      </c>
    </row>
    <row r="1793" ht="15.35" customHeight="1">
      <c r="A1793" t="s" s="2">
        <v>3544</v>
      </c>
      <c r="B1793" s="4">
        <v>37601</v>
      </c>
      <c r="C1793" s="5">
        <v>900</v>
      </c>
      <c r="D1793" s="5">
        <v>52</v>
      </c>
      <c r="E1793" s="5">
        <v>44</v>
      </c>
      <c r="F1793" t="s" s="2">
        <v>1746</v>
      </c>
      <c r="G1793" t="s" s="2">
        <v>3444</v>
      </c>
      <c r="H1793" s="5">
        <v>573</v>
      </c>
      <c r="I1793" t="s" s="2">
        <v>1041</v>
      </c>
      <c r="J1793" t="s" s="2">
        <v>22</v>
      </c>
      <c r="K1793" t="s" s="2">
        <v>3542</v>
      </c>
      <c r="L1793" t="s" s="2">
        <v>2396</v>
      </c>
      <c r="M1793" s="5">
        <v>477889.74</v>
      </c>
      <c r="N1793" s="5">
        <v>6164565.09</v>
      </c>
      <c r="O1793" t="s" s="2">
        <v>25</v>
      </c>
      <c r="P1793" t="s" s="2">
        <v>3545</v>
      </c>
      <c r="Q1793" t="s" s="2">
        <v>3446</v>
      </c>
      <c r="R1793" t="s" s="2">
        <f>_xlfn.IFERROR(INDEX('model_byCAP'!$D$2:$D$377,MATCH(Q1793,'model_byCAP'!$A$2:$A$377,0)),0)</f>
        <v>3447</v>
      </c>
    </row>
    <row r="1794" ht="15.35" customHeight="1">
      <c r="A1794" t="s" s="2">
        <v>3546</v>
      </c>
      <c r="B1794" s="4">
        <v>37601</v>
      </c>
      <c r="C1794" s="5">
        <v>900</v>
      </c>
      <c r="D1794" s="5">
        <v>52</v>
      </c>
      <c r="E1794" s="5">
        <v>44</v>
      </c>
      <c r="F1794" t="s" s="2">
        <v>1746</v>
      </c>
      <c r="G1794" t="s" s="2">
        <v>3444</v>
      </c>
      <c r="H1794" s="5">
        <v>573</v>
      </c>
      <c r="I1794" t="s" s="2">
        <v>1041</v>
      </c>
      <c r="J1794" t="s" s="2">
        <v>22</v>
      </c>
      <c r="K1794" t="s" s="2">
        <v>3542</v>
      </c>
      <c r="L1794" t="s" s="2">
        <v>1318</v>
      </c>
      <c r="M1794" s="5">
        <v>477889.68</v>
      </c>
      <c r="N1794" s="5">
        <v>6164800.15</v>
      </c>
      <c r="O1794" t="s" s="2">
        <v>305</v>
      </c>
      <c r="P1794" t="s" s="2">
        <v>3547</v>
      </c>
      <c r="Q1794" t="s" s="2">
        <v>3446</v>
      </c>
      <c r="R1794" t="s" s="2">
        <f>_xlfn.IFERROR(INDEX('model_byCAP'!$D$2:$D$377,MATCH(Q1794,'model_byCAP'!$A$2:$A$377,0)),0)</f>
        <v>3447</v>
      </c>
    </row>
    <row r="1795" ht="15.35" customHeight="1">
      <c r="A1795" t="s" s="2">
        <v>3548</v>
      </c>
      <c r="B1795" s="4">
        <v>37606</v>
      </c>
      <c r="C1795" s="5">
        <v>900</v>
      </c>
      <c r="D1795" s="5">
        <v>52</v>
      </c>
      <c r="E1795" s="5">
        <v>44</v>
      </c>
      <c r="F1795" t="s" s="2">
        <v>1746</v>
      </c>
      <c r="G1795" t="s" s="2">
        <v>3444</v>
      </c>
      <c r="H1795" s="5">
        <v>573</v>
      </c>
      <c r="I1795" t="s" s="2">
        <v>1041</v>
      </c>
      <c r="J1795" t="s" s="2">
        <v>22</v>
      </c>
      <c r="K1795" t="s" s="2">
        <v>1051</v>
      </c>
      <c r="L1795" t="s" s="2">
        <v>394</v>
      </c>
      <c r="M1795" s="5">
        <v>477443.13</v>
      </c>
      <c r="N1795" s="5">
        <v>6162686.65</v>
      </c>
      <c r="O1795" t="s" s="2">
        <v>25</v>
      </c>
      <c r="P1795" t="s" s="2">
        <v>3549</v>
      </c>
      <c r="Q1795" t="s" s="2">
        <v>3446</v>
      </c>
      <c r="R1795" t="s" s="2">
        <f>_xlfn.IFERROR(INDEX('model_byCAP'!$D$2:$D$377,MATCH(Q1795,'model_byCAP'!$A$2:$A$377,0)),0)</f>
        <v>3447</v>
      </c>
    </row>
    <row r="1796" ht="15.35" customHeight="1">
      <c r="A1796" t="s" s="2">
        <v>3550</v>
      </c>
      <c r="B1796" s="4">
        <v>37606</v>
      </c>
      <c r="C1796" s="5">
        <v>900</v>
      </c>
      <c r="D1796" s="5">
        <v>52</v>
      </c>
      <c r="E1796" s="5">
        <v>44</v>
      </c>
      <c r="F1796" t="s" s="2">
        <v>1746</v>
      </c>
      <c r="G1796" t="s" s="2">
        <v>3444</v>
      </c>
      <c r="H1796" s="5">
        <v>573</v>
      </c>
      <c r="I1796" t="s" s="2">
        <v>1041</v>
      </c>
      <c r="J1796" t="s" s="2">
        <v>22</v>
      </c>
      <c r="K1796" t="s" s="2">
        <v>1051</v>
      </c>
      <c r="L1796" t="s" s="2">
        <v>394</v>
      </c>
      <c r="M1796" s="5">
        <v>477452.94</v>
      </c>
      <c r="N1796" s="5">
        <v>6162916.18</v>
      </c>
      <c r="O1796" t="s" s="2">
        <v>25</v>
      </c>
      <c r="P1796" t="s" s="2">
        <v>3551</v>
      </c>
      <c r="Q1796" t="s" s="2">
        <v>3446</v>
      </c>
      <c r="R1796" t="s" s="2">
        <f>_xlfn.IFERROR(INDEX('model_byCAP'!$D$2:$D$377,MATCH(Q1796,'model_byCAP'!$A$2:$A$377,0)),0)</f>
        <v>3447</v>
      </c>
    </row>
    <row r="1797" ht="15.35" customHeight="1">
      <c r="A1797" t="s" s="2">
        <v>3552</v>
      </c>
      <c r="B1797" s="4">
        <v>37606</v>
      </c>
      <c r="C1797" s="5">
        <v>900</v>
      </c>
      <c r="D1797" s="5">
        <v>52</v>
      </c>
      <c r="E1797" s="5">
        <v>44</v>
      </c>
      <c r="F1797" t="s" s="2">
        <v>1746</v>
      </c>
      <c r="G1797" t="s" s="2">
        <v>3444</v>
      </c>
      <c r="H1797" s="5">
        <v>573</v>
      </c>
      <c r="I1797" t="s" s="2">
        <v>1041</v>
      </c>
      <c r="J1797" t="s" s="2">
        <v>22</v>
      </c>
      <c r="K1797" t="s" s="2">
        <v>1051</v>
      </c>
      <c r="L1797" t="s" s="2">
        <v>594</v>
      </c>
      <c r="M1797" s="5">
        <v>477454.9</v>
      </c>
      <c r="N1797" s="5">
        <v>6163145.7</v>
      </c>
      <c r="O1797" t="s" s="2">
        <v>25</v>
      </c>
      <c r="P1797" t="s" s="2">
        <v>3553</v>
      </c>
      <c r="Q1797" t="s" s="2">
        <v>3446</v>
      </c>
      <c r="R1797" t="s" s="2">
        <f>_xlfn.IFERROR(INDEX('model_byCAP'!$D$2:$D$377,MATCH(Q1797,'model_byCAP'!$A$2:$A$377,0)),0)</f>
        <v>3447</v>
      </c>
    </row>
    <row r="1798" ht="15.35" customHeight="1">
      <c r="A1798" t="s" s="2">
        <v>3554</v>
      </c>
      <c r="B1798" s="4">
        <v>37606</v>
      </c>
      <c r="C1798" s="5">
        <v>900</v>
      </c>
      <c r="D1798" s="5">
        <v>52</v>
      </c>
      <c r="E1798" s="5">
        <v>44</v>
      </c>
      <c r="F1798" t="s" s="2">
        <v>1746</v>
      </c>
      <c r="G1798" t="s" s="2">
        <v>3444</v>
      </c>
      <c r="H1798" s="5">
        <v>573</v>
      </c>
      <c r="I1798" t="s" s="2">
        <v>1041</v>
      </c>
      <c r="J1798" t="s" s="2">
        <v>22</v>
      </c>
      <c r="K1798" t="s" s="2">
        <v>1051</v>
      </c>
      <c r="L1798" t="s" s="2">
        <v>198</v>
      </c>
      <c r="M1798" s="5">
        <v>477677.56</v>
      </c>
      <c r="N1798" s="5">
        <v>6162685.28</v>
      </c>
      <c r="O1798" t="s" s="2">
        <v>25</v>
      </c>
      <c r="P1798" t="s" s="2">
        <v>3555</v>
      </c>
      <c r="Q1798" t="s" s="2">
        <v>3446</v>
      </c>
      <c r="R1798" t="s" s="2">
        <f>_xlfn.IFERROR(INDEX('model_byCAP'!$D$2:$D$377,MATCH(Q1798,'model_byCAP'!$A$2:$A$377,0)),0)</f>
        <v>3447</v>
      </c>
    </row>
    <row r="1799" ht="15.35" customHeight="1">
      <c r="A1799" t="s" s="2">
        <v>3556</v>
      </c>
      <c r="B1799" s="4">
        <v>37606</v>
      </c>
      <c r="C1799" s="5">
        <v>900</v>
      </c>
      <c r="D1799" s="5">
        <v>52</v>
      </c>
      <c r="E1799" s="5">
        <v>44</v>
      </c>
      <c r="F1799" t="s" s="2">
        <v>1746</v>
      </c>
      <c r="G1799" t="s" s="2">
        <v>3444</v>
      </c>
      <c r="H1799" s="5">
        <v>573</v>
      </c>
      <c r="I1799" t="s" s="2">
        <v>1041</v>
      </c>
      <c r="J1799" t="s" s="2">
        <v>22</v>
      </c>
      <c r="K1799" t="s" s="2">
        <v>1051</v>
      </c>
      <c r="L1799" t="s" s="2">
        <v>394</v>
      </c>
      <c r="M1799" s="5">
        <v>477678.54</v>
      </c>
      <c r="N1799" s="5">
        <v>6162912.25</v>
      </c>
      <c r="O1799" t="s" s="2">
        <v>25</v>
      </c>
      <c r="P1799" t="s" s="2">
        <v>3557</v>
      </c>
      <c r="Q1799" t="s" s="2">
        <v>3446</v>
      </c>
      <c r="R1799" t="s" s="2">
        <f>_xlfn.IFERROR(INDEX('model_byCAP'!$D$2:$D$377,MATCH(Q1799,'model_byCAP'!$A$2:$A$377,0)),0)</f>
        <v>3447</v>
      </c>
    </row>
    <row r="1800" ht="15.35" customHeight="1">
      <c r="A1800" t="s" s="2">
        <v>3558</v>
      </c>
      <c r="B1800" s="4">
        <v>37606</v>
      </c>
      <c r="C1800" s="5">
        <v>900</v>
      </c>
      <c r="D1800" s="5">
        <v>52</v>
      </c>
      <c r="E1800" s="5">
        <v>44</v>
      </c>
      <c r="F1800" t="s" s="2">
        <v>1746</v>
      </c>
      <c r="G1800" t="s" s="2">
        <v>3444</v>
      </c>
      <c r="H1800" s="5">
        <v>573</v>
      </c>
      <c r="I1800" t="s" s="2">
        <v>1041</v>
      </c>
      <c r="J1800" t="s" s="2">
        <v>22</v>
      </c>
      <c r="K1800" t="s" s="2">
        <v>1051</v>
      </c>
      <c r="L1800" t="s" s="2">
        <v>594</v>
      </c>
      <c r="M1800" s="5">
        <v>477676.57</v>
      </c>
      <c r="N1800" s="5">
        <v>6163139.81</v>
      </c>
      <c r="O1800" t="s" s="2">
        <v>25</v>
      </c>
      <c r="P1800" t="s" s="2">
        <v>3559</v>
      </c>
      <c r="Q1800" t="s" s="2">
        <v>3446</v>
      </c>
      <c r="R1800" t="s" s="2">
        <f>_xlfn.IFERROR(INDEX('model_byCAP'!$D$2:$D$377,MATCH(Q1800,'model_byCAP'!$A$2:$A$377,0)),0)</f>
        <v>3447</v>
      </c>
    </row>
    <row r="1801" ht="15.35" customHeight="1">
      <c r="A1801" t="s" s="2">
        <v>3560</v>
      </c>
      <c r="B1801" s="4">
        <v>36243</v>
      </c>
      <c r="C1801" s="5">
        <v>900</v>
      </c>
      <c r="D1801" s="5">
        <v>52</v>
      </c>
      <c r="E1801" s="5">
        <v>49</v>
      </c>
      <c r="F1801" t="s" s="2">
        <v>1746</v>
      </c>
      <c r="G1801" t="s" s="2">
        <v>3444</v>
      </c>
      <c r="H1801" s="5">
        <v>575</v>
      </c>
      <c r="I1801" t="s" s="2">
        <v>2952</v>
      </c>
      <c r="J1801" t="s" s="2">
        <v>22</v>
      </c>
      <c r="K1801" t="s" s="2">
        <v>3561</v>
      </c>
      <c r="L1801" t="s" s="2">
        <v>3562</v>
      </c>
      <c r="M1801" s="5">
        <v>491649.76</v>
      </c>
      <c r="N1801" s="5">
        <v>6142773.29</v>
      </c>
      <c r="O1801" t="s" s="2">
        <v>305</v>
      </c>
      <c r="P1801" s="5">
        <v>61860</v>
      </c>
      <c r="Q1801" t="s" s="2">
        <v>3446</v>
      </c>
      <c r="R1801" t="s" s="2">
        <f>_xlfn.IFERROR(INDEX('model_byCAP'!$D$2:$D$377,MATCH(Q1801,'model_byCAP'!$A$2:$A$377,0)),0)</f>
        <v>3447</v>
      </c>
    </row>
    <row r="1802" ht="15.35" customHeight="1">
      <c r="A1802" t="s" s="2">
        <v>3563</v>
      </c>
      <c r="B1802" s="4">
        <v>36243</v>
      </c>
      <c r="C1802" s="5">
        <v>900</v>
      </c>
      <c r="D1802" s="5">
        <v>52</v>
      </c>
      <c r="E1802" s="5">
        <v>49</v>
      </c>
      <c r="F1802" t="s" s="2">
        <v>1746</v>
      </c>
      <c r="G1802" t="s" s="2">
        <v>3444</v>
      </c>
      <c r="H1802" s="5">
        <v>575</v>
      </c>
      <c r="I1802" t="s" s="2">
        <v>2952</v>
      </c>
      <c r="J1802" t="s" s="2">
        <v>22</v>
      </c>
      <c r="K1802" t="s" s="2">
        <v>3561</v>
      </c>
      <c r="L1802" t="s" s="2">
        <v>3562</v>
      </c>
      <c r="M1802" s="5">
        <v>491701.77</v>
      </c>
      <c r="N1802" s="5">
        <v>6142580.44</v>
      </c>
      <c r="O1802" t="s" s="2">
        <v>305</v>
      </c>
      <c r="P1802" s="5">
        <v>61860</v>
      </c>
      <c r="Q1802" t="s" s="2">
        <v>3446</v>
      </c>
      <c r="R1802" t="s" s="2">
        <f>_xlfn.IFERROR(INDEX('model_byCAP'!$D$2:$D$377,MATCH(Q1802,'model_byCAP'!$A$2:$A$377,0)),0)</f>
        <v>3447</v>
      </c>
    </row>
    <row r="1803" ht="15.35" customHeight="1">
      <c r="A1803" t="s" s="2">
        <v>3564</v>
      </c>
      <c r="B1803" s="4">
        <v>37618</v>
      </c>
      <c r="C1803" s="5">
        <v>900</v>
      </c>
      <c r="D1803" s="5">
        <v>52</v>
      </c>
      <c r="E1803" s="5">
        <v>50</v>
      </c>
      <c r="F1803" t="s" s="2">
        <v>1746</v>
      </c>
      <c r="G1803" t="s" s="2">
        <v>3444</v>
      </c>
      <c r="H1803" s="5">
        <v>575</v>
      </c>
      <c r="I1803" t="s" s="2">
        <v>2952</v>
      </c>
      <c r="J1803" t="s" s="2">
        <v>22</v>
      </c>
      <c r="K1803" t="s" s="2">
        <v>3565</v>
      </c>
      <c r="L1803" t="s" s="2">
        <v>3566</v>
      </c>
      <c r="M1803" s="5">
        <v>499244.79</v>
      </c>
      <c r="N1803" s="5">
        <v>6157534.86</v>
      </c>
      <c r="O1803" t="s" s="2">
        <v>25</v>
      </c>
      <c r="P1803" t="s" s="2">
        <v>3567</v>
      </c>
      <c r="Q1803" t="s" s="2">
        <v>3446</v>
      </c>
      <c r="R1803" t="s" s="2">
        <f>_xlfn.IFERROR(INDEX('model_byCAP'!$D$2:$D$377,MATCH(Q1803,'model_byCAP'!$A$2:$A$377,0)),0)</f>
        <v>3447</v>
      </c>
    </row>
    <row r="1804" ht="15.35" customHeight="1">
      <c r="A1804" t="s" s="2">
        <v>3568</v>
      </c>
      <c r="B1804" s="4">
        <v>37618</v>
      </c>
      <c r="C1804" s="5">
        <v>900</v>
      </c>
      <c r="D1804" s="5">
        <v>52</v>
      </c>
      <c r="E1804" s="5">
        <v>50</v>
      </c>
      <c r="F1804" t="s" s="2">
        <v>1746</v>
      </c>
      <c r="G1804" t="s" s="2">
        <v>3444</v>
      </c>
      <c r="H1804" s="5">
        <v>575</v>
      </c>
      <c r="I1804" t="s" s="2">
        <v>2952</v>
      </c>
      <c r="J1804" t="s" s="2">
        <v>22</v>
      </c>
      <c r="K1804" t="s" s="2">
        <v>3565</v>
      </c>
      <c r="L1804" t="s" s="2">
        <v>3569</v>
      </c>
      <c r="M1804" s="5">
        <v>499215.82</v>
      </c>
      <c r="N1804" s="5">
        <v>6157686.89</v>
      </c>
      <c r="O1804" t="s" s="2">
        <v>305</v>
      </c>
      <c r="P1804" t="s" s="2">
        <v>3570</v>
      </c>
      <c r="Q1804" t="s" s="2">
        <v>3446</v>
      </c>
      <c r="R1804" t="s" s="2">
        <f>_xlfn.IFERROR(INDEX('model_byCAP'!$D$2:$D$377,MATCH(Q1804,'model_byCAP'!$A$2:$A$377,0)),0)</f>
        <v>3447</v>
      </c>
    </row>
    <row r="1805" ht="15.35" customHeight="1">
      <c r="A1805" t="s" s="2">
        <v>3571</v>
      </c>
      <c r="B1805" s="4">
        <v>37618</v>
      </c>
      <c r="C1805" s="5">
        <v>900</v>
      </c>
      <c r="D1805" s="5">
        <v>52</v>
      </c>
      <c r="E1805" s="5">
        <v>50</v>
      </c>
      <c r="F1805" t="s" s="2">
        <v>1746</v>
      </c>
      <c r="G1805" t="s" s="2">
        <v>3444</v>
      </c>
      <c r="H1805" s="5">
        <v>575</v>
      </c>
      <c r="I1805" t="s" s="2">
        <v>2952</v>
      </c>
      <c r="J1805" t="s" s="2">
        <v>22</v>
      </c>
      <c r="K1805" t="s" s="2">
        <v>3565</v>
      </c>
      <c r="L1805" t="s" s="2">
        <v>856</v>
      </c>
      <c r="M1805" s="5">
        <v>499187.05</v>
      </c>
      <c r="N1805" s="5">
        <v>6157838.42</v>
      </c>
      <c r="O1805" t="s" s="2">
        <v>25</v>
      </c>
      <c r="P1805" t="s" s="2">
        <v>3572</v>
      </c>
      <c r="Q1805" t="s" s="2">
        <v>3446</v>
      </c>
      <c r="R1805" t="s" s="2">
        <f>_xlfn.IFERROR(INDEX('model_byCAP'!$D$2:$D$377,MATCH(Q1805,'model_byCAP'!$A$2:$A$377,0)),0)</f>
        <v>3447</v>
      </c>
    </row>
    <row r="1806" ht="15.35" customHeight="1">
      <c r="A1806" t="s" s="2">
        <v>3573</v>
      </c>
      <c r="B1806" s="4">
        <v>37618</v>
      </c>
      <c r="C1806" s="5">
        <v>900</v>
      </c>
      <c r="D1806" s="5">
        <v>52</v>
      </c>
      <c r="E1806" s="5">
        <v>50</v>
      </c>
      <c r="F1806" t="s" s="2">
        <v>1746</v>
      </c>
      <c r="G1806" t="s" s="2">
        <v>3444</v>
      </c>
      <c r="H1806" s="5">
        <v>575</v>
      </c>
      <c r="I1806" t="s" s="2">
        <v>2952</v>
      </c>
      <c r="J1806" t="s" s="2">
        <v>22</v>
      </c>
      <c r="K1806" t="s" s="2">
        <v>3565</v>
      </c>
      <c r="L1806" t="s" s="2">
        <v>1002</v>
      </c>
      <c r="M1806" s="5">
        <v>499273.15</v>
      </c>
      <c r="N1806" s="5">
        <v>6157381.43</v>
      </c>
      <c r="O1806" t="s" s="2">
        <v>25</v>
      </c>
      <c r="P1806" t="s" s="2">
        <v>3574</v>
      </c>
      <c r="Q1806" t="s" s="2">
        <v>3446</v>
      </c>
      <c r="R1806" t="s" s="2">
        <f>_xlfn.IFERROR(INDEX('model_byCAP'!$D$2:$D$377,MATCH(Q1806,'model_byCAP'!$A$2:$A$377,0)),0)</f>
        <v>3447</v>
      </c>
    </row>
    <row r="1807" ht="15.35" customHeight="1">
      <c r="A1807" t="s" s="2">
        <v>3575</v>
      </c>
      <c r="B1807" s="4">
        <v>36517</v>
      </c>
      <c r="C1807" s="5">
        <v>900</v>
      </c>
      <c r="D1807" s="5">
        <v>52</v>
      </c>
      <c r="E1807" s="5">
        <v>45</v>
      </c>
      <c r="F1807" t="s" s="2">
        <v>1746</v>
      </c>
      <c r="G1807" t="s" s="2">
        <v>3444</v>
      </c>
      <c r="H1807" s="5">
        <v>580</v>
      </c>
      <c r="I1807" t="s" s="2">
        <v>1542</v>
      </c>
      <c r="J1807" t="s" s="2">
        <v>22</v>
      </c>
      <c r="K1807" t="s" s="2">
        <v>3576</v>
      </c>
      <c r="L1807" s="5">
        <v>379</v>
      </c>
      <c r="M1807" s="5">
        <v>512343.83</v>
      </c>
      <c r="N1807" s="5">
        <v>6104580.13</v>
      </c>
      <c r="O1807" t="s" s="2">
        <v>305</v>
      </c>
      <c r="P1807" s="5">
        <v>91013</v>
      </c>
      <c r="Q1807" t="s" s="2">
        <v>3446</v>
      </c>
      <c r="R1807" t="s" s="2">
        <f>_xlfn.IFERROR(INDEX('model_byCAP'!$D$2:$D$377,MATCH(Q1807,'model_byCAP'!$A$2:$A$377,0)),0)</f>
        <v>3447</v>
      </c>
    </row>
    <row r="1808" ht="15.35" customHeight="1">
      <c r="A1808" t="s" s="2">
        <v>3577</v>
      </c>
      <c r="B1808" s="4">
        <v>36760</v>
      </c>
      <c r="C1808" s="5">
        <v>900</v>
      </c>
      <c r="D1808" s="5">
        <v>52</v>
      </c>
      <c r="E1808" s="5">
        <v>44</v>
      </c>
      <c r="F1808" t="s" s="2">
        <v>1746</v>
      </c>
      <c r="G1808" t="s" s="2">
        <v>3533</v>
      </c>
      <c r="H1808" s="5">
        <v>580</v>
      </c>
      <c r="I1808" t="s" s="2">
        <v>1542</v>
      </c>
      <c r="J1808" t="s" s="2">
        <v>22</v>
      </c>
      <c r="K1808" t="s" s="2">
        <v>3578</v>
      </c>
      <c r="L1808" s="5">
        <v>3</v>
      </c>
      <c r="M1808" s="5">
        <v>521457.84</v>
      </c>
      <c r="N1808" s="5">
        <v>6088457.85</v>
      </c>
      <c r="O1808" t="s" s="2">
        <v>305</v>
      </c>
      <c r="P1808" s="5">
        <v>200126</v>
      </c>
      <c r="Q1808" t="s" s="2">
        <v>3535</v>
      </c>
      <c r="R1808" t="s" s="2">
        <f>_xlfn.IFERROR(INDEX('model_byCAP'!$D$2:$D$377,MATCH(Q1808,'model_byCAP'!$A$2:$A$377,0)),0)</f>
        <v>3447</v>
      </c>
    </row>
    <row r="1809" ht="15.35" customHeight="1">
      <c r="A1809" t="s" s="2">
        <v>3579</v>
      </c>
      <c r="B1809" s="4">
        <v>36770</v>
      </c>
      <c r="C1809" s="5">
        <v>900</v>
      </c>
      <c r="D1809" s="5">
        <v>52</v>
      </c>
      <c r="E1809" s="5">
        <v>44</v>
      </c>
      <c r="F1809" t="s" s="2">
        <v>1746</v>
      </c>
      <c r="G1809" t="s" s="2">
        <v>3533</v>
      </c>
      <c r="H1809" s="5">
        <v>580</v>
      </c>
      <c r="I1809" t="s" s="2">
        <v>1542</v>
      </c>
      <c r="J1809" t="s" s="2">
        <v>22</v>
      </c>
      <c r="K1809" t="s" s="2">
        <v>3578</v>
      </c>
      <c r="L1809" s="5">
        <v>3</v>
      </c>
      <c r="M1809" s="5">
        <v>521641.02</v>
      </c>
      <c r="N1809" s="5">
        <v>6088220.51</v>
      </c>
      <c r="O1809" t="s" s="2">
        <v>305</v>
      </c>
      <c r="P1809" s="5">
        <v>200127</v>
      </c>
      <c r="Q1809" t="s" s="2">
        <v>3535</v>
      </c>
      <c r="R1809" t="s" s="2">
        <f>_xlfn.IFERROR(INDEX('model_byCAP'!$D$2:$D$377,MATCH(Q1809,'model_byCAP'!$A$2:$A$377,0)),0)</f>
        <v>3447</v>
      </c>
    </row>
    <row r="1810" ht="15.35" customHeight="1">
      <c r="A1810" t="s" s="2">
        <v>3580</v>
      </c>
      <c r="B1810" s="4">
        <v>36763</v>
      </c>
      <c r="C1810" s="5">
        <v>900</v>
      </c>
      <c r="D1810" s="5">
        <v>52</v>
      </c>
      <c r="E1810" s="5">
        <v>44</v>
      </c>
      <c r="F1810" t="s" s="2">
        <v>1746</v>
      </c>
      <c r="G1810" t="s" s="2">
        <v>3533</v>
      </c>
      <c r="H1810" s="5">
        <v>580</v>
      </c>
      <c r="I1810" t="s" s="2">
        <v>1542</v>
      </c>
      <c r="J1810" t="s" s="2">
        <v>22</v>
      </c>
      <c r="K1810" t="s" s="2">
        <v>3578</v>
      </c>
      <c r="L1810" s="5">
        <v>362</v>
      </c>
      <c r="M1810" s="5">
        <v>521344.37</v>
      </c>
      <c r="N1810" s="5">
        <v>6088180.66</v>
      </c>
      <c r="O1810" t="s" s="2">
        <v>305</v>
      </c>
      <c r="P1810" s="5">
        <v>200128</v>
      </c>
      <c r="Q1810" t="s" s="2">
        <v>3535</v>
      </c>
      <c r="R1810" t="s" s="2">
        <f>_xlfn.IFERROR(INDEX('model_byCAP'!$D$2:$D$377,MATCH(Q1810,'model_byCAP'!$A$2:$A$377,0)),0)</f>
        <v>3447</v>
      </c>
    </row>
    <row r="1811" ht="15.35" customHeight="1">
      <c r="A1811" t="s" s="2">
        <v>3581</v>
      </c>
      <c r="B1811" s="4">
        <v>37257</v>
      </c>
      <c r="C1811" s="5">
        <v>900</v>
      </c>
      <c r="D1811" s="5">
        <v>52</v>
      </c>
      <c r="E1811" s="5">
        <v>44</v>
      </c>
      <c r="F1811" t="s" s="2">
        <v>1746</v>
      </c>
      <c r="G1811" t="s" s="2">
        <v>3533</v>
      </c>
      <c r="H1811" s="5">
        <v>580</v>
      </c>
      <c r="I1811" t="s" s="2">
        <v>1542</v>
      </c>
      <c r="J1811" t="s" s="2">
        <v>22</v>
      </c>
      <c r="K1811" t="s" s="2">
        <v>3582</v>
      </c>
      <c r="L1811" s="5">
        <v>302</v>
      </c>
      <c r="M1811" s="5">
        <v>526576.1</v>
      </c>
      <c r="N1811" s="5">
        <v>6103422.84</v>
      </c>
      <c r="O1811" t="s" s="2">
        <v>305</v>
      </c>
      <c r="P1811" s="5">
        <v>200151</v>
      </c>
      <c r="Q1811" t="s" s="2">
        <v>3535</v>
      </c>
      <c r="R1811" t="s" s="2">
        <f>_xlfn.IFERROR(INDEX('model_byCAP'!$D$2:$D$377,MATCH(Q1811,'model_byCAP'!$A$2:$A$377,0)),0)</f>
        <v>3447</v>
      </c>
    </row>
    <row r="1812" ht="15.35" customHeight="1">
      <c r="A1812" t="s" s="2">
        <v>3583</v>
      </c>
      <c r="B1812" s="4">
        <v>37253</v>
      </c>
      <c r="C1812" s="5">
        <v>900</v>
      </c>
      <c r="D1812" s="5">
        <v>52</v>
      </c>
      <c r="E1812" s="5">
        <v>44</v>
      </c>
      <c r="F1812" t="s" s="2">
        <v>1746</v>
      </c>
      <c r="G1812" t="s" s="2">
        <v>3533</v>
      </c>
      <c r="H1812" s="5">
        <v>580</v>
      </c>
      <c r="I1812" t="s" s="2">
        <v>1542</v>
      </c>
      <c r="J1812" t="s" s="2">
        <v>22</v>
      </c>
      <c r="K1812" t="s" s="2">
        <v>3584</v>
      </c>
      <c r="L1812" s="5">
        <v>0</v>
      </c>
      <c r="M1812" s="5">
        <v>526591.97</v>
      </c>
      <c r="N1812" s="5">
        <v>6103076.76</v>
      </c>
      <c r="O1812" t="s" s="2">
        <v>305</v>
      </c>
      <c r="P1812" s="5">
        <v>200151</v>
      </c>
      <c r="Q1812" t="s" s="2">
        <v>3535</v>
      </c>
      <c r="R1812" t="s" s="2">
        <f>_xlfn.IFERROR(INDEX('model_byCAP'!$D$2:$D$377,MATCH(Q1812,'model_byCAP'!$A$2:$A$377,0)),0)</f>
        <v>3447</v>
      </c>
    </row>
    <row r="1813" ht="15.35" customHeight="1">
      <c r="A1813" t="s" s="2">
        <v>3585</v>
      </c>
      <c r="B1813" s="4">
        <v>37253</v>
      </c>
      <c r="C1813" s="5">
        <v>900</v>
      </c>
      <c r="D1813" s="5">
        <v>52</v>
      </c>
      <c r="E1813" s="5">
        <v>44</v>
      </c>
      <c r="F1813" t="s" s="2">
        <v>1746</v>
      </c>
      <c r="G1813" t="s" s="2">
        <v>3533</v>
      </c>
      <c r="H1813" s="5">
        <v>580</v>
      </c>
      <c r="I1813" t="s" s="2">
        <v>1542</v>
      </c>
      <c r="J1813" t="s" s="2">
        <v>22</v>
      </c>
      <c r="K1813" t="s" s="2">
        <v>3586</v>
      </c>
      <c r="L1813" s="5">
        <v>100</v>
      </c>
      <c r="M1813" s="5">
        <v>523421.08</v>
      </c>
      <c r="N1813" s="5">
        <v>6094335.3</v>
      </c>
      <c r="O1813" t="s" s="2">
        <v>305</v>
      </c>
      <c r="P1813" s="5">
        <v>44584311</v>
      </c>
      <c r="Q1813" t="s" s="2">
        <v>3535</v>
      </c>
      <c r="R1813" t="s" s="2">
        <f>_xlfn.IFERROR(INDEX('model_byCAP'!$D$2:$D$377,MATCH(Q1813,'model_byCAP'!$A$2:$A$377,0)),0)</f>
        <v>3447</v>
      </c>
    </row>
    <row r="1814" ht="15.35" customHeight="1">
      <c r="A1814" t="s" s="2">
        <v>3587</v>
      </c>
      <c r="B1814" s="4">
        <v>37618</v>
      </c>
      <c r="C1814" s="5">
        <v>900</v>
      </c>
      <c r="D1814" s="5">
        <v>52</v>
      </c>
      <c r="E1814" s="5">
        <v>44</v>
      </c>
      <c r="F1814" t="s" s="2">
        <v>1746</v>
      </c>
      <c r="G1814" t="s" s="2">
        <v>3533</v>
      </c>
      <c r="H1814" s="5">
        <v>580</v>
      </c>
      <c r="I1814" t="s" s="2">
        <v>1542</v>
      </c>
      <c r="J1814" t="s" s="2">
        <v>22</v>
      </c>
      <c r="K1814" t="s" s="2">
        <v>3586</v>
      </c>
      <c r="L1814" s="5">
        <v>315</v>
      </c>
      <c r="M1814" s="5">
        <v>523161.15</v>
      </c>
      <c r="N1814" s="5">
        <v>6094205.17</v>
      </c>
      <c r="O1814" t="s" s="2">
        <v>305</v>
      </c>
      <c r="P1814" s="5">
        <v>44584312</v>
      </c>
      <c r="Q1814" t="s" s="2">
        <v>3535</v>
      </c>
      <c r="R1814" t="s" s="2">
        <f>_xlfn.IFERROR(INDEX('model_byCAP'!$D$2:$D$377,MATCH(Q1814,'model_byCAP'!$A$2:$A$377,0)),0)</f>
        <v>3447</v>
      </c>
    </row>
    <row r="1815" ht="15.35" customHeight="1">
      <c r="A1815" t="s" s="2">
        <v>3588</v>
      </c>
      <c r="B1815" s="4">
        <v>37440</v>
      </c>
      <c r="C1815" s="5">
        <v>900</v>
      </c>
      <c r="D1815" s="5">
        <v>52</v>
      </c>
      <c r="E1815" s="5">
        <v>44</v>
      </c>
      <c r="F1815" t="s" s="2">
        <v>1746</v>
      </c>
      <c r="G1815" t="s" s="2">
        <v>3533</v>
      </c>
      <c r="H1815" s="5">
        <v>580</v>
      </c>
      <c r="I1815" t="s" s="2">
        <v>1542</v>
      </c>
      <c r="J1815" t="s" s="2">
        <v>22</v>
      </c>
      <c r="K1815" t="s" s="2">
        <v>3584</v>
      </c>
      <c r="L1815" s="5">
        <v>148</v>
      </c>
      <c r="M1815" s="5">
        <v>526584.23</v>
      </c>
      <c r="N1815" s="5">
        <v>6103249.61</v>
      </c>
      <c r="O1815" t="s" s="2">
        <v>305</v>
      </c>
      <c r="P1815" s="5">
        <v>200151</v>
      </c>
      <c r="Q1815" t="s" s="2">
        <v>3535</v>
      </c>
      <c r="R1815" t="s" s="2">
        <f>_xlfn.IFERROR(INDEX('model_byCAP'!$D$2:$D$377,MATCH(Q1815,'model_byCAP'!$A$2:$A$377,0)),0)</f>
        <v>3447</v>
      </c>
    </row>
    <row r="1816" ht="15.35" customHeight="1">
      <c r="A1816" t="s" s="2">
        <v>3589</v>
      </c>
      <c r="B1816" s="4">
        <v>36795</v>
      </c>
      <c r="C1816" s="5">
        <v>900</v>
      </c>
      <c r="D1816" s="5">
        <v>52</v>
      </c>
      <c r="E1816" s="5">
        <v>49</v>
      </c>
      <c r="F1816" t="s" s="2">
        <v>1746</v>
      </c>
      <c r="G1816" t="s" s="2">
        <v>3444</v>
      </c>
      <c r="H1816" s="5">
        <v>615</v>
      </c>
      <c r="I1816" t="s" s="2">
        <v>3590</v>
      </c>
      <c r="J1816" t="s" s="2">
        <v>22</v>
      </c>
      <c r="K1816" t="s" s="2">
        <v>3591</v>
      </c>
      <c r="L1816" t="s" s="2">
        <v>502</v>
      </c>
      <c r="M1816" s="5">
        <v>542080.21</v>
      </c>
      <c r="N1816" s="5">
        <v>6196334.1</v>
      </c>
      <c r="O1816" t="s" s="2">
        <v>305</v>
      </c>
      <c r="P1816" s="5">
        <v>1030082</v>
      </c>
      <c r="Q1816" t="s" s="2">
        <v>3446</v>
      </c>
      <c r="R1816" t="s" s="2">
        <f>_xlfn.IFERROR(INDEX('model_byCAP'!$D$2:$D$377,MATCH(Q1816,'model_byCAP'!$A$2:$A$377,0)),0)</f>
        <v>3447</v>
      </c>
    </row>
    <row r="1817" ht="15.35" customHeight="1">
      <c r="A1817" t="s" s="2">
        <v>3592</v>
      </c>
      <c r="B1817" s="4">
        <v>36795</v>
      </c>
      <c r="C1817" s="5">
        <v>900</v>
      </c>
      <c r="D1817" s="5">
        <v>52</v>
      </c>
      <c r="E1817" s="5">
        <v>49</v>
      </c>
      <c r="F1817" t="s" s="2">
        <v>1746</v>
      </c>
      <c r="G1817" t="s" s="2">
        <v>3444</v>
      </c>
      <c r="H1817" s="5">
        <v>615</v>
      </c>
      <c r="I1817" t="s" s="2">
        <v>3590</v>
      </c>
      <c r="J1817" t="s" s="2">
        <v>22</v>
      </c>
      <c r="K1817" t="s" s="2">
        <v>3591</v>
      </c>
      <c r="L1817" t="s" s="2">
        <v>502</v>
      </c>
      <c r="M1817" s="5">
        <v>541808.77</v>
      </c>
      <c r="N1817" s="5">
        <v>6196511.71</v>
      </c>
      <c r="O1817" t="s" s="2">
        <v>305</v>
      </c>
      <c r="P1817" s="5">
        <v>1030083</v>
      </c>
      <c r="Q1817" t="s" s="2">
        <v>3446</v>
      </c>
      <c r="R1817" t="s" s="2">
        <f>_xlfn.IFERROR(INDEX('model_byCAP'!$D$2:$D$377,MATCH(Q1817,'model_byCAP'!$A$2:$A$377,0)),0)</f>
        <v>3447</v>
      </c>
    </row>
    <row r="1818" ht="15.35" customHeight="1">
      <c r="A1818" t="s" s="2">
        <v>3593</v>
      </c>
      <c r="B1818" s="4">
        <v>36801</v>
      </c>
      <c r="C1818" s="5">
        <v>900</v>
      </c>
      <c r="D1818" s="5">
        <v>52</v>
      </c>
      <c r="E1818" s="5">
        <v>44</v>
      </c>
      <c r="F1818" t="s" s="2">
        <v>1746</v>
      </c>
      <c r="G1818" t="s" s="2">
        <v>3533</v>
      </c>
      <c r="H1818" s="5">
        <v>621</v>
      </c>
      <c r="I1818" t="s" s="2">
        <v>2921</v>
      </c>
      <c r="J1818" t="s" s="2">
        <v>22</v>
      </c>
      <c r="K1818" t="s" s="2">
        <v>3594</v>
      </c>
      <c r="L1818" t="s" s="2">
        <v>3595</v>
      </c>
      <c r="M1818" s="5">
        <v>532007.1</v>
      </c>
      <c r="N1818" s="5">
        <v>6141424.51</v>
      </c>
      <c r="O1818" t="s" s="2">
        <v>305</v>
      </c>
      <c r="P1818" s="5">
        <v>2203865</v>
      </c>
      <c r="Q1818" t="s" s="2">
        <v>3535</v>
      </c>
      <c r="R1818" t="s" s="2">
        <f>_xlfn.IFERROR(INDEX('model_byCAP'!$D$2:$D$377,MATCH(Q1818,'model_byCAP'!$A$2:$A$377,0)),0)</f>
        <v>3447</v>
      </c>
    </row>
    <row r="1819" ht="15.35" customHeight="1">
      <c r="A1819" t="s" s="2">
        <v>3596</v>
      </c>
      <c r="B1819" s="4">
        <v>36801</v>
      </c>
      <c r="C1819" s="5">
        <v>900</v>
      </c>
      <c r="D1819" s="5">
        <v>52</v>
      </c>
      <c r="E1819" s="5">
        <v>44.5</v>
      </c>
      <c r="F1819" t="s" s="2">
        <v>1746</v>
      </c>
      <c r="G1819" t="s" s="2">
        <v>3533</v>
      </c>
      <c r="H1819" s="5">
        <v>621</v>
      </c>
      <c r="I1819" t="s" s="2">
        <v>2921</v>
      </c>
      <c r="J1819" t="s" s="2">
        <v>22</v>
      </c>
      <c r="K1819" t="s" s="2">
        <v>3594</v>
      </c>
      <c r="L1819" t="s" s="2">
        <v>3597</v>
      </c>
      <c r="M1819" s="5">
        <v>532939.83</v>
      </c>
      <c r="N1819" s="5">
        <v>6142318.41</v>
      </c>
      <c r="O1819" t="s" s="2">
        <v>305</v>
      </c>
      <c r="P1819" s="5">
        <v>203866</v>
      </c>
      <c r="Q1819" t="s" s="2">
        <v>3535</v>
      </c>
      <c r="R1819" t="s" s="2">
        <f>_xlfn.IFERROR(INDEX('model_byCAP'!$D$2:$D$377,MATCH(Q1819,'model_byCAP'!$A$2:$A$377,0)),0)</f>
        <v>3447</v>
      </c>
    </row>
    <row r="1820" ht="15.35" customHeight="1">
      <c r="A1820" t="s" s="2">
        <v>3598</v>
      </c>
      <c r="B1820" s="4">
        <v>37215</v>
      </c>
      <c r="C1820" s="5">
        <v>900</v>
      </c>
      <c r="D1820" s="5">
        <v>52</v>
      </c>
      <c r="E1820" s="5">
        <v>44</v>
      </c>
      <c r="F1820" t="s" s="2">
        <v>1746</v>
      </c>
      <c r="G1820" t="s" s="2">
        <v>3599</v>
      </c>
      <c r="H1820" s="5">
        <v>621</v>
      </c>
      <c r="I1820" t="s" s="2">
        <v>2921</v>
      </c>
      <c r="J1820" t="s" s="2">
        <v>22</v>
      </c>
      <c r="K1820" t="s" s="2">
        <v>3600</v>
      </c>
      <c r="L1820" s="5">
        <v>38</v>
      </c>
      <c r="M1820" s="5">
        <v>519157.1</v>
      </c>
      <c r="N1820" s="5">
        <v>6137010.66</v>
      </c>
      <c r="O1820" t="s" s="2">
        <v>305</v>
      </c>
      <c r="P1820" s="5">
        <v>200131</v>
      </c>
      <c r="Q1820" t="s" s="2">
        <v>3601</v>
      </c>
      <c r="R1820" t="s" s="2">
        <f>_xlfn.IFERROR(INDEX('model_byCAP'!$D$2:$D$377,MATCH(Q1820,'model_byCAP'!$A$2:$A$377,0)),0)</f>
        <v>3447</v>
      </c>
    </row>
    <row r="1821" ht="15.35" customHeight="1">
      <c r="A1821" t="s" s="2">
        <v>3602</v>
      </c>
      <c r="B1821" s="4">
        <v>37552</v>
      </c>
      <c r="C1821" s="5">
        <v>900</v>
      </c>
      <c r="D1821" s="5">
        <v>52</v>
      </c>
      <c r="E1821" s="5">
        <v>44</v>
      </c>
      <c r="F1821" t="s" s="2">
        <v>1746</v>
      </c>
      <c r="G1821" t="s" s="2">
        <v>3533</v>
      </c>
      <c r="H1821" s="5">
        <v>621</v>
      </c>
      <c r="I1821" t="s" s="2">
        <v>2921</v>
      </c>
      <c r="J1821" t="s" s="2">
        <v>22</v>
      </c>
      <c r="K1821" t="s" s="2">
        <v>3136</v>
      </c>
      <c r="L1821" t="s" s="2">
        <v>524</v>
      </c>
      <c r="M1821" s="5">
        <v>527054.39</v>
      </c>
      <c r="N1821" s="5">
        <v>6134710.78</v>
      </c>
      <c r="O1821" t="s" s="2">
        <v>305</v>
      </c>
      <c r="P1821" s="5">
        <v>200155</v>
      </c>
      <c r="Q1821" t="s" s="2">
        <v>3535</v>
      </c>
      <c r="R1821" t="s" s="2">
        <f>_xlfn.IFERROR(INDEX('model_byCAP'!$D$2:$D$377,MATCH(Q1821,'model_byCAP'!$A$2:$A$377,0)),0)</f>
        <v>3447</v>
      </c>
    </row>
    <row r="1822" ht="15.35" customHeight="1">
      <c r="A1822" t="s" s="2">
        <v>3603</v>
      </c>
      <c r="B1822" s="4">
        <v>37246</v>
      </c>
      <c r="C1822" s="5">
        <v>900</v>
      </c>
      <c r="D1822" s="5">
        <v>52.2</v>
      </c>
      <c r="E1822" s="5">
        <v>50</v>
      </c>
      <c r="F1822" t="s" s="2">
        <v>3604</v>
      </c>
      <c r="G1822" t="s" s="2">
        <v>3605</v>
      </c>
      <c r="H1822" s="5">
        <v>657</v>
      </c>
      <c r="I1822" t="s" s="2">
        <v>541</v>
      </c>
      <c r="J1822" t="s" s="2">
        <v>22</v>
      </c>
      <c r="K1822" t="s" s="2">
        <v>3606</v>
      </c>
      <c r="L1822" t="s" s="2">
        <v>3607</v>
      </c>
      <c r="M1822" s="5">
        <v>492369.76</v>
      </c>
      <c r="N1822" s="5">
        <v>6194340.15</v>
      </c>
      <c r="O1822" t="s" s="2">
        <v>305</v>
      </c>
      <c r="P1822" s="5">
        <v>7144002</v>
      </c>
      <c r="Q1822" t="s" s="2">
        <v>3608</v>
      </c>
      <c r="R1822" t="s" s="2">
        <f>_xlfn.IFERROR(INDEX('model_byCAP'!$D$2:$D$377,MATCH(Q1822,'model_byCAP'!$A$2:$A$377,0)),0)</f>
        <v>3447</v>
      </c>
    </row>
    <row r="1823" ht="15.35" customHeight="1">
      <c r="A1823" t="s" s="2">
        <v>3609</v>
      </c>
      <c r="B1823" s="4">
        <v>37246</v>
      </c>
      <c r="C1823" s="5">
        <v>900</v>
      </c>
      <c r="D1823" s="5">
        <v>52.2</v>
      </c>
      <c r="E1823" s="5">
        <v>50</v>
      </c>
      <c r="F1823" t="s" s="2">
        <v>3604</v>
      </c>
      <c r="G1823" t="s" s="2">
        <v>3605</v>
      </c>
      <c r="H1823" s="5">
        <v>657</v>
      </c>
      <c r="I1823" t="s" s="2">
        <v>541</v>
      </c>
      <c r="J1823" t="s" s="2">
        <v>22</v>
      </c>
      <c r="K1823" t="s" s="2">
        <v>3606</v>
      </c>
      <c r="L1823" t="s" s="2">
        <v>3607</v>
      </c>
      <c r="M1823" s="5">
        <v>492570.04</v>
      </c>
      <c r="N1823" s="5">
        <v>6194710.27</v>
      </c>
      <c r="O1823" t="s" s="2">
        <v>305</v>
      </c>
      <c r="P1823" s="5">
        <v>7144002</v>
      </c>
      <c r="Q1823" t="s" s="2">
        <v>3608</v>
      </c>
      <c r="R1823" t="s" s="2">
        <f>_xlfn.IFERROR(INDEX('model_byCAP'!$D$2:$D$377,MATCH(Q1823,'model_byCAP'!$A$2:$A$377,0)),0)</f>
        <v>3447</v>
      </c>
    </row>
    <row r="1824" ht="15.35" customHeight="1">
      <c r="A1824" t="s" s="2">
        <v>3610</v>
      </c>
      <c r="B1824" s="4">
        <v>37246</v>
      </c>
      <c r="C1824" s="5">
        <v>900</v>
      </c>
      <c r="D1824" s="5">
        <v>52.2</v>
      </c>
      <c r="E1824" s="5">
        <v>50</v>
      </c>
      <c r="F1824" t="s" s="2">
        <v>3604</v>
      </c>
      <c r="G1824" t="s" s="2">
        <v>3605</v>
      </c>
      <c r="H1824" s="5">
        <v>657</v>
      </c>
      <c r="I1824" t="s" s="2">
        <v>541</v>
      </c>
      <c r="J1824" t="s" s="2">
        <v>22</v>
      </c>
      <c r="K1824" t="s" s="2">
        <v>3606</v>
      </c>
      <c r="L1824" t="s" s="2">
        <v>3607</v>
      </c>
      <c r="M1824" s="5">
        <v>492555.04</v>
      </c>
      <c r="N1824" s="5">
        <v>6194383.49</v>
      </c>
      <c r="O1824" t="s" s="2">
        <v>305</v>
      </c>
      <c r="P1824" s="5">
        <v>7144002</v>
      </c>
      <c r="Q1824" t="s" s="2">
        <v>3608</v>
      </c>
      <c r="R1824" t="s" s="2">
        <f>_xlfn.IFERROR(INDEX('model_byCAP'!$D$2:$D$377,MATCH(Q1824,'model_byCAP'!$A$2:$A$377,0)),0)</f>
        <v>3447</v>
      </c>
    </row>
    <row r="1825" ht="15.35" customHeight="1">
      <c r="A1825" t="s" s="2">
        <v>3611</v>
      </c>
      <c r="B1825" s="4">
        <v>37246</v>
      </c>
      <c r="C1825" s="5">
        <v>900</v>
      </c>
      <c r="D1825" s="5">
        <v>52.2</v>
      </c>
      <c r="E1825" s="5">
        <v>50</v>
      </c>
      <c r="F1825" t="s" s="2">
        <v>3604</v>
      </c>
      <c r="G1825" t="s" s="2">
        <v>3605</v>
      </c>
      <c r="H1825" s="5">
        <v>657</v>
      </c>
      <c r="I1825" t="s" s="2">
        <v>541</v>
      </c>
      <c r="J1825" t="s" s="2">
        <v>22</v>
      </c>
      <c r="K1825" t="s" s="2">
        <v>3606</v>
      </c>
      <c r="L1825" t="s" s="2">
        <v>3607</v>
      </c>
      <c r="M1825" s="5">
        <v>492470.37</v>
      </c>
      <c r="N1825" s="5">
        <v>6194525.92</v>
      </c>
      <c r="O1825" t="s" s="2">
        <v>305</v>
      </c>
      <c r="P1825" s="5">
        <v>7144002</v>
      </c>
      <c r="Q1825" t="s" s="2">
        <v>3608</v>
      </c>
      <c r="R1825" t="s" s="2">
        <f>_xlfn.IFERROR(INDEX('model_byCAP'!$D$2:$D$377,MATCH(Q1825,'model_byCAP'!$A$2:$A$377,0)),0)</f>
        <v>3447</v>
      </c>
    </row>
    <row r="1826" ht="15.35" customHeight="1">
      <c r="A1826" t="s" s="2">
        <v>3612</v>
      </c>
      <c r="B1826" s="4">
        <v>37246</v>
      </c>
      <c r="C1826" s="5">
        <v>900</v>
      </c>
      <c r="D1826" s="5">
        <v>52.2</v>
      </c>
      <c r="E1826" s="5">
        <v>50</v>
      </c>
      <c r="F1826" t="s" s="2">
        <v>3604</v>
      </c>
      <c r="G1826" t="s" s="2">
        <v>3605</v>
      </c>
      <c r="H1826" s="5">
        <v>657</v>
      </c>
      <c r="I1826" t="s" s="2">
        <v>541</v>
      </c>
      <c r="J1826" t="s" s="2">
        <v>22</v>
      </c>
      <c r="K1826" t="s" s="2">
        <v>3606</v>
      </c>
      <c r="L1826" t="s" s="2">
        <v>3607</v>
      </c>
      <c r="M1826" s="5">
        <v>492512.54</v>
      </c>
      <c r="N1826" s="5">
        <v>6194223.34</v>
      </c>
      <c r="O1826" t="s" s="2">
        <v>305</v>
      </c>
      <c r="P1826" s="5">
        <v>7144002</v>
      </c>
      <c r="Q1826" t="s" s="2">
        <v>3608</v>
      </c>
      <c r="R1826" t="s" s="2">
        <f>_xlfn.IFERROR(INDEX('model_byCAP'!$D$2:$D$377,MATCH(Q1826,'model_byCAP'!$A$2:$A$377,0)),0)</f>
        <v>3447</v>
      </c>
    </row>
    <row r="1827" ht="15.35" customHeight="1">
      <c r="A1827" t="s" s="2">
        <v>3613</v>
      </c>
      <c r="B1827" s="4">
        <v>37211</v>
      </c>
      <c r="C1827" s="5">
        <v>900</v>
      </c>
      <c r="D1827" s="5">
        <v>52.2</v>
      </c>
      <c r="E1827" s="5">
        <v>49</v>
      </c>
      <c r="F1827" t="s" s="2">
        <v>1746</v>
      </c>
      <c r="G1827" t="s" s="2">
        <v>3614</v>
      </c>
      <c r="H1827" s="5">
        <v>661</v>
      </c>
      <c r="I1827" t="s" s="2">
        <v>562</v>
      </c>
      <c r="J1827" t="s" s="2">
        <v>22</v>
      </c>
      <c r="K1827" t="s" s="2">
        <v>3615</v>
      </c>
      <c r="L1827" t="s" s="2">
        <v>502</v>
      </c>
      <c r="M1827" s="5">
        <v>489782.53</v>
      </c>
      <c r="N1827" s="5">
        <v>6257353.38</v>
      </c>
      <c r="O1827" t="s" s="2">
        <v>305</v>
      </c>
      <c r="P1827" s="5">
        <v>1272</v>
      </c>
      <c r="Q1827" t="s" s="2">
        <v>3616</v>
      </c>
      <c r="R1827" t="s" s="2">
        <f>_xlfn.IFERROR(INDEX('model_byCAP'!$D$2:$D$377,MATCH(Q1827,'model_byCAP'!$A$2:$A$377,0)),0)</f>
        <v>3447</v>
      </c>
    </row>
    <row r="1828" ht="15.35" customHeight="1">
      <c r="A1828" t="s" s="2">
        <v>3617</v>
      </c>
      <c r="B1828" s="4">
        <v>37613</v>
      </c>
      <c r="C1828" s="5">
        <v>900</v>
      </c>
      <c r="D1828" s="5">
        <v>52</v>
      </c>
      <c r="E1828" s="5">
        <v>49</v>
      </c>
      <c r="F1828" t="s" s="2">
        <v>1746</v>
      </c>
      <c r="G1828" t="s" s="2">
        <v>3444</v>
      </c>
      <c r="H1828" s="5">
        <v>706</v>
      </c>
      <c r="I1828" t="s" s="2">
        <v>3155</v>
      </c>
      <c r="J1828" t="s" s="2">
        <v>22</v>
      </c>
      <c r="K1828" t="s" s="2">
        <v>3618</v>
      </c>
      <c r="L1828" s="5">
        <v>16</v>
      </c>
      <c r="M1828" s="5">
        <v>586173.33</v>
      </c>
      <c r="N1828" s="5">
        <v>6242097.92</v>
      </c>
      <c r="O1828" t="s" s="2">
        <v>305</v>
      </c>
      <c r="P1828" s="5">
        <v>2002231</v>
      </c>
      <c r="Q1828" t="s" s="2">
        <v>3446</v>
      </c>
      <c r="R1828" t="s" s="2">
        <f>_xlfn.IFERROR(INDEX('model_byCAP'!$D$2:$D$377,MATCH(Q1828,'model_byCAP'!$A$2:$A$377,0)),0)</f>
        <v>3447</v>
      </c>
    </row>
    <row r="1829" ht="15.35" customHeight="1">
      <c r="A1829" t="s" s="2">
        <v>3619</v>
      </c>
      <c r="B1829" s="4">
        <v>37613</v>
      </c>
      <c r="C1829" s="5">
        <v>900</v>
      </c>
      <c r="D1829" s="5">
        <v>52</v>
      </c>
      <c r="E1829" s="5">
        <v>49</v>
      </c>
      <c r="F1829" t="s" s="2">
        <v>1746</v>
      </c>
      <c r="G1829" t="s" s="2">
        <v>3444</v>
      </c>
      <c r="H1829" s="5">
        <v>706</v>
      </c>
      <c r="I1829" t="s" s="2">
        <v>3155</v>
      </c>
      <c r="J1829" t="s" s="2">
        <v>22</v>
      </c>
      <c r="K1829" t="s" s="2">
        <v>3620</v>
      </c>
      <c r="L1829" t="s" s="2">
        <v>2931</v>
      </c>
      <c r="M1829" s="5">
        <v>585988.87</v>
      </c>
      <c r="N1829" s="5">
        <v>6242066.22</v>
      </c>
      <c r="O1829" t="s" s="2">
        <v>305</v>
      </c>
      <c r="P1829" s="5">
        <v>2002241</v>
      </c>
      <c r="Q1829" t="s" s="2">
        <v>3446</v>
      </c>
      <c r="R1829" t="s" s="2">
        <f>_xlfn.IFERROR(INDEX('model_byCAP'!$D$2:$D$377,MATCH(Q1829,'model_byCAP'!$A$2:$A$377,0)),0)</f>
        <v>3447</v>
      </c>
    </row>
    <row r="1830" ht="15.35" customHeight="1">
      <c r="A1830" t="s" s="2">
        <v>3621</v>
      </c>
      <c r="B1830" s="4">
        <v>37606</v>
      </c>
      <c r="C1830" s="5">
        <v>900</v>
      </c>
      <c r="D1830" s="5">
        <v>52</v>
      </c>
      <c r="E1830" s="5">
        <v>49</v>
      </c>
      <c r="F1830" t="s" s="2">
        <v>1746</v>
      </c>
      <c r="G1830" t="s" s="2">
        <v>3444</v>
      </c>
      <c r="H1830" s="5">
        <v>706</v>
      </c>
      <c r="I1830" t="s" s="2">
        <v>3155</v>
      </c>
      <c r="J1830" t="s" s="2">
        <v>22</v>
      </c>
      <c r="K1830" t="s" s="2">
        <v>3622</v>
      </c>
      <c r="L1830" t="s" s="2">
        <v>3623</v>
      </c>
      <c r="M1830" s="5">
        <v>610947.1</v>
      </c>
      <c r="N1830" s="5">
        <v>6241664.49</v>
      </c>
      <c r="O1830" t="s" s="2">
        <v>305</v>
      </c>
      <c r="P1830" s="5">
        <v>2002251</v>
      </c>
      <c r="Q1830" t="s" s="2">
        <v>3446</v>
      </c>
      <c r="R1830" t="s" s="2">
        <f>_xlfn.IFERROR(INDEX('model_byCAP'!$D$2:$D$377,MATCH(Q1830,'model_byCAP'!$A$2:$A$377,0)),0)</f>
        <v>3447</v>
      </c>
    </row>
    <row r="1831" ht="15.35" customHeight="1">
      <c r="A1831" t="s" s="2">
        <v>3624</v>
      </c>
      <c r="B1831" s="4">
        <v>37606</v>
      </c>
      <c r="C1831" s="5">
        <v>900</v>
      </c>
      <c r="D1831" s="5">
        <v>52</v>
      </c>
      <c r="E1831" s="5">
        <v>49</v>
      </c>
      <c r="F1831" t="s" s="2">
        <v>1746</v>
      </c>
      <c r="G1831" t="s" s="2">
        <v>3444</v>
      </c>
      <c r="H1831" s="5">
        <v>706</v>
      </c>
      <c r="I1831" t="s" s="2">
        <v>3155</v>
      </c>
      <c r="J1831" t="s" s="2">
        <v>22</v>
      </c>
      <c r="K1831" t="s" s="2">
        <v>3622</v>
      </c>
      <c r="L1831" t="s" s="2">
        <v>3625</v>
      </c>
      <c r="M1831" s="5">
        <v>611013.0600000001</v>
      </c>
      <c r="N1831" s="5">
        <v>6241486.81</v>
      </c>
      <c r="O1831" t="s" s="2">
        <v>305</v>
      </c>
      <c r="P1831" s="5">
        <v>2002261</v>
      </c>
      <c r="Q1831" t="s" s="2">
        <v>3446</v>
      </c>
      <c r="R1831" t="s" s="2">
        <f>_xlfn.IFERROR(INDEX('model_byCAP'!$D$2:$D$377,MATCH(Q1831,'model_byCAP'!$A$2:$A$377,0)),0)</f>
        <v>3447</v>
      </c>
    </row>
    <row r="1832" ht="15.35" customHeight="1">
      <c r="A1832" t="s" s="2">
        <v>3626</v>
      </c>
      <c r="B1832" s="4">
        <v>37606</v>
      </c>
      <c r="C1832" s="5">
        <v>900</v>
      </c>
      <c r="D1832" s="5">
        <v>52</v>
      </c>
      <c r="E1832" s="5">
        <v>49</v>
      </c>
      <c r="F1832" t="s" s="2">
        <v>1746</v>
      </c>
      <c r="G1832" t="s" s="2">
        <v>3444</v>
      </c>
      <c r="H1832" s="5">
        <v>706</v>
      </c>
      <c r="I1832" t="s" s="2">
        <v>3155</v>
      </c>
      <c r="J1832" t="s" s="2">
        <v>22</v>
      </c>
      <c r="K1832" t="s" s="2">
        <v>3622</v>
      </c>
      <c r="L1832" t="s" s="2">
        <v>3625</v>
      </c>
      <c r="M1832" s="5">
        <v>611080.23</v>
      </c>
      <c r="N1832" s="5">
        <v>6241309.34</v>
      </c>
      <c r="O1832" t="s" s="2">
        <v>305</v>
      </c>
      <c r="P1832" s="5">
        <v>2002271</v>
      </c>
      <c r="Q1832" t="s" s="2">
        <v>3446</v>
      </c>
      <c r="R1832" t="s" s="2">
        <f>_xlfn.IFERROR(INDEX('model_byCAP'!$D$2:$D$377,MATCH(Q1832,'model_byCAP'!$A$2:$A$377,0)),0)</f>
        <v>3447</v>
      </c>
    </row>
    <row r="1833" ht="15.35" customHeight="1">
      <c r="A1833" t="s" s="2">
        <v>3627</v>
      </c>
      <c r="B1833" s="4">
        <v>37606</v>
      </c>
      <c r="C1833" s="5">
        <v>900</v>
      </c>
      <c r="D1833" s="5">
        <v>52</v>
      </c>
      <c r="E1833" s="5">
        <v>49</v>
      </c>
      <c r="F1833" t="s" s="2">
        <v>1746</v>
      </c>
      <c r="G1833" t="s" s="2">
        <v>3444</v>
      </c>
      <c r="H1833" s="5">
        <v>706</v>
      </c>
      <c r="I1833" t="s" s="2">
        <v>3155</v>
      </c>
      <c r="J1833" t="s" s="2">
        <v>22</v>
      </c>
      <c r="K1833" t="s" s="2">
        <v>3622</v>
      </c>
      <c r="L1833" t="s" s="2">
        <v>2923</v>
      </c>
      <c r="M1833" s="5">
        <v>611147.14</v>
      </c>
      <c r="N1833" s="5">
        <v>6241131.21</v>
      </c>
      <c r="O1833" t="s" s="2">
        <v>305</v>
      </c>
      <c r="P1833" s="5">
        <v>2002281</v>
      </c>
      <c r="Q1833" t="s" s="2">
        <v>3446</v>
      </c>
      <c r="R1833" t="s" s="2">
        <f>_xlfn.IFERROR(INDEX('model_byCAP'!$D$2:$D$377,MATCH(Q1833,'model_byCAP'!$A$2:$A$377,0)),0)</f>
        <v>3447</v>
      </c>
    </row>
    <row r="1834" ht="15.35" customHeight="1">
      <c r="A1834" t="s" s="2">
        <v>3628</v>
      </c>
      <c r="B1834" s="4">
        <v>36782</v>
      </c>
      <c r="C1834" s="5">
        <v>900</v>
      </c>
      <c r="D1834" s="5">
        <v>52</v>
      </c>
      <c r="E1834" s="5">
        <v>49</v>
      </c>
      <c r="F1834" t="s" s="2">
        <v>1746</v>
      </c>
      <c r="G1834" t="s" s="2">
        <v>3629</v>
      </c>
      <c r="H1834" s="5">
        <v>710</v>
      </c>
      <c r="I1834" t="s" s="2">
        <v>3630</v>
      </c>
      <c r="J1834" t="s" s="2">
        <v>22</v>
      </c>
      <c r="K1834" t="s" s="2">
        <v>3631</v>
      </c>
      <c r="L1834" t="s" s="2">
        <v>2078</v>
      </c>
      <c r="M1834" s="5">
        <v>567952.62</v>
      </c>
      <c r="N1834" s="5">
        <v>6246662.77</v>
      </c>
      <c r="O1834" t="s" s="2">
        <v>305</v>
      </c>
      <c r="P1834" s="5">
        <v>95158</v>
      </c>
      <c r="Q1834" t="s" s="2">
        <v>3632</v>
      </c>
      <c r="R1834" t="s" s="2">
        <f>_xlfn.IFERROR(INDEX('model_byCAP'!$D$2:$D$377,MATCH(Q1834,'model_byCAP'!$A$2:$A$377,0)),0)</f>
        <v>3447</v>
      </c>
    </row>
    <row r="1835" ht="15.35" customHeight="1">
      <c r="A1835" t="s" s="2">
        <v>3633</v>
      </c>
      <c r="B1835" s="4">
        <v>36782</v>
      </c>
      <c r="C1835" s="5">
        <v>900</v>
      </c>
      <c r="D1835" s="5">
        <v>52</v>
      </c>
      <c r="E1835" s="5">
        <v>49</v>
      </c>
      <c r="F1835" t="s" s="2">
        <v>1746</v>
      </c>
      <c r="G1835" t="s" s="2">
        <v>3629</v>
      </c>
      <c r="H1835" s="5">
        <v>710</v>
      </c>
      <c r="I1835" t="s" s="2">
        <v>3630</v>
      </c>
      <c r="J1835" t="s" s="2">
        <v>22</v>
      </c>
      <c r="K1835" t="s" s="2">
        <v>3631</v>
      </c>
      <c r="L1835" t="s" s="2">
        <v>1504</v>
      </c>
      <c r="M1835" s="5">
        <v>567902.3100000001</v>
      </c>
      <c r="N1835" s="5">
        <v>6246881.52</v>
      </c>
      <c r="O1835" t="s" s="2">
        <v>305</v>
      </c>
      <c r="P1835" s="5">
        <v>95159</v>
      </c>
      <c r="Q1835" t="s" s="2">
        <v>3632</v>
      </c>
      <c r="R1835" t="s" s="2">
        <f>_xlfn.IFERROR(INDEX('model_byCAP'!$D$2:$D$377,MATCH(Q1835,'model_byCAP'!$A$2:$A$377,0)),0)</f>
        <v>3447</v>
      </c>
    </row>
    <row r="1836" ht="15.35" customHeight="1">
      <c r="A1836" t="s" s="2">
        <v>3634</v>
      </c>
      <c r="B1836" s="4">
        <v>36782</v>
      </c>
      <c r="C1836" s="5">
        <v>900</v>
      </c>
      <c r="D1836" s="5">
        <v>52</v>
      </c>
      <c r="E1836" s="5">
        <v>49</v>
      </c>
      <c r="F1836" t="s" s="2">
        <v>1746</v>
      </c>
      <c r="G1836" t="s" s="2">
        <v>3444</v>
      </c>
      <c r="H1836" s="5">
        <v>710</v>
      </c>
      <c r="I1836" t="s" s="2">
        <v>3630</v>
      </c>
      <c r="J1836" t="s" s="2">
        <v>22</v>
      </c>
      <c r="K1836" t="s" s="2">
        <v>3631</v>
      </c>
      <c r="L1836" t="s" s="2">
        <v>492</v>
      </c>
      <c r="M1836" s="5">
        <v>567801.38</v>
      </c>
      <c r="N1836" s="5">
        <v>6247319.93</v>
      </c>
      <c r="O1836" t="s" s="2">
        <v>305</v>
      </c>
      <c r="P1836" s="5">
        <v>95160</v>
      </c>
      <c r="Q1836" t="s" s="2">
        <v>3446</v>
      </c>
      <c r="R1836" t="s" s="2">
        <f>_xlfn.IFERROR(INDEX('model_byCAP'!$D$2:$D$377,MATCH(Q1836,'model_byCAP'!$A$2:$A$377,0)),0)</f>
        <v>3447</v>
      </c>
    </row>
    <row r="1837" ht="15.35" customHeight="1">
      <c r="A1837" t="s" s="2">
        <v>3635</v>
      </c>
      <c r="B1837" s="4">
        <v>36782</v>
      </c>
      <c r="C1837" s="5">
        <v>900</v>
      </c>
      <c r="D1837" s="5">
        <v>52</v>
      </c>
      <c r="E1837" s="5">
        <v>49</v>
      </c>
      <c r="F1837" t="s" s="2">
        <v>1746</v>
      </c>
      <c r="G1837" t="s" s="2">
        <v>3444</v>
      </c>
      <c r="H1837" s="5">
        <v>710</v>
      </c>
      <c r="I1837" t="s" s="2">
        <v>3630</v>
      </c>
      <c r="J1837" t="s" s="2">
        <v>22</v>
      </c>
      <c r="K1837" t="s" s="2">
        <v>3631</v>
      </c>
      <c r="L1837" t="s" s="2">
        <v>481</v>
      </c>
      <c r="M1837" s="5">
        <v>567851.6800000001</v>
      </c>
      <c r="N1837" s="5">
        <v>6247100.84</v>
      </c>
      <c r="O1837" t="s" s="2">
        <v>305</v>
      </c>
      <c r="P1837" s="5">
        <v>95161</v>
      </c>
      <c r="Q1837" t="s" s="2">
        <v>3446</v>
      </c>
      <c r="R1837" t="s" s="2">
        <f>_xlfn.IFERROR(INDEX('model_byCAP'!$D$2:$D$377,MATCH(Q1837,'model_byCAP'!$A$2:$A$377,0)),0)</f>
        <v>3447</v>
      </c>
    </row>
    <row r="1838" ht="15.35" customHeight="1">
      <c r="A1838" t="s" s="2">
        <v>3636</v>
      </c>
      <c r="B1838" s="4">
        <v>37257</v>
      </c>
      <c r="C1838" s="5">
        <v>900</v>
      </c>
      <c r="D1838" s="5">
        <v>52</v>
      </c>
      <c r="E1838" s="5">
        <v>44</v>
      </c>
      <c r="F1838" t="s" s="2">
        <v>1746</v>
      </c>
      <c r="G1838" t="s" s="2">
        <v>3444</v>
      </c>
      <c r="H1838" s="5">
        <v>710</v>
      </c>
      <c r="I1838" t="s" s="2">
        <v>3630</v>
      </c>
      <c r="J1838" t="s" s="2">
        <v>22</v>
      </c>
      <c r="K1838" t="s" s="2">
        <v>3637</v>
      </c>
      <c r="L1838" t="s" s="2">
        <v>3638</v>
      </c>
      <c r="M1838" s="5">
        <v>568607.42</v>
      </c>
      <c r="N1838" s="5">
        <v>6235737.43</v>
      </c>
      <c r="O1838" t="s" s="2">
        <v>305</v>
      </c>
      <c r="P1838" s="5">
        <v>2002451</v>
      </c>
      <c r="Q1838" t="s" s="2">
        <v>3446</v>
      </c>
      <c r="R1838" t="s" s="2">
        <f>_xlfn.IFERROR(INDEX('model_byCAP'!$D$2:$D$377,MATCH(Q1838,'model_byCAP'!$A$2:$A$377,0)),0)</f>
        <v>3447</v>
      </c>
    </row>
    <row r="1839" ht="15.35" customHeight="1">
      <c r="A1839" t="s" s="2">
        <v>3639</v>
      </c>
      <c r="B1839" s="4">
        <v>37257</v>
      </c>
      <c r="C1839" s="5">
        <v>900</v>
      </c>
      <c r="D1839" s="5">
        <v>52</v>
      </c>
      <c r="E1839" s="5">
        <v>44</v>
      </c>
      <c r="F1839" t="s" s="2">
        <v>1746</v>
      </c>
      <c r="G1839" t="s" s="2">
        <v>3444</v>
      </c>
      <c r="H1839" s="5">
        <v>710</v>
      </c>
      <c r="I1839" t="s" s="2">
        <v>3630</v>
      </c>
      <c r="J1839" t="s" s="2">
        <v>22</v>
      </c>
      <c r="K1839" t="s" s="2">
        <v>3637</v>
      </c>
      <c r="L1839" t="s" s="2">
        <v>3638</v>
      </c>
      <c r="M1839" s="5">
        <v>568703.1</v>
      </c>
      <c r="N1839" s="5">
        <v>6235589.91</v>
      </c>
      <c r="O1839" t="s" s="2">
        <v>305</v>
      </c>
      <c r="P1839" s="5">
        <v>2002461</v>
      </c>
      <c r="Q1839" t="s" s="2">
        <v>3446</v>
      </c>
      <c r="R1839" t="s" s="2">
        <f>_xlfn.IFERROR(INDEX('model_byCAP'!$D$2:$D$377,MATCH(Q1839,'model_byCAP'!$A$2:$A$377,0)),0)</f>
        <v>3447</v>
      </c>
    </row>
    <row r="1840" ht="15.35" customHeight="1">
      <c r="A1840" t="s" s="2">
        <v>3640</v>
      </c>
      <c r="B1840" s="4">
        <v>36801</v>
      </c>
      <c r="C1840" s="5">
        <v>900</v>
      </c>
      <c r="D1840" s="5">
        <v>52</v>
      </c>
      <c r="E1840" s="5">
        <v>44</v>
      </c>
      <c r="F1840" t="s" s="2">
        <v>1746</v>
      </c>
      <c r="G1840" t="s" s="2">
        <v>3444</v>
      </c>
      <c r="H1840" s="5">
        <v>710</v>
      </c>
      <c r="I1840" t="s" s="2">
        <v>3630</v>
      </c>
      <c r="J1840" t="s" s="2">
        <v>22</v>
      </c>
      <c r="K1840" t="s" s="2">
        <v>3637</v>
      </c>
      <c r="L1840" t="s" s="2">
        <v>3638</v>
      </c>
      <c r="M1840" s="5">
        <v>568798.47</v>
      </c>
      <c r="N1840" s="5">
        <v>6235442.67</v>
      </c>
      <c r="O1840" t="s" s="2">
        <v>305</v>
      </c>
      <c r="P1840" s="5">
        <v>2002471</v>
      </c>
      <c r="Q1840" t="s" s="2">
        <v>3446</v>
      </c>
      <c r="R1840" t="s" s="2">
        <f>_xlfn.IFERROR(INDEX('model_byCAP'!$D$2:$D$377,MATCH(Q1840,'model_byCAP'!$A$2:$A$377,0)),0)</f>
        <v>3447</v>
      </c>
    </row>
    <row r="1841" ht="15.35" customHeight="1">
      <c r="A1841" t="s" s="2">
        <v>3641</v>
      </c>
      <c r="B1841" s="4">
        <v>37610</v>
      </c>
      <c r="C1841" s="5">
        <v>900</v>
      </c>
      <c r="D1841" s="5">
        <v>52</v>
      </c>
      <c r="E1841" s="5">
        <v>49</v>
      </c>
      <c r="F1841" t="s" s="2">
        <v>1746</v>
      </c>
      <c r="G1841" t="s" s="2">
        <v>3533</v>
      </c>
      <c r="H1841" s="5">
        <v>727</v>
      </c>
      <c r="I1841" t="s" s="2">
        <v>2452</v>
      </c>
      <c r="J1841" t="s" s="2">
        <v>22</v>
      </c>
      <c r="K1841" t="s" s="2">
        <v>3642</v>
      </c>
      <c r="L1841" t="s" s="2">
        <v>3414</v>
      </c>
      <c r="M1841" s="5">
        <v>564605.98</v>
      </c>
      <c r="N1841" s="5">
        <v>6204046.3</v>
      </c>
      <c r="O1841" t="s" s="2">
        <v>305</v>
      </c>
      <c r="P1841" s="5">
        <v>90067</v>
      </c>
      <c r="Q1841" t="s" s="2">
        <v>3535</v>
      </c>
      <c r="R1841" t="s" s="2">
        <f>_xlfn.IFERROR(INDEX('model_byCAP'!$D$2:$D$377,MATCH(Q1841,'model_byCAP'!$A$2:$A$377,0)),0)</f>
        <v>3447</v>
      </c>
    </row>
    <row r="1842" ht="15.35" customHeight="1">
      <c r="A1842" t="s" s="2">
        <v>3643</v>
      </c>
      <c r="B1842" s="4">
        <v>37610</v>
      </c>
      <c r="C1842" s="5">
        <v>900</v>
      </c>
      <c r="D1842" s="5">
        <v>52</v>
      </c>
      <c r="E1842" s="5">
        <v>49</v>
      </c>
      <c r="F1842" t="s" s="2">
        <v>1746</v>
      </c>
      <c r="G1842" t="s" s="2">
        <v>3533</v>
      </c>
      <c r="H1842" s="5">
        <v>727</v>
      </c>
      <c r="I1842" t="s" s="2">
        <v>2452</v>
      </c>
      <c r="J1842" t="s" s="2">
        <v>22</v>
      </c>
      <c r="K1842" t="s" s="2">
        <v>3642</v>
      </c>
      <c r="L1842" t="s" s="2">
        <v>2809</v>
      </c>
      <c r="M1842" s="5">
        <v>564601.38</v>
      </c>
      <c r="N1842" s="5">
        <v>6204295.32</v>
      </c>
      <c r="O1842" t="s" s="2">
        <v>305</v>
      </c>
      <c r="P1842" s="5">
        <v>90068</v>
      </c>
      <c r="Q1842" t="s" s="2">
        <v>3535</v>
      </c>
      <c r="R1842" t="s" s="2">
        <f>_xlfn.IFERROR(INDEX('model_byCAP'!$D$2:$D$377,MATCH(Q1842,'model_byCAP'!$A$2:$A$377,0)),0)</f>
        <v>3447</v>
      </c>
    </row>
    <row r="1843" ht="15.35" customHeight="1">
      <c r="A1843" t="s" s="2">
        <v>3644</v>
      </c>
      <c r="B1843" s="4">
        <v>37610</v>
      </c>
      <c r="C1843" s="5">
        <v>900</v>
      </c>
      <c r="D1843" s="5">
        <v>52</v>
      </c>
      <c r="E1843" s="5">
        <v>49</v>
      </c>
      <c r="F1843" t="s" s="2">
        <v>1746</v>
      </c>
      <c r="G1843" t="s" s="2">
        <v>3533</v>
      </c>
      <c r="H1843" s="5">
        <v>727</v>
      </c>
      <c r="I1843" t="s" s="2">
        <v>2452</v>
      </c>
      <c r="J1843" t="s" s="2">
        <v>22</v>
      </c>
      <c r="K1843" t="s" s="2">
        <v>3642</v>
      </c>
      <c r="L1843" t="s" s="2">
        <v>3295</v>
      </c>
      <c r="M1843" s="5">
        <v>564598.59</v>
      </c>
      <c r="N1843" s="5">
        <v>6204545.16</v>
      </c>
      <c r="O1843" t="s" s="2">
        <v>305</v>
      </c>
      <c r="P1843" s="5">
        <v>90069</v>
      </c>
      <c r="Q1843" t="s" s="2">
        <v>3535</v>
      </c>
      <c r="R1843" t="s" s="2">
        <f>_xlfn.IFERROR(INDEX('model_byCAP'!$D$2:$D$377,MATCH(Q1843,'model_byCAP'!$A$2:$A$377,0)),0)</f>
        <v>3447</v>
      </c>
    </row>
    <row r="1844" ht="15.35" customHeight="1">
      <c r="A1844" t="s" s="2">
        <v>3645</v>
      </c>
      <c r="B1844" s="4">
        <v>36678</v>
      </c>
      <c r="C1844" s="5">
        <v>900</v>
      </c>
      <c r="D1844" s="5">
        <v>52</v>
      </c>
      <c r="E1844" s="5">
        <v>44</v>
      </c>
      <c r="F1844" t="s" s="2">
        <v>1746</v>
      </c>
      <c r="G1844" t="s" s="2">
        <v>3533</v>
      </c>
      <c r="H1844" s="5">
        <v>730</v>
      </c>
      <c r="I1844" t="s" s="2">
        <v>843</v>
      </c>
      <c r="J1844" t="s" s="2">
        <v>22</v>
      </c>
      <c r="K1844" t="s" s="2">
        <v>3646</v>
      </c>
      <c r="L1844" t="s" s="2">
        <v>3647</v>
      </c>
      <c r="M1844" s="5">
        <v>564885.0600000001</v>
      </c>
      <c r="N1844" s="5">
        <v>6249975.6</v>
      </c>
      <c r="O1844" t="s" s="2">
        <v>305</v>
      </c>
      <c r="P1844" s="5">
        <v>95105</v>
      </c>
      <c r="Q1844" t="s" s="2">
        <v>3535</v>
      </c>
      <c r="R1844" t="s" s="2">
        <f>_xlfn.IFERROR(INDEX('model_byCAP'!$D$2:$D$377,MATCH(Q1844,'model_byCAP'!$A$2:$A$377,0)),0)</f>
        <v>3447</v>
      </c>
    </row>
    <row r="1845" ht="15.35" customHeight="1">
      <c r="A1845" t="s" s="2">
        <v>3648</v>
      </c>
      <c r="B1845" s="4">
        <v>36661</v>
      </c>
      <c r="C1845" s="5">
        <v>900</v>
      </c>
      <c r="D1845" s="5">
        <v>52</v>
      </c>
      <c r="E1845" s="5">
        <v>44</v>
      </c>
      <c r="F1845" t="s" s="2">
        <v>1746</v>
      </c>
      <c r="G1845" t="s" s="2">
        <v>3533</v>
      </c>
      <c r="H1845" s="5">
        <v>730</v>
      </c>
      <c r="I1845" t="s" s="2">
        <v>843</v>
      </c>
      <c r="J1845" t="s" s="2">
        <v>22</v>
      </c>
      <c r="K1845" t="s" s="2">
        <v>3646</v>
      </c>
      <c r="L1845" t="s" s="2">
        <v>3649</v>
      </c>
      <c r="M1845" s="5">
        <v>564984.25</v>
      </c>
      <c r="N1845" s="5">
        <v>6250421.79</v>
      </c>
      <c r="O1845" t="s" s="2">
        <v>305</v>
      </c>
      <c r="P1845" s="5">
        <v>95106</v>
      </c>
      <c r="Q1845" t="s" s="2">
        <v>3535</v>
      </c>
      <c r="R1845" t="s" s="2">
        <f>_xlfn.IFERROR(INDEX('model_byCAP'!$D$2:$D$377,MATCH(Q1845,'model_byCAP'!$A$2:$A$377,0)),0)</f>
        <v>3447</v>
      </c>
    </row>
    <row r="1846" ht="15.35" customHeight="1">
      <c r="A1846" t="s" s="2">
        <v>3650</v>
      </c>
      <c r="B1846" s="4">
        <v>36661</v>
      </c>
      <c r="C1846" s="5">
        <v>900</v>
      </c>
      <c r="D1846" s="5">
        <v>52</v>
      </c>
      <c r="E1846" s="5">
        <v>44.5</v>
      </c>
      <c r="F1846" t="s" s="2">
        <v>1746</v>
      </c>
      <c r="G1846" t="s" s="2">
        <v>3533</v>
      </c>
      <c r="H1846" s="5">
        <v>730</v>
      </c>
      <c r="I1846" t="s" s="2">
        <v>843</v>
      </c>
      <c r="J1846" t="s" s="2">
        <v>22</v>
      </c>
      <c r="K1846" t="s" s="2">
        <v>3646</v>
      </c>
      <c r="L1846" t="s" s="2">
        <v>24</v>
      </c>
      <c r="M1846" s="5">
        <v>564715.42</v>
      </c>
      <c r="N1846" s="5">
        <v>6250284.05</v>
      </c>
      <c r="O1846" t="s" s="2">
        <v>305</v>
      </c>
      <c r="P1846" s="5">
        <v>95107</v>
      </c>
      <c r="Q1846" t="s" s="2">
        <v>3535</v>
      </c>
      <c r="R1846" t="s" s="2">
        <f>_xlfn.IFERROR(INDEX('model_byCAP'!$D$2:$D$377,MATCH(Q1846,'model_byCAP'!$A$2:$A$377,0)),0)</f>
        <v>3447</v>
      </c>
    </row>
    <row r="1847" ht="15.35" customHeight="1">
      <c r="A1847" t="s" s="2">
        <v>3651</v>
      </c>
      <c r="B1847" s="4">
        <v>36873</v>
      </c>
      <c r="C1847" s="5">
        <v>900</v>
      </c>
      <c r="D1847" s="5">
        <v>52</v>
      </c>
      <c r="E1847" s="5">
        <v>44</v>
      </c>
      <c r="F1847" t="s" s="2">
        <v>1746</v>
      </c>
      <c r="G1847" t="s" s="2">
        <v>3444</v>
      </c>
      <c r="H1847" s="5">
        <v>730</v>
      </c>
      <c r="I1847" t="s" s="2">
        <v>843</v>
      </c>
      <c r="J1847" t="s" s="2">
        <v>22</v>
      </c>
      <c r="K1847" t="s" s="2">
        <v>3652</v>
      </c>
      <c r="L1847" t="s" s="2">
        <v>3653</v>
      </c>
      <c r="M1847" s="5">
        <v>570819.24</v>
      </c>
      <c r="N1847" s="5">
        <v>6254327.98</v>
      </c>
      <c r="O1847" t="s" s="2">
        <v>305</v>
      </c>
      <c r="P1847" s="5">
        <v>95169</v>
      </c>
      <c r="Q1847" t="s" s="2">
        <v>3446</v>
      </c>
      <c r="R1847" t="s" s="2">
        <f>_xlfn.IFERROR(INDEX('model_byCAP'!$D$2:$D$377,MATCH(Q1847,'model_byCAP'!$A$2:$A$377,0)),0)</f>
        <v>3447</v>
      </c>
    </row>
    <row r="1848" ht="15.35" customHeight="1">
      <c r="A1848" t="s" s="2">
        <v>3654</v>
      </c>
      <c r="B1848" s="4">
        <v>36873</v>
      </c>
      <c r="C1848" s="5">
        <v>900</v>
      </c>
      <c r="D1848" s="5">
        <v>52.2</v>
      </c>
      <c r="E1848" s="5">
        <v>44</v>
      </c>
      <c r="F1848" t="s" s="2">
        <v>1746</v>
      </c>
      <c r="G1848" t="s" s="2">
        <v>3533</v>
      </c>
      <c r="H1848" s="5">
        <v>730</v>
      </c>
      <c r="I1848" t="s" s="2">
        <v>843</v>
      </c>
      <c r="J1848" t="s" s="2">
        <v>22</v>
      </c>
      <c r="K1848" t="s" s="2">
        <v>3652</v>
      </c>
      <c r="L1848" t="s" s="2">
        <v>2348</v>
      </c>
      <c r="M1848" s="5">
        <v>570966.74</v>
      </c>
      <c r="N1848" s="5">
        <v>6254228.68</v>
      </c>
      <c r="O1848" t="s" s="2">
        <v>305</v>
      </c>
      <c r="P1848" s="5">
        <v>95170</v>
      </c>
      <c r="Q1848" t="s" s="2">
        <v>3535</v>
      </c>
      <c r="R1848" t="s" s="2">
        <f>_xlfn.IFERROR(INDEX('model_byCAP'!$D$2:$D$377,MATCH(Q1848,'model_byCAP'!$A$2:$A$377,0)),0)</f>
        <v>3447</v>
      </c>
    </row>
    <row r="1849" ht="15.35" customHeight="1">
      <c r="A1849" t="s" s="2">
        <v>3655</v>
      </c>
      <c r="B1849" s="4">
        <v>36851</v>
      </c>
      <c r="C1849" s="5">
        <v>900</v>
      </c>
      <c r="D1849" s="5">
        <v>52</v>
      </c>
      <c r="E1849" s="5">
        <v>44</v>
      </c>
      <c r="F1849" t="s" s="2">
        <v>1746</v>
      </c>
      <c r="G1849" t="s" s="2">
        <v>3444</v>
      </c>
      <c r="H1849" s="5">
        <v>730</v>
      </c>
      <c r="I1849" t="s" s="2">
        <v>843</v>
      </c>
      <c r="J1849" t="s" s="2">
        <v>22</v>
      </c>
      <c r="K1849" t="s" s="2">
        <v>3656</v>
      </c>
      <c r="L1849" t="s" s="2">
        <v>3657</v>
      </c>
      <c r="M1849" s="5">
        <v>564328.36</v>
      </c>
      <c r="N1849" s="5">
        <v>6254163.39</v>
      </c>
      <c r="O1849" t="s" s="2">
        <v>305</v>
      </c>
      <c r="P1849" s="5">
        <v>3</v>
      </c>
      <c r="Q1849" t="s" s="2">
        <v>3446</v>
      </c>
      <c r="R1849" t="s" s="2">
        <f>_xlfn.IFERROR(INDEX('model_byCAP'!$D$2:$D$377,MATCH(Q1849,'model_byCAP'!$A$2:$A$377,0)),0)</f>
        <v>3447</v>
      </c>
    </row>
    <row r="1850" ht="15.35" customHeight="1">
      <c r="A1850" t="s" s="2">
        <v>3658</v>
      </c>
      <c r="B1850" s="4">
        <v>36573</v>
      </c>
      <c r="C1850" s="5">
        <v>900</v>
      </c>
      <c r="D1850" s="5">
        <v>52</v>
      </c>
      <c r="E1850" s="5">
        <v>44</v>
      </c>
      <c r="F1850" t="s" s="2">
        <v>1746</v>
      </c>
      <c r="G1850" t="s" s="2">
        <v>3444</v>
      </c>
      <c r="H1850" s="5">
        <v>740</v>
      </c>
      <c r="I1850" t="s" s="2">
        <v>899</v>
      </c>
      <c r="J1850" t="s" s="2">
        <v>22</v>
      </c>
      <c r="K1850" t="s" s="2">
        <v>3659</v>
      </c>
      <c r="L1850" t="s" s="2">
        <v>481</v>
      </c>
      <c r="M1850" s="5">
        <v>542801.4399999999</v>
      </c>
      <c r="N1850" s="5">
        <v>6235002.47</v>
      </c>
      <c r="O1850" t="s" s="2">
        <v>305</v>
      </c>
      <c r="P1850" s="5">
        <v>3080264</v>
      </c>
      <c r="Q1850" t="s" s="2">
        <v>3446</v>
      </c>
      <c r="R1850" t="s" s="2">
        <f>_xlfn.IFERROR(INDEX('model_byCAP'!$D$2:$D$377,MATCH(Q1850,'model_byCAP'!$A$2:$A$377,0)),0)</f>
        <v>3447</v>
      </c>
    </row>
    <row r="1851" ht="15.35" customHeight="1">
      <c r="A1851" t="s" s="2">
        <v>3660</v>
      </c>
      <c r="B1851" s="4">
        <v>36573</v>
      </c>
      <c r="C1851" s="5">
        <v>900</v>
      </c>
      <c r="D1851" s="5">
        <v>52</v>
      </c>
      <c r="E1851" s="5">
        <v>44</v>
      </c>
      <c r="F1851" t="s" s="2">
        <v>1746</v>
      </c>
      <c r="G1851" t="s" s="2">
        <v>3444</v>
      </c>
      <c r="H1851" s="5">
        <v>740</v>
      </c>
      <c r="I1851" t="s" s="2">
        <v>899</v>
      </c>
      <c r="J1851" t="s" s="2">
        <v>22</v>
      </c>
      <c r="K1851" t="s" s="2">
        <v>3659</v>
      </c>
      <c r="L1851" t="s" s="2">
        <v>1744</v>
      </c>
      <c r="M1851" s="5">
        <v>543068.85</v>
      </c>
      <c r="N1851" s="5">
        <v>6234940.99</v>
      </c>
      <c r="O1851" t="s" s="2">
        <v>305</v>
      </c>
      <c r="P1851" s="5">
        <v>3080265</v>
      </c>
      <c r="Q1851" t="s" s="2">
        <v>3446</v>
      </c>
      <c r="R1851" t="s" s="2">
        <f>_xlfn.IFERROR(INDEX('model_byCAP'!$D$2:$D$377,MATCH(Q1851,'model_byCAP'!$A$2:$A$377,0)),0)</f>
        <v>3447</v>
      </c>
    </row>
    <row r="1852" ht="15.35" customHeight="1">
      <c r="A1852" t="s" s="2">
        <v>3661</v>
      </c>
      <c r="B1852" s="4">
        <v>36577</v>
      </c>
      <c r="C1852" s="5">
        <v>900</v>
      </c>
      <c r="D1852" s="5">
        <v>52</v>
      </c>
      <c r="E1852" s="5">
        <v>44</v>
      </c>
      <c r="F1852" t="s" s="2">
        <v>1746</v>
      </c>
      <c r="G1852" t="s" s="2">
        <v>3444</v>
      </c>
      <c r="H1852" s="5">
        <v>740</v>
      </c>
      <c r="I1852" t="s" s="2">
        <v>899</v>
      </c>
      <c r="J1852" t="s" s="2">
        <v>22</v>
      </c>
      <c r="K1852" t="s" s="2">
        <v>3659</v>
      </c>
      <c r="L1852" t="s" s="2">
        <v>2931</v>
      </c>
      <c r="M1852" s="5">
        <v>543336.4399999999</v>
      </c>
      <c r="N1852" s="5">
        <v>6234878.53</v>
      </c>
      <c r="O1852" t="s" s="2">
        <v>305</v>
      </c>
      <c r="P1852" s="5">
        <v>3080266</v>
      </c>
      <c r="Q1852" t="s" s="2">
        <v>3446</v>
      </c>
      <c r="R1852" t="s" s="2">
        <f>_xlfn.IFERROR(INDEX('model_byCAP'!$D$2:$D$377,MATCH(Q1852,'model_byCAP'!$A$2:$A$377,0)),0)</f>
        <v>3447</v>
      </c>
    </row>
    <row r="1853" ht="15.35" customHeight="1">
      <c r="A1853" t="s" s="2">
        <v>3662</v>
      </c>
      <c r="B1853" s="4">
        <v>36516</v>
      </c>
      <c r="C1853" s="5">
        <v>900</v>
      </c>
      <c r="D1853" s="5">
        <v>52</v>
      </c>
      <c r="E1853" s="5">
        <v>44</v>
      </c>
      <c r="F1853" t="s" s="2">
        <v>1746</v>
      </c>
      <c r="G1853" t="s" s="2">
        <v>3444</v>
      </c>
      <c r="H1853" s="5">
        <v>740</v>
      </c>
      <c r="I1853" t="s" s="2">
        <v>899</v>
      </c>
      <c r="J1853" t="s" s="2">
        <v>22</v>
      </c>
      <c r="K1853" t="s" s="2">
        <v>3659</v>
      </c>
      <c r="L1853" t="s" s="2">
        <v>481</v>
      </c>
      <c r="M1853" s="5">
        <v>542590.59</v>
      </c>
      <c r="N1853" s="5">
        <v>6234693.28</v>
      </c>
      <c r="O1853" t="s" s="2">
        <v>305</v>
      </c>
      <c r="P1853" s="5">
        <v>3080267</v>
      </c>
      <c r="Q1853" t="s" s="2">
        <v>3446</v>
      </c>
      <c r="R1853" t="s" s="2">
        <f>_xlfn.IFERROR(INDEX('model_byCAP'!$D$2:$D$377,MATCH(Q1853,'model_byCAP'!$A$2:$A$377,0)),0)</f>
        <v>3447</v>
      </c>
    </row>
    <row r="1854" ht="15.35" customHeight="1">
      <c r="A1854" t="s" s="2">
        <v>3663</v>
      </c>
      <c r="B1854" s="4">
        <v>36516</v>
      </c>
      <c r="C1854" s="5">
        <v>900</v>
      </c>
      <c r="D1854" s="5">
        <v>52</v>
      </c>
      <c r="E1854" s="5">
        <v>44</v>
      </c>
      <c r="F1854" t="s" s="2">
        <v>1746</v>
      </c>
      <c r="G1854" t="s" s="2">
        <v>3444</v>
      </c>
      <c r="H1854" s="5">
        <v>740</v>
      </c>
      <c r="I1854" t="s" s="2">
        <v>899</v>
      </c>
      <c r="J1854" t="s" s="2">
        <v>22</v>
      </c>
      <c r="K1854" t="s" s="2">
        <v>3659</v>
      </c>
      <c r="L1854" t="s" s="2">
        <v>481</v>
      </c>
      <c r="M1854" s="5">
        <v>542858.17</v>
      </c>
      <c r="N1854" s="5">
        <v>6234630.57</v>
      </c>
      <c r="O1854" t="s" s="2">
        <v>305</v>
      </c>
      <c r="P1854" s="5">
        <v>3080268</v>
      </c>
      <c r="Q1854" t="s" s="2">
        <v>3446</v>
      </c>
      <c r="R1854" t="s" s="2">
        <f>_xlfn.IFERROR(INDEX('model_byCAP'!$D$2:$D$377,MATCH(Q1854,'model_byCAP'!$A$2:$A$377,0)),0)</f>
        <v>3447</v>
      </c>
    </row>
    <row r="1855" ht="15.35" customHeight="1">
      <c r="A1855" t="s" s="2">
        <v>3664</v>
      </c>
      <c r="B1855" s="4">
        <v>36577</v>
      </c>
      <c r="C1855" s="5">
        <v>900</v>
      </c>
      <c r="D1855" s="5">
        <v>52</v>
      </c>
      <c r="E1855" s="5">
        <v>44</v>
      </c>
      <c r="F1855" t="s" s="2">
        <v>1746</v>
      </c>
      <c r="G1855" t="s" s="2">
        <v>3444</v>
      </c>
      <c r="H1855" s="5">
        <v>740</v>
      </c>
      <c r="I1855" t="s" s="2">
        <v>899</v>
      </c>
      <c r="J1855" t="s" s="2">
        <v>22</v>
      </c>
      <c r="K1855" t="s" s="2">
        <v>3659</v>
      </c>
      <c r="L1855" t="s" s="2">
        <v>481</v>
      </c>
      <c r="M1855" s="5">
        <v>543123.95</v>
      </c>
      <c r="N1855" s="5">
        <v>6234569.84</v>
      </c>
      <c r="O1855" t="s" s="2">
        <v>305</v>
      </c>
      <c r="P1855" s="5">
        <v>3080269</v>
      </c>
      <c r="Q1855" t="s" s="2">
        <v>3446</v>
      </c>
      <c r="R1855" t="s" s="2">
        <f>_xlfn.IFERROR(INDEX('model_byCAP'!$D$2:$D$377,MATCH(Q1855,'model_byCAP'!$A$2:$A$377,0)),0)</f>
        <v>3447</v>
      </c>
    </row>
    <row r="1856" ht="15.35" customHeight="1">
      <c r="A1856" t="s" s="2">
        <v>3665</v>
      </c>
      <c r="B1856" s="4">
        <v>37610</v>
      </c>
      <c r="C1856" s="5">
        <v>900</v>
      </c>
      <c r="D1856" s="5">
        <v>52</v>
      </c>
      <c r="E1856" s="5">
        <v>49</v>
      </c>
      <c r="F1856" t="s" s="2">
        <v>1746</v>
      </c>
      <c r="G1856" t="s" s="2">
        <v>3469</v>
      </c>
      <c r="H1856" s="5">
        <v>740</v>
      </c>
      <c r="I1856" t="s" s="2">
        <v>899</v>
      </c>
      <c r="J1856" t="s" s="2">
        <v>22</v>
      </c>
      <c r="K1856" t="s" s="2">
        <v>3666</v>
      </c>
      <c r="L1856" s="5">
        <v>2</v>
      </c>
      <c r="M1856" s="5">
        <v>536862.79</v>
      </c>
      <c r="N1856" s="5">
        <v>6208045.55</v>
      </c>
      <c r="O1856" t="s" s="2">
        <v>305</v>
      </c>
      <c r="P1856" s="5">
        <v>1030089</v>
      </c>
      <c r="Q1856" t="s" s="2">
        <v>3473</v>
      </c>
      <c r="R1856" t="s" s="2">
        <f>_xlfn.IFERROR(INDEX('model_byCAP'!$D$2:$D$377,MATCH(Q1856,'model_byCAP'!$A$2:$A$377,0)),0)</f>
        <v>3447</v>
      </c>
    </row>
    <row r="1857" ht="15.35" customHeight="1">
      <c r="A1857" t="s" s="2">
        <v>3667</v>
      </c>
      <c r="B1857" s="4">
        <v>37610</v>
      </c>
      <c r="C1857" s="5">
        <v>900</v>
      </c>
      <c r="D1857" s="5">
        <v>52</v>
      </c>
      <c r="E1857" s="5">
        <v>49</v>
      </c>
      <c r="F1857" t="s" s="2">
        <v>1746</v>
      </c>
      <c r="G1857" t="s" s="2">
        <v>3469</v>
      </c>
      <c r="H1857" s="5">
        <v>740</v>
      </c>
      <c r="I1857" t="s" s="2">
        <v>899</v>
      </c>
      <c r="J1857" t="s" s="2">
        <v>22</v>
      </c>
      <c r="K1857" t="s" s="2">
        <v>3666</v>
      </c>
      <c r="L1857" t="s" s="2">
        <v>1184</v>
      </c>
      <c r="M1857" s="5">
        <v>537162.6</v>
      </c>
      <c r="N1857" s="5">
        <v>6208208.58</v>
      </c>
      <c r="O1857" t="s" s="2">
        <v>305</v>
      </c>
      <c r="P1857" s="5">
        <v>1030090</v>
      </c>
      <c r="Q1857" t="s" s="2">
        <v>3473</v>
      </c>
      <c r="R1857" t="s" s="2">
        <f>_xlfn.IFERROR(INDEX('model_byCAP'!$D$2:$D$377,MATCH(Q1857,'model_byCAP'!$A$2:$A$377,0)),0)</f>
        <v>3447</v>
      </c>
    </row>
    <row r="1858" ht="15.35" customHeight="1">
      <c r="A1858" t="s" s="2">
        <v>3668</v>
      </c>
      <c r="B1858" s="4">
        <v>36787</v>
      </c>
      <c r="C1858" s="5">
        <v>900</v>
      </c>
      <c r="D1858" s="5">
        <v>52</v>
      </c>
      <c r="E1858" s="5">
        <v>44</v>
      </c>
      <c r="F1858" t="s" s="2">
        <v>1746</v>
      </c>
      <c r="G1858" t="s" s="2">
        <v>3444</v>
      </c>
      <c r="H1858" s="5">
        <v>746</v>
      </c>
      <c r="I1858" t="s" s="2">
        <v>902</v>
      </c>
      <c r="J1858" t="s" s="2">
        <v>22</v>
      </c>
      <c r="K1858" t="s" s="2">
        <v>3669</v>
      </c>
      <c r="L1858" t="s" s="2">
        <v>2806</v>
      </c>
      <c r="M1858" s="5">
        <v>548343.05</v>
      </c>
      <c r="N1858" s="5">
        <v>6221417.97</v>
      </c>
      <c r="O1858" t="s" s="2">
        <v>305</v>
      </c>
      <c r="P1858" s="5">
        <v>3072221</v>
      </c>
      <c r="Q1858" t="s" s="2">
        <v>3446</v>
      </c>
      <c r="R1858" t="s" s="2">
        <f>_xlfn.IFERROR(INDEX('model_byCAP'!$D$2:$D$377,MATCH(Q1858,'model_byCAP'!$A$2:$A$377,0)),0)</f>
        <v>3447</v>
      </c>
    </row>
    <row r="1859" ht="15.35" customHeight="1">
      <c r="A1859" t="s" s="2">
        <v>3670</v>
      </c>
      <c r="B1859" s="4">
        <v>36787</v>
      </c>
      <c r="C1859" s="5">
        <v>900</v>
      </c>
      <c r="D1859" s="5">
        <v>52</v>
      </c>
      <c r="E1859" s="5">
        <v>44</v>
      </c>
      <c r="F1859" t="s" s="2">
        <v>1746</v>
      </c>
      <c r="G1859" t="s" s="2">
        <v>3444</v>
      </c>
      <c r="H1859" s="5">
        <v>746</v>
      </c>
      <c r="I1859" t="s" s="2">
        <v>902</v>
      </c>
      <c r="J1859" t="s" s="2">
        <v>22</v>
      </c>
      <c r="K1859" t="s" s="2">
        <v>3671</v>
      </c>
      <c r="L1859" t="s" s="2">
        <v>2994</v>
      </c>
      <c r="M1859" s="5">
        <v>548491.54</v>
      </c>
      <c r="N1859" s="5">
        <v>6221283.96</v>
      </c>
      <c r="O1859" t="s" s="2">
        <v>305</v>
      </c>
      <c r="P1859" s="5">
        <v>3072222</v>
      </c>
      <c r="Q1859" t="s" s="2">
        <v>3446</v>
      </c>
      <c r="R1859" t="s" s="2">
        <f>_xlfn.IFERROR(INDEX('model_byCAP'!$D$2:$D$377,MATCH(Q1859,'model_byCAP'!$A$2:$A$377,0)),0)</f>
        <v>3447</v>
      </c>
    </row>
    <row r="1860" ht="15.35" customHeight="1">
      <c r="A1860" t="s" s="2">
        <v>3672</v>
      </c>
      <c r="B1860" s="4">
        <v>36787</v>
      </c>
      <c r="C1860" s="5">
        <v>900</v>
      </c>
      <c r="D1860" s="5">
        <v>52</v>
      </c>
      <c r="E1860" s="5">
        <v>44</v>
      </c>
      <c r="F1860" t="s" s="2">
        <v>1746</v>
      </c>
      <c r="G1860" t="s" s="2">
        <v>3444</v>
      </c>
      <c r="H1860" s="5">
        <v>746</v>
      </c>
      <c r="I1860" t="s" s="2">
        <v>902</v>
      </c>
      <c r="J1860" t="s" s="2">
        <v>22</v>
      </c>
      <c r="K1860" t="s" s="2">
        <v>3673</v>
      </c>
      <c r="L1860" t="s" s="2">
        <v>551</v>
      </c>
      <c r="M1860" s="5">
        <v>548639.64</v>
      </c>
      <c r="N1860" s="5">
        <v>6221150.08</v>
      </c>
      <c r="O1860" t="s" s="2">
        <v>305</v>
      </c>
      <c r="P1860" s="5">
        <v>3072223</v>
      </c>
      <c r="Q1860" t="s" s="2">
        <v>3446</v>
      </c>
      <c r="R1860" t="s" s="2">
        <f>_xlfn.IFERROR(INDEX('model_byCAP'!$D$2:$D$377,MATCH(Q1860,'model_byCAP'!$A$2:$A$377,0)),0)</f>
        <v>3447</v>
      </c>
    </row>
    <row r="1861" ht="15.35" customHeight="1">
      <c r="A1861" t="s" s="2">
        <v>3674</v>
      </c>
      <c r="B1861" s="4">
        <v>36787</v>
      </c>
      <c r="C1861" s="5">
        <v>900</v>
      </c>
      <c r="D1861" s="5">
        <v>52</v>
      </c>
      <c r="E1861" s="5">
        <v>44</v>
      </c>
      <c r="F1861" t="s" s="2">
        <v>1746</v>
      </c>
      <c r="G1861" t="s" s="2">
        <v>3444</v>
      </c>
      <c r="H1861" s="5">
        <v>746</v>
      </c>
      <c r="I1861" t="s" s="2">
        <v>902</v>
      </c>
      <c r="J1861" t="s" s="2">
        <v>22</v>
      </c>
      <c r="K1861" t="s" s="2">
        <v>3673</v>
      </c>
      <c r="L1861" s="5">
        <v>11</v>
      </c>
      <c r="M1861" s="5">
        <v>548788.5600000001</v>
      </c>
      <c r="N1861" s="5">
        <v>6221015.82</v>
      </c>
      <c r="O1861" t="s" s="2">
        <v>305</v>
      </c>
      <c r="P1861" s="5">
        <v>3072224</v>
      </c>
      <c r="Q1861" t="s" s="2">
        <v>3446</v>
      </c>
      <c r="R1861" t="s" s="2">
        <f>_xlfn.IFERROR(INDEX('model_byCAP'!$D$2:$D$377,MATCH(Q1861,'model_byCAP'!$A$2:$A$377,0)),0)</f>
        <v>3447</v>
      </c>
    </row>
    <row r="1862" ht="15.35" customHeight="1">
      <c r="A1862" t="s" s="2">
        <v>3675</v>
      </c>
      <c r="B1862" s="4">
        <v>36829</v>
      </c>
      <c r="C1862" s="5">
        <v>900</v>
      </c>
      <c r="D1862" s="5">
        <v>52</v>
      </c>
      <c r="E1862" s="5">
        <v>49</v>
      </c>
      <c r="F1862" t="s" s="2">
        <v>1746</v>
      </c>
      <c r="G1862" t="s" s="2">
        <v>3444</v>
      </c>
      <c r="H1862" s="5">
        <v>756</v>
      </c>
      <c r="I1862" t="s" s="2">
        <v>456</v>
      </c>
      <c r="J1862" t="s" s="2">
        <v>22</v>
      </c>
      <c r="K1862" t="s" s="2">
        <v>3676</v>
      </c>
      <c r="L1862" t="s" s="2">
        <v>3677</v>
      </c>
      <c r="M1862" s="5">
        <v>511883.93</v>
      </c>
      <c r="N1862" s="5">
        <v>6215388.73</v>
      </c>
      <c r="O1862" t="s" s="2">
        <v>305</v>
      </c>
      <c r="P1862" s="5">
        <v>868300751</v>
      </c>
      <c r="Q1862" t="s" s="2">
        <v>3446</v>
      </c>
      <c r="R1862" t="s" s="2">
        <f>_xlfn.IFERROR(INDEX('model_byCAP'!$D$2:$D$377,MATCH(Q1862,'model_byCAP'!$A$2:$A$377,0)),0)</f>
        <v>3447</v>
      </c>
    </row>
    <row r="1863" ht="15.35" customHeight="1">
      <c r="A1863" t="s" s="2">
        <v>3678</v>
      </c>
      <c r="B1863" s="4">
        <v>37024</v>
      </c>
      <c r="C1863" s="5">
        <v>900</v>
      </c>
      <c r="D1863" s="5">
        <v>52</v>
      </c>
      <c r="E1863" s="5">
        <v>49</v>
      </c>
      <c r="F1863" t="s" s="2">
        <v>1746</v>
      </c>
      <c r="G1863" t="s" s="2">
        <v>3444</v>
      </c>
      <c r="H1863" s="5">
        <v>756</v>
      </c>
      <c r="I1863" t="s" s="2">
        <v>456</v>
      </c>
      <c r="J1863" t="s" s="2">
        <v>22</v>
      </c>
      <c r="K1863" t="s" s="2">
        <v>3676</v>
      </c>
      <c r="L1863" t="s" s="2">
        <v>3679</v>
      </c>
      <c r="M1863" s="5">
        <v>511853.38</v>
      </c>
      <c r="N1863" s="5">
        <v>6215191.88</v>
      </c>
      <c r="O1863" t="s" s="2">
        <v>305</v>
      </c>
      <c r="P1863" s="5">
        <v>868300752</v>
      </c>
      <c r="Q1863" t="s" s="2">
        <v>3446</v>
      </c>
      <c r="R1863" t="s" s="2">
        <f>_xlfn.IFERROR(INDEX('model_byCAP'!$D$2:$D$377,MATCH(Q1863,'model_byCAP'!$A$2:$A$377,0)),0)</f>
        <v>3447</v>
      </c>
    </row>
    <row r="1864" ht="15.35" customHeight="1">
      <c r="A1864" t="s" s="2">
        <v>3680</v>
      </c>
      <c r="B1864" s="4">
        <v>37024</v>
      </c>
      <c r="C1864" s="5">
        <v>900</v>
      </c>
      <c r="D1864" s="5">
        <v>52</v>
      </c>
      <c r="E1864" s="5">
        <v>49</v>
      </c>
      <c r="F1864" t="s" s="2">
        <v>1746</v>
      </c>
      <c r="G1864" t="s" s="2">
        <v>3444</v>
      </c>
      <c r="H1864" s="5">
        <v>756</v>
      </c>
      <c r="I1864" t="s" s="2">
        <v>456</v>
      </c>
      <c r="J1864" t="s" s="2">
        <v>22</v>
      </c>
      <c r="K1864" t="s" s="2">
        <v>3676</v>
      </c>
      <c r="L1864" t="s" s="2">
        <v>3677</v>
      </c>
      <c r="M1864" s="5">
        <v>511821.55</v>
      </c>
      <c r="N1864" s="5">
        <v>6214995.56</v>
      </c>
      <c r="O1864" t="s" s="2">
        <v>305</v>
      </c>
      <c r="P1864" s="5">
        <v>868300753</v>
      </c>
      <c r="Q1864" t="s" s="2">
        <v>3446</v>
      </c>
      <c r="R1864" t="s" s="2">
        <f>_xlfn.IFERROR(INDEX('model_byCAP'!$D$2:$D$377,MATCH(Q1864,'model_byCAP'!$A$2:$A$377,0)),0)</f>
        <v>3447</v>
      </c>
    </row>
    <row r="1865" ht="15.35" customHeight="1">
      <c r="A1865" t="s" s="2">
        <v>3681</v>
      </c>
      <c r="B1865" s="4">
        <v>36829</v>
      </c>
      <c r="C1865" s="5">
        <v>900</v>
      </c>
      <c r="D1865" s="5">
        <v>52</v>
      </c>
      <c r="E1865" s="5">
        <v>49</v>
      </c>
      <c r="F1865" t="s" s="2">
        <v>1746</v>
      </c>
      <c r="G1865" t="s" s="2">
        <v>3444</v>
      </c>
      <c r="H1865" s="5">
        <v>756</v>
      </c>
      <c r="I1865" t="s" s="2">
        <v>456</v>
      </c>
      <c r="J1865" t="s" s="2">
        <v>22</v>
      </c>
      <c r="K1865" t="s" s="2">
        <v>3676</v>
      </c>
      <c r="L1865" t="s" s="2">
        <v>3682</v>
      </c>
      <c r="M1865" s="5">
        <v>511793.07</v>
      </c>
      <c r="N1865" s="5">
        <v>6214796.52</v>
      </c>
      <c r="O1865" t="s" s="2">
        <v>305</v>
      </c>
      <c r="P1865" s="5">
        <v>868300754</v>
      </c>
      <c r="Q1865" t="s" s="2">
        <v>3446</v>
      </c>
      <c r="R1865" t="s" s="2">
        <f>_xlfn.IFERROR(INDEX('model_byCAP'!$D$2:$D$377,MATCH(Q1865,'model_byCAP'!$A$2:$A$377,0)),0)</f>
        <v>3447</v>
      </c>
    </row>
    <row r="1866" ht="15.35" customHeight="1">
      <c r="A1866" t="s" s="2">
        <v>3683</v>
      </c>
      <c r="B1866" s="4">
        <v>37242</v>
      </c>
      <c r="C1866" s="5">
        <v>900</v>
      </c>
      <c r="D1866" s="5">
        <v>52</v>
      </c>
      <c r="E1866" s="5">
        <v>49</v>
      </c>
      <c r="F1866" t="s" s="2">
        <v>1746</v>
      </c>
      <c r="G1866" t="s" s="2">
        <v>3469</v>
      </c>
      <c r="H1866" s="5">
        <v>756</v>
      </c>
      <c r="I1866" t="s" s="2">
        <v>456</v>
      </c>
      <c r="J1866" t="s" s="2">
        <v>22</v>
      </c>
      <c r="K1866" t="s" s="2">
        <v>3676</v>
      </c>
      <c r="L1866" t="s" s="2">
        <v>3677</v>
      </c>
      <c r="M1866" s="5">
        <v>511943.3</v>
      </c>
      <c r="N1866" s="5">
        <v>6215785.47</v>
      </c>
      <c r="O1866" t="s" s="2">
        <v>305</v>
      </c>
      <c r="P1866" s="5">
        <v>868300755</v>
      </c>
      <c r="Q1866" t="s" s="2">
        <v>3473</v>
      </c>
      <c r="R1866" t="s" s="2">
        <f>_xlfn.IFERROR(INDEX('model_byCAP'!$D$2:$D$377,MATCH(Q1866,'model_byCAP'!$A$2:$A$377,0)),0)</f>
        <v>3447</v>
      </c>
    </row>
    <row r="1867" ht="15.35" customHeight="1">
      <c r="A1867" t="s" s="2">
        <v>3684</v>
      </c>
      <c r="B1867" s="4">
        <v>37348</v>
      </c>
      <c r="C1867" s="5">
        <v>900</v>
      </c>
      <c r="D1867" s="5">
        <v>52</v>
      </c>
      <c r="E1867" s="5">
        <v>49</v>
      </c>
      <c r="F1867" t="s" s="2">
        <v>1746</v>
      </c>
      <c r="G1867" t="s" s="2">
        <v>3469</v>
      </c>
      <c r="H1867" s="5">
        <v>756</v>
      </c>
      <c r="I1867" t="s" s="2">
        <v>456</v>
      </c>
      <c r="J1867" t="s" s="2">
        <v>22</v>
      </c>
      <c r="K1867" t="s" s="2">
        <v>3676</v>
      </c>
      <c r="L1867" t="s" s="2">
        <v>3677</v>
      </c>
      <c r="M1867" s="5">
        <v>511913.9</v>
      </c>
      <c r="N1867" s="5">
        <v>6215587.1</v>
      </c>
      <c r="O1867" t="s" s="2">
        <v>305</v>
      </c>
      <c r="P1867" s="5">
        <v>868300756</v>
      </c>
      <c r="Q1867" t="s" s="2">
        <v>3473</v>
      </c>
      <c r="R1867" t="s" s="2">
        <f>_xlfn.IFERROR(INDEX('model_byCAP'!$D$2:$D$377,MATCH(Q1867,'model_byCAP'!$A$2:$A$377,0)),0)</f>
        <v>3447</v>
      </c>
    </row>
    <row r="1868" ht="15.35" customHeight="1">
      <c r="A1868" t="s" s="2">
        <v>3685</v>
      </c>
      <c r="B1868" s="4">
        <v>37435</v>
      </c>
      <c r="C1868" s="5">
        <v>900</v>
      </c>
      <c r="D1868" s="5">
        <v>52</v>
      </c>
      <c r="E1868" s="5">
        <v>49</v>
      </c>
      <c r="F1868" t="s" s="2">
        <v>1746</v>
      </c>
      <c r="G1868" t="s" s="2">
        <v>3444</v>
      </c>
      <c r="H1868" s="5">
        <v>756</v>
      </c>
      <c r="I1868" t="s" s="2">
        <v>456</v>
      </c>
      <c r="J1868" t="s" s="2">
        <v>22</v>
      </c>
      <c r="K1868" t="s" s="2">
        <v>3686</v>
      </c>
      <c r="L1868" t="s" s="2">
        <v>548</v>
      </c>
      <c r="M1868" s="5">
        <v>510369.58</v>
      </c>
      <c r="N1868" s="5">
        <v>6234191.94</v>
      </c>
      <c r="O1868" t="s" s="2">
        <v>305</v>
      </c>
      <c r="P1868" s="5">
        <v>7144424</v>
      </c>
      <c r="Q1868" t="s" s="2">
        <v>3446</v>
      </c>
      <c r="R1868" t="s" s="2">
        <f>_xlfn.IFERROR(INDEX('model_byCAP'!$D$2:$D$377,MATCH(Q1868,'model_byCAP'!$A$2:$A$377,0)),0)</f>
        <v>3447</v>
      </c>
    </row>
    <row r="1869" ht="15.35" customHeight="1">
      <c r="A1869" t="s" s="2">
        <v>3687</v>
      </c>
      <c r="B1869" s="4">
        <v>37435</v>
      </c>
      <c r="C1869" s="5">
        <v>900</v>
      </c>
      <c r="D1869" s="5">
        <v>52</v>
      </c>
      <c r="E1869" s="5">
        <v>49</v>
      </c>
      <c r="F1869" t="s" s="2">
        <v>1746</v>
      </c>
      <c r="G1869" t="s" s="2">
        <v>3444</v>
      </c>
      <c r="H1869" s="5">
        <v>756</v>
      </c>
      <c r="I1869" t="s" s="2">
        <v>456</v>
      </c>
      <c r="J1869" t="s" s="2">
        <v>22</v>
      </c>
      <c r="K1869" t="s" s="2">
        <v>3686</v>
      </c>
      <c r="L1869" t="s" s="2">
        <v>1057</v>
      </c>
      <c r="M1869" s="5">
        <v>510630.24</v>
      </c>
      <c r="N1869" s="5">
        <v>6234117.2</v>
      </c>
      <c r="O1869" t="s" s="2">
        <v>305</v>
      </c>
      <c r="P1869" s="5">
        <v>7144424</v>
      </c>
      <c r="Q1869" t="s" s="2">
        <v>3446</v>
      </c>
      <c r="R1869" t="s" s="2">
        <f>_xlfn.IFERROR(INDEX('model_byCAP'!$D$2:$D$377,MATCH(Q1869,'model_byCAP'!$A$2:$A$377,0)),0)</f>
        <v>3447</v>
      </c>
    </row>
    <row r="1870" ht="15.35" customHeight="1">
      <c r="A1870" t="s" s="2">
        <v>3688</v>
      </c>
      <c r="B1870" s="4">
        <v>37435</v>
      </c>
      <c r="C1870" s="5">
        <v>900</v>
      </c>
      <c r="D1870" s="5">
        <v>52</v>
      </c>
      <c r="E1870" s="5">
        <v>49</v>
      </c>
      <c r="F1870" t="s" s="2">
        <v>1746</v>
      </c>
      <c r="G1870" t="s" s="2">
        <v>3444</v>
      </c>
      <c r="H1870" s="5">
        <v>756</v>
      </c>
      <c r="I1870" t="s" s="2">
        <v>456</v>
      </c>
      <c r="J1870" t="s" s="2">
        <v>22</v>
      </c>
      <c r="K1870" t="s" s="2">
        <v>3686</v>
      </c>
      <c r="L1870" t="s" s="2">
        <v>1057</v>
      </c>
      <c r="M1870" s="5">
        <v>510890.85</v>
      </c>
      <c r="N1870" s="5">
        <v>6234044.26</v>
      </c>
      <c r="O1870" t="s" s="2">
        <v>305</v>
      </c>
      <c r="P1870" s="5">
        <v>7144424</v>
      </c>
      <c r="Q1870" t="s" s="2">
        <v>3446</v>
      </c>
      <c r="R1870" t="s" s="2">
        <f>_xlfn.IFERROR(INDEX('model_byCAP'!$D$2:$D$377,MATCH(Q1870,'model_byCAP'!$A$2:$A$377,0)),0)</f>
        <v>3447</v>
      </c>
    </row>
    <row r="1871" ht="15.35" customHeight="1">
      <c r="A1871" t="s" s="2">
        <v>3689</v>
      </c>
      <c r="B1871" s="4">
        <v>36881</v>
      </c>
      <c r="C1871" s="5">
        <v>900</v>
      </c>
      <c r="D1871" s="5">
        <v>52</v>
      </c>
      <c r="E1871" s="5">
        <v>49</v>
      </c>
      <c r="F1871" t="s" s="2">
        <v>1746</v>
      </c>
      <c r="G1871" t="s" s="2">
        <v>3485</v>
      </c>
      <c r="H1871" s="5">
        <v>760</v>
      </c>
      <c r="I1871" t="s" s="2">
        <v>331</v>
      </c>
      <c r="J1871" t="s" s="2">
        <v>22</v>
      </c>
      <c r="K1871" t="s" s="2">
        <v>3690</v>
      </c>
      <c r="L1871" t="s" s="2">
        <v>3691</v>
      </c>
      <c r="M1871" s="5">
        <v>464095.98</v>
      </c>
      <c r="N1871" s="5">
        <v>6185404.29</v>
      </c>
      <c r="O1871" t="s" s="2">
        <v>305</v>
      </c>
      <c r="P1871" s="5">
        <v>141060</v>
      </c>
      <c r="Q1871" t="s" s="2">
        <v>3487</v>
      </c>
      <c r="R1871" t="s" s="2">
        <f>_xlfn.IFERROR(INDEX('model_byCAP'!$D$2:$D$377,MATCH(Q1871,'model_byCAP'!$A$2:$A$377,0)),0)</f>
        <v>3447</v>
      </c>
    </row>
    <row r="1872" ht="15.35" customHeight="1">
      <c r="A1872" t="s" s="2">
        <v>3692</v>
      </c>
      <c r="B1872" s="4">
        <v>37273</v>
      </c>
      <c r="C1872" s="5">
        <v>900</v>
      </c>
      <c r="D1872" s="5">
        <v>52</v>
      </c>
      <c r="E1872" s="5">
        <v>49</v>
      </c>
      <c r="F1872" t="s" s="2">
        <v>1746</v>
      </c>
      <c r="G1872" t="s" s="2">
        <v>3693</v>
      </c>
      <c r="H1872" s="5">
        <v>760</v>
      </c>
      <c r="I1872" t="s" s="2">
        <v>331</v>
      </c>
      <c r="J1872" t="s" s="2">
        <v>22</v>
      </c>
      <c r="K1872" t="s" s="2">
        <v>3694</v>
      </c>
      <c r="L1872" t="s" s="2">
        <v>3695</v>
      </c>
      <c r="M1872" s="5">
        <v>464304.62</v>
      </c>
      <c r="N1872" s="5">
        <v>6185264.84</v>
      </c>
      <c r="O1872" t="s" s="2">
        <v>305</v>
      </c>
      <c r="P1872" s="5">
        <v>344141061</v>
      </c>
      <c r="Q1872" t="s" s="2">
        <v>3696</v>
      </c>
      <c r="R1872" t="s" s="2">
        <f>_xlfn.IFERROR(INDEX('model_byCAP'!$D$2:$D$377,MATCH(Q1872,'model_byCAP'!$A$2:$A$377,0)),0)</f>
        <v>3447</v>
      </c>
    </row>
    <row r="1873" ht="15.35" customHeight="1">
      <c r="A1873" t="s" s="2">
        <v>3697</v>
      </c>
      <c r="B1873" s="4">
        <v>36881</v>
      </c>
      <c r="C1873" s="5">
        <v>900</v>
      </c>
      <c r="D1873" s="5">
        <v>52</v>
      </c>
      <c r="E1873" s="5">
        <v>49</v>
      </c>
      <c r="F1873" t="s" s="2">
        <v>1746</v>
      </c>
      <c r="G1873" t="s" s="2">
        <v>3485</v>
      </c>
      <c r="H1873" s="5">
        <v>760</v>
      </c>
      <c r="I1873" t="s" s="2">
        <v>331</v>
      </c>
      <c r="J1873" t="s" s="2">
        <v>22</v>
      </c>
      <c r="K1873" t="s" s="2">
        <v>3690</v>
      </c>
      <c r="L1873" t="s" s="2">
        <v>3698</v>
      </c>
      <c r="M1873" s="5">
        <v>464511.52</v>
      </c>
      <c r="N1873" s="5">
        <v>6185125.23</v>
      </c>
      <c r="O1873" t="s" s="2">
        <v>305</v>
      </c>
      <c r="P1873" s="5">
        <v>141062</v>
      </c>
      <c r="Q1873" t="s" s="2">
        <v>3487</v>
      </c>
      <c r="R1873" t="s" s="2">
        <f>_xlfn.IFERROR(INDEX('model_byCAP'!$D$2:$D$377,MATCH(Q1873,'model_byCAP'!$A$2:$A$377,0)),0)</f>
        <v>3447</v>
      </c>
    </row>
    <row r="1874" ht="15.35" customHeight="1">
      <c r="A1874" t="s" s="2">
        <v>3699</v>
      </c>
      <c r="B1874" s="4">
        <v>36881</v>
      </c>
      <c r="C1874" s="5">
        <v>900</v>
      </c>
      <c r="D1874" s="5">
        <v>52</v>
      </c>
      <c r="E1874" s="5">
        <v>49</v>
      </c>
      <c r="F1874" t="s" s="2">
        <v>1746</v>
      </c>
      <c r="G1874" t="s" s="2">
        <v>3485</v>
      </c>
      <c r="H1874" s="5">
        <v>760</v>
      </c>
      <c r="I1874" t="s" s="2">
        <v>331</v>
      </c>
      <c r="J1874" t="s" s="2">
        <v>22</v>
      </c>
      <c r="K1874" t="s" s="2">
        <v>3700</v>
      </c>
      <c r="L1874" t="s" s="2">
        <v>2931</v>
      </c>
      <c r="M1874" s="5">
        <v>464966.89</v>
      </c>
      <c r="N1874" s="5">
        <v>6184817.78</v>
      </c>
      <c r="O1874" t="s" s="2">
        <v>305</v>
      </c>
      <c r="P1874" s="5">
        <v>141063</v>
      </c>
      <c r="Q1874" t="s" s="2">
        <v>3487</v>
      </c>
      <c r="R1874" t="s" s="2">
        <f>_xlfn.IFERROR(INDEX('model_byCAP'!$D$2:$D$377,MATCH(Q1874,'model_byCAP'!$A$2:$A$377,0)),0)</f>
        <v>3447</v>
      </c>
    </row>
    <row r="1875" ht="15.35" customHeight="1">
      <c r="A1875" t="s" s="2">
        <v>3701</v>
      </c>
      <c r="B1875" s="4">
        <v>36881</v>
      </c>
      <c r="C1875" s="5">
        <v>900</v>
      </c>
      <c r="D1875" s="5">
        <v>52</v>
      </c>
      <c r="E1875" s="5">
        <v>49</v>
      </c>
      <c r="F1875" t="s" s="2">
        <v>1746</v>
      </c>
      <c r="G1875" t="s" s="2">
        <v>3485</v>
      </c>
      <c r="H1875" s="5">
        <v>760</v>
      </c>
      <c r="I1875" t="s" s="2">
        <v>331</v>
      </c>
      <c r="J1875" t="s" s="2">
        <v>22</v>
      </c>
      <c r="K1875" t="s" s="2">
        <v>3690</v>
      </c>
      <c r="L1875" t="s" s="2">
        <v>3203</v>
      </c>
      <c r="M1875" s="5">
        <v>463962.86</v>
      </c>
      <c r="N1875" s="5">
        <v>6185095.66</v>
      </c>
      <c r="O1875" t="s" s="2">
        <v>305</v>
      </c>
      <c r="P1875" s="5">
        <v>141064</v>
      </c>
      <c r="Q1875" t="s" s="2">
        <v>3487</v>
      </c>
      <c r="R1875" t="s" s="2">
        <f>_xlfn.IFERROR(INDEX('model_byCAP'!$D$2:$D$377,MATCH(Q1875,'model_byCAP'!$A$2:$A$377,0)),0)</f>
        <v>3447</v>
      </c>
    </row>
    <row r="1876" ht="15.35" customHeight="1">
      <c r="A1876" t="s" s="2">
        <v>3702</v>
      </c>
      <c r="B1876" s="4">
        <v>36881</v>
      </c>
      <c r="C1876" s="5">
        <v>900</v>
      </c>
      <c r="D1876" s="5">
        <v>52</v>
      </c>
      <c r="E1876" s="5">
        <v>49</v>
      </c>
      <c r="F1876" t="s" s="2">
        <v>1746</v>
      </c>
      <c r="G1876" t="s" s="2">
        <v>3485</v>
      </c>
      <c r="H1876" s="5">
        <v>760</v>
      </c>
      <c r="I1876" t="s" s="2">
        <v>331</v>
      </c>
      <c r="J1876" t="s" s="2">
        <v>22</v>
      </c>
      <c r="K1876" t="s" s="2">
        <v>3700</v>
      </c>
      <c r="L1876" t="s" s="2">
        <v>3703</v>
      </c>
      <c r="M1876" s="5">
        <v>464377.93</v>
      </c>
      <c r="N1876" s="5">
        <v>6184816.45</v>
      </c>
      <c r="O1876" t="s" s="2">
        <v>25</v>
      </c>
      <c r="P1876" s="5">
        <v>141065</v>
      </c>
      <c r="Q1876" t="s" s="2">
        <v>3487</v>
      </c>
      <c r="R1876" t="s" s="2">
        <f>_xlfn.IFERROR(INDEX('model_byCAP'!$D$2:$D$377,MATCH(Q1876,'model_byCAP'!$A$2:$A$377,0)),0)</f>
        <v>3447</v>
      </c>
    </row>
    <row r="1877" ht="15.35" customHeight="1">
      <c r="A1877" t="s" s="2">
        <v>3704</v>
      </c>
      <c r="B1877" s="4">
        <v>36881</v>
      </c>
      <c r="C1877" s="5">
        <v>900</v>
      </c>
      <c r="D1877" s="5">
        <v>52</v>
      </c>
      <c r="E1877" s="5">
        <v>49</v>
      </c>
      <c r="F1877" t="s" s="2">
        <v>1746</v>
      </c>
      <c r="G1877" t="s" s="2">
        <v>3485</v>
      </c>
      <c r="H1877" s="5">
        <v>760</v>
      </c>
      <c r="I1877" t="s" s="2">
        <v>331</v>
      </c>
      <c r="J1877" t="s" s="2">
        <v>22</v>
      </c>
      <c r="K1877" t="s" s="2">
        <v>3705</v>
      </c>
      <c r="L1877" t="s" s="2">
        <v>3706</v>
      </c>
      <c r="M1877" s="5">
        <v>464586.9</v>
      </c>
      <c r="N1877" s="5">
        <v>6184676.87</v>
      </c>
      <c r="O1877" t="s" s="2">
        <v>305</v>
      </c>
      <c r="P1877" s="5">
        <v>141066</v>
      </c>
      <c r="Q1877" t="s" s="2">
        <v>3487</v>
      </c>
      <c r="R1877" t="s" s="2">
        <f>_xlfn.IFERROR(INDEX('model_byCAP'!$D$2:$D$377,MATCH(Q1877,'model_byCAP'!$A$2:$A$377,0)),0)</f>
        <v>3447</v>
      </c>
    </row>
    <row r="1878" ht="15.35" customHeight="1">
      <c r="A1878" t="s" s="2">
        <v>3707</v>
      </c>
      <c r="B1878" s="4">
        <v>37082</v>
      </c>
      <c r="C1878" s="5">
        <v>900</v>
      </c>
      <c r="D1878" s="5">
        <v>52</v>
      </c>
      <c r="E1878" s="5">
        <v>49</v>
      </c>
      <c r="F1878" t="s" s="2">
        <v>1746</v>
      </c>
      <c r="G1878" t="s" s="2">
        <v>3485</v>
      </c>
      <c r="H1878" s="5">
        <v>760</v>
      </c>
      <c r="I1878" t="s" s="2">
        <v>331</v>
      </c>
      <c r="J1878" t="s" s="2">
        <v>22</v>
      </c>
      <c r="K1878" t="s" s="2">
        <v>3700</v>
      </c>
      <c r="L1878" t="s" s="2">
        <v>3706</v>
      </c>
      <c r="M1878" s="5">
        <v>464719.84</v>
      </c>
      <c r="N1878" s="5">
        <v>6184985.39</v>
      </c>
      <c r="O1878" t="s" s="2">
        <v>305</v>
      </c>
      <c r="P1878" s="5">
        <v>141370</v>
      </c>
      <c r="Q1878" t="s" s="2">
        <v>3487</v>
      </c>
      <c r="R1878" t="s" s="2">
        <f>_xlfn.IFERROR(INDEX('model_byCAP'!$D$2:$D$377,MATCH(Q1878,'model_byCAP'!$A$2:$A$377,0)),0)</f>
        <v>3447</v>
      </c>
    </row>
    <row r="1879" ht="15.35" customHeight="1">
      <c r="A1879" t="s" s="2">
        <v>3708</v>
      </c>
      <c r="B1879" s="4">
        <v>37082</v>
      </c>
      <c r="C1879" s="5">
        <v>900</v>
      </c>
      <c r="D1879" s="5">
        <v>52</v>
      </c>
      <c r="E1879" s="5">
        <v>49</v>
      </c>
      <c r="F1879" t="s" s="2">
        <v>1746</v>
      </c>
      <c r="G1879" t="s" s="2">
        <v>3485</v>
      </c>
      <c r="H1879" s="5">
        <v>760</v>
      </c>
      <c r="I1879" t="s" s="2">
        <v>331</v>
      </c>
      <c r="J1879" t="s" s="2">
        <v>22</v>
      </c>
      <c r="K1879" t="s" s="2">
        <v>3690</v>
      </c>
      <c r="L1879" t="s" s="2">
        <v>3203</v>
      </c>
      <c r="M1879" s="5">
        <v>464170.87</v>
      </c>
      <c r="N1879" s="5">
        <v>6184956.08</v>
      </c>
      <c r="O1879" t="s" s="2">
        <v>305</v>
      </c>
      <c r="P1879" s="5">
        <v>141371</v>
      </c>
      <c r="Q1879" t="s" s="2">
        <v>3487</v>
      </c>
      <c r="R1879" t="s" s="2">
        <f>_xlfn.IFERROR(INDEX('model_byCAP'!$D$2:$D$377,MATCH(Q1879,'model_byCAP'!$A$2:$A$377,0)),0)</f>
        <v>3447</v>
      </c>
    </row>
    <row r="1880" ht="15.35" customHeight="1">
      <c r="A1880" t="s" s="2">
        <v>3709</v>
      </c>
      <c r="B1880" s="4">
        <v>37082</v>
      </c>
      <c r="C1880" s="5">
        <v>900</v>
      </c>
      <c r="D1880" s="5">
        <v>52</v>
      </c>
      <c r="E1880" s="5">
        <v>49</v>
      </c>
      <c r="F1880" t="s" s="2">
        <v>1746</v>
      </c>
      <c r="G1880" t="s" s="2">
        <v>3485</v>
      </c>
      <c r="H1880" s="5">
        <v>760</v>
      </c>
      <c r="I1880" t="s" s="2">
        <v>331</v>
      </c>
      <c r="J1880" t="s" s="2">
        <v>22</v>
      </c>
      <c r="K1880" t="s" s="2">
        <v>3705</v>
      </c>
      <c r="L1880" t="s" s="2">
        <v>518</v>
      </c>
      <c r="M1880" s="5">
        <v>464834.41</v>
      </c>
      <c r="N1880" s="5">
        <v>6184509.58</v>
      </c>
      <c r="O1880" t="s" s="2">
        <v>305</v>
      </c>
      <c r="P1880" s="5">
        <v>141372</v>
      </c>
      <c r="Q1880" t="s" s="2">
        <v>3487</v>
      </c>
      <c r="R1880" t="s" s="2">
        <f>_xlfn.IFERROR(INDEX('model_byCAP'!$D$2:$D$377,MATCH(Q1880,'model_byCAP'!$A$2:$A$377,0)),0)</f>
        <v>3447</v>
      </c>
    </row>
    <row r="1881" ht="15.35" customHeight="1">
      <c r="A1881" t="s" s="2">
        <v>3710</v>
      </c>
      <c r="B1881" s="4">
        <v>37545</v>
      </c>
      <c r="C1881" s="5">
        <v>900</v>
      </c>
      <c r="D1881" s="5">
        <v>52</v>
      </c>
      <c r="E1881" s="5">
        <v>49</v>
      </c>
      <c r="F1881" t="s" s="2">
        <v>1746</v>
      </c>
      <c r="G1881" t="s" s="2">
        <v>3444</v>
      </c>
      <c r="H1881" s="5">
        <v>760</v>
      </c>
      <c r="I1881" t="s" s="2">
        <v>331</v>
      </c>
      <c r="J1881" t="s" s="2">
        <v>22</v>
      </c>
      <c r="K1881" t="s" s="2">
        <v>1435</v>
      </c>
      <c r="L1881" t="s" s="2">
        <v>3711</v>
      </c>
      <c r="M1881" s="5">
        <v>485948.24</v>
      </c>
      <c r="N1881" s="5">
        <v>6210617.62</v>
      </c>
      <c r="O1881" t="s" s="2">
        <v>305</v>
      </c>
      <c r="P1881" s="5">
        <v>7144493</v>
      </c>
      <c r="Q1881" t="s" s="2">
        <v>3446</v>
      </c>
      <c r="R1881" t="s" s="2">
        <f>_xlfn.IFERROR(INDEX('model_byCAP'!$D$2:$D$377,MATCH(Q1881,'model_byCAP'!$A$2:$A$377,0)),0)</f>
        <v>3447</v>
      </c>
    </row>
    <row r="1882" ht="15.35" customHeight="1">
      <c r="A1882" t="s" s="2">
        <v>3712</v>
      </c>
      <c r="B1882" s="4">
        <v>37539</v>
      </c>
      <c r="C1882" s="5">
        <v>900</v>
      </c>
      <c r="D1882" s="5">
        <v>52</v>
      </c>
      <c r="E1882" s="5">
        <v>49</v>
      </c>
      <c r="F1882" t="s" s="2">
        <v>1746</v>
      </c>
      <c r="G1882" t="s" s="2">
        <v>3444</v>
      </c>
      <c r="H1882" s="5">
        <v>760</v>
      </c>
      <c r="I1882" t="s" s="2">
        <v>331</v>
      </c>
      <c r="J1882" t="s" s="2">
        <v>22</v>
      </c>
      <c r="K1882" t="s" s="2">
        <v>1435</v>
      </c>
      <c r="L1882" t="s" s="2">
        <v>3713</v>
      </c>
      <c r="M1882" s="5">
        <v>485647.56</v>
      </c>
      <c r="N1882" s="5">
        <v>6210975.49</v>
      </c>
      <c r="O1882" t="s" s="2">
        <v>305</v>
      </c>
      <c r="P1882" s="5">
        <v>7144495</v>
      </c>
      <c r="Q1882" t="s" s="2">
        <v>3446</v>
      </c>
      <c r="R1882" t="s" s="2">
        <f>_xlfn.IFERROR(INDEX('model_byCAP'!$D$2:$D$377,MATCH(Q1882,'model_byCAP'!$A$2:$A$377,0)),0)</f>
        <v>3447</v>
      </c>
    </row>
    <row r="1883" ht="15.35" customHeight="1">
      <c r="A1883" t="s" s="2">
        <v>3714</v>
      </c>
      <c r="B1883" s="4">
        <v>36880</v>
      </c>
      <c r="C1883" s="5">
        <v>900</v>
      </c>
      <c r="D1883" s="5">
        <v>52</v>
      </c>
      <c r="E1883" s="5">
        <v>54</v>
      </c>
      <c r="F1883" t="s" s="2">
        <v>1746</v>
      </c>
      <c r="G1883" t="s" s="2">
        <v>3693</v>
      </c>
      <c r="H1883" s="5">
        <v>766</v>
      </c>
      <c r="I1883" t="s" s="2">
        <v>3363</v>
      </c>
      <c r="J1883" t="s" s="2">
        <v>22</v>
      </c>
      <c r="K1883" t="s" s="2">
        <v>3715</v>
      </c>
      <c r="L1883" t="s" s="2">
        <v>405</v>
      </c>
      <c r="M1883" s="5">
        <v>542753.26</v>
      </c>
      <c r="N1883" s="5">
        <v>6187270.55</v>
      </c>
      <c r="O1883" t="s" s="2">
        <v>305</v>
      </c>
      <c r="P1883" s="5">
        <v>300281</v>
      </c>
      <c r="Q1883" t="s" s="2">
        <v>3696</v>
      </c>
      <c r="R1883" t="s" s="2">
        <f>_xlfn.IFERROR(INDEX('model_byCAP'!$D$2:$D$377,MATCH(Q1883,'model_byCAP'!$A$2:$A$377,0)),0)</f>
        <v>3447</v>
      </c>
    </row>
    <row r="1884" ht="15.35" customHeight="1">
      <c r="A1884" t="s" s="2">
        <v>3716</v>
      </c>
      <c r="B1884" s="4">
        <v>36880</v>
      </c>
      <c r="C1884" s="5">
        <v>900</v>
      </c>
      <c r="D1884" s="5">
        <v>52</v>
      </c>
      <c r="E1884" s="5">
        <v>49</v>
      </c>
      <c r="F1884" t="s" s="2">
        <v>1746</v>
      </c>
      <c r="G1884" t="s" s="2">
        <v>3693</v>
      </c>
      <c r="H1884" s="5">
        <v>766</v>
      </c>
      <c r="I1884" t="s" s="2">
        <v>3363</v>
      </c>
      <c r="J1884" t="s" s="2">
        <v>22</v>
      </c>
      <c r="K1884" t="s" s="2">
        <v>3715</v>
      </c>
      <c r="L1884" t="s" s="2">
        <v>481</v>
      </c>
      <c r="M1884" s="5">
        <v>542764.39</v>
      </c>
      <c r="N1884" s="5">
        <v>6187495.37</v>
      </c>
      <c r="O1884" t="s" s="2">
        <v>305</v>
      </c>
      <c r="P1884" s="5">
        <v>300271</v>
      </c>
      <c r="Q1884" t="s" s="2">
        <v>3696</v>
      </c>
      <c r="R1884" t="s" s="2">
        <f>_xlfn.IFERROR(INDEX('model_byCAP'!$D$2:$D$377,MATCH(Q1884,'model_byCAP'!$A$2:$A$377,0)),0)</f>
        <v>3447</v>
      </c>
    </row>
    <row r="1885" ht="15.35" customHeight="1">
      <c r="A1885" t="s" s="2">
        <v>3717</v>
      </c>
      <c r="B1885" s="4">
        <v>37610</v>
      </c>
      <c r="C1885" s="5">
        <v>900</v>
      </c>
      <c r="D1885" s="5">
        <v>52</v>
      </c>
      <c r="E1885" s="5">
        <v>49</v>
      </c>
      <c r="F1885" t="s" s="2">
        <v>1746</v>
      </c>
      <c r="G1885" t="s" s="2">
        <v>3444</v>
      </c>
      <c r="H1885" s="5">
        <v>779</v>
      </c>
      <c r="I1885" t="s" s="2">
        <v>1308</v>
      </c>
      <c r="J1885" t="s" s="2">
        <v>22</v>
      </c>
      <c r="K1885" t="s" s="2">
        <v>3718</v>
      </c>
      <c r="L1885" t="s" s="2">
        <v>481</v>
      </c>
      <c r="M1885" s="5">
        <v>491869.05</v>
      </c>
      <c r="N1885" s="5">
        <v>6270288.57</v>
      </c>
      <c r="O1885" t="s" s="2">
        <v>305</v>
      </c>
      <c r="P1885" s="5">
        <v>2050365</v>
      </c>
      <c r="Q1885" t="s" s="2">
        <v>3446</v>
      </c>
      <c r="R1885" t="s" s="2">
        <f>_xlfn.IFERROR(INDEX('model_byCAP'!$D$2:$D$377,MATCH(Q1885,'model_byCAP'!$A$2:$A$377,0)),0)</f>
        <v>3447</v>
      </c>
    </row>
    <row r="1886" ht="15.35" customHeight="1">
      <c r="A1886" t="s" s="2">
        <v>3719</v>
      </c>
      <c r="B1886" s="4">
        <v>37610</v>
      </c>
      <c r="C1886" s="5">
        <v>900</v>
      </c>
      <c r="D1886" s="5">
        <v>52</v>
      </c>
      <c r="E1886" s="5">
        <v>49</v>
      </c>
      <c r="F1886" t="s" s="2">
        <v>1746</v>
      </c>
      <c r="G1886" t="s" s="2">
        <v>3444</v>
      </c>
      <c r="H1886" s="5">
        <v>779</v>
      </c>
      <c r="I1886" t="s" s="2">
        <v>1308</v>
      </c>
      <c r="J1886" t="s" s="2">
        <v>22</v>
      </c>
      <c r="K1886" t="s" s="2">
        <v>3718</v>
      </c>
      <c r="L1886" t="s" s="2">
        <v>481</v>
      </c>
      <c r="M1886" s="5">
        <v>491713.99</v>
      </c>
      <c r="N1886" s="5">
        <v>6270484.28</v>
      </c>
      <c r="O1886" t="s" s="2">
        <v>305</v>
      </c>
      <c r="P1886" s="5">
        <v>2050366</v>
      </c>
      <c r="Q1886" t="s" s="2">
        <v>3446</v>
      </c>
      <c r="R1886" t="s" s="2">
        <f>_xlfn.IFERROR(INDEX('model_byCAP'!$D$2:$D$377,MATCH(Q1886,'model_byCAP'!$A$2:$A$377,0)),0)</f>
        <v>3447</v>
      </c>
    </row>
    <row r="1887" ht="15.35" customHeight="1">
      <c r="A1887" t="s" s="2">
        <v>3720</v>
      </c>
      <c r="B1887" s="4">
        <v>37610</v>
      </c>
      <c r="C1887" s="5">
        <v>900</v>
      </c>
      <c r="D1887" s="5">
        <v>52</v>
      </c>
      <c r="E1887" s="5">
        <v>49</v>
      </c>
      <c r="F1887" t="s" s="2">
        <v>1746</v>
      </c>
      <c r="G1887" t="s" s="2">
        <v>3444</v>
      </c>
      <c r="H1887" s="5">
        <v>779</v>
      </c>
      <c r="I1887" t="s" s="2">
        <v>1308</v>
      </c>
      <c r="J1887" t="s" s="2">
        <v>22</v>
      </c>
      <c r="K1887" t="s" s="2">
        <v>3718</v>
      </c>
      <c r="L1887" t="s" s="2">
        <v>481</v>
      </c>
      <c r="M1887" s="5">
        <v>491559.32</v>
      </c>
      <c r="N1887" s="5">
        <v>6270680.31</v>
      </c>
      <c r="O1887" t="s" s="2">
        <v>305</v>
      </c>
      <c r="P1887" s="5">
        <v>2050367</v>
      </c>
      <c r="Q1887" t="s" s="2">
        <v>3446</v>
      </c>
      <c r="R1887" t="s" s="2">
        <f>_xlfn.IFERROR(INDEX('model_byCAP'!$D$2:$D$377,MATCH(Q1887,'model_byCAP'!$A$2:$A$377,0)),0)</f>
        <v>3447</v>
      </c>
    </row>
    <row r="1888" ht="15.35" customHeight="1">
      <c r="A1888" t="s" s="2">
        <v>3721</v>
      </c>
      <c r="B1888" s="4">
        <v>36722</v>
      </c>
      <c r="C1888" s="5">
        <v>900</v>
      </c>
      <c r="D1888" s="5">
        <v>52</v>
      </c>
      <c r="E1888" s="5">
        <v>49</v>
      </c>
      <c r="F1888" t="s" s="2">
        <v>1746</v>
      </c>
      <c r="G1888" t="s" s="2">
        <v>3693</v>
      </c>
      <c r="H1888" s="5">
        <v>787</v>
      </c>
      <c r="I1888" t="s" s="2">
        <v>21</v>
      </c>
      <c r="J1888" t="s" s="2">
        <v>22</v>
      </c>
      <c r="K1888" t="s" s="2">
        <v>3722</v>
      </c>
      <c r="L1888" t="s" s="2">
        <v>856</v>
      </c>
      <c r="M1888" s="5">
        <v>495311.46</v>
      </c>
      <c r="N1888" s="5">
        <v>6325122.46</v>
      </c>
      <c r="O1888" t="s" s="2">
        <v>305</v>
      </c>
      <c r="P1888" s="5">
        <v>80600300</v>
      </c>
      <c r="Q1888" t="s" s="2">
        <v>3696</v>
      </c>
      <c r="R1888" t="s" s="2">
        <f>_xlfn.IFERROR(INDEX('model_byCAP'!$D$2:$D$377,MATCH(Q1888,'model_byCAP'!$A$2:$A$377,0)),0)</f>
        <v>3447</v>
      </c>
    </row>
    <row r="1889" ht="15.35" customHeight="1">
      <c r="A1889" t="s" s="2">
        <v>3723</v>
      </c>
      <c r="B1889" s="4">
        <v>36713</v>
      </c>
      <c r="C1889" s="5">
        <v>900</v>
      </c>
      <c r="D1889" s="5">
        <v>52.5</v>
      </c>
      <c r="E1889" s="5">
        <v>49</v>
      </c>
      <c r="F1889" t="s" s="2">
        <v>1746</v>
      </c>
      <c r="G1889" t="s" s="2">
        <v>3693</v>
      </c>
      <c r="H1889" s="5">
        <v>787</v>
      </c>
      <c r="I1889" t="s" s="2">
        <v>21</v>
      </c>
      <c r="J1889" t="s" s="2">
        <v>22</v>
      </c>
      <c r="K1889" t="s" s="2">
        <v>3724</v>
      </c>
      <c r="L1889" s="5">
        <v>12</v>
      </c>
      <c r="M1889" s="5">
        <v>489967.98</v>
      </c>
      <c r="N1889" s="5">
        <v>6323691.83</v>
      </c>
      <c r="O1889" t="s" s="2">
        <v>305</v>
      </c>
      <c r="P1889" s="5">
        <v>80500100</v>
      </c>
      <c r="Q1889" t="s" s="2">
        <v>3696</v>
      </c>
      <c r="R1889" t="s" s="2">
        <f>_xlfn.IFERROR(INDEX('model_byCAP'!$D$2:$D$377,MATCH(Q1889,'model_byCAP'!$A$2:$A$377,0)),0)</f>
        <v>3447</v>
      </c>
    </row>
    <row r="1890" ht="15.35" customHeight="1">
      <c r="A1890" t="s" s="2">
        <v>3725</v>
      </c>
      <c r="B1890" s="4">
        <v>36713</v>
      </c>
      <c r="C1890" s="5">
        <v>900</v>
      </c>
      <c r="D1890" s="5">
        <v>52.5</v>
      </c>
      <c r="E1890" s="5">
        <v>49</v>
      </c>
      <c r="F1890" t="s" s="2">
        <v>1746</v>
      </c>
      <c r="G1890" t="s" s="2">
        <v>3693</v>
      </c>
      <c r="H1890" s="5">
        <v>787</v>
      </c>
      <c r="I1890" t="s" s="2">
        <v>21</v>
      </c>
      <c r="J1890" t="s" s="2">
        <v>22</v>
      </c>
      <c r="K1890" t="s" s="2">
        <v>3724</v>
      </c>
      <c r="L1890" t="s" s="2">
        <v>431</v>
      </c>
      <c r="M1890" s="5">
        <v>489863.22</v>
      </c>
      <c r="N1890" s="5">
        <v>6323792.67</v>
      </c>
      <c r="O1890" t="s" s="2">
        <v>305</v>
      </c>
      <c r="P1890" s="5">
        <v>80500200</v>
      </c>
      <c r="Q1890" t="s" s="2">
        <v>3696</v>
      </c>
      <c r="R1890" t="s" s="2">
        <f>_xlfn.IFERROR(INDEX('model_byCAP'!$D$2:$D$377,MATCH(Q1890,'model_byCAP'!$A$2:$A$377,0)),0)</f>
        <v>3447</v>
      </c>
    </row>
    <row r="1891" ht="15.35" customHeight="1">
      <c r="A1891" t="s" s="2">
        <v>3726</v>
      </c>
      <c r="B1891" s="4">
        <v>36713</v>
      </c>
      <c r="C1891" s="5">
        <v>900</v>
      </c>
      <c r="D1891" s="5">
        <v>52.5</v>
      </c>
      <c r="E1891" s="5">
        <v>49</v>
      </c>
      <c r="F1891" t="s" s="2">
        <v>1746</v>
      </c>
      <c r="G1891" t="s" s="2">
        <v>3693</v>
      </c>
      <c r="H1891" s="5">
        <v>787</v>
      </c>
      <c r="I1891" t="s" s="2">
        <v>21</v>
      </c>
      <c r="J1891" t="s" s="2">
        <v>22</v>
      </c>
      <c r="K1891" t="s" s="2">
        <v>3724</v>
      </c>
      <c r="L1891" t="s" s="2">
        <v>431</v>
      </c>
      <c r="M1891" s="5">
        <v>489759.17</v>
      </c>
      <c r="N1891" s="5">
        <v>6323892.83</v>
      </c>
      <c r="O1891" t="s" s="2">
        <v>305</v>
      </c>
      <c r="P1891" s="5">
        <v>80500300</v>
      </c>
      <c r="Q1891" t="s" s="2">
        <v>3696</v>
      </c>
      <c r="R1891" t="s" s="2">
        <f>_xlfn.IFERROR(INDEX('model_byCAP'!$D$2:$D$377,MATCH(Q1891,'model_byCAP'!$A$2:$A$377,0)),0)</f>
        <v>3447</v>
      </c>
    </row>
    <row r="1892" ht="15.35" customHeight="1">
      <c r="A1892" t="s" s="2">
        <v>3727</v>
      </c>
      <c r="B1892" s="4">
        <v>36713</v>
      </c>
      <c r="C1892" s="5">
        <v>900</v>
      </c>
      <c r="D1892" s="5">
        <v>52.5</v>
      </c>
      <c r="E1892" s="5">
        <v>49</v>
      </c>
      <c r="F1892" t="s" s="2">
        <v>1746</v>
      </c>
      <c r="G1892" t="s" s="2">
        <v>3693</v>
      </c>
      <c r="H1892" s="5">
        <v>787</v>
      </c>
      <c r="I1892" t="s" s="2">
        <v>21</v>
      </c>
      <c r="J1892" t="s" s="2">
        <v>22</v>
      </c>
      <c r="K1892" t="s" s="2">
        <v>3724</v>
      </c>
      <c r="L1892" t="s" s="2">
        <v>431</v>
      </c>
      <c r="M1892" s="5">
        <v>489654.69</v>
      </c>
      <c r="N1892" s="5">
        <v>6323993.4</v>
      </c>
      <c r="O1892" t="s" s="2">
        <v>305</v>
      </c>
      <c r="P1892" s="5">
        <v>80500400</v>
      </c>
      <c r="Q1892" t="s" s="2">
        <v>3696</v>
      </c>
      <c r="R1892" t="s" s="2">
        <f>_xlfn.IFERROR(INDEX('model_byCAP'!$D$2:$D$377,MATCH(Q1892,'model_byCAP'!$A$2:$A$377,0)),0)</f>
        <v>3447</v>
      </c>
    </row>
    <row r="1893" ht="15.35" customHeight="1">
      <c r="A1893" t="s" s="2">
        <v>3728</v>
      </c>
      <c r="B1893" s="4">
        <v>37606</v>
      </c>
      <c r="C1893" s="5">
        <v>900</v>
      </c>
      <c r="D1893" s="5">
        <v>52</v>
      </c>
      <c r="E1893" s="5">
        <v>49</v>
      </c>
      <c r="F1893" t="s" s="2">
        <v>1746</v>
      </c>
      <c r="G1893" t="s" s="2">
        <v>3444</v>
      </c>
      <c r="H1893" s="5">
        <v>787</v>
      </c>
      <c r="I1893" t="s" s="2">
        <v>21</v>
      </c>
      <c r="J1893" t="s" s="2">
        <v>22</v>
      </c>
      <c r="K1893" t="s" s="2">
        <v>3729</v>
      </c>
      <c r="L1893" t="s" s="2">
        <v>2418</v>
      </c>
      <c r="M1893" s="5">
        <v>490071.37</v>
      </c>
      <c r="N1893" s="5">
        <v>6323591</v>
      </c>
      <c r="O1893" t="s" s="2">
        <v>305</v>
      </c>
      <c r="P1893" s="5">
        <v>3440001</v>
      </c>
      <c r="Q1893" t="s" s="2">
        <v>3446</v>
      </c>
      <c r="R1893" t="s" s="2">
        <f>_xlfn.IFERROR(INDEX('model_byCAP'!$D$2:$D$377,MATCH(Q1893,'model_byCAP'!$A$2:$A$377,0)),0)</f>
        <v>3447</v>
      </c>
    </row>
    <row r="1894" ht="15.35" customHeight="1">
      <c r="A1894" t="s" s="2">
        <v>3730</v>
      </c>
      <c r="B1894" s="4">
        <v>37606</v>
      </c>
      <c r="C1894" s="5">
        <v>900</v>
      </c>
      <c r="D1894" s="5">
        <v>52</v>
      </c>
      <c r="E1894" s="5">
        <v>49</v>
      </c>
      <c r="F1894" t="s" s="2">
        <v>1746</v>
      </c>
      <c r="G1894" t="s" s="2">
        <v>3444</v>
      </c>
      <c r="H1894" s="5">
        <v>787</v>
      </c>
      <c r="I1894" t="s" s="2">
        <v>21</v>
      </c>
      <c r="J1894" t="s" s="2">
        <v>22</v>
      </c>
      <c r="K1894" t="s" s="2">
        <v>3729</v>
      </c>
      <c r="L1894" t="s" s="2">
        <v>2418</v>
      </c>
      <c r="M1894" s="5">
        <v>490177.21</v>
      </c>
      <c r="N1894" s="5">
        <v>6323491.05</v>
      </c>
      <c r="O1894" t="s" s="2">
        <v>305</v>
      </c>
      <c r="P1894" s="5">
        <v>3441001</v>
      </c>
      <c r="Q1894" t="s" s="2">
        <v>3446</v>
      </c>
      <c r="R1894" t="s" s="2">
        <f>_xlfn.IFERROR(INDEX('model_byCAP'!$D$2:$D$377,MATCH(Q1894,'model_byCAP'!$A$2:$A$377,0)),0)</f>
        <v>3447</v>
      </c>
    </row>
    <row r="1895" ht="15.35" customHeight="1">
      <c r="A1895" t="s" s="2">
        <v>3731</v>
      </c>
      <c r="B1895" s="4">
        <v>37602</v>
      </c>
      <c r="C1895" s="5">
        <v>900</v>
      </c>
      <c r="D1895" s="5">
        <v>52</v>
      </c>
      <c r="E1895" s="5">
        <v>49</v>
      </c>
      <c r="F1895" t="s" s="2">
        <v>1746</v>
      </c>
      <c r="G1895" t="s" s="2">
        <v>3444</v>
      </c>
      <c r="H1895" s="5">
        <v>787</v>
      </c>
      <c r="I1895" t="s" s="2">
        <v>21</v>
      </c>
      <c r="J1895" t="s" s="2">
        <v>22</v>
      </c>
      <c r="K1895" t="s" s="2">
        <v>3732</v>
      </c>
      <c r="L1895" t="s" s="2">
        <v>1258</v>
      </c>
      <c r="M1895" s="5">
        <v>487405.26</v>
      </c>
      <c r="N1895" s="5">
        <v>6315050.56</v>
      </c>
      <c r="O1895" t="s" s="2">
        <v>305</v>
      </c>
      <c r="P1895" s="5">
        <v>3436001</v>
      </c>
      <c r="Q1895" t="s" s="2">
        <v>3446</v>
      </c>
      <c r="R1895" t="s" s="2">
        <f>_xlfn.IFERROR(INDEX('model_byCAP'!$D$2:$D$377,MATCH(Q1895,'model_byCAP'!$A$2:$A$377,0)),0)</f>
        <v>3447</v>
      </c>
    </row>
    <row r="1896" ht="15.35" customHeight="1">
      <c r="A1896" t="s" s="2">
        <v>3733</v>
      </c>
      <c r="B1896" s="4">
        <v>37602</v>
      </c>
      <c r="C1896" s="5">
        <v>900</v>
      </c>
      <c r="D1896" s="5">
        <v>52</v>
      </c>
      <c r="E1896" s="5">
        <v>49</v>
      </c>
      <c r="F1896" t="s" s="2">
        <v>1746</v>
      </c>
      <c r="G1896" t="s" s="2">
        <v>3444</v>
      </c>
      <c r="H1896" s="5">
        <v>787</v>
      </c>
      <c r="I1896" t="s" s="2">
        <v>21</v>
      </c>
      <c r="J1896" t="s" s="2">
        <v>22</v>
      </c>
      <c r="K1896" t="s" s="2">
        <v>3732</v>
      </c>
      <c r="L1896" t="s" s="2">
        <v>1258</v>
      </c>
      <c r="M1896" s="5">
        <v>487389.64</v>
      </c>
      <c r="N1896" s="5">
        <v>6315224.9</v>
      </c>
      <c r="O1896" t="s" s="2">
        <v>305</v>
      </c>
      <c r="P1896" s="5">
        <v>3437001</v>
      </c>
      <c r="Q1896" t="s" s="2">
        <v>3446</v>
      </c>
      <c r="R1896" t="s" s="2">
        <f>_xlfn.IFERROR(INDEX('model_byCAP'!$D$2:$D$377,MATCH(Q1896,'model_byCAP'!$A$2:$A$377,0)),0)</f>
        <v>3447</v>
      </c>
    </row>
    <row r="1897" ht="15.35" customHeight="1">
      <c r="A1897" t="s" s="2">
        <v>3734</v>
      </c>
      <c r="B1897" s="4">
        <v>37607</v>
      </c>
      <c r="C1897" s="5">
        <v>900</v>
      </c>
      <c r="D1897" s="5">
        <v>52</v>
      </c>
      <c r="E1897" s="5">
        <v>49</v>
      </c>
      <c r="F1897" t="s" s="2">
        <v>301</v>
      </c>
      <c r="G1897" t="s" s="2">
        <v>3735</v>
      </c>
      <c r="H1897" s="5">
        <v>787</v>
      </c>
      <c r="I1897" t="s" s="2">
        <v>21</v>
      </c>
      <c r="J1897" t="s" s="2">
        <v>22</v>
      </c>
      <c r="K1897" t="s" s="2">
        <v>3736</v>
      </c>
      <c r="L1897" t="s" s="2">
        <v>394</v>
      </c>
      <c r="M1897" s="5">
        <v>474768.46</v>
      </c>
      <c r="N1897" s="5">
        <v>6302422.54</v>
      </c>
      <c r="O1897" t="s" s="2">
        <v>305</v>
      </c>
      <c r="P1897" s="5">
        <v>160380</v>
      </c>
      <c r="Q1897" t="s" s="2">
        <v>3737</v>
      </c>
      <c r="R1897" t="s" s="2">
        <f>_xlfn.IFERROR(INDEX('model_byCAP'!$D$2:$D$377,MATCH(Q1897,'model_byCAP'!$A$2:$A$377,0)),0)</f>
        <v>3738</v>
      </c>
    </row>
    <row r="1898" ht="15.35" customHeight="1">
      <c r="A1898" t="s" s="2">
        <v>3739</v>
      </c>
      <c r="B1898" s="4">
        <v>37602</v>
      </c>
      <c r="C1898" s="5">
        <v>900</v>
      </c>
      <c r="D1898" s="5">
        <v>52</v>
      </c>
      <c r="E1898" s="5">
        <v>49</v>
      </c>
      <c r="F1898" t="s" s="2">
        <v>1746</v>
      </c>
      <c r="G1898" t="s" s="2">
        <v>3444</v>
      </c>
      <c r="H1898" s="5">
        <v>787</v>
      </c>
      <c r="I1898" t="s" s="2">
        <v>21</v>
      </c>
      <c r="J1898" t="s" s="2">
        <v>22</v>
      </c>
      <c r="K1898" t="s" s="2">
        <v>3732</v>
      </c>
      <c r="L1898" t="s" s="2">
        <v>1258</v>
      </c>
      <c r="M1898" s="5">
        <v>487374.08</v>
      </c>
      <c r="N1898" s="5">
        <v>6315399.43</v>
      </c>
      <c r="O1898" t="s" s="2">
        <v>305</v>
      </c>
      <c r="P1898" s="5">
        <v>3438001</v>
      </c>
      <c r="Q1898" t="s" s="2">
        <v>3446</v>
      </c>
      <c r="R1898" t="s" s="2">
        <f>_xlfn.IFERROR(INDEX('model_byCAP'!$D$2:$D$377,MATCH(Q1898,'model_byCAP'!$A$2:$A$377,0)),0)</f>
        <v>3447</v>
      </c>
    </row>
    <row r="1899" ht="15.35" customHeight="1">
      <c r="A1899" t="s" s="2">
        <v>3740</v>
      </c>
      <c r="B1899" s="4">
        <v>37602</v>
      </c>
      <c r="C1899" s="5">
        <v>900</v>
      </c>
      <c r="D1899" s="5">
        <v>52</v>
      </c>
      <c r="E1899" s="5">
        <v>49</v>
      </c>
      <c r="F1899" t="s" s="2">
        <v>1746</v>
      </c>
      <c r="G1899" t="s" s="2">
        <v>3444</v>
      </c>
      <c r="H1899" s="5">
        <v>787</v>
      </c>
      <c r="I1899" t="s" s="2">
        <v>21</v>
      </c>
      <c r="J1899" t="s" s="2">
        <v>22</v>
      </c>
      <c r="K1899" t="s" s="2">
        <v>3741</v>
      </c>
      <c r="L1899" t="s" s="2">
        <v>524</v>
      </c>
      <c r="M1899" s="5">
        <v>487359.32</v>
      </c>
      <c r="N1899" s="5">
        <v>6315573.57</v>
      </c>
      <c r="O1899" t="s" s="2">
        <v>305</v>
      </c>
      <c r="P1899" s="5">
        <v>3439001</v>
      </c>
      <c r="Q1899" t="s" s="2">
        <v>3446</v>
      </c>
      <c r="R1899" t="s" s="2">
        <f>_xlfn.IFERROR(INDEX('model_byCAP'!$D$2:$D$377,MATCH(Q1899,'model_byCAP'!$A$2:$A$377,0)),0)</f>
        <v>3447</v>
      </c>
    </row>
    <row r="1900" ht="15.35" customHeight="1">
      <c r="A1900" t="s" s="2">
        <v>3742</v>
      </c>
      <c r="B1900" s="4">
        <v>36759</v>
      </c>
      <c r="C1900" s="5">
        <v>900</v>
      </c>
      <c r="D1900" s="5">
        <v>52</v>
      </c>
      <c r="E1900" s="5">
        <v>49</v>
      </c>
      <c r="F1900" t="s" s="2">
        <v>1746</v>
      </c>
      <c r="G1900" t="s" s="2">
        <v>3444</v>
      </c>
      <c r="H1900" s="5">
        <v>791</v>
      </c>
      <c r="I1900" t="s" s="2">
        <v>1447</v>
      </c>
      <c r="J1900" t="s" s="2">
        <v>22</v>
      </c>
      <c r="K1900" t="s" s="2">
        <v>3743</v>
      </c>
      <c r="L1900" t="s" s="2">
        <v>481</v>
      </c>
      <c r="M1900" s="5">
        <v>543756.54</v>
      </c>
      <c r="N1900" s="5">
        <v>6251348.12</v>
      </c>
      <c r="O1900" t="s" s="2">
        <v>305</v>
      </c>
      <c r="P1900" s="5">
        <v>3123131</v>
      </c>
      <c r="Q1900" t="s" s="2">
        <v>3446</v>
      </c>
      <c r="R1900" t="s" s="2">
        <f>_xlfn.IFERROR(INDEX('model_byCAP'!$D$2:$D$377,MATCH(Q1900,'model_byCAP'!$A$2:$A$377,0)),0)</f>
        <v>3447</v>
      </c>
    </row>
    <row r="1901" ht="15.35" customHeight="1">
      <c r="A1901" t="s" s="2">
        <v>3744</v>
      </c>
      <c r="B1901" s="4">
        <v>36759</v>
      </c>
      <c r="C1901" s="5">
        <v>900</v>
      </c>
      <c r="D1901" s="5">
        <v>52</v>
      </c>
      <c r="E1901" s="5">
        <v>49</v>
      </c>
      <c r="F1901" t="s" s="2">
        <v>1746</v>
      </c>
      <c r="G1901" t="s" s="2">
        <v>3444</v>
      </c>
      <c r="H1901" s="5">
        <v>791</v>
      </c>
      <c r="I1901" t="s" s="2">
        <v>1447</v>
      </c>
      <c r="J1901" t="s" s="2">
        <v>22</v>
      </c>
      <c r="K1901" t="s" s="2">
        <v>3745</v>
      </c>
      <c r="L1901" t="s" s="2">
        <v>481</v>
      </c>
      <c r="M1901" s="5">
        <v>543947.97</v>
      </c>
      <c r="N1901" s="5">
        <v>6251368.84</v>
      </c>
      <c r="O1901" t="s" s="2">
        <v>305</v>
      </c>
      <c r="P1901" s="5">
        <v>3123132</v>
      </c>
      <c r="Q1901" t="s" s="2">
        <v>3446</v>
      </c>
      <c r="R1901" t="s" s="2">
        <f>_xlfn.IFERROR(INDEX('model_byCAP'!$D$2:$D$377,MATCH(Q1901,'model_byCAP'!$A$2:$A$377,0)),0)</f>
        <v>3447</v>
      </c>
    </row>
    <row r="1902" ht="15.35" customHeight="1">
      <c r="A1902" t="s" s="2">
        <v>3746</v>
      </c>
      <c r="B1902" s="4">
        <v>36759</v>
      </c>
      <c r="C1902" s="5">
        <v>900</v>
      </c>
      <c r="D1902" s="5">
        <v>52</v>
      </c>
      <c r="E1902" s="5">
        <v>49</v>
      </c>
      <c r="F1902" t="s" s="2">
        <v>1746</v>
      </c>
      <c r="G1902" t="s" s="2">
        <v>3444</v>
      </c>
      <c r="H1902" s="5">
        <v>791</v>
      </c>
      <c r="I1902" t="s" s="2">
        <v>1447</v>
      </c>
      <c r="J1902" t="s" s="2">
        <v>22</v>
      </c>
      <c r="K1902" t="s" s="2">
        <v>3745</v>
      </c>
      <c r="L1902" t="s" s="2">
        <v>304</v>
      </c>
      <c r="M1902" s="5">
        <v>544140.53</v>
      </c>
      <c r="N1902" s="5">
        <v>6251389.94</v>
      </c>
      <c r="O1902" t="s" s="2">
        <v>305</v>
      </c>
      <c r="P1902" s="5">
        <v>3123133</v>
      </c>
      <c r="Q1902" t="s" s="2">
        <v>3446</v>
      </c>
      <c r="R1902" t="s" s="2">
        <f>_xlfn.IFERROR(INDEX('model_byCAP'!$D$2:$D$377,MATCH(Q1902,'model_byCAP'!$A$2:$A$377,0)),0)</f>
        <v>3447</v>
      </c>
    </row>
    <row r="1903" ht="15.35" customHeight="1">
      <c r="A1903" t="s" s="2">
        <v>3747</v>
      </c>
      <c r="B1903" s="4">
        <v>36783</v>
      </c>
      <c r="C1903" s="5">
        <v>900</v>
      </c>
      <c r="D1903" s="5">
        <v>52</v>
      </c>
      <c r="E1903" s="5">
        <v>49</v>
      </c>
      <c r="F1903" t="s" s="2">
        <v>1746</v>
      </c>
      <c r="G1903" t="s" s="2">
        <v>3444</v>
      </c>
      <c r="H1903" s="5">
        <v>791</v>
      </c>
      <c r="I1903" t="s" s="2">
        <v>1447</v>
      </c>
      <c r="J1903" t="s" s="2">
        <v>22</v>
      </c>
      <c r="K1903" t="s" s="2">
        <v>3745</v>
      </c>
      <c r="L1903" t="s" s="2">
        <v>2872</v>
      </c>
      <c r="M1903" s="5">
        <v>544333.39</v>
      </c>
      <c r="N1903" s="5">
        <v>6251411.19</v>
      </c>
      <c r="O1903" t="s" s="2">
        <v>305</v>
      </c>
      <c r="P1903" s="5">
        <v>3123134</v>
      </c>
      <c r="Q1903" t="s" s="2">
        <v>3446</v>
      </c>
      <c r="R1903" t="s" s="2">
        <f>_xlfn.IFERROR(INDEX('model_byCAP'!$D$2:$D$377,MATCH(Q1903,'model_byCAP'!$A$2:$A$377,0)),0)</f>
        <v>3447</v>
      </c>
    </row>
    <row r="1904" ht="15.35" customHeight="1">
      <c r="A1904" t="s" s="2">
        <v>3748</v>
      </c>
      <c r="B1904" s="4">
        <v>36759</v>
      </c>
      <c r="C1904" s="5">
        <v>900</v>
      </c>
      <c r="D1904" s="5">
        <v>52</v>
      </c>
      <c r="E1904" s="5">
        <v>49</v>
      </c>
      <c r="F1904" t="s" s="2">
        <v>1746</v>
      </c>
      <c r="G1904" t="s" s="2">
        <v>3444</v>
      </c>
      <c r="H1904" s="5">
        <v>791</v>
      </c>
      <c r="I1904" t="s" s="2">
        <v>1447</v>
      </c>
      <c r="J1904" t="s" s="2">
        <v>22</v>
      </c>
      <c r="K1904" t="s" s="2">
        <v>3745</v>
      </c>
      <c r="L1904" t="s" s="2">
        <v>2751</v>
      </c>
      <c r="M1904" s="5">
        <v>544526.09</v>
      </c>
      <c r="N1904" s="5">
        <v>6251432.13</v>
      </c>
      <c r="O1904" t="s" s="2">
        <v>305</v>
      </c>
      <c r="P1904" s="5">
        <v>3123135</v>
      </c>
      <c r="Q1904" t="s" s="2">
        <v>3446</v>
      </c>
      <c r="R1904" t="s" s="2">
        <f>_xlfn.IFERROR(INDEX('model_byCAP'!$D$2:$D$377,MATCH(Q1904,'model_byCAP'!$A$2:$A$377,0)),0)</f>
        <v>3447</v>
      </c>
    </row>
    <row r="1905" ht="15.35" customHeight="1">
      <c r="A1905" t="s" s="2">
        <v>3749</v>
      </c>
      <c r="B1905" s="4">
        <v>37387</v>
      </c>
      <c r="C1905" s="5">
        <v>900</v>
      </c>
      <c r="D1905" s="5">
        <v>52</v>
      </c>
      <c r="E1905" s="5">
        <v>49</v>
      </c>
      <c r="F1905" t="s" s="2">
        <v>1746</v>
      </c>
      <c r="G1905" t="s" s="2">
        <v>3750</v>
      </c>
      <c r="H1905" s="5">
        <v>791</v>
      </c>
      <c r="I1905" t="s" s="2">
        <v>1447</v>
      </c>
      <c r="J1905" t="s" s="2">
        <v>22</v>
      </c>
      <c r="K1905" t="s" s="2">
        <v>3751</v>
      </c>
      <c r="L1905" t="s" s="2">
        <v>518</v>
      </c>
      <c r="M1905" s="5">
        <v>514144.12</v>
      </c>
      <c r="N1905" s="5">
        <v>6249122.42</v>
      </c>
      <c r="O1905" t="s" s="2">
        <v>305</v>
      </c>
      <c r="P1905" s="5">
        <v>3097718</v>
      </c>
      <c r="Q1905" t="s" s="2">
        <v>3752</v>
      </c>
      <c r="R1905" t="s" s="2">
        <f>_xlfn.IFERROR(INDEX('model_byCAP'!$D$2:$D$377,MATCH(Q1905,'model_byCAP'!$A$2:$A$377,0)),0)</f>
        <v>3519</v>
      </c>
    </row>
    <row r="1906" ht="15.35" customHeight="1">
      <c r="A1906" t="s" s="2">
        <v>3753</v>
      </c>
      <c r="B1906" s="4">
        <v>37387</v>
      </c>
      <c r="C1906" s="5">
        <v>900</v>
      </c>
      <c r="D1906" s="5">
        <v>52</v>
      </c>
      <c r="E1906" s="5">
        <v>49</v>
      </c>
      <c r="F1906" t="s" s="2">
        <v>1746</v>
      </c>
      <c r="G1906" t="s" s="2">
        <v>3750</v>
      </c>
      <c r="H1906" s="5">
        <v>791</v>
      </c>
      <c r="I1906" t="s" s="2">
        <v>1447</v>
      </c>
      <c r="J1906" t="s" s="2">
        <v>22</v>
      </c>
      <c r="K1906" t="s" s="2">
        <v>3751</v>
      </c>
      <c r="L1906" t="s" s="2">
        <v>518</v>
      </c>
      <c r="M1906" s="5">
        <v>514173.74</v>
      </c>
      <c r="N1906" s="5">
        <v>6248970.16</v>
      </c>
      <c r="O1906" t="s" s="2">
        <v>305</v>
      </c>
      <c r="P1906" s="5">
        <v>3097719</v>
      </c>
      <c r="Q1906" t="s" s="2">
        <v>3752</v>
      </c>
      <c r="R1906" t="s" s="2">
        <f>_xlfn.IFERROR(INDEX('model_byCAP'!$D$2:$D$377,MATCH(Q1906,'model_byCAP'!$A$2:$A$377,0)),0)</f>
        <v>3519</v>
      </c>
    </row>
    <row r="1907" ht="15.35" customHeight="1">
      <c r="A1907" t="s" s="2">
        <v>3754</v>
      </c>
      <c r="B1907" s="4">
        <v>38505</v>
      </c>
      <c r="C1907" s="5">
        <v>900</v>
      </c>
      <c r="D1907" s="5">
        <v>52</v>
      </c>
      <c r="E1907" s="5">
        <v>54</v>
      </c>
      <c r="F1907" t="s" s="2">
        <v>301</v>
      </c>
      <c r="G1907" s="5">
        <v>900</v>
      </c>
      <c r="H1907" s="5">
        <v>810</v>
      </c>
      <c r="I1907" t="s" s="2">
        <v>1102</v>
      </c>
      <c r="J1907" t="s" s="2">
        <v>22</v>
      </c>
      <c r="K1907" t="s" s="2">
        <v>1453</v>
      </c>
      <c r="L1907" t="s" s="2">
        <v>1780</v>
      </c>
      <c r="M1907" s="5">
        <v>573237.59</v>
      </c>
      <c r="N1907" s="5">
        <v>6332038.15</v>
      </c>
      <c r="O1907" t="s" s="2">
        <v>305</v>
      </c>
      <c r="P1907" t="s" s="2">
        <v>3755</v>
      </c>
      <c r="Q1907" t="s" s="2">
        <v>3756</v>
      </c>
      <c r="R1907" t="s" s="2">
        <f>_xlfn.IFERROR(INDEX('model_byCAP'!$D$2:$D$377,MATCH(Q1907,'model_byCAP'!$A$2:$A$377,0)),0)</f>
        <v>3757</v>
      </c>
    </row>
    <row r="1908" ht="15.35" customHeight="1">
      <c r="A1908" t="s" s="2">
        <v>3758</v>
      </c>
      <c r="B1908" s="4">
        <v>38511</v>
      </c>
      <c r="C1908" s="5">
        <v>900</v>
      </c>
      <c r="D1908" s="5">
        <v>52</v>
      </c>
      <c r="E1908" s="5">
        <v>54</v>
      </c>
      <c r="F1908" t="s" s="2">
        <v>301</v>
      </c>
      <c r="G1908" s="5">
        <v>900</v>
      </c>
      <c r="H1908" s="5">
        <v>810</v>
      </c>
      <c r="I1908" t="s" s="2">
        <v>1102</v>
      </c>
      <c r="J1908" t="s" s="2">
        <v>22</v>
      </c>
      <c r="K1908" t="s" s="2">
        <v>1453</v>
      </c>
      <c r="L1908" t="s" s="2">
        <v>1780</v>
      </c>
      <c r="M1908" s="5">
        <v>573289.1800000001</v>
      </c>
      <c r="N1908" s="5">
        <v>6332374.87</v>
      </c>
      <c r="O1908" t="s" s="2">
        <v>305</v>
      </c>
      <c r="P1908" t="s" s="2">
        <v>3759</v>
      </c>
      <c r="Q1908" t="s" s="2">
        <v>3756</v>
      </c>
      <c r="R1908" t="s" s="2">
        <f>_xlfn.IFERROR(INDEX('model_byCAP'!$D$2:$D$377,MATCH(Q1908,'model_byCAP'!$A$2:$A$377,0)),0)</f>
        <v>3757</v>
      </c>
    </row>
    <row r="1909" ht="15.35" customHeight="1">
      <c r="A1909" t="s" s="2">
        <v>3760</v>
      </c>
      <c r="B1909" s="4">
        <v>38511</v>
      </c>
      <c r="C1909" s="5">
        <v>900</v>
      </c>
      <c r="D1909" s="5">
        <v>52</v>
      </c>
      <c r="E1909" s="5">
        <v>54</v>
      </c>
      <c r="F1909" t="s" s="2">
        <v>301</v>
      </c>
      <c r="G1909" s="5">
        <v>900</v>
      </c>
      <c r="H1909" s="5">
        <v>810</v>
      </c>
      <c r="I1909" t="s" s="2">
        <v>1102</v>
      </c>
      <c r="J1909" t="s" s="2">
        <v>22</v>
      </c>
      <c r="K1909" t="s" s="2">
        <v>1453</v>
      </c>
      <c r="L1909" t="s" s="2">
        <v>1780</v>
      </c>
      <c r="M1909" s="5">
        <v>573509.34</v>
      </c>
      <c r="N1909" s="5">
        <v>6332066.14</v>
      </c>
      <c r="O1909" t="s" s="2">
        <v>305</v>
      </c>
      <c r="P1909" t="s" s="2">
        <v>3761</v>
      </c>
      <c r="Q1909" t="s" s="2">
        <v>3756</v>
      </c>
      <c r="R1909" t="s" s="2">
        <f>_xlfn.IFERROR(INDEX('model_byCAP'!$D$2:$D$377,MATCH(Q1909,'model_byCAP'!$A$2:$A$377,0)),0)</f>
        <v>3757</v>
      </c>
    </row>
    <row r="1910" ht="15.35" customHeight="1">
      <c r="A1910" t="s" s="2">
        <v>3762</v>
      </c>
      <c r="B1910" s="4">
        <v>38510</v>
      </c>
      <c r="C1910" s="5">
        <v>900</v>
      </c>
      <c r="D1910" s="5">
        <v>52</v>
      </c>
      <c r="E1910" s="5">
        <v>54</v>
      </c>
      <c r="F1910" t="s" s="2">
        <v>301</v>
      </c>
      <c r="G1910" s="5">
        <v>900</v>
      </c>
      <c r="H1910" s="5">
        <v>810</v>
      </c>
      <c r="I1910" t="s" s="2">
        <v>1102</v>
      </c>
      <c r="J1910" t="s" s="2">
        <v>22</v>
      </c>
      <c r="K1910" t="s" s="2">
        <v>1453</v>
      </c>
      <c r="L1910" t="s" s="2">
        <v>1780</v>
      </c>
      <c r="M1910" s="5">
        <v>573561.26</v>
      </c>
      <c r="N1910" s="5">
        <v>6332401.43</v>
      </c>
      <c r="O1910" t="s" s="2">
        <v>305</v>
      </c>
      <c r="P1910" t="s" s="2">
        <v>3763</v>
      </c>
      <c r="Q1910" t="s" s="2">
        <v>3756</v>
      </c>
      <c r="R1910" t="s" s="2">
        <f>_xlfn.IFERROR(INDEX('model_byCAP'!$D$2:$D$377,MATCH(Q1910,'model_byCAP'!$A$2:$A$377,0)),0)</f>
        <v>3757</v>
      </c>
    </row>
    <row r="1911" ht="15.35" customHeight="1">
      <c r="A1911" t="s" s="2">
        <v>3764</v>
      </c>
      <c r="B1911" s="4">
        <v>36808</v>
      </c>
      <c r="C1911" s="5">
        <v>900</v>
      </c>
      <c r="D1911" s="5">
        <v>52</v>
      </c>
      <c r="E1911" s="5">
        <v>44</v>
      </c>
      <c r="F1911" t="s" s="2">
        <v>3604</v>
      </c>
      <c r="G1911" t="s" s="2">
        <v>3765</v>
      </c>
      <c r="H1911" s="5">
        <v>813</v>
      </c>
      <c r="I1911" t="s" s="2">
        <v>1708</v>
      </c>
      <c r="J1911" t="s" s="2">
        <v>22</v>
      </c>
      <c r="K1911" t="s" s="2">
        <v>3766</v>
      </c>
      <c r="L1911" t="s" s="2">
        <v>3767</v>
      </c>
      <c r="M1911" s="5">
        <v>580152.39</v>
      </c>
      <c r="N1911" s="5">
        <v>6384706.96</v>
      </c>
      <c r="O1911" t="s" s="2">
        <v>305</v>
      </c>
      <c r="P1911" t="s" s="2">
        <v>3768</v>
      </c>
      <c r="Q1911" t="s" s="2">
        <v>3769</v>
      </c>
      <c r="R1911" t="s" s="2">
        <f>_xlfn.IFERROR(INDEX('model_byCAP'!$D$2:$D$377,MATCH(Q1911,'model_byCAP'!$A$2:$A$377,0)),0)</f>
        <v>3447</v>
      </c>
    </row>
    <row r="1912" ht="15.35" customHeight="1">
      <c r="A1912" t="s" s="2">
        <v>3770</v>
      </c>
      <c r="B1912" s="4">
        <v>36808</v>
      </c>
      <c r="C1912" s="5">
        <v>900</v>
      </c>
      <c r="D1912" s="5">
        <v>52</v>
      </c>
      <c r="E1912" s="5">
        <v>44</v>
      </c>
      <c r="F1912" t="s" s="2">
        <v>3604</v>
      </c>
      <c r="G1912" t="s" s="2">
        <v>3765</v>
      </c>
      <c r="H1912" s="5">
        <v>813</v>
      </c>
      <c r="I1912" t="s" s="2">
        <v>1708</v>
      </c>
      <c r="J1912" t="s" s="2">
        <v>22</v>
      </c>
      <c r="K1912" t="s" s="2">
        <v>3766</v>
      </c>
      <c r="L1912" t="s" s="2">
        <v>518</v>
      </c>
      <c r="M1912" s="5">
        <v>580239.11</v>
      </c>
      <c r="N1912" s="5">
        <v>6384511.85</v>
      </c>
      <c r="O1912" t="s" s="2">
        <v>305</v>
      </c>
      <c r="P1912" t="s" s="2">
        <v>3771</v>
      </c>
      <c r="Q1912" t="s" s="2">
        <v>3769</v>
      </c>
      <c r="R1912" t="s" s="2">
        <f>_xlfn.IFERROR(INDEX('model_byCAP'!$D$2:$D$377,MATCH(Q1912,'model_byCAP'!$A$2:$A$377,0)),0)</f>
        <v>3447</v>
      </c>
    </row>
    <row r="1913" ht="15.35" customHeight="1">
      <c r="A1913" t="s" s="2">
        <v>3772</v>
      </c>
      <c r="B1913" s="4">
        <v>36725</v>
      </c>
      <c r="C1913" s="5">
        <v>900</v>
      </c>
      <c r="D1913" s="5">
        <v>52</v>
      </c>
      <c r="E1913" s="5">
        <v>44</v>
      </c>
      <c r="F1913" t="s" s="2">
        <v>3604</v>
      </c>
      <c r="G1913" t="s" s="2">
        <v>3765</v>
      </c>
      <c r="H1913" s="5">
        <v>813</v>
      </c>
      <c r="I1913" t="s" s="2">
        <v>1708</v>
      </c>
      <c r="J1913" t="s" s="2">
        <v>22</v>
      </c>
      <c r="K1913" t="s" s="2">
        <v>3766</v>
      </c>
      <c r="L1913" t="s" s="2">
        <v>518</v>
      </c>
      <c r="M1913" s="5">
        <v>580326.09</v>
      </c>
      <c r="N1913" s="5">
        <v>6384317.11</v>
      </c>
      <c r="O1913" t="s" s="2">
        <v>305</v>
      </c>
      <c r="P1913" t="s" s="2">
        <v>3773</v>
      </c>
      <c r="Q1913" t="s" s="2">
        <v>3769</v>
      </c>
      <c r="R1913" t="s" s="2">
        <f>_xlfn.IFERROR(INDEX('model_byCAP'!$D$2:$D$377,MATCH(Q1913,'model_byCAP'!$A$2:$A$377,0)),0)</f>
        <v>3447</v>
      </c>
    </row>
    <row r="1914" ht="15.35" customHeight="1">
      <c r="A1914" t="s" s="2">
        <v>3774</v>
      </c>
      <c r="B1914" s="4">
        <v>36808</v>
      </c>
      <c r="C1914" s="5">
        <v>900</v>
      </c>
      <c r="D1914" s="5">
        <v>52</v>
      </c>
      <c r="E1914" s="5">
        <v>44</v>
      </c>
      <c r="F1914" t="s" s="2">
        <v>3604</v>
      </c>
      <c r="G1914" t="s" s="2">
        <v>3765</v>
      </c>
      <c r="H1914" s="5">
        <v>813</v>
      </c>
      <c r="I1914" t="s" s="2">
        <v>1708</v>
      </c>
      <c r="J1914" t="s" s="2">
        <v>22</v>
      </c>
      <c r="K1914" t="s" s="2">
        <v>3766</v>
      </c>
      <c r="L1914" t="s" s="2">
        <v>518</v>
      </c>
      <c r="M1914" s="5">
        <v>580402.6</v>
      </c>
      <c r="N1914" s="5">
        <v>6384468.74</v>
      </c>
      <c r="O1914" t="s" s="2">
        <v>305</v>
      </c>
      <c r="P1914" t="s" s="2">
        <v>3775</v>
      </c>
      <c r="Q1914" t="s" s="2">
        <v>3769</v>
      </c>
      <c r="R1914" t="s" s="2">
        <f>_xlfn.IFERROR(INDEX('model_byCAP'!$D$2:$D$377,MATCH(Q1914,'model_byCAP'!$A$2:$A$377,0)),0)</f>
        <v>3447</v>
      </c>
    </row>
    <row r="1915" ht="15.35" customHeight="1">
      <c r="A1915" t="s" s="2">
        <v>3776</v>
      </c>
      <c r="B1915" s="4">
        <v>36808</v>
      </c>
      <c r="C1915" s="5">
        <v>900</v>
      </c>
      <c r="D1915" s="5">
        <v>52</v>
      </c>
      <c r="E1915" s="5">
        <v>44</v>
      </c>
      <c r="F1915" t="s" s="2">
        <v>3604</v>
      </c>
      <c r="G1915" t="s" s="2">
        <v>3765</v>
      </c>
      <c r="H1915" s="5">
        <v>813</v>
      </c>
      <c r="I1915" t="s" s="2">
        <v>1708</v>
      </c>
      <c r="J1915" t="s" s="2">
        <v>22</v>
      </c>
      <c r="K1915" t="s" s="2">
        <v>3766</v>
      </c>
      <c r="L1915" t="s" s="2">
        <v>518</v>
      </c>
      <c r="M1915" s="5">
        <v>580316.23</v>
      </c>
      <c r="N1915" s="5">
        <v>6384663.35</v>
      </c>
      <c r="O1915" t="s" s="2">
        <v>305</v>
      </c>
      <c r="P1915" t="s" s="2">
        <v>3775</v>
      </c>
      <c r="Q1915" t="s" s="2">
        <v>3769</v>
      </c>
      <c r="R1915" t="s" s="2">
        <f>_xlfn.IFERROR(INDEX('model_byCAP'!$D$2:$D$377,MATCH(Q1915,'model_byCAP'!$A$2:$A$377,0)),0)</f>
        <v>3447</v>
      </c>
    </row>
    <row r="1916" ht="15.35" customHeight="1">
      <c r="A1916" t="s" s="2">
        <v>3777</v>
      </c>
      <c r="B1916" s="4">
        <v>37611</v>
      </c>
      <c r="C1916" s="5">
        <v>900</v>
      </c>
      <c r="D1916" s="5">
        <v>52</v>
      </c>
      <c r="E1916" s="5">
        <v>45</v>
      </c>
      <c r="F1916" t="s" s="2">
        <v>1746</v>
      </c>
      <c r="G1916" t="s" s="2">
        <v>3444</v>
      </c>
      <c r="H1916" s="5">
        <v>813</v>
      </c>
      <c r="I1916" t="s" s="2">
        <v>1708</v>
      </c>
      <c r="J1916" t="s" s="2">
        <v>22</v>
      </c>
      <c r="K1916" t="s" s="2">
        <v>3778</v>
      </c>
      <c r="L1916" t="s" s="2">
        <v>3779</v>
      </c>
      <c r="M1916" s="5">
        <v>593455.8100000001</v>
      </c>
      <c r="N1916" s="5">
        <v>6400280.46</v>
      </c>
      <c r="O1916" t="s" s="2">
        <v>305</v>
      </c>
      <c r="P1916" t="s" s="2">
        <v>3780</v>
      </c>
      <c r="Q1916" t="s" s="2">
        <v>3446</v>
      </c>
      <c r="R1916" t="s" s="2">
        <f>_xlfn.IFERROR(INDEX('model_byCAP'!$D$2:$D$377,MATCH(Q1916,'model_byCAP'!$A$2:$A$377,0)),0)</f>
        <v>3447</v>
      </c>
    </row>
    <row r="1917" ht="15.35" customHeight="1">
      <c r="A1917" t="s" s="2">
        <v>3781</v>
      </c>
      <c r="B1917" s="4">
        <v>37611</v>
      </c>
      <c r="C1917" s="5">
        <v>900</v>
      </c>
      <c r="D1917" s="5">
        <v>52</v>
      </c>
      <c r="E1917" s="5">
        <v>45</v>
      </c>
      <c r="F1917" t="s" s="2">
        <v>1746</v>
      </c>
      <c r="G1917" t="s" s="2">
        <v>3444</v>
      </c>
      <c r="H1917" s="5">
        <v>813</v>
      </c>
      <c r="I1917" t="s" s="2">
        <v>1708</v>
      </c>
      <c r="J1917" t="s" s="2">
        <v>22</v>
      </c>
      <c r="K1917" t="s" s="2">
        <v>3778</v>
      </c>
      <c r="L1917" t="s" s="2">
        <v>3779</v>
      </c>
      <c r="M1917" s="5">
        <v>593345.89</v>
      </c>
      <c r="N1917" s="5">
        <v>6400421.63</v>
      </c>
      <c r="O1917" t="s" s="2">
        <v>305</v>
      </c>
      <c r="P1917" t="s" s="2">
        <v>3782</v>
      </c>
      <c r="Q1917" t="s" s="2">
        <v>3446</v>
      </c>
      <c r="R1917" t="s" s="2">
        <f>_xlfn.IFERROR(INDEX('model_byCAP'!$D$2:$D$377,MATCH(Q1917,'model_byCAP'!$A$2:$A$377,0)),0)</f>
        <v>3447</v>
      </c>
    </row>
    <row r="1918" ht="15.35" customHeight="1">
      <c r="A1918" t="s" s="2">
        <v>3783</v>
      </c>
      <c r="B1918" s="4">
        <v>37985</v>
      </c>
      <c r="C1918" s="5">
        <v>900</v>
      </c>
      <c r="D1918" s="5">
        <v>52</v>
      </c>
      <c r="E1918" s="5">
        <v>54</v>
      </c>
      <c r="F1918" t="s" s="2">
        <v>1746</v>
      </c>
      <c r="G1918" t="s" s="2">
        <v>3444</v>
      </c>
      <c r="H1918" s="5">
        <v>820</v>
      </c>
      <c r="I1918" t="s" s="2">
        <v>388</v>
      </c>
      <c r="J1918" t="s" s="2">
        <v>22</v>
      </c>
      <c r="K1918" t="s" s="2">
        <v>3784</v>
      </c>
      <c r="L1918" t="s" s="2">
        <v>405</v>
      </c>
      <c r="M1918" s="5">
        <v>519847.8</v>
      </c>
      <c r="N1918" s="5">
        <v>6301900.38</v>
      </c>
      <c r="O1918" t="s" s="2">
        <v>305</v>
      </c>
      <c r="P1918" s="5">
        <v>473</v>
      </c>
      <c r="Q1918" t="s" s="2">
        <v>3446</v>
      </c>
      <c r="R1918" t="s" s="2">
        <f>_xlfn.IFERROR(INDEX('model_byCAP'!$D$2:$D$377,MATCH(Q1918,'model_byCAP'!$A$2:$A$377,0)),0)</f>
        <v>3447</v>
      </c>
    </row>
    <row r="1919" ht="15.35" customHeight="1">
      <c r="A1919" t="s" s="2">
        <v>3785</v>
      </c>
      <c r="B1919" s="4">
        <v>37987</v>
      </c>
      <c r="C1919" s="5">
        <v>900</v>
      </c>
      <c r="D1919" s="5">
        <v>52</v>
      </c>
      <c r="E1919" s="5">
        <v>54</v>
      </c>
      <c r="F1919" t="s" s="2">
        <v>1746</v>
      </c>
      <c r="G1919" t="s" s="2">
        <v>3444</v>
      </c>
      <c r="H1919" s="5">
        <v>820</v>
      </c>
      <c r="I1919" t="s" s="2">
        <v>388</v>
      </c>
      <c r="J1919" t="s" s="2">
        <v>22</v>
      </c>
      <c r="K1919" t="s" s="2">
        <v>3784</v>
      </c>
      <c r="L1919" t="s" s="2">
        <v>474</v>
      </c>
      <c r="M1919" s="5">
        <v>519678.11</v>
      </c>
      <c r="N1919" s="5">
        <v>6301794.09</v>
      </c>
      <c r="O1919" t="s" s="2">
        <v>305</v>
      </c>
      <c r="P1919" s="5">
        <v>474</v>
      </c>
      <c r="Q1919" t="s" s="2">
        <v>3446</v>
      </c>
      <c r="R1919" t="s" s="2">
        <f>_xlfn.IFERROR(INDEX('model_byCAP'!$D$2:$D$377,MATCH(Q1919,'model_byCAP'!$A$2:$A$377,0)),0)</f>
        <v>3447</v>
      </c>
    </row>
    <row r="1920" ht="15.35" customHeight="1">
      <c r="A1920" t="s" s="2">
        <v>3786</v>
      </c>
      <c r="B1920" s="4">
        <v>37987</v>
      </c>
      <c r="C1920" s="5">
        <v>900</v>
      </c>
      <c r="D1920" s="5">
        <v>52</v>
      </c>
      <c r="E1920" s="5">
        <v>54</v>
      </c>
      <c r="F1920" t="s" s="2">
        <v>1746</v>
      </c>
      <c r="G1920" t="s" s="2">
        <v>3444</v>
      </c>
      <c r="H1920" s="5">
        <v>820</v>
      </c>
      <c r="I1920" t="s" s="2">
        <v>388</v>
      </c>
      <c r="J1920" t="s" s="2">
        <v>22</v>
      </c>
      <c r="K1920" t="s" s="2">
        <v>3784</v>
      </c>
      <c r="L1920" t="s" s="2">
        <v>1165</v>
      </c>
      <c r="M1920" s="5">
        <v>519512.44</v>
      </c>
      <c r="N1920" s="5">
        <v>6301689.32</v>
      </c>
      <c r="O1920" t="s" s="2">
        <v>305</v>
      </c>
      <c r="P1920" s="5">
        <v>475</v>
      </c>
      <c r="Q1920" t="s" s="2">
        <v>3446</v>
      </c>
      <c r="R1920" t="s" s="2">
        <f>_xlfn.IFERROR(INDEX('model_byCAP'!$D$2:$D$377,MATCH(Q1920,'model_byCAP'!$A$2:$A$377,0)),0)</f>
        <v>3447</v>
      </c>
    </row>
    <row r="1921" ht="15.35" customHeight="1">
      <c r="A1921" t="s" s="2">
        <v>3787</v>
      </c>
      <c r="B1921" s="4">
        <v>37594</v>
      </c>
      <c r="C1921" s="5">
        <v>850</v>
      </c>
      <c r="D1921" s="5">
        <v>52</v>
      </c>
      <c r="E1921" s="5">
        <v>49</v>
      </c>
      <c r="F1921" t="s" s="2">
        <v>301</v>
      </c>
      <c r="G1921" t="s" s="2">
        <v>3788</v>
      </c>
      <c r="H1921" s="5">
        <v>326</v>
      </c>
      <c r="I1921" t="s" s="2">
        <v>1263</v>
      </c>
      <c r="J1921" t="s" s="2">
        <v>22</v>
      </c>
      <c r="K1921" t="s" s="2">
        <v>3789</v>
      </c>
      <c r="L1921" t="s" s="2">
        <v>481</v>
      </c>
      <c r="M1921" s="5">
        <v>644173.74</v>
      </c>
      <c r="N1921" s="5">
        <v>6149519.51</v>
      </c>
      <c r="O1921" t="s" s="2">
        <v>305</v>
      </c>
      <c r="P1921" s="5">
        <v>40170586</v>
      </c>
      <c r="Q1921" t="s" s="2">
        <v>3790</v>
      </c>
      <c r="R1921" t="s" s="2">
        <f>_xlfn.IFERROR(INDEX('model_byCAP'!$D$2:$D$377,MATCH(Q1921,'model_byCAP'!$A$2:$A$377,0)),0)</f>
        <v>3738</v>
      </c>
    </row>
    <row r="1922" ht="15.35" customHeight="1">
      <c r="A1922" t="s" s="2">
        <v>3791</v>
      </c>
      <c r="B1922" s="4">
        <v>37592</v>
      </c>
      <c r="C1922" s="5">
        <v>850</v>
      </c>
      <c r="D1922" s="5">
        <v>52</v>
      </c>
      <c r="E1922" s="5">
        <v>49</v>
      </c>
      <c r="F1922" t="s" s="2">
        <v>301</v>
      </c>
      <c r="G1922" t="s" s="2">
        <v>3788</v>
      </c>
      <c r="H1922" s="5">
        <v>326</v>
      </c>
      <c r="I1922" t="s" s="2">
        <v>1263</v>
      </c>
      <c r="J1922" t="s" s="2">
        <v>22</v>
      </c>
      <c r="K1922" t="s" s="2">
        <v>3789</v>
      </c>
      <c r="L1922" t="s" s="2">
        <v>481</v>
      </c>
      <c r="M1922" s="5">
        <v>644101.03</v>
      </c>
      <c r="N1922" s="5">
        <v>6149705.75</v>
      </c>
      <c r="O1922" t="s" s="2">
        <v>305</v>
      </c>
      <c r="P1922" s="5">
        <v>60117193</v>
      </c>
      <c r="Q1922" t="s" s="2">
        <v>3790</v>
      </c>
      <c r="R1922" t="s" s="2">
        <f>_xlfn.IFERROR(INDEX('model_byCAP'!$D$2:$D$377,MATCH(Q1922,'model_byCAP'!$A$2:$A$377,0)),0)</f>
        <v>3738</v>
      </c>
    </row>
    <row r="1923" ht="15.35" customHeight="1">
      <c r="A1923" t="s" s="2">
        <v>3792</v>
      </c>
      <c r="B1923" s="4">
        <v>37593</v>
      </c>
      <c r="C1923" s="5">
        <v>850</v>
      </c>
      <c r="D1923" s="5">
        <v>52</v>
      </c>
      <c r="E1923" s="5">
        <v>49</v>
      </c>
      <c r="F1923" t="s" s="2">
        <v>301</v>
      </c>
      <c r="G1923" t="s" s="2">
        <v>3788</v>
      </c>
      <c r="H1923" s="5">
        <v>326</v>
      </c>
      <c r="I1923" t="s" s="2">
        <v>1263</v>
      </c>
      <c r="J1923" t="s" s="2">
        <v>22</v>
      </c>
      <c r="K1923" t="s" s="2">
        <v>3789</v>
      </c>
      <c r="L1923" t="s" s="2">
        <v>481</v>
      </c>
      <c r="M1923" s="5">
        <v>644029.02</v>
      </c>
      <c r="N1923" s="5">
        <v>6149892.84</v>
      </c>
      <c r="O1923" t="s" s="2">
        <v>305</v>
      </c>
      <c r="P1923" t="s" s="2">
        <v>3793</v>
      </c>
      <c r="Q1923" t="s" s="2">
        <v>3790</v>
      </c>
      <c r="R1923" t="s" s="2">
        <f>_xlfn.IFERROR(INDEX('model_byCAP'!$D$2:$D$377,MATCH(Q1923,'model_byCAP'!$A$2:$A$377,0)),0)</f>
        <v>3738</v>
      </c>
    </row>
    <row r="1924" ht="15.35" customHeight="1">
      <c r="A1924" t="s" s="2">
        <v>3794</v>
      </c>
      <c r="B1924" s="4">
        <v>37610</v>
      </c>
      <c r="C1924" s="5">
        <v>850</v>
      </c>
      <c r="D1924" s="5">
        <v>52</v>
      </c>
      <c r="E1924" s="5">
        <v>49</v>
      </c>
      <c r="F1924" t="s" s="2">
        <v>301</v>
      </c>
      <c r="G1924" t="s" s="2">
        <v>3788</v>
      </c>
      <c r="H1924" s="5">
        <v>479</v>
      </c>
      <c r="I1924" t="s" s="2">
        <v>2082</v>
      </c>
      <c r="J1924" t="s" s="2">
        <v>22</v>
      </c>
      <c r="K1924" t="s" s="2">
        <v>3795</v>
      </c>
      <c r="L1924" t="s" s="2">
        <v>498</v>
      </c>
      <c r="M1924" s="5">
        <v>604979.38</v>
      </c>
      <c r="N1924" s="5">
        <v>6106948.65</v>
      </c>
      <c r="O1924" t="s" s="2">
        <v>305</v>
      </c>
      <c r="P1924" s="5">
        <v>50745</v>
      </c>
      <c r="Q1924" t="s" s="2">
        <v>3790</v>
      </c>
      <c r="R1924" t="s" s="2">
        <f>_xlfn.IFERROR(INDEX('model_byCAP'!$D$2:$D$377,MATCH(Q1924,'model_byCAP'!$A$2:$A$377,0)),0)</f>
        <v>3738</v>
      </c>
    </row>
    <row r="1925" ht="15.35" customHeight="1">
      <c r="A1925" t="s" s="2">
        <v>3796</v>
      </c>
      <c r="B1925" s="4">
        <v>37610</v>
      </c>
      <c r="C1925" s="5">
        <v>850</v>
      </c>
      <c r="D1925" s="5">
        <v>52</v>
      </c>
      <c r="E1925" s="5">
        <v>49</v>
      </c>
      <c r="F1925" t="s" s="2">
        <v>301</v>
      </c>
      <c r="G1925" t="s" s="2">
        <v>3788</v>
      </c>
      <c r="H1925" s="5">
        <v>479</v>
      </c>
      <c r="I1925" t="s" s="2">
        <v>2082</v>
      </c>
      <c r="J1925" t="s" s="2">
        <v>22</v>
      </c>
      <c r="K1925" t="s" s="2">
        <v>3795</v>
      </c>
      <c r="L1925" t="s" s="2">
        <v>481</v>
      </c>
      <c r="M1925" s="5">
        <v>604907.2</v>
      </c>
      <c r="N1925" s="5">
        <v>6107138.86</v>
      </c>
      <c r="O1925" t="s" s="2">
        <v>305</v>
      </c>
      <c r="P1925" s="5">
        <v>50746</v>
      </c>
      <c r="Q1925" t="s" s="2">
        <v>3790</v>
      </c>
      <c r="R1925" t="s" s="2">
        <f>_xlfn.IFERROR(INDEX('model_byCAP'!$D$2:$D$377,MATCH(Q1925,'model_byCAP'!$A$2:$A$377,0)),0)</f>
        <v>3738</v>
      </c>
    </row>
    <row r="1926" ht="15.35" customHeight="1">
      <c r="A1926" t="s" s="2">
        <v>3797</v>
      </c>
      <c r="B1926" s="4">
        <v>37610</v>
      </c>
      <c r="C1926" s="5">
        <v>850</v>
      </c>
      <c r="D1926" s="5">
        <v>52</v>
      </c>
      <c r="E1926" s="5">
        <v>49</v>
      </c>
      <c r="F1926" t="s" s="2">
        <v>301</v>
      </c>
      <c r="G1926" t="s" s="2">
        <v>3788</v>
      </c>
      <c r="H1926" s="5">
        <v>479</v>
      </c>
      <c r="I1926" t="s" s="2">
        <v>2082</v>
      </c>
      <c r="J1926" t="s" s="2">
        <v>22</v>
      </c>
      <c r="K1926" t="s" s="2">
        <v>3795</v>
      </c>
      <c r="L1926" t="s" s="2">
        <v>481</v>
      </c>
      <c r="M1926" s="5">
        <v>604840.99</v>
      </c>
      <c r="N1926" s="5">
        <v>6107328.38</v>
      </c>
      <c r="O1926" t="s" s="2">
        <v>305</v>
      </c>
      <c r="P1926" s="5">
        <v>50747</v>
      </c>
      <c r="Q1926" t="s" s="2">
        <v>3790</v>
      </c>
      <c r="R1926" t="s" s="2">
        <f>_xlfn.IFERROR(INDEX('model_byCAP'!$D$2:$D$377,MATCH(Q1926,'model_byCAP'!$A$2:$A$377,0)),0)</f>
        <v>3738</v>
      </c>
    </row>
    <row r="1927" ht="15.35" customHeight="1">
      <c r="A1927" t="s" s="2">
        <v>3798</v>
      </c>
      <c r="B1927" s="4">
        <v>41893</v>
      </c>
      <c r="C1927" s="5">
        <v>850</v>
      </c>
      <c r="D1927" s="5">
        <v>52</v>
      </c>
      <c r="E1927" s="5">
        <v>54</v>
      </c>
      <c r="F1927" t="s" s="2">
        <v>301</v>
      </c>
      <c r="G1927" t="s" s="2">
        <v>3799</v>
      </c>
      <c r="H1927" s="5">
        <v>479</v>
      </c>
      <c r="I1927" t="s" s="2">
        <v>2082</v>
      </c>
      <c r="J1927" t="s" s="2">
        <v>22</v>
      </c>
      <c r="K1927" t="s" s="2">
        <v>3486</v>
      </c>
      <c r="L1927" t="s" s="2">
        <v>524</v>
      </c>
      <c r="M1927" s="5">
        <v>602554.99</v>
      </c>
      <c r="N1927" s="5">
        <v>6115767.68</v>
      </c>
      <c r="O1927" t="s" s="2">
        <v>305</v>
      </c>
      <c r="P1927" s="5">
        <v>144821</v>
      </c>
      <c r="Q1927" t="s" s="2">
        <v>3800</v>
      </c>
      <c r="R1927" t="s" s="2">
        <f>_xlfn.IFERROR(INDEX('model_byCAP'!$D$2:$D$377,MATCH(Q1927,'model_byCAP'!$A$2:$A$377,0)),0)</f>
        <v>3738</v>
      </c>
    </row>
    <row r="1928" ht="15.35" customHeight="1">
      <c r="A1928" t="s" s="2">
        <v>3801</v>
      </c>
      <c r="B1928" s="4">
        <v>36872</v>
      </c>
      <c r="C1928" s="5">
        <v>850</v>
      </c>
      <c r="D1928" s="5">
        <v>52</v>
      </c>
      <c r="E1928" s="5">
        <v>50</v>
      </c>
      <c r="F1928" t="s" s="2">
        <v>301</v>
      </c>
      <c r="G1928" t="s" s="2">
        <v>3788</v>
      </c>
      <c r="H1928" s="5">
        <v>530</v>
      </c>
      <c r="I1928" t="s" s="2">
        <v>1357</v>
      </c>
      <c r="J1928" t="s" s="2">
        <v>22</v>
      </c>
      <c r="K1928" t="s" s="2">
        <v>3802</v>
      </c>
      <c r="L1928" t="s" s="2">
        <v>2348</v>
      </c>
      <c r="M1928" s="5">
        <v>491653.34</v>
      </c>
      <c r="N1928" s="5">
        <v>6188962.75</v>
      </c>
      <c r="O1928" t="s" s="2">
        <v>305</v>
      </c>
      <c r="P1928" s="5">
        <v>16087</v>
      </c>
      <c r="Q1928" t="s" s="2">
        <v>3790</v>
      </c>
      <c r="R1928" t="s" s="2">
        <f>_xlfn.IFERROR(INDEX('model_byCAP'!$D$2:$D$377,MATCH(Q1928,'model_byCAP'!$A$2:$A$377,0)),0)</f>
        <v>3738</v>
      </c>
    </row>
    <row r="1929" ht="15.35" customHeight="1">
      <c r="A1929" t="s" s="2">
        <v>3803</v>
      </c>
      <c r="B1929" s="4">
        <v>37116</v>
      </c>
      <c r="C1929" s="5">
        <v>850</v>
      </c>
      <c r="D1929" s="5">
        <v>52</v>
      </c>
      <c r="E1929" s="5">
        <v>50</v>
      </c>
      <c r="F1929" t="s" s="2">
        <v>301</v>
      </c>
      <c r="G1929" t="s" s="2">
        <v>3788</v>
      </c>
      <c r="H1929" s="5">
        <v>530</v>
      </c>
      <c r="I1929" t="s" s="2">
        <v>1357</v>
      </c>
      <c r="J1929" t="s" s="2">
        <v>22</v>
      </c>
      <c r="K1929" t="s" s="2">
        <v>3802</v>
      </c>
      <c r="L1929" t="s" s="2">
        <v>2348</v>
      </c>
      <c r="M1929" s="5">
        <v>491729.6</v>
      </c>
      <c r="N1929" s="5">
        <v>6189147.29</v>
      </c>
      <c r="O1929" t="s" s="2">
        <v>305</v>
      </c>
      <c r="P1929" s="5">
        <v>16088</v>
      </c>
      <c r="Q1929" t="s" s="2">
        <v>3790</v>
      </c>
      <c r="R1929" t="s" s="2">
        <f>_xlfn.IFERROR(INDEX('model_byCAP'!$D$2:$D$377,MATCH(Q1929,'model_byCAP'!$A$2:$A$377,0)),0)</f>
        <v>3738</v>
      </c>
    </row>
    <row r="1930" ht="15.35" customHeight="1">
      <c r="A1930" t="s" s="2">
        <v>3804</v>
      </c>
      <c r="B1930" s="4">
        <v>37115</v>
      </c>
      <c r="C1930" s="5">
        <v>850</v>
      </c>
      <c r="D1930" s="5">
        <v>52</v>
      </c>
      <c r="E1930" s="5">
        <v>50</v>
      </c>
      <c r="F1930" t="s" s="2">
        <v>301</v>
      </c>
      <c r="G1930" t="s" s="2">
        <v>3788</v>
      </c>
      <c r="H1930" s="5">
        <v>530</v>
      </c>
      <c r="I1930" t="s" s="2">
        <v>1357</v>
      </c>
      <c r="J1930" t="s" s="2">
        <v>22</v>
      </c>
      <c r="K1930" t="s" s="2">
        <v>3802</v>
      </c>
      <c r="L1930" t="s" s="2">
        <v>585</v>
      </c>
      <c r="M1930" s="5">
        <v>491905.92</v>
      </c>
      <c r="N1930" s="5">
        <v>6189057.6</v>
      </c>
      <c r="O1930" t="s" s="2">
        <v>305</v>
      </c>
      <c r="P1930" s="5">
        <v>16089</v>
      </c>
      <c r="Q1930" t="s" s="2">
        <v>3790</v>
      </c>
      <c r="R1930" t="s" s="2">
        <f>_xlfn.IFERROR(INDEX('model_byCAP'!$D$2:$D$377,MATCH(Q1930,'model_byCAP'!$A$2:$A$377,0)),0)</f>
        <v>3738</v>
      </c>
    </row>
    <row r="1931" ht="15.35" customHeight="1">
      <c r="A1931" t="s" s="2">
        <v>3805</v>
      </c>
      <c r="B1931" s="4">
        <v>37133</v>
      </c>
      <c r="C1931" s="5">
        <v>850</v>
      </c>
      <c r="D1931" s="5">
        <v>52</v>
      </c>
      <c r="E1931" s="5">
        <v>50</v>
      </c>
      <c r="F1931" t="s" s="2">
        <v>301</v>
      </c>
      <c r="G1931" t="s" s="2">
        <v>3788</v>
      </c>
      <c r="H1931" s="5">
        <v>530</v>
      </c>
      <c r="I1931" t="s" s="2">
        <v>1357</v>
      </c>
      <c r="J1931" t="s" s="2">
        <v>22</v>
      </c>
      <c r="K1931" t="s" s="2">
        <v>3802</v>
      </c>
      <c r="L1931" t="s" s="2">
        <v>585</v>
      </c>
      <c r="M1931" s="5">
        <v>491853.16</v>
      </c>
      <c r="N1931" s="5">
        <v>6188865.65</v>
      </c>
      <c r="O1931" t="s" s="2">
        <v>305</v>
      </c>
      <c r="P1931" s="5">
        <v>16093</v>
      </c>
      <c r="Q1931" t="s" s="2">
        <v>3790</v>
      </c>
      <c r="R1931" t="s" s="2">
        <f>_xlfn.IFERROR(INDEX('model_byCAP'!$D$2:$D$377,MATCH(Q1931,'model_byCAP'!$A$2:$A$377,0)),0)</f>
        <v>3738</v>
      </c>
    </row>
    <row r="1932" ht="15.35" customHeight="1">
      <c r="A1932" t="s" s="2">
        <v>3806</v>
      </c>
      <c r="B1932" s="4">
        <v>39512</v>
      </c>
      <c r="C1932" s="5">
        <v>850</v>
      </c>
      <c r="D1932" s="5">
        <v>52</v>
      </c>
      <c r="E1932" s="5">
        <v>54</v>
      </c>
      <c r="F1932" t="s" s="2">
        <v>301</v>
      </c>
      <c r="G1932" t="s" s="2">
        <v>3788</v>
      </c>
      <c r="H1932" s="5">
        <v>573</v>
      </c>
      <c r="I1932" t="s" s="2">
        <v>1041</v>
      </c>
      <c r="J1932" t="s" s="2">
        <v>22</v>
      </c>
      <c r="K1932" t="s" s="2">
        <v>3807</v>
      </c>
      <c r="L1932" t="s" s="2">
        <v>2931</v>
      </c>
      <c r="M1932" s="5">
        <v>461033.85</v>
      </c>
      <c r="N1932" s="5">
        <v>6182217.06</v>
      </c>
      <c r="O1932" t="s" s="2">
        <v>25</v>
      </c>
      <c r="P1932" s="5">
        <v>344233100</v>
      </c>
      <c r="Q1932" t="s" s="2">
        <v>3790</v>
      </c>
      <c r="R1932" t="s" s="2">
        <f>_xlfn.IFERROR(INDEX('model_byCAP'!$D$2:$D$377,MATCH(Q1932,'model_byCAP'!$A$2:$A$377,0)),0)</f>
        <v>3738</v>
      </c>
    </row>
    <row r="1933" ht="15.35" customHeight="1">
      <c r="A1933" t="s" s="2">
        <v>3808</v>
      </c>
      <c r="B1933" s="4">
        <v>39512</v>
      </c>
      <c r="C1933" s="5">
        <v>850</v>
      </c>
      <c r="D1933" s="5">
        <v>52</v>
      </c>
      <c r="E1933" s="5">
        <v>54</v>
      </c>
      <c r="F1933" t="s" s="2">
        <v>301</v>
      </c>
      <c r="G1933" t="s" s="2">
        <v>3788</v>
      </c>
      <c r="H1933" s="5">
        <v>573</v>
      </c>
      <c r="I1933" t="s" s="2">
        <v>1041</v>
      </c>
      <c r="J1933" t="s" s="2">
        <v>22</v>
      </c>
      <c r="K1933" t="s" s="2">
        <v>3807</v>
      </c>
      <c r="L1933" t="s" s="2">
        <v>2931</v>
      </c>
      <c r="M1933" s="5">
        <v>461240.53</v>
      </c>
      <c r="N1933" s="5">
        <v>6182150.69</v>
      </c>
      <c r="O1933" t="s" s="2">
        <v>25</v>
      </c>
      <c r="P1933" s="5">
        <v>344233101</v>
      </c>
      <c r="Q1933" t="s" s="2">
        <v>3790</v>
      </c>
      <c r="R1933" t="s" s="2">
        <f>_xlfn.IFERROR(INDEX('model_byCAP'!$D$2:$D$377,MATCH(Q1933,'model_byCAP'!$A$2:$A$377,0)),0)</f>
        <v>3738</v>
      </c>
    </row>
    <row r="1934" ht="15.35" customHeight="1">
      <c r="A1934" t="s" s="2">
        <v>3809</v>
      </c>
      <c r="B1934" s="4">
        <v>39919</v>
      </c>
      <c r="C1934" s="5">
        <v>850</v>
      </c>
      <c r="D1934" s="5">
        <v>52</v>
      </c>
      <c r="E1934" s="5">
        <v>49</v>
      </c>
      <c r="F1934" t="s" s="2">
        <v>301</v>
      </c>
      <c r="G1934" t="s" s="2">
        <v>3788</v>
      </c>
      <c r="H1934" s="5">
        <v>573</v>
      </c>
      <c r="I1934" t="s" s="2">
        <v>1041</v>
      </c>
      <c r="J1934" t="s" s="2">
        <v>22</v>
      </c>
      <c r="K1934" t="s" s="2">
        <v>3810</v>
      </c>
      <c r="L1934" t="s" s="2">
        <v>524</v>
      </c>
      <c r="M1934" s="5">
        <v>471594.74</v>
      </c>
      <c r="N1934" s="5">
        <v>6179518.22</v>
      </c>
      <c r="O1934" t="s" s="2">
        <v>305</v>
      </c>
      <c r="P1934" s="5">
        <v>344236197</v>
      </c>
      <c r="Q1934" t="s" s="2">
        <v>3790</v>
      </c>
      <c r="R1934" t="s" s="2">
        <f>_xlfn.IFERROR(INDEX('model_byCAP'!$D$2:$D$377,MATCH(Q1934,'model_byCAP'!$A$2:$A$377,0)),0)</f>
        <v>3738</v>
      </c>
    </row>
    <row r="1935" ht="15.35" customHeight="1">
      <c r="A1935" t="s" s="2">
        <v>3811</v>
      </c>
      <c r="B1935" s="4">
        <v>39919</v>
      </c>
      <c r="C1935" s="5">
        <v>850</v>
      </c>
      <c r="D1935" s="5">
        <v>52</v>
      </c>
      <c r="E1935" s="5">
        <v>49</v>
      </c>
      <c r="F1935" t="s" s="2">
        <v>301</v>
      </c>
      <c r="G1935" t="s" s="2">
        <v>3788</v>
      </c>
      <c r="H1935" s="5">
        <v>573</v>
      </c>
      <c r="I1935" t="s" s="2">
        <v>1041</v>
      </c>
      <c r="J1935" t="s" s="2">
        <v>22</v>
      </c>
      <c r="K1935" t="s" s="2">
        <v>3810</v>
      </c>
      <c r="L1935" s="5">
        <v>12</v>
      </c>
      <c r="M1935" s="5">
        <v>471395.25</v>
      </c>
      <c r="N1935" s="5">
        <v>6179588.84</v>
      </c>
      <c r="O1935" t="s" s="2">
        <v>305</v>
      </c>
      <c r="P1935" s="5">
        <v>344236198</v>
      </c>
      <c r="Q1935" t="s" s="2">
        <v>3790</v>
      </c>
      <c r="R1935" t="s" s="2">
        <f>_xlfn.IFERROR(INDEX('model_byCAP'!$D$2:$D$377,MATCH(Q1935,'model_byCAP'!$A$2:$A$377,0)),0)</f>
        <v>3738</v>
      </c>
    </row>
    <row r="1936" ht="15.35" customHeight="1">
      <c r="A1936" t="s" s="2">
        <v>3812</v>
      </c>
      <c r="B1936" s="4">
        <v>39918</v>
      </c>
      <c r="C1936" s="5">
        <v>850</v>
      </c>
      <c r="D1936" s="5">
        <v>52</v>
      </c>
      <c r="E1936" s="5">
        <v>49</v>
      </c>
      <c r="F1936" t="s" s="2">
        <v>301</v>
      </c>
      <c r="G1936" t="s" s="2">
        <v>3788</v>
      </c>
      <c r="H1936" s="5">
        <v>573</v>
      </c>
      <c r="I1936" t="s" s="2">
        <v>1041</v>
      </c>
      <c r="J1936" t="s" s="2">
        <v>22</v>
      </c>
      <c r="K1936" t="s" s="2">
        <v>3810</v>
      </c>
      <c r="L1936" t="s" s="2">
        <v>524</v>
      </c>
      <c r="M1936" s="5">
        <v>471794.04</v>
      </c>
      <c r="N1936" s="5">
        <v>6179447.8</v>
      </c>
      <c r="O1936" t="s" s="2">
        <v>305</v>
      </c>
      <c r="P1936" s="5">
        <v>344236196</v>
      </c>
      <c r="Q1936" t="s" s="2">
        <v>3790</v>
      </c>
      <c r="R1936" t="s" s="2">
        <f>_xlfn.IFERROR(INDEX('model_byCAP'!$D$2:$D$377,MATCH(Q1936,'model_byCAP'!$A$2:$A$377,0)),0)</f>
        <v>3738</v>
      </c>
    </row>
    <row r="1937" ht="15.35" customHeight="1">
      <c r="A1937" t="s" s="2">
        <v>3813</v>
      </c>
      <c r="B1937" s="4">
        <v>37089</v>
      </c>
      <c r="C1937" s="5">
        <v>850</v>
      </c>
      <c r="D1937" s="5">
        <v>52</v>
      </c>
      <c r="E1937" s="5">
        <v>44</v>
      </c>
      <c r="F1937" t="s" s="2">
        <v>301</v>
      </c>
      <c r="G1937" t="s" s="2">
        <v>3788</v>
      </c>
      <c r="H1937" s="5">
        <v>575</v>
      </c>
      <c r="I1937" t="s" s="2">
        <v>2952</v>
      </c>
      <c r="J1937" t="s" s="2">
        <v>22</v>
      </c>
      <c r="K1937" t="s" s="2">
        <v>3814</v>
      </c>
      <c r="L1937" s="5">
        <v>35</v>
      </c>
      <c r="M1937" s="5">
        <v>497495.24</v>
      </c>
      <c r="N1937" s="5">
        <v>6131425.16</v>
      </c>
      <c r="O1937" t="s" s="2">
        <v>25</v>
      </c>
      <c r="P1937" s="5">
        <v>91353</v>
      </c>
      <c r="Q1937" t="s" s="2">
        <v>3790</v>
      </c>
      <c r="R1937" t="s" s="2">
        <f>_xlfn.IFERROR(INDEX('model_byCAP'!$D$2:$D$377,MATCH(Q1937,'model_byCAP'!$A$2:$A$377,0)),0)</f>
        <v>3738</v>
      </c>
    </row>
    <row r="1938" ht="15.35" customHeight="1">
      <c r="A1938" t="s" s="2">
        <v>3815</v>
      </c>
      <c r="B1938" s="4">
        <v>39506</v>
      </c>
      <c r="C1938" s="5">
        <v>850</v>
      </c>
      <c r="D1938" s="5">
        <v>52</v>
      </c>
      <c r="E1938" s="5">
        <v>54</v>
      </c>
      <c r="F1938" t="s" s="2">
        <v>301</v>
      </c>
      <c r="G1938" t="s" s="2">
        <v>3788</v>
      </c>
      <c r="H1938" s="5">
        <v>575</v>
      </c>
      <c r="I1938" t="s" s="2">
        <v>2952</v>
      </c>
      <c r="J1938" t="s" s="2">
        <v>22</v>
      </c>
      <c r="K1938" t="s" s="2">
        <v>3816</v>
      </c>
      <c r="L1938" t="s" s="2">
        <v>481</v>
      </c>
      <c r="M1938" s="5">
        <v>511980.18</v>
      </c>
      <c r="N1938" s="5">
        <v>6151759.49</v>
      </c>
      <c r="O1938" t="s" s="2">
        <v>305</v>
      </c>
      <c r="P1938" s="5">
        <v>5022518</v>
      </c>
      <c r="Q1938" t="s" s="2">
        <v>3790</v>
      </c>
      <c r="R1938" t="s" s="2">
        <f>_xlfn.IFERROR(INDEX('model_byCAP'!$D$2:$D$377,MATCH(Q1938,'model_byCAP'!$A$2:$A$377,0)),0)</f>
        <v>3738</v>
      </c>
    </row>
    <row r="1939" ht="15.35" customHeight="1">
      <c r="A1939" t="s" s="2">
        <v>3817</v>
      </c>
      <c r="B1939" s="4">
        <v>39506</v>
      </c>
      <c r="C1939" s="5">
        <v>850</v>
      </c>
      <c r="D1939" s="5">
        <v>52</v>
      </c>
      <c r="E1939" s="5">
        <v>54</v>
      </c>
      <c r="F1939" t="s" s="2">
        <v>301</v>
      </c>
      <c r="G1939" t="s" s="2">
        <v>3788</v>
      </c>
      <c r="H1939" s="5">
        <v>575</v>
      </c>
      <c r="I1939" t="s" s="2">
        <v>2952</v>
      </c>
      <c r="J1939" t="s" s="2">
        <v>22</v>
      </c>
      <c r="K1939" t="s" s="2">
        <v>3816</v>
      </c>
      <c r="L1939" t="s" s="2">
        <v>3818</v>
      </c>
      <c r="M1939" s="5">
        <v>512137.54</v>
      </c>
      <c r="N1939" s="5">
        <v>6151358.82</v>
      </c>
      <c r="O1939" t="s" s="2">
        <v>305</v>
      </c>
      <c r="P1939" s="5">
        <v>5022517</v>
      </c>
      <c r="Q1939" t="s" s="2">
        <v>3790</v>
      </c>
      <c r="R1939" t="s" s="2">
        <f>_xlfn.IFERROR(INDEX('model_byCAP'!$D$2:$D$377,MATCH(Q1939,'model_byCAP'!$A$2:$A$377,0)),0)</f>
        <v>3738</v>
      </c>
    </row>
    <row r="1940" ht="15.35" customHeight="1">
      <c r="A1940" t="s" s="2">
        <v>3819</v>
      </c>
      <c r="B1940" s="4">
        <v>39506</v>
      </c>
      <c r="C1940" s="5">
        <v>850</v>
      </c>
      <c r="D1940" s="5">
        <v>52</v>
      </c>
      <c r="E1940" s="5">
        <v>54</v>
      </c>
      <c r="F1940" t="s" s="2">
        <v>301</v>
      </c>
      <c r="G1940" t="s" s="2">
        <v>3788</v>
      </c>
      <c r="H1940" s="5">
        <v>575</v>
      </c>
      <c r="I1940" t="s" s="2">
        <v>2952</v>
      </c>
      <c r="J1940" t="s" s="2">
        <v>22</v>
      </c>
      <c r="K1940" t="s" s="2">
        <v>3820</v>
      </c>
      <c r="L1940" t="s" s="2">
        <v>2725</v>
      </c>
      <c r="M1940" s="5">
        <v>507707.73</v>
      </c>
      <c r="N1940" s="5">
        <v>6141441</v>
      </c>
      <c r="O1940" t="s" s="2">
        <v>305</v>
      </c>
      <c r="P1940" s="5">
        <v>44195763</v>
      </c>
      <c r="Q1940" t="s" s="2">
        <v>3790</v>
      </c>
      <c r="R1940" t="s" s="2">
        <f>_xlfn.IFERROR(INDEX('model_byCAP'!$D$2:$D$377,MATCH(Q1940,'model_byCAP'!$A$2:$A$377,0)),0)</f>
        <v>3738</v>
      </c>
    </row>
    <row r="1941" ht="15.35" customHeight="1">
      <c r="A1941" t="s" s="2">
        <v>3821</v>
      </c>
      <c r="B1941" s="4">
        <v>39506</v>
      </c>
      <c r="C1941" s="5">
        <v>850</v>
      </c>
      <c r="D1941" s="5">
        <v>52</v>
      </c>
      <c r="E1941" s="5">
        <v>54</v>
      </c>
      <c r="F1941" t="s" s="2">
        <v>301</v>
      </c>
      <c r="G1941" t="s" s="2">
        <v>3788</v>
      </c>
      <c r="H1941" s="5">
        <v>575</v>
      </c>
      <c r="I1941" t="s" s="2">
        <v>2952</v>
      </c>
      <c r="J1941" t="s" s="2">
        <v>22</v>
      </c>
      <c r="K1941" t="s" s="2">
        <v>3822</v>
      </c>
      <c r="L1941" s="5">
        <v>325</v>
      </c>
      <c r="M1941" s="5">
        <v>507741.76</v>
      </c>
      <c r="N1941" s="5">
        <v>6141597.01</v>
      </c>
      <c r="O1941" t="s" s="2">
        <v>305</v>
      </c>
      <c r="P1941" s="5">
        <v>44195764</v>
      </c>
      <c r="Q1941" t="s" s="2">
        <v>3790</v>
      </c>
      <c r="R1941" t="s" s="2">
        <f>_xlfn.IFERROR(INDEX('model_byCAP'!$D$2:$D$377,MATCH(Q1941,'model_byCAP'!$A$2:$A$377,0)),0)</f>
        <v>3738</v>
      </c>
    </row>
    <row r="1942" ht="15.35" customHeight="1">
      <c r="A1942" t="s" s="2">
        <v>3823</v>
      </c>
      <c r="B1942" s="4">
        <v>39506</v>
      </c>
      <c r="C1942" s="5">
        <v>850</v>
      </c>
      <c r="D1942" s="5">
        <v>52</v>
      </c>
      <c r="E1942" s="5">
        <v>54</v>
      </c>
      <c r="F1942" t="s" s="2">
        <v>301</v>
      </c>
      <c r="G1942" t="s" s="2">
        <v>3788</v>
      </c>
      <c r="H1942" s="5">
        <v>575</v>
      </c>
      <c r="I1942" t="s" s="2">
        <v>2952</v>
      </c>
      <c r="J1942" t="s" s="2">
        <v>22</v>
      </c>
      <c r="K1942" t="s" s="2">
        <v>3822</v>
      </c>
      <c r="L1942" t="s" s="2">
        <v>1626</v>
      </c>
      <c r="M1942" s="5">
        <v>507774.71</v>
      </c>
      <c r="N1942" s="5">
        <v>6141746.97</v>
      </c>
      <c r="O1942" t="s" s="2">
        <v>305</v>
      </c>
      <c r="P1942" s="5">
        <v>44195765</v>
      </c>
      <c r="Q1942" t="s" s="2">
        <v>3790</v>
      </c>
      <c r="R1942" t="s" s="2">
        <f>_xlfn.IFERROR(INDEX('model_byCAP'!$D$2:$D$377,MATCH(Q1942,'model_byCAP'!$A$2:$A$377,0)),0)</f>
        <v>3738</v>
      </c>
    </row>
    <row r="1943" ht="15.35" customHeight="1">
      <c r="A1943" t="s" s="2">
        <v>3824</v>
      </c>
      <c r="B1943" s="4">
        <v>40060</v>
      </c>
      <c r="C1943" s="5">
        <v>850</v>
      </c>
      <c r="D1943" s="5">
        <v>52</v>
      </c>
      <c r="E1943" s="5">
        <v>54</v>
      </c>
      <c r="F1943" t="s" s="2">
        <v>301</v>
      </c>
      <c r="G1943" t="s" s="2">
        <v>3788</v>
      </c>
      <c r="H1943" s="5">
        <v>575</v>
      </c>
      <c r="I1943" t="s" s="2">
        <v>2952</v>
      </c>
      <c r="J1943" t="s" s="2">
        <v>22</v>
      </c>
      <c r="K1943" t="s" s="2">
        <v>3825</v>
      </c>
      <c r="L1943" t="s" s="2">
        <v>2872</v>
      </c>
      <c r="M1943" s="5">
        <v>512139.92</v>
      </c>
      <c r="N1943" s="5">
        <v>6149289.4</v>
      </c>
      <c r="O1943" t="s" s="2">
        <v>305</v>
      </c>
      <c r="P1943" s="5">
        <v>5078633</v>
      </c>
      <c r="Q1943" t="s" s="2">
        <v>3790</v>
      </c>
      <c r="R1943" t="s" s="2">
        <f>_xlfn.IFERROR(INDEX('model_byCAP'!$D$2:$D$377,MATCH(Q1943,'model_byCAP'!$A$2:$A$377,0)),0)</f>
        <v>3738</v>
      </c>
    </row>
    <row r="1944" ht="15.35" customHeight="1">
      <c r="A1944" t="s" s="2">
        <v>3826</v>
      </c>
      <c r="B1944" s="4">
        <v>40059</v>
      </c>
      <c r="C1944" s="5">
        <v>850</v>
      </c>
      <c r="D1944" s="5">
        <v>52</v>
      </c>
      <c r="E1944" s="5">
        <v>54</v>
      </c>
      <c r="F1944" t="s" s="2">
        <v>301</v>
      </c>
      <c r="G1944" t="s" s="2">
        <v>3788</v>
      </c>
      <c r="H1944" s="5">
        <v>575</v>
      </c>
      <c r="I1944" t="s" s="2">
        <v>2952</v>
      </c>
      <c r="J1944" t="s" s="2">
        <v>22</v>
      </c>
      <c r="K1944" t="s" s="2">
        <v>3825</v>
      </c>
      <c r="L1944" t="s" s="2">
        <v>862</v>
      </c>
      <c r="M1944" s="5">
        <v>512022.77</v>
      </c>
      <c r="N1944" s="5">
        <v>6149475.81</v>
      </c>
      <c r="O1944" t="s" s="2">
        <v>305</v>
      </c>
      <c r="P1944" s="5">
        <v>5078634</v>
      </c>
      <c r="Q1944" t="s" s="2">
        <v>3790</v>
      </c>
      <c r="R1944" t="s" s="2">
        <f>_xlfn.IFERROR(INDEX('model_byCAP'!$D$2:$D$377,MATCH(Q1944,'model_byCAP'!$A$2:$A$377,0)),0)</f>
        <v>3738</v>
      </c>
    </row>
    <row r="1945" ht="15.35" customHeight="1">
      <c r="A1945" t="s" s="2">
        <v>3827</v>
      </c>
      <c r="B1945" s="4">
        <v>36721</v>
      </c>
      <c r="C1945" s="5">
        <v>850</v>
      </c>
      <c r="D1945" s="5">
        <v>52</v>
      </c>
      <c r="E1945" s="5">
        <v>46</v>
      </c>
      <c r="F1945" t="s" s="2">
        <v>301</v>
      </c>
      <c r="G1945" t="s" s="2">
        <v>3788</v>
      </c>
      <c r="H1945" s="5">
        <v>580</v>
      </c>
      <c r="I1945" t="s" s="2">
        <v>1542</v>
      </c>
      <c r="J1945" t="s" s="2">
        <v>22</v>
      </c>
      <c r="K1945" t="s" s="2">
        <v>3126</v>
      </c>
      <c r="L1945" s="5">
        <v>138</v>
      </c>
      <c r="M1945" s="5">
        <v>513450.59</v>
      </c>
      <c r="N1945" s="5">
        <v>6097961.35</v>
      </c>
      <c r="O1945" t="s" s="2">
        <v>1492</v>
      </c>
      <c r="P1945" s="5">
        <v>200123</v>
      </c>
      <c r="Q1945" t="s" s="2">
        <v>3790</v>
      </c>
      <c r="R1945" t="s" s="2">
        <f>_xlfn.IFERROR(INDEX('model_byCAP'!$D$2:$D$377,MATCH(Q1945,'model_byCAP'!$A$2:$A$377,0)),0)</f>
        <v>3738</v>
      </c>
    </row>
    <row r="1946" ht="15.35" customHeight="1">
      <c r="A1946" t="s" s="2">
        <v>3828</v>
      </c>
      <c r="B1946" s="4">
        <v>37098</v>
      </c>
      <c r="C1946" s="5">
        <v>850</v>
      </c>
      <c r="D1946" s="5">
        <v>52</v>
      </c>
      <c r="E1946" s="5">
        <v>49</v>
      </c>
      <c r="F1946" t="s" s="2">
        <v>301</v>
      </c>
      <c r="G1946" t="s" s="2">
        <v>3788</v>
      </c>
      <c r="H1946" s="5">
        <v>621</v>
      </c>
      <c r="I1946" t="s" s="2">
        <v>2921</v>
      </c>
      <c r="J1946" t="s" s="2">
        <v>22</v>
      </c>
      <c r="K1946" t="s" s="2">
        <v>3829</v>
      </c>
      <c r="L1946" t="s" s="2">
        <v>3830</v>
      </c>
      <c r="M1946" s="5">
        <v>517709.39</v>
      </c>
      <c r="N1946" s="5">
        <v>6146625.72</v>
      </c>
      <c r="O1946" t="s" s="2">
        <v>305</v>
      </c>
      <c r="P1946" s="5">
        <v>203867</v>
      </c>
      <c r="Q1946" t="s" s="2">
        <v>3790</v>
      </c>
      <c r="R1946" t="s" s="2">
        <f>_xlfn.IFERROR(INDEX('model_byCAP'!$D$2:$D$377,MATCH(Q1946,'model_byCAP'!$A$2:$A$377,0)),0)</f>
        <v>3738</v>
      </c>
    </row>
    <row r="1947" ht="15.35" customHeight="1">
      <c r="A1947" t="s" s="2">
        <v>3831</v>
      </c>
      <c r="B1947" s="4">
        <v>37098</v>
      </c>
      <c r="C1947" s="5">
        <v>850</v>
      </c>
      <c r="D1947" s="5">
        <v>52</v>
      </c>
      <c r="E1947" s="5">
        <v>49</v>
      </c>
      <c r="F1947" t="s" s="2">
        <v>301</v>
      </c>
      <c r="G1947" t="s" s="2">
        <v>3788</v>
      </c>
      <c r="H1947" s="5">
        <v>621</v>
      </c>
      <c r="I1947" t="s" s="2">
        <v>2921</v>
      </c>
      <c r="J1947" t="s" s="2">
        <v>22</v>
      </c>
      <c r="K1947" t="s" s="2">
        <v>3829</v>
      </c>
      <c r="L1947" t="s" s="2">
        <v>3830</v>
      </c>
      <c r="M1947" s="5">
        <v>517359.16</v>
      </c>
      <c r="N1947" s="5">
        <v>6146612.22</v>
      </c>
      <c r="O1947" t="s" s="2">
        <v>305</v>
      </c>
      <c r="P1947" s="5">
        <v>203868</v>
      </c>
      <c r="Q1947" t="s" s="2">
        <v>3790</v>
      </c>
      <c r="R1947" t="s" s="2">
        <f>_xlfn.IFERROR(INDEX('model_byCAP'!$D$2:$D$377,MATCH(Q1947,'model_byCAP'!$A$2:$A$377,0)),0)</f>
        <v>3738</v>
      </c>
    </row>
    <row r="1948" ht="15.35" customHeight="1">
      <c r="A1948" t="s" s="2">
        <v>3832</v>
      </c>
      <c r="B1948" s="4">
        <v>36882</v>
      </c>
      <c r="C1948" s="5">
        <v>850</v>
      </c>
      <c r="D1948" s="5">
        <v>52</v>
      </c>
      <c r="E1948" s="5">
        <v>44</v>
      </c>
      <c r="F1948" t="s" s="2">
        <v>301</v>
      </c>
      <c r="G1948" t="s" s="2">
        <v>3788</v>
      </c>
      <c r="H1948" s="5">
        <v>621</v>
      </c>
      <c r="I1948" t="s" s="2">
        <v>2921</v>
      </c>
      <c r="J1948" t="s" s="2">
        <v>22</v>
      </c>
      <c r="K1948" t="s" s="2">
        <v>3833</v>
      </c>
      <c r="L1948" t="s" s="2">
        <v>1260</v>
      </c>
      <c r="M1948" s="5">
        <v>532363.11</v>
      </c>
      <c r="N1948" s="5">
        <v>6140708.64</v>
      </c>
      <c r="O1948" t="s" s="2">
        <v>305</v>
      </c>
      <c r="P1948" s="5">
        <v>203874</v>
      </c>
      <c r="Q1948" t="s" s="2">
        <v>3790</v>
      </c>
      <c r="R1948" t="s" s="2">
        <f>_xlfn.IFERROR(INDEX('model_byCAP'!$D$2:$D$377,MATCH(Q1948,'model_byCAP'!$A$2:$A$377,0)),0)</f>
        <v>3738</v>
      </c>
    </row>
    <row r="1949" ht="15.35" customHeight="1">
      <c r="A1949" t="s" s="2">
        <v>3834</v>
      </c>
      <c r="B1949" s="4">
        <v>36893</v>
      </c>
      <c r="C1949" s="5">
        <v>850</v>
      </c>
      <c r="D1949" s="5">
        <v>52</v>
      </c>
      <c r="E1949" s="5">
        <v>46</v>
      </c>
      <c r="F1949" t="s" s="2">
        <v>301</v>
      </c>
      <c r="G1949" t="s" s="2">
        <v>3788</v>
      </c>
      <c r="H1949" s="5">
        <v>621</v>
      </c>
      <c r="I1949" t="s" s="2">
        <v>2921</v>
      </c>
      <c r="J1949" t="s" s="2">
        <v>22</v>
      </c>
      <c r="K1949" t="s" s="2">
        <v>3835</v>
      </c>
      <c r="L1949" s="5">
        <v>11</v>
      </c>
      <c r="M1949" s="5">
        <v>532404.3</v>
      </c>
      <c r="N1949" s="5">
        <v>6133210.29</v>
      </c>
      <c r="O1949" t="s" s="2">
        <v>305</v>
      </c>
      <c r="P1949" s="5">
        <v>200118</v>
      </c>
      <c r="Q1949" t="s" s="2">
        <v>3790</v>
      </c>
      <c r="R1949" t="s" s="2">
        <f>_xlfn.IFERROR(INDEX('model_byCAP'!$D$2:$D$377,MATCH(Q1949,'model_byCAP'!$A$2:$A$377,0)),0)</f>
        <v>3738</v>
      </c>
    </row>
    <row r="1950" ht="15.35" customHeight="1">
      <c r="A1950" t="s" s="2">
        <v>3836</v>
      </c>
      <c r="B1950" s="4">
        <v>36672</v>
      </c>
      <c r="C1950" s="5">
        <v>850</v>
      </c>
      <c r="D1950" s="5">
        <v>52</v>
      </c>
      <c r="E1950" s="5">
        <v>49</v>
      </c>
      <c r="F1950" t="s" s="2">
        <v>301</v>
      </c>
      <c r="G1950" t="s" s="2">
        <v>3788</v>
      </c>
      <c r="H1950" s="5">
        <v>657</v>
      </c>
      <c r="I1950" t="s" s="2">
        <v>541</v>
      </c>
      <c r="J1950" t="s" s="2">
        <v>22</v>
      </c>
      <c r="K1950" t="s" s="2">
        <v>3837</v>
      </c>
      <c r="L1950" t="s" s="2">
        <v>1260</v>
      </c>
      <c r="M1950" s="5">
        <v>476146.52</v>
      </c>
      <c r="N1950" s="5">
        <v>6235615.28</v>
      </c>
      <c r="O1950" t="s" s="2">
        <v>305</v>
      </c>
      <c r="P1950" s="5">
        <v>40159307</v>
      </c>
      <c r="Q1950" t="s" s="2">
        <v>3790</v>
      </c>
      <c r="R1950" t="s" s="2">
        <f>_xlfn.IFERROR(INDEX('model_byCAP'!$D$2:$D$377,MATCH(Q1950,'model_byCAP'!$A$2:$A$377,0)),0)</f>
        <v>3738</v>
      </c>
    </row>
    <row r="1951" ht="15.35" customHeight="1">
      <c r="A1951" t="s" s="2">
        <v>3838</v>
      </c>
      <c r="B1951" s="4">
        <v>37392</v>
      </c>
      <c r="C1951" s="5">
        <v>850</v>
      </c>
      <c r="D1951" s="5">
        <v>52</v>
      </c>
      <c r="E1951" s="5">
        <v>49</v>
      </c>
      <c r="F1951" t="s" s="2">
        <v>301</v>
      </c>
      <c r="G1951" t="s" s="2">
        <v>3788</v>
      </c>
      <c r="H1951" s="5">
        <v>657</v>
      </c>
      <c r="I1951" t="s" s="2">
        <v>541</v>
      </c>
      <c r="J1951" t="s" s="2">
        <v>22</v>
      </c>
      <c r="K1951" t="s" s="2">
        <v>3839</v>
      </c>
      <c r="L1951" t="s" s="2">
        <v>2386</v>
      </c>
      <c r="M1951" s="5">
        <v>483004.56</v>
      </c>
      <c r="N1951" s="5">
        <v>6223504.87</v>
      </c>
      <c r="O1951" t="s" s="2">
        <v>305</v>
      </c>
      <c r="P1951" s="5">
        <v>7144346</v>
      </c>
      <c r="Q1951" t="s" s="2">
        <v>3790</v>
      </c>
      <c r="R1951" t="s" s="2">
        <f>_xlfn.IFERROR(INDEX('model_byCAP'!$D$2:$D$377,MATCH(Q1951,'model_byCAP'!$A$2:$A$377,0)),0)</f>
        <v>3738</v>
      </c>
    </row>
    <row r="1952" ht="15.35" customHeight="1">
      <c r="A1952" t="s" s="2">
        <v>3840</v>
      </c>
      <c r="B1952" s="4">
        <v>37392</v>
      </c>
      <c r="C1952" s="5">
        <v>850</v>
      </c>
      <c r="D1952" s="5">
        <v>52</v>
      </c>
      <c r="E1952" s="5">
        <v>49</v>
      </c>
      <c r="F1952" t="s" s="2">
        <v>301</v>
      </c>
      <c r="G1952" t="s" s="2">
        <v>3788</v>
      </c>
      <c r="H1952" s="5">
        <v>657</v>
      </c>
      <c r="I1952" t="s" s="2">
        <v>541</v>
      </c>
      <c r="J1952" t="s" s="2">
        <v>22</v>
      </c>
      <c r="K1952" t="s" s="2">
        <v>3839</v>
      </c>
      <c r="L1952" t="s" s="2">
        <v>3414</v>
      </c>
      <c r="M1952" s="5">
        <v>482996.49</v>
      </c>
      <c r="N1952" s="5">
        <v>6223754.71</v>
      </c>
      <c r="O1952" t="s" s="2">
        <v>305</v>
      </c>
      <c r="P1952" s="5">
        <v>7144346</v>
      </c>
      <c r="Q1952" t="s" s="2">
        <v>3790</v>
      </c>
      <c r="R1952" t="s" s="2">
        <f>_xlfn.IFERROR(INDEX('model_byCAP'!$D$2:$D$377,MATCH(Q1952,'model_byCAP'!$A$2:$A$377,0)),0)</f>
        <v>3738</v>
      </c>
    </row>
    <row r="1953" ht="15.35" customHeight="1">
      <c r="A1953" t="s" s="2">
        <v>3841</v>
      </c>
      <c r="B1953" s="4">
        <v>37392</v>
      </c>
      <c r="C1953" s="5">
        <v>850</v>
      </c>
      <c r="D1953" s="5">
        <v>52</v>
      </c>
      <c r="E1953" s="5">
        <v>49</v>
      </c>
      <c r="F1953" t="s" s="2">
        <v>301</v>
      </c>
      <c r="G1953" t="s" s="2">
        <v>3788</v>
      </c>
      <c r="H1953" s="5">
        <v>657</v>
      </c>
      <c r="I1953" t="s" s="2">
        <v>541</v>
      </c>
      <c r="J1953" t="s" s="2">
        <v>22</v>
      </c>
      <c r="K1953" t="s" s="2">
        <v>3839</v>
      </c>
      <c r="L1953" t="s" s="2">
        <v>908</v>
      </c>
      <c r="M1953" s="5">
        <v>482991.18</v>
      </c>
      <c r="N1953" s="5">
        <v>6224004.09</v>
      </c>
      <c r="O1953" t="s" s="2">
        <v>305</v>
      </c>
      <c r="P1953" s="5">
        <v>7144346</v>
      </c>
      <c r="Q1953" t="s" s="2">
        <v>3790</v>
      </c>
      <c r="R1953" t="s" s="2">
        <f>_xlfn.IFERROR(INDEX('model_byCAP'!$D$2:$D$377,MATCH(Q1953,'model_byCAP'!$A$2:$A$377,0)),0)</f>
        <v>3738</v>
      </c>
    </row>
    <row r="1954" ht="15.35" customHeight="1">
      <c r="A1954" t="s" s="2">
        <v>3842</v>
      </c>
      <c r="B1954" s="4">
        <v>37392</v>
      </c>
      <c r="C1954" s="5">
        <v>850</v>
      </c>
      <c r="D1954" s="5">
        <v>52</v>
      </c>
      <c r="E1954" s="5">
        <v>49</v>
      </c>
      <c r="F1954" t="s" s="2">
        <v>301</v>
      </c>
      <c r="G1954" t="s" s="2">
        <v>3788</v>
      </c>
      <c r="H1954" s="5">
        <v>657</v>
      </c>
      <c r="I1954" t="s" s="2">
        <v>541</v>
      </c>
      <c r="J1954" t="s" s="2">
        <v>22</v>
      </c>
      <c r="K1954" t="s" s="2">
        <v>3839</v>
      </c>
      <c r="L1954" t="s" s="2">
        <v>908</v>
      </c>
      <c r="M1954" s="5">
        <v>482982.92</v>
      </c>
      <c r="N1954" s="5">
        <v>6224253.79</v>
      </c>
      <c r="O1954" t="s" s="2">
        <v>305</v>
      </c>
      <c r="P1954" s="5">
        <v>7144346</v>
      </c>
      <c r="Q1954" t="s" s="2">
        <v>3790</v>
      </c>
      <c r="R1954" t="s" s="2">
        <f>_xlfn.IFERROR(INDEX('model_byCAP'!$D$2:$D$377,MATCH(Q1954,'model_byCAP'!$A$2:$A$377,0)),0)</f>
        <v>3738</v>
      </c>
    </row>
    <row r="1955" ht="15.35" customHeight="1">
      <c r="A1955" t="s" s="2">
        <v>3843</v>
      </c>
      <c r="B1955" s="4">
        <v>37578</v>
      </c>
      <c r="C1955" s="5">
        <v>850</v>
      </c>
      <c r="D1955" s="5">
        <v>52</v>
      </c>
      <c r="E1955" s="5">
        <v>49</v>
      </c>
      <c r="F1955" t="s" s="2">
        <v>301</v>
      </c>
      <c r="G1955" t="s" s="2">
        <v>3788</v>
      </c>
      <c r="H1955" s="5">
        <v>657</v>
      </c>
      <c r="I1955" t="s" s="2">
        <v>541</v>
      </c>
      <c r="J1955" t="s" s="2">
        <v>22</v>
      </c>
      <c r="K1955" t="s" s="2">
        <v>3844</v>
      </c>
      <c r="L1955" t="s" s="2">
        <v>1260</v>
      </c>
      <c r="M1955" s="5">
        <v>475896.8</v>
      </c>
      <c r="N1955" s="5">
        <v>6235614.94</v>
      </c>
      <c r="O1955" t="s" s="2">
        <v>305</v>
      </c>
      <c r="P1955" s="5">
        <v>40176</v>
      </c>
      <c r="Q1955" t="s" s="2">
        <v>3790</v>
      </c>
      <c r="R1955" t="s" s="2">
        <f>_xlfn.IFERROR(INDEX('model_byCAP'!$D$2:$D$377,MATCH(Q1955,'model_byCAP'!$A$2:$A$377,0)),0)</f>
        <v>3738</v>
      </c>
    </row>
    <row r="1956" ht="15.35" customHeight="1">
      <c r="A1956" t="s" s="2">
        <v>3845</v>
      </c>
      <c r="B1956" s="4">
        <v>37578</v>
      </c>
      <c r="C1956" s="5">
        <v>850</v>
      </c>
      <c r="D1956" s="5">
        <v>52</v>
      </c>
      <c r="E1956" s="5">
        <v>49</v>
      </c>
      <c r="F1956" t="s" s="2">
        <v>301</v>
      </c>
      <c r="G1956" t="s" s="2">
        <v>3788</v>
      </c>
      <c r="H1956" s="5">
        <v>657</v>
      </c>
      <c r="I1956" t="s" s="2">
        <v>541</v>
      </c>
      <c r="J1956" t="s" s="2">
        <v>22</v>
      </c>
      <c r="K1956" t="s" s="2">
        <v>3844</v>
      </c>
      <c r="L1956" t="s" s="2">
        <v>1260</v>
      </c>
      <c r="M1956" s="5">
        <v>476399.25</v>
      </c>
      <c r="N1956" s="5">
        <v>6235613.8</v>
      </c>
      <c r="O1956" t="s" s="2">
        <v>305</v>
      </c>
      <c r="P1956" s="5">
        <v>40176</v>
      </c>
      <c r="Q1956" t="s" s="2">
        <v>3790</v>
      </c>
      <c r="R1956" t="s" s="2">
        <f>_xlfn.IFERROR(INDEX('model_byCAP'!$D$2:$D$377,MATCH(Q1956,'model_byCAP'!$A$2:$A$377,0)),0)</f>
        <v>3738</v>
      </c>
    </row>
    <row r="1957" ht="15.35" customHeight="1">
      <c r="A1957" t="s" s="2">
        <v>3846</v>
      </c>
      <c r="B1957" s="4">
        <v>37518</v>
      </c>
      <c r="C1957" s="5">
        <v>850</v>
      </c>
      <c r="D1957" s="5">
        <v>52</v>
      </c>
      <c r="E1957" s="5">
        <v>49</v>
      </c>
      <c r="F1957" t="s" s="2">
        <v>301</v>
      </c>
      <c r="G1957" t="s" s="2">
        <v>3788</v>
      </c>
      <c r="H1957" s="5">
        <v>657</v>
      </c>
      <c r="I1957" t="s" s="2">
        <v>541</v>
      </c>
      <c r="J1957" t="s" s="2">
        <v>22</v>
      </c>
      <c r="K1957" t="s" s="2">
        <v>3847</v>
      </c>
      <c r="L1957" t="s" s="2">
        <v>585</v>
      </c>
      <c r="M1957" s="5">
        <v>485007.4</v>
      </c>
      <c r="N1957" s="5">
        <v>6238167.83</v>
      </c>
      <c r="O1957" t="s" s="2">
        <v>305</v>
      </c>
      <c r="P1957" s="5">
        <v>7144465</v>
      </c>
      <c r="Q1957" t="s" s="2">
        <v>3790</v>
      </c>
      <c r="R1957" t="s" s="2">
        <f>_xlfn.IFERROR(INDEX('model_byCAP'!$D$2:$D$377,MATCH(Q1957,'model_byCAP'!$A$2:$A$377,0)),0)</f>
        <v>3738</v>
      </c>
    </row>
    <row r="1958" ht="15.35" customHeight="1">
      <c r="A1958" t="s" s="2">
        <v>3848</v>
      </c>
      <c r="B1958" s="4">
        <v>37588</v>
      </c>
      <c r="C1958" s="5">
        <v>850</v>
      </c>
      <c r="D1958" s="5">
        <v>52</v>
      </c>
      <c r="E1958" s="5">
        <v>42</v>
      </c>
      <c r="F1958" t="s" s="2">
        <v>301</v>
      </c>
      <c r="G1958" t="s" s="2">
        <v>3788</v>
      </c>
      <c r="H1958" s="5">
        <v>657</v>
      </c>
      <c r="I1958" t="s" s="2">
        <v>541</v>
      </c>
      <c r="J1958" t="s" s="2">
        <v>22</v>
      </c>
      <c r="K1958" t="s" s="2">
        <v>3849</v>
      </c>
      <c r="L1958" t="s" s="2">
        <v>3850</v>
      </c>
      <c r="M1958" s="5">
        <v>484842.09</v>
      </c>
      <c r="N1958" s="5">
        <v>6238087.53</v>
      </c>
      <c r="O1958" t="s" s="2">
        <v>305</v>
      </c>
      <c r="P1958" s="5">
        <v>7144563</v>
      </c>
      <c r="Q1958" t="s" s="2">
        <v>3790</v>
      </c>
      <c r="R1958" t="s" s="2">
        <f>_xlfn.IFERROR(INDEX('model_byCAP'!$D$2:$D$377,MATCH(Q1958,'model_byCAP'!$A$2:$A$377,0)),0)</f>
        <v>3738</v>
      </c>
    </row>
    <row r="1959" ht="15.35" customHeight="1">
      <c r="A1959" t="s" s="2">
        <v>3851</v>
      </c>
      <c r="B1959" s="4">
        <v>37585</v>
      </c>
      <c r="C1959" s="5">
        <v>850</v>
      </c>
      <c r="D1959" s="5">
        <v>52</v>
      </c>
      <c r="E1959" s="5">
        <v>49</v>
      </c>
      <c r="F1959" t="s" s="2">
        <v>301</v>
      </c>
      <c r="G1959" t="s" s="2">
        <v>3788</v>
      </c>
      <c r="H1959" s="5">
        <v>657</v>
      </c>
      <c r="I1959" t="s" s="2">
        <v>541</v>
      </c>
      <c r="J1959" t="s" s="2">
        <v>22</v>
      </c>
      <c r="K1959" t="s" s="2">
        <v>3849</v>
      </c>
      <c r="L1959" t="s" s="2">
        <v>3850</v>
      </c>
      <c r="M1959" s="5">
        <v>484853.22</v>
      </c>
      <c r="N1959" s="5">
        <v>6238272.77</v>
      </c>
      <c r="O1959" t="s" s="2">
        <v>305</v>
      </c>
      <c r="P1959" s="5">
        <v>7144565</v>
      </c>
      <c r="Q1959" t="s" s="2">
        <v>3790</v>
      </c>
      <c r="R1959" t="s" s="2">
        <f>_xlfn.IFERROR(INDEX('model_byCAP'!$D$2:$D$377,MATCH(Q1959,'model_byCAP'!$A$2:$A$377,0)),0)</f>
        <v>3738</v>
      </c>
    </row>
    <row r="1960" ht="15.35" customHeight="1">
      <c r="A1960" t="s" s="2">
        <v>3852</v>
      </c>
      <c r="B1960" s="4">
        <v>37579</v>
      </c>
      <c r="C1960" s="5">
        <v>850</v>
      </c>
      <c r="D1960" s="5">
        <v>52</v>
      </c>
      <c r="E1960" s="5">
        <v>49</v>
      </c>
      <c r="F1960" t="s" s="2">
        <v>301</v>
      </c>
      <c r="G1960" t="s" s="2">
        <v>3788</v>
      </c>
      <c r="H1960" s="5">
        <v>756</v>
      </c>
      <c r="I1960" t="s" s="2">
        <v>456</v>
      </c>
      <c r="J1960" t="s" s="2">
        <v>22</v>
      </c>
      <c r="K1960" t="s" s="2">
        <v>3853</v>
      </c>
      <c r="L1960" s="5">
        <v>31</v>
      </c>
      <c r="M1960" s="5">
        <v>517210.5</v>
      </c>
      <c r="N1960" s="5">
        <v>6225635.76</v>
      </c>
      <c r="O1960" t="s" s="2">
        <v>305</v>
      </c>
      <c r="P1960" s="5">
        <v>3055486</v>
      </c>
      <c r="Q1960" t="s" s="2">
        <v>3790</v>
      </c>
      <c r="R1960" t="s" s="2">
        <f>_xlfn.IFERROR(INDEX('model_byCAP'!$D$2:$D$377,MATCH(Q1960,'model_byCAP'!$A$2:$A$377,0)),0)</f>
        <v>3738</v>
      </c>
    </row>
    <row r="1961" ht="15.35" customHeight="1">
      <c r="A1961" t="s" s="2">
        <v>3854</v>
      </c>
      <c r="B1961" s="4">
        <v>37579</v>
      </c>
      <c r="C1961" s="5">
        <v>850</v>
      </c>
      <c r="D1961" s="5">
        <v>52</v>
      </c>
      <c r="E1961" s="5">
        <v>49</v>
      </c>
      <c r="F1961" t="s" s="2">
        <v>301</v>
      </c>
      <c r="G1961" t="s" s="2">
        <v>3788</v>
      </c>
      <c r="H1961" s="5">
        <v>756</v>
      </c>
      <c r="I1961" t="s" s="2">
        <v>456</v>
      </c>
      <c r="J1961" t="s" s="2">
        <v>22</v>
      </c>
      <c r="K1961" t="s" s="2">
        <v>3853</v>
      </c>
      <c r="L1961" s="5">
        <v>31</v>
      </c>
      <c r="M1961" s="5">
        <v>517020.74</v>
      </c>
      <c r="N1961" s="5">
        <v>6225655.33</v>
      </c>
      <c r="O1961" t="s" s="2">
        <v>305</v>
      </c>
      <c r="P1961" s="5">
        <v>3055487</v>
      </c>
      <c r="Q1961" t="s" s="2">
        <v>3790</v>
      </c>
      <c r="R1961" t="s" s="2">
        <f>_xlfn.IFERROR(INDEX('model_byCAP'!$D$2:$D$377,MATCH(Q1961,'model_byCAP'!$A$2:$A$377,0)),0)</f>
        <v>3738</v>
      </c>
    </row>
    <row r="1962" ht="15.35" customHeight="1">
      <c r="A1962" t="s" s="2">
        <v>3855</v>
      </c>
      <c r="B1962" s="4">
        <v>40003</v>
      </c>
      <c r="C1962" s="5">
        <v>850</v>
      </c>
      <c r="D1962" s="5">
        <v>52</v>
      </c>
      <c r="E1962" s="5">
        <v>54</v>
      </c>
      <c r="F1962" t="s" s="2">
        <v>301</v>
      </c>
      <c r="G1962" t="s" s="2">
        <v>3788</v>
      </c>
      <c r="H1962" s="5">
        <v>756</v>
      </c>
      <c r="I1962" t="s" s="2">
        <v>456</v>
      </c>
      <c r="J1962" t="s" s="2">
        <v>22</v>
      </c>
      <c r="K1962" t="s" s="2">
        <v>3856</v>
      </c>
      <c r="L1962" t="s" s="2">
        <v>3857</v>
      </c>
      <c r="M1962" s="5">
        <v>510019.11</v>
      </c>
      <c r="N1962" s="5">
        <v>6227944.76</v>
      </c>
      <c r="O1962" t="s" s="2">
        <v>305</v>
      </c>
      <c r="P1962" s="5">
        <v>4024077</v>
      </c>
      <c r="Q1962" t="s" s="2">
        <v>3790</v>
      </c>
      <c r="R1962" t="s" s="2">
        <f>_xlfn.IFERROR(INDEX('model_byCAP'!$D$2:$D$377,MATCH(Q1962,'model_byCAP'!$A$2:$A$377,0)),0)</f>
        <v>3738</v>
      </c>
    </row>
    <row r="1963" ht="15.35" customHeight="1">
      <c r="A1963" t="s" s="2">
        <v>3858</v>
      </c>
      <c r="B1963" s="4">
        <v>40003</v>
      </c>
      <c r="C1963" s="5">
        <v>850</v>
      </c>
      <c r="D1963" s="5">
        <v>52</v>
      </c>
      <c r="E1963" s="5">
        <v>54</v>
      </c>
      <c r="F1963" t="s" s="2">
        <v>301</v>
      </c>
      <c r="G1963" t="s" s="2">
        <v>3788</v>
      </c>
      <c r="H1963" s="5">
        <v>756</v>
      </c>
      <c r="I1963" t="s" s="2">
        <v>456</v>
      </c>
      <c r="J1963" t="s" s="2">
        <v>22</v>
      </c>
      <c r="K1963" t="s" s="2">
        <v>3856</v>
      </c>
      <c r="L1963" t="s" s="2">
        <v>3857</v>
      </c>
      <c r="M1963" s="5">
        <v>509921.99</v>
      </c>
      <c r="N1963" s="5">
        <v>6228119.18</v>
      </c>
      <c r="O1963" t="s" s="2">
        <v>305</v>
      </c>
      <c r="P1963" s="5">
        <v>4024083</v>
      </c>
      <c r="Q1963" t="s" s="2">
        <v>3790</v>
      </c>
      <c r="R1963" t="s" s="2">
        <f>_xlfn.IFERROR(INDEX('model_byCAP'!$D$2:$D$377,MATCH(Q1963,'model_byCAP'!$A$2:$A$377,0)),0)</f>
        <v>3738</v>
      </c>
    </row>
    <row r="1964" ht="15.35" customHeight="1">
      <c r="A1964" t="s" s="2">
        <v>3859</v>
      </c>
      <c r="B1964" s="4">
        <v>40002</v>
      </c>
      <c r="C1964" s="5">
        <v>850</v>
      </c>
      <c r="D1964" s="5">
        <v>52</v>
      </c>
      <c r="E1964" s="5">
        <v>54</v>
      </c>
      <c r="F1964" t="s" s="2">
        <v>301</v>
      </c>
      <c r="G1964" t="s" s="2">
        <v>3788</v>
      </c>
      <c r="H1964" s="5">
        <v>756</v>
      </c>
      <c r="I1964" t="s" s="2">
        <v>456</v>
      </c>
      <c r="J1964" t="s" s="2">
        <v>22</v>
      </c>
      <c r="K1964" t="s" s="2">
        <v>3856</v>
      </c>
      <c r="L1964" s="5">
        <v>21</v>
      </c>
      <c r="M1964" s="5">
        <v>509826.75</v>
      </c>
      <c r="N1964" s="5">
        <v>6228294.9</v>
      </c>
      <c r="O1964" t="s" s="2">
        <v>305</v>
      </c>
      <c r="P1964" s="5">
        <v>4024084</v>
      </c>
      <c r="Q1964" t="s" s="2">
        <v>3790</v>
      </c>
      <c r="R1964" t="s" s="2">
        <f>_xlfn.IFERROR(INDEX('model_byCAP'!$D$2:$D$377,MATCH(Q1964,'model_byCAP'!$A$2:$A$377,0)),0)</f>
        <v>3738</v>
      </c>
    </row>
    <row r="1965" ht="15.35" customHeight="1">
      <c r="A1965" t="s" s="2">
        <v>3860</v>
      </c>
      <c r="B1965" s="4">
        <v>37608</v>
      </c>
      <c r="C1965" s="5">
        <v>850</v>
      </c>
      <c r="D1965" s="5">
        <v>52</v>
      </c>
      <c r="E1965" s="5">
        <v>49</v>
      </c>
      <c r="F1965" t="s" s="2">
        <v>301</v>
      </c>
      <c r="G1965" t="s" s="2">
        <v>3788</v>
      </c>
      <c r="H1965" s="5">
        <v>760</v>
      </c>
      <c r="I1965" t="s" s="2">
        <v>331</v>
      </c>
      <c r="J1965" t="s" s="2">
        <v>22</v>
      </c>
      <c r="K1965" t="s" s="2">
        <v>3861</v>
      </c>
      <c r="L1965" t="s" s="2">
        <v>3862</v>
      </c>
      <c r="M1965" s="5">
        <v>446458.62</v>
      </c>
      <c r="N1965" s="5">
        <v>6207313.27</v>
      </c>
      <c r="O1965" t="s" s="2">
        <v>305</v>
      </c>
      <c r="P1965" s="5">
        <v>85078</v>
      </c>
      <c r="Q1965" t="s" s="2">
        <v>3790</v>
      </c>
      <c r="R1965" t="s" s="2">
        <f>_xlfn.IFERROR(INDEX('model_byCAP'!$D$2:$D$377,MATCH(Q1965,'model_byCAP'!$A$2:$A$377,0)),0)</f>
        <v>3738</v>
      </c>
    </row>
    <row r="1966" ht="15.35" customHeight="1">
      <c r="A1966" t="s" s="2">
        <v>3863</v>
      </c>
      <c r="B1966" s="4">
        <v>37216</v>
      </c>
      <c r="C1966" s="5">
        <v>850</v>
      </c>
      <c r="D1966" s="5">
        <v>52</v>
      </c>
      <c r="E1966" s="5">
        <v>49</v>
      </c>
      <c r="F1966" t="s" s="2">
        <v>301</v>
      </c>
      <c r="G1966" t="s" s="2">
        <v>3788</v>
      </c>
      <c r="H1966" s="5">
        <v>766</v>
      </c>
      <c r="I1966" t="s" s="2">
        <v>3363</v>
      </c>
      <c r="J1966" t="s" s="2">
        <v>22</v>
      </c>
      <c r="K1966" t="s" s="2">
        <v>3864</v>
      </c>
      <c r="L1966" t="s" s="2">
        <v>2351</v>
      </c>
      <c r="M1966" s="5">
        <v>539458.22</v>
      </c>
      <c r="N1966" s="5">
        <v>6187629.21</v>
      </c>
      <c r="O1966" t="s" s="2">
        <v>305</v>
      </c>
      <c r="P1966" s="5">
        <v>1030084</v>
      </c>
      <c r="Q1966" t="s" s="2">
        <v>3790</v>
      </c>
      <c r="R1966" t="s" s="2">
        <f>_xlfn.IFERROR(INDEX('model_byCAP'!$D$2:$D$377,MATCH(Q1966,'model_byCAP'!$A$2:$A$377,0)),0)</f>
        <v>3738</v>
      </c>
    </row>
    <row r="1967" ht="15.35" customHeight="1">
      <c r="A1967" t="s" s="2">
        <v>3865</v>
      </c>
      <c r="B1967" s="4">
        <v>37243</v>
      </c>
      <c r="C1967" s="5">
        <v>850</v>
      </c>
      <c r="D1967" s="5">
        <v>52</v>
      </c>
      <c r="E1967" s="5">
        <v>49</v>
      </c>
      <c r="F1967" t="s" s="2">
        <v>301</v>
      </c>
      <c r="G1967" t="s" s="2">
        <v>3788</v>
      </c>
      <c r="H1967" s="5">
        <v>766</v>
      </c>
      <c r="I1967" t="s" s="2">
        <v>3363</v>
      </c>
      <c r="J1967" t="s" s="2">
        <v>22</v>
      </c>
      <c r="K1967" t="s" s="2">
        <v>3866</v>
      </c>
      <c r="L1967" t="s" s="2">
        <v>396</v>
      </c>
      <c r="M1967" s="5">
        <v>542341.3100000001</v>
      </c>
      <c r="N1967" s="5">
        <v>6191635.85</v>
      </c>
      <c r="O1967" t="s" s="2">
        <v>305</v>
      </c>
      <c r="P1967" s="5">
        <v>1030086</v>
      </c>
      <c r="Q1967" t="s" s="2">
        <v>3790</v>
      </c>
      <c r="R1967" t="s" s="2">
        <f>_xlfn.IFERROR(INDEX('model_byCAP'!$D$2:$D$377,MATCH(Q1967,'model_byCAP'!$A$2:$A$377,0)),0)</f>
        <v>3738</v>
      </c>
    </row>
    <row r="1968" ht="15.35" customHeight="1">
      <c r="A1968" t="s" s="2">
        <v>3867</v>
      </c>
      <c r="B1968" s="4">
        <v>37243</v>
      </c>
      <c r="C1968" s="5">
        <v>850</v>
      </c>
      <c r="D1968" s="5">
        <v>52</v>
      </c>
      <c r="E1968" s="5">
        <v>49</v>
      </c>
      <c r="F1968" t="s" s="2">
        <v>301</v>
      </c>
      <c r="G1968" t="s" s="2">
        <v>3788</v>
      </c>
      <c r="H1968" s="5">
        <v>766</v>
      </c>
      <c r="I1968" t="s" s="2">
        <v>3363</v>
      </c>
      <c r="J1968" t="s" s="2">
        <v>22</v>
      </c>
      <c r="K1968" t="s" s="2">
        <v>3866</v>
      </c>
      <c r="L1968" t="s" s="2">
        <v>396</v>
      </c>
      <c r="M1968" s="5">
        <v>542447.48</v>
      </c>
      <c r="N1968" s="5">
        <v>6191490.83</v>
      </c>
      <c r="O1968" t="s" s="2">
        <v>305</v>
      </c>
      <c r="P1968" s="5">
        <v>1030087</v>
      </c>
      <c r="Q1968" t="s" s="2">
        <v>3790</v>
      </c>
      <c r="R1968" t="s" s="2">
        <f>_xlfn.IFERROR(INDEX('model_byCAP'!$D$2:$D$377,MATCH(Q1968,'model_byCAP'!$A$2:$A$377,0)),0)</f>
        <v>3738</v>
      </c>
    </row>
    <row r="1969" ht="15.35" customHeight="1">
      <c r="A1969" t="s" s="2">
        <v>3868</v>
      </c>
      <c r="B1969" s="4">
        <v>37242</v>
      </c>
      <c r="C1969" s="5">
        <v>850</v>
      </c>
      <c r="D1969" s="5">
        <v>52</v>
      </c>
      <c r="E1969" s="5">
        <v>49</v>
      </c>
      <c r="F1969" t="s" s="2">
        <v>301</v>
      </c>
      <c r="G1969" t="s" s="2">
        <v>3788</v>
      </c>
      <c r="H1969" s="5">
        <v>766</v>
      </c>
      <c r="I1969" t="s" s="2">
        <v>3363</v>
      </c>
      <c r="J1969" t="s" s="2">
        <v>22</v>
      </c>
      <c r="K1969" t="s" s="2">
        <v>3866</v>
      </c>
      <c r="L1969" t="s" s="2">
        <v>396</v>
      </c>
      <c r="M1969" s="5">
        <v>542521.96</v>
      </c>
      <c r="N1969" s="5">
        <v>6191654.31</v>
      </c>
      <c r="O1969" t="s" s="2">
        <v>305</v>
      </c>
      <c r="P1969" s="5">
        <v>1030088</v>
      </c>
      <c r="Q1969" t="s" s="2">
        <v>3790</v>
      </c>
      <c r="R1969" t="s" s="2">
        <f>_xlfn.IFERROR(INDEX('model_byCAP'!$D$2:$D$377,MATCH(Q1969,'model_byCAP'!$A$2:$A$377,0)),0)</f>
        <v>3738</v>
      </c>
    </row>
    <row r="1970" ht="15.35" customHeight="1">
      <c r="A1970" t="s" s="2">
        <v>3869</v>
      </c>
      <c r="B1970" s="4">
        <v>37214</v>
      </c>
      <c r="C1970" s="5">
        <v>850</v>
      </c>
      <c r="D1970" s="5">
        <v>52</v>
      </c>
      <c r="E1970" s="5">
        <v>49</v>
      </c>
      <c r="F1970" t="s" s="2">
        <v>301</v>
      </c>
      <c r="G1970" t="s" s="2">
        <v>3788</v>
      </c>
      <c r="H1970" s="5">
        <v>766</v>
      </c>
      <c r="I1970" t="s" s="2">
        <v>3363</v>
      </c>
      <c r="J1970" t="s" s="2">
        <v>22</v>
      </c>
      <c r="K1970" t="s" s="2">
        <v>3864</v>
      </c>
      <c r="L1970" t="s" s="2">
        <v>524</v>
      </c>
      <c r="M1970" s="5">
        <v>539302.11</v>
      </c>
      <c r="N1970" s="5">
        <v>6187801.26</v>
      </c>
      <c r="O1970" t="s" s="2">
        <v>305</v>
      </c>
      <c r="P1970" s="5">
        <v>1030085</v>
      </c>
      <c r="Q1970" t="s" s="2">
        <v>3790</v>
      </c>
      <c r="R1970" t="s" s="2">
        <f>_xlfn.IFERROR(INDEX('model_byCAP'!$D$2:$D$377,MATCH(Q1970,'model_byCAP'!$A$2:$A$377,0)),0)</f>
        <v>3738</v>
      </c>
    </row>
    <row r="1971" ht="15.35" customHeight="1">
      <c r="A1971" t="s" s="2">
        <v>3870</v>
      </c>
      <c r="B1971" s="4">
        <v>36875</v>
      </c>
      <c r="C1971" s="5">
        <v>850</v>
      </c>
      <c r="D1971" s="5">
        <v>52</v>
      </c>
      <c r="E1971" s="5">
        <v>44</v>
      </c>
      <c r="F1971" t="s" s="2">
        <v>301</v>
      </c>
      <c r="G1971" t="s" s="2">
        <v>3788</v>
      </c>
      <c r="H1971" s="5">
        <v>773</v>
      </c>
      <c r="I1971" t="s" s="2">
        <v>1648</v>
      </c>
      <c r="J1971" t="s" s="2">
        <v>22</v>
      </c>
      <c r="K1971" t="s" s="2">
        <v>3871</v>
      </c>
      <c r="L1971" t="s" s="2">
        <v>524</v>
      </c>
      <c r="M1971" s="5">
        <v>482072.34</v>
      </c>
      <c r="N1971" s="5">
        <v>6298172.43</v>
      </c>
      <c r="O1971" t="s" s="2">
        <v>305</v>
      </c>
      <c r="P1971" s="5">
        <v>223980</v>
      </c>
      <c r="Q1971" t="s" s="2">
        <v>3790</v>
      </c>
      <c r="R1971" t="s" s="2">
        <f>_xlfn.IFERROR(INDEX('model_byCAP'!$D$2:$D$377,MATCH(Q1971,'model_byCAP'!$A$2:$A$377,0)),0)</f>
        <v>3738</v>
      </c>
    </row>
    <row r="1972" ht="15.35" customHeight="1">
      <c r="A1972" t="s" s="2">
        <v>3872</v>
      </c>
      <c r="B1972" s="4">
        <v>37043</v>
      </c>
      <c r="C1972" s="5">
        <v>850</v>
      </c>
      <c r="D1972" s="5">
        <v>52</v>
      </c>
      <c r="E1972" s="5">
        <v>44</v>
      </c>
      <c r="F1972" t="s" s="2">
        <v>301</v>
      </c>
      <c r="G1972" t="s" s="2">
        <v>3788</v>
      </c>
      <c r="H1972" s="5">
        <v>773</v>
      </c>
      <c r="I1972" t="s" s="2">
        <v>1648</v>
      </c>
      <c r="J1972" t="s" s="2">
        <v>22</v>
      </c>
      <c r="K1972" t="s" s="2">
        <v>3871</v>
      </c>
      <c r="L1972" t="s" s="2">
        <v>979</v>
      </c>
      <c r="M1972" s="5">
        <v>481940.05</v>
      </c>
      <c r="N1972" s="5">
        <v>6298033.62</v>
      </c>
      <c r="O1972" t="s" s="2">
        <v>305</v>
      </c>
      <c r="P1972" s="5">
        <v>223981</v>
      </c>
      <c r="Q1972" t="s" s="2">
        <v>3790</v>
      </c>
      <c r="R1972" t="s" s="2">
        <f>_xlfn.IFERROR(INDEX('model_byCAP'!$D$2:$D$377,MATCH(Q1972,'model_byCAP'!$A$2:$A$377,0)),0)</f>
        <v>3738</v>
      </c>
    </row>
    <row r="1973" ht="15.35" customHeight="1">
      <c r="A1973" t="s" s="2">
        <v>3873</v>
      </c>
      <c r="B1973" s="4">
        <v>37421</v>
      </c>
      <c r="C1973" s="5">
        <v>850</v>
      </c>
      <c r="D1973" s="5">
        <v>52</v>
      </c>
      <c r="E1973" s="5">
        <v>49</v>
      </c>
      <c r="F1973" t="s" s="2">
        <v>301</v>
      </c>
      <c r="G1973" t="s" s="2">
        <v>3788</v>
      </c>
      <c r="H1973" s="5">
        <v>773</v>
      </c>
      <c r="I1973" t="s" s="2">
        <v>1648</v>
      </c>
      <c r="J1973" t="s" s="2">
        <v>22</v>
      </c>
      <c r="K1973" t="s" s="2">
        <v>3874</v>
      </c>
      <c r="L1973" t="s" s="2">
        <v>864</v>
      </c>
      <c r="M1973" s="5">
        <v>484900.24</v>
      </c>
      <c r="N1973" s="5">
        <v>6292424.18</v>
      </c>
      <c r="O1973" t="s" s="2">
        <v>305</v>
      </c>
      <c r="P1973" s="5">
        <v>224094</v>
      </c>
      <c r="Q1973" t="s" s="2">
        <v>3790</v>
      </c>
      <c r="R1973" t="s" s="2">
        <f>_xlfn.IFERROR(INDEX('model_byCAP'!$D$2:$D$377,MATCH(Q1973,'model_byCAP'!$A$2:$A$377,0)),0)</f>
        <v>3738</v>
      </c>
    </row>
    <row r="1974" ht="15.35" customHeight="1">
      <c r="A1974" t="s" s="2">
        <v>3875</v>
      </c>
      <c r="B1974" s="4">
        <v>37421</v>
      </c>
      <c r="C1974" s="5">
        <v>850</v>
      </c>
      <c r="D1974" s="5">
        <v>52</v>
      </c>
      <c r="E1974" s="5">
        <v>49</v>
      </c>
      <c r="F1974" t="s" s="2">
        <v>301</v>
      </c>
      <c r="G1974" t="s" s="2">
        <v>3788</v>
      </c>
      <c r="H1974" s="5">
        <v>773</v>
      </c>
      <c r="I1974" t="s" s="2">
        <v>1648</v>
      </c>
      <c r="J1974" t="s" s="2">
        <v>22</v>
      </c>
      <c r="K1974" t="s" s="2">
        <v>3876</v>
      </c>
      <c r="L1974" t="s" s="2">
        <v>504</v>
      </c>
      <c r="M1974" s="5">
        <v>484836.52</v>
      </c>
      <c r="N1974" s="5">
        <v>6292257.4</v>
      </c>
      <c r="O1974" t="s" s="2">
        <v>305</v>
      </c>
      <c r="P1974" s="5">
        <v>224092</v>
      </c>
      <c r="Q1974" t="s" s="2">
        <v>3790</v>
      </c>
      <c r="R1974" t="s" s="2">
        <f>_xlfn.IFERROR(INDEX('model_byCAP'!$D$2:$D$377,MATCH(Q1974,'model_byCAP'!$A$2:$A$377,0)),0)</f>
        <v>3738</v>
      </c>
    </row>
    <row r="1975" ht="15.35" customHeight="1">
      <c r="A1975" t="s" s="2">
        <v>3877</v>
      </c>
      <c r="B1975" s="4">
        <v>37421</v>
      </c>
      <c r="C1975" s="5">
        <v>850</v>
      </c>
      <c r="D1975" s="5">
        <v>52</v>
      </c>
      <c r="E1975" s="5">
        <v>49</v>
      </c>
      <c r="F1975" t="s" s="2">
        <v>301</v>
      </c>
      <c r="G1975" t="s" s="2">
        <v>3788</v>
      </c>
      <c r="H1975" s="5">
        <v>773</v>
      </c>
      <c r="I1975" t="s" s="2">
        <v>1648</v>
      </c>
      <c r="J1975" t="s" s="2">
        <v>22</v>
      </c>
      <c r="K1975" t="s" s="2">
        <v>3878</v>
      </c>
      <c r="L1975" t="s" s="2">
        <v>481</v>
      </c>
      <c r="M1975" s="5">
        <v>484773.62</v>
      </c>
      <c r="N1975" s="5">
        <v>6292085.91</v>
      </c>
      <c r="O1975" t="s" s="2">
        <v>305</v>
      </c>
      <c r="P1975" s="5">
        <v>224090</v>
      </c>
      <c r="Q1975" t="s" s="2">
        <v>3790</v>
      </c>
      <c r="R1975" t="s" s="2">
        <f>_xlfn.IFERROR(INDEX('model_byCAP'!$D$2:$D$377,MATCH(Q1975,'model_byCAP'!$A$2:$A$377,0)),0)</f>
        <v>3738</v>
      </c>
    </row>
    <row r="1976" ht="15.35" customHeight="1">
      <c r="A1976" t="s" s="2">
        <v>3879</v>
      </c>
      <c r="B1976" s="4">
        <v>37432</v>
      </c>
      <c r="C1976" s="5">
        <v>850</v>
      </c>
      <c r="D1976" s="5">
        <v>52</v>
      </c>
      <c r="E1976" s="5">
        <v>49</v>
      </c>
      <c r="F1976" t="s" s="2">
        <v>301</v>
      </c>
      <c r="G1976" t="s" s="2">
        <v>3788</v>
      </c>
      <c r="H1976" s="5">
        <v>773</v>
      </c>
      <c r="I1976" t="s" s="2">
        <v>1648</v>
      </c>
      <c r="J1976" t="s" s="2">
        <v>22</v>
      </c>
      <c r="K1976" t="s" s="2">
        <v>3880</v>
      </c>
      <c r="L1976" t="s" s="2">
        <v>3414</v>
      </c>
      <c r="M1976" s="5">
        <v>486759.7</v>
      </c>
      <c r="N1976" s="5">
        <v>6294058.08</v>
      </c>
      <c r="O1976" t="s" s="2">
        <v>305</v>
      </c>
      <c r="P1976" s="5">
        <v>224096</v>
      </c>
      <c r="Q1976" t="s" s="2">
        <v>3790</v>
      </c>
      <c r="R1976" t="s" s="2">
        <f>_xlfn.IFERROR(INDEX('model_byCAP'!$D$2:$D$377,MATCH(Q1976,'model_byCAP'!$A$2:$A$377,0)),0)</f>
        <v>3738</v>
      </c>
    </row>
    <row r="1977" ht="15.35" customHeight="1">
      <c r="A1977" t="s" s="2">
        <v>3881</v>
      </c>
      <c r="B1977" s="4">
        <v>37432</v>
      </c>
      <c r="C1977" s="5">
        <v>850</v>
      </c>
      <c r="D1977" s="5">
        <v>52</v>
      </c>
      <c r="E1977" s="5">
        <v>49</v>
      </c>
      <c r="F1977" t="s" s="2">
        <v>301</v>
      </c>
      <c r="G1977" t="s" s="2">
        <v>3788</v>
      </c>
      <c r="H1977" s="5">
        <v>773</v>
      </c>
      <c r="I1977" t="s" s="2">
        <v>1648</v>
      </c>
      <c r="J1977" t="s" s="2">
        <v>22</v>
      </c>
      <c r="K1977" t="s" s="2">
        <v>3880</v>
      </c>
      <c r="L1977" t="s" s="2">
        <v>3414</v>
      </c>
      <c r="M1977" s="5">
        <v>486760.91</v>
      </c>
      <c r="N1977" s="5">
        <v>6294233.07</v>
      </c>
      <c r="O1977" t="s" s="2">
        <v>305</v>
      </c>
      <c r="P1977" s="5">
        <v>224098</v>
      </c>
      <c r="Q1977" t="s" s="2">
        <v>3790</v>
      </c>
      <c r="R1977" t="s" s="2">
        <f>_xlfn.IFERROR(INDEX('model_byCAP'!$D$2:$D$377,MATCH(Q1977,'model_byCAP'!$A$2:$A$377,0)),0)</f>
        <v>3738</v>
      </c>
    </row>
    <row r="1978" ht="15.35" customHeight="1">
      <c r="A1978" t="s" s="2">
        <v>3882</v>
      </c>
      <c r="B1978" s="4">
        <v>37432</v>
      </c>
      <c r="C1978" s="5">
        <v>850</v>
      </c>
      <c r="D1978" s="5">
        <v>52</v>
      </c>
      <c r="E1978" s="5">
        <v>49</v>
      </c>
      <c r="F1978" t="s" s="2">
        <v>301</v>
      </c>
      <c r="G1978" t="s" s="2">
        <v>3788</v>
      </c>
      <c r="H1978" s="5">
        <v>773</v>
      </c>
      <c r="I1978" t="s" s="2">
        <v>1648</v>
      </c>
      <c r="J1978" t="s" s="2">
        <v>22</v>
      </c>
      <c r="K1978" t="s" s="2">
        <v>3880</v>
      </c>
      <c r="L1978" t="s" s="2">
        <v>910</v>
      </c>
      <c r="M1978" s="5">
        <v>486761.57</v>
      </c>
      <c r="N1978" s="5">
        <v>6294407.99</v>
      </c>
      <c r="O1978" t="s" s="2">
        <v>305</v>
      </c>
      <c r="P1978" s="5">
        <v>224100</v>
      </c>
      <c r="Q1978" t="s" s="2">
        <v>3790</v>
      </c>
      <c r="R1978" t="s" s="2">
        <f>_xlfn.IFERROR(INDEX('model_byCAP'!$D$2:$D$377,MATCH(Q1978,'model_byCAP'!$A$2:$A$377,0)),0)</f>
        <v>3738</v>
      </c>
    </row>
    <row r="1979" ht="15.35" customHeight="1">
      <c r="A1979" t="s" s="2">
        <v>3883</v>
      </c>
      <c r="B1979" s="4">
        <v>37609</v>
      </c>
      <c r="C1979" s="5">
        <v>850</v>
      </c>
      <c r="D1979" s="5">
        <v>52</v>
      </c>
      <c r="E1979" s="5">
        <v>49</v>
      </c>
      <c r="F1979" t="s" s="2">
        <v>301</v>
      </c>
      <c r="G1979" t="s" s="2">
        <v>3799</v>
      </c>
      <c r="H1979" s="5">
        <v>773</v>
      </c>
      <c r="I1979" t="s" s="2">
        <v>1648</v>
      </c>
      <c r="J1979" t="s" s="2">
        <v>22</v>
      </c>
      <c r="K1979" t="s" s="2">
        <v>3884</v>
      </c>
      <c r="L1979" t="s" s="2">
        <v>2348</v>
      </c>
      <c r="M1979" s="5">
        <v>493825.02</v>
      </c>
      <c r="N1979" s="5">
        <v>6309745.16</v>
      </c>
      <c r="O1979" t="s" s="2">
        <v>305</v>
      </c>
      <c r="P1979" s="5">
        <v>224172</v>
      </c>
      <c r="Q1979" t="s" s="2">
        <v>3800</v>
      </c>
      <c r="R1979" t="s" s="2">
        <f>_xlfn.IFERROR(INDEX('model_byCAP'!$D$2:$D$377,MATCH(Q1979,'model_byCAP'!$A$2:$A$377,0)),0)</f>
        <v>3738</v>
      </c>
    </row>
    <row r="1980" ht="15.35" customHeight="1">
      <c r="A1980" t="s" s="2">
        <v>3885</v>
      </c>
      <c r="B1980" s="4">
        <v>37609</v>
      </c>
      <c r="C1980" s="5">
        <v>850</v>
      </c>
      <c r="D1980" s="5">
        <v>52</v>
      </c>
      <c r="E1980" s="5">
        <v>49</v>
      </c>
      <c r="F1980" t="s" s="2">
        <v>301</v>
      </c>
      <c r="G1980" t="s" s="2">
        <v>3799</v>
      </c>
      <c r="H1980" s="5">
        <v>773</v>
      </c>
      <c r="I1980" t="s" s="2">
        <v>1648</v>
      </c>
      <c r="J1980" t="s" s="2">
        <v>22</v>
      </c>
      <c r="K1980" t="s" s="2">
        <v>3886</v>
      </c>
      <c r="L1980" t="s" s="2">
        <v>394</v>
      </c>
      <c r="M1980" s="5">
        <v>493739.07</v>
      </c>
      <c r="N1980" s="5">
        <v>6309505.02</v>
      </c>
      <c r="O1980" t="s" s="2">
        <v>305</v>
      </c>
      <c r="P1980" s="5">
        <v>224174</v>
      </c>
      <c r="Q1980" t="s" s="2">
        <v>3800</v>
      </c>
      <c r="R1980" t="s" s="2">
        <f>_xlfn.IFERROR(INDEX('model_byCAP'!$D$2:$D$377,MATCH(Q1980,'model_byCAP'!$A$2:$A$377,0)),0)</f>
        <v>3738</v>
      </c>
    </row>
    <row r="1981" ht="15.35" customHeight="1">
      <c r="A1981" t="s" s="2">
        <v>3887</v>
      </c>
      <c r="B1981" s="4">
        <v>37977</v>
      </c>
      <c r="C1981" s="5">
        <v>850</v>
      </c>
      <c r="D1981" s="5">
        <v>52</v>
      </c>
      <c r="E1981" s="5">
        <v>54</v>
      </c>
      <c r="F1981" t="s" s="2">
        <v>301</v>
      </c>
      <c r="G1981" t="s" s="2">
        <v>3788</v>
      </c>
      <c r="H1981" s="5">
        <v>773</v>
      </c>
      <c r="I1981" t="s" s="2">
        <v>1648</v>
      </c>
      <c r="J1981" t="s" s="2">
        <v>22</v>
      </c>
      <c r="K1981" t="s" s="2">
        <v>3888</v>
      </c>
      <c r="L1981" t="s" s="2">
        <v>304</v>
      </c>
      <c r="M1981" s="5">
        <v>481639.73</v>
      </c>
      <c r="N1981" s="5">
        <v>6292799.78</v>
      </c>
      <c r="O1981" t="s" s="2">
        <v>305</v>
      </c>
      <c r="P1981" s="5">
        <v>224360</v>
      </c>
      <c r="Q1981" t="s" s="2">
        <v>3790</v>
      </c>
      <c r="R1981" t="s" s="2">
        <f>_xlfn.IFERROR(INDEX('model_byCAP'!$D$2:$D$377,MATCH(Q1981,'model_byCAP'!$A$2:$A$377,0)),0)</f>
        <v>3738</v>
      </c>
    </row>
    <row r="1982" ht="15.35" customHeight="1">
      <c r="A1982" t="s" s="2">
        <v>3889</v>
      </c>
      <c r="B1982" s="4">
        <v>37977</v>
      </c>
      <c r="C1982" s="5">
        <v>850</v>
      </c>
      <c r="D1982" s="5">
        <v>52</v>
      </c>
      <c r="E1982" s="5">
        <v>54</v>
      </c>
      <c r="F1982" t="s" s="2">
        <v>301</v>
      </c>
      <c r="G1982" t="s" s="2">
        <v>3788</v>
      </c>
      <c r="H1982" s="5">
        <v>773</v>
      </c>
      <c r="I1982" t="s" s="2">
        <v>1648</v>
      </c>
      <c r="J1982" t="s" s="2">
        <v>22</v>
      </c>
      <c r="K1982" t="s" s="2">
        <v>3888</v>
      </c>
      <c r="L1982" t="s" s="2">
        <v>304</v>
      </c>
      <c r="M1982" s="5">
        <v>481619.92</v>
      </c>
      <c r="N1982" s="5">
        <v>6292996.95</v>
      </c>
      <c r="O1982" t="s" s="2">
        <v>305</v>
      </c>
      <c r="P1982" s="5">
        <v>224362</v>
      </c>
      <c r="Q1982" t="s" s="2">
        <v>3790</v>
      </c>
      <c r="R1982" t="s" s="2">
        <f>_xlfn.IFERROR(INDEX('model_byCAP'!$D$2:$D$377,MATCH(Q1982,'model_byCAP'!$A$2:$A$377,0)),0)</f>
        <v>3738</v>
      </c>
    </row>
    <row r="1983" ht="15.35" customHeight="1">
      <c r="A1983" t="s" s="2">
        <v>3890</v>
      </c>
      <c r="B1983" s="4">
        <v>36887</v>
      </c>
      <c r="C1983" s="5">
        <v>850</v>
      </c>
      <c r="D1983" s="5">
        <v>52</v>
      </c>
      <c r="E1983" s="5">
        <v>50</v>
      </c>
      <c r="F1983" t="s" s="2">
        <v>301</v>
      </c>
      <c r="G1983" t="s" s="2">
        <v>3788</v>
      </c>
      <c r="H1983" s="5">
        <v>779</v>
      </c>
      <c r="I1983" t="s" s="2">
        <v>1308</v>
      </c>
      <c r="J1983" t="s" s="2">
        <v>22</v>
      </c>
      <c r="K1983" t="s" s="2">
        <v>3891</v>
      </c>
      <c r="L1983" t="s" s="2">
        <v>1161</v>
      </c>
      <c r="M1983" s="5">
        <v>499820</v>
      </c>
      <c r="N1983" s="5">
        <v>6288789.42</v>
      </c>
      <c r="O1983" t="s" s="2">
        <v>305</v>
      </c>
      <c r="P1983" s="5">
        <v>2050335</v>
      </c>
      <c r="Q1983" t="s" s="2">
        <v>3790</v>
      </c>
      <c r="R1983" t="s" s="2">
        <f>_xlfn.IFERROR(INDEX('model_byCAP'!$D$2:$D$377,MATCH(Q1983,'model_byCAP'!$A$2:$A$377,0)),0)</f>
        <v>3738</v>
      </c>
    </row>
    <row r="1984" ht="15.35" customHeight="1">
      <c r="A1984" t="s" s="2">
        <v>3892</v>
      </c>
      <c r="B1984" s="4">
        <v>36887</v>
      </c>
      <c r="C1984" s="5">
        <v>850</v>
      </c>
      <c r="D1984" s="5">
        <v>52</v>
      </c>
      <c r="E1984" s="5">
        <v>50</v>
      </c>
      <c r="F1984" t="s" s="2">
        <v>301</v>
      </c>
      <c r="G1984" t="s" s="2">
        <v>3788</v>
      </c>
      <c r="H1984" s="5">
        <v>779</v>
      </c>
      <c r="I1984" t="s" s="2">
        <v>1308</v>
      </c>
      <c r="J1984" t="s" s="2">
        <v>22</v>
      </c>
      <c r="K1984" t="s" s="2">
        <v>3891</v>
      </c>
      <c r="L1984" t="s" s="2">
        <v>2386</v>
      </c>
      <c r="M1984" s="5">
        <v>499648.91</v>
      </c>
      <c r="N1984" s="5">
        <v>6289035.64</v>
      </c>
      <c r="O1984" t="s" s="2">
        <v>305</v>
      </c>
      <c r="P1984" s="5">
        <v>2050336</v>
      </c>
      <c r="Q1984" t="s" s="2">
        <v>3790</v>
      </c>
      <c r="R1984" t="s" s="2">
        <f>_xlfn.IFERROR(INDEX('model_byCAP'!$D$2:$D$377,MATCH(Q1984,'model_byCAP'!$A$2:$A$377,0)),0)</f>
        <v>3738</v>
      </c>
    </row>
    <row r="1985" ht="15.35" customHeight="1">
      <c r="A1985" t="s" s="2">
        <v>3893</v>
      </c>
      <c r="B1985" s="4">
        <v>37177</v>
      </c>
      <c r="C1985" s="5">
        <v>850</v>
      </c>
      <c r="D1985" s="5">
        <v>52</v>
      </c>
      <c r="E1985" s="5">
        <v>49</v>
      </c>
      <c r="F1985" t="s" s="2">
        <v>301</v>
      </c>
      <c r="G1985" t="s" s="2">
        <v>3894</v>
      </c>
      <c r="H1985" s="5">
        <v>779</v>
      </c>
      <c r="I1985" t="s" s="2">
        <v>1308</v>
      </c>
      <c r="J1985" t="s" s="2">
        <v>22</v>
      </c>
      <c r="K1985" t="s" s="2">
        <v>3895</v>
      </c>
      <c r="L1985" t="s" s="2">
        <v>3896</v>
      </c>
      <c r="M1985" s="5">
        <v>496777.48</v>
      </c>
      <c r="N1985" s="5">
        <v>6285910</v>
      </c>
      <c r="O1985" t="s" s="2">
        <v>305</v>
      </c>
      <c r="P1985" s="5">
        <v>2050342</v>
      </c>
      <c r="Q1985" t="s" s="2">
        <v>3897</v>
      </c>
      <c r="R1985" t="s" s="2">
        <f>_xlfn.IFERROR(INDEX('model_byCAP'!$D$2:$D$377,MATCH(Q1985,'model_byCAP'!$A$2:$A$377,0)),0)</f>
        <v>3738</v>
      </c>
    </row>
    <row r="1986" ht="15.35" customHeight="1">
      <c r="A1986" t="s" s="2">
        <v>3898</v>
      </c>
      <c r="B1986" s="4">
        <v>37177</v>
      </c>
      <c r="C1986" s="5">
        <v>850</v>
      </c>
      <c r="D1986" s="5">
        <v>52</v>
      </c>
      <c r="E1986" s="5">
        <v>50</v>
      </c>
      <c r="F1986" t="s" s="2">
        <v>301</v>
      </c>
      <c r="G1986" t="s" s="2">
        <v>3788</v>
      </c>
      <c r="H1986" s="5">
        <v>779</v>
      </c>
      <c r="I1986" t="s" s="2">
        <v>1308</v>
      </c>
      <c r="J1986" t="s" s="2">
        <v>22</v>
      </c>
      <c r="K1986" t="s" s="2">
        <v>3899</v>
      </c>
      <c r="L1986" t="s" s="2">
        <v>2809</v>
      </c>
      <c r="M1986" s="5">
        <v>496375.69</v>
      </c>
      <c r="N1986" s="5">
        <v>6286458.39</v>
      </c>
      <c r="O1986" t="s" s="2">
        <v>305</v>
      </c>
      <c r="P1986" s="5">
        <v>2050343</v>
      </c>
      <c r="Q1986" t="s" s="2">
        <v>3790</v>
      </c>
      <c r="R1986" t="s" s="2">
        <f>_xlfn.IFERROR(INDEX('model_byCAP'!$D$2:$D$377,MATCH(Q1986,'model_byCAP'!$A$2:$A$377,0)),0)</f>
        <v>3738</v>
      </c>
    </row>
    <row r="1987" ht="15.35" customHeight="1">
      <c r="A1987" t="s" s="2">
        <v>3900</v>
      </c>
      <c r="B1987" s="4">
        <v>37222</v>
      </c>
      <c r="C1987" s="5">
        <v>850</v>
      </c>
      <c r="D1987" s="5">
        <v>52</v>
      </c>
      <c r="E1987" s="5">
        <v>49</v>
      </c>
      <c r="F1987" t="s" s="2">
        <v>301</v>
      </c>
      <c r="G1987" t="s" s="2">
        <v>3788</v>
      </c>
      <c r="H1987" s="5">
        <v>779</v>
      </c>
      <c r="I1987" t="s" s="2">
        <v>1308</v>
      </c>
      <c r="J1987" t="s" s="2">
        <v>22</v>
      </c>
      <c r="K1987" t="s" s="2">
        <v>3899</v>
      </c>
      <c r="L1987" t="s" s="2">
        <v>3901</v>
      </c>
      <c r="M1987" s="5">
        <v>496674.22</v>
      </c>
      <c r="N1987" s="5">
        <v>6286046.16</v>
      </c>
      <c r="O1987" t="s" s="2">
        <v>305</v>
      </c>
      <c r="P1987" s="5">
        <v>2050346</v>
      </c>
      <c r="Q1987" t="s" s="2">
        <v>3790</v>
      </c>
      <c r="R1987" t="s" s="2">
        <f>_xlfn.IFERROR(INDEX('model_byCAP'!$D$2:$D$377,MATCH(Q1987,'model_byCAP'!$A$2:$A$377,0)),0)</f>
        <v>3738</v>
      </c>
    </row>
    <row r="1988" ht="15.35" customHeight="1">
      <c r="A1988" t="s" s="2">
        <v>3902</v>
      </c>
      <c r="B1988" s="4">
        <v>37484</v>
      </c>
      <c r="C1988" s="5">
        <v>850</v>
      </c>
      <c r="D1988" s="5">
        <v>52</v>
      </c>
      <c r="E1988" s="5">
        <v>44</v>
      </c>
      <c r="F1988" t="s" s="2">
        <v>301</v>
      </c>
      <c r="G1988" t="s" s="2">
        <v>3788</v>
      </c>
      <c r="H1988" s="5">
        <v>779</v>
      </c>
      <c r="I1988" t="s" s="2">
        <v>1308</v>
      </c>
      <c r="J1988" t="s" s="2">
        <v>22</v>
      </c>
      <c r="K1988" t="s" s="2">
        <v>3899</v>
      </c>
      <c r="L1988" t="s" s="2">
        <v>2809</v>
      </c>
      <c r="M1988" s="5">
        <v>496476.19</v>
      </c>
      <c r="N1988" s="5">
        <v>6286321.29</v>
      </c>
      <c r="O1988" t="s" s="2">
        <v>305</v>
      </c>
      <c r="P1988" s="5">
        <v>2050340</v>
      </c>
      <c r="Q1988" t="s" s="2">
        <v>3790</v>
      </c>
      <c r="R1988" t="s" s="2">
        <f>_xlfn.IFERROR(INDEX('model_byCAP'!$D$2:$D$377,MATCH(Q1988,'model_byCAP'!$A$2:$A$377,0)),0)</f>
        <v>3738</v>
      </c>
    </row>
    <row r="1989" ht="15.35" customHeight="1">
      <c r="A1989" t="s" s="2">
        <v>3903</v>
      </c>
      <c r="B1989" s="4">
        <v>37487</v>
      </c>
      <c r="C1989" s="5">
        <v>850</v>
      </c>
      <c r="D1989" s="5">
        <v>52</v>
      </c>
      <c r="E1989" s="5">
        <v>49</v>
      </c>
      <c r="F1989" t="s" s="2">
        <v>301</v>
      </c>
      <c r="G1989" t="s" s="2">
        <v>3788</v>
      </c>
      <c r="H1989" s="5">
        <v>779</v>
      </c>
      <c r="I1989" t="s" s="2">
        <v>1308</v>
      </c>
      <c r="J1989" t="s" s="2">
        <v>22</v>
      </c>
      <c r="K1989" t="s" s="2">
        <v>3904</v>
      </c>
      <c r="L1989" t="s" s="2">
        <v>1161</v>
      </c>
      <c r="M1989" s="5">
        <v>499734.65</v>
      </c>
      <c r="N1989" s="5">
        <v>6288912.5</v>
      </c>
      <c r="O1989" t="s" s="2">
        <v>305</v>
      </c>
      <c r="P1989" s="5">
        <v>2050351</v>
      </c>
      <c r="Q1989" t="s" s="2">
        <v>3790</v>
      </c>
      <c r="R1989" t="s" s="2">
        <f>_xlfn.IFERROR(INDEX('model_byCAP'!$D$2:$D$377,MATCH(Q1989,'model_byCAP'!$A$2:$A$377,0)),0)</f>
        <v>3738</v>
      </c>
    </row>
    <row r="1990" ht="15.35" customHeight="1">
      <c r="A1990" t="s" s="2">
        <v>3905</v>
      </c>
      <c r="B1990" s="4">
        <v>37540</v>
      </c>
      <c r="C1990" s="5">
        <v>850</v>
      </c>
      <c r="D1990" s="5">
        <v>52</v>
      </c>
      <c r="E1990" s="5">
        <v>49</v>
      </c>
      <c r="F1990" t="s" s="2">
        <v>301</v>
      </c>
      <c r="G1990" t="s" s="2">
        <v>3788</v>
      </c>
      <c r="H1990" s="5">
        <v>779</v>
      </c>
      <c r="I1990" t="s" s="2">
        <v>1308</v>
      </c>
      <c r="J1990" t="s" s="2">
        <v>22</v>
      </c>
      <c r="K1990" t="s" s="2">
        <v>3906</v>
      </c>
      <c r="L1990" t="s" s="2">
        <v>3907</v>
      </c>
      <c r="M1990" s="5">
        <v>496575.68</v>
      </c>
      <c r="N1990" s="5">
        <v>6286184.39</v>
      </c>
      <c r="O1990" t="s" s="2">
        <v>305</v>
      </c>
      <c r="P1990" s="5">
        <v>2050352</v>
      </c>
      <c r="Q1990" t="s" s="2">
        <v>3790</v>
      </c>
      <c r="R1990" t="s" s="2">
        <f>_xlfn.IFERROR(INDEX('model_byCAP'!$D$2:$D$377,MATCH(Q1990,'model_byCAP'!$A$2:$A$377,0)),0)</f>
        <v>3738</v>
      </c>
    </row>
    <row r="1991" ht="15.35" customHeight="1">
      <c r="A1991" t="s" s="2">
        <v>3908</v>
      </c>
      <c r="B1991" s="4">
        <v>37539</v>
      </c>
      <c r="C1991" s="5">
        <v>850</v>
      </c>
      <c r="D1991" s="5">
        <v>52</v>
      </c>
      <c r="E1991" s="5">
        <v>49</v>
      </c>
      <c r="F1991" t="s" s="2">
        <v>301</v>
      </c>
      <c r="G1991" t="s" s="2">
        <v>3788</v>
      </c>
      <c r="H1991" s="5">
        <v>779</v>
      </c>
      <c r="I1991" t="s" s="2">
        <v>1308</v>
      </c>
      <c r="J1991" t="s" s="2">
        <v>22</v>
      </c>
      <c r="K1991" t="s" s="2">
        <v>3906</v>
      </c>
      <c r="L1991" t="s" s="2">
        <v>1626</v>
      </c>
      <c r="M1991" s="5">
        <v>496275.25</v>
      </c>
      <c r="N1991" s="5">
        <v>6286595.83</v>
      </c>
      <c r="O1991" t="s" s="2">
        <v>305</v>
      </c>
      <c r="P1991" s="5">
        <v>2050353</v>
      </c>
      <c r="Q1991" t="s" s="2">
        <v>3790</v>
      </c>
      <c r="R1991" t="s" s="2">
        <f>_xlfn.IFERROR(INDEX('model_byCAP'!$D$2:$D$377,MATCH(Q1991,'model_byCAP'!$A$2:$A$377,0)),0)</f>
        <v>3738</v>
      </c>
    </row>
    <row r="1992" ht="15.35" customHeight="1">
      <c r="A1992" t="s" s="2">
        <v>3909</v>
      </c>
      <c r="B1992" s="4">
        <v>37610</v>
      </c>
      <c r="C1992" s="5">
        <v>850</v>
      </c>
      <c r="D1992" s="5">
        <v>52</v>
      </c>
      <c r="E1992" s="5">
        <v>55</v>
      </c>
      <c r="F1992" t="s" s="2">
        <v>301</v>
      </c>
      <c r="G1992" t="s" s="2">
        <v>3788</v>
      </c>
      <c r="H1992" s="5">
        <v>779</v>
      </c>
      <c r="I1992" t="s" s="2">
        <v>1308</v>
      </c>
      <c r="J1992" t="s" s="2">
        <v>22</v>
      </c>
      <c r="K1992" t="s" s="2">
        <v>3910</v>
      </c>
      <c r="L1992" t="s" s="2">
        <v>881</v>
      </c>
      <c r="M1992" s="5">
        <v>504726.79</v>
      </c>
      <c r="N1992" s="5">
        <v>6290516.65</v>
      </c>
      <c r="O1992" t="s" s="2">
        <v>305</v>
      </c>
      <c r="P1992" s="5">
        <v>2050358</v>
      </c>
      <c r="Q1992" t="s" s="2">
        <v>3790</v>
      </c>
      <c r="R1992" t="s" s="2">
        <f>_xlfn.IFERROR(INDEX('model_byCAP'!$D$2:$D$377,MATCH(Q1992,'model_byCAP'!$A$2:$A$377,0)),0)</f>
        <v>3738</v>
      </c>
    </row>
    <row r="1993" ht="15.35" customHeight="1">
      <c r="A1993" t="s" s="2">
        <v>3911</v>
      </c>
      <c r="B1993" s="4">
        <v>37610</v>
      </c>
      <c r="C1993" s="5">
        <v>850</v>
      </c>
      <c r="D1993" s="5">
        <v>52</v>
      </c>
      <c r="E1993" s="5">
        <v>55</v>
      </c>
      <c r="F1993" t="s" s="2">
        <v>301</v>
      </c>
      <c r="G1993" t="s" s="2">
        <v>3788</v>
      </c>
      <c r="H1993" s="5">
        <v>779</v>
      </c>
      <c r="I1993" t="s" s="2">
        <v>1308</v>
      </c>
      <c r="J1993" t="s" s="2">
        <v>22</v>
      </c>
      <c r="K1993" t="s" s="2">
        <v>3912</v>
      </c>
      <c r="L1993" t="s" s="2">
        <v>394</v>
      </c>
      <c r="M1993" s="5">
        <v>504709.17</v>
      </c>
      <c r="N1993" s="5">
        <v>6290715.8</v>
      </c>
      <c r="O1993" t="s" s="2">
        <v>305</v>
      </c>
      <c r="P1993" s="5">
        <v>2050359</v>
      </c>
      <c r="Q1993" t="s" s="2">
        <v>3790</v>
      </c>
      <c r="R1993" t="s" s="2">
        <f>_xlfn.IFERROR(INDEX('model_byCAP'!$D$2:$D$377,MATCH(Q1993,'model_byCAP'!$A$2:$A$377,0)),0)</f>
        <v>3738</v>
      </c>
    </row>
    <row r="1994" ht="15.35" customHeight="1">
      <c r="A1994" t="s" s="2">
        <v>3913</v>
      </c>
      <c r="B1994" s="4">
        <v>37610</v>
      </c>
      <c r="C1994" s="5">
        <v>850</v>
      </c>
      <c r="D1994" s="5">
        <v>52</v>
      </c>
      <c r="E1994" s="5">
        <v>55</v>
      </c>
      <c r="F1994" t="s" s="2">
        <v>301</v>
      </c>
      <c r="G1994" t="s" s="2">
        <v>3788</v>
      </c>
      <c r="H1994" s="5">
        <v>779</v>
      </c>
      <c r="I1994" t="s" s="2">
        <v>1308</v>
      </c>
      <c r="J1994" t="s" s="2">
        <v>22</v>
      </c>
      <c r="K1994" t="s" s="2">
        <v>3910</v>
      </c>
      <c r="L1994" t="s" s="2">
        <v>3391</v>
      </c>
      <c r="M1994" s="5">
        <v>504691.81</v>
      </c>
      <c r="N1994" s="5">
        <v>6290914.9</v>
      </c>
      <c r="O1994" t="s" s="2">
        <v>305</v>
      </c>
      <c r="P1994" s="5">
        <v>2050360</v>
      </c>
      <c r="Q1994" t="s" s="2">
        <v>3790</v>
      </c>
      <c r="R1994" t="s" s="2">
        <f>_xlfn.IFERROR(INDEX('model_byCAP'!$D$2:$D$377,MATCH(Q1994,'model_byCAP'!$A$2:$A$377,0)),0)</f>
        <v>3738</v>
      </c>
    </row>
    <row r="1995" ht="15.35" customHeight="1">
      <c r="A1995" t="s" s="2">
        <v>3914</v>
      </c>
      <c r="B1995" s="4">
        <v>37610</v>
      </c>
      <c r="C1995" s="5">
        <v>850</v>
      </c>
      <c r="D1995" s="5">
        <v>52</v>
      </c>
      <c r="E1995" s="5">
        <v>55</v>
      </c>
      <c r="F1995" t="s" s="2">
        <v>301</v>
      </c>
      <c r="G1995" t="s" s="2">
        <v>3788</v>
      </c>
      <c r="H1995" s="5">
        <v>779</v>
      </c>
      <c r="I1995" t="s" s="2">
        <v>1308</v>
      </c>
      <c r="J1995" t="s" s="2">
        <v>22</v>
      </c>
      <c r="K1995" t="s" s="2">
        <v>3912</v>
      </c>
      <c r="L1995" t="s" s="2">
        <v>394</v>
      </c>
      <c r="M1995" s="5">
        <v>504674.56</v>
      </c>
      <c r="N1995" s="5">
        <v>6291114.36</v>
      </c>
      <c r="O1995" t="s" s="2">
        <v>305</v>
      </c>
      <c r="P1995" s="5">
        <v>2050361</v>
      </c>
      <c r="Q1995" t="s" s="2">
        <v>3790</v>
      </c>
      <c r="R1995" t="s" s="2">
        <f>_xlfn.IFERROR(INDEX('model_byCAP'!$D$2:$D$377,MATCH(Q1995,'model_byCAP'!$A$2:$A$377,0)),0)</f>
        <v>3738</v>
      </c>
    </row>
    <row r="1996" ht="15.35" customHeight="1">
      <c r="A1996" t="s" s="2">
        <v>3915</v>
      </c>
      <c r="B1996" s="4">
        <v>40626</v>
      </c>
      <c r="C1996" s="5">
        <v>850</v>
      </c>
      <c r="D1996" s="5">
        <v>52</v>
      </c>
      <c r="E1996" s="5">
        <v>54</v>
      </c>
      <c r="F1996" t="s" s="2">
        <v>301</v>
      </c>
      <c r="G1996" t="s" s="2">
        <v>3799</v>
      </c>
      <c r="H1996" s="5">
        <v>169</v>
      </c>
      <c r="I1996" t="s" s="2">
        <v>3916</v>
      </c>
      <c r="J1996" t="s" s="2">
        <v>22</v>
      </c>
      <c r="K1996" t="s" s="2">
        <v>3917</v>
      </c>
      <c r="L1996" t="s" s="2">
        <v>3918</v>
      </c>
      <c r="M1996" s="5">
        <v>706545.67</v>
      </c>
      <c r="N1996" s="5">
        <v>6173326.04</v>
      </c>
      <c r="O1996" t="s" s="2">
        <v>305</v>
      </c>
      <c r="P1996" s="5">
        <v>1</v>
      </c>
      <c r="Q1996" t="s" s="2">
        <v>3800</v>
      </c>
      <c r="R1996" t="s" s="2">
        <f>_xlfn.IFERROR(INDEX('model_byCAP'!$D$2:$D$377,MATCH(Q1996,'model_byCAP'!$A$2:$A$377,0)),0)</f>
        <v>3738</v>
      </c>
    </row>
    <row r="1997" ht="15.35" customHeight="1">
      <c r="A1997" t="s" s="2">
        <v>3919</v>
      </c>
      <c r="B1997" s="4">
        <v>42430</v>
      </c>
      <c r="C1997" s="5">
        <v>850</v>
      </c>
      <c r="D1997" s="5">
        <v>52</v>
      </c>
      <c r="E1997" s="5">
        <v>44</v>
      </c>
      <c r="F1997" t="s" s="2">
        <v>301</v>
      </c>
      <c r="G1997" t="s" s="2">
        <v>3788</v>
      </c>
      <c r="H1997" s="5">
        <v>265</v>
      </c>
      <c r="I1997" t="s" s="2">
        <v>3920</v>
      </c>
      <c r="J1997" t="s" s="2">
        <v>22</v>
      </c>
      <c r="K1997" t="s" s="2">
        <v>3921</v>
      </c>
      <c r="L1997" t="s" s="2">
        <v>2487</v>
      </c>
      <c r="M1997" s="5">
        <v>694715.55</v>
      </c>
      <c r="N1997" s="5">
        <v>6175518.33</v>
      </c>
      <c r="O1997" t="s" s="2">
        <v>305</v>
      </c>
      <c r="P1997" s="7">
        <v>5.71e+17</v>
      </c>
      <c r="Q1997" t="s" s="2">
        <v>3790</v>
      </c>
      <c r="R1997" t="s" s="2">
        <f>_xlfn.IFERROR(INDEX('model_byCAP'!$D$2:$D$377,MATCH(Q1997,'model_byCAP'!$A$2:$A$377,0)),0)</f>
        <v>3738</v>
      </c>
    </row>
    <row r="1998" ht="15.35" customHeight="1">
      <c r="A1998" t="s" s="2">
        <v>3922</v>
      </c>
      <c r="B1998" s="4">
        <v>37607</v>
      </c>
      <c r="C1998" s="5">
        <v>850</v>
      </c>
      <c r="D1998" s="5">
        <v>52</v>
      </c>
      <c r="E1998" s="5">
        <v>54</v>
      </c>
      <c r="F1998" t="s" s="2">
        <v>301</v>
      </c>
      <c r="G1998" t="s" s="2">
        <v>3788</v>
      </c>
      <c r="H1998" s="5">
        <v>787</v>
      </c>
      <c r="I1998" t="s" s="2">
        <v>21</v>
      </c>
      <c r="J1998" t="s" s="2">
        <v>22</v>
      </c>
      <c r="K1998" t="s" s="2">
        <v>3923</v>
      </c>
      <c r="L1998" t="s" s="2">
        <v>511</v>
      </c>
      <c r="M1998" s="5">
        <v>470605.16</v>
      </c>
      <c r="N1998" s="5">
        <v>6302139.68</v>
      </c>
      <c r="O1998" t="s" s="2">
        <v>305</v>
      </c>
      <c r="P1998" s="5">
        <v>160388</v>
      </c>
      <c r="Q1998" t="s" s="2">
        <v>3790</v>
      </c>
      <c r="R1998" t="s" s="2">
        <f>_xlfn.IFERROR(INDEX('model_byCAP'!$D$2:$D$377,MATCH(Q1998,'model_byCAP'!$A$2:$A$377,0)),0)</f>
        <v>3738</v>
      </c>
    </row>
    <row r="1999" ht="15.35" customHeight="1">
      <c r="A1999" t="s" s="2">
        <v>3924</v>
      </c>
      <c r="B1999" s="4">
        <v>37607</v>
      </c>
      <c r="C1999" s="5">
        <v>850</v>
      </c>
      <c r="D1999" s="5">
        <v>52</v>
      </c>
      <c r="E1999" s="5">
        <v>54</v>
      </c>
      <c r="F1999" t="s" s="2">
        <v>301</v>
      </c>
      <c r="G1999" t="s" s="2">
        <v>3788</v>
      </c>
      <c r="H1999" s="5">
        <v>787</v>
      </c>
      <c r="I1999" t="s" s="2">
        <v>21</v>
      </c>
      <c r="J1999" t="s" s="2">
        <v>22</v>
      </c>
      <c r="K1999" t="s" s="2">
        <v>3923</v>
      </c>
      <c r="L1999" t="s" s="2">
        <v>511</v>
      </c>
      <c r="M1999" s="5">
        <v>470791.94</v>
      </c>
      <c r="N1999" s="5">
        <v>6302435.54</v>
      </c>
      <c r="O1999" t="s" s="2">
        <v>305</v>
      </c>
      <c r="P1999" s="5">
        <v>160394</v>
      </c>
      <c r="Q1999" t="s" s="2">
        <v>3790</v>
      </c>
      <c r="R1999" t="s" s="2">
        <f>_xlfn.IFERROR(INDEX('model_byCAP'!$D$2:$D$377,MATCH(Q1999,'model_byCAP'!$A$2:$A$377,0)),0)</f>
        <v>3738</v>
      </c>
    </row>
    <row r="2000" ht="15.35" customHeight="1">
      <c r="A2000" t="s" s="2">
        <v>3925</v>
      </c>
      <c r="B2000" s="4">
        <v>37607</v>
      </c>
      <c r="C2000" s="5">
        <v>850</v>
      </c>
      <c r="D2000" s="5">
        <v>52</v>
      </c>
      <c r="E2000" s="5">
        <v>54</v>
      </c>
      <c r="F2000" t="s" s="2">
        <v>301</v>
      </c>
      <c r="G2000" t="s" s="2">
        <v>3788</v>
      </c>
      <c r="H2000" s="5">
        <v>787</v>
      </c>
      <c r="I2000" t="s" s="2">
        <v>21</v>
      </c>
      <c r="J2000" t="s" s="2">
        <v>22</v>
      </c>
      <c r="K2000" t="s" s="2">
        <v>3923</v>
      </c>
      <c r="L2000" t="s" s="2">
        <v>511</v>
      </c>
      <c r="M2000" s="5">
        <v>470698.5</v>
      </c>
      <c r="N2000" s="5">
        <v>6302287.66</v>
      </c>
      <c r="O2000" t="s" s="2">
        <v>305</v>
      </c>
      <c r="P2000" s="5">
        <v>160390</v>
      </c>
      <c r="Q2000" t="s" s="2">
        <v>3790</v>
      </c>
      <c r="R2000" t="s" s="2">
        <f>_xlfn.IFERROR(INDEX('model_byCAP'!$D$2:$D$377,MATCH(Q2000,'model_byCAP'!$A$2:$A$377,0)),0)</f>
        <v>3738</v>
      </c>
    </row>
    <row r="2001" ht="15.35" customHeight="1">
      <c r="A2001" t="s" s="2">
        <v>3926</v>
      </c>
      <c r="B2001" s="4">
        <v>37233</v>
      </c>
      <c r="C2001" s="5">
        <v>850</v>
      </c>
      <c r="D2001" s="5">
        <v>52</v>
      </c>
      <c r="E2001" s="5">
        <v>59</v>
      </c>
      <c r="F2001" t="s" s="2">
        <v>301</v>
      </c>
      <c r="G2001" t="s" s="2">
        <v>3788</v>
      </c>
      <c r="H2001" s="5">
        <v>791</v>
      </c>
      <c r="I2001" t="s" s="2">
        <v>1447</v>
      </c>
      <c r="J2001" t="s" s="2">
        <v>22</v>
      </c>
      <c r="K2001" t="s" s="2">
        <v>3927</v>
      </c>
      <c r="L2001" t="s" s="2">
        <v>500</v>
      </c>
      <c r="M2001" s="5">
        <v>516486.32</v>
      </c>
      <c r="N2001" s="5">
        <v>6263937.45</v>
      </c>
      <c r="O2001" t="s" s="2">
        <v>305</v>
      </c>
      <c r="P2001" s="5">
        <v>2050349</v>
      </c>
      <c r="Q2001" t="s" s="2">
        <v>3790</v>
      </c>
      <c r="R2001" t="s" s="2">
        <f>_xlfn.IFERROR(INDEX('model_byCAP'!$D$2:$D$377,MATCH(Q2001,'model_byCAP'!$A$2:$A$377,0)),0)</f>
        <v>3738</v>
      </c>
    </row>
    <row r="2002" ht="15.35" customHeight="1">
      <c r="A2002" t="s" s="2">
        <v>3928</v>
      </c>
      <c r="B2002" s="4">
        <v>37233</v>
      </c>
      <c r="C2002" s="5">
        <v>850</v>
      </c>
      <c r="D2002" s="5">
        <v>52</v>
      </c>
      <c r="E2002" s="5">
        <v>59</v>
      </c>
      <c r="F2002" t="s" s="2">
        <v>301</v>
      </c>
      <c r="G2002" t="s" s="2">
        <v>3788</v>
      </c>
      <c r="H2002" s="5">
        <v>791</v>
      </c>
      <c r="I2002" t="s" s="2">
        <v>1447</v>
      </c>
      <c r="J2002" t="s" s="2">
        <v>22</v>
      </c>
      <c r="K2002" t="s" s="2">
        <v>3927</v>
      </c>
      <c r="L2002" t="s" s="2">
        <v>500</v>
      </c>
      <c r="M2002" s="5">
        <v>516428.58</v>
      </c>
      <c r="N2002" s="5">
        <v>6263751.57</v>
      </c>
      <c r="O2002" t="s" s="2">
        <v>305</v>
      </c>
      <c r="P2002" s="5">
        <v>2050350</v>
      </c>
      <c r="Q2002" t="s" s="2">
        <v>3790</v>
      </c>
      <c r="R2002" t="s" s="2">
        <f>_xlfn.IFERROR(INDEX('model_byCAP'!$D$2:$D$377,MATCH(Q2002,'model_byCAP'!$A$2:$A$377,0)),0)</f>
        <v>3738</v>
      </c>
    </row>
    <row r="2003" ht="15.35" customHeight="1">
      <c r="A2003" t="s" s="2">
        <v>3929</v>
      </c>
      <c r="B2003" s="4">
        <v>37244</v>
      </c>
      <c r="C2003" s="5">
        <v>850</v>
      </c>
      <c r="D2003" s="5">
        <v>52</v>
      </c>
      <c r="E2003" s="5">
        <v>50</v>
      </c>
      <c r="F2003" t="s" s="2">
        <v>301</v>
      </c>
      <c r="G2003" t="s" s="2">
        <v>3788</v>
      </c>
      <c r="H2003" s="5">
        <v>791</v>
      </c>
      <c r="I2003" t="s" s="2">
        <v>1447</v>
      </c>
      <c r="J2003" t="s" s="2">
        <v>22</v>
      </c>
      <c r="K2003" t="s" s="2">
        <v>3927</v>
      </c>
      <c r="L2003" t="s" s="2">
        <v>500</v>
      </c>
      <c r="M2003" s="5">
        <v>516544.16</v>
      </c>
      <c r="N2003" s="5">
        <v>6264123.61</v>
      </c>
      <c r="O2003" t="s" s="2">
        <v>305</v>
      </c>
      <c r="P2003" s="5">
        <v>2050348</v>
      </c>
      <c r="Q2003" t="s" s="2">
        <v>3790</v>
      </c>
      <c r="R2003" t="s" s="2">
        <f>_xlfn.IFERROR(INDEX('model_byCAP'!$D$2:$D$377,MATCH(Q2003,'model_byCAP'!$A$2:$A$377,0)),0)</f>
        <v>3738</v>
      </c>
    </row>
    <row r="2004" ht="15.35" customHeight="1">
      <c r="A2004" t="s" s="2">
        <v>3930</v>
      </c>
      <c r="B2004" s="4">
        <v>39507</v>
      </c>
      <c r="C2004" s="5">
        <v>850</v>
      </c>
      <c r="D2004" s="5">
        <v>52</v>
      </c>
      <c r="E2004" s="5">
        <v>54</v>
      </c>
      <c r="F2004" t="s" s="2">
        <v>301</v>
      </c>
      <c r="G2004" t="s" s="2">
        <v>3788</v>
      </c>
      <c r="H2004" s="5">
        <v>810</v>
      </c>
      <c r="I2004" t="s" s="2">
        <v>1102</v>
      </c>
      <c r="J2004" t="s" s="2">
        <v>22</v>
      </c>
      <c r="K2004" t="s" s="2">
        <v>3931</v>
      </c>
      <c r="L2004" t="s" s="2">
        <v>1780</v>
      </c>
      <c r="M2004" s="5">
        <v>573534.1899999999</v>
      </c>
      <c r="N2004" s="5">
        <v>6332233.7</v>
      </c>
      <c r="O2004" t="s" s="2">
        <v>305</v>
      </c>
      <c r="P2004" s="5">
        <v>70102</v>
      </c>
      <c r="Q2004" t="s" s="2">
        <v>3790</v>
      </c>
      <c r="R2004" t="s" s="2">
        <f>_xlfn.IFERROR(INDEX('model_byCAP'!$D$2:$D$377,MATCH(Q2004,'model_byCAP'!$A$2:$A$377,0)),0)</f>
        <v>3738</v>
      </c>
    </row>
    <row r="2005" ht="15.35" customHeight="1">
      <c r="A2005" t="s" s="2">
        <v>3932</v>
      </c>
      <c r="B2005" s="4">
        <v>39514</v>
      </c>
      <c r="C2005" s="5">
        <v>850</v>
      </c>
      <c r="D2005" s="5">
        <v>52</v>
      </c>
      <c r="E2005" s="5">
        <v>54</v>
      </c>
      <c r="F2005" t="s" s="2">
        <v>301</v>
      </c>
      <c r="G2005" t="s" s="2">
        <v>3788</v>
      </c>
      <c r="H2005" s="5">
        <v>810</v>
      </c>
      <c r="I2005" t="s" s="2">
        <v>1102</v>
      </c>
      <c r="J2005" t="s" s="2">
        <v>22</v>
      </c>
      <c r="K2005" t="s" s="2">
        <v>3931</v>
      </c>
      <c r="L2005" t="s" s="2">
        <v>1780</v>
      </c>
      <c r="M2005" s="5">
        <v>573263.98</v>
      </c>
      <c r="N2005" s="5">
        <v>6332206.37</v>
      </c>
      <c r="O2005" t="s" s="2">
        <v>305</v>
      </c>
      <c r="P2005" s="5">
        <v>70101</v>
      </c>
      <c r="Q2005" t="s" s="2">
        <v>3790</v>
      </c>
      <c r="R2005" t="s" s="2">
        <f>_xlfn.IFERROR(INDEX('model_byCAP'!$D$2:$D$377,MATCH(Q2005,'model_byCAP'!$A$2:$A$377,0)),0)</f>
        <v>3738</v>
      </c>
    </row>
    <row r="2006" ht="15.35" customHeight="1">
      <c r="A2006" t="s" s="2">
        <v>3933</v>
      </c>
      <c r="B2006" s="4">
        <v>37596</v>
      </c>
      <c r="C2006" s="5">
        <v>800</v>
      </c>
      <c r="D2006" s="5">
        <v>50</v>
      </c>
      <c r="E2006" s="5">
        <v>45</v>
      </c>
      <c r="F2006" t="s" s="2">
        <v>2328</v>
      </c>
      <c r="G2006" t="s" s="2">
        <v>3934</v>
      </c>
      <c r="H2006" s="5">
        <v>400</v>
      </c>
      <c r="I2006" t="s" s="2">
        <v>2068</v>
      </c>
      <c r="J2006" t="s" s="2">
        <v>22</v>
      </c>
      <c r="K2006" t="s" s="2">
        <v>3935</v>
      </c>
      <c r="L2006" t="s" s="2">
        <v>3936</v>
      </c>
      <c r="M2006" s="5">
        <v>866078.45</v>
      </c>
      <c r="N2006" s="5">
        <v>6122662.9</v>
      </c>
      <c r="O2006" t="s" s="2">
        <v>305</v>
      </c>
      <c r="P2006" t="s" s="2">
        <v>3937</v>
      </c>
      <c r="Q2006" t="s" s="2">
        <v>3938</v>
      </c>
      <c r="R2006" t="s" s="2">
        <f>_xlfn.IFERROR(INDEX('model_byCAP'!$D$2:$D$377,MATCH(Q2006,'model_byCAP'!$A$2:$A$377,0)),0)</f>
        <v>3939</v>
      </c>
    </row>
    <row r="2007" ht="15.35" customHeight="1">
      <c r="A2007" t="s" s="2">
        <v>3940</v>
      </c>
      <c r="B2007" s="4">
        <v>37596</v>
      </c>
      <c r="C2007" s="5">
        <v>800</v>
      </c>
      <c r="D2007" s="5">
        <v>50</v>
      </c>
      <c r="E2007" s="5">
        <v>45</v>
      </c>
      <c r="F2007" t="s" s="2">
        <v>42</v>
      </c>
      <c r="G2007" t="s" s="2">
        <v>42</v>
      </c>
      <c r="H2007" s="5">
        <v>400</v>
      </c>
      <c r="I2007" t="s" s="2">
        <v>2068</v>
      </c>
      <c r="J2007" t="s" s="2">
        <v>22</v>
      </c>
      <c r="K2007" t="s" s="2">
        <v>3935</v>
      </c>
      <c r="L2007" t="s" s="2">
        <v>3936</v>
      </c>
      <c r="M2007" s="5">
        <v>865966.9</v>
      </c>
      <c r="N2007" s="5">
        <v>6122764</v>
      </c>
      <c r="O2007" t="s" s="2">
        <v>305</v>
      </c>
      <c r="P2007" t="s" s="2">
        <v>3941</v>
      </c>
      <c r="Q2007" t="s" s="2">
        <v>43</v>
      </c>
      <c r="R2007" s="5">
        <f>_xlfn.IFERROR(INDEX('model_byCAP'!$D$2:$D$377,MATCH(Q2007,'model_byCAP'!$A$2:$A$377,0)),0)</f>
        <v>0</v>
      </c>
    </row>
    <row r="2008" ht="15.35" customHeight="1">
      <c r="A2008" t="s" s="2">
        <v>3942</v>
      </c>
      <c r="B2008" s="4">
        <v>37596</v>
      </c>
      <c r="C2008" s="5">
        <v>800</v>
      </c>
      <c r="D2008" s="5">
        <v>50</v>
      </c>
      <c r="E2008" s="5">
        <v>45</v>
      </c>
      <c r="F2008" t="s" s="2">
        <v>42</v>
      </c>
      <c r="G2008" t="s" s="2">
        <v>42</v>
      </c>
      <c r="H2008" s="5">
        <v>400</v>
      </c>
      <c r="I2008" t="s" s="2">
        <v>2068</v>
      </c>
      <c r="J2008" t="s" s="2">
        <v>22</v>
      </c>
      <c r="K2008" t="s" s="2">
        <v>3935</v>
      </c>
      <c r="L2008" t="s" s="2">
        <v>3936</v>
      </c>
      <c r="M2008" s="5">
        <v>865855.74</v>
      </c>
      <c r="N2008" s="5">
        <v>6122864.8</v>
      </c>
      <c r="O2008" t="s" s="2">
        <v>305</v>
      </c>
      <c r="P2008" t="s" s="2">
        <v>3943</v>
      </c>
      <c r="Q2008" t="s" s="2">
        <v>43</v>
      </c>
      <c r="R2008" s="5">
        <f>_xlfn.IFERROR(INDEX('model_byCAP'!$D$2:$D$377,MATCH(Q2008,'model_byCAP'!$A$2:$A$377,0)),0)</f>
        <v>0</v>
      </c>
    </row>
    <row r="2009" ht="15.35" customHeight="1">
      <c r="A2009" t="s" s="2">
        <v>3944</v>
      </c>
      <c r="B2009" s="4">
        <v>36693</v>
      </c>
      <c r="C2009" s="5">
        <v>800</v>
      </c>
      <c r="D2009" s="5">
        <v>50</v>
      </c>
      <c r="E2009" s="5">
        <v>50</v>
      </c>
      <c r="F2009" t="s" s="2">
        <v>2328</v>
      </c>
      <c r="G2009" t="s" s="2">
        <v>3934</v>
      </c>
      <c r="H2009" s="5">
        <v>430</v>
      </c>
      <c r="I2009" t="s" s="2">
        <v>3470</v>
      </c>
      <c r="J2009" t="s" s="2">
        <v>22</v>
      </c>
      <c r="K2009" t="s" s="2">
        <v>3945</v>
      </c>
      <c r="L2009" s="5">
        <v>149</v>
      </c>
      <c r="M2009" s="5">
        <v>602426.74</v>
      </c>
      <c r="N2009" s="5">
        <v>6116095.48</v>
      </c>
      <c r="O2009" t="s" s="2">
        <v>305</v>
      </c>
      <c r="P2009" s="5">
        <v>99212</v>
      </c>
      <c r="Q2009" t="s" s="2">
        <v>3938</v>
      </c>
      <c r="R2009" t="s" s="2">
        <f>_xlfn.IFERROR(INDEX('model_byCAP'!$D$2:$D$377,MATCH(Q2009,'model_byCAP'!$A$2:$A$377,0)),0)</f>
        <v>3939</v>
      </c>
    </row>
    <row r="2010" ht="15.35" customHeight="1">
      <c r="A2010" t="s" s="2">
        <v>3946</v>
      </c>
      <c r="B2010" s="4">
        <v>37582</v>
      </c>
      <c r="C2010" s="5">
        <v>800</v>
      </c>
      <c r="D2010" s="5">
        <v>50</v>
      </c>
      <c r="E2010" s="5">
        <v>50</v>
      </c>
      <c r="F2010" t="s" s="2">
        <v>2328</v>
      </c>
      <c r="G2010" t="s" s="2">
        <v>3934</v>
      </c>
      <c r="H2010" s="5">
        <v>430</v>
      </c>
      <c r="I2010" t="s" s="2">
        <v>3470</v>
      </c>
      <c r="J2010" t="s" s="2">
        <v>22</v>
      </c>
      <c r="K2010" t="s" s="2">
        <v>3947</v>
      </c>
      <c r="L2010" t="s" s="2">
        <v>3395</v>
      </c>
      <c r="M2010" s="5">
        <v>598231.75</v>
      </c>
      <c r="N2010" s="5">
        <v>6128165.02</v>
      </c>
      <c r="O2010" t="s" s="2">
        <v>305</v>
      </c>
      <c r="P2010" s="5">
        <v>99263</v>
      </c>
      <c r="Q2010" t="s" s="2">
        <v>3938</v>
      </c>
      <c r="R2010" t="s" s="2">
        <f>_xlfn.IFERROR(INDEX('model_byCAP'!$D$2:$D$377,MATCH(Q2010,'model_byCAP'!$A$2:$A$377,0)),0)</f>
        <v>3939</v>
      </c>
    </row>
    <row r="2011" ht="15.35" customHeight="1">
      <c r="A2011" t="s" s="2">
        <v>3948</v>
      </c>
      <c r="B2011" s="4">
        <v>37582</v>
      </c>
      <c r="C2011" s="5">
        <v>800</v>
      </c>
      <c r="D2011" s="5">
        <v>50</v>
      </c>
      <c r="E2011" s="5">
        <v>50</v>
      </c>
      <c r="F2011" t="s" s="2">
        <v>2328</v>
      </c>
      <c r="G2011" t="s" s="2">
        <v>3934</v>
      </c>
      <c r="H2011" s="5">
        <v>430</v>
      </c>
      <c r="I2011" t="s" s="2">
        <v>3470</v>
      </c>
      <c r="J2011" t="s" s="2">
        <v>22</v>
      </c>
      <c r="K2011" t="s" s="2">
        <v>3947</v>
      </c>
      <c r="L2011" t="s" s="2">
        <v>3395</v>
      </c>
      <c r="M2011" s="5">
        <v>598135</v>
      </c>
      <c r="N2011" s="5">
        <v>6128349</v>
      </c>
      <c r="O2011" t="s" s="2">
        <v>305</v>
      </c>
      <c r="P2011" s="5">
        <v>99264</v>
      </c>
      <c r="Q2011" t="s" s="2">
        <v>3938</v>
      </c>
      <c r="R2011" t="s" s="2">
        <f>_xlfn.IFERROR(INDEX('model_byCAP'!$D$2:$D$377,MATCH(Q2011,'model_byCAP'!$A$2:$A$377,0)),0)</f>
        <v>3939</v>
      </c>
    </row>
    <row r="2012" ht="15.35" customHeight="1">
      <c r="A2012" t="s" s="2">
        <v>3949</v>
      </c>
      <c r="B2012" s="4">
        <v>36881</v>
      </c>
      <c r="C2012" s="5">
        <v>800</v>
      </c>
      <c r="D2012" s="5">
        <v>50</v>
      </c>
      <c r="E2012" s="5">
        <v>50</v>
      </c>
      <c r="F2012" t="s" s="2">
        <v>2328</v>
      </c>
      <c r="G2012" t="s" s="2">
        <v>3934</v>
      </c>
      <c r="H2012" s="5">
        <v>450</v>
      </c>
      <c r="I2012" t="s" s="2">
        <v>2870</v>
      </c>
      <c r="J2012" t="s" s="2">
        <v>22</v>
      </c>
      <c r="K2012" t="s" s="2">
        <v>3950</v>
      </c>
      <c r="L2012" t="s" s="2">
        <v>1053</v>
      </c>
      <c r="M2012" s="5">
        <v>604831.35</v>
      </c>
      <c r="N2012" s="5">
        <v>6140080.86</v>
      </c>
      <c r="O2012" t="s" s="2">
        <v>305</v>
      </c>
      <c r="P2012" s="5">
        <v>16088</v>
      </c>
      <c r="Q2012" t="s" s="2">
        <v>3938</v>
      </c>
      <c r="R2012" t="s" s="2">
        <f>_xlfn.IFERROR(INDEX('model_byCAP'!$D$2:$D$377,MATCH(Q2012,'model_byCAP'!$A$2:$A$377,0)),0)</f>
        <v>3939</v>
      </c>
    </row>
    <row r="2013" ht="15.35" customHeight="1">
      <c r="A2013" t="s" s="2">
        <v>3951</v>
      </c>
      <c r="B2013" s="4">
        <v>36881</v>
      </c>
      <c r="C2013" s="5">
        <v>800</v>
      </c>
      <c r="D2013" s="5">
        <v>50</v>
      </c>
      <c r="E2013" s="5">
        <v>50</v>
      </c>
      <c r="F2013" t="s" s="2">
        <v>2328</v>
      </c>
      <c r="G2013" t="s" s="2">
        <v>3934</v>
      </c>
      <c r="H2013" s="5">
        <v>450</v>
      </c>
      <c r="I2013" t="s" s="2">
        <v>2870</v>
      </c>
      <c r="J2013" t="s" s="2">
        <v>22</v>
      </c>
      <c r="K2013" t="s" s="2">
        <v>3952</v>
      </c>
      <c r="L2013" t="s" s="2">
        <v>3953</v>
      </c>
      <c r="M2013" s="5">
        <v>604799.16</v>
      </c>
      <c r="N2013" s="5">
        <v>6140251.49</v>
      </c>
      <c r="O2013" t="s" s="2">
        <v>305</v>
      </c>
      <c r="P2013" s="5">
        <v>16089</v>
      </c>
      <c r="Q2013" t="s" s="2">
        <v>3938</v>
      </c>
      <c r="R2013" t="s" s="2">
        <f>_xlfn.IFERROR(INDEX('model_byCAP'!$D$2:$D$377,MATCH(Q2013,'model_byCAP'!$A$2:$A$377,0)),0)</f>
        <v>3939</v>
      </c>
    </row>
    <row r="2014" ht="15.35" customHeight="1">
      <c r="A2014" t="s" s="2">
        <v>3954</v>
      </c>
      <c r="B2014" s="4">
        <v>36915</v>
      </c>
      <c r="C2014" s="5">
        <v>800</v>
      </c>
      <c r="D2014" s="5">
        <v>50</v>
      </c>
      <c r="E2014" s="5">
        <v>50</v>
      </c>
      <c r="F2014" t="s" s="2">
        <v>2328</v>
      </c>
      <c r="G2014" t="s" s="2">
        <v>3934</v>
      </c>
      <c r="H2014" s="5">
        <v>450</v>
      </c>
      <c r="I2014" t="s" s="2">
        <v>2870</v>
      </c>
      <c r="J2014" t="s" s="2">
        <v>22</v>
      </c>
      <c r="K2014" t="s" s="2">
        <v>3950</v>
      </c>
      <c r="L2014" t="s" s="2">
        <v>979</v>
      </c>
      <c r="M2014" s="5">
        <v>604767.65</v>
      </c>
      <c r="N2014" s="5">
        <v>6140423.03</v>
      </c>
      <c r="O2014" t="s" s="2">
        <v>305</v>
      </c>
      <c r="P2014" s="5">
        <v>16090</v>
      </c>
      <c r="Q2014" t="s" s="2">
        <v>3938</v>
      </c>
      <c r="R2014" t="s" s="2">
        <f>_xlfn.IFERROR(INDEX('model_byCAP'!$D$2:$D$377,MATCH(Q2014,'model_byCAP'!$A$2:$A$377,0)),0)</f>
        <v>3939</v>
      </c>
    </row>
    <row r="2015" ht="15.35" customHeight="1">
      <c r="A2015" t="s" s="2">
        <v>3955</v>
      </c>
      <c r="B2015" s="4">
        <v>36693</v>
      </c>
      <c r="C2015" s="5">
        <v>800</v>
      </c>
      <c r="D2015" s="5">
        <v>50</v>
      </c>
      <c r="E2015" s="5">
        <v>50</v>
      </c>
      <c r="F2015" t="s" s="2">
        <v>2328</v>
      </c>
      <c r="G2015" t="s" s="2">
        <v>3934</v>
      </c>
      <c r="H2015" s="5">
        <v>479</v>
      </c>
      <c r="I2015" t="s" s="2">
        <v>2082</v>
      </c>
      <c r="J2015" t="s" s="2">
        <v>22</v>
      </c>
      <c r="K2015" t="s" s="2">
        <v>3486</v>
      </c>
      <c r="L2015" t="s" s="2">
        <v>524</v>
      </c>
      <c r="M2015" s="5">
        <v>602491.54</v>
      </c>
      <c r="N2015" s="5">
        <v>6115932.11</v>
      </c>
      <c r="O2015" t="s" s="2">
        <v>305</v>
      </c>
      <c r="P2015" s="5">
        <v>99212</v>
      </c>
      <c r="Q2015" t="s" s="2">
        <v>3938</v>
      </c>
      <c r="R2015" t="s" s="2">
        <f>_xlfn.IFERROR(INDEX('model_byCAP'!$D$2:$D$377,MATCH(Q2015,'model_byCAP'!$A$2:$A$377,0)),0)</f>
        <v>3939</v>
      </c>
    </row>
    <row r="2016" ht="15.35" customHeight="1">
      <c r="A2016" t="s" s="2">
        <v>3956</v>
      </c>
      <c r="B2016" s="4">
        <v>36759</v>
      </c>
      <c r="C2016" s="5">
        <v>800</v>
      </c>
      <c r="D2016" s="5">
        <v>50</v>
      </c>
      <c r="E2016" s="5">
        <v>50</v>
      </c>
      <c r="F2016" t="s" s="2">
        <v>2328</v>
      </c>
      <c r="G2016" t="s" s="2">
        <v>3934</v>
      </c>
      <c r="H2016" s="5">
        <v>480</v>
      </c>
      <c r="I2016" t="s" s="2">
        <v>3957</v>
      </c>
      <c r="J2016" t="s" s="2">
        <v>22</v>
      </c>
      <c r="K2016" t="s" s="2">
        <v>3958</v>
      </c>
      <c r="L2016" t="s" s="2">
        <v>481</v>
      </c>
      <c r="M2016" s="5">
        <v>583983.22</v>
      </c>
      <c r="N2016" s="5">
        <v>6154693.51</v>
      </c>
      <c r="O2016" t="s" s="2">
        <v>305</v>
      </c>
      <c r="P2016" s="5">
        <v>99208</v>
      </c>
      <c r="Q2016" t="s" s="2">
        <v>3938</v>
      </c>
      <c r="R2016" t="s" s="2">
        <f>_xlfn.IFERROR(INDEX('model_byCAP'!$D$2:$D$377,MATCH(Q2016,'model_byCAP'!$A$2:$A$377,0)),0)</f>
        <v>3939</v>
      </c>
    </row>
    <row r="2017" ht="15.35" customHeight="1">
      <c r="A2017" t="s" s="2">
        <v>3959</v>
      </c>
      <c r="B2017" s="4">
        <v>36759</v>
      </c>
      <c r="C2017" s="5">
        <v>800</v>
      </c>
      <c r="D2017" s="5">
        <v>50</v>
      </c>
      <c r="E2017" s="5">
        <v>50</v>
      </c>
      <c r="F2017" t="s" s="2">
        <v>2328</v>
      </c>
      <c r="G2017" t="s" s="2">
        <v>3934</v>
      </c>
      <c r="H2017" s="5">
        <v>480</v>
      </c>
      <c r="I2017" t="s" s="2">
        <v>3957</v>
      </c>
      <c r="J2017" t="s" s="2">
        <v>22</v>
      </c>
      <c r="K2017" t="s" s="2">
        <v>3958</v>
      </c>
      <c r="L2017" t="s" s="2">
        <v>481</v>
      </c>
      <c r="M2017" s="5">
        <v>583938.8100000001</v>
      </c>
      <c r="N2017" s="5">
        <v>6154835.58</v>
      </c>
      <c r="O2017" t="s" s="2">
        <v>305</v>
      </c>
      <c r="P2017" s="5">
        <v>99208</v>
      </c>
      <c r="Q2017" t="s" s="2">
        <v>3938</v>
      </c>
      <c r="R2017" t="s" s="2">
        <f>_xlfn.IFERROR(INDEX('model_byCAP'!$D$2:$D$377,MATCH(Q2017,'model_byCAP'!$A$2:$A$377,0)),0)</f>
        <v>3939</v>
      </c>
    </row>
    <row r="2018" ht="15.35" customHeight="1">
      <c r="A2018" t="s" s="2">
        <v>3960</v>
      </c>
      <c r="B2018" s="4">
        <v>36634</v>
      </c>
      <c r="C2018" s="5">
        <v>800</v>
      </c>
      <c r="D2018" s="5">
        <v>50</v>
      </c>
      <c r="E2018" s="5">
        <v>50</v>
      </c>
      <c r="F2018" t="s" s="2">
        <v>2328</v>
      </c>
      <c r="G2018" t="s" s="2">
        <v>3934</v>
      </c>
      <c r="H2018" s="5">
        <v>480</v>
      </c>
      <c r="I2018" t="s" s="2">
        <v>3957</v>
      </c>
      <c r="J2018" t="s" s="2">
        <v>22</v>
      </c>
      <c r="K2018" t="s" s="2">
        <v>3961</v>
      </c>
      <c r="L2018" t="s" s="2">
        <v>518</v>
      </c>
      <c r="M2018" s="5">
        <v>572926.71</v>
      </c>
      <c r="N2018" s="5">
        <v>6153949.48</v>
      </c>
      <c r="O2018" t="s" s="2">
        <v>305</v>
      </c>
      <c r="P2018" s="5">
        <v>99211</v>
      </c>
      <c r="Q2018" t="s" s="2">
        <v>3938</v>
      </c>
      <c r="R2018" t="s" s="2">
        <f>_xlfn.IFERROR(INDEX('model_byCAP'!$D$2:$D$377,MATCH(Q2018,'model_byCAP'!$A$2:$A$377,0)),0)</f>
        <v>3939</v>
      </c>
    </row>
    <row r="2019" ht="15.35" customHeight="1">
      <c r="A2019" t="s" s="2">
        <v>3962</v>
      </c>
      <c r="B2019" s="4">
        <v>36634</v>
      </c>
      <c r="C2019" s="5">
        <v>800</v>
      </c>
      <c r="D2019" s="5">
        <v>50</v>
      </c>
      <c r="E2019" s="5">
        <v>50</v>
      </c>
      <c r="F2019" t="s" s="2">
        <v>2328</v>
      </c>
      <c r="G2019" t="s" s="2">
        <v>3934</v>
      </c>
      <c r="H2019" s="5">
        <v>480</v>
      </c>
      <c r="I2019" t="s" s="2">
        <v>3957</v>
      </c>
      <c r="J2019" t="s" s="2">
        <v>22</v>
      </c>
      <c r="K2019" t="s" s="2">
        <v>3961</v>
      </c>
      <c r="L2019" t="s" s="2">
        <v>585</v>
      </c>
      <c r="M2019" s="5">
        <v>573009.8199999999</v>
      </c>
      <c r="N2019" s="5">
        <v>6153727.35</v>
      </c>
      <c r="O2019" t="s" s="2">
        <v>305</v>
      </c>
      <c r="P2019" s="5">
        <v>99211</v>
      </c>
      <c r="Q2019" t="s" s="2">
        <v>3938</v>
      </c>
      <c r="R2019" t="s" s="2">
        <f>_xlfn.IFERROR(INDEX('model_byCAP'!$D$2:$D$377,MATCH(Q2019,'model_byCAP'!$A$2:$A$377,0)),0)</f>
        <v>3939</v>
      </c>
    </row>
    <row r="2020" ht="15.35" customHeight="1">
      <c r="A2020" t="s" s="2">
        <v>3963</v>
      </c>
      <c r="B2020" s="4">
        <v>36839</v>
      </c>
      <c r="C2020" s="5">
        <v>800</v>
      </c>
      <c r="D2020" s="5">
        <v>50</v>
      </c>
      <c r="E2020" s="5">
        <v>50</v>
      </c>
      <c r="F2020" t="s" s="2">
        <v>2328</v>
      </c>
      <c r="G2020" t="s" s="2">
        <v>3934</v>
      </c>
      <c r="H2020" s="5">
        <v>480</v>
      </c>
      <c r="I2020" t="s" s="2">
        <v>3957</v>
      </c>
      <c r="J2020" t="s" s="2">
        <v>22</v>
      </c>
      <c r="K2020" t="s" s="2">
        <v>3964</v>
      </c>
      <c r="L2020" t="s" s="2">
        <v>511</v>
      </c>
      <c r="M2020" s="5">
        <v>572227.3100000001</v>
      </c>
      <c r="N2020" s="5">
        <v>6151967.75</v>
      </c>
      <c r="O2020" t="s" s="2">
        <v>305</v>
      </c>
      <c r="P2020" s="5">
        <v>99217</v>
      </c>
      <c r="Q2020" t="s" s="2">
        <v>3938</v>
      </c>
      <c r="R2020" t="s" s="2">
        <f>_xlfn.IFERROR(INDEX('model_byCAP'!$D$2:$D$377,MATCH(Q2020,'model_byCAP'!$A$2:$A$377,0)),0)</f>
        <v>3939</v>
      </c>
    </row>
    <row r="2021" ht="15.35" customHeight="1">
      <c r="A2021" t="s" s="2">
        <v>3965</v>
      </c>
      <c r="B2021" s="4">
        <v>36836</v>
      </c>
      <c r="C2021" s="5">
        <v>800</v>
      </c>
      <c r="D2021" s="5">
        <v>50</v>
      </c>
      <c r="E2021" s="5">
        <v>50</v>
      </c>
      <c r="F2021" t="s" s="2">
        <v>2328</v>
      </c>
      <c r="G2021" t="s" s="2">
        <v>3934</v>
      </c>
      <c r="H2021" s="5">
        <v>480</v>
      </c>
      <c r="I2021" t="s" s="2">
        <v>3957</v>
      </c>
      <c r="J2021" t="s" s="2">
        <v>22</v>
      </c>
      <c r="K2021" t="s" s="2">
        <v>3964</v>
      </c>
      <c r="L2021" t="s" s="2">
        <v>511</v>
      </c>
      <c r="M2021" s="5">
        <v>571991.4</v>
      </c>
      <c r="N2021" s="5">
        <v>6152160.9</v>
      </c>
      <c r="O2021" t="s" s="2">
        <v>305</v>
      </c>
      <c r="P2021" s="5">
        <v>99217</v>
      </c>
      <c r="Q2021" t="s" s="2">
        <v>3938</v>
      </c>
      <c r="R2021" t="s" s="2">
        <f>_xlfn.IFERROR(INDEX('model_byCAP'!$D$2:$D$377,MATCH(Q2021,'model_byCAP'!$A$2:$A$377,0)),0)</f>
        <v>3939</v>
      </c>
    </row>
    <row r="2022" ht="15.35" customHeight="1">
      <c r="A2022" t="s" s="2">
        <v>3966</v>
      </c>
      <c r="B2022" s="4">
        <v>37608</v>
      </c>
      <c r="C2022" s="5">
        <v>800</v>
      </c>
      <c r="D2022" s="5">
        <v>50</v>
      </c>
      <c r="E2022" s="5">
        <v>50</v>
      </c>
      <c r="F2022" t="s" s="2">
        <v>2328</v>
      </c>
      <c r="G2022" t="s" s="2">
        <v>3934</v>
      </c>
      <c r="H2022" s="5">
        <v>480</v>
      </c>
      <c r="I2022" t="s" s="2">
        <v>3957</v>
      </c>
      <c r="J2022" t="s" s="2">
        <v>22</v>
      </c>
      <c r="K2022" t="s" s="2">
        <v>3967</v>
      </c>
      <c r="L2022" t="s" s="2">
        <v>481</v>
      </c>
      <c r="M2022" s="5">
        <v>583893.61</v>
      </c>
      <c r="N2022" s="5">
        <v>6154977.46</v>
      </c>
      <c r="O2022" t="s" s="2">
        <v>305</v>
      </c>
      <c r="P2022" s="5">
        <v>99208</v>
      </c>
      <c r="Q2022" t="s" s="2">
        <v>3938</v>
      </c>
      <c r="R2022" t="s" s="2">
        <f>_xlfn.IFERROR(INDEX('model_byCAP'!$D$2:$D$377,MATCH(Q2022,'model_byCAP'!$A$2:$A$377,0)),0)</f>
        <v>3939</v>
      </c>
    </row>
    <row r="2023" ht="15.35" customHeight="1">
      <c r="A2023" t="s" s="2">
        <v>3968</v>
      </c>
      <c r="B2023" s="4">
        <v>36802</v>
      </c>
      <c r="C2023" s="5">
        <v>800</v>
      </c>
      <c r="D2023" s="5">
        <v>50</v>
      </c>
      <c r="E2023" s="5">
        <v>50</v>
      </c>
      <c r="F2023" t="s" s="2">
        <v>2328</v>
      </c>
      <c r="G2023" t="s" s="2">
        <v>3934</v>
      </c>
      <c r="H2023" s="5">
        <v>482</v>
      </c>
      <c r="I2023" t="s" s="2">
        <v>1523</v>
      </c>
      <c r="J2023" t="s" s="2">
        <v>22</v>
      </c>
      <c r="K2023" t="s" s="2">
        <v>3969</v>
      </c>
      <c r="L2023" t="s" s="2">
        <v>1161</v>
      </c>
      <c r="M2023" s="5">
        <v>607587.37</v>
      </c>
      <c r="N2023" s="5">
        <v>6078116.56</v>
      </c>
      <c r="O2023" t="s" s="2">
        <v>305</v>
      </c>
      <c r="P2023" s="5">
        <v>16536106</v>
      </c>
      <c r="Q2023" t="s" s="2">
        <v>3938</v>
      </c>
      <c r="R2023" t="s" s="2">
        <f>_xlfn.IFERROR(INDEX('model_byCAP'!$D$2:$D$377,MATCH(Q2023,'model_byCAP'!$A$2:$A$377,0)),0)</f>
        <v>3939</v>
      </c>
    </row>
    <row r="2024" ht="15.35" customHeight="1">
      <c r="A2024" t="s" s="2">
        <v>3970</v>
      </c>
      <c r="B2024" s="4">
        <v>36819</v>
      </c>
      <c r="C2024" s="5">
        <v>800</v>
      </c>
      <c r="D2024" s="5">
        <v>50</v>
      </c>
      <c r="E2024" s="5">
        <v>50</v>
      </c>
      <c r="F2024" t="s" s="2">
        <v>2328</v>
      </c>
      <c r="G2024" t="s" s="2">
        <v>3934</v>
      </c>
      <c r="H2024" s="5">
        <v>482</v>
      </c>
      <c r="I2024" t="s" s="2">
        <v>1523</v>
      </c>
      <c r="J2024" t="s" s="2">
        <v>22</v>
      </c>
      <c r="K2024" t="s" s="2">
        <v>3971</v>
      </c>
      <c r="L2024" t="s" s="2">
        <v>2923</v>
      </c>
      <c r="M2024" s="5">
        <v>608653.04</v>
      </c>
      <c r="N2024" s="5">
        <v>6075385.92</v>
      </c>
      <c r="O2024" t="s" s="2">
        <v>305</v>
      </c>
      <c r="P2024" s="5">
        <v>18564211</v>
      </c>
      <c r="Q2024" t="s" s="2">
        <v>3938</v>
      </c>
      <c r="R2024" t="s" s="2">
        <f>_xlfn.IFERROR(INDEX('model_byCAP'!$D$2:$D$377,MATCH(Q2024,'model_byCAP'!$A$2:$A$377,0)),0)</f>
        <v>3939</v>
      </c>
    </row>
    <row r="2025" ht="15.35" customHeight="1">
      <c r="A2025" t="s" s="2">
        <v>3972</v>
      </c>
      <c r="B2025" s="4">
        <v>37792</v>
      </c>
      <c r="C2025" s="5">
        <v>800</v>
      </c>
      <c r="D2025" s="5">
        <v>50</v>
      </c>
      <c r="E2025" s="5">
        <v>50</v>
      </c>
      <c r="F2025" t="s" s="2">
        <v>2328</v>
      </c>
      <c r="G2025" t="s" s="2">
        <v>3973</v>
      </c>
      <c r="H2025" s="5">
        <v>482</v>
      </c>
      <c r="I2025" t="s" s="2">
        <v>1523</v>
      </c>
      <c r="J2025" t="s" s="2">
        <v>22</v>
      </c>
      <c r="K2025" t="s" s="2">
        <v>3974</v>
      </c>
      <c r="L2025" t="s" s="2">
        <v>1196</v>
      </c>
      <c r="M2025" s="5">
        <v>611946.84</v>
      </c>
      <c r="N2025" s="5">
        <v>6090842.99</v>
      </c>
      <c r="O2025" t="s" s="2">
        <v>305</v>
      </c>
      <c r="P2025" s="5">
        <v>25540103</v>
      </c>
      <c r="Q2025" t="s" s="2">
        <v>3975</v>
      </c>
      <c r="R2025" t="s" s="2">
        <f>_xlfn.IFERROR(INDEX('model_byCAP'!$D$2:$D$377,MATCH(Q2025,'model_byCAP'!$A$2:$A$377,0)),0)</f>
        <v>3939</v>
      </c>
    </row>
    <row r="2026" ht="15.35" customHeight="1">
      <c r="A2026" t="s" s="2">
        <v>3976</v>
      </c>
      <c r="B2026" s="4">
        <v>36320</v>
      </c>
      <c r="C2026" s="5">
        <v>800</v>
      </c>
      <c r="D2026" s="5">
        <v>50</v>
      </c>
      <c r="E2026" s="5">
        <v>46</v>
      </c>
      <c r="F2026" t="s" s="2">
        <v>2328</v>
      </c>
      <c r="G2026" t="s" s="2">
        <v>3934</v>
      </c>
      <c r="H2026" s="5">
        <v>510</v>
      </c>
      <c r="I2026" t="s" s="2">
        <v>3049</v>
      </c>
      <c r="J2026" t="s" s="2">
        <v>22</v>
      </c>
      <c r="K2026" t="s" s="2">
        <v>3977</v>
      </c>
      <c r="L2026" s="5">
        <v>292</v>
      </c>
      <c r="M2026" s="5">
        <v>520289.28</v>
      </c>
      <c r="N2026" s="5">
        <v>6124566.13</v>
      </c>
      <c r="O2026" t="s" s="2">
        <v>305</v>
      </c>
      <c r="P2026" s="5">
        <v>90435</v>
      </c>
      <c r="Q2026" t="s" s="2">
        <v>3938</v>
      </c>
      <c r="R2026" t="s" s="2">
        <f>_xlfn.IFERROR(INDEX('model_byCAP'!$D$2:$D$377,MATCH(Q2026,'model_byCAP'!$A$2:$A$377,0)),0)</f>
        <v>3939</v>
      </c>
    </row>
    <row r="2027" ht="15.35" customHeight="1">
      <c r="A2027" t="s" s="2">
        <v>3978</v>
      </c>
      <c r="B2027" s="4">
        <v>36631</v>
      </c>
      <c r="C2027" s="5">
        <v>800</v>
      </c>
      <c r="D2027" s="5">
        <v>50</v>
      </c>
      <c r="E2027" s="5">
        <v>46</v>
      </c>
      <c r="F2027" t="s" s="2">
        <v>2328</v>
      </c>
      <c r="G2027" t="s" s="2">
        <v>3934</v>
      </c>
      <c r="H2027" s="5">
        <v>510</v>
      </c>
      <c r="I2027" t="s" s="2">
        <v>3049</v>
      </c>
      <c r="J2027" t="s" s="2">
        <v>22</v>
      </c>
      <c r="K2027" t="s" s="2">
        <v>3979</v>
      </c>
      <c r="L2027" s="5">
        <v>36</v>
      </c>
      <c r="M2027" s="5">
        <v>498164.8</v>
      </c>
      <c r="N2027" s="5">
        <v>6120856.68</v>
      </c>
      <c r="O2027" t="s" s="2">
        <v>305</v>
      </c>
      <c r="P2027" s="5">
        <v>91120</v>
      </c>
      <c r="Q2027" t="s" s="2">
        <v>3938</v>
      </c>
      <c r="R2027" t="s" s="2">
        <f>_xlfn.IFERROR(INDEX('model_byCAP'!$D$2:$D$377,MATCH(Q2027,'model_byCAP'!$A$2:$A$377,0)),0)</f>
        <v>3939</v>
      </c>
    </row>
    <row r="2028" ht="15.35" customHeight="1">
      <c r="A2028" t="s" s="2">
        <v>3980</v>
      </c>
      <c r="B2028" s="4">
        <v>36770</v>
      </c>
      <c r="C2028" s="5">
        <v>800</v>
      </c>
      <c r="D2028" s="5">
        <v>0.1</v>
      </c>
      <c r="E2028" s="5">
        <v>0.1</v>
      </c>
      <c r="F2028" t="s" s="2">
        <v>42</v>
      </c>
      <c r="G2028" t="s" s="2">
        <v>42</v>
      </c>
      <c r="H2028" s="5">
        <v>510</v>
      </c>
      <c r="I2028" t="s" s="2">
        <v>3049</v>
      </c>
      <c r="J2028" t="s" s="2">
        <v>22</v>
      </c>
      <c r="K2028" t="s" s="2">
        <v>3979</v>
      </c>
      <c r="L2028" s="5">
        <v>36</v>
      </c>
      <c r="M2028" s="5">
        <v>498267.8</v>
      </c>
      <c r="N2028" s="5">
        <v>6120731.52</v>
      </c>
      <c r="O2028" t="s" s="2">
        <v>305</v>
      </c>
      <c r="P2028" s="5">
        <v>91121</v>
      </c>
      <c r="Q2028" t="s" s="2">
        <v>43</v>
      </c>
      <c r="R2028" s="5">
        <f>_xlfn.IFERROR(INDEX('model_byCAP'!$D$2:$D$377,MATCH(Q2028,'model_byCAP'!$A$2:$A$377,0)),0)</f>
        <v>0</v>
      </c>
    </row>
    <row r="2029" ht="15.35" customHeight="1">
      <c r="A2029" t="s" s="2">
        <v>3981</v>
      </c>
      <c r="B2029" s="4">
        <v>36833</v>
      </c>
      <c r="C2029" s="5">
        <v>800</v>
      </c>
      <c r="D2029" s="5">
        <v>50</v>
      </c>
      <c r="E2029" s="5">
        <v>46</v>
      </c>
      <c r="F2029" t="s" s="2">
        <v>2328</v>
      </c>
      <c r="G2029" t="s" s="2">
        <v>3934</v>
      </c>
      <c r="H2029" s="5">
        <v>510</v>
      </c>
      <c r="I2029" t="s" s="2">
        <v>3049</v>
      </c>
      <c r="J2029" t="s" s="2">
        <v>22</v>
      </c>
      <c r="K2029" t="s" s="2">
        <v>3977</v>
      </c>
      <c r="L2029" s="5">
        <v>292</v>
      </c>
      <c r="M2029" s="5">
        <v>520507.97</v>
      </c>
      <c r="N2029" s="5">
        <v>6124795.28</v>
      </c>
      <c r="O2029" t="s" s="2">
        <v>305</v>
      </c>
      <c r="P2029" s="5">
        <v>91361</v>
      </c>
      <c r="Q2029" t="s" s="2">
        <v>3938</v>
      </c>
      <c r="R2029" t="s" s="2">
        <f>_xlfn.IFERROR(INDEX('model_byCAP'!$D$2:$D$377,MATCH(Q2029,'model_byCAP'!$A$2:$A$377,0)),0)</f>
        <v>3939</v>
      </c>
    </row>
    <row r="2030" ht="15.35" customHeight="1">
      <c r="A2030" t="s" s="2">
        <v>3982</v>
      </c>
      <c r="B2030" s="4">
        <v>36932</v>
      </c>
      <c r="C2030" s="5">
        <v>800</v>
      </c>
      <c r="D2030" s="5">
        <v>50</v>
      </c>
      <c r="E2030" s="5">
        <v>46</v>
      </c>
      <c r="F2030" t="s" s="2">
        <v>2328</v>
      </c>
      <c r="G2030" t="s" s="2">
        <v>3934</v>
      </c>
      <c r="H2030" s="5">
        <v>510</v>
      </c>
      <c r="I2030" t="s" s="2">
        <v>3049</v>
      </c>
      <c r="J2030" t="s" s="2">
        <v>22</v>
      </c>
      <c r="K2030" t="s" s="2">
        <v>3983</v>
      </c>
      <c r="L2030" s="5">
        <v>291</v>
      </c>
      <c r="M2030" s="5">
        <v>535298.4300000001</v>
      </c>
      <c r="N2030" s="5">
        <v>6118336.28</v>
      </c>
      <c r="O2030" t="s" s="2">
        <v>305</v>
      </c>
      <c r="P2030" s="5">
        <v>200148</v>
      </c>
      <c r="Q2030" t="s" s="2">
        <v>3938</v>
      </c>
      <c r="R2030" t="s" s="2">
        <f>_xlfn.IFERROR(INDEX('model_byCAP'!$D$2:$D$377,MATCH(Q2030,'model_byCAP'!$A$2:$A$377,0)),0)</f>
        <v>3939</v>
      </c>
    </row>
    <row r="2031" ht="15.35" customHeight="1">
      <c r="A2031" t="s" s="2">
        <v>3984</v>
      </c>
      <c r="B2031" s="4">
        <v>36932</v>
      </c>
      <c r="C2031" s="5">
        <v>800</v>
      </c>
      <c r="D2031" s="5">
        <v>50</v>
      </c>
      <c r="E2031" s="5">
        <v>46</v>
      </c>
      <c r="F2031" t="s" s="2">
        <v>2328</v>
      </c>
      <c r="G2031" t="s" s="2">
        <v>3934</v>
      </c>
      <c r="H2031" s="5">
        <v>510</v>
      </c>
      <c r="I2031" t="s" s="2">
        <v>3049</v>
      </c>
      <c r="J2031" t="s" s="2">
        <v>22</v>
      </c>
      <c r="K2031" t="s" s="2">
        <v>3985</v>
      </c>
      <c r="L2031" s="5">
        <v>4</v>
      </c>
      <c r="M2031" s="5">
        <v>535517.23</v>
      </c>
      <c r="N2031" s="5">
        <v>6118349.06</v>
      </c>
      <c r="O2031" t="s" s="2">
        <v>305</v>
      </c>
      <c r="P2031" s="5">
        <v>200149</v>
      </c>
      <c r="Q2031" t="s" s="2">
        <v>3938</v>
      </c>
      <c r="R2031" t="s" s="2">
        <f>_xlfn.IFERROR(INDEX('model_byCAP'!$D$2:$D$377,MATCH(Q2031,'model_byCAP'!$A$2:$A$377,0)),0)</f>
        <v>3939</v>
      </c>
    </row>
    <row r="2032" ht="15.35" customHeight="1">
      <c r="A2032" t="s" s="2">
        <v>3986</v>
      </c>
      <c r="B2032" s="4">
        <v>36932</v>
      </c>
      <c r="C2032" s="5">
        <v>800</v>
      </c>
      <c r="D2032" s="5">
        <v>50</v>
      </c>
      <c r="E2032" s="5">
        <v>46</v>
      </c>
      <c r="F2032" t="s" s="2">
        <v>2328</v>
      </c>
      <c r="G2032" t="s" s="2">
        <v>3934</v>
      </c>
      <c r="H2032" s="5">
        <v>510</v>
      </c>
      <c r="I2032" t="s" s="2">
        <v>3049</v>
      </c>
      <c r="J2032" t="s" s="2">
        <v>22</v>
      </c>
      <c r="K2032" t="s" s="2">
        <v>3983</v>
      </c>
      <c r="L2032" s="5">
        <v>290</v>
      </c>
      <c r="M2032" s="5">
        <v>535736.23</v>
      </c>
      <c r="N2032" s="5">
        <v>6118361.29</v>
      </c>
      <c r="O2032" t="s" s="2">
        <v>305</v>
      </c>
      <c r="P2032" s="5">
        <v>200150</v>
      </c>
      <c r="Q2032" t="s" s="2">
        <v>3938</v>
      </c>
      <c r="R2032" t="s" s="2">
        <f>_xlfn.IFERROR(INDEX('model_byCAP'!$D$2:$D$377,MATCH(Q2032,'model_byCAP'!$A$2:$A$377,0)),0)</f>
        <v>3939</v>
      </c>
    </row>
    <row r="2033" ht="15.35" customHeight="1">
      <c r="A2033" t="s" s="2">
        <v>3987</v>
      </c>
      <c r="B2033" s="4">
        <v>37610</v>
      </c>
      <c r="C2033" s="5">
        <v>800</v>
      </c>
      <c r="D2033" s="5">
        <v>50</v>
      </c>
      <c r="E2033" s="5">
        <v>46</v>
      </c>
      <c r="F2033" t="s" s="2">
        <v>2328</v>
      </c>
      <c r="G2033" t="s" s="2">
        <v>3934</v>
      </c>
      <c r="H2033" s="5">
        <v>510</v>
      </c>
      <c r="I2033" t="s" s="2">
        <v>3049</v>
      </c>
      <c r="J2033" t="s" s="2">
        <v>22</v>
      </c>
      <c r="K2033" t="s" s="2">
        <v>3988</v>
      </c>
      <c r="L2033" s="5">
        <v>452</v>
      </c>
      <c r="M2033" s="5">
        <v>540133.2</v>
      </c>
      <c r="N2033" s="5">
        <v>6121073.41</v>
      </c>
      <c r="O2033" t="s" s="2">
        <v>305</v>
      </c>
      <c r="P2033" s="5">
        <v>200156</v>
      </c>
      <c r="Q2033" t="s" s="2">
        <v>3938</v>
      </c>
      <c r="R2033" t="s" s="2">
        <f>_xlfn.IFERROR(INDEX('model_byCAP'!$D$2:$D$377,MATCH(Q2033,'model_byCAP'!$A$2:$A$377,0)),0)</f>
        <v>3939</v>
      </c>
    </row>
    <row r="2034" ht="15.35" customHeight="1">
      <c r="A2034" t="s" s="2">
        <v>3989</v>
      </c>
      <c r="B2034" s="4">
        <v>37610</v>
      </c>
      <c r="C2034" s="5">
        <v>800</v>
      </c>
      <c r="D2034" s="5">
        <v>50</v>
      </c>
      <c r="E2034" s="5">
        <v>46</v>
      </c>
      <c r="F2034" t="s" s="2">
        <v>2328</v>
      </c>
      <c r="G2034" t="s" s="2">
        <v>3934</v>
      </c>
      <c r="H2034" s="5">
        <v>510</v>
      </c>
      <c r="I2034" t="s" s="2">
        <v>3049</v>
      </c>
      <c r="J2034" t="s" s="2">
        <v>22</v>
      </c>
      <c r="K2034" t="s" s="2">
        <v>3988</v>
      </c>
      <c r="L2034" s="5">
        <v>47</v>
      </c>
      <c r="M2034" s="5">
        <v>539853.63</v>
      </c>
      <c r="N2034" s="5">
        <v>6120790.41</v>
      </c>
      <c r="O2034" t="s" s="2">
        <v>305</v>
      </c>
      <c r="P2034" s="5">
        <v>200157</v>
      </c>
      <c r="Q2034" t="s" s="2">
        <v>3938</v>
      </c>
      <c r="R2034" t="s" s="2">
        <f>_xlfn.IFERROR(INDEX('model_byCAP'!$D$2:$D$377,MATCH(Q2034,'model_byCAP'!$A$2:$A$377,0)),0)</f>
        <v>3939</v>
      </c>
    </row>
    <row r="2035" ht="15.35" customHeight="1">
      <c r="A2035" t="s" s="2">
        <v>3990</v>
      </c>
      <c r="B2035" s="4">
        <v>37610</v>
      </c>
      <c r="C2035" s="5">
        <v>800</v>
      </c>
      <c r="D2035" s="5">
        <v>50</v>
      </c>
      <c r="E2035" s="5">
        <v>46</v>
      </c>
      <c r="F2035" t="s" s="2">
        <v>2328</v>
      </c>
      <c r="G2035" t="s" s="2">
        <v>3934</v>
      </c>
      <c r="H2035" s="5">
        <v>510</v>
      </c>
      <c r="I2035" t="s" s="2">
        <v>3049</v>
      </c>
      <c r="J2035" t="s" s="2">
        <v>22</v>
      </c>
      <c r="K2035" t="s" s="2">
        <v>3988</v>
      </c>
      <c r="L2035" s="5">
        <v>47</v>
      </c>
      <c r="M2035" s="5">
        <v>539571.5</v>
      </c>
      <c r="N2035" s="5">
        <v>6120508.49</v>
      </c>
      <c r="O2035" t="s" s="2">
        <v>305</v>
      </c>
      <c r="P2035" s="5">
        <v>200158</v>
      </c>
      <c r="Q2035" t="s" s="2">
        <v>3938</v>
      </c>
      <c r="R2035" t="s" s="2">
        <f>_xlfn.IFERROR(INDEX('model_byCAP'!$D$2:$D$377,MATCH(Q2035,'model_byCAP'!$A$2:$A$377,0)),0)</f>
        <v>3939</v>
      </c>
    </row>
    <row r="2036" ht="15.35" customHeight="1">
      <c r="A2036" t="s" s="2">
        <v>3991</v>
      </c>
      <c r="B2036" s="4">
        <v>36879</v>
      </c>
      <c r="C2036" s="5">
        <v>800</v>
      </c>
      <c r="D2036" s="5">
        <v>50</v>
      </c>
      <c r="E2036" s="5">
        <v>46</v>
      </c>
      <c r="F2036" t="s" s="2">
        <v>2328</v>
      </c>
      <c r="G2036" t="s" s="2">
        <v>3934</v>
      </c>
      <c r="H2036" s="5">
        <v>575</v>
      </c>
      <c r="I2036" t="s" s="2">
        <v>2952</v>
      </c>
      <c r="J2036" t="s" s="2">
        <v>22</v>
      </c>
      <c r="K2036" t="s" s="2">
        <v>3992</v>
      </c>
      <c r="L2036" s="5">
        <v>12</v>
      </c>
      <c r="M2036" s="5">
        <v>496397.62</v>
      </c>
      <c r="N2036" s="5">
        <v>6137805.42</v>
      </c>
      <c r="O2036" t="s" s="2">
        <v>25</v>
      </c>
      <c r="P2036" s="5">
        <v>91465</v>
      </c>
      <c r="Q2036" t="s" s="2">
        <v>3938</v>
      </c>
      <c r="R2036" t="s" s="2">
        <f>_xlfn.IFERROR(INDEX('model_byCAP'!$D$2:$D$377,MATCH(Q2036,'model_byCAP'!$A$2:$A$377,0)),0)</f>
        <v>3939</v>
      </c>
    </row>
    <row r="2037" ht="15.35" customHeight="1">
      <c r="A2037" t="s" s="2">
        <v>3993</v>
      </c>
      <c r="B2037" s="4">
        <v>36739</v>
      </c>
      <c r="C2037" s="5">
        <v>800</v>
      </c>
      <c r="D2037" s="5">
        <v>50</v>
      </c>
      <c r="E2037" s="5">
        <v>46</v>
      </c>
      <c r="F2037" t="s" s="2">
        <v>2328</v>
      </c>
      <c r="G2037" t="s" s="2">
        <v>3934</v>
      </c>
      <c r="H2037" s="5">
        <v>580</v>
      </c>
      <c r="I2037" t="s" s="2">
        <v>1542</v>
      </c>
      <c r="J2037" t="s" s="2">
        <v>22</v>
      </c>
      <c r="K2037" t="s" s="2">
        <v>3994</v>
      </c>
      <c r="L2037" s="5">
        <v>141</v>
      </c>
      <c r="M2037" s="5">
        <v>516300.15</v>
      </c>
      <c r="N2037" s="5">
        <v>6107730.65</v>
      </c>
      <c r="O2037" t="s" s="2">
        <v>305</v>
      </c>
      <c r="P2037" s="5">
        <v>91326</v>
      </c>
      <c r="Q2037" t="s" s="2">
        <v>3938</v>
      </c>
      <c r="R2037" t="s" s="2">
        <f>_xlfn.IFERROR(INDEX('model_byCAP'!$D$2:$D$377,MATCH(Q2037,'model_byCAP'!$A$2:$A$377,0)),0)</f>
        <v>3939</v>
      </c>
    </row>
    <row r="2038" ht="15.35" customHeight="1">
      <c r="A2038" t="s" s="2">
        <v>3995</v>
      </c>
      <c r="B2038" s="4">
        <v>36739</v>
      </c>
      <c r="C2038" s="5">
        <v>800</v>
      </c>
      <c r="D2038" s="5">
        <v>50</v>
      </c>
      <c r="E2038" s="5">
        <v>46</v>
      </c>
      <c r="F2038" t="s" s="2">
        <v>2328</v>
      </c>
      <c r="G2038" t="s" s="2">
        <v>3934</v>
      </c>
      <c r="H2038" s="5">
        <v>580</v>
      </c>
      <c r="I2038" t="s" s="2">
        <v>1542</v>
      </c>
      <c r="J2038" t="s" s="2">
        <v>22</v>
      </c>
      <c r="K2038" t="s" s="2">
        <v>3996</v>
      </c>
      <c r="L2038" s="5">
        <v>1</v>
      </c>
      <c r="M2038" s="5">
        <v>516074</v>
      </c>
      <c r="N2038" s="5">
        <v>6108042.32</v>
      </c>
      <c r="O2038" t="s" s="2">
        <v>25</v>
      </c>
      <c r="P2038" s="5">
        <v>91327</v>
      </c>
      <c r="Q2038" t="s" s="2">
        <v>3938</v>
      </c>
      <c r="R2038" t="s" s="2">
        <f>_xlfn.IFERROR(INDEX('model_byCAP'!$D$2:$D$377,MATCH(Q2038,'model_byCAP'!$A$2:$A$377,0)),0)</f>
        <v>3939</v>
      </c>
    </row>
    <row r="2039" ht="15.35" customHeight="1">
      <c r="A2039" t="s" s="2">
        <v>3997</v>
      </c>
      <c r="B2039" s="4">
        <v>36725</v>
      </c>
      <c r="C2039" s="5">
        <v>800</v>
      </c>
      <c r="D2039" s="5">
        <v>50</v>
      </c>
      <c r="E2039" s="5">
        <v>46</v>
      </c>
      <c r="F2039" t="s" s="2">
        <v>2328</v>
      </c>
      <c r="G2039" t="s" s="2">
        <v>3934</v>
      </c>
      <c r="H2039" s="5">
        <v>580</v>
      </c>
      <c r="I2039" t="s" s="2">
        <v>1542</v>
      </c>
      <c r="J2039" t="s" s="2">
        <v>22</v>
      </c>
      <c r="K2039" t="s" s="2">
        <v>3994</v>
      </c>
      <c r="L2039" s="5">
        <v>143</v>
      </c>
      <c r="M2039" s="5">
        <v>515853.71</v>
      </c>
      <c r="N2039" s="5">
        <v>6108352.41</v>
      </c>
      <c r="O2039" t="s" s="2">
        <v>305</v>
      </c>
      <c r="P2039" s="5">
        <v>91328</v>
      </c>
      <c r="Q2039" t="s" s="2">
        <v>3938</v>
      </c>
      <c r="R2039" t="s" s="2">
        <f>_xlfn.IFERROR(INDEX('model_byCAP'!$D$2:$D$377,MATCH(Q2039,'model_byCAP'!$A$2:$A$377,0)),0)</f>
        <v>3939</v>
      </c>
    </row>
    <row r="2040" ht="15.35" customHeight="1">
      <c r="A2040" t="s" s="2">
        <v>3998</v>
      </c>
      <c r="B2040" s="4">
        <v>36703</v>
      </c>
      <c r="C2040" s="5">
        <v>800</v>
      </c>
      <c r="D2040" s="5">
        <v>50</v>
      </c>
      <c r="E2040" s="5">
        <v>50</v>
      </c>
      <c r="F2040" t="s" s="2">
        <v>2328</v>
      </c>
      <c r="G2040" t="s" s="2">
        <v>3934</v>
      </c>
      <c r="H2040" s="5">
        <v>615</v>
      </c>
      <c r="I2040" t="s" s="2">
        <v>3590</v>
      </c>
      <c r="J2040" t="s" s="2">
        <v>22</v>
      </c>
      <c r="K2040" t="s" s="2">
        <v>3999</v>
      </c>
      <c r="L2040" t="s" s="2">
        <v>1611</v>
      </c>
      <c r="M2040" s="5">
        <v>541830.3199999999</v>
      </c>
      <c r="N2040" s="5">
        <v>6205309.55</v>
      </c>
      <c r="O2040" t="s" s="2">
        <v>305</v>
      </c>
      <c r="P2040" s="5">
        <v>1030076</v>
      </c>
      <c r="Q2040" t="s" s="2">
        <v>3938</v>
      </c>
      <c r="R2040" t="s" s="2">
        <f>_xlfn.IFERROR(INDEX('model_byCAP'!$D$2:$D$377,MATCH(Q2040,'model_byCAP'!$A$2:$A$377,0)),0)</f>
        <v>3939</v>
      </c>
    </row>
    <row r="2041" ht="15.35" customHeight="1">
      <c r="A2041" t="s" s="2">
        <v>4000</v>
      </c>
      <c r="B2041" s="4">
        <v>36791</v>
      </c>
      <c r="C2041" s="5">
        <v>800</v>
      </c>
      <c r="D2041" s="5">
        <v>50</v>
      </c>
      <c r="E2041" s="5">
        <v>46</v>
      </c>
      <c r="F2041" t="s" s="2">
        <v>2328</v>
      </c>
      <c r="G2041" t="s" s="2">
        <v>3934</v>
      </c>
      <c r="H2041" s="5">
        <v>621</v>
      </c>
      <c r="I2041" t="s" s="2">
        <v>2921</v>
      </c>
      <c r="J2041" t="s" s="2">
        <v>22</v>
      </c>
      <c r="K2041" t="s" s="2">
        <v>3578</v>
      </c>
      <c r="L2041" s="5">
        <v>50</v>
      </c>
      <c r="M2041" s="5">
        <v>522754.9</v>
      </c>
      <c r="N2041" s="5">
        <v>6130045.66</v>
      </c>
      <c r="O2041" t="s" s="2">
        <v>305</v>
      </c>
      <c r="P2041" s="5">
        <v>200112</v>
      </c>
      <c r="Q2041" t="s" s="2">
        <v>3938</v>
      </c>
      <c r="R2041" t="s" s="2">
        <f>_xlfn.IFERROR(INDEX('model_byCAP'!$D$2:$D$377,MATCH(Q2041,'model_byCAP'!$A$2:$A$377,0)),0)</f>
        <v>3939</v>
      </c>
    </row>
    <row r="2042" ht="15.35" customHeight="1">
      <c r="A2042" t="s" s="2">
        <v>4001</v>
      </c>
      <c r="B2042" s="4">
        <v>36795</v>
      </c>
      <c r="C2042" s="5">
        <v>800</v>
      </c>
      <c r="D2042" s="5">
        <v>50</v>
      </c>
      <c r="E2042" s="5">
        <v>46</v>
      </c>
      <c r="F2042" t="s" s="2">
        <v>2328</v>
      </c>
      <c r="G2042" t="s" s="2">
        <v>3934</v>
      </c>
      <c r="H2042" s="5">
        <v>621</v>
      </c>
      <c r="I2042" t="s" s="2">
        <v>2921</v>
      </c>
      <c r="J2042" t="s" s="2">
        <v>22</v>
      </c>
      <c r="K2042" t="s" s="2">
        <v>3578</v>
      </c>
      <c r="L2042" s="5">
        <v>208</v>
      </c>
      <c r="M2042" s="5">
        <v>523169.14</v>
      </c>
      <c r="N2042" s="5">
        <v>6130913.13</v>
      </c>
      <c r="O2042" t="s" s="2">
        <v>305</v>
      </c>
      <c r="P2042" s="5">
        <v>200129</v>
      </c>
      <c r="Q2042" t="s" s="2">
        <v>3938</v>
      </c>
      <c r="R2042" t="s" s="2">
        <f>_xlfn.IFERROR(INDEX('model_byCAP'!$D$2:$D$377,MATCH(Q2042,'model_byCAP'!$A$2:$A$377,0)),0)</f>
        <v>3939</v>
      </c>
    </row>
    <row r="2043" ht="15.35" customHeight="1">
      <c r="A2043" t="s" s="2">
        <v>4002</v>
      </c>
      <c r="B2043" s="4">
        <v>36840</v>
      </c>
      <c r="C2043" s="5">
        <v>800</v>
      </c>
      <c r="D2043" s="5">
        <v>50</v>
      </c>
      <c r="E2043" s="5">
        <v>50</v>
      </c>
      <c r="F2043" t="s" s="2">
        <v>2328</v>
      </c>
      <c r="G2043" t="s" s="2">
        <v>3934</v>
      </c>
      <c r="H2043" s="5">
        <v>630</v>
      </c>
      <c r="I2043" t="s" s="2">
        <v>1268</v>
      </c>
      <c r="J2043" t="s" s="2">
        <v>22</v>
      </c>
      <c r="K2043" t="s" s="2">
        <v>4003</v>
      </c>
      <c r="L2043" t="s" s="2">
        <v>3422</v>
      </c>
      <c r="M2043" s="5">
        <v>518117</v>
      </c>
      <c r="N2043" s="5">
        <v>6193727.47</v>
      </c>
      <c r="O2043" t="s" s="2">
        <v>305</v>
      </c>
      <c r="P2043" s="8">
        <v>16086</v>
      </c>
      <c r="Q2043" t="s" s="2">
        <v>3938</v>
      </c>
      <c r="R2043" t="s" s="2">
        <f>_xlfn.IFERROR(INDEX('model_byCAP'!$D$2:$D$377,MATCH(Q2043,'model_byCAP'!$A$2:$A$377,0)),0)</f>
        <v>3939</v>
      </c>
    </row>
    <row r="2044" ht="15.35" customHeight="1">
      <c r="A2044" t="s" s="2">
        <v>4004</v>
      </c>
      <c r="B2044" s="4">
        <v>36840</v>
      </c>
      <c r="C2044" s="5">
        <v>800</v>
      </c>
      <c r="D2044" s="5">
        <v>50</v>
      </c>
      <c r="E2044" s="5">
        <v>50</v>
      </c>
      <c r="F2044" t="s" s="2">
        <v>2328</v>
      </c>
      <c r="G2044" t="s" s="2">
        <v>3934</v>
      </c>
      <c r="H2044" s="5">
        <v>630</v>
      </c>
      <c r="I2044" t="s" s="2">
        <v>1268</v>
      </c>
      <c r="J2044" t="s" s="2">
        <v>22</v>
      </c>
      <c r="K2044" t="s" s="2">
        <v>4003</v>
      </c>
      <c r="L2044" t="s" s="2">
        <v>481</v>
      </c>
      <c r="M2044" s="5">
        <v>518008.46</v>
      </c>
      <c r="N2044" s="5">
        <v>6193500.65</v>
      </c>
      <c r="O2044" t="s" s="2">
        <v>305</v>
      </c>
      <c r="P2044" s="5">
        <v>16086</v>
      </c>
      <c r="Q2044" t="s" s="2">
        <v>3938</v>
      </c>
      <c r="R2044" t="s" s="2">
        <f>_xlfn.IFERROR(INDEX('model_byCAP'!$D$2:$D$377,MATCH(Q2044,'model_byCAP'!$A$2:$A$377,0)),0)</f>
        <v>3939</v>
      </c>
    </row>
    <row r="2045" ht="15.35" customHeight="1">
      <c r="A2045" t="s" s="2">
        <v>4005</v>
      </c>
      <c r="B2045" s="4">
        <v>36840</v>
      </c>
      <c r="C2045" s="5">
        <v>800</v>
      </c>
      <c r="D2045" s="5">
        <v>50</v>
      </c>
      <c r="E2045" s="5">
        <v>50</v>
      </c>
      <c r="F2045" t="s" s="2">
        <v>2328</v>
      </c>
      <c r="G2045" t="s" s="2">
        <v>3934</v>
      </c>
      <c r="H2045" s="5">
        <v>630</v>
      </c>
      <c r="I2045" t="s" s="2">
        <v>1268</v>
      </c>
      <c r="J2045" t="s" s="2">
        <v>22</v>
      </c>
      <c r="K2045" t="s" s="2">
        <v>4006</v>
      </c>
      <c r="L2045" t="s" s="2">
        <v>2386</v>
      </c>
      <c r="M2045" s="5">
        <v>517897.69</v>
      </c>
      <c r="N2045" s="5">
        <v>6193278.09</v>
      </c>
      <c r="O2045" t="s" s="2">
        <v>305</v>
      </c>
      <c r="P2045" s="5">
        <v>16086</v>
      </c>
      <c r="Q2045" t="s" s="2">
        <v>3938</v>
      </c>
      <c r="R2045" t="s" s="2">
        <f>_xlfn.IFERROR(INDEX('model_byCAP'!$D$2:$D$377,MATCH(Q2045,'model_byCAP'!$A$2:$A$377,0)),0)</f>
        <v>3939</v>
      </c>
    </row>
    <row r="2046" ht="15.35" customHeight="1">
      <c r="A2046" t="s" s="2">
        <v>4007</v>
      </c>
      <c r="B2046" s="4">
        <v>36519</v>
      </c>
      <c r="C2046" s="5">
        <v>800</v>
      </c>
      <c r="D2046" s="5">
        <v>50</v>
      </c>
      <c r="E2046" s="5">
        <v>45</v>
      </c>
      <c r="F2046" t="s" s="2">
        <v>2328</v>
      </c>
      <c r="G2046" t="s" s="2">
        <v>3934</v>
      </c>
      <c r="H2046" s="5">
        <v>630</v>
      </c>
      <c r="I2046" t="s" s="2">
        <v>1268</v>
      </c>
      <c r="J2046" t="s" s="2">
        <v>22</v>
      </c>
      <c r="K2046" t="s" s="2">
        <v>4008</v>
      </c>
      <c r="L2046" t="s" s="2">
        <v>1603</v>
      </c>
      <c r="M2046" s="5">
        <v>530149.24</v>
      </c>
      <c r="N2046" s="5">
        <v>6183634.17</v>
      </c>
      <c r="O2046" t="s" s="2">
        <v>305</v>
      </c>
      <c r="P2046" s="5">
        <v>1030064</v>
      </c>
      <c r="Q2046" t="s" s="2">
        <v>3938</v>
      </c>
      <c r="R2046" t="s" s="2">
        <f>_xlfn.IFERROR(INDEX('model_byCAP'!$D$2:$D$377,MATCH(Q2046,'model_byCAP'!$A$2:$A$377,0)),0)</f>
        <v>3939</v>
      </c>
    </row>
    <row r="2047" ht="15.35" customHeight="1">
      <c r="A2047" t="s" s="2">
        <v>4009</v>
      </c>
      <c r="B2047" s="4">
        <v>36519</v>
      </c>
      <c r="C2047" s="5">
        <v>800</v>
      </c>
      <c r="D2047" s="5">
        <v>50</v>
      </c>
      <c r="E2047" s="5">
        <v>45</v>
      </c>
      <c r="F2047" t="s" s="2">
        <v>2328</v>
      </c>
      <c r="G2047" t="s" s="2">
        <v>3934</v>
      </c>
      <c r="H2047" s="5">
        <v>630</v>
      </c>
      <c r="I2047" t="s" s="2">
        <v>1268</v>
      </c>
      <c r="J2047" t="s" s="2">
        <v>22</v>
      </c>
      <c r="K2047" t="s" s="2">
        <v>4008</v>
      </c>
      <c r="L2047" t="s" s="2">
        <v>1603</v>
      </c>
      <c r="M2047" s="5">
        <v>530144.13</v>
      </c>
      <c r="N2047" s="5">
        <v>6183875.2</v>
      </c>
      <c r="O2047" t="s" s="2">
        <v>305</v>
      </c>
      <c r="P2047" s="5">
        <v>1030065</v>
      </c>
      <c r="Q2047" t="s" s="2">
        <v>3938</v>
      </c>
      <c r="R2047" t="s" s="2">
        <f>_xlfn.IFERROR(INDEX('model_byCAP'!$D$2:$D$377,MATCH(Q2047,'model_byCAP'!$A$2:$A$377,0)),0)</f>
        <v>3939</v>
      </c>
    </row>
    <row r="2048" ht="15.35" customHeight="1">
      <c r="A2048" t="s" s="2">
        <v>4010</v>
      </c>
      <c r="B2048" s="4">
        <v>36685</v>
      </c>
      <c r="C2048" s="5">
        <v>800</v>
      </c>
      <c r="D2048" s="5">
        <v>50</v>
      </c>
      <c r="E2048" s="5">
        <v>46</v>
      </c>
      <c r="F2048" t="s" s="2">
        <v>2328</v>
      </c>
      <c r="G2048" t="s" s="2">
        <v>3934</v>
      </c>
      <c r="H2048" s="5">
        <v>630</v>
      </c>
      <c r="I2048" t="s" s="2">
        <v>1268</v>
      </c>
      <c r="J2048" t="s" s="2">
        <v>22</v>
      </c>
      <c r="K2048" t="s" s="2">
        <v>4011</v>
      </c>
      <c r="L2048" s="5">
        <v>18</v>
      </c>
      <c r="M2048" s="5">
        <v>530731.23</v>
      </c>
      <c r="N2048" s="5">
        <v>6186080.78</v>
      </c>
      <c r="O2048" t="s" s="2">
        <v>305</v>
      </c>
      <c r="P2048" s="5">
        <v>1030066</v>
      </c>
      <c r="Q2048" t="s" s="2">
        <v>3938</v>
      </c>
      <c r="R2048" t="s" s="2">
        <f>_xlfn.IFERROR(INDEX('model_byCAP'!$D$2:$D$377,MATCH(Q2048,'model_byCAP'!$A$2:$A$377,0)),0)</f>
        <v>3939</v>
      </c>
    </row>
    <row r="2049" ht="15.35" customHeight="1">
      <c r="A2049" t="s" s="2">
        <v>4012</v>
      </c>
      <c r="B2049" s="4">
        <v>36684</v>
      </c>
      <c r="C2049" s="5">
        <v>800</v>
      </c>
      <c r="D2049" s="5">
        <v>50</v>
      </c>
      <c r="E2049" s="5">
        <v>45</v>
      </c>
      <c r="F2049" t="s" s="2">
        <v>2328</v>
      </c>
      <c r="G2049" t="s" s="2">
        <v>3934</v>
      </c>
      <c r="H2049" s="5">
        <v>630</v>
      </c>
      <c r="I2049" t="s" s="2">
        <v>1268</v>
      </c>
      <c r="J2049" t="s" s="2">
        <v>22</v>
      </c>
      <c r="K2049" t="s" s="2">
        <v>4013</v>
      </c>
      <c r="L2049" t="s" s="2">
        <v>2872</v>
      </c>
      <c r="M2049" s="5">
        <v>530441.46</v>
      </c>
      <c r="N2049" s="5">
        <v>6186012.76</v>
      </c>
      <c r="O2049" t="s" s="2">
        <v>305</v>
      </c>
      <c r="P2049" s="5">
        <v>1030067</v>
      </c>
      <c r="Q2049" t="s" s="2">
        <v>3938</v>
      </c>
      <c r="R2049" t="s" s="2">
        <f>_xlfn.IFERROR(INDEX('model_byCAP'!$D$2:$D$377,MATCH(Q2049,'model_byCAP'!$A$2:$A$377,0)),0)</f>
        <v>3939</v>
      </c>
    </row>
    <row r="2050" ht="15.35" customHeight="1">
      <c r="A2050" t="s" s="2">
        <v>4014</v>
      </c>
      <c r="B2050" s="4">
        <v>36635</v>
      </c>
      <c r="C2050" s="5">
        <v>800</v>
      </c>
      <c r="D2050" s="5">
        <v>48</v>
      </c>
      <c r="E2050" s="5">
        <v>46</v>
      </c>
      <c r="F2050" t="s" s="2">
        <v>2328</v>
      </c>
      <c r="G2050" t="s" s="2">
        <v>4015</v>
      </c>
      <c r="H2050" s="5">
        <v>630</v>
      </c>
      <c r="I2050" t="s" s="2">
        <v>1268</v>
      </c>
      <c r="J2050" t="s" s="2">
        <v>22</v>
      </c>
      <c r="K2050" t="s" s="2">
        <v>4008</v>
      </c>
      <c r="L2050" t="s" s="2">
        <v>2744</v>
      </c>
      <c r="M2050" s="5">
        <v>530140.48</v>
      </c>
      <c r="N2050" s="5">
        <v>6184114.27</v>
      </c>
      <c r="O2050" t="s" s="2">
        <v>305</v>
      </c>
      <c r="P2050" s="5">
        <v>1030068</v>
      </c>
      <c r="Q2050" t="s" s="2">
        <v>4016</v>
      </c>
      <c r="R2050" t="s" s="2">
        <f>_xlfn.IFERROR(INDEX('model_byCAP'!$D$2:$D$377,MATCH(Q2050,'model_byCAP'!$A$2:$A$377,0)),0)</f>
        <v>3939</v>
      </c>
    </row>
    <row r="2051" ht="15.35" customHeight="1">
      <c r="A2051" t="s" s="2">
        <v>4017</v>
      </c>
      <c r="B2051" s="4">
        <v>36635</v>
      </c>
      <c r="C2051" s="5">
        <v>800</v>
      </c>
      <c r="D2051" s="5">
        <v>46.6</v>
      </c>
      <c r="E2051" s="5">
        <v>46</v>
      </c>
      <c r="F2051" t="s" s="2">
        <v>2328</v>
      </c>
      <c r="G2051" t="s" s="2">
        <v>3934</v>
      </c>
      <c r="H2051" s="5">
        <v>630</v>
      </c>
      <c r="I2051" t="s" s="2">
        <v>1268</v>
      </c>
      <c r="J2051" t="s" s="2">
        <v>22</v>
      </c>
      <c r="K2051" t="s" s="2">
        <v>4013</v>
      </c>
      <c r="L2051" t="s" s="2">
        <v>1611</v>
      </c>
      <c r="M2051" s="5">
        <v>529859.6</v>
      </c>
      <c r="N2051" s="5">
        <v>6185880.26</v>
      </c>
      <c r="O2051" t="s" s="2">
        <v>305</v>
      </c>
      <c r="P2051" s="5">
        <v>1030069</v>
      </c>
      <c r="Q2051" t="s" s="2">
        <v>3938</v>
      </c>
      <c r="R2051" t="s" s="2">
        <f>_xlfn.IFERROR(INDEX('model_byCAP'!$D$2:$D$377,MATCH(Q2051,'model_byCAP'!$A$2:$A$377,0)),0)</f>
        <v>3939</v>
      </c>
    </row>
    <row r="2052" ht="15.35" customHeight="1">
      <c r="A2052" t="s" s="2">
        <v>4018</v>
      </c>
      <c r="B2052" s="4">
        <v>36679</v>
      </c>
      <c r="C2052" s="5">
        <v>800</v>
      </c>
      <c r="D2052" s="5">
        <v>50</v>
      </c>
      <c r="E2052" s="5">
        <v>45</v>
      </c>
      <c r="F2052" t="s" s="2">
        <v>2328</v>
      </c>
      <c r="G2052" t="s" s="2">
        <v>3934</v>
      </c>
      <c r="H2052" s="5">
        <v>630</v>
      </c>
      <c r="I2052" t="s" s="2">
        <v>1268</v>
      </c>
      <c r="J2052" t="s" s="2">
        <v>22</v>
      </c>
      <c r="K2052" t="s" s="2">
        <v>4013</v>
      </c>
      <c r="L2052" t="s" s="2">
        <v>2872</v>
      </c>
      <c r="M2052" s="5">
        <v>530151.39</v>
      </c>
      <c r="N2052" s="5">
        <v>6185947.37</v>
      </c>
      <c r="O2052" t="s" s="2">
        <v>305</v>
      </c>
      <c r="P2052" s="5">
        <v>1030070</v>
      </c>
      <c r="Q2052" t="s" s="2">
        <v>3938</v>
      </c>
      <c r="R2052" t="s" s="2">
        <f>_xlfn.IFERROR(INDEX('model_byCAP'!$D$2:$D$377,MATCH(Q2052,'model_byCAP'!$A$2:$A$377,0)),0)</f>
        <v>3939</v>
      </c>
    </row>
    <row r="2053" ht="15.35" customHeight="1">
      <c r="A2053" t="s" s="2">
        <v>4019</v>
      </c>
      <c r="B2053" s="4">
        <v>36617</v>
      </c>
      <c r="C2053" s="5">
        <v>800</v>
      </c>
      <c r="D2053" s="5">
        <v>50</v>
      </c>
      <c r="E2053" s="5">
        <v>46</v>
      </c>
      <c r="F2053" t="s" s="2">
        <v>2328</v>
      </c>
      <c r="G2053" t="s" s="2">
        <v>3934</v>
      </c>
      <c r="H2053" s="5">
        <v>630</v>
      </c>
      <c r="I2053" t="s" s="2">
        <v>1268</v>
      </c>
      <c r="J2053" t="s" s="2">
        <v>22</v>
      </c>
      <c r="K2053" t="s" s="2">
        <v>4020</v>
      </c>
      <c r="L2053" t="s" s="2">
        <v>2872</v>
      </c>
      <c r="M2053" s="5">
        <v>522155.97</v>
      </c>
      <c r="N2053" s="5">
        <v>6174031.62</v>
      </c>
      <c r="O2053" t="s" s="2">
        <v>25</v>
      </c>
      <c r="P2053" t="s" s="2">
        <v>4021</v>
      </c>
      <c r="Q2053" t="s" s="2">
        <v>3938</v>
      </c>
      <c r="R2053" t="s" s="2">
        <f>_xlfn.IFERROR(INDEX('model_byCAP'!$D$2:$D$377,MATCH(Q2053,'model_byCAP'!$A$2:$A$377,0)),0)</f>
        <v>3939</v>
      </c>
    </row>
    <row r="2054" ht="15.35" customHeight="1">
      <c r="A2054" t="s" s="2">
        <v>4022</v>
      </c>
      <c r="B2054" s="4">
        <v>36617</v>
      </c>
      <c r="C2054" s="5">
        <v>800</v>
      </c>
      <c r="D2054" s="5">
        <v>50</v>
      </c>
      <c r="E2054" s="5">
        <v>46</v>
      </c>
      <c r="F2054" t="s" s="2">
        <v>2328</v>
      </c>
      <c r="G2054" t="s" s="2">
        <v>3934</v>
      </c>
      <c r="H2054" s="5">
        <v>630</v>
      </c>
      <c r="I2054" t="s" s="2">
        <v>1268</v>
      </c>
      <c r="J2054" t="s" s="2">
        <v>22</v>
      </c>
      <c r="K2054" t="s" s="2">
        <v>4020</v>
      </c>
      <c r="L2054" t="s" s="2">
        <v>401</v>
      </c>
      <c r="M2054" s="5">
        <v>522060.98</v>
      </c>
      <c r="N2054" s="5">
        <v>6174250.95</v>
      </c>
      <c r="O2054" t="s" s="2">
        <v>305</v>
      </c>
      <c r="P2054" t="s" s="2">
        <v>4023</v>
      </c>
      <c r="Q2054" t="s" s="2">
        <v>3938</v>
      </c>
      <c r="R2054" t="s" s="2">
        <f>_xlfn.IFERROR(INDEX('model_byCAP'!$D$2:$D$377,MATCH(Q2054,'model_byCAP'!$A$2:$A$377,0)),0)</f>
        <v>3939</v>
      </c>
    </row>
    <row r="2055" ht="15.35" customHeight="1">
      <c r="A2055" t="s" s="2">
        <v>4024</v>
      </c>
      <c r="B2055" s="4">
        <v>36813</v>
      </c>
      <c r="C2055" s="5">
        <v>800</v>
      </c>
      <c r="D2055" s="5">
        <v>50</v>
      </c>
      <c r="E2055" s="5">
        <v>46</v>
      </c>
      <c r="F2055" t="s" s="2">
        <v>2328</v>
      </c>
      <c r="G2055" t="s" s="2">
        <v>3934</v>
      </c>
      <c r="H2055" s="5">
        <v>630</v>
      </c>
      <c r="I2055" t="s" s="2">
        <v>1268</v>
      </c>
      <c r="J2055" t="s" s="2">
        <v>22</v>
      </c>
      <c r="K2055" t="s" s="2">
        <v>4020</v>
      </c>
      <c r="L2055" s="5">
        <v>22</v>
      </c>
      <c r="M2055" s="5">
        <v>521961.63</v>
      </c>
      <c r="N2055" s="5">
        <v>6174477.23</v>
      </c>
      <c r="O2055" t="s" s="2">
        <v>305</v>
      </c>
      <c r="P2055" t="s" s="2">
        <v>4025</v>
      </c>
      <c r="Q2055" t="s" s="2">
        <v>3938</v>
      </c>
      <c r="R2055" t="s" s="2">
        <f>_xlfn.IFERROR(INDEX('model_byCAP'!$D$2:$D$377,MATCH(Q2055,'model_byCAP'!$A$2:$A$377,0)),0)</f>
        <v>3939</v>
      </c>
    </row>
    <row r="2056" ht="15.35" customHeight="1">
      <c r="A2056" t="s" s="2">
        <v>4026</v>
      </c>
      <c r="B2056" s="4">
        <v>36908</v>
      </c>
      <c r="C2056" s="5">
        <v>800</v>
      </c>
      <c r="D2056" s="5">
        <v>50</v>
      </c>
      <c r="E2056" s="5">
        <v>46</v>
      </c>
      <c r="F2056" t="s" s="2">
        <v>2328</v>
      </c>
      <c r="G2056" t="s" s="2">
        <v>3934</v>
      </c>
      <c r="H2056" s="5">
        <v>630</v>
      </c>
      <c r="I2056" t="s" s="2">
        <v>1268</v>
      </c>
      <c r="J2056" t="s" s="2">
        <v>22</v>
      </c>
      <c r="K2056" t="s" s="2">
        <v>4027</v>
      </c>
      <c r="L2056" t="s" s="2">
        <v>1260</v>
      </c>
      <c r="M2056" s="5">
        <v>522079.43</v>
      </c>
      <c r="N2056" s="5">
        <v>6172798.84</v>
      </c>
      <c r="O2056" t="s" s="2">
        <v>305</v>
      </c>
      <c r="P2056" t="s" s="2">
        <v>4028</v>
      </c>
      <c r="Q2056" t="s" s="2">
        <v>3938</v>
      </c>
      <c r="R2056" t="s" s="2">
        <f>_xlfn.IFERROR(INDEX('model_byCAP'!$D$2:$D$377,MATCH(Q2056,'model_byCAP'!$A$2:$A$377,0)),0)</f>
        <v>3939</v>
      </c>
    </row>
    <row r="2057" ht="15.35" customHeight="1">
      <c r="A2057" t="s" s="2">
        <v>4029</v>
      </c>
      <c r="B2057" s="4">
        <v>37181</v>
      </c>
      <c r="C2057" s="5">
        <v>800</v>
      </c>
      <c r="D2057" s="5">
        <v>50</v>
      </c>
      <c r="E2057" s="5">
        <v>46</v>
      </c>
      <c r="F2057" t="s" s="2">
        <v>2328</v>
      </c>
      <c r="G2057" t="s" s="2">
        <v>3934</v>
      </c>
      <c r="H2057" s="5">
        <v>630</v>
      </c>
      <c r="I2057" t="s" s="2">
        <v>1268</v>
      </c>
      <c r="J2057" t="s" s="2">
        <v>22</v>
      </c>
      <c r="K2057" t="s" s="2">
        <v>4030</v>
      </c>
      <c r="L2057" t="s" s="2">
        <v>518</v>
      </c>
      <c r="M2057" s="5">
        <v>522091.4</v>
      </c>
      <c r="N2057" s="5">
        <v>6172469.23</v>
      </c>
      <c r="O2057" t="s" s="2">
        <v>305</v>
      </c>
      <c r="P2057" t="s" s="2">
        <v>4031</v>
      </c>
      <c r="Q2057" t="s" s="2">
        <v>3938</v>
      </c>
      <c r="R2057" t="s" s="2">
        <f>_xlfn.IFERROR(INDEX('model_byCAP'!$D$2:$D$377,MATCH(Q2057,'model_byCAP'!$A$2:$A$377,0)),0)</f>
        <v>3939</v>
      </c>
    </row>
    <row r="2058" ht="15.35" customHeight="1">
      <c r="A2058" t="s" s="2">
        <v>4032</v>
      </c>
      <c r="B2058" s="4">
        <v>37181</v>
      </c>
      <c r="C2058" s="5">
        <v>800</v>
      </c>
      <c r="D2058" s="5">
        <v>50</v>
      </c>
      <c r="E2058" s="5">
        <v>46</v>
      </c>
      <c r="F2058" t="s" s="2">
        <v>2328</v>
      </c>
      <c r="G2058" t="s" s="2">
        <v>3934</v>
      </c>
      <c r="H2058" s="5">
        <v>630</v>
      </c>
      <c r="I2058" t="s" s="2">
        <v>1268</v>
      </c>
      <c r="J2058" t="s" s="2">
        <v>22</v>
      </c>
      <c r="K2058" t="s" s="2">
        <v>4030</v>
      </c>
      <c r="L2058" t="s" s="2">
        <v>518</v>
      </c>
      <c r="M2058" s="5">
        <v>522085.56</v>
      </c>
      <c r="N2058" s="5">
        <v>6172634.08</v>
      </c>
      <c r="O2058" t="s" s="2">
        <v>305</v>
      </c>
      <c r="P2058" t="s" s="2">
        <v>4033</v>
      </c>
      <c r="Q2058" t="s" s="2">
        <v>3938</v>
      </c>
      <c r="R2058" t="s" s="2">
        <f>_xlfn.IFERROR(INDEX('model_byCAP'!$D$2:$D$377,MATCH(Q2058,'model_byCAP'!$A$2:$A$377,0)),0)</f>
        <v>3939</v>
      </c>
    </row>
    <row r="2059" ht="15.35" customHeight="1">
      <c r="A2059" t="s" s="2">
        <v>4034</v>
      </c>
      <c r="B2059" s="4">
        <v>36843</v>
      </c>
      <c r="C2059" s="5">
        <v>800</v>
      </c>
      <c r="D2059" s="5">
        <v>50</v>
      </c>
      <c r="E2059" s="5">
        <v>50</v>
      </c>
      <c r="F2059" t="s" s="2">
        <v>2328</v>
      </c>
      <c r="G2059" t="s" s="2">
        <v>3934</v>
      </c>
      <c r="H2059" s="5">
        <v>791</v>
      </c>
      <c r="I2059" t="s" s="2">
        <v>1447</v>
      </c>
      <c r="J2059" t="s" s="2">
        <v>22</v>
      </c>
      <c r="K2059" t="s" s="2">
        <v>4035</v>
      </c>
      <c r="L2059" t="s" s="2">
        <v>1258</v>
      </c>
      <c r="M2059" s="5">
        <v>543084.38</v>
      </c>
      <c r="N2059" s="5">
        <v>6243514.92</v>
      </c>
      <c r="O2059" t="s" s="2">
        <v>305</v>
      </c>
      <c r="P2059" s="5">
        <v>3123140</v>
      </c>
      <c r="Q2059" t="s" s="2">
        <v>3938</v>
      </c>
      <c r="R2059" t="s" s="2">
        <f>_xlfn.IFERROR(INDEX('model_byCAP'!$D$2:$D$377,MATCH(Q2059,'model_byCAP'!$A$2:$A$377,0)),0)</f>
        <v>3939</v>
      </c>
    </row>
    <row r="2060" ht="15.35" customHeight="1">
      <c r="A2060" t="s" s="2">
        <v>4036</v>
      </c>
      <c r="B2060" s="4">
        <v>36880</v>
      </c>
      <c r="C2060" s="5">
        <v>800</v>
      </c>
      <c r="D2060" s="5">
        <v>50</v>
      </c>
      <c r="E2060" s="5">
        <v>50</v>
      </c>
      <c r="F2060" t="s" s="2">
        <v>2328</v>
      </c>
      <c r="G2060" t="s" s="2">
        <v>3934</v>
      </c>
      <c r="H2060" s="5">
        <v>791</v>
      </c>
      <c r="I2060" t="s" s="2">
        <v>1447</v>
      </c>
      <c r="J2060" t="s" s="2">
        <v>22</v>
      </c>
      <c r="K2060" t="s" s="2">
        <v>4035</v>
      </c>
      <c r="L2060" t="s" s="2">
        <v>2348</v>
      </c>
      <c r="M2060" s="5">
        <v>542886.65</v>
      </c>
      <c r="N2060" s="5">
        <v>6243579.09</v>
      </c>
      <c r="O2060" t="s" s="2">
        <v>305</v>
      </c>
      <c r="P2060" s="5">
        <v>3123141</v>
      </c>
      <c r="Q2060" t="s" s="2">
        <v>3938</v>
      </c>
      <c r="R2060" t="s" s="2">
        <f>_xlfn.IFERROR(INDEX('model_byCAP'!$D$2:$D$377,MATCH(Q2060,'model_byCAP'!$A$2:$A$377,0)),0)</f>
        <v>3939</v>
      </c>
    </row>
    <row r="2061" ht="15.35" customHeight="1">
      <c r="A2061" t="s" s="2">
        <v>4037</v>
      </c>
      <c r="B2061" s="4">
        <v>36131</v>
      </c>
      <c r="C2061" s="5">
        <v>755</v>
      </c>
      <c r="D2061" s="5">
        <v>48</v>
      </c>
      <c r="E2061" s="5">
        <v>45</v>
      </c>
      <c r="F2061" t="s" s="2">
        <v>4038</v>
      </c>
      <c r="G2061" t="s" s="2">
        <v>4039</v>
      </c>
      <c r="H2061" s="5">
        <v>561</v>
      </c>
      <c r="I2061" t="s" s="2">
        <v>196</v>
      </c>
      <c r="J2061" t="s" s="2">
        <v>22</v>
      </c>
      <c r="K2061" t="s" s="2">
        <v>4040</v>
      </c>
      <c r="L2061" t="s" s="2">
        <v>394</v>
      </c>
      <c r="M2061" s="5">
        <v>471193.05</v>
      </c>
      <c r="N2061" s="5">
        <v>6147813.07</v>
      </c>
      <c r="O2061" t="s" s="2">
        <v>305</v>
      </c>
      <c r="P2061" s="5">
        <v>61756</v>
      </c>
      <c r="Q2061" t="s" s="2">
        <v>4041</v>
      </c>
      <c r="R2061" t="s" s="2">
        <f>_xlfn.IFERROR(INDEX('model_byCAP'!$D$2:$D$377,MATCH(Q2061,'model_byCAP'!$A$2:$A$377,0)),0)</f>
        <v>4042</v>
      </c>
    </row>
    <row r="2062" ht="15.35" customHeight="1">
      <c r="A2062" t="s" s="2">
        <v>4043</v>
      </c>
      <c r="B2062" s="4">
        <v>36812</v>
      </c>
      <c r="C2062" s="5">
        <v>750</v>
      </c>
      <c r="D2062" s="5">
        <v>48</v>
      </c>
      <c r="E2062" s="5">
        <v>45</v>
      </c>
      <c r="F2062" t="s" s="2">
        <v>1746</v>
      </c>
      <c r="G2062" t="s" s="2">
        <v>4044</v>
      </c>
      <c r="H2062" s="5">
        <v>320</v>
      </c>
      <c r="I2062" t="s" s="2">
        <v>1006</v>
      </c>
      <c r="J2062" t="s" s="2">
        <v>22</v>
      </c>
      <c r="K2062" t="s" s="2">
        <v>4045</v>
      </c>
      <c r="L2062" t="s" s="2">
        <v>2872</v>
      </c>
      <c r="M2062" s="5">
        <v>692338.33</v>
      </c>
      <c r="N2062" s="5">
        <v>6130645.9</v>
      </c>
      <c r="O2062" t="s" s="2">
        <v>305</v>
      </c>
      <c r="P2062" s="5">
        <v>195456</v>
      </c>
      <c r="Q2062" t="s" s="2">
        <v>4046</v>
      </c>
      <c r="R2062" t="s" s="2">
        <f>_xlfn.IFERROR(INDEX('model_byCAP'!$D$2:$D$377,MATCH(Q2062,'model_byCAP'!$A$2:$A$377,0)),0)</f>
        <v>4047</v>
      </c>
    </row>
    <row r="2063" ht="15.35" customHeight="1">
      <c r="A2063" t="s" s="2">
        <v>4048</v>
      </c>
      <c r="B2063" s="4">
        <v>36812</v>
      </c>
      <c r="C2063" s="5">
        <v>750</v>
      </c>
      <c r="D2063" s="5">
        <v>48</v>
      </c>
      <c r="E2063" s="5">
        <v>45</v>
      </c>
      <c r="F2063" t="s" s="2">
        <v>1746</v>
      </c>
      <c r="G2063" t="s" s="2">
        <v>4044</v>
      </c>
      <c r="H2063" s="5">
        <v>320</v>
      </c>
      <c r="I2063" t="s" s="2">
        <v>1006</v>
      </c>
      <c r="J2063" t="s" s="2">
        <v>22</v>
      </c>
      <c r="K2063" t="s" s="2">
        <v>4045</v>
      </c>
      <c r="L2063" t="s" s="2">
        <v>2872</v>
      </c>
      <c r="M2063" s="5">
        <v>692170.36</v>
      </c>
      <c r="N2063" s="5">
        <v>6130736.84</v>
      </c>
      <c r="O2063" t="s" s="2">
        <v>305</v>
      </c>
      <c r="P2063" s="5">
        <v>195455</v>
      </c>
      <c r="Q2063" t="s" s="2">
        <v>4046</v>
      </c>
      <c r="R2063" t="s" s="2">
        <f>_xlfn.IFERROR(INDEX('model_byCAP'!$D$2:$D$377,MATCH(Q2063,'model_byCAP'!$A$2:$A$377,0)),0)</f>
        <v>4047</v>
      </c>
    </row>
    <row r="2064" ht="15.35" customHeight="1">
      <c r="A2064" t="s" s="2">
        <v>4049</v>
      </c>
      <c r="B2064" s="4">
        <v>36411</v>
      </c>
      <c r="C2064" s="5">
        <v>750</v>
      </c>
      <c r="D2064" s="5">
        <v>44</v>
      </c>
      <c r="E2064" s="5">
        <v>40</v>
      </c>
      <c r="F2064" t="s" s="2">
        <v>1746</v>
      </c>
      <c r="G2064" t="s" s="2">
        <v>4050</v>
      </c>
      <c r="H2064" s="5">
        <v>326</v>
      </c>
      <c r="I2064" t="s" s="2">
        <v>1263</v>
      </c>
      <c r="J2064" t="s" s="2">
        <v>22</v>
      </c>
      <c r="K2064" t="s" s="2">
        <v>4051</v>
      </c>
      <c r="L2064" t="s" s="2">
        <v>3706</v>
      </c>
      <c r="M2064" s="5">
        <v>648216.29</v>
      </c>
      <c r="N2064" s="5">
        <v>6148766.75</v>
      </c>
      <c r="O2064" t="s" s="2">
        <v>305</v>
      </c>
      <c r="P2064" t="s" s="2">
        <v>4052</v>
      </c>
      <c r="Q2064" t="s" s="2">
        <v>4053</v>
      </c>
      <c r="R2064" t="s" s="2">
        <f>_xlfn.IFERROR(INDEX('model_byCAP'!$D$2:$D$377,MATCH(Q2064,'model_byCAP'!$A$2:$A$377,0)),0)</f>
        <v>2955</v>
      </c>
    </row>
    <row r="2065" ht="15.35" customHeight="1">
      <c r="A2065" t="s" s="2">
        <v>4054</v>
      </c>
      <c r="B2065" s="4">
        <v>36411</v>
      </c>
      <c r="C2065" s="5">
        <v>750</v>
      </c>
      <c r="D2065" s="5">
        <v>44</v>
      </c>
      <c r="E2065" s="5">
        <v>40</v>
      </c>
      <c r="F2065" t="s" s="2">
        <v>1746</v>
      </c>
      <c r="G2065" t="s" s="2">
        <v>4050</v>
      </c>
      <c r="H2065" s="5">
        <v>326</v>
      </c>
      <c r="I2065" t="s" s="2">
        <v>1263</v>
      </c>
      <c r="J2065" t="s" s="2">
        <v>22</v>
      </c>
      <c r="K2065" t="s" s="2">
        <v>4051</v>
      </c>
      <c r="L2065" t="s" s="2">
        <v>4055</v>
      </c>
      <c r="M2065" s="5">
        <v>648358.34</v>
      </c>
      <c r="N2065" s="5">
        <v>6148814.55</v>
      </c>
      <c r="O2065" t="s" s="2">
        <v>305</v>
      </c>
      <c r="P2065" t="s" s="2">
        <v>4056</v>
      </c>
      <c r="Q2065" t="s" s="2">
        <v>4053</v>
      </c>
      <c r="R2065" t="s" s="2">
        <f>_xlfn.IFERROR(INDEX('model_byCAP'!$D$2:$D$377,MATCH(Q2065,'model_byCAP'!$A$2:$A$377,0)),0)</f>
        <v>2955</v>
      </c>
    </row>
    <row r="2066" ht="15.35" customHeight="1">
      <c r="A2066" t="s" s="2">
        <v>4057</v>
      </c>
      <c r="B2066" s="4">
        <v>36411</v>
      </c>
      <c r="C2066" s="5">
        <v>750</v>
      </c>
      <c r="D2066" s="5">
        <v>44</v>
      </c>
      <c r="E2066" s="5">
        <v>40</v>
      </c>
      <c r="F2066" t="s" s="2">
        <v>1746</v>
      </c>
      <c r="G2066" t="s" s="2">
        <v>4050</v>
      </c>
      <c r="H2066" s="5">
        <v>326</v>
      </c>
      <c r="I2066" t="s" s="2">
        <v>1263</v>
      </c>
      <c r="J2066" t="s" s="2">
        <v>22</v>
      </c>
      <c r="K2066" t="s" s="2">
        <v>4051</v>
      </c>
      <c r="L2066" t="s" s="2">
        <v>543</v>
      </c>
      <c r="M2066" s="5">
        <v>648500.53</v>
      </c>
      <c r="N2066" s="5">
        <v>6148861.95</v>
      </c>
      <c r="O2066" t="s" s="2">
        <v>305</v>
      </c>
      <c r="P2066" t="s" s="2">
        <v>4058</v>
      </c>
      <c r="Q2066" t="s" s="2">
        <v>4053</v>
      </c>
      <c r="R2066" t="s" s="2">
        <f>_xlfn.IFERROR(INDEX('model_byCAP'!$D$2:$D$377,MATCH(Q2066,'model_byCAP'!$A$2:$A$377,0)),0)</f>
        <v>2955</v>
      </c>
    </row>
    <row r="2067" ht="15.35" customHeight="1">
      <c r="A2067" t="s" s="2">
        <v>4059</v>
      </c>
      <c r="B2067" s="4">
        <v>36412</v>
      </c>
      <c r="C2067" s="5">
        <v>750</v>
      </c>
      <c r="D2067" s="5">
        <v>44</v>
      </c>
      <c r="E2067" s="5">
        <v>40</v>
      </c>
      <c r="F2067" t="s" s="2">
        <v>1746</v>
      </c>
      <c r="G2067" t="s" s="2">
        <v>4050</v>
      </c>
      <c r="H2067" s="5">
        <v>326</v>
      </c>
      <c r="I2067" t="s" s="2">
        <v>1263</v>
      </c>
      <c r="J2067" t="s" s="2">
        <v>22</v>
      </c>
      <c r="K2067" t="s" s="2">
        <v>4060</v>
      </c>
      <c r="L2067" t="s" s="2">
        <v>4061</v>
      </c>
      <c r="M2067" s="5">
        <v>640149.58</v>
      </c>
      <c r="N2067" s="5">
        <v>6153905.11</v>
      </c>
      <c r="O2067" t="s" s="2">
        <v>305</v>
      </c>
      <c r="P2067" t="s" s="2">
        <v>4062</v>
      </c>
      <c r="Q2067" t="s" s="2">
        <v>4053</v>
      </c>
      <c r="R2067" t="s" s="2">
        <f>_xlfn.IFERROR(INDEX('model_byCAP'!$D$2:$D$377,MATCH(Q2067,'model_byCAP'!$A$2:$A$377,0)),0)</f>
        <v>2955</v>
      </c>
    </row>
    <row r="2068" ht="15.35" customHeight="1">
      <c r="A2068" t="s" s="2">
        <v>4063</v>
      </c>
      <c r="B2068" s="4">
        <v>36412</v>
      </c>
      <c r="C2068" s="5">
        <v>750</v>
      </c>
      <c r="D2068" s="5">
        <v>44</v>
      </c>
      <c r="E2068" s="5">
        <v>40</v>
      </c>
      <c r="F2068" t="s" s="2">
        <v>1746</v>
      </c>
      <c r="G2068" t="s" s="2">
        <v>4050</v>
      </c>
      <c r="H2068" s="5">
        <v>326</v>
      </c>
      <c r="I2068" t="s" s="2">
        <v>1263</v>
      </c>
      <c r="J2068" t="s" s="2">
        <v>22</v>
      </c>
      <c r="K2068" t="s" s="2">
        <v>4060</v>
      </c>
      <c r="L2068" t="s" s="2">
        <v>4064</v>
      </c>
      <c r="M2068" s="5">
        <v>640002.65</v>
      </c>
      <c r="N2068" s="5">
        <v>6153894.66</v>
      </c>
      <c r="O2068" t="s" s="2">
        <v>305</v>
      </c>
      <c r="P2068" t="s" s="2">
        <v>4065</v>
      </c>
      <c r="Q2068" t="s" s="2">
        <v>4053</v>
      </c>
      <c r="R2068" t="s" s="2">
        <f>_xlfn.IFERROR(INDEX('model_byCAP'!$D$2:$D$377,MATCH(Q2068,'model_byCAP'!$A$2:$A$377,0)),0)</f>
        <v>2955</v>
      </c>
    </row>
    <row r="2069" ht="15.35" customHeight="1">
      <c r="A2069" t="s" s="2">
        <v>4066</v>
      </c>
      <c r="B2069" s="4">
        <v>36417</v>
      </c>
      <c r="C2069" s="5">
        <v>750</v>
      </c>
      <c r="D2069" s="5">
        <v>44</v>
      </c>
      <c r="E2069" s="5">
        <v>40</v>
      </c>
      <c r="F2069" t="s" s="2">
        <v>1746</v>
      </c>
      <c r="G2069" t="s" s="2">
        <v>4050</v>
      </c>
      <c r="H2069" s="5">
        <v>326</v>
      </c>
      <c r="I2069" t="s" s="2">
        <v>1263</v>
      </c>
      <c r="J2069" t="s" s="2">
        <v>22</v>
      </c>
      <c r="K2069" t="s" s="2">
        <v>4067</v>
      </c>
      <c r="L2069" t="s" s="2">
        <v>471</v>
      </c>
      <c r="M2069" s="5">
        <v>641997.34</v>
      </c>
      <c r="N2069" s="5">
        <v>6157908.84</v>
      </c>
      <c r="O2069" t="s" s="2">
        <v>305</v>
      </c>
      <c r="P2069" t="s" s="2">
        <v>4068</v>
      </c>
      <c r="Q2069" t="s" s="2">
        <v>4053</v>
      </c>
      <c r="R2069" t="s" s="2">
        <f>_xlfn.IFERROR(INDEX('model_byCAP'!$D$2:$D$377,MATCH(Q2069,'model_byCAP'!$A$2:$A$377,0)),0)</f>
        <v>2955</v>
      </c>
    </row>
    <row r="2070" ht="15.35" customHeight="1">
      <c r="A2070" t="s" s="2">
        <v>4069</v>
      </c>
      <c r="B2070" s="4">
        <v>36417</v>
      </c>
      <c r="C2070" s="5">
        <v>750</v>
      </c>
      <c r="D2070" s="5">
        <v>44</v>
      </c>
      <c r="E2070" s="5">
        <v>40</v>
      </c>
      <c r="F2070" t="s" s="2">
        <v>1746</v>
      </c>
      <c r="G2070" t="s" s="2">
        <v>4050</v>
      </c>
      <c r="H2070" s="5">
        <v>326</v>
      </c>
      <c r="I2070" t="s" s="2">
        <v>1263</v>
      </c>
      <c r="J2070" t="s" s="2">
        <v>22</v>
      </c>
      <c r="K2070" t="s" s="2">
        <v>4067</v>
      </c>
      <c r="L2070" t="s" s="2">
        <v>476</v>
      </c>
      <c r="M2070" s="5">
        <v>642147.46</v>
      </c>
      <c r="N2070" s="5">
        <v>6157910.33</v>
      </c>
      <c r="O2070" t="s" s="2">
        <v>305</v>
      </c>
      <c r="P2070" t="s" s="2">
        <v>4070</v>
      </c>
      <c r="Q2070" t="s" s="2">
        <v>4053</v>
      </c>
      <c r="R2070" t="s" s="2">
        <f>_xlfn.IFERROR(INDEX('model_byCAP'!$D$2:$D$377,MATCH(Q2070,'model_byCAP'!$A$2:$A$377,0)),0)</f>
        <v>2955</v>
      </c>
    </row>
    <row r="2071" ht="15.35" customHeight="1">
      <c r="A2071" t="s" s="2">
        <v>4071</v>
      </c>
      <c r="B2071" s="4">
        <v>36432</v>
      </c>
      <c r="C2071" s="5">
        <v>750</v>
      </c>
      <c r="D2071" s="5">
        <v>44</v>
      </c>
      <c r="E2071" s="5">
        <v>40</v>
      </c>
      <c r="F2071" t="s" s="2">
        <v>3604</v>
      </c>
      <c r="G2071" t="s" s="2">
        <v>4072</v>
      </c>
      <c r="H2071" s="5">
        <v>326</v>
      </c>
      <c r="I2071" t="s" s="2">
        <v>1263</v>
      </c>
      <c r="J2071" t="s" s="2">
        <v>22</v>
      </c>
      <c r="K2071" t="s" s="2">
        <v>4073</v>
      </c>
      <c r="L2071" t="s" s="2">
        <v>3063</v>
      </c>
      <c r="M2071" s="5">
        <v>649835.45</v>
      </c>
      <c r="N2071" s="5">
        <v>6163001.2</v>
      </c>
      <c r="O2071" t="s" s="2">
        <v>305</v>
      </c>
      <c r="P2071" t="s" s="2">
        <v>4074</v>
      </c>
      <c r="Q2071" t="s" s="2">
        <v>4075</v>
      </c>
      <c r="R2071" t="s" s="2">
        <f>_xlfn.IFERROR(INDEX('model_byCAP'!$D$2:$D$377,MATCH(Q2071,'model_byCAP'!$A$2:$A$377,0)),0)</f>
        <v>4076</v>
      </c>
    </row>
    <row r="2072" ht="15.35" customHeight="1">
      <c r="A2072" t="s" s="2">
        <v>4077</v>
      </c>
      <c r="B2072" s="4">
        <v>36432</v>
      </c>
      <c r="C2072" s="5">
        <v>750</v>
      </c>
      <c r="D2072" s="5">
        <v>44</v>
      </c>
      <c r="E2072" s="5">
        <v>40</v>
      </c>
      <c r="F2072" t="s" s="2">
        <v>1746</v>
      </c>
      <c r="G2072" t="s" s="2">
        <v>4050</v>
      </c>
      <c r="H2072" s="5">
        <v>326</v>
      </c>
      <c r="I2072" t="s" s="2">
        <v>1263</v>
      </c>
      <c r="J2072" t="s" s="2">
        <v>22</v>
      </c>
      <c r="K2072" t="s" s="2">
        <v>4073</v>
      </c>
      <c r="L2072" t="s" s="2">
        <v>304</v>
      </c>
      <c r="M2072" s="5">
        <v>649738.17</v>
      </c>
      <c r="N2072" s="5">
        <v>6162900.18</v>
      </c>
      <c r="O2072" t="s" s="2">
        <v>305</v>
      </c>
      <c r="P2072" t="s" s="2">
        <v>4078</v>
      </c>
      <c r="Q2072" t="s" s="2">
        <v>4053</v>
      </c>
      <c r="R2072" t="s" s="2">
        <f>_xlfn.IFERROR(INDEX('model_byCAP'!$D$2:$D$377,MATCH(Q2072,'model_byCAP'!$A$2:$A$377,0)),0)</f>
        <v>2955</v>
      </c>
    </row>
    <row r="2073" ht="15.35" customHeight="1">
      <c r="A2073" t="s" s="2">
        <v>4079</v>
      </c>
      <c r="B2073" s="4">
        <v>36480</v>
      </c>
      <c r="C2073" s="5">
        <v>750</v>
      </c>
      <c r="D2073" s="5">
        <v>44</v>
      </c>
      <c r="E2073" s="5">
        <v>40</v>
      </c>
      <c r="F2073" t="s" s="2">
        <v>1746</v>
      </c>
      <c r="G2073" t="s" s="2">
        <v>4050</v>
      </c>
      <c r="H2073" s="5">
        <v>326</v>
      </c>
      <c r="I2073" t="s" s="2">
        <v>1263</v>
      </c>
      <c r="J2073" t="s" s="2">
        <v>22</v>
      </c>
      <c r="K2073" t="s" s="2">
        <v>3174</v>
      </c>
      <c r="L2073" t="s" s="2">
        <v>4080</v>
      </c>
      <c r="M2073" s="5">
        <v>639376.3</v>
      </c>
      <c r="N2073" s="5">
        <v>6171333.79</v>
      </c>
      <c r="O2073" t="s" s="2">
        <v>305</v>
      </c>
      <c r="P2073" t="s" s="2">
        <v>4081</v>
      </c>
      <c r="Q2073" t="s" s="2">
        <v>4053</v>
      </c>
      <c r="R2073" t="s" s="2">
        <f>_xlfn.IFERROR(INDEX('model_byCAP'!$D$2:$D$377,MATCH(Q2073,'model_byCAP'!$A$2:$A$377,0)),0)</f>
        <v>2955</v>
      </c>
    </row>
    <row r="2074" ht="15.35" customHeight="1">
      <c r="A2074" t="s" s="2">
        <v>4082</v>
      </c>
      <c r="B2074" s="4">
        <v>36480</v>
      </c>
      <c r="C2074" s="5">
        <v>750</v>
      </c>
      <c r="D2074" s="5">
        <v>44</v>
      </c>
      <c r="E2074" s="5">
        <v>40</v>
      </c>
      <c r="F2074" t="s" s="2">
        <v>1746</v>
      </c>
      <c r="G2074" t="s" s="2">
        <v>4050</v>
      </c>
      <c r="H2074" s="5">
        <v>326</v>
      </c>
      <c r="I2074" t="s" s="2">
        <v>1263</v>
      </c>
      <c r="J2074" t="s" s="2">
        <v>22</v>
      </c>
      <c r="K2074" t="s" s="2">
        <v>3174</v>
      </c>
      <c r="L2074" t="s" s="2">
        <v>4083</v>
      </c>
      <c r="M2074" s="5">
        <v>639297.72</v>
      </c>
      <c r="N2074" s="5">
        <v>6171227.89</v>
      </c>
      <c r="O2074" t="s" s="2">
        <v>305</v>
      </c>
      <c r="P2074" t="s" s="2">
        <v>4084</v>
      </c>
      <c r="Q2074" t="s" s="2">
        <v>4053</v>
      </c>
      <c r="R2074" t="s" s="2">
        <f>_xlfn.IFERROR(INDEX('model_byCAP'!$D$2:$D$377,MATCH(Q2074,'model_byCAP'!$A$2:$A$377,0)),0)</f>
        <v>2955</v>
      </c>
    </row>
    <row r="2075" ht="15.35" customHeight="1">
      <c r="A2075" t="s" s="2">
        <v>4085</v>
      </c>
      <c r="B2075" s="4">
        <v>36480</v>
      </c>
      <c r="C2075" s="5">
        <v>750</v>
      </c>
      <c r="D2075" s="5">
        <v>44</v>
      </c>
      <c r="E2075" s="5">
        <v>40</v>
      </c>
      <c r="F2075" t="s" s="2">
        <v>1746</v>
      </c>
      <c r="G2075" t="s" s="2">
        <v>4050</v>
      </c>
      <c r="H2075" s="5">
        <v>326</v>
      </c>
      <c r="I2075" t="s" s="2">
        <v>1263</v>
      </c>
      <c r="J2075" t="s" s="2">
        <v>22</v>
      </c>
      <c r="K2075" t="s" s="2">
        <v>3174</v>
      </c>
      <c r="L2075" t="s" s="2">
        <v>4086</v>
      </c>
      <c r="M2075" s="5">
        <v>639218.3100000001</v>
      </c>
      <c r="N2075" s="5">
        <v>6171122.42</v>
      </c>
      <c r="O2075" t="s" s="2">
        <v>305</v>
      </c>
      <c r="P2075" t="s" s="2">
        <v>4087</v>
      </c>
      <c r="Q2075" t="s" s="2">
        <v>4053</v>
      </c>
      <c r="R2075" t="s" s="2">
        <f>_xlfn.IFERROR(INDEX('model_byCAP'!$D$2:$D$377,MATCH(Q2075,'model_byCAP'!$A$2:$A$377,0)),0)</f>
        <v>2955</v>
      </c>
    </row>
    <row r="2076" ht="15.35" customHeight="1">
      <c r="A2076" t="s" s="2">
        <v>4088</v>
      </c>
      <c r="B2076" s="4">
        <v>36551</v>
      </c>
      <c r="C2076" s="5">
        <v>750</v>
      </c>
      <c r="D2076" s="5">
        <v>44</v>
      </c>
      <c r="E2076" s="5">
        <v>40</v>
      </c>
      <c r="F2076" t="s" s="2">
        <v>1746</v>
      </c>
      <c r="G2076" t="s" s="2">
        <v>4050</v>
      </c>
      <c r="H2076" s="5">
        <v>326</v>
      </c>
      <c r="I2076" t="s" s="2">
        <v>1263</v>
      </c>
      <c r="J2076" t="s" s="2">
        <v>22</v>
      </c>
      <c r="K2076" t="s" s="2">
        <v>4089</v>
      </c>
      <c r="L2076" t="s" s="2">
        <v>401</v>
      </c>
      <c r="M2076" s="5">
        <v>638633.7</v>
      </c>
      <c r="N2076" s="5">
        <v>6164082.48</v>
      </c>
      <c r="O2076" t="s" s="2">
        <v>305</v>
      </c>
      <c r="P2076" t="s" s="2">
        <v>4090</v>
      </c>
      <c r="Q2076" t="s" s="2">
        <v>4053</v>
      </c>
      <c r="R2076" t="s" s="2">
        <f>_xlfn.IFERROR(INDEX('model_byCAP'!$D$2:$D$377,MATCH(Q2076,'model_byCAP'!$A$2:$A$377,0)),0)</f>
        <v>2955</v>
      </c>
    </row>
    <row r="2077" ht="15.35" customHeight="1">
      <c r="A2077" t="s" s="2">
        <v>4091</v>
      </c>
      <c r="B2077" s="4">
        <v>36551</v>
      </c>
      <c r="C2077" s="5">
        <v>750</v>
      </c>
      <c r="D2077" s="5">
        <v>44</v>
      </c>
      <c r="E2077" s="5">
        <v>40</v>
      </c>
      <c r="F2077" t="s" s="2">
        <v>1746</v>
      </c>
      <c r="G2077" t="s" s="2">
        <v>4050</v>
      </c>
      <c r="H2077" s="5">
        <v>326</v>
      </c>
      <c r="I2077" t="s" s="2">
        <v>1263</v>
      </c>
      <c r="J2077" t="s" s="2">
        <v>22</v>
      </c>
      <c r="K2077" t="s" s="2">
        <v>4089</v>
      </c>
      <c r="L2077" t="s" s="2">
        <v>4092</v>
      </c>
      <c r="M2077" s="5">
        <v>638801.4399999999</v>
      </c>
      <c r="N2077" s="5">
        <v>6164070.08</v>
      </c>
      <c r="O2077" t="s" s="2">
        <v>305</v>
      </c>
      <c r="P2077" t="s" s="2">
        <v>4093</v>
      </c>
      <c r="Q2077" t="s" s="2">
        <v>4053</v>
      </c>
      <c r="R2077" t="s" s="2">
        <f>_xlfn.IFERROR(INDEX('model_byCAP'!$D$2:$D$377,MATCH(Q2077,'model_byCAP'!$A$2:$A$377,0)),0)</f>
        <v>2955</v>
      </c>
    </row>
    <row r="2078" ht="15.35" customHeight="1">
      <c r="A2078" t="s" s="2">
        <v>4094</v>
      </c>
      <c r="B2078" s="4">
        <v>36551</v>
      </c>
      <c r="C2078" s="5">
        <v>750</v>
      </c>
      <c r="D2078" s="5">
        <v>44</v>
      </c>
      <c r="E2078" s="5">
        <v>40</v>
      </c>
      <c r="F2078" t="s" s="2">
        <v>1746</v>
      </c>
      <c r="G2078" t="s" s="2">
        <v>4050</v>
      </c>
      <c r="H2078" s="5">
        <v>326</v>
      </c>
      <c r="I2078" t="s" s="2">
        <v>1263</v>
      </c>
      <c r="J2078" t="s" s="2">
        <v>22</v>
      </c>
      <c r="K2078" t="s" s="2">
        <v>4095</v>
      </c>
      <c r="L2078" t="s" s="2">
        <v>1375</v>
      </c>
      <c r="M2078" s="5">
        <v>638969.37</v>
      </c>
      <c r="N2078" s="5">
        <v>6164057.98</v>
      </c>
      <c r="O2078" t="s" s="2">
        <v>305</v>
      </c>
      <c r="P2078" t="s" s="2">
        <v>4096</v>
      </c>
      <c r="Q2078" t="s" s="2">
        <v>4053</v>
      </c>
      <c r="R2078" t="s" s="2">
        <f>_xlfn.IFERROR(INDEX('model_byCAP'!$D$2:$D$377,MATCH(Q2078,'model_byCAP'!$A$2:$A$377,0)),0)</f>
        <v>2955</v>
      </c>
    </row>
    <row r="2079" ht="15.35" customHeight="1">
      <c r="A2079" t="s" s="2">
        <v>4097</v>
      </c>
      <c r="B2079" s="4">
        <v>35888</v>
      </c>
      <c r="C2079" s="5">
        <v>750</v>
      </c>
      <c r="D2079" s="5">
        <v>44</v>
      </c>
      <c r="E2079" s="5">
        <v>46</v>
      </c>
      <c r="F2079" t="s" s="2">
        <v>1746</v>
      </c>
      <c r="G2079" t="s" s="2">
        <v>4050</v>
      </c>
      <c r="H2079" s="5">
        <v>326</v>
      </c>
      <c r="I2079" t="s" s="2">
        <v>1263</v>
      </c>
      <c r="J2079" t="s" s="2">
        <v>22</v>
      </c>
      <c r="K2079" t="s" s="2">
        <v>4098</v>
      </c>
      <c r="L2079" t="s" s="2">
        <v>4099</v>
      </c>
      <c r="M2079" s="5">
        <v>640327.2</v>
      </c>
      <c r="N2079" s="5">
        <v>6155360.9</v>
      </c>
      <c r="O2079" t="s" s="2">
        <v>305</v>
      </c>
      <c r="P2079" s="5">
        <v>40026243</v>
      </c>
      <c r="Q2079" t="s" s="2">
        <v>4053</v>
      </c>
      <c r="R2079" t="s" s="2">
        <f>_xlfn.IFERROR(INDEX('model_byCAP'!$D$2:$D$377,MATCH(Q2079,'model_byCAP'!$A$2:$A$377,0)),0)</f>
        <v>2955</v>
      </c>
    </row>
    <row r="2080" ht="15.35" customHeight="1">
      <c r="A2080" t="s" s="2">
        <v>4100</v>
      </c>
      <c r="B2080" s="4">
        <v>35909</v>
      </c>
      <c r="C2080" s="5">
        <v>750</v>
      </c>
      <c r="D2080" s="5">
        <v>44</v>
      </c>
      <c r="E2080" s="5">
        <v>46</v>
      </c>
      <c r="F2080" t="s" s="2">
        <v>1746</v>
      </c>
      <c r="G2080" t="s" s="2">
        <v>4050</v>
      </c>
      <c r="H2080" s="5">
        <v>326</v>
      </c>
      <c r="I2080" t="s" s="2">
        <v>1263</v>
      </c>
      <c r="J2080" t="s" s="2">
        <v>22</v>
      </c>
      <c r="K2080" t="s" s="2">
        <v>4101</v>
      </c>
      <c r="L2080" t="s" s="2">
        <v>2872</v>
      </c>
      <c r="M2080" s="5">
        <v>640532.3</v>
      </c>
      <c r="N2080" s="5">
        <v>6155310.67</v>
      </c>
      <c r="O2080" t="s" s="2">
        <v>305</v>
      </c>
      <c r="P2080" s="5">
        <v>40042446</v>
      </c>
      <c r="Q2080" t="s" s="2">
        <v>4053</v>
      </c>
      <c r="R2080" t="s" s="2">
        <f>_xlfn.IFERROR(INDEX('model_byCAP'!$D$2:$D$377,MATCH(Q2080,'model_byCAP'!$A$2:$A$377,0)),0)</f>
        <v>2955</v>
      </c>
    </row>
    <row r="2081" ht="15.35" customHeight="1">
      <c r="A2081" t="s" s="2">
        <v>4102</v>
      </c>
      <c r="B2081" s="4">
        <v>35888</v>
      </c>
      <c r="C2081" s="5">
        <v>750</v>
      </c>
      <c r="D2081" s="5">
        <v>44</v>
      </c>
      <c r="E2081" s="5">
        <v>46</v>
      </c>
      <c r="F2081" t="s" s="2">
        <v>1746</v>
      </c>
      <c r="G2081" t="s" s="2">
        <v>4050</v>
      </c>
      <c r="H2081" s="5">
        <v>326</v>
      </c>
      <c r="I2081" t="s" s="2">
        <v>1263</v>
      </c>
      <c r="J2081" t="s" s="2">
        <v>22</v>
      </c>
      <c r="K2081" t="s" s="2">
        <v>4101</v>
      </c>
      <c r="L2081" t="s" s="2">
        <v>2751</v>
      </c>
      <c r="M2081" s="5">
        <v>640735.87</v>
      </c>
      <c r="N2081" s="5">
        <v>6155261.19</v>
      </c>
      <c r="O2081" t="s" s="2">
        <v>305</v>
      </c>
      <c r="P2081" s="5">
        <v>40042454</v>
      </c>
      <c r="Q2081" t="s" s="2">
        <v>4053</v>
      </c>
      <c r="R2081" t="s" s="2">
        <f>_xlfn.IFERROR(INDEX('model_byCAP'!$D$2:$D$377,MATCH(Q2081,'model_byCAP'!$A$2:$A$377,0)),0)</f>
        <v>2955</v>
      </c>
    </row>
    <row r="2082" ht="15.35" customHeight="1">
      <c r="A2082" t="s" s="2">
        <v>4103</v>
      </c>
      <c r="B2082" s="4">
        <v>36428</v>
      </c>
      <c r="C2082" s="5">
        <v>750</v>
      </c>
      <c r="D2082" s="5">
        <v>48</v>
      </c>
      <c r="E2082" s="5">
        <v>50</v>
      </c>
      <c r="F2082" t="s" s="2">
        <v>1746</v>
      </c>
      <c r="G2082" t="s" s="2">
        <v>4044</v>
      </c>
      <c r="H2082" s="5">
        <v>326</v>
      </c>
      <c r="I2082" t="s" s="2">
        <v>1263</v>
      </c>
      <c r="J2082" t="s" s="2">
        <v>22</v>
      </c>
      <c r="K2082" t="s" s="2">
        <v>4104</v>
      </c>
      <c r="L2082" t="s" s="2">
        <v>394</v>
      </c>
      <c r="M2082" s="5">
        <v>639660.23</v>
      </c>
      <c r="N2082" s="5">
        <v>6168219.36</v>
      </c>
      <c r="O2082" t="s" s="2">
        <v>305</v>
      </c>
      <c r="P2082" s="5">
        <v>40096690</v>
      </c>
      <c r="Q2082" t="s" s="2">
        <v>4046</v>
      </c>
      <c r="R2082" t="s" s="2">
        <f>_xlfn.IFERROR(INDEX('model_byCAP'!$D$2:$D$377,MATCH(Q2082,'model_byCAP'!$A$2:$A$377,0)),0)</f>
        <v>4047</v>
      </c>
    </row>
    <row r="2083" ht="15.35" customHeight="1">
      <c r="A2083" t="s" s="2">
        <v>4105</v>
      </c>
      <c r="B2083" s="4">
        <v>36431</v>
      </c>
      <c r="C2083" s="5">
        <v>750</v>
      </c>
      <c r="D2083" s="5">
        <v>48</v>
      </c>
      <c r="E2083" s="5">
        <v>50</v>
      </c>
      <c r="F2083" t="s" s="2">
        <v>1746</v>
      </c>
      <c r="G2083" t="s" s="2">
        <v>4044</v>
      </c>
      <c r="H2083" s="5">
        <v>326</v>
      </c>
      <c r="I2083" t="s" s="2">
        <v>1263</v>
      </c>
      <c r="J2083" t="s" s="2">
        <v>22</v>
      </c>
      <c r="K2083" t="s" s="2">
        <v>4104</v>
      </c>
      <c r="L2083" t="s" s="2">
        <v>394</v>
      </c>
      <c r="M2083" s="5">
        <v>639635.89</v>
      </c>
      <c r="N2083" s="5">
        <v>6168418.38</v>
      </c>
      <c r="O2083" t="s" s="2">
        <v>305</v>
      </c>
      <c r="P2083" s="5">
        <v>40096682</v>
      </c>
      <c r="Q2083" t="s" s="2">
        <v>4046</v>
      </c>
      <c r="R2083" t="s" s="2">
        <f>_xlfn.IFERROR(INDEX('model_byCAP'!$D$2:$D$377,MATCH(Q2083,'model_byCAP'!$A$2:$A$377,0)),0)</f>
        <v>4047</v>
      </c>
    </row>
    <row r="2084" ht="15.35" customHeight="1">
      <c r="A2084" t="s" s="2">
        <v>4106</v>
      </c>
      <c r="B2084" s="4">
        <v>36431</v>
      </c>
      <c r="C2084" s="5">
        <v>750</v>
      </c>
      <c r="D2084" s="5">
        <v>48</v>
      </c>
      <c r="E2084" s="5">
        <v>50</v>
      </c>
      <c r="F2084" t="s" s="2">
        <v>1746</v>
      </c>
      <c r="G2084" t="s" s="2">
        <v>4044</v>
      </c>
      <c r="H2084" s="5">
        <v>326</v>
      </c>
      <c r="I2084" t="s" s="2">
        <v>1263</v>
      </c>
      <c r="J2084" t="s" s="2">
        <v>22</v>
      </c>
      <c r="K2084" t="s" s="2">
        <v>4104</v>
      </c>
      <c r="L2084" t="s" s="2">
        <v>394</v>
      </c>
      <c r="M2084" s="5">
        <v>639611.99</v>
      </c>
      <c r="N2084" s="5">
        <v>6168617.99</v>
      </c>
      <c r="O2084" t="s" s="2">
        <v>305</v>
      </c>
      <c r="P2084" s="5">
        <v>40096676</v>
      </c>
      <c r="Q2084" t="s" s="2">
        <v>4046</v>
      </c>
      <c r="R2084" t="s" s="2">
        <f>_xlfn.IFERROR(INDEX('model_byCAP'!$D$2:$D$377,MATCH(Q2084,'model_byCAP'!$A$2:$A$377,0)),0)</f>
        <v>4047</v>
      </c>
    </row>
    <row r="2085" ht="15.35" customHeight="1">
      <c r="A2085" t="s" s="2">
        <v>4107</v>
      </c>
      <c r="B2085" s="4">
        <v>36112</v>
      </c>
      <c r="C2085" s="5">
        <v>750</v>
      </c>
      <c r="D2085" s="5">
        <v>48.2</v>
      </c>
      <c r="E2085" s="5">
        <v>45</v>
      </c>
      <c r="F2085" t="s" s="2">
        <v>1746</v>
      </c>
      <c r="G2085" t="s" s="2">
        <v>4044</v>
      </c>
      <c r="H2085" s="5">
        <v>329</v>
      </c>
      <c r="I2085" t="s" s="2">
        <v>2902</v>
      </c>
      <c r="J2085" t="s" s="2">
        <v>22</v>
      </c>
      <c r="K2085" t="s" s="2">
        <v>4108</v>
      </c>
      <c r="L2085" t="s" s="2">
        <v>1603</v>
      </c>
      <c r="M2085" s="5">
        <v>680126.04</v>
      </c>
      <c r="N2085" s="5">
        <v>6144414.96</v>
      </c>
      <c r="O2085" t="s" s="2">
        <v>305</v>
      </c>
      <c r="P2085" s="5">
        <v>192597</v>
      </c>
      <c r="Q2085" t="s" s="2">
        <v>4046</v>
      </c>
      <c r="R2085" t="s" s="2">
        <f>_xlfn.IFERROR(INDEX('model_byCAP'!$D$2:$D$377,MATCH(Q2085,'model_byCAP'!$A$2:$A$377,0)),0)</f>
        <v>4047</v>
      </c>
    </row>
    <row r="2086" ht="15.35" customHeight="1">
      <c r="A2086" t="s" s="2">
        <v>4109</v>
      </c>
      <c r="B2086" s="4">
        <v>36266</v>
      </c>
      <c r="C2086" s="5">
        <v>750</v>
      </c>
      <c r="D2086" s="5">
        <v>44</v>
      </c>
      <c r="E2086" s="5">
        <v>45</v>
      </c>
      <c r="F2086" t="s" s="2">
        <v>1746</v>
      </c>
      <c r="G2086" t="s" s="2">
        <v>4044</v>
      </c>
      <c r="H2086" s="5">
        <v>329</v>
      </c>
      <c r="I2086" t="s" s="2">
        <v>2902</v>
      </c>
      <c r="J2086" t="s" s="2">
        <v>22</v>
      </c>
      <c r="K2086" t="s" s="2">
        <v>4110</v>
      </c>
      <c r="L2086" t="s" s="2">
        <v>4111</v>
      </c>
      <c r="M2086" s="5">
        <v>682114.87</v>
      </c>
      <c r="N2086" s="5">
        <v>6145822.47</v>
      </c>
      <c r="O2086" t="s" s="2">
        <v>305</v>
      </c>
      <c r="P2086" s="5">
        <v>192793</v>
      </c>
      <c r="Q2086" t="s" s="2">
        <v>4046</v>
      </c>
      <c r="R2086" t="s" s="2">
        <f>_xlfn.IFERROR(INDEX('model_byCAP'!$D$2:$D$377,MATCH(Q2086,'model_byCAP'!$A$2:$A$377,0)),0)</f>
        <v>4047</v>
      </c>
    </row>
    <row r="2087" ht="15.35" customHeight="1">
      <c r="A2087" t="s" s="2">
        <v>4112</v>
      </c>
      <c r="B2087" s="4">
        <v>35977</v>
      </c>
      <c r="C2087" s="5">
        <v>750</v>
      </c>
      <c r="D2087" s="5">
        <v>44</v>
      </c>
      <c r="E2087" s="5">
        <v>40</v>
      </c>
      <c r="F2087" t="s" s="2">
        <v>3604</v>
      </c>
      <c r="G2087" t="s" s="2">
        <v>4113</v>
      </c>
      <c r="H2087" s="5">
        <v>330</v>
      </c>
      <c r="I2087" t="s" s="2">
        <v>1491</v>
      </c>
      <c r="J2087" t="s" s="2">
        <v>22</v>
      </c>
      <c r="K2087" t="s" s="2">
        <v>1992</v>
      </c>
      <c r="L2087" t="s" s="2">
        <v>1276</v>
      </c>
      <c r="M2087" s="5">
        <v>649860.63</v>
      </c>
      <c r="N2087" s="5">
        <v>6130935.54</v>
      </c>
      <c r="O2087" t="s" s="2">
        <v>305</v>
      </c>
      <c r="P2087" s="5">
        <v>192608</v>
      </c>
      <c r="Q2087" t="s" s="2">
        <v>4114</v>
      </c>
      <c r="R2087" t="s" s="2">
        <f>_xlfn.IFERROR(INDEX('model_byCAP'!$D$2:$D$377,MATCH(Q2087,'model_byCAP'!$A$2:$A$377,0)),0)</f>
        <v>4115</v>
      </c>
    </row>
    <row r="2088" ht="15.35" customHeight="1">
      <c r="A2088" t="s" s="2">
        <v>4116</v>
      </c>
      <c r="B2088" s="4">
        <v>35977</v>
      </c>
      <c r="C2088" s="5">
        <v>750</v>
      </c>
      <c r="D2088" s="5">
        <v>44</v>
      </c>
      <c r="E2088" s="5">
        <v>40</v>
      </c>
      <c r="F2088" t="s" s="2">
        <v>3604</v>
      </c>
      <c r="G2088" t="s" s="2">
        <v>4113</v>
      </c>
      <c r="H2088" s="5">
        <v>330</v>
      </c>
      <c r="I2088" t="s" s="2">
        <v>1491</v>
      </c>
      <c r="J2088" t="s" s="2">
        <v>22</v>
      </c>
      <c r="K2088" t="s" s="2">
        <v>1992</v>
      </c>
      <c r="L2088" t="s" s="2">
        <v>1359</v>
      </c>
      <c r="M2088" s="5">
        <v>650662.01</v>
      </c>
      <c r="N2088" s="5">
        <v>6131239.54</v>
      </c>
      <c r="O2088" t="s" s="2">
        <v>305</v>
      </c>
      <c r="P2088" s="5">
        <v>192609</v>
      </c>
      <c r="Q2088" t="s" s="2">
        <v>4114</v>
      </c>
      <c r="R2088" t="s" s="2">
        <f>_xlfn.IFERROR(INDEX('model_byCAP'!$D$2:$D$377,MATCH(Q2088,'model_byCAP'!$A$2:$A$377,0)),0)</f>
        <v>4115</v>
      </c>
    </row>
    <row r="2089" ht="15.35" customHeight="1">
      <c r="A2089" t="s" s="2">
        <v>4117</v>
      </c>
      <c r="B2089" s="4">
        <v>36473</v>
      </c>
      <c r="C2089" s="5">
        <v>750</v>
      </c>
      <c r="D2089" s="5">
        <v>44</v>
      </c>
      <c r="E2089" s="5">
        <v>40</v>
      </c>
      <c r="F2089" t="s" s="2">
        <v>1746</v>
      </c>
      <c r="G2089" t="s" s="2">
        <v>4050</v>
      </c>
      <c r="H2089" s="5">
        <v>330</v>
      </c>
      <c r="I2089" t="s" s="2">
        <v>1491</v>
      </c>
      <c r="J2089" t="s" s="2">
        <v>22</v>
      </c>
      <c r="K2089" t="s" s="2">
        <v>4118</v>
      </c>
      <c r="L2089" t="s" s="2">
        <v>1194</v>
      </c>
      <c r="M2089" s="5">
        <v>643236.1899999999</v>
      </c>
      <c r="N2089" s="5">
        <v>6134372.88</v>
      </c>
      <c r="O2089" t="s" s="2">
        <v>305</v>
      </c>
      <c r="P2089" t="s" s="2">
        <v>4119</v>
      </c>
      <c r="Q2089" t="s" s="2">
        <v>4053</v>
      </c>
      <c r="R2089" t="s" s="2">
        <f>_xlfn.IFERROR(INDEX('model_byCAP'!$D$2:$D$377,MATCH(Q2089,'model_byCAP'!$A$2:$A$377,0)),0)</f>
        <v>2955</v>
      </c>
    </row>
    <row r="2090" ht="15.35" customHeight="1">
      <c r="A2090" t="s" s="2">
        <v>4120</v>
      </c>
      <c r="B2090" s="4">
        <v>36473</v>
      </c>
      <c r="C2090" s="5">
        <v>750</v>
      </c>
      <c r="D2090" s="5">
        <v>44</v>
      </c>
      <c r="E2090" s="5">
        <v>40</v>
      </c>
      <c r="F2090" t="s" s="2">
        <v>1746</v>
      </c>
      <c r="G2090" t="s" s="2">
        <v>4050</v>
      </c>
      <c r="H2090" s="5">
        <v>330</v>
      </c>
      <c r="I2090" t="s" s="2">
        <v>1491</v>
      </c>
      <c r="J2090" t="s" s="2">
        <v>22</v>
      </c>
      <c r="K2090" t="s" s="2">
        <v>4118</v>
      </c>
      <c r="L2090" t="s" s="2">
        <v>1099</v>
      </c>
      <c r="M2090" s="5">
        <v>643369.6800000001</v>
      </c>
      <c r="N2090" s="5">
        <v>6134307.11</v>
      </c>
      <c r="O2090" t="s" s="2">
        <v>305</v>
      </c>
      <c r="P2090" t="s" s="2">
        <v>4121</v>
      </c>
      <c r="Q2090" t="s" s="2">
        <v>4053</v>
      </c>
      <c r="R2090" t="s" s="2">
        <f>_xlfn.IFERROR(INDEX('model_byCAP'!$D$2:$D$377,MATCH(Q2090,'model_byCAP'!$A$2:$A$377,0)),0)</f>
        <v>2955</v>
      </c>
    </row>
    <row r="2091" ht="15.35" customHeight="1">
      <c r="A2091" t="s" s="2">
        <v>4122</v>
      </c>
      <c r="B2091" s="4">
        <v>36473</v>
      </c>
      <c r="C2091" s="5">
        <v>750</v>
      </c>
      <c r="D2091" s="5">
        <v>44</v>
      </c>
      <c r="E2091" s="5">
        <v>40</v>
      </c>
      <c r="F2091" t="s" s="2">
        <v>1746</v>
      </c>
      <c r="G2091" t="s" s="2">
        <v>4050</v>
      </c>
      <c r="H2091" s="5">
        <v>330</v>
      </c>
      <c r="I2091" t="s" s="2">
        <v>1491</v>
      </c>
      <c r="J2091" t="s" s="2">
        <v>22</v>
      </c>
      <c r="K2091" t="s" s="2">
        <v>4118</v>
      </c>
      <c r="L2091" t="s" s="2">
        <v>1469</v>
      </c>
      <c r="M2091" s="5">
        <v>643504.79</v>
      </c>
      <c r="N2091" s="5">
        <v>6134239.03</v>
      </c>
      <c r="O2091" t="s" s="2">
        <v>305</v>
      </c>
      <c r="P2091" t="s" s="2">
        <v>4123</v>
      </c>
      <c r="Q2091" t="s" s="2">
        <v>4053</v>
      </c>
      <c r="R2091" t="s" s="2">
        <f>_xlfn.IFERROR(INDEX('model_byCAP'!$D$2:$D$377,MATCH(Q2091,'model_byCAP'!$A$2:$A$377,0)),0)</f>
        <v>2955</v>
      </c>
    </row>
    <row r="2092" ht="15.35" customHeight="1">
      <c r="A2092" t="s" s="2">
        <v>4124</v>
      </c>
      <c r="B2092" s="4">
        <v>35787</v>
      </c>
      <c r="C2092" s="5">
        <v>750</v>
      </c>
      <c r="D2092" s="5">
        <v>48</v>
      </c>
      <c r="E2092" s="5">
        <v>50</v>
      </c>
      <c r="F2092" t="s" s="2">
        <v>1746</v>
      </c>
      <c r="G2092" t="s" s="2">
        <v>4125</v>
      </c>
      <c r="H2092" s="5">
        <v>330</v>
      </c>
      <c r="I2092" t="s" s="2">
        <v>1491</v>
      </c>
      <c r="J2092" t="s" s="2">
        <v>22</v>
      </c>
      <c r="K2092" t="s" s="2">
        <v>4126</v>
      </c>
      <c r="L2092" t="s" s="2">
        <v>543</v>
      </c>
      <c r="M2092" s="5">
        <v>653285.55</v>
      </c>
      <c r="N2092" s="5">
        <v>6149038.19</v>
      </c>
      <c r="O2092" t="s" s="2">
        <v>305</v>
      </c>
      <c r="P2092" s="5">
        <v>40032351</v>
      </c>
      <c r="Q2092" t="s" s="2">
        <v>4127</v>
      </c>
      <c r="R2092" t="s" s="2">
        <f>_xlfn.IFERROR(INDEX('model_byCAP'!$D$2:$D$377,MATCH(Q2092,'model_byCAP'!$A$2:$A$377,0)),0)</f>
        <v>4042</v>
      </c>
    </row>
    <row r="2093" ht="15.35" customHeight="1">
      <c r="A2093" t="s" s="2">
        <v>4128</v>
      </c>
      <c r="B2093" s="4">
        <v>35825</v>
      </c>
      <c r="C2093" s="5">
        <v>750</v>
      </c>
      <c r="D2093" s="5">
        <v>48</v>
      </c>
      <c r="E2093" s="5">
        <v>50</v>
      </c>
      <c r="F2093" t="s" s="2">
        <v>1746</v>
      </c>
      <c r="G2093" t="s" s="2">
        <v>4125</v>
      </c>
      <c r="H2093" s="5">
        <v>330</v>
      </c>
      <c r="I2093" t="s" s="2">
        <v>1491</v>
      </c>
      <c r="J2093" t="s" s="2">
        <v>22</v>
      </c>
      <c r="K2093" t="s" s="2">
        <v>4126</v>
      </c>
      <c r="L2093" t="s" s="2">
        <v>4055</v>
      </c>
      <c r="M2093" s="5">
        <v>653360.51</v>
      </c>
      <c r="N2093" s="5">
        <v>6148916.88</v>
      </c>
      <c r="O2093" t="s" s="2">
        <v>305</v>
      </c>
      <c r="P2093" s="5">
        <v>40032359</v>
      </c>
      <c r="Q2093" t="s" s="2">
        <v>4127</v>
      </c>
      <c r="R2093" t="s" s="2">
        <f>_xlfn.IFERROR(INDEX('model_byCAP'!$D$2:$D$377,MATCH(Q2093,'model_byCAP'!$A$2:$A$377,0)),0)</f>
        <v>4042</v>
      </c>
    </row>
    <row r="2094" ht="15.35" customHeight="1">
      <c r="A2094" t="s" s="2">
        <v>4129</v>
      </c>
      <c r="B2094" s="4">
        <v>35787</v>
      </c>
      <c r="C2094" s="5">
        <v>750</v>
      </c>
      <c r="D2094" s="5">
        <v>48</v>
      </c>
      <c r="E2094" s="5">
        <v>50</v>
      </c>
      <c r="F2094" t="s" s="2">
        <v>1746</v>
      </c>
      <c r="G2094" t="s" s="2">
        <v>4125</v>
      </c>
      <c r="H2094" s="5">
        <v>330</v>
      </c>
      <c r="I2094" t="s" s="2">
        <v>1491</v>
      </c>
      <c r="J2094" t="s" s="2">
        <v>22</v>
      </c>
      <c r="K2094" t="s" s="2">
        <v>4126</v>
      </c>
      <c r="L2094" t="s" s="2">
        <v>3706</v>
      </c>
      <c r="M2094" s="5">
        <v>653439.23</v>
      </c>
      <c r="N2094" s="5">
        <v>6148793.51</v>
      </c>
      <c r="O2094" t="s" s="2">
        <v>305</v>
      </c>
      <c r="P2094" s="5">
        <v>40032368</v>
      </c>
      <c r="Q2094" t="s" s="2">
        <v>4127</v>
      </c>
      <c r="R2094" t="s" s="2">
        <f>_xlfn.IFERROR(INDEX('model_byCAP'!$D$2:$D$377,MATCH(Q2094,'model_byCAP'!$A$2:$A$377,0)),0)</f>
        <v>4042</v>
      </c>
    </row>
    <row r="2095" ht="15.35" customHeight="1">
      <c r="A2095" t="s" s="2">
        <v>4130</v>
      </c>
      <c r="B2095" s="4">
        <v>35872</v>
      </c>
      <c r="C2095" s="5">
        <v>750</v>
      </c>
      <c r="D2095" s="5">
        <v>44</v>
      </c>
      <c r="E2095" s="5">
        <v>40</v>
      </c>
      <c r="F2095" t="s" s="2">
        <v>1746</v>
      </c>
      <c r="G2095" t="s" s="2">
        <v>4050</v>
      </c>
      <c r="H2095" s="5">
        <v>330</v>
      </c>
      <c r="I2095" t="s" s="2">
        <v>1491</v>
      </c>
      <c r="J2095" t="s" s="2">
        <v>22</v>
      </c>
      <c r="K2095" t="s" s="2">
        <v>4131</v>
      </c>
      <c r="L2095" t="s" s="2">
        <v>1143</v>
      </c>
      <c r="M2095" s="5">
        <v>652676.1899999999</v>
      </c>
      <c r="N2095" s="5">
        <v>6151584.45</v>
      </c>
      <c r="O2095" t="s" s="2">
        <v>305</v>
      </c>
      <c r="P2095" s="5">
        <v>40054626</v>
      </c>
      <c r="Q2095" t="s" s="2">
        <v>4053</v>
      </c>
      <c r="R2095" t="s" s="2">
        <f>_xlfn.IFERROR(INDEX('model_byCAP'!$D$2:$D$377,MATCH(Q2095,'model_byCAP'!$A$2:$A$377,0)),0)</f>
        <v>2955</v>
      </c>
    </row>
    <row r="2096" ht="15.35" customHeight="1">
      <c r="A2096" t="s" s="2">
        <v>4132</v>
      </c>
      <c r="B2096" s="4">
        <v>35916</v>
      </c>
      <c r="C2096" s="5">
        <v>750</v>
      </c>
      <c r="D2096" s="5">
        <v>44</v>
      </c>
      <c r="E2096" s="5">
        <v>46</v>
      </c>
      <c r="F2096" t="s" s="2">
        <v>3604</v>
      </c>
      <c r="G2096" t="s" s="2">
        <v>4072</v>
      </c>
      <c r="H2096" s="5">
        <v>330</v>
      </c>
      <c r="I2096" t="s" s="2">
        <v>1491</v>
      </c>
      <c r="J2096" t="s" s="2">
        <v>22</v>
      </c>
      <c r="K2096" t="s" s="2">
        <v>4133</v>
      </c>
      <c r="L2096" t="s" s="2">
        <v>394</v>
      </c>
      <c r="M2096" s="5">
        <v>649783.98</v>
      </c>
      <c r="N2096" s="5">
        <v>6130818.4</v>
      </c>
      <c r="O2096" t="s" s="2">
        <v>305</v>
      </c>
      <c r="P2096" s="5">
        <v>191301</v>
      </c>
      <c r="Q2096" t="s" s="2">
        <v>4075</v>
      </c>
      <c r="R2096" t="s" s="2">
        <f>_xlfn.IFERROR(INDEX('model_byCAP'!$D$2:$D$377,MATCH(Q2096,'model_byCAP'!$A$2:$A$377,0)),0)</f>
        <v>4076</v>
      </c>
    </row>
    <row r="2097" ht="15.35" customHeight="1">
      <c r="A2097" t="s" s="2">
        <v>4134</v>
      </c>
      <c r="B2097" s="4">
        <v>35916</v>
      </c>
      <c r="C2097" s="5">
        <v>750</v>
      </c>
      <c r="D2097" s="5">
        <v>44</v>
      </c>
      <c r="E2097" s="5">
        <v>46</v>
      </c>
      <c r="F2097" t="s" s="2">
        <v>1746</v>
      </c>
      <c r="G2097" t="s" s="2">
        <v>4050</v>
      </c>
      <c r="H2097" s="5">
        <v>330</v>
      </c>
      <c r="I2097" t="s" s="2">
        <v>1491</v>
      </c>
      <c r="J2097" t="s" s="2">
        <v>22</v>
      </c>
      <c r="K2097" t="s" s="2">
        <v>4133</v>
      </c>
      <c r="L2097" t="s" s="2">
        <v>518</v>
      </c>
      <c r="M2097" s="5">
        <v>650586.89</v>
      </c>
      <c r="N2097" s="5">
        <v>6131122.06</v>
      </c>
      <c r="O2097" t="s" s="2">
        <v>305</v>
      </c>
      <c r="P2097" s="5">
        <v>191354</v>
      </c>
      <c r="Q2097" t="s" s="2">
        <v>4053</v>
      </c>
      <c r="R2097" t="s" s="2">
        <f>_xlfn.IFERROR(INDEX('model_byCAP'!$D$2:$D$377,MATCH(Q2097,'model_byCAP'!$A$2:$A$377,0)),0)</f>
        <v>2955</v>
      </c>
    </row>
    <row r="2098" ht="15.35" customHeight="1">
      <c r="A2098" t="s" s="2">
        <v>4135</v>
      </c>
      <c r="B2098" s="4">
        <v>36595</v>
      </c>
      <c r="C2098" s="5">
        <v>750</v>
      </c>
      <c r="D2098" s="5">
        <v>44</v>
      </c>
      <c r="E2098" s="5">
        <v>40</v>
      </c>
      <c r="F2098" t="s" s="2">
        <v>1746</v>
      </c>
      <c r="G2098" t="s" s="2">
        <v>4136</v>
      </c>
      <c r="H2098" s="5">
        <v>330</v>
      </c>
      <c r="I2098" t="s" s="2">
        <v>1491</v>
      </c>
      <c r="J2098" t="s" s="2">
        <v>22</v>
      </c>
      <c r="K2098" t="s" s="2">
        <v>4118</v>
      </c>
      <c r="L2098" t="s" s="2">
        <v>502</v>
      </c>
      <c r="M2098" s="5">
        <v>644215.53</v>
      </c>
      <c r="N2098" s="5">
        <v>6133569.57</v>
      </c>
      <c r="O2098" t="s" s="2">
        <v>305</v>
      </c>
      <c r="P2098" s="5">
        <v>40014909</v>
      </c>
      <c r="Q2098" t="s" s="2">
        <v>4137</v>
      </c>
      <c r="R2098" t="s" s="2">
        <f>_xlfn.IFERROR(INDEX('model_byCAP'!$D$2:$D$377,MATCH(Q2098,'model_byCAP'!$A$2:$A$377,0)),0)</f>
        <v>4042</v>
      </c>
    </row>
    <row r="2099" ht="15.35" customHeight="1">
      <c r="A2099" t="s" s="2">
        <v>4138</v>
      </c>
      <c r="B2099" s="4">
        <v>36595</v>
      </c>
      <c r="C2099" s="5">
        <v>750</v>
      </c>
      <c r="D2099" s="5">
        <v>44</v>
      </c>
      <c r="E2099" s="5">
        <v>40</v>
      </c>
      <c r="F2099" t="s" s="2">
        <v>1746</v>
      </c>
      <c r="G2099" t="s" s="2">
        <v>4136</v>
      </c>
      <c r="H2099" s="5">
        <v>330</v>
      </c>
      <c r="I2099" t="s" s="2">
        <v>1491</v>
      </c>
      <c r="J2099" t="s" s="2">
        <v>22</v>
      </c>
      <c r="K2099" t="s" s="2">
        <v>4118</v>
      </c>
      <c r="L2099" t="s" s="2">
        <v>3355</v>
      </c>
      <c r="M2099" s="5">
        <v>644330.35</v>
      </c>
      <c r="N2099" s="5">
        <v>6133503.34</v>
      </c>
      <c r="O2099" t="s" s="2">
        <v>305</v>
      </c>
      <c r="P2099" s="5">
        <v>40014919</v>
      </c>
      <c r="Q2099" t="s" s="2">
        <v>4137</v>
      </c>
      <c r="R2099" t="s" s="2">
        <f>_xlfn.IFERROR(INDEX('model_byCAP'!$D$2:$D$377,MATCH(Q2099,'model_byCAP'!$A$2:$A$377,0)),0)</f>
        <v>4042</v>
      </c>
    </row>
    <row r="2100" ht="15.35" customHeight="1">
      <c r="A2100" t="s" s="2">
        <v>4139</v>
      </c>
      <c r="B2100" s="4">
        <v>36595</v>
      </c>
      <c r="C2100" s="5">
        <v>750</v>
      </c>
      <c r="D2100" s="5">
        <v>44</v>
      </c>
      <c r="E2100" s="5">
        <v>40</v>
      </c>
      <c r="F2100" t="s" s="2">
        <v>1746</v>
      </c>
      <c r="G2100" t="s" s="2">
        <v>4136</v>
      </c>
      <c r="H2100" s="5">
        <v>330</v>
      </c>
      <c r="I2100" t="s" s="2">
        <v>1491</v>
      </c>
      <c r="J2100" t="s" s="2">
        <v>22</v>
      </c>
      <c r="K2100" t="s" s="2">
        <v>4118</v>
      </c>
      <c r="L2100" t="s" s="2">
        <v>908</v>
      </c>
      <c r="M2100" s="5">
        <v>644444.6</v>
      </c>
      <c r="N2100" s="5">
        <v>6133439.1</v>
      </c>
      <c r="O2100" t="s" s="2">
        <v>305</v>
      </c>
      <c r="P2100" s="5">
        <v>40014928</v>
      </c>
      <c r="Q2100" t="s" s="2">
        <v>4137</v>
      </c>
      <c r="R2100" t="s" s="2">
        <f>_xlfn.IFERROR(INDEX('model_byCAP'!$D$2:$D$377,MATCH(Q2100,'model_byCAP'!$A$2:$A$377,0)),0)</f>
        <v>4042</v>
      </c>
    </row>
    <row r="2101" ht="15.35" customHeight="1">
      <c r="A2101" t="s" s="2">
        <v>4140</v>
      </c>
      <c r="B2101" s="4">
        <v>36672</v>
      </c>
      <c r="C2101" s="5">
        <v>750</v>
      </c>
      <c r="D2101" s="5">
        <v>44</v>
      </c>
      <c r="E2101" s="5">
        <v>40</v>
      </c>
      <c r="F2101" t="s" s="2">
        <v>1746</v>
      </c>
      <c r="G2101" t="s" s="2">
        <v>4136</v>
      </c>
      <c r="H2101" s="5">
        <v>330</v>
      </c>
      <c r="I2101" t="s" s="2">
        <v>1491</v>
      </c>
      <c r="J2101" t="s" s="2">
        <v>22</v>
      </c>
      <c r="K2101" t="s" s="2">
        <v>4141</v>
      </c>
      <c r="L2101" t="s" s="2">
        <v>2386</v>
      </c>
      <c r="M2101" s="5">
        <v>644694</v>
      </c>
      <c r="N2101" s="5">
        <v>6135014.45</v>
      </c>
      <c r="O2101" t="s" s="2">
        <v>305</v>
      </c>
      <c r="P2101" s="5">
        <v>40014936</v>
      </c>
      <c r="Q2101" t="s" s="2">
        <v>4137</v>
      </c>
      <c r="R2101" t="s" s="2">
        <f>_xlfn.IFERROR(INDEX('model_byCAP'!$D$2:$D$377,MATCH(Q2101,'model_byCAP'!$A$2:$A$377,0)),0)</f>
        <v>4042</v>
      </c>
    </row>
    <row r="2102" ht="15.35" customHeight="1">
      <c r="A2102" t="s" s="2">
        <v>4142</v>
      </c>
      <c r="B2102" s="4">
        <v>36672</v>
      </c>
      <c r="C2102" s="5">
        <v>750</v>
      </c>
      <c r="D2102" s="5">
        <v>44</v>
      </c>
      <c r="E2102" s="5">
        <v>40</v>
      </c>
      <c r="F2102" t="s" s="2">
        <v>1746</v>
      </c>
      <c r="G2102" t="s" s="2">
        <v>4136</v>
      </c>
      <c r="H2102" s="5">
        <v>330</v>
      </c>
      <c r="I2102" t="s" s="2">
        <v>1491</v>
      </c>
      <c r="J2102" t="s" s="2">
        <v>22</v>
      </c>
      <c r="K2102" t="s" s="2">
        <v>4141</v>
      </c>
      <c r="L2102" t="s" s="2">
        <v>2386</v>
      </c>
      <c r="M2102" s="5">
        <v>644555.05</v>
      </c>
      <c r="N2102" s="5">
        <v>6135085.05</v>
      </c>
      <c r="O2102" t="s" s="2">
        <v>305</v>
      </c>
      <c r="P2102" s="5">
        <v>40014936</v>
      </c>
      <c r="Q2102" t="s" s="2">
        <v>4137</v>
      </c>
      <c r="R2102" t="s" s="2">
        <f>_xlfn.IFERROR(INDEX('model_byCAP'!$D$2:$D$377,MATCH(Q2102,'model_byCAP'!$A$2:$A$377,0)),0)</f>
        <v>4042</v>
      </c>
    </row>
    <row r="2103" ht="15.35" customHeight="1">
      <c r="A2103" t="s" s="2">
        <v>4143</v>
      </c>
      <c r="B2103" s="4">
        <v>36672</v>
      </c>
      <c r="C2103" s="5">
        <v>750</v>
      </c>
      <c r="D2103" s="5">
        <v>44</v>
      </c>
      <c r="E2103" s="5">
        <v>40</v>
      </c>
      <c r="F2103" t="s" s="2">
        <v>1746</v>
      </c>
      <c r="G2103" t="s" s="2">
        <v>4136</v>
      </c>
      <c r="H2103" s="5">
        <v>330</v>
      </c>
      <c r="I2103" t="s" s="2">
        <v>1491</v>
      </c>
      <c r="J2103" t="s" s="2">
        <v>22</v>
      </c>
      <c r="K2103" t="s" s="2">
        <v>4141</v>
      </c>
      <c r="L2103" t="s" s="2">
        <v>2386</v>
      </c>
      <c r="M2103" s="5">
        <v>644416.4300000001</v>
      </c>
      <c r="N2103" s="5">
        <v>6135156.48</v>
      </c>
      <c r="O2103" t="s" s="2">
        <v>305</v>
      </c>
      <c r="P2103" s="5">
        <v>40014936</v>
      </c>
      <c r="Q2103" t="s" s="2">
        <v>4137</v>
      </c>
      <c r="R2103" t="s" s="2">
        <f>_xlfn.IFERROR(INDEX('model_byCAP'!$D$2:$D$377,MATCH(Q2103,'model_byCAP'!$A$2:$A$377,0)),0)</f>
        <v>4042</v>
      </c>
    </row>
    <row r="2104" ht="15.35" customHeight="1">
      <c r="A2104" t="s" s="2">
        <v>4144</v>
      </c>
      <c r="B2104" s="4">
        <v>36591</v>
      </c>
      <c r="C2104" s="5">
        <v>750</v>
      </c>
      <c r="D2104" s="5">
        <v>44</v>
      </c>
      <c r="E2104" s="5">
        <v>40</v>
      </c>
      <c r="F2104" t="s" s="2">
        <v>1746</v>
      </c>
      <c r="G2104" t="s" s="2">
        <v>4136</v>
      </c>
      <c r="H2104" s="5">
        <v>330</v>
      </c>
      <c r="I2104" t="s" s="2">
        <v>1491</v>
      </c>
      <c r="J2104" t="s" s="2">
        <v>22</v>
      </c>
      <c r="K2104" t="s" s="2">
        <v>4145</v>
      </c>
      <c r="L2104" t="s" s="2">
        <v>518</v>
      </c>
      <c r="M2104" s="5">
        <v>650078.58</v>
      </c>
      <c r="N2104" s="5">
        <v>6127118.87</v>
      </c>
      <c r="O2104" t="s" s="2">
        <v>305</v>
      </c>
      <c r="P2104" s="5">
        <v>194302</v>
      </c>
      <c r="Q2104" t="s" s="2">
        <v>4137</v>
      </c>
      <c r="R2104" t="s" s="2">
        <f>_xlfn.IFERROR(INDEX('model_byCAP'!$D$2:$D$377,MATCH(Q2104,'model_byCAP'!$A$2:$A$377,0)),0)</f>
        <v>4042</v>
      </c>
    </row>
    <row r="2105" ht="15.35" customHeight="1">
      <c r="A2105" t="s" s="2">
        <v>4146</v>
      </c>
      <c r="B2105" s="4">
        <v>36591</v>
      </c>
      <c r="C2105" s="5">
        <v>750</v>
      </c>
      <c r="D2105" s="5">
        <v>44</v>
      </c>
      <c r="E2105" s="5">
        <v>40</v>
      </c>
      <c r="F2105" t="s" s="2">
        <v>1746</v>
      </c>
      <c r="G2105" t="s" s="2">
        <v>4050</v>
      </c>
      <c r="H2105" s="5">
        <v>330</v>
      </c>
      <c r="I2105" t="s" s="2">
        <v>1491</v>
      </c>
      <c r="J2105" t="s" s="2">
        <v>22</v>
      </c>
      <c r="K2105" t="s" s="2">
        <v>4145</v>
      </c>
      <c r="L2105" t="s" s="2">
        <v>4147</v>
      </c>
      <c r="M2105" s="5">
        <v>649946.22</v>
      </c>
      <c r="N2105" s="5">
        <v>6127038.62</v>
      </c>
      <c r="O2105" t="s" s="2">
        <v>305</v>
      </c>
      <c r="P2105" s="5">
        <v>194303</v>
      </c>
      <c r="Q2105" t="s" s="2">
        <v>4053</v>
      </c>
      <c r="R2105" t="s" s="2">
        <f>_xlfn.IFERROR(INDEX('model_byCAP'!$D$2:$D$377,MATCH(Q2105,'model_byCAP'!$A$2:$A$377,0)),0)</f>
        <v>2955</v>
      </c>
    </row>
    <row r="2106" ht="15.35" customHeight="1">
      <c r="A2106" t="s" s="2">
        <v>4148</v>
      </c>
      <c r="B2106" s="4">
        <v>36591</v>
      </c>
      <c r="C2106" s="5">
        <v>750</v>
      </c>
      <c r="D2106" s="5">
        <v>44</v>
      </c>
      <c r="E2106" s="5">
        <v>40</v>
      </c>
      <c r="F2106" t="s" s="2">
        <v>1746</v>
      </c>
      <c r="G2106" t="s" s="2">
        <v>4136</v>
      </c>
      <c r="H2106" s="5">
        <v>330</v>
      </c>
      <c r="I2106" t="s" s="2">
        <v>1491</v>
      </c>
      <c r="J2106" t="s" s="2">
        <v>22</v>
      </c>
      <c r="K2106" t="s" s="2">
        <v>4149</v>
      </c>
      <c r="L2106" t="s" s="2">
        <v>1359</v>
      </c>
      <c r="M2106" s="5">
        <v>650210.84</v>
      </c>
      <c r="N2106" s="5">
        <v>6127198</v>
      </c>
      <c r="O2106" t="s" s="2">
        <v>305</v>
      </c>
      <c r="P2106" s="5">
        <v>194301</v>
      </c>
      <c r="Q2106" t="s" s="2">
        <v>4137</v>
      </c>
      <c r="R2106" t="s" s="2">
        <f>_xlfn.IFERROR(INDEX('model_byCAP'!$D$2:$D$377,MATCH(Q2106,'model_byCAP'!$A$2:$A$377,0)),0)</f>
        <v>4042</v>
      </c>
    </row>
    <row r="2107" ht="15.35" customHeight="1">
      <c r="A2107" t="s" s="2">
        <v>4150</v>
      </c>
      <c r="B2107" s="4">
        <v>36047</v>
      </c>
      <c r="C2107" s="5">
        <v>750</v>
      </c>
      <c r="D2107" s="5">
        <v>48</v>
      </c>
      <c r="E2107" s="5">
        <v>46</v>
      </c>
      <c r="F2107" t="s" s="2">
        <v>1746</v>
      </c>
      <c r="G2107" t="s" s="2">
        <v>4151</v>
      </c>
      <c r="H2107" s="5">
        <v>336</v>
      </c>
      <c r="I2107" t="s" s="2">
        <v>4152</v>
      </c>
      <c r="J2107" t="s" s="2">
        <v>22</v>
      </c>
      <c r="K2107" t="s" s="2">
        <v>4153</v>
      </c>
      <c r="L2107" t="s" s="2">
        <v>1198</v>
      </c>
      <c r="M2107" s="5">
        <v>711986.73</v>
      </c>
      <c r="N2107" s="5">
        <v>6130845.85</v>
      </c>
      <c r="O2107" t="s" s="2">
        <v>305</v>
      </c>
      <c r="P2107" s="5">
        <v>191571</v>
      </c>
      <c r="Q2107" t="s" s="2">
        <v>4154</v>
      </c>
      <c r="R2107" t="s" s="2">
        <f>_xlfn.IFERROR(INDEX('model_byCAP'!$D$2:$D$377,MATCH(Q2107,'model_byCAP'!$A$2:$A$377,0)),0)</f>
        <v>4047</v>
      </c>
    </row>
    <row r="2108" ht="15.35" customHeight="1">
      <c r="A2108" t="s" s="2">
        <v>4155</v>
      </c>
      <c r="B2108" s="4">
        <v>36047</v>
      </c>
      <c r="C2108" s="5">
        <v>750</v>
      </c>
      <c r="D2108" s="5">
        <v>48</v>
      </c>
      <c r="E2108" s="5">
        <v>45</v>
      </c>
      <c r="F2108" t="s" s="2">
        <v>1746</v>
      </c>
      <c r="G2108" t="s" s="2">
        <v>4044</v>
      </c>
      <c r="H2108" s="5">
        <v>336</v>
      </c>
      <c r="I2108" t="s" s="2">
        <v>4152</v>
      </c>
      <c r="J2108" t="s" s="2">
        <v>22</v>
      </c>
      <c r="K2108" t="s" s="2">
        <v>4153</v>
      </c>
      <c r="L2108" t="s" s="2">
        <v>4156</v>
      </c>
      <c r="M2108" s="5">
        <v>711991.39</v>
      </c>
      <c r="N2108" s="5">
        <v>6131021.93</v>
      </c>
      <c r="O2108" t="s" s="2">
        <v>305</v>
      </c>
      <c r="P2108" s="5">
        <v>191572</v>
      </c>
      <c r="Q2108" t="s" s="2">
        <v>4046</v>
      </c>
      <c r="R2108" t="s" s="2">
        <f>_xlfn.IFERROR(INDEX('model_byCAP'!$D$2:$D$377,MATCH(Q2108,'model_byCAP'!$A$2:$A$377,0)),0)</f>
        <v>4047</v>
      </c>
    </row>
    <row r="2109" ht="15.35" customHeight="1">
      <c r="A2109" t="s" s="2">
        <v>4157</v>
      </c>
      <c r="B2109" s="4">
        <v>36047</v>
      </c>
      <c r="C2109" s="5">
        <v>750</v>
      </c>
      <c r="D2109" s="5">
        <v>48</v>
      </c>
      <c r="E2109" s="5">
        <v>45</v>
      </c>
      <c r="F2109" t="s" s="2">
        <v>1746</v>
      </c>
      <c r="G2109" t="s" s="2">
        <v>4044</v>
      </c>
      <c r="H2109" s="5">
        <v>336</v>
      </c>
      <c r="I2109" t="s" s="2">
        <v>4152</v>
      </c>
      <c r="J2109" t="s" s="2">
        <v>22</v>
      </c>
      <c r="K2109" t="s" s="2">
        <v>4153</v>
      </c>
      <c r="L2109" s="5">
        <v>21</v>
      </c>
      <c r="M2109" s="5">
        <v>712006.3</v>
      </c>
      <c r="N2109" s="5">
        <v>6131194.75</v>
      </c>
      <c r="O2109" t="s" s="2">
        <v>305</v>
      </c>
      <c r="P2109" s="5">
        <v>191573</v>
      </c>
      <c r="Q2109" t="s" s="2">
        <v>4046</v>
      </c>
      <c r="R2109" t="s" s="2">
        <f>_xlfn.IFERROR(INDEX('model_byCAP'!$D$2:$D$377,MATCH(Q2109,'model_byCAP'!$A$2:$A$377,0)),0)</f>
        <v>4047</v>
      </c>
    </row>
    <row r="2110" ht="15.35" customHeight="1">
      <c r="A2110" t="s" s="2">
        <v>4158</v>
      </c>
      <c r="B2110" s="4">
        <v>36047</v>
      </c>
      <c r="C2110" s="5">
        <v>750</v>
      </c>
      <c r="D2110" s="5">
        <v>48</v>
      </c>
      <c r="E2110" s="5">
        <v>45</v>
      </c>
      <c r="F2110" t="s" s="2">
        <v>1746</v>
      </c>
      <c r="G2110" t="s" s="2">
        <v>4044</v>
      </c>
      <c r="H2110" s="5">
        <v>336</v>
      </c>
      <c r="I2110" t="s" s="2">
        <v>4152</v>
      </c>
      <c r="J2110" t="s" s="2">
        <v>22</v>
      </c>
      <c r="K2110" t="s" s="2">
        <v>4153</v>
      </c>
      <c r="L2110" s="5">
        <v>21</v>
      </c>
      <c r="M2110" s="5">
        <v>712017.05</v>
      </c>
      <c r="N2110" s="5">
        <v>6131369.47</v>
      </c>
      <c r="O2110" t="s" s="2">
        <v>305</v>
      </c>
      <c r="P2110" s="5">
        <v>191574</v>
      </c>
      <c r="Q2110" t="s" s="2">
        <v>4046</v>
      </c>
      <c r="R2110" t="s" s="2">
        <f>_xlfn.IFERROR(INDEX('model_byCAP'!$D$2:$D$377,MATCH(Q2110,'model_byCAP'!$A$2:$A$377,0)),0)</f>
        <v>4047</v>
      </c>
    </row>
    <row r="2111" ht="15.35" customHeight="1">
      <c r="A2111" t="s" s="2">
        <v>4159</v>
      </c>
      <c r="B2111" s="4">
        <v>36047</v>
      </c>
      <c r="C2111" s="5">
        <v>750</v>
      </c>
      <c r="D2111" s="5">
        <v>48.2</v>
      </c>
      <c r="E2111" s="5">
        <v>45</v>
      </c>
      <c r="F2111" t="s" s="2">
        <v>1746</v>
      </c>
      <c r="G2111" t="s" s="2">
        <v>4044</v>
      </c>
      <c r="H2111" s="5">
        <v>336</v>
      </c>
      <c r="I2111" t="s" s="2">
        <v>4152</v>
      </c>
      <c r="J2111" t="s" s="2">
        <v>22</v>
      </c>
      <c r="K2111" t="s" s="2">
        <v>4153</v>
      </c>
      <c r="L2111" t="s" s="2">
        <v>4160</v>
      </c>
      <c r="M2111" s="5">
        <v>712026.8</v>
      </c>
      <c r="N2111" s="5">
        <v>6131546.02</v>
      </c>
      <c r="O2111" t="s" s="2">
        <v>305</v>
      </c>
      <c r="P2111" s="5">
        <v>191575</v>
      </c>
      <c r="Q2111" t="s" s="2">
        <v>4046</v>
      </c>
      <c r="R2111" t="s" s="2">
        <f>_xlfn.IFERROR(INDEX('model_byCAP'!$D$2:$D$377,MATCH(Q2111,'model_byCAP'!$A$2:$A$377,0)),0)</f>
        <v>4047</v>
      </c>
    </row>
    <row r="2112" ht="15.35" customHeight="1">
      <c r="A2112" t="s" s="2">
        <v>4161</v>
      </c>
      <c r="B2112" s="4">
        <v>36753</v>
      </c>
      <c r="C2112" s="5">
        <v>750</v>
      </c>
      <c r="D2112" s="5">
        <v>48</v>
      </c>
      <c r="E2112" s="5">
        <v>45</v>
      </c>
      <c r="F2112" t="s" s="2">
        <v>1746</v>
      </c>
      <c r="G2112" t="s" s="2">
        <v>4151</v>
      </c>
      <c r="H2112" s="5">
        <v>360</v>
      </c>
      <c r="I2112" t="s" s="2">
        <v>463</v>
      </c>
      <c r="J2112" t="s" s="2">
        <v>22</v>
      </c>
      <c r="K2112" t="s" s="2">
        <v>1992</v>
      </c>
      <c r="L2112" t="s" s="2">
        <v>4162</v>
      </c>
      <c r="M2112" s="5">
        <v>651844.1899999999</v>
      </c>
      <c r="N2112" s="5">
        <v>6080070.08</v>
      </c>
      <c r="O2112" t="s" s="2">
        <v>305</v>
      </c>
      <c r="P2112" s="5">
        <v>195016</v>
      </c>
      <c r="Q2112" t="s" s="2">
        <v>4154</v>
      </c>
      <c r="R2112" t="s" s="2">
        <f>_xlfn.IFERROR(INDEX('model_byCAP'!$D$2:$D$377,MATCH(Q2112,'model_byCAP'!$A$2:$A$377,0)),0)</f>
        <v>4047</v>
      </c>
    </row>
    <row r="2113" ht="15.35" customHeight="1">
      <c r="A2113" t="s" s="2">
        <v>4163</v>
      </c>
      <c r="B2113" s="4">
        <v>36753</v>
      </c>
      <c r="C2113" s="5">
        <v>750</v>
      </c>
      <c r="D2113" s="5">
        <v>48</v>
      </c>
      <c r="E2113" s="5">
        <v>45</v>
      </c>
      <c r="F2113" t="s" s="2">
        <v>1746</v>
      </c>
      <c r="G2113" t="s" s="2">
        <v>4151</v>
      </c>
      <c r="H2113" s="5">
        <v>360</v>
      </c>
      <c r="I2113" t="s" s="2">
        <v>463</v>
      </c>
      <c r="J2113" t="s" s="2">
        <v>22</v>
      </c>
      <c r="K2113" t="s" s="2">
        <v>1992</v>
      </c>
      <c r="L2113" t="s" s="2">
        <v>4164</v>
      </c>
      <c r="M2113" s="5">
        <v>651620.09</v>
      </c>
      <c r="N2113" s="5">
        <v>6080095.34</v>
      </c>
      <c r="O2113" t="s" s="2">
        <v>305</v>
      </c>
      <c r="P2113" s="5">
        <v>195016</v>
      </c>
      <c r="Q2113" t="s" s="2">
        <v>4154</v>
      </c>
      <c r="R2113" t="s" s="2">
        <f>_xlfn.IFERROR(INDEX('model_byCAP'!$D$2:$D$377,MATCH(Q2113,'model_byCAP'!$A$2:$A$377,0)),0)</f>
        <v>4047</v>
      </c>
    </row>
    <row r="2114" ht="15.35" customHeight="1">
      <c r="A2114" t="s" s="2">
        <v>4165</v>
      </c>
      <c r="B2114" s="4">
        <v>36753</v>
      </c>
      <c r="C2114" s="5">
        <v>750</v>
      </c>
      <c r="D2114" s="5">
        <v>48</v>
      </c>
      <c r="E2114" s="5">
        <v>45</v>
      </c>
      <c r="F2114" t="s" s="2">
        <v>1746</v>
      </c>
      <c r="G2114" t="s" s="2">
        <v>4151</v>
      </c>
      <c r="H2114" s="5">
        <v>360</v>
      </c>
      <c r="I2114" t="s" s="2">
        <v>463</v>
      </c>
      <c r="J2114" t="s" s="2">
        <v>22</v>
      </c>
      <c r="K2114" t="s" s="2">
        <v>1992</v>
      </c>
      <c r="L2114" t="s" s="2">
        <v>4166</v>
      </c>
      <c r="M2114" s="5">
        <v>651753.49</v>
      </c>
      <c r="N2114" s="5">
        <v>6080274.57</v>
      </c>
      <c r="O2114" t="s" s="2">
        <v>305</v>
      </c>
      <c r="P2114" s="5">
        <v>195016</v>
      </c>
      <c r="Q2114" t="s" s="2">
        <v>4154</v>
      </c>
      <c r="R2114" t="s" s="2">
        <f>_xlfn.IFERROR(INDEX('model_byCAP'!$D$2:$D$377,MATCH(Q2114,'model_byCAP'!$A$2:$A$377,0)),0)</f>
        <v>4047</v>
      </c>
    </row>
    <row r="2115" ht="15.35" customHeight="1">
      <c r="A2115" t="s" s="2">
        <v>4167</v>
      </c>
      <c r="B2115" s="4">
        <v>35446</v>
      </c>
      <c r="C2115" s="5">
        <v>750</v>
      </c>
      <c r="D2115" s="5">
        <v>44</v>
      </c>
      <c r="E2115" s="5">
        <v>46</v>
      </c>
      <c r="F2115" t="s" s="2">
        <v>1746</v>
      </c>
      <c r="G2115" t="s" s="2">
        <v>4168</v>
      </c>
      <c r="H2115" s="5">
        <v>360</v>
      </c>
      <c r="I2115" t="s" s="2">
        <v>463</v>
      </c>
      <c r="J2115" t="s" s="2">
        <v>22</v>
      </c>
      <c r="K2115" t="s" s="2">
        <v>4169</v>
      </c>
      <c r="L2115" t="s" s="2">
        <v>4170</v>
      </c>
      <c r="M2115" s="5">
        <v>654095.12</v>
      </c>
      <c r="N2115" s="5">
        <v>6058559.54</v>
      </c>
      <c r="O2115" t="s" s="2">
        <v>305</v>
      </c>
      <c r="P2115" s="5">
        <v>2059234</v>
      </c>
      <c r="Q2115" t="s" s="2">
        <v>4171</v>
      </c>
      <c r="R2115" t="s" s="2">
        <f>_xlfn.IFERROR(INDEX('model_byCAP'!$D$2:$D$377,MATCH(Q2115,'model_byCAP'!$A$2:$A$377,0)),0)</f>
        <v>4042</v>
      </c>
    </row>
    <row r="2116" ht="15.35" customHeight="1">
      <c r="A2116" t="s" s="2">
        <v>4172</v>
      </c>
      <c r="B2116" s="4">
        <v>35446</v>
      </c>
      <c r="C2116" s="5">
        <v>750</v>
      </c>
      <c r="D2116" s="5">
        <v>44</v>
      </c>
      <c r="E2116" s="5">
        <v>46</v>
      </c>
      <c r="F2116" t="s" s="2">
        <v>1746</v>
      </c>
      <c r="G2116" t="s" s="2">
        <v>4168</v>
      </c>
      <c r="H2116" s="5">
        <v>360</v>
      </c>
      <c r="I2116" t="s" s="2">
        <v>463</v>
      </c>
      <c r="J2116" t="s" s="2">
        <v>22</v>
      </c>
      <c r="K2116" t="s" s="2">
        <v>4169</v>
      </c>
      <c r="L2116" t="s" s="2">
        <v>4173</v>
      </c>
      <c r="M2116" s="5">
        <v>654089.26</v>
      </c>
      <c r="N2116" s="5">
        <v>6058367.15</v>
      </c>
      <c r="O2116" t="s" s="2">
        <v>305</v>
      </c>
      <c r="P2116" s="5">
        <v>2059234</v>
      </c>
      <c r="Q2116" t="s" s="2">
        <v>4171</v>
      </c>
      <c r="R2116" t="s" s="2">
        <f>_xlfn.IFERROR(INDEX('model_byCAP'!$D$2:$D$377,MATCH(Q2116,'model_byCAP'!$A$2:$A$377,0)),0)</f>
        <v>4042</v>
      </c>
    </row>
    <row r="2117" ht="15.35" customHeight="1">
      <c r="A2117" t="s" s="2">
        <v>4174</v>
      </c>
      <c r="B2117" s="4">
        <v>35446</v>
      </c>
      <c r="C2117" s="5">
        <v>750</v>
      </c>
      <c r="D2117" s="5">
        <v>44</v>
      </c>
      <c r="E2117" s="5">
        <v>46</v>
      </c>
      <c r="F2117" t="s" s="2">
        <v>1746</v>
      </c>
      <c r="G2117" t="s" s="2">
        <v>4168</v>
      </c>
      <c r="H2117" s="5">
        <v>360</v>
      </c>
      <c r="I2117" t="s" s="2">
        <v>463</v>
      </c>
      <c r="J2117" t="s" s="2">
        <v>22</v>
      </c>
      <c r="K2117" t="s" s="2">
        <v>4169</v>
      </c>
      <c r="L2117" t="s" s="2">
        <v>4173</v>
      </c>
      <c r="M2117" s="5">
        <v>654408.6</v>
      </c>
      <c r="N2117" s="5">
        <v>6058187.75</v>
      </c>
      <c r="O2117" t="s" s="2">
        <v>305</v>
      </c>
      <c r="P2117" s="5">
        <v>2059234</v>
      </c>
      <c r="Q2117" t="s" s="2">
        <v>4171</v>
      </c>
      <c r="R2117" t="s" s="2">
        <f>_xlfn.IFERROR(INDEX('model_byCAP'!$D$2:$D$377,MATCH(Q2117,'model_byCAP'!$A$2:$A$377,0)),0)</f>
        <v>4042</v>
      </c>
    </row>
    <row r="2118" ht="15.35" customHeight="1">
      <c r="A2118" t="s" s="2">
        <v>4175</v>
      </c>
      <c r="B2118" s="4">
        <v>35446</v>
      </c>
      <c r="C2118" s="5">
        <v>750</v>
      </c>
      <c r="D2118" s="5">
        <v>44</v>
      </c>
      <c r="E2118" s="5">
        <v>46</v>
      </c>
      <c r="F2118" t="s" s="2">
        <v>1746</v>
      </c>
      <c r="G2118" t="s" s="2">
        <v>4168</v>
      </c>
      <c r="H2118" s="5">
        <v>360</v>
      </c>
      <c r="I2118" t="s" s="2">
        <v>463</v>
      </c>
      <c r="J2118" t="s" s="2">
        <v>22</v>
      </c>
      <c r="K2118" t="s" s="2">
        <v>4169</v>
      </c>
      <c r="L2118" t="s" s="2">
        <v>4173</v>
      </c>
      <c r="M2118" s="5">
        <v>653926.3100000001</v>
      </c>
      <c r="N2118" s="5">
        <v>6058263.91</v>
      </c>
      <c r="O2118" t="s" s="2">
        <v>305</v>
      </c>
      <c r="P2118" s="5">
        <v>2059234</v>
      </c>
      <c r="Q2118" t="s" s="2">
        <v>4171</v>
      </c>
      <c r="R2118" t="s" s="2">
        <f>_xlfn.IFERROR(INDEX('model_byCAP'!$D$2:$D$377,MATCH(Q2118,'model_byCAP'!$A$2:$A$377,0)),0)</f>
        <v>4042</v>
      </c>
    </row>
    <row r="2119" ht="15.35" customHeight="1">
      <c r="A2119" t="s" s="2">
        <v>4176</v>
      </c>
      <c r="B2119" s="4">
        <v>35446</v>
      </c>
      <c r="C2119" s="5">
        <v>750</v>
      </c>
      <c r="D2119" s="5">
        <v>44</v>
      </c>
      <c r="E2119" s="5">
        <v>46</v>
      </c>
      <c r="F2119" t="s" s="2">
        <v>1746</v>
      </c>
      <c r="G2119" t="s" s="2">
        <v>4168</v>
      </c>
      <c r="H2119" s="5">
        <v>360</v>
      </c>
      <c r="I2119" t="s" s="2">
        <v>463</v>
      </c>
      <c r="J2119" t="s" s="2">
        <v>22</v>
      </c>
      <c r="K2119" t="s" s="2">
        <v>4169</v>
      </c>
      <c r="L2119" t="s" s="2">
        <v>4173</v>
      </c>
      <c r="M2119" s="5">
        <v>654085.88</v>
      </c>
      <c r="N2119" s="5">
        <v>6058174.28</v>
      </c>
      <c r="O2119" t="s" s="2">
        <v>305</v>
      </c>
      <c r="P2119" s="5">
        <v>2059234</v>
      </c>
      <c r="Q2119" t="s" s="2">
        <v>4171</v>
      </c>
      <c r="R2119" t="s" s="2">
        <f>_xlfn.IFERROR(INDEX('model_byCAP'!$D$2:$D$377,MATCH(Q2119,'model_byCAP'!$A$2:$A$377,0)),0)</f>
        <v>4042</v>
      </c>
    </row>
    <row r="2120" ht="15.35" customHeight="1">
      <c r="A2120" t="s" s="2">
        <v>4177</v>
      </c>
      <c r="B2120" s="4">
        <v>35446</v>
      </c>
      <c r="C2120" s="5">
        <v>750</v>
      </c>
      <c r="D2120" s="5">
        <v>44</v>
      </c>
      <c r="E2120" s="5">
        <v>46</v>
      </c>
      <c r="F2120" t="s" s="2">
        <v>1746</v>
      </c>
      <c r="G2120" t="s" s="2">
        <v>4168</v>
      </c>
      <c r="H2120" s="5">
        <v>360</v>
      </c>
      <c r="I2120" t="s" s="2">
        <v>463</v>
      </c>
      <c r="J2120" t="s" s="2">
        <v>22</v>
      </c>
      <c r="K2120" t="s" s="2">
        <v>4169</v>
      </c>
      <c r="L2120" t="s" s="2">
        <v>4173</v>
      </c>
      <c r="M2120" s="5">
        <v>654247.67</v>
      </c>
      <c r="N2120" s="5">
        <v>6058084.23</v>
      </c>
      <c r="O2120" t="s" s="2">
        <v>305</v>
      </c>
      <c r="P2120" s="5">
        <v>2059234</v>
      </c>
      <c r="Q2120" t="s" s="2">
        <v>4171</v>
      </c>
      <c r="R2120" t="s" s="2">
        <f>_xlfn.IFERROR(INDEX('model_byCAP'!$D$2:$D$377,MATCH(Q2120,'model_byCAP'!$A$2:$A$377,0)),0)</f>
        <v>4042</v>
      </c>
    </row>
    <row r="2121" ht="15.35" customHeight="1">
      <c r="A2121" t="s" s="2">
        <v>4178</v>
      </c>
      <c r="B2121" s="4">
        <v>35446</v>
      </c>
      <c r="C2121" s="5">
        <v>750</v>
      </c>
      <c r="D2121" s="5">
        <v>44</v>
      </c>
      <c r="E2121" s="5">
        <v>46</v>
      </c>
      <c r="F2121" t="s" s="2">
        <v>1746</v>
      </c>
      <c r="G2121" t="s" s="2">
        <v>4168</v>
      </c>
      <c r="H2121" s="5">
        <v>360</v>
      </c>
      <c r="I2121" t="s" s="2">
        <v>463</v>
      </c>
      <c r="J2121" t="s" s="2">
        <v>22</v>
      </c>
      <c r="K2121" t="s" s="2">
        <v>4169</v>
      </c>
      <c r="L2121" t="s" s="2">
        <v>4173</v>
      </c>
      <c r="M2121" s="5">
        <v>654403.26</v>
      </c>
      <c r="N2121" s="5">
        <v>6057995.58</v>
      </c>
      <c r="O2121" t="s" s="2">
        <v>305</v>
      </c>
      <c r="P2121" s="5">
        <v>2059234</v>
      </c>
      <c r="Q2121" t="s" s="2">
        <v>4171</v>
      </c>
      <c r="R2121" t="s" s="2">
        <f>_xlfn.IFERROR(INDEX('model_byCAP'!$D$2:$D$377,MATCH(Q2121,'model_byCAP'!$A$2:$A$377,0)),0)</f>
        <v>4042</v>
      </c>
    </row>
    <row r="2122" ht="15.35" customHeight="1">
      <c r="A2122" t="s" s="2">
        <v>4179</v>
      </c>
      <c r="B2122" s="4">
        <v>35445</v>
      </c>
      <c r="C2122" s="5">
        <v>750</v>
      </c>
      <c r="D2122" s="5">
        <v>44</v>
      </c>
      <c r="E2122" s="5">
        <v>46</v>
      </c>
      <c r="F2122" t="s" s="2">
        <v>1746</v>
      </c>
      <c r="G2122" t="s" s="2">
        <v>4168</v>
      </c>
      <c r="H2122" s="5">
        <v>360</v>
      </c>
      <c r="I2122" t="s" s="2">
        <v>463</v>
      </c>
      <c r="J2122" t="s" s="2">
        <v>22</v>
      </c>
      <c r="K2122" t="s" s="2">
        <v>4169</v>
      </c>
      <c r="L2122" t="s" s="2">
        <v>4180</v>
      </c>
      <c r="M2122" s="5">
        <v>654252.76</v>
      </c>
      <c r="N2122" s="5">
        <v>6058470.23</v>
      </c>
      <c r="O2122" t="s" s="2">
        <v>305</v>
      </c>
      <c r="P2122" s="5">
        <v>2059219</v>
      </c>
      <c r="Q2122" t="s" s="2">
        <v>4171</v>
      </c>
      <c r="R2122" t="s" s="2">
        <f>_xlfn.IFERROR(INDEX('model_byCAP'!$D$2:$D$377,MATCH(Q2122,'model_byCAP'!$A$2:$A$377,0)),0)</f>
        <v>4042</v>
      </c>
    </row>
    <row r="2123" ht="15.35" customHeight="1">
      <c r="A2123" t="s" s="2">
        <v>4181</v>
      </c>
      <c r="B2123" s="4">
        <v>35445</v>
      </c>
      <c r="C2123" s="5">
        <v>750</v>
      </c>
      <c r="D2123" s="5">
        <v>44</v>
      </c>
      <c r="E2123" s="5">
        <v>46</v>
      </c>
      <c r="F2123" t="s" s="2">
        <v>1746</v>
      </c>
      <c r="G2123" t="s" s="2">
        <v>4168</v>
      </c>
      <c r="H2123" s="5">
        <v>360</v>
      </c>
      <c r="I2123" t="s" s="2">
        <v>463</v>
      </c>
      <c r="J2123" t="s" s="2">
        <v>22</v>
      </c>
      <c r="K2123" t="s" s="2">
        <v>4169</v>
      </c>
      <c r="L2123" t="s" s="2">
        <v>4173</v>
      </c>
      <c r="M2123" s="5">
        <v>654411.55</v>
      </c>
      <c r="N2123" s="5">
        <v>6058381.21</v>
      </c>
      <c r="O2123" t="s" s="2">
        <v>305</v>
      </c>
      <c r="P2123" s="5">
        <v>2059219</v>
      </c>
      <c r="Q2123" t="s" s="2">
        <v>4171</v>
      </c>
      <c r="R2123" t="s" s="2">
        <f>_xlfn.IFERROR(INDEX('model_byCAP'!$D$2:$D$377,MATCH(Q2123,'model_byCAP'!$A$2:$A$377,0)),0)</f>
        <v>4042</v>
      </c>
    </row>
    <row r="2124" ht="15.35" customHeight="1">
      <c r="A2124" t="s" s="2">
        <v>4182</v>
      </c>
      <c r="B2124" s="4">
        <v>35466</v>
      </c>
      <c r="C2124" s="5">
        <v>750</v>
      </c>
      <c r="D2124" s="5">
        <v>44</v>
      </c>
      <c r="E2124" s="5">
        <v>46</v>
      </c>
      <c r="F2124" t="s" s="2">
        <v>1746</v>
      </c>
      <c r="G2124" t="s" s="2">
        <v>4168</v>
      </c>
      <c r="H2124" s="5">
        <v>360</v>
      </c>
      <c r="I2124" t="s" s="2">
        <v>463</v>
      </c>
      <c r="J2124" t="s" s="2">
        <v>22</v>
      </c>
      <c r="K2124" t="s" s="2">
        <v>4183</v>
      </c>
      <c r="L2124" t="s" s="2">
        <v>492</v>
      </c>
      <c r="M2124" s="5">
        <v>657528.54</v>
      </c>
      <c r="N2124" s="5">
        <v>6058531.53</v>
      </c>
      <c r="O2124" t="s" s="2">
        <v>305</v>
      </c>
      <c r="P2124" s="5">
        <v>2061089</v>
      </c>
      <c r="Q2124" t="s" s="2">
        <v>4171</v>
      </c>
      <c r="R2124" t="s" s="2">
        <f>_xlfn.IFERROR(INDEX('model_byCAP'!$D$2:$D$377,MATCH(Q2124,'model_byCAP'!$A$2:$A$377,0)),0)</f>
        <v>4042</v>
      </c>
    </row>
    <row r="2125" ht="15.35" customHeight="1">
      <c r="A2125" t="s" s="2">
        <v>4184</v>
      </c>
      <c r="B2125" s="4">
        <v>35466</v>
      </c>
      <c r="C2125" s="5">
        <v>750</v>
      </c>
      <c r="D2125" s="5">
        <v>44</v>
      </c>
      <c r="E2125" s="5">
        <v>46</v>
      </c>
      <c r="F2125" t="s" s="2">
        <v>1746</v>
      </c>
      <c r="G2125" t="s" s="2">
        <v>4168</v>
      </c>
      <c r="H2125" s="5">
        <v>360</v>
      </c>
      <c r="I2125" t="s" s="2">
        <v>463</v>
      </c>
      <c r="J2125" t="s" s="2">
        <v>22</v>
      </c>
      <c r="K2125" t="s" s="2">
        <v>4183</v>
      </c>
      <c r="L2125" t="s" s="2">
        <v>492</v>
      </c>
      <c r="M2125" s="5">
        <v>657839</v>
      </c>
      <c r="N2125" s="5">
        <v>6058543.37</v>
      </c>
      <c r="O2125" t="s" s="2">
        <v>305</v>
      </c>
      <c r="P2125" s="5">
        <v>2061089</v>
      </c>
      <c r="Q2125" t="s" s="2">
        <v>4171</v>
      </c>
      <c r="R2125" t="s" s="2">
        <f>_xlfn.IFERROR(INDEX('model_byCAP'!$D$2:$D$377,MATCH(Q2125,'model_byCAP'!$A$2:$A$377,0)),0)</f>
        <v>4042</v>
      </c>
    </row>
    <row r="2126" ht="15.35" customHeight="1">
      <c r="A2126" t="s" s="2">
        <v>4185</v>
      </c>
      <c r="B2126" s="4">
        <v>35466</v>
      </c>
      <c r="C2126" s="5">
        <v>750</v>
      </c>
      <c r="D2126" s="5">
        <v>44</v>
      </c>
      <c r="E2126" s="5">
        <v>46</v>
      </c>
      <c r="F2126" t="s" s="2">
        <v>1746</v>
      </c>
      <c r="G2126" t="s" s="2">
        <v>4168</v>
      </c>
      <c r="H2126" s="5">
        <v>360</v>
      </c>
      <c r="I2126" t="s" s="2">
        <v>463</v>
      </c>
      <c r="J2126" t="s" s="2">
        <v>22</v>
      </c>
      <c r="K2126" t="s" s="2">
        <v>4183</v>
      </c>
      <c r="L2126" t="s" s="2">
        <v>492</v>
      </c>
      <c r="M2126" s="5">
        <v>657914.64</v>
      </c>
      <c r="N2126" s="5">
        <v>6058321.94</v>
      </c>
      <c r="O2126" t="s" s="2">
        <v>305</v>
      </c>
      <c r="P2126" s="5">
        <v>2061089</v>
      </c>
      <c r="Q2126" t="s" s="2">
        <v>4171</v>
      </c>
      <c r="R2126" t="s" s="2">
        <f>_xlfn.IFERROR(INDEX('model_byCAP'!$D$2:$D$377,MATCH(Q2126,'model_byCAP'!$A$2:$A$377,0)),0)</f>
        <v>4042</v>
      </c>
    </row>
    <row r="2127" ht="15.35" customHeight="1">
      <c r="A2127" t="s" s="2">
        <v>4186</v>
      </c>
      <c r="B2127" s="4">
        <v>36144</v>
      </c>
      <c r="C2127" s="5">
        <v>750</v>
      </c>
      <c r="D2127" s="5">
        <v>48</v>
      </c>
      <c r="E2127" s="5">
        <v>45</v>
      </c>
      <c r="F2127" t="s" s="2">
        <v>1746</v>
      </c>
      <c r="G2127" t="s" s="2">
        <v>4168</v>
      </c>
      <c r="H2127" s="5">
        <v>360</v>
      </c>
      <c r="I2127" t="s" s="2">
        <v>463</v>
      </c>
      <c r="J2127" t="s" s="2">
        <v>22</v>
      </c>
      <c r="K2127" t="s" s="2">
        <v>4183</v>
      </c>
      <c r="L2127" t="s" s="2">
        <v>492</v>
      </c>
      <c r="M2127" s="5">
        <v>657685.89</v>
      </c>
      <c r="N2127" s="5">
        <v>6058085.68</v>
      </c>
      <c r="O2127" t="s" s="2">
        <v>305</v>
      </c>
      <c r="P2127" s="5">
        <v>2061087</v>
      </c>
      <c r="Q2127" t="s" s="2">
        <v>4171</v>
      </c>
      <c r="R2127" t="s" s="2">
        <f>_xlfn.IFERROR(INDEX('model_byCAP'!$D$2:$D$377,MATCH(Q2127,'model_byCAP'!$A$2:$A$377,0)),0)</f>
        <v>4042</v>
      </c>
    </row>
    <row r="2128" ht="15.35" customHeight="1">
      <c r="A2128" t="s" s="2">
        <v>4187</v>
      </c>
      <c r="B2128" s="4">
        <v>36144</v>
      </c>
      <c r="C2128" s="5">
        <v>750</v>
      </c>
      <c r="D2128" s="5">
        <v>48</v>
      </c>
      <c r="E2128" s="5">
        <v>45</v>
      </c>
      <c r="F2128" t="s" s="2">
        <v>1746</v>
      </c>
      <c r="G2128" t="s" s="2">
        <v>4168</v>
      </c>
      <c r="H2128" s="5">
        <v>360</v>
      </c>
      <c r="I2128" t="s" s="2">
        <v>463</v>
      </c>
      <c r="J2128" t="s" s="2">
        <v>22</v>
      </c>
      <c r="K2128" t="s" s="2">
        <v>4183</v>
      </c>
      <c r="L2128" t="s" s="2">
        <v>492</v>
      </c>
      <c r="M2128" s="5">
        <v>657765.37</v>
      </c>
      <c r="N2128" s="5">
        <v>6057862.57</v>
      </c>
      <c r="O2128" t="s" s="2">
        <v>305</v>
      </c>
      <c r="P2128" s="5">
        <v>2061087</v>
      </c>
      <c r="Q2128" t="s" s="2">
        <v>4171</v>
      </c>
      <c r="R2128" t="s" s="2">
        <f>_xlfn.IFERROR(INDEX('model_byCAP'!$D$2:$D$377,MATCH(Q2128,'model_byCAP'!$A$2:$A$377,0)),0)</f>
        <v>4042</v>
      </c>
    </row>
    <row r="2129" ht="15.35" customHeight="1">
      <c r="A2129" t="s" s="2">
        <v>4188</v>
      </c>
      <c r="B2129" s="4">
        <v>36117</v>
      </c>
      <c r="C2129" s="5">
        <v>750</v>
      </c>
      <c r="D2129" s="5">
        <v>41</v>
      </c>
      <c r="E2129" s="5">
        <v>42</v>
      </c>
      <c r="F2129" t="s" s="2">
        <v>1746</v>
      </c>
      <c r="G2129" t="s" s="2">
        <v>4168</v>
      </c>
      <c r="H2129" s="5">
        <v>360</v>
      </c>
      <c r="I2129" t="s" s="2">
        <v>463</v>
      </c>
      <c r="J2129" t="s" s="2">
        <v>22</v>
      </c>
      <c r="K2129" t="s" s="2">
        <v>4183</v>
      </c>
      <c r="L2129" t="s" s="2">
        <v>492</v>
      </c>
      <c r="M2129" s="5">
        <v>657990.75</v>
      </c>
      <c r="N2129" s="5">
        <v>6058101.58</v>
      </c>
      <c r="O2129" t="s" s="2">
        <v>305</v>
      </c>
      <c r="P2129" s="5">
        <v>2061086</v>
      </c>
      <c r="Q2129" t="s" s="2">
        <v>4171</v>
      </c>
      <c r="R2129" t="s" s="2">
        <f>_xlfn.IFERROR(INDEX('model_byCAP'!$D$2:$D$377,MATCH(Q2129,'model_byCAP'!$A$2:$A$377,0)),0)</f>
        <v>4042</v>
      </c>
    </row>
    <row r="2130" ht="15.35" customHeight="1">
      <c r="A2130" t="s" s="2">
        <v>4189</v>
      </c>
      <c r="B2130" s="4">
        <v>36517</v>
      </c>
      <c r="C2130" s="5">
        <v>750</v>
      </c>
      <c r="D2130" s="5">
        <v>48</v>
      </c>
      <c r="E2130" s="5">
        <v>45</v>
      </c>
      <c r="F2130" t="s" s="2">
        <v>1746</v>
      </c>
      <c r="G2130" t="s" s="2">
        <v>4168</v>
      </c>
      <c r="H2130" s="5">
        <v>360</v>
      </c>
      <c r="I2130" t="s" s="2">
        <v>463</v>
      </c>
      <c r="J2130" t="s" s="2">
        <v>22</v>
      </c>
      <c r="K2130" t="s" s="2">
        <v>4190</v>
      </c>
      <c r="L2130" t="s" s="2">
        <v>2348</v>
      </c>
      <c r="M2130" s="5">
        <v>663805.48</v>
      </c>
      <c r="N2130" s="5">
        <v>6072949.7</v>
      </c>
      <c r="O2130" t="s" s="2">
        <v>305</v>
      </c>
      <c r="P2130" s="5">
        <v>194285</v>
      </c>
      <c r="Q2130" t="s" s="2">
        <v>4171</v>
      </c>
      <c r="R2130" t="s" s="2">
        <f>_xlfn.IFERROR(INDEX('model_byCAP'!$D$2:$D$377,MATCH(Q2130,'model_byCAP'!$A$2:$A$377,0)),0)</f>
        <v>4042</v>
      </c>
    </row>
    <row r="2131" ht="15.35" customHeight="1">
      <c r="A2131" t="s" s="2">
        <v>4191</v>
      </c>
      <c r="B2131" s="4">
        <v>36756</v>
      </c>
      <c r="C2131" s="5">
        <v>750</v>
      </c>
      <c r="D2131" s="5">
        <v>48</v>
      </c>
      <c r="E2131" s="5">
        <v>45</v>
      </c>
      <c r="F2131" t="s" s="2">
        <v>1746</v>
      </c>
      <c r="G2131" t="s" s="2">
        <v>4044</v>
      </c>
      <c r="H2131" s="5">
        <v>360</v>
      </c>
      <c r="I2131" t="s" s="2">
        <v>463</v>
      </c>
      <c r="J2131" t="s" s="2">
        <v>22</v>
      </c>
      <c r="K2131" t="s" s="2">
        <v>4192</v>
      </c>
      <c r="L2131" t="s" s="2">
        <v>4164</v>
      </c>
      <c r="M2131" s="5">
        <v>651530.3100000001</v>
      </c>
      <c r="N2131" s="5">
        <v>6080301.61</v>
      </c>
      <c r="O2131" t="s" s="2">
        <v>305</v>
      </c>
      <c r="P2131" s="5">
        <v>194933</v>
      </c>
      <c r="Q2131" t="s" s="2">
        <v>4046</v>
      </c>
      <c r="R2131" t="s" s="2">
        <f>_xlfn.IFERROR(INDEX('model_byCAP'!$D$2:$D$377,MATCH(Q2131,'model_byCAP'!$A$2:$A$377,0)),0)</f>
        <v>4047</v>
      </c>
    </row>
    <row r="2132" ht="15.35" customHeight="1">
      <c r="A2132" t="s" s="2">
        <v>4193</v>
      </c>
      <c r="B2132" s="4">
        <v>37977</v>
      </c>
      <c r="C2132" s="5">
        <v>750</v>
      </c>
      <c r="D2132" s="5">
        <v>48.2</v>
      </c>
      <c r="E2132" s="5">
        <v>45</v>
      </c>
      <c r="F2132" t="s" s="2">
        <v>1746</v>
      </c>
      <c r="G2132" t="s" s="2">
        <v>4044</v>
      </c>
      <c r="H2132" s="5">
        <v>360</v>
      </c>
      <c r="I2132" t="s" s="2">
        <v>463</v>
      </c>
      <c r="J2132" t="s" s="2">
        <v>22</v>
      </c>
      <c r="K2132" t="s" s="2">
        <v>4169</v>
      </c>
      <c r="L2132" t="s" s="2">
        <v>4194</v>
      </c>
      <c r="M2132" s="5">
        <v>653927.58</v>
      </c>
      <c r="N2132" s="5">
        <v>6058457.1</v>
      </c>
      <c r="O2132" t="s" s="2">
        <v>305</v>
      </c>
      <c r="P2132" s="5">
        <v>2127331</v>
      </c>
      <c r="Q2132" t="s" s="2">
        <v>4046</v>
      </c>
      <c r="R2132" t="s" s="2">
        <f>_xlfn.IFERROR(INDEX('model_byCAP'!$D$2:$D$377,MATCH(Q2132,'model_byCAP'!$A$2:$A$377,0)),0)</f>
        <v>4047</v>
      </c>
    </row>
    <row r="2133" ht="15.35" customHeight="1">
      <c r="A2133" t="s" s="2">
        <v>4195</v>
      </c>
      <c r="B2133" s="4">
        <v>35853</v>
      </c>
      <c r="C2133" s="5">
        <v>750</v>
      </c>
      <c r="D2133" s="5">
        <v>44</v>
      </c>
      <c r="E2133" s="5">
        <v>46</v>
      </c>
      <c r="F2133" t="s" s="2">
        <v>3604</v>
      </c>
      <c r="G2133" t="s" s="2">
        <v>4072</v>
      </c>
      <c r="H2133" s="5">
        <v>370</v>
      </c>
      <c r="I2133" t="s" s="2">
        <v>520</v>
      </c>
      <c r="J2133" t="s" s="2">
        <v>22</v>
      </c>
      <c r="K2133" t="s" s="2">
        <v>4196</v>
      </c>
      <c r="L2133" t="s" s="2">
        <v>1161</v>
      </c>
      <c r="M2133" s="5">
        <v>662097.65</v>
      </c>
      <c r="N2133" s="5">
        <v>6120505.03</v>
      </c>
      <c r="O2133" t="s" s="2">
        <v>305</v>
      </c>
      <c r="P2133" s="5">
        <v>190897</v>
      </c>
      <c r="Q2133" t="s" s="2">
        <v>4075</v>
      </c>
      <c r="R2133" t="s" s="2">
        <f>_xlfn.IFERROR(INDEX('model_byCAP'!$D$2:$D$377,MATCH(Q2133,'model_byCAP'!$A$2:$A$377,0)),0)</f>
        <v>4076</v>
      </c>
    </row>
    <row r="2134" ht="15.35" customHeight="1">
      <c r="A2134" t="s" s="2">
        <v>4197</v>
      </c>
      <c r="B2134" s="4">
        <v>35853</v>
      </c>
      <c r="C2134" s="5">
        <v>750</v>
      </c>
      <c r="D2134" s="5">
        <v>44</v>
      </c>
      <c r="E2134" s="5">
        <v>46</v>
      </c>
      <c r="F2134" t="s" s="2">
        <v>3604</v>
      </c>
      <c r="G2134" t="s" s="2">
        <v>4072</v>
      </c>
      <c r="H2134" s="5">
        <v>370</v>
      </c>
      <c r="I2134" t="s" s="2">
        <v>520</v>
      </c>
      <c r="J2134" t="s" s="2">
        <v>22</v>
      </c>
      <c r="K2134" t="s" s="2">
        <v>4196</v>
      </c>
      <c r="L2134" t="s" s="2">
        <v>850</v>
      </c>
      <c r="M2134" s="5">
        <v>662064.51</v>
      </c>
      <c r="N2134" s="5">
        <v>6120650.49</v>
      </c>
      <c r="O2134" t="s" s="2">
        <v>305</v>
      </c>
      <c r="P2134" s="5">
        <v>190898</v>
      </c>
      <c r="Q2134" t="s" s="2">
        <v>4075</v>
      </c>
      <c r="R2134" t="s" s="2">
        <f>_xlfn.IFERROR(INDEX('model_byCAP'!$D$2:$D$377,MATCH(Q2134,'model_byCAP'!$A$2:$A$377,0)),0)</f>
        <v>4076</v>
      </c>
    </row>
    <row r="2135" ht="15.35" customHeight="1">
      <c r="A2135" t="s" s="2">
        <v>4198</v>
      </c>
      <c r="B2135" s="4">
        <v>36146</v>
      </c>
      <c r="C2135" s="5">
        <v>750</v>
      </c>
      <c r="D2135" s="5">
        <v>48</v>
      </c>
      <c r="E2135" s="5">
        <v>45</v>
      </c>
      <c r="F2135" t="s" s="2">
        <v>1746</v>
      </c>
      <c r="G2135" t="s" s="2">
        <v>4168</v>
      </c>
      <c r="H2135" s="5">
        <v>370</v>
      </c>
      <c r="I2135" t="s" s="2">
        <v>520</v>
      </c>
      <c r="J2135" t="s" s="2">
        <v>22</v>
      </c>
      <c r="K2135" t="s" s="2">
        <v>4199</v>
      </c>
      <c r="L2135" t="s" s="2">
        <v>1105</v>
      </c>
      <c r="M2135" s="5">
        <v>679203.6899999999</v>
      </c>
      <c r="N2135" s="5">
        <v>6127402.4</v>
      </c>
      <c r="O2135" t="s" s="2">
        <v>305</v>
      </c>
      <c r="P2135" s="5">
        <v>192441</v>
      </c>
      <c r="Q2135" t="s" s="2">
        <v>4171</v>
      </c>
      <c r="R2135" t="s" s="2">
        <f>_xlfn.IFERROR(INDEX('model_byCAP'!$D$2:$D$377,MATCH(Q2135,'model_byCAP'!$A$2:$A$377,0)),0)</f>
        <v>4042</v>
      </c>
    </row>
    <row r="2136" ht="15.35" customHeight="1">
      <c r="A2136" t="s" s="2">
        <v>4200</v>
      </c>
      <c r="B2136" s="4">
        <v>36203</v>
      </c>
      <c r="C2136" s="5">
        <v>750</v>
      </c>
      <c r="D2136" s="5">
        <v>48</v>
      </c>
      <c r="E2136" s="5">
        <v>45</v>
      </c>
      <c r="F2136" t="s" s="2">
        <v>1746</v>
      </c>
      <c r="G2136" t="s" s="2">
        <v>4044</v>
      </c>
      <c r="H2136" s="5">
        <v>370</v>
      </c>
      <c r="I2136" t="s" s="2">
        <v>520</v>
      </c>
      <c r="J2136" t="s" s="2">
        <v>22</v>
      </c>
      <c r="K2136" t="s" s="2">
        <v>4201</v>
      </c>
      <c r="L2136" t="s" s="2">
        <v>4147</v>
      </c>
      <c r="M2136" s="5">
        <v>679243.49</v>
      </c>
      <c r="N2136" s="5">
        <v>6127599.61</v>
      </c>
      <c r="O2136" t="s" s="2">
        <v>305</v>
      </c>
      <c r="P2136" s="5">
        <v>192464</v>
      </c>
      <c r="Q2136" t="s" s="2">
        <v>4046</v>
      </c>
      <c r="R2136" t="s" s="2">
        <f>_xlfn.IFERROR(INDEX('model_byCAP'!$D$2:$D$377,MATCH(Q2136,'model_byCAP'!$A$2:$A$377,0)),0)</f>
        <v>4047</v>
      </c>
    </row>
    <row r="2137" ht="15.35" customHeight="1">
      <c r="A2137" t="s" s="2">
        <v>4202</v>
      </c>
      <c r="B2137" s="4">
        <v>36231</v>
      </c>
      <c r="C2137" s="5">
        <v>750</v>
      </c>
      <c r="D2137" s="5">
        <v>48</v>
      </c>
      <c r="E2137" s="5">
        <v>45</v>
      </c>
      <c r="F2137" t="s" s="2">
        <v>1746</v>
      </c>
      <c r="G2137" t="s" s="2">
        <v>4044</v>
      </c>
      <c r="H2137" s="5">
        <v>370</v>
      </c>
      <c r="I2137" t="s" s="2">
        <v>520</v>
      </c>
      <c r="J2137" t="s" s="2">
        <v>22</v>
      </c>
      <c r="K2137" t="s" s="2">
        <v>4203</v>
      </c>
      <c r="L2137" t="s" s="2">
        <v>1717</v>
      </c>
      <c r="M2137" s="5">
        <v>671385.33</v>
      </c>
      <c r="N2137" s="5">
        <v>6123963.51</v>
      </c>
      <c r="O2137" t="s" s="2">
        <v>305</v>
      </c>
      <c r="P2137" s="5">
        <v>192592</v>
      </c>
      <c r="Q2137" t="s" s="2">
        <v>4046</v>
      </c>
      <c r="R2137" t="s" s="2">
        <f>_xlfn.IFERROR(INDEX('model_byCAP'!$D$2:$D$377,MATCH(Q2137,'model_byCAP'!$A$2:$A$377,0)),0)</f>
        <v>4047</v>
      </c>
    </row>
    <row r="2138" ht="15.35" customHeight="1">
      <c r="A2138" t="s" s="2">
        <v>4204</v>
      </c>
      <c r="B2138" s="4">
        <v>36231</v>
      </c>
      <c r="C2138" s="5">
        <v>750</v>
      </c>
      <c r="D2138" s="5">
        <v>48</v>
      </c>
      <c r="E2138" s="5">
        <v>46</v>
      </c>
      <c r="F2138" t="s" s="2">
        <v>1746</v>
      </c>
      <c r="G2138" t="s" s="2">
        <v>4044</v>
      </c>
      <c r="H2138" s="5">
        <v>370</v>
      </c>
      <c r="I2138" t="s" s="2">
        <v>520</v>
      </c>
      <c r="J2138" t="s" s="2">
        <v>22</v>
      </c>
      <c r="K2138" t="s" s="2">
        <v>4205</v>
      </c>
      <c r="L2138" t="s" s="2">
        <v>1373</v>
      </c>
      <c r="M2138" s="5">
        <v>671390.85</v>
      </c>
      <c r="N2138" s="5">
        <v>6124144.67</v>
      </c>
      <c r="O2138" t="s" s="2">
        <v>305</v>
      </c>
      <c r="P2138" s="5">
        <v>192593</v>
      </c>
      <c r="Q2138" t="s" s="2">
        <v>4046</v>
      </c>
      <c r="R2138" t="s" s="2">
        <f>_xlfn.IFERROR(INDEX('model_byCAP'!$D$2:$D$377,MATCH(Q2138,'model_byCAP'!$A$2:$A$377,0)),0)</f>
        <v>4047</v>
      </c>
    </row>
    <row r="2139" ht="15.35" customHeight="1">
      <c r="A2139" t="s" s="2">
        <v>4206</v>
      </c>
      <c r="B2139" s="4">
        <v>36231</v>
      </c>
      <c r="C2139" s="5">
        <v>750</v>
      </c>
      <c r="D2139" s="5">
        <v>48</v>
      </c>
      <c r="E2139" s="5">
        <v>46</v>
      </c>
      <c r="F2139" t="s" s="2">
        <v>1746</v>
      </c>
      <c r="G2139" t="s" s="2">
        <v>4044</v>
      </c>
      <c r="H2139" s="5">
        <v>370</v>
      </c>
      <c r="I2139" t="s" s="2">
        <v>520</v>
      </c>
      <c r="J2139" t="s" s="2">
        <v>22</v>
      </c>
      <c r="K2139" t="s" s="2">
        <v>4205</v>
      </c>
      <c r="L2139" t="s" s="2">
        <v>1373</v>
      </c>
      <c r="M2139" s="5">
        <v>671396.7</v>
      </c>
      <c r="N2139" s="5">
        <v>6124326.08</v>
      </c>
      <c r="O2139" t="s" s="2">
        <v>305</v>
      </c>
      <c r="P2139" s="5">
        <v>192595</v>
      </c>
      <c r="Q2139" t="s" s="2">
        <v>4046</v>
      </c>
      <c r="R2139" t="s" s="2">
        <f>_xlfn.IFERROR(INDEX('model_byCAP'!$D$2:$D$377,MATCH(Q2139,'model_byCAP'!$A$2:$A$377,0)),0)</f>
        <v>4047</v>
      </c>
    </row>
    <row r="2140" ht="15.35" customHeight="1">
      <c r="A2140" t="s" s="2">
        <v>4207</v>
      </c>
      <c r="B2140" s="4">
        <v>36175</v>
      </c>
      <c r="C2140" s="5">
        <v>750</v>
      </c>
      <c r="D2140" s="5">
        <v>48</v>
      </c>
      <c r="E2140" s="5">
        <v>45</v>
      </c>
      <c r="F2140" t="s" s="2">
        <v>1746</v>
      </c>
      <c r="G2140" t="s" s="2">
        <v>4044</v>
      </c>
      <c r="H2140" s="5">
        <v>370</v>
      </c>
      <c r="I2140" t="s" s="2">
        <v>520</v>
      </c>
      <c r="J2140" t="s" s="2">
        <v>22</v>
      </c>
      <c r="K2140" t="s" s="2">
        <v>4208</v>
      </c>
      <c r="L2140" t="s" s="2">
        <v>1258</v>
      </c>
      <c r="M2140" s="5">
        <v>663852.91</v>
      </c>
      <c r="N2140" s="5">
        <v>6122920.85</v>
      </c>
      <c r="O2140" t="s" s="2">
        <v>305</v>
      </c>
      <c r="P2140" s="5">
        <v>192598</v>
      </c>
      <c r="Q2140" t="s" s="2">
        <v>4046</v>
      </c>
      <c r="R2140" t="s" s="2">
        <f>_xlfn.IFERROR(INDEX('model_byCAP'!$D$2:$D$377,MATCH(Q2140,'model_byCAP'!$A$2:$A$377,0)),0)</f>
        <v>4047</v>
      </c>
    </row>
    <row r="2141" ht="15.35" customHeight="1">
      <c r="A2141" t="s" s="2">
        <v>4209</v>
      </c>
      <c r="B2141" s="4">
        <v>36175</v>
      </c>
      <c r="C2141" s="5">
        <v>750</v>
      </c>
      <c r="D2141" s="5">
        <v>48</v>
      </c>
      <c r="E2141" s="5">
        <v>45</v>
      </c>
      <c r="F2141" t="s" s="2">
        <v>1746</v>
      </c>
      <c r="G2141" t="s" s="2">
        <v>4044</v>
      </c>
      <c r="H2141" s="5">
        <v>370</v>
      </c>
      <c r="I2141" t="s" s="2">
        <v>520</v>
      </c>
      <c r="J2141" t="s" s="2">
        <v>22</v>
      </c>
      <c r="K2141" t="s" s="2">
        <v>4208</v>
      </c>
      <c r="L2141" t="s" s="2">
        <v>1258</v>
      </c>
      <c r="M2141" s="5">
        <v>663775.26</v>
      </c>
      <c r="N2141" s="5">
        <v>6122746.61</v>
      </c>
      <c r="O2141" t="s" s="2">
        <v>305</v>
      </c>
      <c r="P2141" s="5">
        <v>192599</v>
      </c>
      <c r="Q2141" t="s" s="2">
        <v>4046</v>
      </c>
      <c r="R2141" t="s" s="2">
        <f>_xlfn.IFERROR(INDEX('model_byCAP'!$D$2:$D$377,MATCH(Q2141,'model_byCAP'!$A$2:$A$377,0)),0)</f>
        <v>4047</v>
      </c>
    </row>
    <row r="2142" ht="15.35" customHeight="1">
      <c r="A2142" t="s" s="2">
        <v>4210</v>
      </c>
      <c r="B2142" s="4">
        <v>36426</v>
      </c>
      <c r="C2142" s="5">
        <v>750</v>
      </c>
      <c r="D2142" s="5">
        <v>48</v>
      </c>
      <c r="E2142" s="5">
        <v>45</v>
      </c>
      <c r="F2142" t="s" s="2">
        <v>1746</v>
      </c>
      <c r="G2142" t="s" s="2">
        <v>4044</v>
      </c>
      <c r="H2142" s="5">
        <v>370</v>
      </c>
      <c r="I2142" t="s" s="2">
        <v>520</v>
      </c>
      <c r="J2142" t="s" s="2">
        <v>22</v>
      </c>
      <c r="K2142" t="s" s="2">
        <v>4211</v>
      </c>
      <c r="L2142" t="s" s="2">
        <v>481</v>
      </c>
      <c r="M2142" s="5">
        <v>684986.53</v>
      </c>
      <c r="N2142" s="5">
        <v>6125864.01</v>
      </c>
      <c r="O2142" t="s" s="2">
        <v>305</v>
      </c>
      <c r="P2142" s="5">
        <v>193848</v>
      </c>
      <c r="Q2142" t="s" s="2">
        <v>4046</v>
      </c>
      <c r="R2142" t="s" s="2">
        <f>_xlfn.IFERROR(INDEX('model_byCAP'!$D$2:$D$377,MATCH(Q2142,'model_byCAP'!$A$2:$A$377,0)),0)</f>
        <v>4047</v>
      </c>
    </row>
    <row r="2143" ht="15.35" customHeight="1">
      <c r="A2143" t="s" s="2">
        <v>4212</v>
      </c>
      <c r="B2143" s="4">
        <v>36426</v>
      </c>
      <c r="C2143" s="5">
        <v>750</v>
      </c>
      <c r="D2143" s="5">
        <v>48</v>
      </c>
      <c r="E2143" s="5">
        <v>45</v>
      </c>
      <c r="F2143" t="s" s="2">
        <v>1746</v>
      </c>
      <c r="G2143" t="s" s="2">
        <v>4044</v>
      </c>
      <c r="H2143" s="5">
        <v>370</v>
      </c>
      <c r="I2143" t="s" s="2">
        <v>520</v>
      </c>
      <c r="J2143" t="s" s="2">
        <v>22</v>
      </c>
      <c r="K2143" t="s" s="2">
        <v>4211</v>
      </c>
      <c r="L2143" s="5">
        <v>2</v>
      </c>
      <c r="M2143" s="5">
        <v>684975.01</v>
      </c>
      <c r="N2143" s="5">
        <v>6125709.04</v>
      </c>
      <c r="O2143" t="s" s="2">
        <v>305</v>
      </c>
      <c r="P2143" s="5">
        <v>193849</v>
      </c>
      <c r="Q2143" t="s" s="2">
        <v>4046</v>
      </c>
      <c r="R2143" t="s" s="2">
        <f>_xlfn.IFERROR(INDEX('model_byCAP'!$D$2:$D$377,MATCH(Q2143,'model_byCAP'!$A$2:$A$377,0)),0)</f>
        <v>4047</v>
      </c>
    </row>
    <row r="2144" ht="15.35" customHeight="1">
      <c r="A2144" t="s" s="2">
        <v>4213</v>
      </c>
      <c r="B2144" s="4">
        <v>36426</v>
      </c>
      <c r="C2144" s="5">
        <v>750</v>
      </c>
      <c r="D2144" s="5">
        <v>48</v>
      </c>
      <c r="E2144" s="5">
        <v>45</v>
      </c>
      <c r="F2144" t="s" s="2">
        <v>1746</v>
      </c>
      <c r="G2144" t="s" s="2">
        <v>4044</v>
      </c>
      <c r="H2144" s="5">
        <v>370</v>
      </c>
      <c r="I2144" t="s" s="2">
        <v>520</v>
      </c>
      <c r="J2144" t="s" s="2">
        <v>22</v>
      </c>
      <c r="K2144" t="s" s="2">
        <v>4211</v>
      </c>
      <c r="L2144" t="s" s="2">
        <v>1359</v>
      </c>
      <c r="M2144" s="5">
        <v>684962.52</v>
      </c>
      <c r="N2144" s="5">
        <v>6125552.54</v>
      </c>
      <c r="O2144" t="s" s="2">
        <v>305</v>
      </c>
      <c r="P2144" s="5">
        <v>193850</v>
      </c>
      <c r="Q2144" t="s" s="2">
        <v>4046</v>
      </c>
      <c r="R2144" t="s" s="2">
        <f>_xlfn.IFERROR(INDEX('model_byCAP'!$D$2:$D$377,MATCH(Q2144,'model_byCAP'!$A$2:$A$377,0)),0)</f>
        <v>4047</v>
      </c>
    </row>
    <row r="2145" ht="15.35" customHeight="1">
      <c r="A2145" t="s" s="2">
        <v>4214</v>
      </c>
      <c r="B2145" s="4">
        <v>36543</v>
      </c>
      <c r="C2145" s="5">
        <v>750</v>
      </c>
      <c r="D2145" s="5">
        <v>48</v>
      </c>
      <c r="E2145" s="5">
        <v>45</v>
      </c>
      <c r="F2145" t="s" s="2">
        <v>1746</v>
      </c>
      <c r="G2145" t="s" s="2">
        <v>4168</v>
      </c>
      <c r="H2145" s="5">
        <v>370</v>
      </c>
      <c r="I2145" t="s" s="2">
        <v>520</v>
      </c>
      <c r="J2145" t="s" s="2">
        <v>22</v>
      </c>
      <c r="K2145" t="s" s="2">
        <v>4215</v>
      </c>
      <c r="L2145" t="s" s="2">
        <v>2078</v>
      </c>
      <c r="M2145" s="5">
        <v>675760.75</v>
      </c>
      <c r="N2145" s="5">
        <v>6132256.92</v>
      </c>
      <c r="O2145" t="s" s="2">
        <v>305</v>
      </c>
      <c r="P2145" s="5">
        <v>194291</v>
      </c>
      <c r="Q2145" t="s" s="2">
        <v>4171</v>
      </c>
      <c r="R2145" t="s" s="2">
        <f>_xlfn.IFERROR(INDEX('model_byCAP'!$D$2:$D$377,MATCH(Q2145,'model_byCAP'!$A$2:$A$377,0)),0)</f>
        <v>4042</v>
      </c>
    </row>
    <row r="2146" ht="15.35" customHeight="1">
      <c r="A2146" t="s" s="2">
        <v>4216</v>
      </c>
      <c r="B2146" s="4">
        <v>36543</v>
      </c>
      <c r="C2146" s="5">
        <v>750</v>
      </c>
      <c r="D2146" s="5">
        <v>48</v>
      </c>
      <c r="E2146" s="5">
        <v>45</v>
      </c>
      <c r="F2146" t="s" s="2">
        <v>1746</v>
      </c>
      <c r="G2146" t="s" s="2">
        <v>4168</v>
      </c>
      <c r="H2146" s="5">
        <v>370</v>
      </c>
      <c r="I2146" t="s" s="2">
        <v>520</v>
      </c>
      <c r="J2146" t="s" s="2">
        <v>22</v>
      </c>
      <c r="K2146" t="s" s="2">
        <v>4215</v>
      </c>
      <c r="L2146" t="s" s="2">
        <v>500</v>
      </c>
      <c r="M2146" s="5">
        <v>675993.95</v>
      </c>
      <c r="N2146" s="5">
        <v>6132322.15</v>
      </c>
      <c r="O2146" t="s" s="2">
        <v>305</v>
      </c>
      <c r="P2146" s="5">
        <v>194292</v>
      </c>
      <c r="Q2146" t="s" s="2">
        <v>4171</v>
      </c>
      <c r="R2146" t="s" s="2">
        <f>_xlfn.IFERROR(INDEX('model_byCAP'!$D$2:$D$377,MATCH(Q2146,'model_byCAP'!$A$2:$A$377,0)),0)</f>
        <v>4042</v>
      </c>
    </row>
    <row r="2147" ht="15.35" customHeight="1">
      <c r="A2147" t="s" s="2">
        <v>4217</v>
      </c>
      <c r="B2147" s="4">
        <v>36840</v>
      </c>
      <c r="C2147" s="5">
        <v>750</v>
      </c>
      <c r="D2147" s="5">
        <v>48</v>
      </c>
      <c r="E2147" s="5">
        <v>42</v>
      </c>
      <c r="F2147" t="s" s="2">
        <v>1746</v>
      </c>
      <c r="G2147" t="s" s="2">
        <v>4044</v>
      </c>
      <c r="H2147" s="5">
        <v>370</v>
      </c>
      <c r="I2147" t="s" s="2">
        <v>520</v>
      </c>
      <c r="J2147" t="s" s="2">
        <v>22</v>
      </c>
      <c r="K2147" t="s" s="2">
        <v>4218</v>
      </c>
      <c r="L2147" t="s" s="2">
        <v>481</v>
      </c>
      <c r="M2147" s="5">
        <v>673380.85</v>
      </c>
      <c r="N2147" s="5">
        <v>6139740.71</v>
      </c>
      <c r="O2147" t="s" s="2">
        <v>305</v>
      </c>
      <c r="P2147" s="5">
        <v>195341</v>
      </c>
      <c r="Q2147" t="s" s="2">
        <v>4046</v>
      </c>
      <c r="R2147" t="s" s="2">
        <f>_xlfn.IFERROR(INDEX('model_byCAP'!$D$2:$D$377,MATCH(Q2147,'model_byCAP'!$A$2:$A$377,0)),0)</f>
        <v>4047</v>
      </c>
    </row>
    <row r="2148" ht="15.35" customHeight="1">
      <c r="A2148" t="s" s="2">
        <v>4219</v>
      </c>
      <c r="B2148" s="4">
        <v>36840</v>
      </c>
      <c r="C2148" s="5">
        <v>750</v>
      </c>
      <c r="D2148" s="5">
        <v>48</v>
      </c>
      <c r="E2148" s="5">
        <v>45</v>
      </c>
      <c r="F2148" t="s" s="2">
        <v>1746</v>
      </c>
      <c r="G2148" t="s" s="2">
        <v>4044</v>
      </c>
      <c r="H2148" s="5">
        <v>370</v>
      </c>
      <c r="I2148" t="s" s="2">
        <v>520</v>
      </c>
      <c r="J2148" t="s" s="2">
        <v>22</v>
      </c>
      <c r="K2148" t="s" s="2">
        <v>4220</v>
      </c>
      <c r="L2148" t="s" s="2">
        <v>481</v>
      </c>
      <c r="M2148" s="5">
        <v>673506.9300000001</v>
      </c>
      <c r="N2148" s="5">
        <v>6139612.35</v>
      </c>
      <c r="O2148" t="s" s="2">
        <v>305</v>
      </c>
      <c r="P2148" s="5">
        <v>195342</v>
      </c>
      <c r="Q2148" t="s" s="2">
        <v>4046</v>
      </c>
      <c r="R2148" t="s" s="2">
        <f>_xlfn.IFERROR(INDEX('model_byCAP'!$D$2:$D$377,MATCH(Q2148,'model_byCAP'!$A$2:$A$377,0)),0)</f>
        <v>4047</v>
      </c>
    </row>
    <row r="2149" ht="15.35" customHeight="1">
      <c r="A2149" t="s" s="2">
        <v>4221</v>
      </c>
      <c r="B2149" s="4">
        <v>36881</v>
      </c>
      <c r="C2149" s="5">
        <v>750</v>
      </c>
      <c r="D2149" s="5">
        <v>48</v>
      </c>
      <c r="E2149" s="5">
        <v>45</v>
      </c>
      <c r="F2149" t="s" s="2">
        <v>1746</v>
      </c>
      <c r="G2149" t="s" s="2">
        <v>4044</v>
      </c>
      <c r="H2149" s="5">
        <v>370</v>
      </c>
      <c r="I2149" t="s" s="2">
        <v>520</v>
      </c>
      <c r="J2149" t="s" s="2">
        <v>22</v>
      </c>
      <c r="K2149" t="s" s="2">
        <v>4222</v>
      </c>
      <c r="L2149" t="s" s="2">
        <v>1717</v>
      </c>
      <c r="M2149" s="5">
        <v>671373.5600000001</v>
      </c>
      <c r="N2149" s="5">
        <v>6123605.11</v>
      </c>
      <c r="O2149" t="s" s="2">
        <v>305</v>
      </c>
      <c r="P2149" s="5">
        <v>195528</v>
      </c>
      <c r="Q2149" t="s" s="2">
        <v>4046</v>
      </c>
      <c r="R2149" t="s" s="2">
        <f>_xlfn.IFERROR(INDEX('model_byCAP'!$D$2:$D$377,MATCH(Q2149,'model_byCAP'!$A$2:$A$377,0)),0)</f>
        <v>4047</v>
      </c>
    </row>
    <row r="2150" ht="15.35" customHeight="1">
      <c r="A2150" t="s" s="2">
        <v>4223</v>
      </c>
      <c r="B2150" s="4">
        <v>36881</v>
      </c>
      <c r="C2150" s="5">
        <v>750</v>
      </c>
      <c r="D2150" s="5">
        <v>48</v>
      </c>
      <c r="E2150" s="5">
        <v>45</v>
      </c>
      <c r="F2150" t="s" s="2">
        <v>1746</v>
      </c>
      <c r="G2150" t="s" s="2">
        <v>4044</v>
      </c>
      <c r="H2150" s="5">
        <v>370</v>
      </c>
      <c r="I2150" t="s" s="2">
        <v>520</v>
      </c>
      <c r="J2150" t="s" s="2">
        <v>22</v>
      </c>
      <c r="K2150" t="s" s="2">
        <v>4222</v>
      </c>
      <c r="L2150" t="s" s="2">
        <v>1717</v>
      </c>
      <c r="M2150" s="5">
        <v>671378.6899999999</v>
      </c>
      <c r="N2150" s="5">
        <v>6123784.57</v>
      </c>
      <c r="O2150" t="s" s="2">
        <v>305</v>
      </c>
      <c r="P2150" s="5">
        <v>195529</v>
      </c>
      <c r="Q2150" t="s" s="2">
        <v>4046</v>
      </c>
      <c r="R2150" t="s" s="2">
        <f>_xlfn.IFERROR(INDEX('model_byCAP'!$D$2:$D$377,MATCH(Q2150,'model_byCAP'!$A$2:$A$377,0)),0)</f>
        <v>4047</v>
      </c>
    </row>
    <row r="2151" ht="15.35" customHeight="1">
      <c r="A2151" t="s" s="2">
        <v>4224</v>
      </c>
      <c r="B2151" s="4">
        <v>36881</v>
      </c>
      <c r="C2151" s="5">
        <v>750</v>
      </c>
      <c r="D2151" s="5">
        <v>48</v>
      </c>
      <c r="E2151" s="5">
        <v>45</v>
      </c>
      <c r="F2151" t="s" s="2">
        <v>3604</v>
      </c>
      <c r="G2151" t="s" s="2">
        <v>4225</v>
      </c>
      <c r="H2151" s="5">
        <v>370</v>
      </c>
      <c r="I2151" t="s" s="2">
        <v>520</v>
      </c>
      <c r="J2151" t="s" s="2">
        <v>22</v>
      </c>
      <c r="K2151" t="s" s="2">
        <v>4226</v>
      </c>
      <c r="L2151" t="s" s="2">
        <v>518</v>
      </c>
      <c r="M2151" s="5">
        <v>663378.1800000001</v>
      </c>
      <c r="N2151" s="5">
        <v>6119576.86</v>
      </c>
      <c r="O2151" t="s" s="2">
        <v>305</v>
      </c>
      <c r="P2151" s="5">
        <v>2132083</v>
      </c>
      <c r="Q2151" t="s" s="2">
        <v>4227</v>
      </c>
      <c r="R2151" t="s" s="2">
        <f>_xlfn.IFERROR(INDEX('model_byCAP'!$D$2:$D$377,MATCH(Q2151,'model_byCAP'!$A$2:$A$377,0)),0)</f>
        <v>4047</v>
      </c>
    </row>
    <row r="2152" ht="15.35" customHeight="1">
      <c r="A2152" t="s" s="2">
        <v>4228</v>
      </c>
      <c r="B2152" s="4">
        <v>36881</v>
      </c>
      <c r="C2152" s="5">
        <v>750</v>
      </c>
      <c r="D2152" s="5">
        <v>48</v>
      </c>
      <c r="E2152" s="5">
        <v>45</v>
      </c>
      <c r="F2152" t="s" s="2">
        <v>3604</v>
      </c>
      <c r="G2152" t="s" s="2">
        <v>4225</v>
      </c>
      <c r="H2152" s="5">
        <v>370</v>
      </c>
      <c r="I2152" t="s" s="2">
        <v>520</v>
      </c>
      <c r="J2152" t="s" s="2">
        <v>22</v>
      </c>
      <c r="K2152" t="s" s="2">
        <v>4226</v>
      </c>
      <c r="L2152" t="s" s="2">
        <v>518</v>
      </c>
      <c r="M2152" s="5">
        <v>663195.46</v>
      </c>
      <c r="N2152" s="5">
        <v>6119629.3</v>
      </c>
      <c r="O2152" t="s" s="2">
        <v>305</v>
      </c>
      <c r="P2152" s="5">
        <v>2132103</v>
      </c>
      <c r="Q2152" t="s" s="2">
        <v>4227</v>
      </c>
      <c r="R2152" t="s" s="2">
        <f>_xlfn.IFERROR(INDEX('model_byCAP'!$D$2:$D$377,MATCH(Q2152,'model_byCAP'!$A$2:$A$377,0)),0)</f>
        <v>4047</v>
      </c>
    </row>
    <row r="2153" ht="15.35" customHeight="1">
      <c r="A2153" t="s" s="2">
        <v>4229</v>
      </c>
      <c r="B2153" s="4">
        <v>36881</v>
      </c>
      <c r="C2153" s="5">
        <v>750</v>
      </c>
      <c r="D2153" s="5">
        <v>48</v>
      </c>
      <c r="E2153" s="5">
        <v>45</v>
      </c>
      <c r="F2153" t="s" s="2">
        <v>3604</v>
      </c>
      <c r="G2153" t="s" s="2">
        <v>4225</v>
      </c>
      <c r="H2153" s="5">
        <v>370</v>
      </c>
      <c r="I2153" t="s" s="2">
        <v>520</v>
      </c>
      <c r="J2153" t="s" s="2">
        <v>22</v>
      </c>
      <c r="K2153" t="s" s="2">
        <v>4226</v>
      </c>
      <c r="L2153" t="s" s="2">
        <v>518</v>
      </c>
      <c r="M2153" s="5">
        <v>663012.58</v>
      </c>
      <c r="N2153" s="5">
        <v>6119680.81</v>
      </c>
      <c r="O2153" t="s" s="2">
        <v>305</v>
      </c>
      <c r="P2153" s="5">
        <v>2132101</v>
      </c>
      <c r="Q2153" t="s" s="2">
        <v>4227</v>
      </c>
      <c r="R2153" t="s" s="2">
        <f>_xlfn.IFERROR(INDEX('model_byCAP'!$D$2:$D$377,MATCH(Q2153,'model_byCAP'!$A$2:$A$377,0)),0)</f>
        <v>4047</v>
      </c>
    </row>
    <row r="2154" ht="15.35" customHeight="1">
      <c r="A2154" t="s" s="2">
        <v>4230</v>
      </c>
      <c r="B2154" s="4">
        <v>36722</v>
      </c>
      <c r="C2154" s="5">
        <v>750</v>
      </c>
      <c r="D2154" s="5">
        <v>48</v>
      </c>
      <c r="E2154" s="5">
        <v>45</v>
      </c>
      <c r="F2154" t="s" s="2">
        <v>1746</v>
      </c>
      <c r="G2154" t="s" s="2">
        <v>4151</v>
      </c>
      <c r="H2154" s="5">
        <v>376</v>
      </c>
      <c r="I2154" t="s" s="2">
        <v>1991</v>
      </c>
      <c r="J2154" t="s" s="2">
        <v>22</v>
      </c>
      <c r="K2154" t="s" s="2">
        <v>1992</v>
      </c>
      <c r="L2154" t="s" s="2">
        <v>1608</v>
      </c>
      <c r="M2154" s="5">
        <v>677934.6</v>
      </c>
      <c r="N2154" s="5">
        <v>6061583.13</v>
      </c>
      <c r="O2154" t="s" s="2">
        <v>305</v>
      </c>
      <c r="P2154" s="5">
        <v>194972</v>
      </c>
      <c r="Q2154" t="s" s="2">
        <v>4154</v>
      </c>
      <c r="R2154" t="s" s="2">
        <f>_xlfn.IFERROR(INDEX('model_byCAP'!$D$2:$D$377,MATCH(Q2154,'model_byCAP'!$A$2:$A$377,0)),0)</f>
        <v>4047</v>
      </c>
    </row>
    <row r="2155" ht="15.35" customHeight="1">
      <c r="A2155" t="s" s="2">
        <v>4231</v>
      </c>
      <c r="B2155" s="4">
        <v>36143</v>
      </c>
      <c r="C2155" s="5">
        <v>750</v>
      </c>
      <c r="D2155" s="5">
        <v>48</v>
      </c>
      <c r="E2155" s="5">
        <v>45</v>
      </c>
      <c r="F2155" t="s" s="2">
        <v>1746</v>
      </c>
      <c r="G2155" t="s" s="2">
        <v>4044</v>
      </c>
      <c r="H2155" s="5">
        <v>376</v>
      </c>
      <c r="I2155" t="s" s="2">
        <v>1991</v>
      </c>
      <c r="J2155" t="s" s="2">
        <v>22</v>
      </c>
      <c r="K2155" t="s" s="2">
        <v>4232</v>
      </c>
      <c r="L2155" t="s" s="2">
        <v>856</v>
      </c>
      <c r="M2155" s="5">
        <v>688772.5699999999</v>
      </c>
      <c r="N2155" s="5">
        <v>6077097.81</v>
      </c>
      <c r="O2155" t="s" s="2">
        <v>305</v>
      </c>
      <c r="P2155" s="5">
        <v>192199</v>
      </c>
      <c r="Q2155" t="s" s="2">
        <v>4046</v>
      </c>
      <c r="R2155" t="s" s="2">
        <f>_xlfn.IFERROR(INDEX('model_byCAP'!$D$2:$D$377,MATCH(Q2155,'model_byCAP'!$A$2:$A$377,0)),0)</f>
        <v>4047</v>
      </c>
    </row>
    <row r="2156" ht="15.35" customHeight="1">
      <c r="A2156" t="s" s="2">
        <v>4233</v>
      </c>
      <c r="B2156" s="4">
        <v>36143</v>
      </c>
      <c r="C2156" s="5">
        <v>750</v>
      </c>
      <c r="D2156" s="5">
        <v>48</v>
      </c>
      <c r="E2156" s="5">
        <v>45</v>
      </c>
      <c r="F2156" t="s" s="2">
        <v>1746</v>
      </c>
      <c r="G2156" t="s" s="2">
        <v>4044</v>
      </c>
      <c r="H2156" s="5">
        <v>376</v>
      </c>
      <c r="I2156" t="s" s="2">
        <v>1991</v>
      </c>
      <c r="J2156" t="s" s="2">
        <v>22</v>
      </c>
      <c r="K2156" t="s" s="2">
        <v>4234</v>
      </c>
      <c r="L2156" t="s" s="2">
        <v>2348</v>
      </c>
      <c r="M2156" s="5">
        <v>688165.7</v>
      </c>
      <c r="N2156" s="5">
        <v>6077676.92</v>
      </c>
      <c r="O2156" t="s" s="2">
        <v>305</v>
      </c>
      <c r="P2156" s="5">
        <v>192200</v>
      </c>
      <c r="Q2156" t="s" s="2">
        <v>4046</v>
      </c>
      <c r="R2156" t="s" s="2">
        <f>_xlfn.IFERROR(INDEX('model_byCAP'!$D$2:$D$377,MATCH(Q2156,'model_byCAP'!$A$2:$A$377,0)),0)</f>
        <v>4047</v>
      </c>
    </row>
    <row r="2157" ht="15.35" customHeight="1">
      <c r="A2157" t="s" s="2">
        <v>4235</v>
      </c>
      <c r="B2157" s="4">
        <v>36143</v>
      </c>
      <c r="C2157" s="5">
        <v>750</v>
      </c>
      <c r="D2157" s="5">
        <v>48</v>
      </c>
      <c r="E2157" s="5">
        <v>45</v>
      </c>
      <c r="F2157" t="s" s="2">
        <v>1746</v>
      </c>
      <c r="G2157" t="s" s="2">
        <v>4044</v>
      </c>
      <c r="H2157" s="5">
        <v>376</v>
      </c>
      <c r="I2157" t="s" s="2">
        <v>1991</v>
      </c>
      <c r="J2157" t="s" s="2">
        <v>22</v>
      </c>
      <c r="K2157" t="s" s="2">
        <v>4236</v>
      </c>
      <c r="L2157" t="s" s="2">
        <v>4237</v>
      </c>
      <c r="M2157" s="5">
        <v>688316.86</v>
      </c>
      <c r="N2157" s="5">
        <v>6077532.13</v>
      </c>
      <c r="O2157" t="s" s="2">
        <v>305</v>
      </c>
      <c r="P2157" s="5">
        <v>192201</v>
      </c>
      <c r="Q2157" t="s" s="2">
        <v>4046</v>
      </c>
      <c r="R2157" t="s" s="2">
        <f>_xlfn.IFERROR(INDEX('model_byCAP'!$D$2:$D$377,MATCH(Q2157,'model_byCAP'!$A$2:$A$377,0)),0)</f>
        <v>4047</v>
      </c>
    </row>
    <row r="2158" ht="15.35" customHeight="1">
      <c r="A2158" t="s" s="2">
        <v>4238</v>
      </c>
      <c r="B2158" s="4">
        <v>36143</v>
      </c>
      <c r="C2158" s="5">
        <v>750</v>
      </c>
      <c r="D2158" s="5">
        <v>48</v>
      </c>
      <c r="E2158" s="5">
        <v>45</v>
      </c>
      <c r="F2158" t="s" s="2">
        <v>1746</v>
      </c>
      <c r="G2158" t="s" s="2">
        <v>4044</v>
      </c>
      <c r="H2158" s="5">
        <v>376</v>
      </c>
      <c r="I2158" t="s" s="2">
        <v>1991</v>
      </c>
      <c r="J2158" t="s" s="2">
        <v>22</v>
      </c>
      <c r="K2158" t="s" s="2">
        <v>4236</v>
      </c>
      <c r="L2158" t="s" s="2">
        <v>1196</v>
      </c>
      <c r="M2158" s="5">
        <v>688468.6</v>
      </c>
      <c r="N2158" s="5">
        <v>6077387.12</v>
      </c>
      <c r="O2158" t="s" s="2">
        <v>305</v>
      </c>
      <c r="P2158" s="5">
        <v>192202</v>
      </c>
      <c r="Q2158" t="s" s="2">
        <v>4046</v>
      </c>
      <c r="R2158" t="s" s="2">
        <f>_xlfn.IFERROR(INDEX('model_byCAP'!$D$2:$D$377,MATCH(Q2158,'model_byCAP'!$A$2:$A$377,0)),0)</f>
        <v>4047</v>
      </c>
    </row>
    <row r="2159" ht="15.35" customHeight="1">
      <c r="A2159" t="s" s="2">
        <v>4239</v>
      </c>
      <c r="B2159" s="4">
        <v>36103</v>
      </c>
      <c r="C2159" s="5">
        <v>750</v>
      </c>
      <c r="D2159" s="5">
        <v>48</v>
      </c>
      <c r="E2159" s="5">
        <v>45</v>
      </c>
      <c r="F2159" t="s" s="2">
        <v>1746</v>
      </c>
      <c r="G2159" t="s" s="2">
        <v>4044</v>
      </c>
      <c r="H2159" s="5">
        <v>376</v>
      </c>
      <c r="I2159" t="s" s="2">
        <v>1991</v>
      </c>
      <c r="J2159" t="s" s="2">
        <v>22</v>
      </c>
      <c r="K2159" t="s" s="2">
        <v>4240</v>
      </c>
      <c r="L2159" s="5">
        <v>6</v>
      </c>
      <c r="M2159" s="5">
        <v>664012.09</v>
      </c>
      <c r="N2159" s="5">
        <v>6072921.07</v>
      </c>
      <c r="O2159" t="s" s="2">
        <v>305</v>
      </c>
      <c r="P2159" s="5">
        <v>192205</v>
      </c>
      <c r="Q2159" t="s" s="2">
        <v>4046</v>
      </c>
      <c r="R2159" t="s" s="2">
        <f>_xlfn.IFERROR(INDEX('model_byCAP'!$D$2:$D$377,MATCH(Q2159,'model_byCAP'!$A$2:$A$377,0)),0)</f>
        <v>4047</v>
      </c>
    </row>
    <row r="2160" ht="15.35" customHeight="1">
      <c r="A2160" t="s" s="2">
        <v>4241</v>
      </c>
      <c r="B2160" s="4">
        <v>36103</v>
      </c>
      <c r="C2160" s="5">
        <v>750</v>
      </c>
      <c r="D2160" s="5">
        <v>48</v>
      </c>
      <c r="E2160" s="5">
        <v>46</v>
      </c>
      <c r="F2160" t="s" s="2">
        <v>1746</v>
      </c>
      <c r="G2160" t="s" s="2">
        <v>4242</v>
      </c>
      <c r="H2160" s="5">
        <v>376</v>
      </c>
      <c r="I2160" t="s" s="2">
        <v>1991</v>
      </c>
      <c r="J2160" t="s" s="2">
        <v>22</v>
      </c>
      <c r="K2160" t="s" s="2">
        <v>4243</v>
      </c>
      <c r="L2160" t="s" s="2">
        <v>2931</v>
      </c>
      <c r="M2160" s="5">
        <v>664217.8</v>
      </c>
      <c r="N2160" s="5">
        <v>6072894.33</v>
      </c>
      <c r="O2160" t="s" s="2">
        <v>305</v>
      </c>
      <c r="P2160" s="5">
        <v>192206</v>
      </c>
      <c r="Q2160" t="s" s="2">
        <v>4244</v>
      </c>
      <c r="R2160" t="s" s="2">
        <f>_xlfn.IFERROR(INDEX('model_byCAP'!$D$2:$D$377,MATCH(Q2160,'model_byCAP'!$A$2:$A$377,0)),0)</f>
        <v>4042</v>
      </c>
    </row>
    <row r="2161" ht="15.35" customHeight="1">
      <c r="A2161" t="s" s="2">
        <v>4245</v>
      </c>
      <c r="B2161" s="4">
        <v>36103</v>
      </c>
      <c r="C2161" s="5">
        <v>750</v>
      </c>
      <c r="D2161" s="5">
        <v>48</v>
      </c>
      <c r="E2161" s="5">
        <v>45</v>
      </c>
      <c r="F2161" t="s" s="2">
        <v>1746</v>
      </c>
      <c r="G2161" t="s" s="2">
        <v>4044</v>
      </c>
      <c r="H2161" s="5">
        <v>376</v>
      </c>
      <c r="I2161" t="s" s="2">
        <v>1991</v>
      </c>
      <c r="J2161" t="s" s="2">
        <v>22</v>
      </c>
      <c r="K2161" t="s" s="2">
        <v>4240</v>
      </c>
      <c r="L2161" s="5">
        <v>6</v>
      </c>
      <c r="M2161" s="5">
        <v>664423.67</v>
      </c>
      <c r="N2161" s="5">
        <v>6072867.04</v>
      </c>
      <c r="O2161" t="s" s="2">
        <v>305</v>
      </c>
      <c r="P2161" s="5">
        <v>192207</v>
      </c>
      <c r="Q2161" t="s" s="2">
        <v>4046</v>
      </c>
      <c r="R2161" t="s" s="2">
        <f>_xlfn.IFERROR(INDEX('model_byCAP'!$D$2:$D$377,MATCH(Q2161,'model_byCAP'!$A$2:$A$377,0)),0)</f>
        <v>4047</v>
      </c>
    </row>
    <row r="2162" ht="15.35" customHeight="1">
      <c r="A2162" t="s" s="2">
        <v>4246</v>
      </c>
      <c r="B2162" s="4">
        <v>36103</v>
      </c>
      <c r="C2162" s="5">
        <v>750</v>
      </c>
      <c r="D2162" s="5">
        <v>48</v>
      </c>
      <c r="E2162" s="5">
        <v>45</v>
      </c>
      <c r="F2162" t="s" s="2">
        <v>1746</v>
      </c>
      <c r="G2162" t="s" s="2">
        <v>4044</v>
      </c>
      <c r="H2162" s="5">
        <v>376</v>
      </c>
      <c r="I2162" t="s" s="2">
        <v>1991</v>
      </c>
      <c r="J2162" t="s" s="2">
        <v>22</v>
      </c>
      <c r="K2162" t="s" s="2">
        <v>4247</v>
      </c>
      <c r="L2162" t="s" s="2">
        <v>2931</v>
      </c>
      <c r="M2162" s="5">
        <v>664631.36</v>
      </c>
      <c r="N2162" s="5">
        <v>6072839.97</v>
      </c>
      <c r="O2162" t="s" s="2">
        <v>305</v>
      </c>
      <c r="P2162" s="5">
        <v>192208</v>
      </c>
      <c r="Q2162" t="s" s="2">
        <v>4046</v>
      </c>
      <c r="R2162" t="s" s="2">
        <f>_xlfn.IFERROR(INDEX('model_byCAP'!$D$2:$D$377,MATCH(Q2162,'model_byCAP'!$A$2:$A$377,0)),0)</f>
        <v>4047</v>
      </c>
    </row>
    <row r="2163" ht="15.35" customHeight="1">
      <c r="A2163" t="s" s="2">
        <v>4248</v>
      </c>
      <c r="B2163" s="4">
        <v>36125</v>
      </c>
      <c r="C2163" s="5">
        <v>750</v>
      </c>
      <c r="D2163" s="5">
        <v>48</v>
      </c>
      <c r="E2163" s="5">
        <v>45</v>
      </c>
      <c r="F2163" t="s" s="2">
        <v>1746</v>
      </c>
      <c r="G2163" t="s" s="2">
        <v>4044</v>
      </c>
      <c r="H2163" s="5">
        <v>376</v>
      </c>
      <c r="I2163" t="s" s="2">
        <v>1991</v>
      </c>
      <c r="J2163" t="s" s="2">
        <v>22</v>
      </c>
      <c r="K2163" t="s" s="2">
        <v>4249</v>
      </c>
      <c r="L2163" t="s" s="2">
        <v>4250</v>
      </c>
      <c r="M2163" s="5">
        <v>680790.52</v>
      </c>
      <c r="N2163" s="5">
        <v>6071839.44</v>
      </c>
      <c r="O2163" t="s" s="2">
        <v>305</v>
      </c>
      <c r="P2163" s="5">
        <v>192227</v>
      </c>
      <c r="Q2163" t="s" s="2">
        <v>4046</v>
      </c>
      <c r="R2163" t="s" s="2">
        <f>_xlfn.IFERROR(INDEX('model_byCAP'!$D$2:$D$377,MATCH(Q2163,'model_byCAP'!$A$2:$A$377,0)),0)</f>
        <v>4047</v>
      </c>
    </row>
    <row r="2164" ht="15.35" customHeight="1">
      <c r="A2164" t="s" s="2">
        <v>4251</v>
      </c>
      <c r="B2164" s="4">
        <v>36125</v>
      </c>
      <c r="C2164" s="5">
        <v>750</v>
      </c>
      <c r="D2164" s="5">
        <v>48</v>
      </c>
      <c r="E2164" s="5">
        <v>45</v>
      </c>
      <c r="F2164" t="s" s="2">
        <v>1746</v>
      </c>
      <c r="G2164" t="s" s="2">
        <v>4044</v>
      </c>
      <c r="H2164" s="5">
        <v>376</v>
      </c>
      <c r="I2164" t="s" s="2">
        <v>1991</v>
      </c>
      <c r="J2164" t="s" s="2">
        <v>22</v>
      </c>
      <c r="K2164" t="s" s="2">
        <v>4249</v>
      </c>
      <c r="L2164" t="s" s="2">
        <v>914</v>
      </c>
      <c r="M2164" s="5">
        <v>680787.58</v>
      </c>
      <c r="N2164" s="5">
        <v>6071654.43</v>
      </c>
      <c r="O2164" t="s" s="2">
        <v>305</v>
      </c>
      <c r="P2164" s="5">
        <v>192228</v>
      </c>
      <c r="Q2164" t="s" s="2">
        <v>4046</v>
      </c>
      <c r="R2164" t="s" s="2">
        <f>_xlfn.IFERROR(INDEX('model_byCAP'!$D$2:$D$377,MATCH(Q2164,'model_byCAP'!$A$2:$A$377,0)),0)</f>
        <v>4047</v>
      </c>
    </row>
    <row r="2165" ht="15.35" customHeight="1">
      <c r="A2165" t="s" s="2">
        <v>4252</v>
      </c>
      <c r="B2165" s="4">
        <v>36143</v>
      </c>
      <c r="C2165" s="5">
        <v>750</v>
      </c>
      <c r="D2165" s="5">
        <v>48</v>
      </c>
      <c r="E2165" s="5">
        <v>46</v>
      </c>
      <c r="F2165" t="s" s="2">
        <v>1746</v>
      </c>
      <c r="G2165" t="s" s="2">
        <v>4044</v>
      </c>
      <c r="H2165" s="5">
        <v>376</v>
      </c>
      <c r="I2165" t="s" s="2">
        <v>1991</v>
      </c>
      <c r="J2165" t="s" s="2">
        <v>22</v>
      </c>
      <c r="K2165" t="s" s="2">
        <v>4236</v>
      </c>
      <c r="L2165" t="s" s="2">
        <v>941</v>
      </c>
      <c r="M2165" s="5">
        <v>688620.36</v>
      </c>
      <c r="N2165" s="5">
        <v>6077241.69</v>
      </c>
      <c r="O2165" t="s" s="2">
        <v>305</v>
      </c>
      <c r="P2165" s="5">
        <v>192198</v>
      </c>
      <c r="Q2165" t="s" s="2">
        <v>4046</v>
      </c>
      <c r="R2165" t="s" s="2">
        <f>_xlfn.IFERROR(INDEX('model_byCAP'!$D$2:$D$377,MATCH(Q2165,'model_byCAP'!$A$2:$A$377,0)),0)</f>
        <v>4047</v>
      </c>
    </row>
    <row r="2166" ht="15.35" customHeight="1">
      <c r="A2166" t="s" s="2">
        <v>4253</v>
      </c>
      <c r="B2166" s="4">
        <v>36714</v>
      </c>
      <c r="C2166" s="5">
        <v>750</v>
      </c>
      <c r="D2166" s="5">
        <v>48</v>
      </c>
      <c r="E2166" s="5">
        <v>45</v>
      </c>
      <c r="F2166" t="s" s="2">
        <v>1746</v>
      </c>
      <c r="G2166" t="s" s="2">
        <v>4044</v>
      </c>
      <c r="H2166" s="5">
        <v>376</v>
      </c>
      <c r="I2166" t="s" s="2">
        <v>1991</v>
      </c>
      <c r="J2166" t="s" s="2">
        <v>22</v>
      </c>
      <c r="K2166" t="s" s="2">
        <v>4254</v>
      </c>
      <c r="L2166" t="s" s="2">
        <v>3203</v>
      </c>
      <c r="M2166" s="5">
        <v>679443.0600000001</v>
      </c>
      <c r="N2166" s="5">
        <v>6062858.68</v>
      </c>
      <c r="O2166" t="s" s="2">
        <v>305</v>
      </c>
      <c r="P2166" s="5">
        <v>194964</v>
      </c>
      <c r="Q2166" t="s" s="2">
        <v>4046</v>
      </c>
      <c r="R2166" t="s" s="2">
        <f>_xlfn.IFERROR(INDEX('model_byCAP'!$D$2:$D$377,MATCH(Q2166,'model_byCAP'!$A$2:$A$377,0)),0)</f>
        <v>4047</v>
      </c>
    </row>
    <row r="2167" ht="15.35" customHeight="1">
      <c r="A2167" t="s" s="2">
        <v>4255</v>
      </c>
      <c r="B2167" s="4">
        <v>36714</v>
      </c>
      <c r="C2167" s="5">
        <v>750</v>
      </c>
      <c r="D2167" s="5">
        <v>48</v>
      </c>
      <c r="E2167" s="5">
        <v>45</v>
      </c>
      <c r="F2167" t="s" s="2">
        <v>1746</v>
      </c>
      <c r="G2167" t="s" s="2">
        <v>4044</v>
      </c>
      <c r="H2167" s="5">
        <v>376</v>
      </c>
      <c r="I2167" t="s" s="2">
        <v>1991</v>
      </c>
      <c r="J2167" t="s" s="2">
        <v>22</v>
      </c>
      <c r="K2167" t="s" s="2">
        <v>4256</v>
      </c>
      <c r="L2167" t="s" s="2">
        <v>4257</v>
      </c>
      <c r="M2167" s="5">
        <v>679639.49</v>
      </c>
      <c r="N2167" s="5">
        <v>6062853.23</v>
      </c>
      <c r="O2167" t="s" s="2">
        <v>305</v>
      </c>
      <c r="P2167" s="5">
        <v>194963</v>
      </c>
      <c r="Q2167" t="s" s="2">
        <v>4046</v>
      </c>
      <c r="R2167" t="s" s="2">
        <f>_xlfn.IFERROR(INDEX('model_byCAP'!$D$2:$D$377,MATCH(Q2167,'model_byCAP'!$A$2:$A$377,0)),0)</f>
        <v>4047</v>
      </c>
    </row>
    <row r="2168" ht="15.35" customHeight="1">
      <c r="A2168" t="s" s="2">
        <v>4258</v>
      </c>
      <c r="B2168" s="4">
        <v>36714</v>
      </c>
      <c r="C2168" s="5">
        <v>750</v>
      </c>
      <c r="D2168" s="5">
        <v>48</v>
      </c>
      <c r="E2168" s="5">
        <v>45</v>
      </c>
      <c r="F2168" t="s" s="2">
        <v>1746</v>
      </c>
      <c r="G2168" t="s" s="2">
        <v>4044</v>
      </c>
      <c r="H2168" s="5">
        <v>376</v>
      </c>
      <c r="I2168" t="s" s="2">
        <v>1991</v>
      </c>
      <c r="J2168" t="s" s="2">
        <v>22</v>
      </c>
      <c r="K2168" t="s" s="2">
        <v>4259</v>
      </c>
      <c r="L2168" t="s" s="2">
        <v>605</v>
      </c>
      <c r="M2168" s="5">
        <v>679836.7</v>
      </c>
      <c r="N2168" s="5">
        <v>6062847.82</v>
      </c>
      <c r="O2168" t="s" s="2">
        <v>305</v>
      </c>
      <c r="P2168" s="5">
        <v>194962</v>
      </c>
      <c r="Q2168" t="s" s="2">
        <v>4046</v>
      </c>
      <c r="R2168" t="s" s="2">
        <f>_xlfn.IFERROR(INDEX('model_byCAP'!$D$2:$D$377,MATCH(Q2168,'model_byCAP'!$A$2:$A$377,0)),0)</f>
        <v>4047</v>
      </c>
    </row>
    <row r="2169" ht="15.35" customHeight="1">
      <c r="A2169" t="s" s="2">
        <v>4260</v>
      </c>
      <c r="B2169" s="4">
        <v>36714</v>
      </c>
      <c r="C2169" s="5">
        <v>750</v>
      </c>
      <c r="D2169" s="5">
        <v>48</v>
      </c>
      <c r="E2169" s="5">
        <v>45</v>
      </c>
      <c r="F2169" t="s" s="2">
        <v>1746</v>
      </c>
      <c r="G2169" t="s" s="2">
        <v>4044</v>
      </c>
      <c r="H2169" s="5">
        <v>376</v>
      </c>
      <c r="I2169" t="s" s="2">
        <v>1991</v>
      </c>
      <c r="J2169" t="s" s="2">
        <v>22</v>
      </c>
      <c r="K2169" t="s" s="2">
        <v>4261</v>
      </c>
      <c r="L2169" t="s" s="2">
        <v>4262</v>
      </c>
      <c r="M2169" s="5">
        <v>679244.87</v>
      </c>
      <c r="N2169" s="5">
        <v>6062864.22</v>
      </c>
      <c r="O2169" t="s" s="2">
        <v>305</v>
      </c>
      <c r="P2169" s="5">
        <v>194965</v>
      </c>
      <c r="Q2169" t="s" s="2">
        <v>4046</v>
      </c>
      <c r="R2169" t="s" s="2">
        <f>_xlfn.IFERROR(INDEX('model_byCAP'!$D$2:$D$377,MATCH(Q2169,'model_byCAP'!$A$2:$A$377,0)),0)</f>
        <v>4047</v>
      </c>
    </row>
    <row r="2170" ht="15.35" customHeight="1">
      <c r="A2170" t="s" s="2">
        <v>4263</v>
      </c>
      <c r="B2170" s="4">
        <v>36714</v>
      </c>
      <c r="C2170" s="5">
        <v>750</v>
      </c>
      <c r="D2170" s="5">
        <v>48</v>
      </c>
      <c r="E2170" s="5">
        <v>45</v>
      </c>
      <c r="F2170" t="s" s="2">
        <v>1746</v>
      </c>
      <c r="G2170" t="s" s="2">
        <v>4044</v>
      </c>
      <c r="H2170" s="5">
        <v>376</v>
      </c>
      <c r="I2170" t="s" s="2">
        <v>1991</v>
      </c>
      <c r="J2170" t="s" s="2">
        <v>22</v>
      </c>
      <c r="K2170" t="s" s="2">
        <v>4259</v>
      </c>
      <c r="L2170" t="s" s="2">
        <v>3203</v>
      </c>
      <c r="M2170" s="5">
        <v>679046.98</v>
      </c>
      <c r="N2170" s="5">
        <v>6062869.47</v>
      </c>
      <c r="O2170" t="s" s="2">
        <v>305</v>
      </c>
      <c r="P2170" s="5">
        <v>194957</v>
      </c>
      <c r="Q2170" t="s" s="2">
        <v>4046</v>
      </c>
      <c r="R2170" t="s" s="2">
        <f>_xlfn.IFERROR(INDEX('model_byCAP'!$D$2:$D$377,MATCH(Q2170,'model_byCAP'!$A$2:$A$377,0)),0)</f>
        <v>4047</v>
      </c>
    </row>
    <row r="2171" ht="15.35" customHeight="1">
      <c r="A2171" t="s" s="2">
        <v>4264</v>
      </c>
      <c r="B2171" s="4">
        <v>36714</v>
      </c>
      <c r="C2171" s="5">
        <v>750</v>
      </c>
      <c r="D2171" s="5">
        <v>48</v>
      </c>
      <c r="E2171" s="5">
        <v>45</v>
      </c>
      <c r="F2171" t="s" s="2">
        <v>1746</v>
      </c>
      <c r="G2171" t="s" s="2">
        <v>4044</v>
      </c>
      <c r="H2171" s="5">
        <v>376</v>
      </c>
      <c r="I2171" t="s" s="2">
        <v>1991</v>
      </c>
      <c r="J2171" t="s" s="2">
        <v>22</v>
      </c>
      <c r="K2171" t="s" s="2">
        <v>4259</v>
      </c>
      <c r="L2171" t="s" s="2">
        <v>3410</v>
      </c>
      <c r="M2171" s="5">
        <v>678850.49</v>
      </c>
      <c r="N2171" s="5">
        <v>6062874.72</v>
      </c>
      <c r="O2171" t="s" s="2">
        <v>305</v>
      </c>
      <c r="P2171" s="5">
        <v>194966</v>
      </c>
      <c r="Q2171" t="s" s="2">
        <v>4046</v>
      </c>
      <c r="R2171" t="s" s="2">
        <f>_xlfn.IFERROR(INDEX('model_byCAP'!$D$2:$D$377,MATCH(Q2171,'model_byCAP'!$A$2:$A$377,0)),0)</f>
        <v>4047</v>
      </c>
    </row>
    <row r="2172" ht="15.35" customHeight="1">
      <c r="A2172" t="s" s="2">
        <v>4265</v>
      </c>
      <c r="B2172" s="4">
        <v>36726</v>
      </c>
      <c r="C2172" s="5">
        <v>750</v>
      </c>
      <c r="D2172" s="5">
        <v>48</v>
      </c>
      <c r="E2172" s="5">
        <v>45</v>
      </c>
      <c r="F2172" t="s" s="2">
        <v>1746</v>
      </c>
      <c r="G2172" t="s" s="2">
        <v>4044</v>
      </c>
      <c r="H2172" s="5">
        <v>376</v>
      </c>
      <c r="I2172" t="s" s="2">
        <v>1991</v>
      </c>
      <c r="J2172" t="s" s="2">
        <v>22</v>
      </c>
      <c r="K2172" t="s" s="2">
        <v>4259</v>
      </c>
      <c r="L2172" t="s" s="2">
        <v>4266</v>
      </c>
      <c r="M2172" s="5">
        <v>676901.48</v>
      </c>
      <c r="N2172" s="5">
        <v>6063281.61</v>
      </c>
      <c r="O2172" t="s" s="2">
        <v>305</v>
      </c>
      <c r="P2172" s="5">
        <v>194969</v>
      </c>
      <c r="Q2172" t="s" s="2">
        <v>4046</v>
      </c>
      <c r="R2172" t="s" s="2">
        <f>_xlfn.IFERROR(INDEX('model_byCAP'!$D$2:$D$377,MATCH(Q2172,'model_byCAP'!$A$2:$A$377,0)),0)</f>
        <v>4047</v>
      </c>
    </row>
    <row r="2173" ht="15.35" customHeight="1">
      <c r="A2173" t="s" s="2">
        <v>4267</v>
      </c>
      <c r="B2173" s="4">
        <v>36719</v>
      </c>
      <c r="C2173" s="5">
        <v>750</v>
      </c>
      <c r="D2173" s="5">
        <v>48</v>
      </c>
      <c r="E2173" s="5">
        <v>45</v>
      </c>
      <c r="F2173" t="s" s="2">
        <v>1746</v>
      </c>
      <c r="G2173" t="s" s="2">
        <v>4044</v>
      </c>
      <c r="H2173" s="5">
        <v>376</v>
      </c>
      <c r="I2173" t="s" s="2">
        <v>1991</v>
      </c>
      <c r="J2173" t="s" s="2">
        <v>22</v>
      </c>
      <c r="K2173" t="s" s="2">
        <v>4268</v>
      </c>
      <c r="L2173" s="5">
        <v>12</v>
      </c>
      <c r="M2173" s="5">
        <v>677100.72</v>
      </c>
      <c r="N2173" s="5">
        <v>6063275.63</v>
      </c>
      <c r="O2173" t="s" s="2">
        <v>305</v>
      </c>
      <c r="P2173" s="5">
        <v>194968</v>
      </c>
      <c r="Q2173" t="s" s="2">
        <v>4046</v>
      </c>
      <c r="R2173" t="s" s="2">
        <f>_xlfn.IFERROR(INDEX('model_byCAP'!$D$2:$D$377,MATCH(Q2173,'model_byCAP'!$A$2:$A$377,0)),0)</f>
        <v>4047</v>
      </c>
    </row>
    <row r="2174" ht="15.35" customHeight="1">
      <c r="A2174" t="s" s="2">
        <v>4269</v>
      </c>
      <c r="B2174" s="4">
        <v>36719</v>
      </c>
      <c r="C2174" s="5">
        <v>750</v>
      </c>
      <c r="D2174" s="5">
        <v>48</v>
      </c>
      <c r="E2174" s="5">
        <v>45</v>
      </c>
      <c r="F2174" t="s" s="2">
        <v>1746</v>
      </c>
      <c r="G2174" t="s" s="2">
        <v>4044</v>
      </c>
      <c r="H2174" s="5">
        <v>376</v>
      </c>
      <c r="I2174" t="s" s="2">
        <v>1991</v>
      </c>
      <c r="J2174" t="s" s="2">
        <v>22</v>
      </c>
      <c r="K2174" t="s" s="2">
        <v>4254</v>
      </c>
      <c r="L2174" t="s" s="2">
        <v>1196</v>
      </c>
      <c r="M2174" s="5">
        <v>677301.03</v>
      </c>
      <c r="N2174" s="5">
        <v>6063270.66</v>
      </c>
      <c r="O2174" t="s" s="2">
        <v>305</v>
      </c>
      <c r="P2174" s="5">
        <v>194967</v>
      </c>
      <c r="Q2174" t="s" s="2">
        <v>4046</v>
      </c>
      <c r="R2174" t="s" s="2">
        <f>_xlfn.IFERROR(INDEX('model_byCAP'!$D$2:$D$377,MATCH(Q2174,'model_byCAP'!$A$2:$A$377,0)),0)</f>
        <v>4047</v>
      </c>
    </row>
    <row r="2175" ht="15.35" customHeight="1">
      <c r="A2175" t="s" s="2">
        <v>4270</v>
      </c>
      <c r="B2175" s="4">
        <v>36726</v>
      </c>
      <c r="C2175" s="5">
        <v>750</v>
      </c>
      <c r="D2175" s="5">
        <v>48</v>
      </c>
      <c r="E2175" s="5">
        <v>45</v>
      </c>
      <c r="F2175" t="s" s="2">
        <v>1746</v>
      </c>
      <c r="G2175" t="s" s="2">
        <v>4044</v>
      </c>
      <c r="H2175" s="5">
        <v>376</v>
      </c>
      <c r="I2175" t="s" s="2">
        <v>1991</v>
      </c>
      <c r="J2175" t="s" s="2">
        <v>22</v>
      </c>
      <c r="K2175" t="s" s="2">
        <v>4259</v>
      </c>
      <c r="L2175" t="s" s="2">
        <v>856</v>
      </c>
      <c r="M2175" s="5">
        <v>677923.37</v>
      </c>
      <c r="N2175" s="5">
        <v>6061207.13</v>
      </c>
      <c r="O2175" t="s" s="2">
        <v>305</v>
      </c>
      <c r="P2175" s="5">
        <v>194970</v>
      </c>
      <c r="Q2175" t="s" s="2">
        <v>4046</v>
      </c>
      <c r="R2175" t="s" s="2">
        <f>_xlfn.IFERROR(INDEX('model_byCAP'!$D$2:$D$377,MATCH(Q2175,'model_byCAP'!$A$2:$A$377,0)),0)</f>
        <v>4047</v>
      </c>
    </row>
    <row r="2176" ht="15.35" customHeight="1">
      <c r="A2176" t="s" s="2">
        <v>4271</v>
      </c>
      <c r="B2176" s="4">
        <v>36726</v>
      </c>
      <c r="C2176" s="5">
        <v>750</v>
      </c>
      <c r="D2176" s="5">
        <v>48</v>
      </c>
      <c r="E2176" s="5">
        <v>45</v>
      </c>
      <c r="F2176" t="s" s="2">
        <v>1746</v>
      </c>
      <c r="G2176" t="s" s="2">
        <v>4044</v>
      </c>
      <c r="H2176" s="5">
        <v>376</v>
      </c>
      <c r="I2176" t="s" s="2">
        <v>1991</v>
      </c>
      <c r="J2176" t="s" s="2">
        <v>22</v>
      </c>
      <c r="K2176" t="s" s="2">
        <v>4259</v>
      </c>
      <c r="L2176" t="s" s="2">
        <v>1105</v>
      </c>
      <c r="M2176" s="5">
        <v>677928.84</v>
      </c>
      <c r="N2176" s="5">
        <v>6061394.87</v>
      </c>
      <c r="O2176" t="s" s="2">
        <v>305</v>
      </c>
      <c r="P2176" s="5">
        <v>194971</v>
      </c>
      <c r="Q2176" t="s" s="2">
        <v>4046</v>
      </c>
      <c r="R2176" t="s" s="2">
        <f>_xlfn.IFERROR(INDEX('model_byCAP'!$D$2:$D$377,MATCH(Q2176,'model_byCAP'!$A$2:$A$377,0)),0)</f>
        <v>4047</v>
      </c>
    </row>
    <row r="2177" ht="15.35" customHeight="1">
      <c r="A2177" t="s" s="2">
        <v>4272</v>
      </c>
      <c r="B2177" s="4">
        <v>36495</v>
      </c>
      <c r="C2177" s="5">
        <v>750</v>
      </c>
      <c r="D2177" s="5">
        <v>44</v>
      </c>
      <c r="E2177" s="5">
        <v>45</v>
      </c>
      <c r="F2177" t="s" s="2">
        <v>3604</v>
      </c>
      <c r="G2177" t="s" s="2">
        <v>4113</v>
      </c>
      <c r="H2177" s="5">
        <v>390</v>
      </c>
      <c r="I2177" t="s" s="2">
        <v>46</v>
      </c>
      <c r="J2177" t="s" s="2">
        <v>22</v>
      </c>
      <c r="K2177" t="s" s="2">
        <v>1992</v>
      </c>
      <c r="L2177" t="s" s="2">
        <v>4273</v>
      </c>
      <c r="M2177" s="5">
        <v>713969.34</v>
      </c>
      <c r="N2177" s="5">
        <v>6099873.87</v>
      </c>
      <c r="O2177" t="s" s="2">
        <v>305</v>
      </c>
      <c r="P2177" s="5">
        <v>194390</v>
      </c>
      <c r="Q2177" t="s" s="2">
        <v>4114</v>
      </c>
      <c r="R2177" t="s" s="2">
        <f>_xlfn.IFERROR(INDEX('model_byCAP'!$D$2:$D$377,MATCH(Q2177,'model_byCAP'!$A$2:$A$377,0)),0)</f>
        <v>4115</v>
      </c>
    </row>
    <row r="2178" ht="15.35" customHeight="1">
      <c r="A2178" t="s" s="2">
        <v>4274</v>
      </c>
      <c r="B2178" s="4">
        <v>36517</v>
      </c>
      <c r="C2178" s="5">
        <v>750</v>
      </c>
      <c r="D2178" s="5">
        <v>48</v>
      </c>
      <c r="E2178" s="5">
        <v>45</v>
      </c>
      <c r="F2178" t="s" s="2">
        <v>1746</v>
      </c>
      <c r="G2178" t="s" s="2">
        <v>4044</v>
      </c>
      <c r="H2178" s="5">
        <v>390</v>
      </c>
      <c r="I2178" t="s" s="2">
        <v>46</v>
      </c>
      <c r="J2178" t="s" s="2">
        <v>22</v>
      </c>
      <c r="K2178" t="s" s="2">
        <v>4275</v>
      </c>
      <c r="L2178" t="s" s="2">
        <v>492</v>
      </c>
      <c r="M2178" s="5">
        <v>713889.5699999999</v>
      </c>
      <c r="N2178" s="5">
        <v>6099543.21</v>
      </c>
      <c r="O2178" t="s" s="2">
        <v>305</v>
      </c>
      <c r="P2178" s="5">
        <v>194038</v>
      </c>
      <c r="Q2178" t="s" s="2">
        <v>4046</v>
      </c>
      <c r="R2178" t="s" s="2">
        <f>_xlfn.IFERROR(INDEX('model_byCAP'!$D$2:$D$377,MATCH(Q2178,'model_byCAP'!$A$2:$A$377,0)),0)</f>
        <v>4047</v>
      </c>
    </row>
    <row r="2179" ht="15.35" customHeight="1">
      <c r="A2179" t="s" s="2">
        <v>4276</v>
      </c>
      <c r="B2179" s="4">
        <v>36516</v>
      </c>
      <c r="C2179" s="5">
        <v>750</v>
      </c>
      <c r="D2179" s="5">
        <v>48</v>
      </c>
      <c r="E2179" s="5">
        <v>45</v>
      </c>
      <c r="F2179" t="s" s="2">
        <v>1746</v>
      </c>
      <c r="G2179" t="s" s="2">
        <v>4242</v>
      </c>
      <c r="H2179" s="5">
        <v>390</v>
      </c>
      <c r="I2179" t="s" s="2">
        <v>46</v>
      </c>
      <c r="J2179" t="s" s="2">
        <v>22</v>
      </c>
      <c r="K2179" t="s" s="2">
        <v>4275</v>
      </c>
      <c r="L2179" t="s" s="2">
        <v>492</v>
      </c>
      <c r="M2179" s="5">
        <v>713929.78</v>
      </c>
      <c r="N2179" s="5">
        <v>6099708.67</v>
      </c>
      <c r="O2179" t="s" s="2">
        <v>305</v>
      </c>
      <c r="P2179" s="5">
        <v>194039</v>
      </c>
      <c r="Q2179" t="s" s="2">
        <v>4244</v>
      </c>
      <c r="R2179" t="s" s="2">
        <f>_xlfn.IFERROR(INDEX('model_byCAP'!$D$2:$D$377,MATCH(Q2179,'model_byCAP'!$A$2:$A$377,0)),0)</f>
        <v>4042</v>
      </c>
    </row>
    <row r="2180" ht="15.35" customHeight="1">
      <c r="A2180" t="s" s="2">
        <v>4277</v>
      </c>
      <c r="B2180" s="4">
        <v>36130</v>
      </c>
      <c r="C2180" s="5">
        <v>750</v>
      </c>
      <c r="D2180" s="5">
        <v>48</v>
      </c>
      <c r="E2180" s="5">
        <v>50</v>
      </c>
      <c r="F2180" t="s" s="2">
        <v>1746</v>
      </c>
      <c r="G2180" t="s" s="2">
        <v>4151</v>
      </c>
      <c r="H2180" s="5">
        <v>410</v>
      </c>
      <c r="I2180" t="s" s="2">
        <v>4278</v>
      </c>
      <c r="J2180" t="s" s="2">
        <v>22</v>
      </c>
      <c r="K2180" t="s" s="2">
        <v>4279</v>
      </c>
      <c r="L2180" s="5">
        <v>10</v>
      </c>
      <c r="M2180" s="5">
        <v>551097.72</v>
      </c>
      <c r="N2180" s="5">
        <v>6151178.35</v>
      </c>
      <c r="O2180" t="s" s="2">
        <v>305</v>
      </c>
      <c r="P2180" s="8">
        <v>210183</v>
      </c>
      <c r="Q2180" t="s" s="2">
        <v>4154</v>
      </c>
      <c r="R2180" t="s" s="2">
        <f>_xlfn.IFERROR(INDEX('model_byCAP'!$D$2:$D$377,MATCH(Q2180,'model_byCAP'!$A$2:$A$377,0)),0)</f>
        <v>4047</v>
      </c>
    </row>
    <row r="2181" ht="15.35" customHeight="1">
      <c r="A2181" t="s" s="2">
        <v>4280</v>
      </c>
      <c r="B2181" s="4">
        <v>36140</v>
      </c>
      <c r="C2181" s="5">
        <v>750</v>
      </c>
      <c r="D2181" s="5">
        <v>48</v>
      </c>
      <c r="E2181" s="5">
        <v>50</v>
      </c>
      <c r="F2181" t="s" s="2">
        <v>1746</v>
      </c>
      <c r="G2181" t="s" s="2">
        <v>4151</v>
      </c>
      <c r="H2181" s="5">
        <v>410</v>
      </c>
      <c r="I2181" t="s" s="2">
        <v>4278</v>
      </c>
      <c r="J2181" t="s" s="2">
        <v>22</v>
      </c>
      <c r="K2181" t="s" s="2">
        <v>4281</v>
      </c>
      <c r="L2181" t="s" s="2">
        <v>2296</v>
      </c>
      <c r="M2181" s="5">
        <v>550838.98</v>
      </c>
      <c r="N2181" s="5">
        <v>6151203.89</v>
      </c>
      <c r="O2181" t="s" s="2">
        <v>305</v>
      </c>
      <c r="P2181" s="8">
        <v>210182</v>
      </c>
      <c r="Q2181" t="s" s="2">
        <v>4154</v>
      </c>
      <c r="R2181" t="s" s="2">
        <f>_xlfn.IFERROR(INDEX('model_byCAP'!$D$2:$D$377,MATCH(Q2181,'model_byCAP'!$A$2:$A$377,0)),0)</f>
        <v>4047</v>
      </c>
    </row>
    <row r="2182" ht="15.35" customHeight="1">
      <c r="A2182" t="s" s="2">
        <v>4282</v>
      </c>
      <c r="B2182" s="4">
        <v>36195</v>
      </c>
      <c r="C2182" s="5">
        <v>750</v>
      </c>
      <c r="D2182" s="5">
        <v>48.2</v>
      </c>
      <c r="E2182" s="5">
        <v>50</v>
      </c>
      <c r="F2182" t="s" s="2">
        <v>1746</v>
      </c>
      <c r="G2182" t="s" s="2">
        <v>4151</v>
      </c>
      <c r="H2182" s="5">
        <v>410</v>
      </c>
      <c r="I2182" t="s" s="2">
        <v>4278</v>
      </c>
      <c r="J2182" t="s" s="2">
        <v>22</v>
      </c>
      <c r="K2182" t="s" s="2">
        <v>4283</v>
      </c>
      <c r="L2182" t="s" s="2">
        <v>3332</v>
      </c>
      <c r="M2182" s="5">
        <v>550795.3100000001</v>
      </c>
      <c r="N2182" s="5">
        <v>6151449.42</v>
      </c>
      <c r="O2182" t="s" s="2">
        <v>305</v>
      </c>
      <c r="P2182" s="8">
        <v>210181</v>
      </c>
      <c r="Q2182" t="s" s="2">
        <v>4154</v>
      </c>
      <c r="R2182" t="s" s="2">
        <f>_xlfn.IFERROR(INDEX('model_byCAP'!$D$2:$D$377,MATCH(Q2182,'model_byCAP'!$A$2:$A$377,0)),0)</f>
        <v>4047</v>
      </c>
    </row>
    <row r="2183" ht="15.35" customHeight="1">
      <c r="A2183" t="s" s="2">
        <v>4284</v>
      </c>
      <c r="B2183" s="4">
        <v>36126</v>
      </c>
      <c r="C2183" s="5">
        <v>750</v>
      </c>
      <c r="D2183" s="5">
        <v>48</v>
      </c>
      <c r="E2183" s="5">
        <v>50</v>
      </c>
      <c r="F2183" t="s" s="2">
        <v>1746</v>
      </c>
      <c r="G2183" t="s" s="2">
        <v>4151</v>
      </c>
      <c r="H2183" s="5">
        <v>410</v>
      </c>
      <c r="I2183" t="s" s="2">
        <v>4278</v>
      </c>
      <c r="J2183" t="s" s="2">
        <v>22</v>
      </c>
      <c r="K2183" t="s" s="2">
        <v>4285</v>
      </c>
      <c r="L2183" t="s" s="2">
        <v>1445</v>
      </c>
      <c r="M2183" s="5">
        <v>552338.3</v>
      </c>
      <c r="N2183" s="5">
        <v>6149615.31</v>
      </c>
      <c r="O2183" t="s" s="2">
        <v>305</v>
      </c>
      <c r="P2183" s="5">
        <v>99137</v>
      </c>
      <c r="Q2183" t="s" s="2">
        <v>4154</v>
      </c>
      <c r="R2183" t="s" s="2">
        <f>_xlfn.IFERROR(INDEX('model_byCAP'!$D$2:$D$377,MATCH(Q2183,'model_byCAP'!$A$2:$A$377,0)),0)</f>
        <v>4047</v>
      </c>
    </row>
    <row r="2184" ht="15.35" customHeight="1">
      <c r="A2184" t="s" s="2">
        <v>4286</v>
      </c>
      <c r="B2184" s="4">
        <v>36551</v>
      </c>
      <c r="C2184" s="5">
        <v>750</v>
      </c>
      <c r="D2184" s="5">
        <v>48</v>
      </c>
      <c r="E2184" s="5">
        <v>50</v>
      </c>
      <c r="F2184" t="s" s="2">
        <v>1746</v>
      </c>
      <c r="G2184" t="s" s="2">
        <v>4151</v>
      </c>
      <c r="H2184" s="5">
        <v>410</v>
      </c>
      <c r="I2184" t="s" s="2">
        <v>4278</v>
      </c>
      <c r="J2184" t="s" s="2">
        <v>22</v>
      </c>
      <c r="K2184" t="s" s="2">
        <v>4285</v>
      </c>
      <c r="L2184" t="s" s="2">
        <v>1055</v>
      </c>
      <c r="M2184" s="5">
        <v>552404.77</v>
      </c>
      <c r="N2184" s="5">
        <v>6149467.5</v>
      </c>
      <c r="O2184" t="s" s="2">
        <v>305</v>
      </c>
      <c r="P2184" s="5">
        <v>99138</v>
      </c>
      <c r="Q2184" t="s" s="2">
        <v>4154</v>
      </c>
      <c r="R2184" t="s" s="2">
        <f>_xlfn.IFERROR(INDEX('model_byCAP'!$D$2:$D$377,MATCH(Q2184,'model_byCAP'!$A$2:$A$377,0)),0)</f>
        <v>4047</v>
      </c>
    </row>
    <row r="2185" ht="15.35" customHeight="1">
      <c r="A2185" t="s" s="2">
        <v>4287</v>
      </c>
      <c r="B2185" s="4">
        <v>36139</v>
      </c>
      <c r="C2185" s="5">
        <v>750</v>
      </c>
      <c r="D2185" s="5">
        <v>48</v>
      </c>
      <c r="E2185" s="5">
        <v>50</v>
      </c>
      <c r="F2185" t="s" s="2">
        <v>1746</v>
      </c>
      <c r="G2185" t="s" s="2">
        <v>4151</v>
      </c>
      <c r="H2185" s="5">
        <v>410</v>
      </c>
      <c r="I2185" t="s" s="2">
        <v>4278</v>
      </c>
      <c r="J2185" t="s" s="2">
        <v>22</v>
      </c>
      <c r="K2185" t="s" s="2">
        <v>4285</v>
      </c>
      <c r="L2185" t="s" s="2">
        <v>987</v>
      </c>
      <c r="M2185" s="5">
        <v>552471.99</v>
      </c>
      <c r="N2185" s="5">
        <v>6149319.24</v>
      </c>
      <c r="O2185" t="s" s="2">
        <v>305</v>
      </c>
      <c r="P2185" s="5">
        <v>99139</v>
      </c>
      <c r="Q2185" t="s" s="2">
        <v>4154</v>
      </c>
      <c r="R2185" t="s" s="2">
        <f>_xlfn.IFERROR(INDEX('model_byCAP'!$D$2:$D$377,MATCH(Q2185,'model_byCAP'!$A$2:$A$377,0)),0)</f>
        <v>4047</v>
      </c>
    </row>
    <row r="2186" ht="15.35" customHeight="1">
      <c r="A2186" t="s" s="2">
        <v>4288</v>
      </c>
      <c r="B2186" s="4">
        <v>36152</v>
      </c>
      <c r="C2186" s="5">
        <v>750</v>
      </c>
      <c r="D2186" s="5">
        <v>48</v>
      </c>
      <c r="E2186" s="5">
        <v>42</v>
      </c>
      <c r="F2186" t="s" s="2">
        <v>1746</v>
      </c>
      <c r="G2186" t="s" s="2">
        <v>4151</v>
      </c>
      <c r="H2186" s="5">
        <v>410</v>
      </c>
      <c r="I2186" t="s" s="2">
        <v>4278</v>
      </c>
      <c r="J2186" t="s" s="2">
        <v>22</v>
      </c>
      <c r="K2186" t="s" s="2">
        <v>4289</v>
      </c>
      <c r="L2186" t="s" s="2">
        <v>2923</v>
      </c>
      <c r="M2186" s="5">
        <v>554396.33</v>
      </c>
      <c r="N2186" s="5">
        <v>6147354.19</v>
      </c>
      <c r="O2186" t="s" s="2">
        <v>305</v>
      </c>
      <c r="P2186" s="5">
        <v>99140</v>
      </c>
      <c r="Q2186" t="s" s="2">
        <v>4154</v>
      </c>
      <c r="R2186" t="s" s="2">
        <f>_xlfn.IFERROR(INDEX('model_byCAP'!$D$2:$D$377,MATCH(Q2186,'model_byCAP'!$A$2:$A$377,0)),0)</f>
        <v>4047</v>
      </c>
    </row>
    <row r="2187" ht="15.35" customHeight="1">
      <c r="A2187" t="s" s="2">
        <v>4290</v>
      </c>
      <c r="B2187" s="4">
        <v>36076</v>
      </c>
      <c r="C2187" s="5">
        <v>750</v>
      </c>
      <c r="D2187" s="5">
        <v>48</v>
      </c>
      <c r="E2187" s="5">
        <v>50</v>
      </c>
      <c r="F2187" t="s" s="2">
        <v>1746</v>
      </c>
      <c r="G2187" t="s" s="2">
        <v>4151</v>
      </c>
      <c r="H2187" s="5">
        <v>410</v>
      </c>
      <c r="I2187" t="s" s="2">
        <v>4278</v>
      </c>
      <c r="J2187" t="s" s="2">
        <v>22</v>
      </c>
      <c r="K2187" t="s" s="2">
        <v>4291</v>
      </c>
      <c r="L2187" t="s" s="2">
        <v>524</v>
      </c>
      <c r="M2187" s="5">
        <v>558347.36</v>
      </c>
      <c r="N2187" s="5">
        <v>6147541.09</v>
      </c>
      <c r="O2187" t="s" s="2">
        <v>305</v>
      </c>
      <c r="P2187" s="5">
        <v>99144</v>
      </c>
      <c r="Q2187" t="s" s="2">
        <v>4154</v>
      </c>
      <c r="R2187" t="s" s="2">
        <f>_xlfn.IFERROR(INDEX('model_byCAP'!$D$2:$D$377,MATCH(Q2187,'model_byCAP'!$A$2:$A$377,0)),0)</f>
        <v>4047</v>
      </c>
    </row>
    <row r="2188" ht="15.35" customHeight="1">
      <c r="A2188" t="s" s="2">
        <v>4292</v>
      </c>
      <c r="B2188" s="4">
        <v>36515</v>
      </c>
      <c r="C2188" s="5">
        <v>750</v>
      </c>
      <c r="D2188" s="5">
        <v>48</v>
      </c>
      <c r="E2188" s="5">
        <v>50</v>
      </c>
      <c r="F2188" t="s" s="2">
        <v>1746</v>
      </c>
      <c r="G2188" t="s" s="2">
        <v>4151</v>
      </c>
      <c r="H2188" s="5">
        <v>410</v>
      </c>
      <c r="I2188" t="s" s="2">
        <v>4278</v>
      </c>
      <c r="J2188" t="s" s="2">
        <v>22</v>
      </c>
      <c r="K2188" t="s" s="2">
        <v>4293</v>
      </c>
      <c r="L2188" s="5">
        <v>13</v>
      </c>
      <c r="M2188" s="5">
        <v>554561.4300000001</v>
      </c>
      <c r="N2188" s="5">
        <v>6147736.91</v>
      </c>
      <c r="O2188" t="s" s="2">
        <v>305</v>
      </c>
      <c r="P2188" s="5">
        <v>99209</v>
      </c>
      <c r="Q2188" t="s" s="2">
        <v>4154</v>
      </c>
      <c r="R2188" t="s" s="2">
        <f>_xlfn.IFERROR(INDEX('model_byCAP'!$D$2:$D$377,MATCH(Q2188,'model_byCAP'!$A$2:$A$377,0)),0)</f>
        <v>4047</v>
      </c>
    </row>
    <row r="2189" ht="15.35" customHeight="1">
      <c r="A2189" t="s" s="2">
        <v>4294</v>
      </c>
      <c r="B2189" s="4">
        <v>36601</v>
      </c>
      <c r="C2189" s="5">
        <v>750</v>
      </c>
      <c r="D2189" s="5">
        <v>48</v>
      </c>
      <c r="E2189" s="5">
        <v>50</v>
      </c>
      <c r="F2189" t="s" s="2">
        <v>1746</v>
      </c>
      <c r="G2189" t="s" s="2">
        <v>4151</v>
      </c>
      <c r="H2189" s="5">
        <v>410</v>
      </c>
      <c r="I2189" t="s" s="2">
        <v>4278</v>
      </c>
      <c r="J2189" t="s" s="2">
        <v>22</v>
      </c>
      <c r="K2189" t="s" s="2">
        <v>4289</v>
      </c>
      <c r="L2189" t="s" s="2">
        <v>2923</v>
      </c>
      <c r="M2189" s="5">
        <v>554477.9399999999</v>
      </c>
      <c r="N2189" s="5">
        <v>6147546.68</v>
      </c>
      <c r="O2189" t="s" s="2">
        <v>305</v>
      </c>
      <c r="P2189" s="5">
        <v>99223</v>
      </c>
      <c r="Q2189" t="s" s="2">
        <v>4154</v>
      </c>
      <c r="R2189" t="s" s="2">
        <f>_xlfn.IFERROR(INDEX('model_byCAP'!$D$2:$D$377,MATCH(Q2189,'model_byCAP'!$A$2:$A$377,0)),0)</f>
        <v>4047</v>
      </c>
    </row>
    <row r="2190" ht="15.35" customHeight="1">
      <c r="A2190" t="s" s="2">
        <v>4295</v>
      </c>
      <c r="B2190" s="4">
        <v>36139</v>
      </c>
      <c r="C2190" s="5">
        <v>750</v>
      </c>
      <c r="D2190" s="5">
        <v>48</v>
      </c>
      <c r="E2190" s="5">
        <v>50</v>
      </c>
      <c r="F2190" t="s" s="2">
        <v>1746</v>
      </c>
      <c r="G2190" t="s" s="2">
        <v>4151</v>
      </c>
      <c r="H2190" s="5">
        <v>420</v>
      </c>
      <c r="I2190" t="s" s="2">
        <v>3043</v>
      </c>
      <c r="J2190" t="s" s="2">
        <v>22</v>
      </c>
      <c r="K2190" t="s" s="2">
        <v>4296</v>
      </c>
      <c r="L2190" t="s" s="2">
        <v>4297</v>
      </c>
      <c r="M2190" s="5">
        <v>577875.79</v>
      </c>
      <c r="N2190" s="5">
        <v>6127675.24</v>
      </c>
      <c r="O2190" t="s" s="2">
        <v>305</v>
      </c>
      <c r="P2190" s="5">
        <v>99134</v>
      </c>
      <c r="Q2190" t="s" s="2">
        <v>4154</v>
      </c>
      <c r="R2190" t="s" s="2">
        <f>_xlfn.IFERROR(INDEX('model_byCAP'!$D$2:$D$377,MATCH(Q2190,'model_byCAP'!$A$2:$A$377,0)),0)</f>
        <v>4047</v>
      </c>
    </row>
    <row r="2191" ht="15.35" customHeight="1">
      <c r="A2191" t="s" s="2">
        <v>4298</v>
      </c>
      <c r="B2191" s="4">
        <v>36141</v>
      </c>
      <c r="C2191" s="5">
        <v>750</v>
      </c>
      <c r="D2191" s="5">
        <v>48</v>
      </c>
      <c r="E2191" s="5">
        <v>50</v>
      </c>
      <c r="F2191" t="s" s="2">
        <v>1746</v>
      </c>
      <c r="G2191" t="s" s="2">
        <v>4151</v>
      </c>
      <c r="H2191" s="5">
        <v>420</v>
      </c>
      <c r="I2191" t="s" s="2">
        <v>3043</v>
      </c>
      <c r="J2191" t="s" s="2">
        <v>22</v>
      </c>
      <c r="K2191" t="s" s="2">
        <v>4299</v>
      </c>
      <c r="L2191" s="5">
        <v>13</v>
      </c>
      <c r="M2191" s="5">
        <v>578085.84</v>
      </c>
      <c r="N2191" s="5">
        <v>6127732.22</v>
      </c>
      <c r="O2191" t="s" s="2">
        <v>305</v>
      </c>
      <c r="P2191" s="5">
        <v>99135</v>
      </c>
      <c r="Q2191" t="s" s="2">
        <v>4154</v>
      </c>
      <c r="R2191" t="s" s="2">
        <f>_xlfn.IFERROR(INDEX('model_byCAP'!$D$2:$D$377,MATCH(Q2191,'model_byCAP'!$A$2:$A$377,0)),0)</f>
        <v>4047</v>
      </c>
    </row>
    <row r="2192" ht="15.35" customHeight="1">
      <c r="A2192" t="s" s="2">
        <v>4300</v>
      </c>
      <c r="B2192" s="4">
        <v>36139</v>
      </c>
      <c r="C2192" s="5">
        <v>750</v>
      </c>
      <c r="D2192" s="5">
        <v>48</v>
      </c>
      <c r="E2192" s="5">
        <v>50</v>
      </c>
      <c r="F2192" t="s" s="2">
        <v>1746</v>
      </c>
      <c r="G2192" t="s" s="2">
        <v>4151</v>
      </c>
      <c r="H2192" s="5">
        <v>420</v>
      </c>
      <c r="I2192" t="s" s="2">
        <v>3043</v>
      </c>
      <c r="J2192" t="s" s="2">
        <v>22</v>
      </c>
      <c r="K2192" t="s" s="2">
        <v>4299</v>
      </c>
      <c r="L2192" t="s" s="2">
        <v>2348</v>
      </c>
      <c r="M2192" s="5">
        <v>578296.08</v>
      </c>
      <c r="N2192" s="5">
        <v>6127789.81</v>
      </c>
      <c r="O2192" t="s" s="2">
        <v>305</v>
      </c>
      <c r="P2192" s="5">
        <v>99136</v>
      </c>
      <c r="Q2192" t="s" s="2">
        <v>4154</v>
      </c>
      <c r="R2192" t="s" s="2">
        <f>_xlfn.IFERROR(INDEX('model_byCAP'!$D$2:$D$377,MATCH(Q2192,'model_byCAP'!$A$2:$A$377,0)),0)</f>
        <v>4047</v>
      </c>
    </row>
    <row r="2193" ht="15.35" customHeight="1">
      <c r="A2193" t="s" s="2">
        <v>4301</v>
      </c>
      <c r="B2193" s="4">
        <v>36105</v>
      </c>
      <c r="C2193" s="5">
        <v>750</v>
      </c>
      <c r="D2193" s="5">
        <v>48</v>
      </c>
      <c r="E2193" s="5">
        <v>46</v>
      </c>
      <c r="F2193" t="s" s="2">
        <v>1746</v>
      </c>
      <c r="G2193" t="s" s="2">
        <v>4302</v>
      </c>
      <c r="H2193" s="5">
        <v>420</v>
      </c>
      <c r="I2193" t="s" s="2">
        <v>3043</v>
      </c>
      <c r="J2193" t="s" s="2">
        <v>22</v>
      </c>
      <c r="K2193" t="s" s="2">
        <v>4303</v>
      </c>
      <c r="L2193" t="s" s="2">
        <v>1528</v>
      </c>
      <c r="M2193" s="5">
        <v>570710.22</v>
      </c>
      <c r="N2193" s="5">
        <v>6121354.7</v>
      </c>
      <c r="O2193" t="s" s="2">
        <v>305</v>
      </c>
      <c r="P2193" s="5">
        <v>99177</v>
      </c>
      <c r="Q2193" t="s" s="2">
        <v>4304</v>
      </c>
      <c r="R2193" t="s" s="2">
        <f>_xlfn.IFERROR(INDEX('model_byCAP'!$D$2:$D$377,MATCH(Q2193,'model_byCAP'!$A$2:$A$377,0)),0)</f>
        <v>2955</v>
      </c>
    </row>
    <row r="2194" ht="15.35" customHeight="1">
      <c r="A2194" t="s" s="2">
        <v>4305</v>
      </c>
      <c r="B2194" s="4">
        <v>36151</v>
      </c>
      <c r="C2194" s="5">
        <v>750</v>
      </c>
      <c r="D2194" s="5">
        <v>48</v>
      </c>
      <c r="E2194" s="5">
        <v>50</v>
      </c>
      <c r="F2194" t="s" s="2">
        <v>1746</v>
      </c>
      <c r="G2194" t="s" s="2">
        <v>4151</v>
      </c>
      <c r="H2194" s="5">
        <v>420</v>
      </c>
      <c r="I2194" t="s" s="2">
        <v>3043</v>
      </c>
      <c r="J2194" t="s" s="2">
        <v>22</v>
      </c>
      <c r="K2194" t="s" s="2">
        <v>4306</v>
      </c>
      <c r="L2194" t="s" s="2">
        <v>2809</v>
      </c>
      <c r="M2194" s="5">
        <v>573782.27</v>
      </c>
      <c r="N2194" s="5">
        <v>6128897.94</v>
      </c>
      <c r="O2194" t="s" s="2">
        <v>305</v>
      </c>
      <c r="P2194" s="5">
        <v>99178</v>
      </c>
      <c r="Q2194" t="s" s="2">
        <v>4154</v>
      </c>
      <c r="R2194" t="s" s="2">
        <f>_xlfn.IFERROR(INDEX('model_byCAP'!$D$2:$D$377,MATCH(Q2194,'model_byCAP'!$A$2:$A$377,0)),0)</f>
        <v>4047</v>
      </c>
    </row>
    <row r="2195" ht="15.35" customHeight="1">
      <c r="A2195" t="s" s="2">
        <v>4307</v>
      </c>
      <c r="B2195" s="4">
        <v>36294</v>
      </c>
      <c r="C2195" s="5">
        <v>750</v>
      </c>
      <c r="D2195" s="5">
        <v>48</v>
      </c>
      <c r="E2195" s="5">
        <v>50</v>
      </c>
      <c r="F2195" t="s" s="2">
        <v>1746</v>
      </c>
      <c r="G2195" t="s" s="2">
        <v>4151</v>
      </c>
      <c r="H2195" s="5">
        <v>420</v>
      </c>
      <c r="I2195" t="s" s="2">
        <v>3043</v>
      </c>
      <c r="J2195" t="s" s="2">
        <v>22</v>
      </c>
      <c r="K2195" t="s" s="2">
        <v>4308</v>
      </c>
      <c r="L2195" t="s" s="2">
        <v>481</v>
      </c>
      <c r="M2195" s="5">
        <v>562158.63</v>
      </c>
      <c r="N2195" s="5">
        <v>6131318</v>
      </c>
      <c r="O2195" t="s" s="2">
        <v>305</v>
      </c>
      <c r="P2195" s="5">
        <v>99196</v>
      </c>
      <c r="Q2195" t="s" s="2">
        <v>4154</v>
      </c>
      <c r="R2195" t="s" s="2">
        <f>_xlfn.IFERROR(INDEX('model_byCAP'!$D$2:$D$377,MATCH(Q2195,'model_byCAP'!$A$2:$A$377,0)),0)</f>
        <v>4047</v>
      </c>
    </row>
    <row r="2196" ht="15.35" customHeight="1">
      <c r="A2196" t="s" s="2">
        <v>4309</v>
      </c>
      <c r="B2196" s="4">
        <v>36292</v>
      </c>
      <c r="C2196" s="5">
        <v>750</v>
      </c>
      <c r="D2196" s="5">
        <v>48</v>
      </c>
      <c r="E2196" s="5">
        <v>50</v>
      </c>
      <c r="F2196" t="s" s="2">
        <v>1746</v>
      </c>
      <c r="G2196" t="s" s="2">
        <v>4151</v>
      </c>
      <c r="H2196" s="5">
        <v>420</v>
      </c>
      <c r="I2196" t="s" s="2">
        <v>3043</v>
      </c>
      <c r="J2196" t="s" s="2">
        <v>22</v>
      </c>
      <c r="K2196" t="s" s="2">
        <v>4310</v>
      </c>
      <c r="L2196" t="s" s="2">
        <v>4311</v>
      </c>
      <c r="M2196" s="5">
        <v>569134.5</v>
      </c>
      <c r="N2196" s="5">
        <v>6122728.82</v>
      </c>
      <c r="O2196" t="s" s="2">
        <v>305</v>
      </c>
      <c r="P2196" s="5">
        <v>99197</v>
      </c>
      <c r="Q2196" t="s" s="2">
        <v>4154</v>
      </c>
      <c r="R2196" t="s" s="2">
        <f>_xlfn.IFERROR(INDEX('model_byCAP'!$D$2:$D$377,MATCH(Q2196,'model_byCAP'!$A$2:$A$377,0)),0)</f>
        <v>4047</v>
      </c>
    </row>
    <row r="2197" ht="15.35" customHeight="1">
      <c r="A2197" t="s" s="2">
        <v>4312</v>
      </c>
      <c r="B2197" s="4">
        <v>36432</v>
      </c>
      <c r="C2197" s="5">
        <v>750</v>
      </c>
      <c r="D2197" s="5">
        <v>48</v>
      </c>
      <c r="E2197" s="5">
        <v>50</v>
      </c>
      <c r="F2197" t="s" s="2">
        <v>1746</v>
      </c>
      <c r="G2197" t="s" s="2">
        <v>4151</v>
      </c>
      <c r="H2197" s="5">
        <v>420</v>
      </c>
      <c r="I2197" t="s" s="2">
        <v>3043</v>
      </c>
      <c r="J2197" t="s" s="2">
        <v>22</v>
      </c>
      <c r="K2197" t="s" s="2">
        <v>4310</v>
      </c>
      <c r="L2197" t="s" s="2">
        <v>524</v>
      </c>
      <c r="M2197" s="5">
        <v>566814.12</v>
      </c>
      <c r="N2197" s="5">
        <v>6120775.69</v>
      </c>
      <c r="O2197" t="s" s="2">
        <v>305</v>
      </c>
      <c r="P2197" s="5">
        <v>99204</v>
      </c>
      <c r="Q2197" t="s" s="2">
        <v>4154</v>
      </c>
      <c r="R2197" t="s" s="2">
        <f>_xlfn.IFERROR(INDEX('model_byCAP'!$D$2:$D$377,MATCH(Q2197,'model_byCAP'!$A$2:$A$377,0)),0)</f>
        <v>4047</v>
      </c>
    </row>
    <row r="2198" ht="15.35" customHeight="1">
      <c r="A2198" t="s" s="2">
        <v>4313</v>
      </c>
      <c r="B2198" s="4">
        <v>36448</v>
      </c>
      <c r="C2198" s="5">
        <v>750</v>
      </c>
      <c r="D2198" s="5">
        <v>48</v>
      </c>
      <c r="E2198" s="5">
        <v>50</v>
      </c>
      <c r="F2198" t="s" s="2">
        <v>1746</v>
      </c>
      <c r="G2198" t="s" s="2">
        <v>4151</v>
      </c>
      <c r="H2198" s="5">
        <v>420</v>
      </c>
      <c r="I2198" t="s" s="2">
        <v>3043</v>
      </c>
      <c r="J2198" t="s" s="2">
        <v>22</v>
      </c>
      <c r="K2198" t="s" s="2">
        <v>4310</v>
      </c>
      <c r="L2198" t="s" s="2">
        <v>3424</v>
      </c>
      <c r="M2198" s="5">
        <v>566922.3199999999</v>
      </c>
      <c r="N2198" s="5">
        <v>6120669.7</v>
      </c>
      <c r="O2198" t="s" s="2">
        <v>305</v>
      </c>
      <c r="P2198" s="5">
        <v>99205</v>
      </c>
      <c r="Q2198" t="s" s="2">
        <v>4154</v>
      </c>
      <c r="R2198" t="s" s="2">
        <f>_xlfn.IFERROR(INDEX('model_byCAP'!$D$2:$D$377,MATCH(Q2198,'model_byCAP'!$A$2:$A$377,0)),0)</f>
        <v>4047</v>
      </c>
    </row>
    <row r="2199" ht="15.35" customHeight="1">
      <c r="A2199" t="s" s="2">
        <v>4314</v>
      </c>
      <c r="B2199" s="4">
        <v>36434</v>
      </c>
      <c r="C2199" s="5">
        <v>750</v>
      </c>
      <c r="D2199" s="5">
        <v>48</v>
      </c>
      <c r="E2199" s="5">
        <v>50</v>
      </c>
      <c r="F2199" t="s" s="2">
        <v>1746</v>
      </c>
      <c r="G2199" t="s" s="2">
        <v>4151</v>
      </c>
      <c r="H2199" s="5">
        <v>420</v>
      </c>
      <c r="I2199" t="s" s="2">
        <v>3043</v>
      </c>
      <c r="J2199" t="s" s="2">
        <v>22</v>
      </c>
      <c r="K2199" t="s" s="2">
        <v>4310</v>
      </c>
      <c r="L2199" t="s" s="2">
        <v>1611</v>
      </c>
      <c r="M2199" s="5">
        <v>567029.83</v>
      </c>
      <c r="N2199" s="5">
        <v>6120560.73</v>
      </c>
      <c r="O2199" t="s" s="2">
        <v>305</v>
      </c>
      <c r="P2199" s="5">
        <v>99206</v>
      </c>
      <c r="Q2199" t="s" s="2">
        <v>4154</v>
      </c>
      <c r="R2199" t="s" s="2">
        <f>_xlfn.IFERROR(INDEX('model_byCAP'!$D$2:$D$377,MATCH(Q2199,'model_byCAP'!$A$2:$A$377,0)),0)</f>
        <v>4047</v>
      </c>
    </row>
    <row r="2200" ht="15.35" customHeight="1">
      <c r="A2200" t="s" s="2">
        <v>4315</v>
      </c>
      <c r="B2200" s="4">
        <v>36440</v>
      </c>
      <c r="C2200" s="5">
        <v>750</v>
      </c>
      <c r="D2200" s="5">
        <v>48</v>
      </c>
      <c r="E2200" s="5">
        <v>50</v>
      </c>
      <c r="F2200" t="s" s="2">
        <v>1746</v>
      </c>
      <c r="G2200" t="s" s="2">
        <v>4151</v>
      </c>
      <c r="H2200" s="5">
        <v>420</v>
      </c>
      <c r="I2200" t="s" s="2">
        <v>3043</v>
      </c>
      <c r="J2200" t="s" s="2">
        <v>22</v>
      </c>
      <c r="K2200" t="s" s="2">
        <v>4308</v>
      </c>
      <c r="L2200" t="s" s="2">
        <v>481</v>
      </c>
      <c r="M2200" s="5">
        <v>562176.0699999999</v>
      </c>
      <c r="N2200" s="5">
        <v>6131462.28</v>
      </c>
      <c r="O2200" t="s" s="2">
        <v>305</v>
      </c>
      <c r="P2200" s="5">
        <v>99207</v>
      </c>
      <c r="Q2200" t="s" s="2">
        <v>4154</v>
      </c>
      <c r="R2200" t="s" s="2">
        <f>_xlfn.IFERROR(INDEX('model_byCAP'!$D$2:$D$377,MATCH(Q2200,'model_byCAP'!$A$2:$A$377,0)),0)</f>
        <v>4047</v>
      </c>
    </row>
    <row r="2201" ht="15.35" customHeight="1">
      <c r="A2201" t="s" s="2">
        <v>4316</v>
      </c>
      <c r="B2201" s="4">
        <v>36510</v>
      </c>
      <c r="C2201" s="5">
        <v>750</v>
      </c>
      <c r="D2201" s="5">
        <v>48</v>
      </c>
      <c r="E2201" s="5">
        <v>50</v>
      </c>
      <c r="F2201" t="s" s="2">
        <v>1746</v>
      </c>
      <c r="G2201" t="s" s="2">
        <v>4151</v>
      </c>
      <c r="H2201" s="5">
        <v>420</v>
      </c>
      <c r="I2201" t="s" s="2">
        <v>3043</v>
      </c>
      <c r="J2201" t="s" s="2">
        <v>22</v>
      </c>
      <c r="K2201" t="s" s="2">
        <v>4317</v>
      </c>
      <c r="L2201" t="s" s="2">
        <v>4318</v>
      </c>
      <c r="M2201" s="5">
        <v>569104.61</v>
      </c>
      <c r="N2201" s="5">
        <v>6123738.4</v>
      </c>
      <c r="O2201" t="s" s="2">
        <v>305</v>
      </c>
      <c r="P2201" s="5">
        <v>101295</v>
      </c>
      <c r="Q2201" t="s" s="2">
        <v>4154</v>
      </c>
      <c r="R2201" t="s" s="2">
        <f>_xlfn.IFERROR(INDEX('model_byCAP'!$D$2:$D$377,MATCH(Q2201,'model_byCAP'!$A$2:$A$377,0)),0)</f>
        <v>4047</v>
      </c>
    </row>
    <row r="2202" ht="15.35" customHeight="1">
      <c r="A2202" t="s" s="2">
        <v>4319</v>
      </c>
      <c r="B2202" s="4">
        <v>36861</v>
      </c>
      <c r="C2202" s="5">
        <v>750</v>
      </c>
      <c r="D2202" s="5">
        <v>48</v>
      </c>
      <c r="E2202" s="5">
        <v>50</v>
      </c>
      <c r="F2202" t="s" s="2">
        <v>1746</v>
      </c>
      <c r="G2202" t="s" s="2">
        <v>4151</v>
      </c>
      <c r="H2202" s="5">
        <v>420</v>
      </c>
      <c r="I2202" t="s" s="2">
        <v>3043</v>
      </c>
      <c r="J2202" t="s" s="2">
        <v>22</v>
      </c>
      <c r="K2202" t="s" s="2">
        <v>4317</v>
      </c>
      <c r="L2202" t="s" s="2">
        <v>524</v>
      </c>
      <c r="M2202" s="5">
        <v>568736.85</v>
      </c>
      <c r="N2202" s="5">
        <v>6123606.21</v>
      </c>
      <c r="O2202" t="s" s="2">
        <v>305</v>
      </c>
      <c r="P2202" s="5">
        <v>101296</v>
      </c>
      <c r="Q2202" t="s" s="2">
        <v>4154</v>
      </c>
      <c r="R2202" t="s" s="2">
        <f>_xlfn.IFERROR(INDEX('model_byCAP'!$D$2:$D$377,MATCH(Q2202,'model_byCAP'!$A$2:$A$377,0)),0)</f>
        <v>4047</v>
      </c>
    </row>
    <row r="2203" ht="15.35" customHeight="1">
      <c r="A2203" t="s" s="2">
        <v>4320</v>
      </c>
      <c r="B2203" s="4">
        <v>36802</v>
      </c>
      <c r="C2203" s="5">
        <v>750</v>
      </c>
      <c r="D2203" s="5">
        <v>48</v>
      </c>
      <c r="E2203" s="5">
        <v>50</v>
      </c>
      <c r="F2203" t="s" s="2">
        <v>1746</v>
      </c>
      <c r="G2203" t="s" s="2">
        <v>4151</v>
      </c>
      <c r="H2203" s="5">
        <v>420</v>
      </c>
      <c r="I2203" t="s" s="2">
        <v>3043</v>
      </c>
      <c r="J2203" t="s" s="2">
        <v>22</v>
      </c>
      <c r="K2203" t="s" s="2">
        <v>4321</v>
      </c>
      <c r="L2203" t="s" s="2">
        <v>3414</v>
      </c>
      <c r="M2203" s="5">
        <v>574859.9300000001</v>
      </c>
      <c r="N2203" s="5">
        <v>6127695.59</v>
      </c>
      <c r="O2203" t="s" s="2">
        <v>305</v>
      </c>
      <c r="P2203" s="5">
        <v>99233</v>
      </c>
      <c r="Q2203" t="s" s="2">
        <v>4154</v>
      </c>
      <c r="R2203" t="s" s="2">
        <f>_xlfn.IFERROR(INDEX('model_byCAP'!$D$2:$D$377,MATCH(Q2203,'model_byCAP'!$A$2:$A$377,0)),0)</f>
        <v>4047</v>
      </c>
    </row>
    <row r="2204" ht="15.35" customHeight="1">
      <c r="A2204" t="s" s="2">
        <v>4322</v>
      </c>
      <c r="B2204" s="4">
        <v>36839</v>
      </c>
      <c r="C2204" s="5">
        <v>750</v>
      </c>
      <c r="D2204" s="5">
        <v>48</v>
      </c>
      <c r="E2204" s="5">
        <v>50</v>
      </c>
      <c r="F2204" t="s" s="2">
        <v>1746</v>
      </c>
      <c r="G2204" t="s" s="2">
        <v>4151</v>
      </c>
      <c r="H2204" s="5">
        <v>420</v>
      </c>
      <c r="I2204" t="s" s="2">
        <v>3043</v>
      </c>
      <c r="J2204" t="s" s="2">
        <v>22</v>
      </c>
      <c r="K2204" t="s" s="2">
        <v>4321</v>
      </c>
      <c r="L2204" t="s" s="2">
        <v>1184</v>
      </c>
      <c r="M2204" s="5">
        <v>575005.05</v>
      </c>
      <c r="N2204" s="5">
        <v>6127678.32</v>
      </c>
      <c r="O2204" t="s" s="2">
        <v>305</v>
      </c>
      <c r="P2204" s="5">
        <v>99239</v>
      </c>
      <c r="Q2204" t="s" s="2">
        <v>4154</v>
      </c>
      <c r="R2204" t="s" s="2">
        <f>_xlfn.IFERROR(INDEX('model_byCAP'!$D$2:$D$377,MATCH(Q2204,'model_byCAP'!$A$2:$A$377,0)),0)</f>
        <v>4047</v>
      </c>
    </row>
    <row r="2205" ht="15.35" customHeight="1">
      <c r="A2205" t="s" s="2">
        <v>4323</v>
      </c>
      <c r="B2205" s="4">
        <v>37245</v>
      </c>
      <c r="C2205" s="5">
        <v>750</v>
      </c>
      <c r="D2205" s="5">
        <v>48</v>
      </c>
      <c r="E2205" s="5">
        <v>50</v>
      </c>
      <c r="F2205" t="s" s="2">
        <v>1746</v>
      </c>
      <c r="G2205" t="s" s="2">
        <v>4151</v>
      </c>
      <c r="H2205" s="5">
        <v>420</v>
      </c>
      <c r="I2205" t="s" s="2">
        <v>3043</v>
      </c>
      <c r="J2205" t="s" s="2">
        <v>22</v>
      </c>
      <c r="K2205" t="s" s="2">
        <v>4324</v>
      </c>
      <c r="L2205" t="s" s="2">
        <v>333</v>
      </c>
      <c r="M2205" s="5">
        <v>579399.4399999999</v>
      </c>
      <c r="N2205" s="5">
        <v>6133299.54</v>
      </c>
      <c r="O2205" t="s" s="2">
        <v>305</v>
      </c>
      <c r="P2205" s="5">
        <v>99259</v>
      </c>
      <c r="Q2205" t="s" s="2">
        <v>4154</v>
      </c>
      <c r="R2205" t="s" s="2">
        <f>_xlfn.IFERROR(INDEX('model_byCAP'!$D$2:$D$377,MATCH(Q2205,'model_byCAP'!$A$2:$A$377,0)),0)</f>
        <v>4047</v>
      </c>
    </row>
    <row r="2206" ht="15.35" customHeight="1">
      <c r="A2206" t="s" s="2">
        <v>4325</v>
      </c>
      <c r="B2206" s="4">
        <v>37245</v>
      </c>
      <c r="C2206" s="5">
        <v>750</v>
      </c>
      <c r="D2206" s="5">
        <v>48</v>
      </c>
      <c r="E2206" s="5">
        <v>50</v>
      </c>
      <c r="F2206" t="s" s="2">
        <v>1746</v>
      </c>
      <c r="G2206" t="s" s="2">
        <v>4151</v>
      </c>
      <c r="H2206" s="5">
        <v>420</v>
      </c>
      <c r="I2206" t="s" s="2">
        <v>3043</v>
      </c>
      <c r="J2206" t="s" s="2">
        <v>22</v>
      </c>
      <c r="K2206" t="s" s="2">
        <v>4324</v>
      </c>
      <c r="L2206" t="s" s="2">
        <v>4326</v>
      </c>
      <c r="M2206" s="5">
        <v>579600.25</v>
      </c>
      <c r="N2206" s="5">
        <v>6133092.84</v>
      </c>
      <c r="O2206" t="s" s="2">
        <v>305</v>
      </c>
      <c r="P2206" s="5">
        <v>99259</v>
      </c>
      <c r="Q2206" t="s" s="2">
        <v>4154</v>
      </c>
      <c r="R2206" t="s" s="2">
        <f>_xlfn.IFERROR(INDEX('model_byCAP'!$D$2:$D$377,MATCH(Q2206,'model_byCAP'!$A$2:$A$377,0)),0)</f>
        <v>4047</v>
      </c>
    </row>
    <row r="2207" ht="15.35" customHeight="1">
      <c r="A2207" t="s" s="2">
        <v>4327</v>
      </c>
      <c r="B2207" s="4">
        <v>37232</v>
      </c>
      <c r="C2207" s="5">
        <v>750</v>
      </c>
      <c r="D2207" s="5">
        <v>48</v>
      </c>
      <c r="E2207" s="5">
        <v>50</v>
      </c>
      <c r="F2207" t="s" s="2">
        <v>1746</v>
      </c>
      <c r="G2207" t="s" s="2">
        <v>4151</v>
      </c>
      <c r="H2207" s="5">
        <v>420</v>
      </c>
      <c r="I2207" t="s" s="2">
        <v>3043</v>
      </c>
      <c r="J2207" t="s" s="2">
        <v>22</v>
      </c>
      <c r="K2207" t="s" s="2">
        <v>4328</v>
      </c>
      <c r="L2207" t="s" s="2">
        <v>518</v>
      </c>
      <c r="M2207" s="5">
        <v>563138.27</v>
      </c>
      <c r="N2207" s="5">
        <v>6141351.63</v>
      </c>
      <c r="O2207" t="s" s="2">
        <v>305</v>
      </c>
      <c r="P2207" s="5">
        <v>99261</v>
      </c>
      <c r="Q2207" t="s" s="2">
        <v>4154</v>
      </c>
      <c r="R2207" t="s" s="2">
        <f>_xlfn.IFERROR(INDEX('model_byCAP'!$D$2:$D$377,MATCH(Q2207,'model_byCAP'!$A$2:$A$377,0)),0)</f>
        <v>4047</v>
      </c>
    </row>
    <row r="2208" ht="15.35" customHeight="1">
      <c r="A2208" t="s" s="2">
        <v>4329</v>
      </c>
      <c r="B2208" s="4">
        <v>37232</v>
      </c>
      <c r="C2208" s="5">
        <v>750</v>
      </c>
      <c r="D2208" s="5">
        <v>48</v>
      </c>
      <c r="E2208" s="5">
        <v>50</v>
      </c>
      <c r="F2208" t="s" s="2">
        <v>1746</v>
      </c>
      <c r="G2208" t="s" s="2">
        <v>4151</v>
      </c>
      <c r="H2208" s="5">
        <v>420</v>
      </c>
      <c r="I2208" t="s" s="2">
        <v>3043</v>
      </c>
      <c r="J2208" t="s" s="2">
        <v>22</v>
      </c>
      <c r="K2208" t="s" s="2">
        <v>4328</v>
      </c>
      <c r="L2208" t="s" s="2">
        <v>518</v>
      </c>
      <c r="M2208" s="5">
        <v>563199.33</v>
      </c>
      <c r="N2208" s="5">
        <v>6141201.67</v>
      </c>
      <c r="O2208" t="s" s="2">
        <v>305</v>
      </c>
      <c r="P2208" s="5">
        <v>99261</v>
      </c>
      <c r="Q2208" t="s" s="2">
        <v>4154</v>
      </c>
      <c r="R2208" t="s" s="2">
        <f>_xlfn.IFERROR(INDEX('model_byCAP'!$D$2:$D$377,MATCH(Q2208,'model_byCAP'!$A$2:$A$377,0)),0)</f>
        <v>4047</v>
      </c>
    </row>
    <row r="2209" ht="15.35" customHeight="1">
      <c r="A2209" t="s" s="2">
        <v>4330</v>
      </c>
      <c r="B2209" s="4">
        <v>37572</v>
      </c>
      <c r="C2209" s="5">
        <v>750</v>
      </c>
      <c r="D2209" s="5">
        <v>48</v>
      </c>
      <c r="E2209" s="5">
        <v>50</v>
      </c>
      <c r="F2209" t="s" s="2">
        <v>1746</v>
      </c>
      <c r="G2209" t="s" s="2">
        <v>4151</v>
      </c>
      <c r="H2209" s="5">
        <v>420</v>
      </c>
      <c r="I2209" t="s" s="2">
        <v>3043</v>
      </c>
      <c r="J2209" t="s" s="2">
        <v>22</v>
      </c>
      <c r="K2209" t="s" s="2">
        <v>4328</v>
      </c>
      <c r="L2209" t="s" s="2">
        <v>518</v>
      </c>
      <c r="M2209" s="5">
        <v>563260.53</v>
      </c>
      <c r="N2209" s="5">
        <v>6141051.1</v>
      </c>
      <c r="O2209" t="s" s="2">
        <v>305</v>
      </c>
      <c r="P2209" s="5">
        <v>127636</v>
      </c>
      <c r="Q2209" t="s" s="2">
        <v>4154</v>
      </c>
      <c r="R2209" t="s" s="2">
        <f>_xlfn.IFERROR(INDEX('model_byCAP'!$D$2:$D$377,MATCH(Q2209,'model_byCAP'!$A$2:$A$377,0)),0)</f>
        <v>4047</v>
      </c>
    </row>
    <row r="2210" ht="15.35" customHeight="1">
      <c r="A2210" t="s" s="2">
        <v>4331</v>
      </c>
      <c r="B2210" s="4">
        <v>36434</v>
      </c>
      <c r="C2210" s="5">
        <v>750</v>
      </c>
      <c r="D2210" s="5">
        <v>48</v>
      </c>
      <c r="E2210" s="5">
        <v>46</v>
      </c>
      <c r="F2210" t="s" s="2">
        <v>1746</v>
      </c>
      <c r="G2210" t="s" s="2">
        <v>4168</v>
      </c>
      <c r="H2210" s="5">
        <v>420</v>
      </c>
      <c r="I2210" t="s" s="2">
        <v>3043</v>
      </c>
      <c r="J2210" t="s" s="2">
        <v>22</v>
      </c>
      <c r="K2210" t="s" s="2">
        <v>4332</v>
      </c>
      <c r="L2210" t="s" s="2">
        <v>4333</v>
      </c>
      <c r="M2210" s="5">
        <v>573818.25</v>
      </c>
      <c r="N2210" s="5">
        <v>6116450.37</v>
      </c>
      <c r="O2210" t="s" s="2">
        <v>305</v>
      </c>
      <c r="P2210" s="5">
        <v>12440</v>
      </c>
      <c r="Q2210" t="s" s="2">
        <v>4171</v>
      </c>
      <c r="R2210" t="s" s="2">
        <f>_xlfn.IFERROR(INDEX('model_byCAP'!$D$2:$D$377,MATCH(Q2210,'model_byCAP'!$A$2:$A$377,0)),0)</f>
        <v>4042</v>
      </c>
    </row>
    <row r="2211" ht="15.35" customHeight="1">
      <c r="A2211" t="s" s="2">
        <v>4334</v>
      </c>
      <c r="B2211" s="4">
        <v>37245</v>
      </c>
      <c r="C2211" s="5">
        <v>750</v>
      </c>
      <c r="D2211" s="5">
        <v>48</v>
      </c>
      <c r="E2211" s="5">
        <v>50</v>
      </c>
      <c r="F2211" t="s" s="2">
        <v>1746</v>
      </c>
      <c r="G2211" t="s" s="2">
        <v>4151</v>
      </c>
      <c r="H2211" s="5">
        <v>420</v>
      </c>
      <c r="I2211" t="s" s="2">
        <v>3043</v>
      </c>
      <c r="J2211" t="s" s="2">
        <v>22</v>
      </c>
      <c r="K2211" t="s" s="2">
        <v>4335</v>
      </c>
      <c r="L2211" t="s" s="2">
        <v>394</v>
      </c>
      <c r="M2211" s="5">
        <v>579594.78</v>
      </c>
      <c r="N2211" s="5">
        <v>6132777.89</v>
      </c>
      <c r="O2211" t="s" s="2">
        <v>305</v>
      </c>
      <c r="P2211" s="5">
        <v>99259</v>
      </c>
      <c r="Q2211" t="s" s="2">
        <v>4154</v>
      </c>
      <c r="R2211" t="s" s="2">
        <f>_xlfn.IFERROR(INDEX('model_byCAP'!$D$2:$D$377,MATCH(Q2211,'model_byCAP'!$A$2:$A$377,0)),0)</f>
        <v>4047</v>
      </c>
    </row>
    <row r="2212" ht="15.35" customHeight="1">
      <c r="A2212" t="s" s="2">
        <v>4336</v>
      </c>
      <c r="B2212" s="4">
        <v>37245</v>
      </c>
      <c r="C2212" s="5">
        <v>750</v>
      </c>
      <c r="D2212" s="5">
        <v>48</v>
      </c>
      <c r="E2212" s="5">
        <v>50</v>
      </c>
      <c r="F2212" t="s" s="2">
        <v>1746</v>
      </c>
      <c r="G2212" t="s" s="2">
        <v>4151</v>
      </c>
      <c r="H2212" s="5">
        <v>420</v>
      </c>
      <c r="I2212" t="s" s="2">
        <v>3043</v>
      </c>
      <c r="J2212" t="s" s="2">
        <v>22</v>
      </c>
      <c r="K2212" t="s" s="2">
        <v>4335</v>
      </c>
      <c r="L2212" t="s" s="2">
        <v>394</v>
      </c>
      <c r="M2212" s="5">
        <v>579493.67</v>
      </c>
      <c r="N2212" s="5">
        <v>6132606.28</v>
      </c>
      <c r="O2212" t="s" s="2">
        <v>305</v>
      </c>
      <c r="P2212" s="5">
        <v>99259</v>
      </c>
      <c r="Q2212" t="s" s="2">
        <v>4154</v>
      </c>
      <c r="R2212" t="s" s="2">
        <f>_xlfn.IFERROR(INDEX('model_byCAP'!$D$2:$D$377,MATCH(Q2212,'model_byCAP'!$A$2:$A$377,0)),0)</f>
        <v>4047</v>
      </c>
    </row>
    <row r="2213" ht="15.35" customHeight="1">
      <c r="A2213" t="s" s="2">
        <v>4337</v>
      </c>
      <c r="B2213" s="4">
        <v>37245</v>
      </c>
      <c r="C2213" s="5">
        <v>750</v>
      </c>
      <c r="D2213" s="5">
        <v>48</v>
      </c>
      <c r="E2213" s="5">
        <v>50</v>
      </c>
      <c r="F2213" t="s" s="2">
        <v>1746</v>
      </c>
      <c r="G2213" t="s" s="2">
        <v>4151</v>
      </c>
      <c r="H2213" s="5">
        <v>420</v>
      </c>
      <c r="I2213" t="s" s="2">
        <v>3043</v>
      </c>
      <c r="J2213" t="s" s="2">
        <v>22</v>
      </c>
      <c r="K2213" t="s" s="2">
        <v>4317</v>
      </c>
      <c r="L2213" t="s" s="2">
        <v>1611</v>
      </c>
      <c r="M2213" s="5">
        <v>568921.45</v>
      </c>
      <c r="N2213" s="5">
        <v>6123671.22</v>
      </c>
      <c r="O2213" t="s" s="2">
        <v>305</v>
      </c>
      <c r="P2213" s="5">
        <v>101297</v>
      </c>
      <c r="Q2213" t="s" s="2">
        <v>4154</v>
      </c>
      <c r="R2213" t="s" s="2">
        <f>_xlfn.IFERROR(INDEX('model_byCAP'!$D$2:$D$377,MATCH(Q2213,'model_byCAP'!$A$2:$A$377,0)),0)</f>
        <v>4047</v>
      </c>
    </row>
    <row r="2214" ht="15.35" customHeight="1">
      <c r="A2214" t="s" s="2">
        <v>4338</v>
      </c>
      <c r="B2214" s="4">
        <v>36049</v>
      </c>
      <c r="C2214" s="5">
        <v>750</v>
      </c>
      <c r="D2214" s="5">
        <v>48</v>
      </c>
      <c r="E2214" s="5">
        <v>50</v>
      </c>
      <c r="F2214" t="s" s="2">
        <v>1746</v>
      </c>
      <c r="G2214" t="s" s="2">
        <v>4151</v>
      </c>
      <c r="H2214" s="5">
        <v>430</v>
      </c>
      <c r="I2214" t="s" s="2">
        <v>3470</v>
      </c>
      <c r="J2214" t="s" s="2">
        <v>22</v>
      </c>
      <c r="K2214" t="s" s="2">
        <v>4339</v>
      </c>
      <c r="L2214" t="s" s="2">
        <v>394</v>
      </c>
      <c r="M2214" s="5">
        <v>590113.7</v>
      </c>
      <c r="N2214" s="5">
        <v>6129873.16</v>
      </c>
      <c r="O2214" t="s" s="2">
        <v>305</v>
      </c>
      <c r="P2214" s="5">
        <v>99132</v>
      </c>
      <c r="Q2214" t="s" s="2">
        <v>4154</v>
      </c>
      <c r="R2214" t="s" s="2">
        <f>_xlfn.IFERROR(INDEX('model_byCAP'!$D$2:$D$377,MATCH(Q2214,'model_byCAP'!$A$2:$A$377,0)),0)</f>
        <v>4047</v>
      </c>
    </row>
    <row r="2215" ht="15.35" customHeight="1">
      <c r="A2215" t="s" s="2">
        <v>4340</v>
      </c>
      <c r="B2215" s="4">
        <v>36402</v>
      </c>
      <c r="C2215" s="5">
        <v>750</v>
      </c>
      <c r="D2215" s="5">
        <v>48</v>
      </c>
      <c r="E2215" s="5">
        <v>50</v>
      </c>
      <c r="F2215" t="s" s="2">
        <v>1746</v>
      </c>
      <c r="G2215" t="s" s="2">
        <v>4151</v>
      </c>
      <c r="H2215" s="5">
        <v>430</v>
      </c>
      <c r="I2215" t="s" s="2">
        <v>3470</v>
      </c>
      <c r="J2215" t="s" s="2">
        <v>22</v>
      </c>
      <c r="K2215" t="s" s="2">
        <v>4341</v>
      </c>
      <c r="L2215" t="s" s="2">
        <v>481</v>
      </c>
      <c r="M2215" s="5">
        <v>592070.15</v>
      </c>
      <c r="N2215" s="5">
        <v>6124929.79</v>
      </c>
      <c r="O2215" t="s" s="2">
        <v>305</v>
      </c>
      <c r="P2215" s="5">
        <v>99201</v>
      </c>
      <c r="Q2215" t="s" s="2">
        <v>4154</v>
      </c>
      <c r="R2215" t="s" s="2">
        <f>_xlfn.IFERROR(INDEX('model_byCAP'!$D$2:$D$377,MATCH(Q2215,'model_byCAP'!$A$2:$A$377,0)),0)</f>
        <v>4047</v>
      </c>
    </row>
    <row r="2216" ht="15.35" customHeight="1">
      <c r="A2216" t="s" s="2">
        <v>4342</v>
      </c>
      <c r="B2216" s="4">
        <v>36402</v>
      </c>
      <c r="C2216" s="5">
        <v>750</v>
      </c>
      <c r="D2216" s="5">
        <v>48</v>
      </c>
      <c r="E2216" s="5">
        <v>50</v>
      </c>
      <c r="F2216" t="s" s="2">
        <v>1746</v>
      </c>
      <c r="G2216" t="s" s="2">
        <v>4151</v>
      </c>
      <c r="H2216" s="5">
        <v>430</v>
      </c>
      <c r="I2216" t="s" s="2">
        <v>3470</v>
      </c>
      <c r="J2216" t="s" s="2">
        <v>22</v>
      </c>
      <c r="K2216" t="s" s="2">
        <v>4341</v>
      </c>
      <c r="L2216" t="s" s="2">
        <v>481</v>
      </c>
      <c r="M2216" s="5">
        <v>592256.42</v>
      </c>
      <c r="N2216" s="5">
        <v>6124855.75</v>
      </c>
      <c r="O2216" t="s" s="2">
        <v>305</v>
      </c>
      <c r="P2216" s="5">
        <v>99201</v>
      </c>
      <c r="Q2216" t="s" s="2">
        <v>4154</v>
      </c>
      <c r="R2216" t="s" s="2">
        <f>_xlfn.IFERROR(INDEX('model_byCAP'!$D$2:$D$377,MATCH(Q2216,'model_byCAP'!$A$2:$A$377,0)),0)</f>
        <v>4047</v>
      </c>
    </row>
    <row r="2217" ht="15.35" customHeight="1">
      <c r="A2217" t="s" s="2">
        <v>4343</v>
      </c>
      <c r="B2217" s="4">
        <v>36402</v>
      </c>
      <c r="C2217" s="5">
        <v>750</v>
      </c>
      <c r="D2217" s="5">
        <v>48</v>
      </c>
      <c r="E2217" s="5">
        <v>50</v>
      </c>
      <c r="F2217" t="s" s="2">
        <v>1746</v>
      </c>
      <c r="G2217" t="s" s="2">
        <v>4151</v>
      </c>
      <c r="H2217" s="5">
        <v>430</v>
      </c>
      <c r="I2217" t="s" s="2">
        <v>3470</v>
      </c>
      <c r="J2217" t="s" s="2">
        <v>22</v>
      </c>
      <c r="K2217" t="s" s="2">
        <v>4341</v>
      </c>
      <c r="L2217" t="s" s="2">
        <v>481</v>
      </c>
      <c r="M2217" s="5">
        <v>592305.2</v>
      </c>
      <c r="N2217" s="5">
        <v>6124661.98</v>
      </c>
      <c r="O2217" t="s" s="2">
        <v>305</v>
      </c>
      <c r="P2217" s="5">
        <v>99201</v>
      </c>
      <c r="Q2217" t="s" s="2">
        <v>4154</v>
      </c>
      <c r="R2217" t="s" s="2">
        <f>_xlfn.IFERROR(INDEX('model_byCAP'!$D$2:$D$377,MATCH(Q2217,'model_byCAP'!$A$2:$A$377,0)),0)</f>
        <v>4047</v>
      </c>
    </row>
    <row r="2218" ht="15.35" customHeight="1">
      <c r="A2218" t="s" s="2">
        <v>4344</v>
      </c>
      <c r="B2218" s="4">
        <v>36550</v>
      </c>
      <c r="C2218" s="5">
        <v>750</v>
      </c>
      <c r="D2218" s="5">
        <v>48</v>
      </c>
      <c r="E2218" s="5">
        <v>50</v>
      </c>
      <c r="F2218" t="s" s="2">
        <v>1746</v>
      </c>
      <c r="G2218" t="s" s="2">
        <v>4151</v>
      </c>
      <c r="H2218" s="5">
        <v>430</v>
      </c>
      <c r="I2218" t="s" s="2">
        <v>3470</v>
      </c>
      <c r="J2218" t="s" s="2">
        <v>22</v>
      </c>
      <c r="K2218" t="s" s="2">
        <v>4345</v>
      </c>
      <c r="L2218" t="s" s="2">
        <v>914</v>
      </c>
      <c r="M2218" s="5">
        <v>588198.67</v>
      </c>
      <c r="N2218" s="5">
        <v>6125094.08</v>
      </c>
      <c r="O2218" t="s" s="2">
        <v>305</v>
      </c>
      <c r="P2218" s="5">
        <v>99215</v>
      </c>
      <c r="Q2218" t="s" s="2">
        <v>4154</v>
      </c>
      <c r="R2218" t="s" s="2">
        <f>_xlfn.IFERROR(INDEX('model_byCAP'!$D$2:$D$377,MATCH(Q2218,'model_byCAP'!$A$2:$A$377,0)),0)</f>
        <v>4047</v>
      </c>
    </row>
    <row r="2219" ht="15.35" customHeight="1">
      <c r="A2219" t="s" s="2">
        <v>4346</v>
      </c>
      <c r="B2219" s="4">
        <v>36852</v>
      </c>
      <c r="C2219" s="5">
        <v>750</v>
      </c>
      <c r="D2219" s="5">
        <v>48</v>
      </c>
      <c r="E2219" s="5">
        <v>50</v>
      </c>
      <c r="F2219" t="s" s="2">
        <v>1746</v>
      </c>
      <c r="G2219" t="s" s="2">
        <v>4044</v>
      </c>
      <c r="H2219" s="5">
        <v>430</v>
      </c>
      <c r="I2219" t="s" s="2">
        <v>3470</v>
      </c>
      <c r="J2219" t="s" s="2">
        <v>22</v>
      </c>
      <c r="K2219" t="s" s="2">
        <v>4347</v>
      </c>
      <c r="L2219" t="s" s="2">
        <v>592</v>
      </c>
      <c r="M2219" s="5">
        <v>598362.0600000001</v>
      </c>
      <c r="N2219" s="5">
        <v>6130484.42</v>
      </c>
      <c r="O2219" t="s" s="2">
        <v>305</v>
      </c>
      <c r="P2219" s="5">
        <v>99241</v>
      </c>
      <c r="Q2219" t="s" s="2">
        <v>4046</v>
      </c>
      <c r="R2219" t="s" s="2">
        <f>_xlfn.IFERROR(INDEX('model_byCAP'!$D$2:$D$377,MATCH(Q2219,'model_byCAP'!$A$2:$A$377,0)),0)</f>
        <v>4047</v>
      </c>
    </row>
    <row r="2220" ht="15.35" customHeight="1">
      <c r="A2220" t="s" s="2">
        <v>4348</v>
      </c>
      <c r="B2220" s="4">
        <v>36923</v>
      </c>
      <c r="C2220" s="5">
        <v>750</v>
      </c>
      <c r="D2220" s="5">
        <v>48</v>
      </c>
      <c r="E2220" s="5">
        <v>50</v>
      </c>
      <c r="F2220" t="s" s="2">
        <v>1746</v>
      </c>
      <c r="G2220" t="s" s="2">
        <v>4151</v>
      </c>
      <c r="H2220" s="5">
        <v>430</v>
      </c>
      <c r="I2220" t="s" s="2">
        <v>3470</v>
      </c>
      <c r="J2220" t="s" s="2">
        <v>22</v>
      </c>
      <c r="K2220" t="s" s="2">
        <v>4349</v>
      </c>
      <c r="L2220" t="s" s="2">
        <v>356</v>
      </c>
      <c r="M2220" s="5">
        <v>586128.13</v>
      </c>
      <c r="N2220" s="5">
        <v>6126826.82</v>
      </c>
      <c r="O2220" t="s" s="2">
        <v>305</v>
      </c>
      <c r="P2220" s="5">
        <v>101190</v>
      </c>
      <c r="Q2220" t="s" s="2">
        <v>4154</v>
      </c>
      <c r="R2220" t="s" s="2">
        <f>_xlfn.IFERROR(INDEX('model_byCAP'!$D$2:$D$377,MATCH(Q2220,'model_byCAP'!$A$2:$A$377,0)),0)</f>
        <v>4047</v>
      </c>
    </row>
    <row r="2221" ht="15.35" customHeight="1">
      <c r="A2221" t="s" s="2">
        <v>4350</v>
      </c>
      <c r="B2221" s="4">
        <v>36854</v>
      </c>
      <c r="C2221" s="5">
        <v>750</v>
      </c>
      <c r="D2221" s="5">
        <v>48</v>
      </c>
      <c r="E2221" s="5">
        <v>50</v>
      </c>
      <c r="F2221" t="s" s="2">
        <v>1746</v>
      </c>
      <c r="G2221" t="s" s="2">
        <v>4151</v>
      </c>
      <c r="H2221" s="5">
        <v>430</v>
      </c>
      <c r="I2221" t="s" s="2">
        <v>3470</v>
      </c>
      <c r="J2221" t="s" s="2">
        <v>22</v>
      </c>
      <c r="K2221" t="s" s="2">
        <v>4349</v>
      </c>
      <c r="L2221" t="s" s="2">
        <v>4351</v>
      </c>
      <c r="M2221" s="5">
        <v>585910.14</v>
      </c>
      <c r="N2221" s="5">
        <v>6126797.12</v>
      </c>
      <c r="O2221" t="s" s="2">
        <v>305</v>
      </c>
      <c r="P2221" s="5">
        <v>101191</v>
      </c>
      <c r="Q2221" t="s" s="2">
        <v>4154</v>
      </c>
      <c r="R2221" t="s" s="2">
        <f>_xlfn.IFERROR(INDEX('model_byCAP'!$D$2:$D$377,MATCH(Q2221,'model_byCAP'!$A$2:$A$377,0)),0)</f>
        <v>4047</v>
      </c>
    </row>
    <row r="2222" ht="15.35" customHeight="1">
      <c r="A2222" t="s" s="2">
        <v>4352</v>
      </c>
      <c r="B2222" s="4">
        <v>36082</v>
      </c>
      <c r="C2222" s="5">
        <v>750</v>
      </c>
      <c r="D2222" s="5">
        <v>48</v>
      </c>
      <c r="E2222" s="5">
        <v>46</v>
      </c>
      <c r="F2222" t="s" s="2">
        <v>1746</v>
      </c>
      <c r="G2222" t="s" s="2">
        <v>4168</v>
      </c>
      <c r="H2222" s="5">
        <v>430</v>
      </c>
      <c r="I2222" t="s" s="2">
        <v>3470</v>
      </c>
      <c r="J2222" t="s" s="2">
        <v>22</v>
      </c>
      <c r="K2222" t="s" s="2">
        <v>4353</v>
      </c>
      <c r="L2222" t="s" s="2">
        <v>4354</v>
      </c>
      <c r="M2222" s="5">
        <v>586009.65</v>
      </c>
      <c r="N2222" s="5">
        <v>6119733.39</v>
      </c>
      <c r="O2222" t="s" s="2">
        <v>305</v>
      </c>
      <c r="P2222" s="5">
        <v>13223</v>
      </c>
      <c r="Q2222" t="s" s="2">
        <v>4171</v>
      </c>
      <c r="R2222" t="s" s="2">
        <f>_xlfn.IFERROR(INDEX('model_byCAP'!$D$2:$D$377,MATCH(Q2222,'model_byCAP'!$A$2:$A$377,0)),0)</f>
        <v>4042</v>
      </c>
    </row>
    <row r="2223" ht="15.35" customHeight="1">
      <c r="A2223" t="s" s="2">
        <v>4355</v>
      </c>
      <c r="B2223" s="4">
        <v>36131</v>
      </c>
      <c r="C2223" s="5">
        <v>750</v>
      </c>
      <c r="D2223" s="5">
        <v>44</v>
      </c>
      <c r="E2223" s="5">
        <v>50</v>
      </c>
      <c r="F2223" t="s" s="2">
        <v>1746</v>
      </c>
      <c r="G2223" t="s" s="2">
        <v>4136</v>
      </c>
      <c r="H2223" s="5">
        <v>440</v>
      </c>
      <c r="I2223" t="s" s="2">
        <v>1038</v>
      </c>
      <c r="J2223" t="s" s="2">
        <v>22</v>
      </c>
      <c r="K2223" t="s" s="2">
        <v>4356</v>
      </c>
      <c r="L2223" t="s" s="2">
        <v>4357</v>
      </c>
      <c r="M2223" s="5">
        <v>597112.4300000001</v>
      </c>
      <c r="N2223" s="5">
        <v>6140057.78</v>
      </c>
      <c r="O2223" t="s" s="2">
        <v>305</v>
      </c>
      <c r="P2223" s="5">
        <v>15722</v>
      </c>
      <c r="Q2223" t="s" s="2">
        <v>4137</v>
      </c>
      <c r="R2223" t="s" s="2">
        <f>_xlfn.IFERROR(INDEX('model_byCAP'!$D$2:$D$377,MATCH(Q2223,'model_byCAP'!$A$2:$A$377,0)),0)</f>
        <v>4042</v>
      </c>
    </row>
    <row r="2224" ht="15.35" customHeight="1">
      <c r="A2224" t="s" s="2">
        <v>4358</v>
      </c>
      <c r="B2224" s="4">
        <v>36131</v>
      </c>
      <c r="C2224" s="5">
        <v>750</v>
      </c>
      <c r="D2224" s="5">
        <v>44</v>
      </c>
      <c r="E2224" s="5">
        <v>50</v>
      </c>
      <c r="F2224" t="s" s="2">
        <v>1746</v>
      </c>
      <c r="G2224" t="s" s="2">
        <v>4136</v>
      </c>
      <c r="H2224" s="5">
        <v>440</v>
      </c>
      <c r="I2224" t="s" s="2">
        <v>1038</v>
      </c>
      <c r="J2224" t="s" s="2">
        <v>22</v>
      </c>
      <c r="K2224" t="s" s="2">
        <v>4356</v>
      </c>
      <c r="L2224" t="s" s="2">
        <v>4359</v>
      </c>
      <c r="M2224" s="5">
        <v>597196.26</v>
      </c>
      <c r="N2224" s="5">
        <v>6140234.09</v>
      </c>
      <c r="O2224" t="s" s="2">
        <v>305</v>
      </c>
      <c r="P2224" s="5">
        <v>15723</v>
      </c>
      <c r="Q2224" t="s" s="2">
        <v>4137</v>
      </c>
      <c r="R2224" t="s" s="2">
        <f>_xlfn.IFERROR(INDEX('model_byCAP'!$D$2:$D$377,MATCH(Q2224,'model_byCAP'!$A$2:$A$377,0)),0)</f>
        <v>4042</v>
      </c>
    </row>
    <row r="2225" ht="15.35" customHeight="1">
      <c r="A2225" t="s" s="2">
        <v>4360</v>
      </c>
      <c r="B2225" s="4">
        <v>36088</v>
      </c>
      <c r="C2225" s="5">
        <v>750</v>
      </c>
      <c r="D2225" s="5">
        <v>48</v>
      </c>
      <c r="E2225" s="5">
        <v>48</v>
      </c>
      <c r="F2225" t="s" s="2">
        <v>1746</v>
      </c>
      <c r="G2225" t="s" s="2">
        <v>4151</v>
      </c>
      <c r="H2225" s="5">
        <v>450</v>
      </c>
      <c r="I2225" t="s" s="2">
        <v>2870</v>
      </c>
      <c r="J2225" t="s" s="2">
        <v>22</v>
      </c>
      <c r="K2225" t="s" s="2">
        <v>4361</v>
      </c>
      <c r="L2225" t="s" s="2">
        <v>3918</v>
      </c>
      <c r="M2225" s="5">
        <v>610741.24</v>
      </c>
      <c r="N2225" s="5">
        <v>6117850.5</v>
      </c>
      <c r="O2225" t="s" s="2">
        <v>305</v>
      </c>
      <c r="P2225" s="5">
        <v>99129</v>
      </c>
      <c r="Q2225" t="s" s="2">
        <v>4154</v>
      </c>
      <c r="R2225" t="s" s="2">
        <f>_xlfn.IFERROR(INDEX('model_byCAP'!$D$2:$D$377,MATCH(Q2225,'model_byCAP'!$A$2:$A$377,0)),0)</f>
        <v>4047</v>
      </c>
    </row>
    <row r="2226" ht="15.35" customHeight="1">
      <c r="A2226" t="s" s="2">
        <v>4362</v>
      </c>
      <c r="B2226" s="4">
        <v>36109</v>
      </c>
      <c r="C2226" s="5">
        <v>750</v>
      </c>
      <c r="D2226" s="5">
        <v>48</v>
      </c>
      <c r="E2226" s="5">
        <v>50</v>
      </c>
      <c r="F2226" t="s" s="2">
        <v>1746</v>
      </c>
      <c r="G2226" t="s" s="2">
        <v>4151</v>
      </c>
      <c r="H2226" s="5">
        <v>450</v>
      </c>
      <c r="I2226" t="s" s="2">
        <v>2870</v>
      </c>
      <c r="J2226" t="s" s="2">
        <v>22</v>
      </c>
      <c r="K2226" t="s" s="2">
        <v>4361</v>
      </c>
      <c r="L2226" t="s" s="2">
        <v>492</v>
      </c>
      <c r="M2226" s="5">
        <v>610364.92</v>
      </c>
      <c r="N2226" s="5">
        <v>6118312.65</v>
      </c>
      <c r="O2226" t="s" s="2">
        <v>305</v>
      </c>
      <c r="P2226" s="5">
        <v>99130</v>
      </c>
      <c r="Q2226" t="s" s="2">
        <v>4154</v>
      </c>
      <c r="R2226" t="s" s="2">
        <f>_xlfn.IFERROR(INDEX('model_byCAP'!$D$2:$D$377,MATCH(Q2226,'model_byCAP'!$A$2:$A$377,0)),0)</f>
        <v>4047</v>
      </c>
    </row>
    <row r="2227" ht="15.35" customHeight="1">
      <c r="A2227" t="s" s="2">
        <v>4363</v>
      </c>
      <c r="B2227" s="4">
        <v>36125</v>
      </c>
      <c r="C2227" s="5">
        <v>750</v>
      </c>
      <c r="D2227" s="5">
        <v>48</v>
      </c>
      <c r="E2227" s="5">
        <v>50</v>
      </c>
      <c r="F2227" t="s" s="2">
        <v>1746</v>
      </c>
      <c r="G2227" t="s" s="2">
        <v>4151</v>
      </c>
      <c r="H2227" s="5">
        <v>450</v>
      </c>
      <c r="I2227" t="s" s="2">
        <v>2870</v>
      </c>
      <c r="J2227" t="s" s="2">
        <v>22</v>
      </c>
      <c r="K2227" t="s" s="2">
        <v>4361</v>
      </c>
      <c r="L2227" t="s" s="2">
        <v>585</v>
      </c>
      <c r="M2227" s="5">
        <v>610257.8199999999</v>
      </c>
      <c r="N2227" s="5">
        <v>6118613.99</v>
      </c>
      <c r="O2227" t="s" s="2">
        <v>305</v>
      </c>
      <c r="P2227" s="5">
        <v>99131</v>
      </c>
      <c r="Q2227" t="s" s="2">
        <v>4154</v>
      </c>
      <c r="R2227" t="s" s="2">
        <f>_xlfn.IFERROR(INDEX('model_byCAP'!$D$2:$D$377,MATCH(Q2227,'model_byCAP'!$A$2:$A$377,0)),0)</f>
        <v>4047</v>
      </c>
    </row>
    <row r="2228" ht="15.35" customHeight="1">
      <c r="A2228" t="s" s="2">
        <v>4364</v>
      </c>
      <c r="B2228" s="4">
        <v>36237</v>
      </c>
      <c r="C2228" s="5">
        <v>750</v>
      </c>
      <c r="D2228" s="5">
        <v>48</v>
      </c>
      <c r="E2228" s="5">
        <v>50</v>
      </c>
      <c r="F2228" t="s" s="2">
        <v>1746</v>
      </c>
      <c r="G2228" t="s" s="2">
        <v>4151</v>
      </c>
      <c r="H2228" s="5">
        <v>450</v>
      </c>
      <c r="I2228" t="s" s="2">
        <v>2870</v>
      </c>
      <c r="J2228" t="s" s="2">
        <v>22</v>
      </c>
      <c r="K2228" t="s" s="2">
        <v>4365</v>
      </c>
      <c r="L2228" t="s" s="2">
        <v>937</v>
      </c>
      <c r="M2228" s="5">
        <v>606031.35</v>
      </c>
      <c r="N2228" s="5">
        <v>6120582.83</v>
      </c>
      <c r="O2228" t="s" s="2">
        <v>305</v>
      </c>
      <c r="P2228" s="5">
        <v>99146</v>
      </c>
      <c r="Q2228" t="s" s="2">
        <v>4154</v>
      </c>
      <c r="R2228" t="s" s="2">
        <f>_xlfn.IFERROR(INDEX('model_byCAP'!$D$2:$D$377,MATCH(Q2228,'model_byCAP'!$A$2:$A$377,0)),0)</f>
        <v>4047</v>
      </c>
    </row>
    <row r="2229" ht="15.35" customHeight="1">
      <c r="A2229" t="s" s="2">
        <v>4366</v>
      </c>
      <c r="B2229" s="4">
        <v>36236</v>
      </c>
      <c r="C2229" s="5">
        <v>750</v>
      </c>
      <c r="D2229" s="5">
        <v>48</v>
      </c>
      <c r="E2229" s="5">
        <v>50</v>
      </c>
      <c r="F2229" t="s" s="2">
        <v>1746</v>
      </c>
      <c r="G2229" t="s" s="2">
        <v>4151</v>
      </c>
      <c r="H2229" s="5">
        <v>450</v>
      </c>
      <c r="I2229" t="s" s="2">
        <v>2870</v>
      </c>
      <c r="J2229" t="s" s="2">
        <v>22</v>
      </c>
      <c r="K2229" t="s" s="2">
        <v>4365</v>
      </c>
      <c r="L2229" t="s" s="2">
        <v>937</v>
      </c>
      <c r="M2229" s="5">
        <v>606056.55</v>
      </c>
      <c r="N2229" s="5">
        <v>6120764.67</v>
      </c>
      <c r="O2229" t="s" s="2">
        <v>305</v>
      </c>
      <c r="P2229" s="5">
        <v>99146</v>
      </c>
      <c r="Q2229" t="s" s="2">
        <v>4154</v>
      </c>
      <c r="R2229" t="s" s="2">
        <f>_xlfn.IFERROR(INDEX('model_byCAP'!$D$2:$D$377,MATCH(Q2229,'model_byCAP'!$A$2:$A$377,0)),0)</f>
        <v>4047</v>
      </c>
    </row>
    <row r="2230" ht="15.35" customHeight="1">
      <c r="A2230" t="s" s="2">
        <v>4367</v>
      </c>
      <c r="B2230" s="4">
        <v>36231</v>
      </c>
      <c r="C2230" s="5">
        <v>750</v>
      </c>
      <c r="D2230" s="5">
        <v>48</v>
      </c>
      <c r="E2230" s="5">
        <v>50</v>
      </c>
      <c r="F2230" t="s" s="2">
        <v>1746</v>
      </c>
      <c r="G2230" t="s" s="2">
        <v>4151</v>
      </c>
      <c r="H2230" s="5">
        <v>450</v>
      </c>
      <c r="I2230" t="s" s="2">
        <v>2870</v>
      </c>
      <c r="J2230" t="s" s="2">
        <v>22</v>
      </c>
      <c r="K2230" t="s" s="2">
        <v>4365</v>
      </c>
      <c r="L2230" t="s" s="2">
        <v>937</v>
      </c>
      <c r="M2230" s="5">
        <v>606081.8</v>
      </c>
      <c r="N2230" s="5">
        <v>6120946.09</v>
      </c>
      <c r="O2230" t="s" s="2">
        <v>305</v>
      </c>
      <c r="P2230" s="5">
        <v>99146</v>
      </c>
      <c r="Q2230" t="s" s="2">
        <v>4154</v>
      </c>
      <c r="R2230" t="s" s="2">
        <f>_xlfn.IFERROR(INDEX('model_byCAP'!$D$2:$D$377,MATCH(Q2230,'model_byCAP'!$A$2:$A$377,0)),0)</f>
        <v>4047</v>
      </c>
    </row>
    <row r="2231" ht="15.35" customHeight="1">
      <c r="A2231" t="s" s="2">
        <v>4368</v>
      </c>
      <c r="B2231" s="4">
        <v>36229</v>
      </c>
      <c r="C2231" s="5">
        <v>750</v>
      </c>
      <c r="D2231" s="5">
        <v>48</v>
      </c>
      <c r="E2231" s="5">
        <v>50</v>
      </c>
      <c r="F2231" t="s" s="2">
        <v>1746</v>
      </c>
      <c r="G2231" t="s" s="2">
        <v>4151</v>
      </c>
      <c r="H2231" s="5">
        <v>450</v>
      </c>
      <c r="I2231" t="s" s="2">
        <v>2870</v>
      </c>
      <c r="J2231" t="s" s="2">
        <v>22</v>
      </c>
      <c r="K2231" t="s" s="2">
        <v>4369</v>
      </c>
      <c r="L2231" t="s" s="2">
        <v>3607</v>
      </c>
      <c r="M2231" s="5">
        <v>611525.11</v>
      </c>
      <c r="N2231" s="5">
        <v>6123194.28</v>
      </c>
      <c r="O2231" t="s" s="2">
        <v>305</v>
      </c>
      <c r="P2231" s="5">
        <v>99149</v>
      </c>
      <c r="Q2231" t="s" s="2">
        <v>4154</v>
      </c>
      <c r="R2231" t="s" s="2">
        <f>_xlfn.IFERROR(INDEX('model_byCAP'!$D$2:$D$377,MATCH(Q2231,'model_byCAP'!$A$2:$A$377,0)),0)</f>
        <v>4047</v>
      </c>
    </row>
    <row r="2232" ht="15.35" customHeight="1">
      <c r="A2232" t="s" s="2">
        <v>4370</v>
      </c>
      <c r="B2232" s="4">
        <v>36228</v>
      </c>
      <c r="C2232" s="5">
        <v>750</v>
      </c>
      <c r="D2232" s="5">
        <v>48</v>
      </c>
      <c r="E2232" s="5">
        <v>50</v>
      </c>
      <c r="F2232" t="s" s="2">
        <v>1746</v>
      </c>
      <c r="G2232" t="s" s="2">
        <v>4151</v>
      </c>
      <c r="H2232" s="5">
        <v>450</v>
      </c>
      <c r="I2232" t="s" s="2">
        <v>2870</v>
      </c>
      <c r="J2232" t="s" s="2">
        <v>22</v>
      </c>
      <c r="K2232" t="s" s="2">
        <v>4369</v>
      </c>
      <c r="L2232" t="s" s="2">
        <v>4371</v>
      </c>
      <c r="M2232" s="5">
        <v>611509.87</v>
      </c>
      <c r="N2232" s="5">
        <v>6123039.26</v>
      </c>
      <c r="O2232" t="s" s="2">
        <v>305</v>
      </c>
      <c r="P2232" s="5">
        <v>99149</v>
      </c>
      <c r="Q2232" t="s" s="2">
        <v>4154</v>
      </c>
      <c r="R2232" t="s" s="2">
        <f>_xlfn.IFERROR(INDEX('model_byCAP'!$D$2:$D$377,MATCH(Q2232,'model_byCAP'!$A$2:$A$377,0)),0)</f>
        <v>4047</v>
      </c>
    </row>
    <row r="2233" ht="15.35" customHeight="1">
      <c r="A2233" t="s" s="2">
        <v>4372</v>
      </c>
      <c r="B2233" s="4">
        <v>36228</v>
      </c>
      <c r="C2233" s="5">
        <v>750</v>
      </c>
      <c r="D2233" s="5">
        <v>48</v>
      </c>
      <c r="E2233" s="5">
        <v>50</v>
      </c>
      <c r="F2233" t="s" s="2">
        <v>1746</v>
      </c>
      <c r="G2233" t="s" s="2">
        <v>4151</v>
      </c>
      <c r="H2233" s="5">
        <v>450</v>
      </c>
      <c r="I2233" t="s" s="2">
        <v>2870</v>
      </c>
      <c r="J2233" t="s" s="2">
        <v>22</v>
      </c>
      <c r="K2233" t="s" s="2">
        <v>4369</v>
      </c>
      <c r="L2233" t="s" s="2">
        <v>4373</v>
      </c>
      <c r="M2233" s="5">
        <v>611494.53</v>
      </c>
      <c r="N2233" s="5">
        <v>6122884.96</v>
      </c>
      <c r="O2233" t="s" s="2">
        <v>305</v>
      </c>
      <c r="P2233" s="5">
        <v>99149</v>
      </c>
      <c r="Q2233" t="s" s="2">
        <v>4154</v>
      </c>
      <c r="R2233" t="s" s="2">
        <f>_xlfn.IFERROR(INDEX('model_byCAP'!$D$2:$D$377,MATCH(Q2233,'model_byCAP'!$A$2:$A$377,0)),0)</f>
        <v>4047</v>
      </c>
    </row>
    <row r="2234" ht="15.35" customHeight="1">
      <c r="A2234" t="s" s="2">
        <v>4374</v>
      </c>
      <c r="B2234" s="4">
        <v>36545</v>
      </c>
      <c r="C2234" s="5">
        <v>750</v>
      </c>
      <c r="D2234" s="5">
        <v>48</v>
      </c>
      <c r="E2234" s="5">
        <v>50</v>
      </c>
      <c r="F2234" t="s" s="2">
        <v>1746</v>
      </c>
      <c r="G2234" t="s" s="2">
        <v>4151</v>
      </c>
      <c r="H2234" s="5">
        <v>450</v>
      </c>
      <c r="I2234" t="s" s="2">
        <v>2870</v>
      </c>
      <c r="J2234" t="s" s="2">
        <v>22</v>
      </c>
      <c r="K2234" t="s" s="2">
        <v>4375</v>
      </c>
      <c r="L2234" t="s" s="2">
        <v>3410</v>
      </c>
      <c r="M2234" s="5">
        <v>606377.12</v>
      </c>
      <c r="N2234" s="5">
        <v>6126996.38</v>
      </c>
      <c r="O2234" t="s" s="2">
        <v>305</v>
      </c>
      <c r="P2234" s="5">
        <v>99213</v>
      </c>
      <c r="Q2234" t="s" s="2">
        <v>4154</v>
      </c>
      <c r="R2234" t="s" s="2">
        <f>_xlfn.IFERROR(INDEX('model_byCAP'!$D$2:$D$377,MATCH(Q2234,'model_byCAP'!$A$2:$A$377,0)),0)</f>
        <v>4047</v>
      </c>
    </row>
    <row r="2235" ht="15.35" customHeight="1">
      <c r="A2235" t="s" s="2">
        <v>4376</v>
      </c>
      <c r="B2235" s="4">
        <v>36545</v>
      </c>
      <c r="C2235" s="5">
        <v>750</v>
      </c>
      <c r="D2235" s="5">
        <v>48</v>
      </c>
      <c r="E2235" s="5">
        <v>50</v>
      </c>
      <c r="F2235" t="s" s="2">
        <v>1746</v>
      </c>
      <c r="G2235" t="s" s="2">
        <v>4151</v>
      </c>
      <c r="H2235" s="5">
        <v>450</v>
      </c>
      <c r="I2235" t="s" s="2">
        <v>2870</v>
      </c>
      <c r="J2235" t="s" s="2">
        <v>22</v>
      </c>
      <c r="K2235" t="s" s="2">
        <v>4375</v>
      </c>
      <c r="L2235" t="s" s="2">
        <v>1161</v>
      </c>
      <c r="M2235" s="5">
        <v>606173.99</v>
      </c>
      <c r="N2235" s="5">
        <v>6126882.6</v>
      </c>
      <c r="O2235" t="s" s="2">
        <v>305</v>
      </c>
      <c r="P2235" s="5">
        <v>99213</v>
      </c>
      <c r="Q2235" t="s" s="2">
        <v>4154</v>
      </c>
      <c r="R2235" t="s" s="2">
        <f>_xlfn.IFERROR(INDEX('model_byCAP'!$D$2:$D$377,MATCH(Q2235,'model_byCAP'!$A$2:$A$377,0)),0)</f>
        <v>4047</v>
      </c>
    </row>
    <row r="2236" ht="15.35" customHeight="1">
      <c r="A2236" t="s" s="2">
        <v>4377</v>
      </c>
      <c r="B2236" s="4">
        <v>36546</v>
      </c>
      <c r="C2236" s="5">
        <v>750</v>
      </c>
      <c r="D2236" s="5">
        <v>48</v>
      </c>
      <c r="E2236" s="5">
        <v>50</v>
      </c>
      <c r="F2236" t="s" s="2">
        <v>1746</v>
      </c>
      <c r="G2236" t="s" s="2">
        <v>4151</v>
      </c>
      <c r="H2236" s="5">
        <v>450</v>
      </c>
      <c r="I2236" t="s" s="2">
        <v>2870</v>
      </c>
      <c r="J2236" t="s" s="2">
        <v>22</v>
      </c>
      <c r="K2236" t="s" s="2">
        <v>4378</v>
      </c>
      <c r="L2236" t="s" s="2">
        <v>524</v>
      </c>
      <c r="M2236" s="5">
        <v>608480.9300000001</v>
      </c>
      <c r="N2236" s="5">
        <v>6126055.96</v>
      </c>
      <c r="O2236" t="s" s="2">
        <v>305</v>
      </c>
      <c r="P2236" s="5">
        <v>99219</v>
      </c>
      <c r="Q2236" t="s" s="2">
        <v>4154</v>
      </c>
      <c r="R2236" t="s" s="2">
        <f>_xlfn.IFERROR(INDEX('model_byCAP'!$D$2:$D$377,MATCH(Q2236,'model_byCAP'!$A$2:$A$377,0)),0)</f>
        <v>4047</v>
      </c>
    </row>
    <row r="2237" ht="15.35" customHeight="1">
      <c r="A2237" t="s" s="2">
        <v>4379</v>
      </c>
      <c r="B2237" s="4">
        <v>36628</v>
      </c>
      <c r="C2237" s="5">
        <v>750</v>
      </c>
      <c r="D2237" s="5">
        <v>48</v>
      </c>
      <c r="E2237" s="5">
        <v>50</v>
      </c>
      <c r="F2237" t="s" s="2">
        <v>1746</v>
      </c>
      <c r="G2237" t="s" s="2">
        <v>4151</v>
      </c>
      <c r="H2237" s="5">
        <v>450</v>
      </c>
      <c r="I2237" t="s" s="2">
        <v>2870</v>
      </c>
      <c r="J2237" t="s" s="2">
        <v>22</v>
      </c>
      <c r="K2237" t="s" s="2">
        <v>4380</v>
      </c>
      <c r="L2237" t="s" s="2">
        <v>1422</v>
      </c>
      <c r="M2237" s="5">
        <v>608630.0600000001</v>
      </c>
      <c r="N2237" s="5">
        <v>6125844.97</v>
      </c>
      <c r="O2237" t="s" s="2">
        <v>305</v>
      </c>
      <c r="P2237" s="5">
        <v>99219</v>
      </c>
      <c r="Q2237" t="s" s="2">
        <v>4154</v>
      </c>
      <c r="R2237" t="s" s="2">
        <f>_xlfn.IFERROR(INDEX('model_byCAP'!$D$2:$D$377,MATCH(Q2237,'model_byCAP'!$A$2:$A$377,0)),0)</f>
        <v>4047</v>
      </c>
    </row>
    <row r="2238" ht="15.35" customHeight="1">
      <c r="A2238" t="s" s="2">
        <v>4381</v>
      </c>
      <c r="B2238" s="4">
        <v>36546</v>
      </c>
      <c r="C2238" s="5">
        <v>750</v>
      </c>
      <c r="D2238" s="5">
        <v>48</v>
      </c>
      <c r="E2238" s="5">
        <v>50</v>
      </c>
      <c r="F2238" t="s" s="2">
        <v>1746</v>
      </c>
      <c r="G2238" t="s" s="2">
        <v>4151</v>
      </c>
      <c r="H2238" s="5">
        <v>450</v>
      </c>
      <c r="I2238" t="s" s="2">
        <v>2870</v>
      </c>
      <c r="J2238" t="s" s="2">
        <v>22</v>
      </c>
      <c r="K2238" t="s" s="2">
        <v>4380</v>
      </c>
      <c r="L2238" t="s" s="2">
        <v>524</v>
      </c>
      <c r="M2238" s="5">
        <v>608780.14</v>
      </c>
      <c r="N2238" s="5">
        <v>6125634.38</v>
      </c>
      <c r="O2238" t="s" s="2">
        <v>305</v>
      </c>
      <c r="P2238" s="5">
        <v>99219</v>
      </c>
      <c r="Q2238" t="s" s="2">
        <v>4154</v>
      </c>
      <c r="R2238" t="s" s="2">
        <f>_xlfn.IFERROR(INDEX('model_byCAP'!$D$2:$D$377,MATCH(Q2238,'model_byCAP'!$A$2:$A$377,0)),0)</f>
        <v>4047</v>
      </c>
    </row>
    <row r="2239" ht="15.35" customHeight="1">
      <c r="A2239" t="s" s="2">
        <v>4382</v>
      </c>
      <c r="B2239" s="4">
        <v>36586</v>
      </c>
      <c r="C2239" s="5">
        <v>750</v>
      </c>
      <c r="D2239" s="5">
        <v>48</v>
      </c>
      <c r="E2239" s="5">
        <v>50</v>
      </c>
      <c r="F2239" t="s" s="2">
        <v>1746</v>
      </c>
      <c r="G2239" t="s" s="2">
        <v>4151</v>
      </c>
      <c r="H2239" s="5">
        <v>450</v>
      </c>
      <c r="I2239" t="s" s="2">
        <v>2870</v>
      </c>
      <c r="J2239" t="s" s="2">
        <v>22</v>
      </c>
      <c r="K2239" t="s" s="2">
        <v>4383</v>
      </c>
      <c r="L2239" t="s" s="2">
        <v>481</v>
      </c>
      <c r="M2239" s="5">
        <v>610311.48</v>
      </c>
      <c r="N2239" s="5">
        <v>6124532.25</v>
      </c>
      <c r="O2239" t="s" s="2">
        <v>305</v>
      </c>
      <c r="P2239" s="5">
        <v>99222</v>
      </c>
      <c r="Q2239" t="s" s="2">
        <v>4154</v>
      </c>
      <c r="R2239" t="s" s="2">
        <f>_xlfn.IFERROR(INDEX('model_byCAP'!$D$2:$D$377,MATCH(Q2239,'model_byCAP'!$A$2:$A$377,0)),0)</f>
        <v>4047</v>
      </c>
    </row>
    <row r="2240" ht="15.35" customHeight="1">
      <c r="A2240" t="s" s="2">
        <v>4384</v>
      </c>
      <c r="B2240" s="4">
        <v>36643</v>
      </c>
      <c r="C2240" s="5">
        <v>750</v>
      </c>
      <c r="D2240" s="5">
        <v>48</v>
      </c>
      <c r="E2240" s="5">
        <v>50</v>
      </c>
      <c r="F2240" t="s" s="2">
        <v>1746</v>
      </c>
      <c r="G2240" t="s" s="2">
        <v>4151</v>
      </c>
      <c r="H2240" s="5">
        <v>450</v>
      </c>
      <c r="I2240" t="s" s="2">
        <v>2870</v>
      </c>
      <c r="J2240" t="s" s="2">
        <v>22</v>
      </c>
      <c r="K2240" t="s" s="2">
        <v>4369</v>
      </c>
      <c r="L2240" t="s" s="2">
        <v>4385</v>
      </c>
      <c r="M2240" s="5">
        <v>610352.6899999999</v>
      </c>
      <c r="N2240" s="5">
        <v>6124337.06</v>
      </c>
      <c r="O2240" t="s" s="2">
        <v>305</v>
      </c>
      <c r="P2240" s="5">
        <v>99222</v>
      </c>
      <c r="Q2240" t="s" s="2">
        <v>4154</v>
      </c>
      <c r="R2240" t="s" s="2">
        <f>_xlfn.IFERROR(INDEX('model_byCAP'!$D$2:$D$377,MATCH(Q2240,'model_byCAP'!$A$2:$A$377,0)),0)</f>
        <v>4047</v>
      </c>
    </row>
    <row r="2241" ht="15.35" customHeight="1">
      <c r="A2241" t="s" s="2">
        <v>4386</v>
      </c>
      <c r="B2241" s="4">
        <v>36586</v>
      </c>
      <c r="C2241" s="5">
        <v>750</v>
      </c>
      <c r="D2241" s="5">
        <v>48</v>
      </c>
      <c r="E2241" s="5">
        <v>50</v>
      </c>
      <c r="F2241" t="s" s="2">
        <v>1746</v>
      </c>
      <c r="G2241" t="s" s="2">
        <v>4151</v>
      </c>
      <c r="H2241" s="5">
        <v>450</v>
      </c>
      <c r="I2241" t="s" s="2">
        <v>2870</v>
      </c>
      <c r="J2241" t="s" s="2">
        <v>22</v>
      </c>
      <c r="K2241" t="s" s="2">
        <v>4369</v>
      </c>
      <c r="L2241" t="s" s="2">
        <v>4387</v>
      </c>
      <c r="M2241" s="5">
        <v>610393.6</v>
      </c>
      <c r="N2241" s="5">
        <v>6124141.06</v>
      </c>
      <c r="O2241" t="s" s="2">
        <v>305</v>
      </c>
      <c r="P2241" s="5">
        <v>99222</v>
      </c>
      <c r="Q2241" t="s" s="2">
        <v>4154</v>
      </c>
      <c r="R2241" t="s" s="2">
        <f>_xlfn.IFERROR(INDEX('model_byCAP'!$D$2:$D$377,MATCH(Q2241,'model_byCAP'!$A$2:$A$377,0)),0)</f>
        <v>4047</v>
      </c>
    </row>
    <row r="2242" ht="15.35" customHeight="1">
      <c r="A2242" t="s" s="2">
        <v>4388</v>
      </c>
      <c r="B2242" s="4">
        <v>36516</v>
      </c>
      <c r="C2242" s="5">
        <v>750</v>
      </c>
      <c r="D2242" s="5">
        <v>48</v>
      </c>
      <c r="E2242" s="5">
        <v>50</v>
      </c>
      <c r="F2242" t="s" s="2">
        <v>1746</v>
      </c>
      <c r="G2242" t="s" s="2">
        <v>4151</v>
      </c>
      <c r="H2242" s="5">
        <v>450</v>
      </c>
      <c r="I2242" t="s" s="2">
        <v>2870</v>
      </c>
      <c r="J2242" t="s" s="2">
        <v>22</v>
      </c>
      <c r="K2242" t="s" s="2">
        <v>4389</v>
      </c>
      <c r="L2242" t="s" s="2">
        <v>4390</v>
      </c>
      <c r="M2242" s="5">
        <v>606642.13</v>
      </c>
      <c r="N2242" s="5">
        <v>6132877.01</v>
      </c>
      <c r="O2242" t="s" s="2">
        <v>305</v>
      </c>
      <c r="P2242" s="5">
        <v>99224</v>
      </c>
      <c r="Q2242" t="s" s="2">
        <v>4154</v>
      </c>
      <c r="R2242" t="s" s="2">
        <f>_xlfn.IFERROR(INDEX('model_byCAP'!$D$2:$D$377,MATCH(Q2242,'model_byCAP'!$A$2:$A$377,0)),0)</f>
        <v>4047</v>
      </c>
    </row>
    <row r="2243" ht="15.35" customHeight="1">
      <c r="A2243" t="s" s="2">
        <v>4391</v>
      </c>
      <c r="B2243" s="4">
        <v>36948</v>
      </c>
      <c r="C2243" s="5">
        <v>750</v>
      </c>
      <c r="D2243" s="5">
        <v>48</v>
      </c>
      <c r="E2243" s="5">
        <v>50</v>
      </c>
      <c r="F2243" t="s" s="2">
        <v>1746</v>
      </c>
      <c r="G2243" t="s" s="2">
        <v>4151</v>
      </c>
      <c r="H2243" s="5">
        <v>450</v>
      </c>
      <c r="I2243" t="s" s="2">
        <v>2870</v>
      </c>
      <c r="J2243" t="s" s="2">
        <v>22</v>
      </c>
      <c r="K2243" t="s" s="2">
        <v>4392</v>
      </c>
      <c r="L2243" s="5">
        <v>15</v>
      </c>
      <c r="M2243" s="5">
        <v>611553.47</v>
      </c>
      <c r="N2243" s="5">
        <v>6119611.2</v>
      </c>
      <c r="O2243" t="s" s="2">
        <v>305</v>
      </c>
      <c r="P2243" s="5">
        <v>99252</v>
      </c>
      <c r="Q2243" t="s" s="2">
        <v>4154</v>
      </c>
      <c r="R2243" t="s" s="2">
        <f>_xlfn.IFERROR(INDEX('model_byCAP'!$D$2:$D$377,MATCH(Q2243,'model_byCAP'!$A$2:$A$377,0)),0)</f>
        <v>4047</v>
      </c>
    </row>
    <row r="2244" ht="15.35" customHeight="1">
      <c r="A2244" t="s" s="2">
        <v>4393</v>
      </c>
      <c r="B2244" s="4">
        <v>36516</v>
      </c>
      <c r="C2244" s="5">
        <v>750</v>
      </c>
      <c r="D2244" s="5">
        <v>48</v>
      </c>
      <c r="E2244" s="5">
        <v>50</v>
      </c>
      <c r="F2244" t="s" s="2">
        <v>1746</v>
      </c>
      <c r="G2244" t="s" s="2">
        <v>4044</v>
      </c>
      <c r="H2244" s="5">
        <v>450</v>
      </c>
      <c r="I2244" t="s" s="2">
        <v>2870</v>
      </c>
      <c r="J2244" t="s" s="2">
        <v>22</v>
      </c>
      <c r="K2244" t="s" s="2">
        <v>4394</v>
      </c>
      <c r="L2244" t="s" s="2">
        <v>1105</v>
      </c>
      <c r="M2244" s="5">
        <v>606534.52</v>
      </c>
      <c r="N2244" s="5">
        <v>6133101.6</v>
      </c>
      <c r="O2244" t="s" s="2">
        <v>305</v>
      </c>
      <c r="P2244" s="5">
        <v>99216</v>
      </c>
      <c r="Q2244" t="s" s="2">
        <v>4046</v>
      </c>
      <c r="R2244" t="s" s="2">
        <f>_xlfn.IFERROR(INDEX('model_byCAP'!$D$2:$D$377,MATCH(Q2244,'model_byCAP'!$A$2:$A$377,0)),0)</f>
        <v>4047</v>
      </c>
    </row>
    <row r="2245" ht="15.35" customHeight="1">
      <c r="A2245" t="s" s="2">
        <v>4395</v>
      </c>
      <c r="B2245" s="4">
        <v>37246</v>
      </c>
      <c r="C2245" s="5">
        <v>750</v>
      </c>
      <c r="D2245" s="5">
        <v>48</v>
      </c>
      <c r="E2245" s="5">
        <v>50</v>
      </c>
      <c r="F2245" t="s" s="2">
        <v>1746</v>
      </c>
      <c r="G2245" t="s" s="2">
        <v>4151</v>
      </c>
      <c r="H2245" s="5">
        <v>450</v>
      </c>
      <c r="I2245" t="s" s="2">
        <v>2870</v>
      </c>
      <c r="J2245" t="s" s="2">
        <v>22</v>
      </c>
      <c r="K2245" t="s" s="2">
        <v>4396</v>
      </c>
      <c r="L2245" t="s" s="2">
        <v>2931</v>
      </c>
      <c r="M2245" s="5">
        <v>603435.09</v>
      </c>
      <c r="N2245" s="5">
        <v>6137032.95</v>
      </c>
      <c r="O2245" t="s" s="2">
        <v>305</v>
      </c>
      <c r="P2245" s="5">
        <v>99232</v>
      </c>
      <c r="Q2245" t="s" s="2">
        <v>4154</v>
      </c>
      <c r="R2245" t="s" s="2">
        <f>_xlfn.IFERROR(INDEX('model_byCAP'!$D$2:$D$377,MATCH(Q2245,'model_byCAP'!$A$2:$A$377,0)),0)</f>
        <v>4047</v>
      </c>
    </row>
    <row r="2246" ht="15.35" customHeight="1">
      <c r="A2246" t="s" s="2">
        <v>4397</v>
      </c>
      <c r="B2246" s="4">
        <v>37246</v>
      </c>
      <c r="C2246" s="5">
        <v>750</v>
      </c>
      <c r="D2246" s="5">
        <v>48</v>
      </c>
      <c r="E2246" s="5">
        <v>50</v>
      </c>
      <c r="F2246" t="s" s="2">
        <v>1746</v>
      </c>
      <c r="G2246" t="s" s="2">
        <v>4151</v>
      </c>
      <c r="H2246" s="5">
        <v>450</v>
      </c>
      <c r="I2246" t="s" s="2">
        <v>2870</v>
      </c>
      <c r="J2246" t="s" s="2">
        <v>22</v>
      </c>
      <c r="K2246" t="s" s="2">
        <v>4396</v>
      </c>
      <c r="L2246" t="s" s="2">
        <v>2931</v>
      </c>
      <c r="M2246" s="5">
        <v>603256.89</v>
      </c>
      <c r="N2246" s="5">
        <v>6137151.82</v>
      </c>
      <c r="O2246" t="s" s="2">
        <v>305</v>
      </c>
      <c r="P2246" s="5">
        <v>99232</v>
      </c>
      <c r="Q2246" t="s" s="2">
        <v>4154</v>
      </c>
      <c r="R2246" t="s" s="2">
        <f>_xlfn.IFERROR(INDEX('model_byCAP'!$D$2:$D$377,MATCH(Q2246,'model_byCAP'!$A$2:$A$377,0)),0)</f>
        <v>4047</v>
      </c>
    </row>
    <row r="2247" ht="15.35" customHeight="1">
      <c r="A2247" t="s" s="2">
        <v>4398</v>
      </c>
      <c r="B2247" s="4">
        <v>36711</v>
      </c>
      <c r="C2247" s="5">
        <v>750</v>
      </c>
      <c r="D2247" s="5">
        <v>48</v>
      </c>
      <c r="E2247" s="5">
        <v>50</v>
      </c>
      <c r="F2247" t="s" s="2">
        <v>1746</v>
      </c>
      <c r="G2247" t="s" s="2">
        <v>4151</v>
      </c>
      <c r="H2247" s="5">
        <v>450</v>
      </c>
      <c r="I2247" t="s" s="2">
        <v>2870</v>
      </c>
      <c r="J2247" t="s" s="2">
        <v>22</v>
      </c>
      <c r="K2247" t="s" s="2">
        <v>4396</v>
      </c>
      <c r="L2247" t="s" s="2">
        <v>4399</v>
      </c>
      <c r="M2247" s="5">
        <v>603243.95</v>
      </c>
      <c r="N2247" s="5">
        <v>6136934.42</v>
      </c>
      <c r="O2247" t="s" s="2">
        <v>305</v>
      </c>
      <c r="P2247" s="5">
        <v>101197</v>
      </c>
      <c r="Q2247" t="s" s="2">
        <v>4154</v>
      </c>
      <c r="R2247" t="s" s="2">
        <f>_xlfn.IFERROR(INDEX('model_byCAP'!$D$2:$D$377,MATCH(Q2247,'model_byCAP'!$A$2:$A$377,0)),0)</f>
        <v>4047</v>
      </c>
    </row>
    <row r="2248" ht="15.35" customHeight="1">
      <c r="A2248" t="s" s="2">
        <v>4400</v>
      </c>
      <c r="B2248" s="4">
        <v>36049</v>
      </c>
      <c r="C2248" s="5">
        <v>750</v>
      </c>
      <c r="D2248" s="5">
        <v>48</v>
      </c>
      <c r="E2248" s="5">
        <v>45</v>
      </c>
      <c r="F2248" t="s" s="2">
        <v>1746</v>
      </c>
      <c r="G2248" t="s" s="2">
        <v>4044</v>
      </c>
      <c r="H2248" s="5">
        <v>461</v>
      </c>
      <c r="I2248" t="s" s="2">
        <v>3475</v>
      </c>
      <c r="J2248" t="s" s="2">
        <v>22</v>
      </c>
      <c r="K2248" t="s" s="2">
        <v>4401</v>
      </c>
      <c r="L2248" t="s" s="2">
        <v>4402</v>
      </c>
      <c r="M2248" s="5">
        <v>586154.4399999999</v>
      </c>
      <c r="N2248" s="5">
        <v>6132036.75</v>
      </c>
      <c r="O2248" t="s" s="2">
        <v>305</v>
      </c>
      <c r="P2248" s="5">
        <v>99133</v>
      </c>
      <c r="Q2248" t="s" s="2">
        <v>4046</v>
      </c>
      <c r="R2248" t="s" s="2">
        <f>_xlfn.IFERROR(INDEX('model_byCAP'!$D$2:$D$377,MATCH(Q2248,'model_byCAP'!$A$2:$A$377,0)),0)</f>
        <v>4047</v>
      </c>
    </row>
    <row r="2249" ht="15.35" customHeight="1">
      <c r="A2249" t="s" s="2">
        <v>4403</v>
      </c>
      <c r="B2249" s="4">
        <v>36711</v>
      </c>
      <c r="C2249" s="5">
        <v>750</v>
      </c>
      <c r="D2249" s="5">
        <v>48</v>
      </c>
      <c r="E2249" s="5">
        <v>45</v>
      </c>
      <c r="F2249" t="s" s="2">
        <v>1746</v>
      </c>
      <c r="G2249" t="s" s="2">
        <v>4151</v>
      </c>
      <c r="H2249" s="5">
        <v>461</v>
      </c>
      <c r="I2249" t="s" s="2">
        <v>3475</v>
      </c>
      <c r="J2249" t="s" s="2">
        <v>22</v>
      </c>
      <c r="K2249" t="s" s="2">
        <v>4404</v>
      </c>
      <c r="L2249" t="s" s="2">
        <v>869</v>
      </c>
      <c r="M2249" s="5">
        <v>592342.01</v>
      </c>
      <c r="N2249" s="5">
        <v>6130793.7</v>
      </c>
      <c r="O2249" t="s" s="2">
        <v>305</v>
      </c>
      <c r="P2249" s="5">
        <v>101195</v>
      </c>
      <c r="Q2249" t="s" s="2">
        <v>4154</v>
      </c>
      <c r="R2249" t="s" s="2">
        <f>_xlfn.IFERROR(INDEX('model_byCAP'!$D$2:$D$377,MATCH(Q2249,'model_byCAP'!$A$2:$A$377,0)),0)</f>
        <v>4047</v>
      </c>
    </row>
    <row r="2250" ht="15.35" customHeight="1">
      <c r="A2250" t="s" s="2">
        <v>4405</v>
      </c>
      <c r="B2250" s="4">
        <v>36613</v>
      </c>
      <c r="C2250" s="5">
        <v>750</v>
      </c>
      <c r="D2250" s="5">
        <v>48</v>
      </c>
      <c r="E2250" s="5">
        <v>45</v>
      </c>
      <c r="F2250" t="s" s="2">
        <v>1746</v>
      </c>
      <c r="G2250" t="s" s="2">
        <v>4151</v>
      </c>
      <c r="H2250" s="5">
        <v>461</v>
      </c>
      <c r="I2250" t="s" s="2">
        <v>3475</v>
      </c>
      <c r="J2250" t="s" s="2">
        <v>22</v>
      </c>
      <c r="K2250" t="s" s="2">
        <v>4404</v>
      </c>
      <c r="L2250" t="s" s="2">
        <v>4406</v>
      </c>
      <c r="M2250" s="5">
        <v>592437.65</v>
      </c>
      <c r="N2250" s="5">
        <v>6130641.65</v>
      </c>
      <c r="O2250" t="s" s="2">
        <v>305</v>
      </c>
      <c r="P2250" s="5">
        <v>101196</v>
      </c>
      <c r="Q2250" t="s" s="2">
        <v>4154</v>
      </c>
      <c r="R2250" t="s" s="2">
        <f>_xlfn.IFERROR(INDEX('model_byCAP'!$D$2:$D$377,MATCH(Q2250,'model_byCAP'!$A$2:$A$377,0)),0)</f>
        <v>4047</v>
      </c>
    </row>
    <row r="2251" ht="15.35" customHeight="1">
      <c r="A2251" t="s" s="2">
        <v>4407</v>
      </c>
      <c r="B2251" s="4">
        <v>36174</v>
      </c>
      <c r="C2251" s="5">
        <v>750</v>
      </c>
      <c r="D2251" s="5">
        <v>48</v>
      </c>
      <c r="E2251" s="5">
        <v>50</v>
      </c>
      <c r="F2251" t="s" s="2">
        <v>1746</v>
      </c>
      <c r="G2251" t="s" s="2">
        <v>4151</v>
      </c>
      <c r="H2251" s="5">
        <v>480</v>
      </c>
      <c r="I2251" t="s" s="2">
        <v>3957</v>
      </c>
      <c r="J2251" t="s" s="2">
        <v>22</v>
      </c>
      <c r="K2251" t="s" s="2">
        <v>4408</v>
      </c>
      <c r="L2251" t="s" s="2">
        <v>2354</v>
      </c>
      <c r="M2251" s="5">
        <v>581817.17</v>
      </c>
      <c r="N2251" s="5">
        <v>6156574.99</v>
      </c>
      <c r="O2251" t="s" s="2">
        <v>305</v>
      </c>
      <c r="P2251" s="5">
        <v>99145</v>
      </c>
      <c r="Q2251" t="s" s="2">
        <v>4154</v>
      </c>
      <c r="R2251" t="s" s="2">
        <f>_xlfn.IFERROR(INDEX('model_byCAP'!$D$2:$D$377,MATCH(Q2251,'model_byCAP'!$A$2:$A$377,0)),0)</f>
        <v>4047</v>
      </c>
    </row>
    <row r="2252" ht="15.35" customHeight="1">
      <c r="A2252" t="s" s="2">
        <v>4409</v>
      </c>
      <c r="B2252" s="4">
        <v>36172</v>
      </c>
      <c r="C2252" s="5">
        <v>750</v>
      </c>
      <c r="D2252" s="5">
        <v>48</v>
      </c>
      <c r="E2252" s="5">
        <v>50</v>
      </c>
      <c r="F2252" t="s" s="2">
        <v>1746</v>
      </c>
      <c r="G2252" t="s" s="2">
        <v>4151</v>
      </c>
      <c r="H2252" s="5">
        <v>480</v>
      </c>
      <c r="I2252" t="s" s="2">
        <v>3957</v>
      </c>
      <c r="J2252" t="s" s="2">
        <v>22</v>
      </c>
      <c r="K2252" t="s" s="2">
        <v>4408</v>
      </c>
      <c r="L2252" t="s" s="2">
        <v>4410</v>
      </c>
      <c r="M2252" s="5">
        <v>581801.23</v>
      </c>
      <c r="N2252" s="5">
        <v>6156406.1</v>
      </c>
      <c r="O2252" t="s" s="2">
        <v>305</v>
      </c>
      <c r="P2252" s="5">
        <v>99145</v>
      </c>
      <c r="Q2252" t="s" s="2">
        <v>4154</v>
      </c>
      <c r="R2252" t="s" s="2">
        <f>_xlfn.IFERROR(INDEX('model_byCAP'!$D$2:$D$377,MATCH(Q2252,'model_byCAP'!$A$2:$A$377,0)),0)</f>
        <v>4047</v>
      </c>
    </row>
    <row r="2253" ht="15.35" customHeight="1">
      <c r="A2253" t="s" s="2">
        <v>4411</v>
      </c>
      <c r="B2253" s="4">
        <v>36172</v>
      </c>
      <c r="C2253" s="5">
        <v>750</v>
      </c>
      <c r="D2253" s="5">
        <v>48</v>
      </c>
      <c r="E2253" s="5">
        <v>50</v>
      </c>
      <c r="F2253" t="s" s="2">
        <v>1746</v>
      </c>
      <c r="G2253" t="s" s="2">
        <v>4151</v>
      </c>
      <c r="H2253" s="5">
        <v>480</v>
      </c>
      <c r="I2253" t="s" s="2">
        <v>3957</v>
      </c>
      <c r="J2253" t="s" s="2">
        <v>22</v>
      </c>
      <c r="K2253" t="s" s="2">
        <v>4408</v>
      </c>
      <c r="L2253" t="s" s="2">
        <v>4412</v>
      </c>
      <c r="M2253" s="5">
        <v>581782.25</v>
      </c>
      <c r="N2253" s="5">
        <v>6156238.92</v>
      </c>
      <c r="O2253" t="s" s="2">
        <v>305</v>
      </c>
      <c r="P2253" s="5">
        <v>99145</v>
      </c>
      <c r="Q2253" t="s" s="2">
        <v>4154</v>
      </c>
      <c r="R2253" t="s" s="2">
        <f>_xlfn.IFERROR(INDEX('model_byCAP'!$D$2:$D$377,MATCH(Q2253,'model_byCAP'!$A$2:$A$377,0)),0)</f>
        <v>4047</v>
      </c>
    </row>
    <row r="2254" ht="15.35" customHeight="1">
      <c r="A2254" t="s" s="2">
        <v>4413</v>
      </c>
      <c r="B2254" s="4">
        <v>36292</v>
      </c>
      <c r="C2254" s="5">
        <v>750</v>
      </c>
      <c r="D2254" s="5">
        <v>48</v>
      </c>
      <c r="E2254" s="5">
        <v>50</v>
      </c>
      <c r="F2254" t="s" s="2">
        <v>1746</v>
      </c>
      <c r="G2254" t="s" s="2">
        <v>4151</v>
      </c>
      <c r="H2254" s="5">
        <v>480</v>
      </c>
      <c r="I2254" t="s" s="2">
        <v>3957</v>
      </c>
      <c r="J2254" t="s" s="2">
        <v>22</v>
      </c>
      <c r="K2254" t="s" s="2">
        <v>4414</v>
      </c>
      <c r="L2254" t="s" s="2">
        <v>394</v>
      </c>
      <c r="M2254" s="5">
        <v>585924.39</v>
      </c>
      <c r="N2254" s="5">
        <v>6156018.54</v>
      </c>
      <c r="O2254" t="s" s="2">
        <v>305</v>
      </c>
      <c r="P2254" s="5">
        <v>99148</v>
      </c>
      <c r="Q2254" t="s" s="2">
        <v>4154</v>
      </c>
      <c r="R2254" t="s" s="2">
        <f>_xlfn.IFERROR(INDEX('model_byCAP'!$D$2:$D$377,MATCH(Q2254,'model_byCAP'!$A$2:$A$377,0)),0)</f>
        <v>4047</v>
      </c>
    </row>
    <row r="2255" ht="15.35" customHeight="1">
      <c r="A2255" t="s" s="2">
        <v>4415</v>
      </c>
      <c r="B2255" s="4">
        <v>36292</v>
      </c>
      <c r="C2255" s="5">
        <v>750</v>
      </c>
      <c r="D2255" s="5">
        <v>48</v>
      </c>
      <c r="E2255" s="5">
        <v>50</v>
      </c>
      <c r="F2255" t="s" s="2">
        <v>1746</v>
      </c>
      <c r="G2255" t="s" s="2">
        <v>4151</v>
      </c>
      <c r="H2255" s="5">
        <v>480</v>
      </c>
      <c r="I2255" t="s" s="2">
        <v>3957</v>
      </c>
      <c r="J2255" t="s" s="2">
        <v>22</v>
      </c>
      <c r="K2255" t="s" s="2">
        <v>4414</v>
      </c>
      <c r="L2255" t="s" s="2">
        <v>394</v>
      </c>
      <c r="M2255" s="5">
        <v>586174.8199999999</v>
      </c>
      <c r="N2255" s="5">
        <v>6155892.74</v>
      </c>
      <c r="O2255" t="s" s="2">
        <v>305</v>
      </c>
      <c r="P2255" s="5">
        <v>99148</v>
      </c>
      <c r="Q2255" t="s" s="2">
        <v>4154</v>
      </c>
      <c r="R2255" t="s" s="2">
        <f>_xlfn.IFERROR(INDEX('model_byCAP'!$D$2:$D$377,MATCH(Q2255,'model_byCAP'!$A$2:$A$377,0)),0)</f>
        <v>4047</v>
      </c>
    </row>
    <row r="2256" ht="15.35" customHeight="1">
      <c r="A2256" t="s" s="2">
        <v>4416</v>
      </c>
      <c r="B2256" s="4">
        <v>36292</v>
      </c>
      <c r="C2256" s="5">
        <v>750</v>
      </c>
      <c r="D2256" s="5">
        <v>48</v>
      </c>
      <c r="E2256" s="5">
        <v>50</v>
      </c>
      <c r="F2256" t="s" s="2">
        <v>1746</v>
      </c>
      <c r="G2256" t="s" s="2">
        <v>4151</v>
      </c>
      <c r="H2256" s="5">
        <v>480</v>
      </c>
      <c r="I2256" t="s" s="2">
        <v>3957</v>
      </c>
      <c r="J2256" t="s" s="2">
        <v>22</v>
      </c>
      <c r="K2256" t="s" s="2">
        <v>4414</v>
      </c>
      <c r="L2256" t="s" s="2">
        <v>394</v>
      </c>
      <c r="M2256" s="5">
        <v>586425.64</v>
      </c>
      <c r="N2256" s="5">
        <v>6155768.17</v>
      </c>
      <c r="O2256" t="s" s="2">
        <v>305</v>
      </c>
      <c r="P2256" s="5">
        <v>99148</v>
      </c>
      <c r="Q2256" t="s" s="2">
        <v>4154</v>
      </c>
      <c r="R2256" t="s" s="2">
        <f>_xlfn.IFERROR(INDEX('model_byCAP'!$D$2:$D$377,MATCH(Q2256,'model_byCAP'!$A$2:$A$377,0)),0)</f>
        <v>4047</v>
      </c>
    </row>
    <row r="2257" ht="15.35" customHeight="1">
      <c r="A2257" t="s" s="2">
        <v>4417</v>
      </c>
      <c r="B2257" s="4">
        <v>36447</v>
      </c>
      <c r="C2257" s="5">
        <v>750</v>
      </c>
      <c r="D2257" s="5">
        <v>48</v>
      </c>
      <c r="E2257" s="5">
        <v>50</v>
      </c>
      <c r="F2257" t="s" s="2">
        <v>1746</v>
      </c>
      <c r="G2257" t="s" s="2">
        <v>4151</v>
      </c>
      <c r="H2257" s="5">
        <v>480</v>
      </c>
      <c r="I2257" t="s" s="2">
        <v>3957</v>
      </c>
      <c r="J2257" t="s" s="2">
        <v>22</v>
      </c>
      <c r="K2257" t="s" s="2">
        <v>4418</v>
      </c>
      <c r="L2257" t="s" s="2">
        <v>3336</v>
      </c>
      <c r="M2257" s="5">
        <v>589699.2</v>
      </c>
      <c r="N2257" s="5">
        <v>6156760.84</v>
      </c>
      <c r="O2257" t="s" s="2">
        <v>305</v>
      </c>
      <c r="P2257" s="5">
        <v>99203</v>
      </c>
      <c r="Q2257" t="s" s="2">
        <v>4154</v>
      </c>
      <c r="R2257" t="s" s="2">
        <f>_xlfn.IFERROR(INDEX('model_byCAP'!$D$2:$D$377,MATCH(Q2257,'model_byCAP'!$A$2:$A$377,0)),0)</f>
        <v>4047</v>
      </c>
    </row>
    <row r="2258" ht="15.35" customHeight="1">
      <c r="A2258" t="s" s="2">
        <v>4419</v>
      </c>
      <c r="B2258" s="4">
        <v>36396</v>
      </c>
      <c r="C2258" s="5">
        <v>750</v>
      </c>
      <c r="D2258" s="5">
        <v>48</v>
      </c>
      <c r="E2258" s="5">
        <v>50</v>
      </c>
      <c r="F2258" t="s" s="2">
        <v>1746</v>
      </c>
      <c r="G2258" t="s" s="2">
        <v>4151</v>
      </c>
      <c r="H2258" s="5">
        <v>480</v>
      </c>
      <c r="I2258" t="s" s="2">
        <v>3957</v>
      </c>
      <c r="J2258" t="s" s="2">
        <v>22</v>
      </c>
      <c r="K2258" t="s" s="2">
        <v>4418</v>
      </c>
      <c r="L2258" t="s" s="2">
        <v>4420</v>
      </c>
      <c r="M2258" s="5">
        <v>589433.84</v>
      </c>
      <c r="N2258" s="5">
        <v>6156722.89</v>
      </c>
      <c r="O2258" t="s" s="2">
        <v>305</v>
      </c>
      <c r="P2258" s="5">
        <v>99203</v>
      </c>
      <c r="Q2258" t="s" s="2">
        <v>4154</v>
      </c>
      <c r="R2258" t="s" s="2">
        <f>_xlfn.IFERROR(INDEX('model_byCAP'!$D$2:$D$377,MATCH(Q2258,'model_byCAP'!$A$2:$A$377,0)),0)</f>
        <v>4047</v>
      </c>
    </row>
    <row r="2259" ht="15.35" customHeight="1">
      <c r="A2259" t="s" s="2">
        <v>4421</v>
      </c>
      <c r="B2259" s="4">
        <v>36448</v>
      </c>
      <c r="C2259" s="5">
        <v>750</v>
      </c>
      <c r="D2259" s="5">
        <v>48</v>
      </c>
      <c r="E2259" s="5">
        <v>50</v>
      </c>
      <c r="F2259" t="s" s="2">
        <v>1746</v>
      </c>
      <c r="G2259" t="s" s="2">
        <v>4151</v>
      </c>
      <c r="H2259" s="5">
        <v>480</v>
      </c>
      <c r="I2259" t="s" s="2">
        <v>3957</v>
      </c>
      <c r="J2259" t="s" s="2">
        <v>22</v>
      </c>
      <c r="K2259" t="s" s="2">
        <v>4422</v>
      </c>
      <c r="L2259" t="s" s="2">
        <v>4423</v>
      </c>
      <c r="M2259" s="5">
        <v>589365.29</v>
      </c>
      <c r="N2259" s="5">
        <v>6156982.01</v>
      </c>
      <c r="O2259" t="s" s="2">
        <v>305</v>
      </c>
      <c r="P2259" s="5">
        <v>99203</v>
      </c>
      <c r="Q2259" t="s" s="2">
        <v>4154</v>
      </c>
      <c r="R2259" t="s" s="2">
        <f>_xlfn.IFERROR(INDEX('model_byCAP'!$D$2:$D$377,MATCH(Q2259,'model_byCAP'!$A$2:$A$377,0)),0)</f>
        <v>4047</v>
      </c>
    </row>
    <row r="2260" ht="15.35" customHeight="1">
      <c r="A2260" t="s" s="2">
        <v>4424</v>
      </c>
      <c r="B2260" s="4">
        <v>36622</v>
      </c>
      <c r="C2260" s="5">
        <v>750</v>
      </c>
      <c r="D2260" s="5">
        <v>48</v>
      </c>
      <c r="E2260" s="5">
        <v>50</v>
      </c>
      <c r="F2260" t="s" s="2">
        <v>1746</v>
      </c>
      <c r="G2260" t="s" s="2">
        <v>4151</v>
      </c>
      <c r="H2260" s="5">
        <v>480</v>
      </c>
      <c r="I2260" t="s" s="2">
        <v>3957</v>
      </c>
      <c r="J2260" t="s" s="2">
        <v>22</v>
      </c>
      <c r="K2260" t="s" s="2">
        <v>4425</v>
      </c>
      <c r="L2260" t="s" s="2">
        <v>3355</v>
      </c>
      <c r="M2260" s="5">
        <v>584583.51</v>
      </c>
      <c r="N2260" s="5">
        <v>6158277.8</v>
      </c>
      <c r="O2260" t="s" s="2">
        <v>305</v>
      </c>
      <c r="P2260" s="5">
        <v>101192</v>
      </c>
      <c r="Q2260" t="s" s="2">
        <v>4154</v>
      </c>
      <c r="R2260" t="s" s="2">
        <f>_xlfn.IFERROR(INDEX('model_byCAP'!$D$2:$D$377,MATCH(Q2260,'model_byCAP'!$A$2:$A$377,0)),0)</f>
        <v>4047</v>
      </c>
    </row>
    <row r="2261" ht="15.35" customHeight="1">
      <c r="A2261" t="s" s="2">
        <v>4426</v>
      </c>
      <c r="B2261" s="4">
        <v>36713</v>
      </c>
      <c r="C2261" s="5">
        <v>750</v>
      </c>
      <c r="D2261" s="5">
        <v>48</v>
      </c>
      <c r="E2261" s="5">
        <v>50</v>
      </c>
      <c r="F2261" t="s" s="2">
        <v>1746</v>
      </c>
      <c r="G2261" t="s" s="2">
        <v>4151</v>
      </c>
      <c r="H2261" s="5">
        <v>480</v>
      </c>
      <c r="I2261" t="s" s="2">
        <v>3957</v>
      </c>
      <c r="J2261" t="s" s="2">
        <v>22</v>
      </c>
      <c r="K2261" t="s" s="2">
        <v>4425</v>
      </c>
      <c r="L2261" t="s" s="2">
        <v>3355</v>
      </c>
      <c r="M2261" s="5">
        <v>584389.7</v>
      </c>
      <c r="N2261" s="5">
        <v>6158262.88</v>
      </c>
      <c r="O2261" t="s" s="2">
        <v>305</v>
      </c>
      <c r="P2261" s="5">
        <v>101193</v>
      </c>
      <c r="Q2261" t="s" s="2">
        <v>4154</v>
      </c>
      <c r="R2261" t="s" s="2">
        <f>_xlfn.IFERROR(INDEX('model_byCAP'!$D$2:$D$377,MATCH(Q2261,'model_byCAP'!$A$2:$A$377,0)),0)</f>
        <v>4047</v>
      </c>
    </row>
    <row r="2262" ht="15.35" customHeight="1">
      <c r="A2262" t="s" s="2">
        <v>4427</v>
      </c>
      <c r="B2262" s="4">
        <v>36522</v>
      </c>
      <c r="C2262" s="5">
        <v>750</v>
      </c>
      <c r="D2262" s="5">
        <v>48</v>
      </c>
      <c r="E2262" s="5">
        <v>50</v>
      </c>
      <c r="F2262" t="s" s="2">
        <v>1746</v>
      </c>
      <c r="G2262" t="s" s="2">
        <v>4151</v>
      </c>
      <c r="H2262" s="5">
        <v>480</v>
      </c>
      <c r="I2262" t="s" s="2">
        <v>3957</v>
      </c>
      <c r="J2262" t="s" s="2">
        <v>22</v>
      </c>
      <c r="K2262" t="s" s="2">
        <v>4425</v>
      </c>
      <c r="L2262" t="s" s="2">
        <v>4399</v>
      </c>
      <c r="M2262" s="5">
        <v>584195.34</v>
      </c>
      <c r="N2262" s="5">
        <v>6158248.18</v>
      </c>
      <c r="O2262" t="s" s="2">
        <v>305</v>
      </c>
      <c r="P2262" s="5">
        <v>101194</v>
      </c>
      <c r="Q2262" t="s" s="2">
        <v>4154</v>
      </c>
      <c r="R2262" t="s" s="2">
        <f>_xlfn.IFERROR(INDEX('model_byCAP'!$D$2:$D$377,MATCH(Q2262,'model_byCAP'!$A$2:$A$377,0)),0)</f>
        <v>4047</v>
      </c>
    </row>
    <row r="2263" ht="15.35" customHeight="1">
      <c r="A2263" t="s" s="2">
        <v>4428</v>
      </c>
      <c r="B2263" s="4">
        <v>36168</v>
      </c>
      <c r="C2263" s="5">
        <v>750</v>
      </c>
      <c r="D2263" s="5">
        <v>48</v>
      </c>
      <c r="E2263" s="5">
        <v>50</v>
      </c>
      <c r="F2263" t="s" s="2">
        <v>1746</v>
      </c>
      <c r="G2263" t="s" s="2">
        <v>4151</v>
      </c>
      <c r="H2263" s="5">
        <v>482</v>
      </c>
      <c r="I2263" t="s" s="2">
        <v>1523</v>
      </c>
      <c r="J2263" t="s" s="2">
        <v>22</v>
      </c>
      <c r="K2263" t="s" s="2">
        <v>4429</v>
      </c>
      <c r="L2263" t="s" s="2">
        <v>3703</v>
      </c>
      <c r="M2263" s="5">
        <v>611818.04</v>
      </c>
      <c r="N2263" s="5">
        <v>6089483.5</v>
      </c>
      <c r="O2263" t="s" s="2">
        <v>305</v>
      </c>
      <c r="P2263" s="5">
        <v>1756151</v>
      </c>
      <c r="Q2263" t="s" s="2">
        <v>4154</v>
      </c>
      <c r="R2263" t="s" s="2">
        <f>_xlfn.IFERROR(INDEX('model_byCAP'!$D$2:$D$377,MATCH(Q2263,'model_byCAP'!$A$2:$A$377,0)),0)</f>
        <v>4047</v>
      </c>
    </row>
    <row r="2264" ht="15.35" customHeight="1">
      <c r="A2264" t="s" s="2">
        <v>4430</v>
      </c>
      <c r="B2264" s="4">
        <v>36027</v>
      </c>
      <c r="C2264" s="5">
        <v>750</v>
      </c>
      <c r="D2264" s="5">
        <v>48</v>
      </c>
      <c r="E2264" s="5">
        <v>50</v>
      </c>
      <c r="F2264" t="s" s="2">
        <v>1746</v>
      </c>
      <c r="G2264" t="s" s="2">
        <v>4151</v>
      </c>
      <c r="H2264" s="5">
        <v>482</v>
      </c>
      <c r="I2264" t="s" s="2">
        <v>1523</v>
      </c>
      <c r="J2264" t="s" s="2">
        <v>22</v>
      </c>
      <c r="K2264" t="s" s="2">
        <v>4429</v>
      </c>
      <c r="L2264" t="s" s="2">
        <v>2931</v>
      </c>
      <c r="M2264" s="5">
        <v>611915.47</v>
      </c>
      <c r="N2264" s="5">
        <v>6088300.77</v>
      </c>
      <c r="O2264" t="s" s="2">
        <v>305</v>
      </c>
      <c r="P2264" s="5">
        <v>1756222</v>
      </c>
      <c r="Q2264" t="s" s="2">
        <v>4154</v>
      </c>
      <c r="R2264" t="s" s="2">
        <f>_xlfn.IFERROR(INDEX('model_byCAP'!$D$2:$D$377,MATCH(Q2264,'model_byCAP'!$A$2:$A$377,0)),0)</f>
        <v>4047</v>
      </c>
    </row>
    <row r="2265" ht="15.35" customHeight="1">
      <c r="A2265" t="s" s="2">
        <v>4431</v>
      </c>
      <c r="B2265" s="4">
        <v>36032</v>
      </c>
      <c r="C2265" s="5">
        <v>750</v>
      </c>
      <c r="D2265" s="5">
        <v>48</v>
      </c>
      <c r="E2265" s="5">
        <v>50</v>
      </c>
      <c r="F2265" t="s" s="2">
        <v>1746</v>
      </c>
      <c r="G2265" t="s" s="2">
        <v>4151</v>
      </c>
      <c r="H2265" s="5">
        <v>482</v>
      </c>
      <c r="I2265" t="s" s="2">
        <v>1523</v>
      </c>
      <c r="J2265" t="s" s="2">
        <v>22</v>
      </c>
      <c r="K2265" t="s" s="2">
        <v>4432</v>
      </c>
      <c r="L2265" t="s" s="2">
        <v>2931</v>
      </c>
      <c r="M2265" s="5">
        <v>612117.9300000001</v>
      </c>
      <c r="N2265" s="5">
        <v>6086131.8</v>
      </c>
      <c r="O2265" t="s" s="2">
        <v>305</v>
      </c>
      <c r="P2265" s="5">
        <v>5852212</v>
      </c>
      <c r="Q2265" t="s" s="2">
        <v>4154</v>
      </c>
      <c r="R2265" t="s" s="2">
        <f>_xlfn.IFERROR(INDEX('model_byCAP'!$D$2:$D$377,MATCH(Q2265,'model_byCAP'!$A$2:$A$377,0)),0)</f>
        <v>4047</v>
      </c>
    </row>
    <row r="2266" ht="15.35" customHeight="1">
      <c r="A2266" t="s" s="2">
        <v>4433</v>
      </c>
      <c r="B2266" s="4">
        <v>37581</v>
      </c>
      <c r="C2266" s="5">
        <v>750</v>
      </c>
      <c r="D2266" s="5">
        <v>48.2</v>
      </c>
      <c r="E2266" s="5">
        <v>50</v>
      </c>
      <c r="F2266" t="s" s="2">
        <v>1746</v>
      </c>
      <c r="G2266" t="s" s="2">
        <v>4044</v>
      </c>
      <c r="H2266" s="5">
        <v>482</v>
      </c>
      <c r="I2266" t="s" s="2">
        <v>1523</v>
      </c>
      <c r="J2266" t="s" s="2">
        <v>22</v>
      </c>
      <c r="K2266" t="s" s="2">
        <v>4434</v>
      </c>
      <c r="L2266" t="s" s="2">
        <v>2931</v>
      </c>
      <c r="M2266" s="5">
        <v>612282.27</v>
      </c>
      <c r="N2266" s="5">
        <v>6086082.68</v>
      </c>
      <c r="O2266" t="s" s="2">
        <v>305</v>
      </c>
      <c r="P2266" t="s" s="2">
        <v>4435</v>
      </c>
      <c r="Q2266" t="s" s="2">
        <v>4046</v>
      </c>
      <c r="R2266" t="s" s="2">
        <f>_xlfn.IFERROR(INDEX('model_byCAP'!$D$2:$D$377,MATCH(Q2266,'model_byCAP'!$A$2:$A$377,0)),0)</f>
        <v>4047</v>
      </c>
    </row>
    <row r="2267" ht="15.35" customHeight="1">
      <c r="A2267" t="s" s="2">
        <v>4436</v>
      </c>
      <c r="B2267" s="4">
        <v>37986</v>
      </c>
      <c r="C2267" s="5">
        <v>750</v>
      </c>
      <c r="D2267" s="5">
        <v>48</v>
      </c>
      <c r="E2267" s="5">
        <v>50</v>
      </c>
      <c r="F2267" t="s" s="2">
        <v>1746</v>
      </c>
      <c r="G2267" t="s" s="2">
        <v>4044</v>
      </c>
      <c r="H2267" s="5">
        <v>482</v>
      </c>
      <c r="I2267" t="s" s="2">
        <v>1523</v>
      </c>
      <c r="J2267" t="s" s="2">
        <v>22</v>
      </c>
      <c r="K2267" t="s" s="2">
        <v>4437</v>
      </c>
      <c r="L2267" t="s" s="2">
        <v>481</v>
      </c>
      <c r="M2267" s="5">
        <v>620388.8199999999</v>
      </c>
      <c r="N2267" s="5">
        <v>6106911.05</v>
      </c>
      <c r="O2267" t="s" s="2">
        <v>305</v>
      </c>
      <c r="P2267" s="5">
        <v>37436110</v>
      </c>
      <c r="Q2267" t="s" s="2">
        <v>4046</v>
      </c>
      <c r="R2267" t="s" s="2">
        <f>_xlfn.IFERROR(INDEX('model_byCAP'!$D$2:$D$377,MATCH(Q2267,'model_byCAP'!$A$2:$A$377,0)),0)</f>
        <v>4047</v>
      </c>
    </row>
    <row r="2268" ht="15.35" customHeight="1">
      <c r="A2268" t="s" s="2">
        <v>4438</v>
      </c>
      <c r="B2268" s="4">
        <v>36509</v>
      </c>
      <c r="C2268" s="5">
        <v>750</v>
      </c>
      <c r="D2268" s="5">
        <v>48.2</v>
      </c>
      <c r="E2268" s="5">
        <v>45</v>
      </c>
      <c r="F2268" t="s" s="2">
        <v>1746</v>
      </c>
      <c r="G2268" t="s" s="2">
        <v>4044</v>
      </c>
      <c r="H2268" s="5">
        <v>510</v>
      </c>
      <c r="I2268" t="s" s="2">
        <v>3049</v>
      </c>
      <c r="J2268" t="s" s="2">
        <v>22</v>
      </c>
      <c r="K2268" t="s" s="2">
        <v>4439</v>
      </c>
      <c r="L2268" s="5">
        <v>109</v>
      </c>
      <c r="M2268" s="5">
        <v>517866.46</v>
      </c>
      <c r="N2268" s="5">
        <v>6132498.72</v>
      </c>
      <c r="O2268" t="s" s="2">
        <v>305</v>
      </c>
      <c r="P2268" s="5">
        <v>200294</v>
      </c>
      <c r="Q2268" t="s" s="2">
        <v>4046</v>
      </c>
      <c r="R2268" t="s" s="2">
        <f>_xlfn.IFERROR(INDEX('model_byCAP'!$D$2:$D$377,MATCH(Q2268,'model_byCAP'!$A$2:$A$377,0)),0)</f>
        <v>4047</v>
      </c>
    </row>
    <row r="2269" ht="15.35" customHeight="1">
      <c r="A2269" t="s" s="2">
        <v>4440</v>
      </c>
      <c r="B2269" s="4">
        <v>36082</v>
      </c>
      <c r="C2269" s="5">
        <v>750</v>
      </c>
      <c r="D2269" s="5">
        <v>48</v>
      </c>
      <c r="E2269" s="5">
        <v>55</v>
      </c>
      <c r="F2269" t="s" s="2">
        <v>1746</v>
      </c>
      <c r="G2269" t="s" s="2">
        <v>4044</v>
      </c>
      <c r="H2269" s="5">
        <v>530</v>
      </c>
      <c r="I2269" t="s" s="2">
        <v>1357</v>
      </c>
      <c r="J2269" t="s" s="2">
        <v>22</v>
      </c>
      <c r="K2269" t="s" s="2">
        <v>4441</v>
      </c>
      <c r="L2269" t="s" s="2">
        <v>4399</v>
      </c>
      <c r="M2269" s="5">
        <v>495003.38</v>
      </c>
      <c r="N2269" s="5">
        <v>6192977.21</v>
      </c>
      <c r="O2269" t="s" s="2">
        <v>305</v>
      </c>
      <c r="P2269" s="5">
        <v>16075</v>
      </c>
      <c r="Q2269" t="s" s="2">
        <v>4046</v>
      </c>
      <c r="R2269" t="s" s="2">
        <f>_xlfn.IFERROR(INDEX('model_byCAP'!$D$2:$D$377,MATCH(Q2269,'model_byCAP'!$A$2:$A$377,0)),0)</f>
        <v>4047</v>
      </c>
    </row>
    <row r="2270" ht="15.35" customHeight="1">
      <c r="A2270" t="s" s="2">
        <v>4442</v>
      </c>
      <c r="B2270" s="4">
        <v>36364</v>
      </c>
      <c r="C2270" s="5">
        <v>750</v>
      </c>
      <c r="D2270" s="5">
        <v>48</v>
      </c>
      <c r="E2270" s="5">
        <v>55</v>
      </c>
      <c r="F2270" t="s" s="2">
        <v>1746</v>
      </c>
      <c r="G2270" t="s" s="2">
        <v>4044</v>
      </c>
      <c r="H2270" s="5">
        <v>530</v>
      </c>
      <c r="I2270" t="s" s="2">
        <v>1357</v>
      </c>
      <c r="J2270" t="s" s="2">
        <v>22</v>
      </c>
      <c r="K2270" t="s" s="2">
        <v>4441</v>
      </c>
      <c r="L2270" t="s" s="2">
        <v>1363</v>
      </c>
      <c r="M2270" s="5">
        <v>494956.64</v>
      </c>
      <c r="N2270" s="5">
        <v>6193119.75</v>
      </c>
      <c r="O2270" t="s" s="2">
        <v>305</v>
      </c>
      <c r="P2270" s="5">
        <v>16075</v>
      </c>
      <c r="Q2270" t="s" s="2">
        <v>4046</v>
      </c>
      <c r="R2270" t="s" s="2">
        <f>_xlfn.IFERROR(INDEX('model_byCAP'!$D$2:$D$377,MATCH(Q2270,'model_byCAP'!$A$2:$A$377,0)),0)</f>
        <v>4047</v>
      </c>
    </row>
    <row r="2271" ht="15.35" customHeight="1">
      <c r="A2271" t="s" s="2">
        <v>4443</v>
      </c>
      <c r="B2271" s="4">
        <v>36126</v>
      </c>
      <c r="C2271" s="5">
        <v>750</v>
      </c>
      <c r="D2271" s="5">
        <v>48</v>
      </c>
      <c r="E2271" s="5">
        <v>46</v>
      </c>
      <c r="F2271" t="s" s="2">
        <v>1746</v>
      </c>
      <c r="G2271" t="s" s="2">
        <v>4151</v>
      </c>
      <c r="H2271" s="5">
        <v>530</v>
      </c>
      <c r="I2271" t="s" s="2">
        <v>1357</v>
      </c>
      <c r="J2271" t="s" s="2">
        <v>22</v>
      </c>
      <c r="K2271" t="s" s="2">
        <v>4444</v>
      </c>
      <c r="L2271" t="s" s="2">
        <v>1000</v>
      </c>
      <c r="M2271" s="5">
        <v>491991.21</v>
      </c>
      <c r="N2271" s="5">
        <v>6175888.57</v>
      </c>
      <c r="O2271" t="s" s="2">
        <v>305</v>
      </c>
      <c r="P2271" s="5">
        <v>61529</v>
      </c>
      <c r="Q2271" t="s" s="2">
        <v>4154</v>
      </c>
      <c r="R2271" t="s" s="2">
        <f>_xlfn.IFERROR(INDEX('model_byCAP'!$D$2:$D$377,MATCH(Q2271,'model_byCAP'!$A$2:$A$377,0)),0)</f>
        <v>4047</v>
      </c>
    </row>
    <row r="2272" ht="15.35" customHeight="1">
      <c r="A2272" t="s" s="2">
        <v>4445</v>
      </c>
      <c r="B2272" s="4">
        <v>36090</v>
      </c>
      <c r="C2272" s="5">
        <v>750</v>
      </c>
      <c r="D2272" s="5">
        <v>48</v>
      </c>
      <c r="E2272" s="5">
        <v>46</v>
      </c>
      <c r="F2272" t="s" s="2">
        <v>1746</v>
      </c>
      <c r="G2272" t="s" s="2">
        <v>4151</v>
      </c>
      <c r="H2272" s="5">
        <v>530</v>
      </c>
      <c r="I2272" t="s" s="2">
        <v>1357</v>
      </c>
      <c r="J2272" t="s" s="2">
        <v>22</v>
      </c>
      <c r="K2272" t="s" s="2">
        <v>4444</v>
      </c>
      <c r="L2272" t="s" s="2">
        <v>3175</v>
      </c>
      <c r="M2272" s="5">
        <v>491990.81</v>
      </c>
      <c r="N2272" s="5">
        <v>6175720.73</v>
      </c>
      <c r="O2272" t="s" s="2">
        <v>305</v>
      </c>
      <c r="P2272" s="5">
        <v>61530</v>
      </c>
      <c r="Q2272" t="s" s="2">
        <v>4154</v>
      </c>
      <c r="R2272" t="s" s="2">
        <f>_xlfn.IFERROR(INDEX('model_byCAP'!$D$2:$D$377,MATCH(Q2272,'model_byCAP'!$A$2:$A$377,0)),0)</f>
        <v>4047</v>
      </c>
    </row>
    <row r="2273" ht="15.35" customHeight="1">
      <c r="A2273" t="s" s="2">
        <v>4446</v>
      </c>
      <c r="B2273" s="4">
        <v>36434</v>
      </c>
      <c r="C2273" s="5">
        <v>750</v>
      </c>
      <c r="D2273" s="5">
        <v>44</v>
      </c>
      <c r="E2273" s="5">
        <v>50</v>
      </c>
      <c r="F2273" t="s" s="2">
        <v>1746</v>
      </c>
      <c r="G2273" t="s" s="2">
        <v>4136</v>
      </c>
      <c r="H2273" s="5">
        <v>530</v>
      </c>
      <c r="I2273" t="s" s="2">
        <v>1357</v>
      </c>
      <c r="J2273" t="s" s="2">
        <v>22</v>
      </c>
      <c r="K2273" t="s" s="2">
        <v>4447</v>
      </c>
      <c r="L2273" t="s" s="2">
        <v>3422</v>
      </c>
      <c r="M2273" s="5">
        <v>488143.07</v>
      </c>
      <c r="N2273" s="5">
        <v>6180635.82</v>
      </c>
      <c r="O2273" t="s" s="2">
        <v>305</v>
      </c>
      <c r="P2273" s="5">
        <v>62162</v>
      </c>
      <c r="Q2273" t="s" s="2">
        <v>4137</v>
      </c>
      <c r="R2273" t="s" s="2">
        <f>_xlfn.IFERROR(INDEX('model_byCAP'!$D$2:$D$377,MATCH(Q2273,'model_byCAP'!$A$2:$A$377,0)),0)</f>
        <v>4042</v>
      </c>
    </row>
    <row r="2274" ht="15.35" customHeight="1">
      <c r="A2274" t="s" s="2">
        <v>4448</v>
      </c>
      <c r="B2274" s="4">
        <v>35399</v>
      </c>
      <c r="C2274" s="5">
        <v>750</v>
      </c>
      <c r="D2274" s="5">
        <v>44</v>
      </c>
      <c r="E2274" s="5">
        <v>46</v>
      </c>
      <c r="F2274" t="s" s="2">
        <v>1746</v>
      </c>
      <c r="G2274" t="s" s="2">
        <v>4050</v>
      </c>
      <c r="H2274" s="5">
        <v>550</v>
      </c>
      <c r="I2274" t="s" s="2">
        <v>526</v>
      </c>
      <c r="J2274" t="s" s="2">
        <v>22</v>
      </c>
      <c r="K2274" t="s" s="2">
        <v>4449</v>
      </c>
      <c r="L2274" t="s" s="2">
        <v>4450</v>
      </c>
      <c r="M2274" s="5">
        <v>500797.42</v>
      </c>
      <c r="N2274" s="5">
        <v>6107787.9</v>
      </c>
      <c r="O2274" t="s" s="2">
        <v>305</v>
      </c>
      <c r="P2274" s="5">
        <v>22860</v>
      </c>
      <c r="Q2274" t="s" s="2">
        <v>4053</v>
      </c>
      <c r="R2274" t="s" s="2">
        <f>_xlfn.IFERROR(INDEX('model_byCAP'!$D$2:$D$377,MATCH(Q2274,'model_byCAP'!$A$2:$A$377,0)),0)</f>
        <v>2955</v>
      </c>
    </row>
    <row r="2275" ht="15.35" customHeight="1">
      <c r="A2275" t="s" s="2">
        <v>4451</v>
      </c>
      <c r="B2275" s="4">
        <v>35345</v>
      </c>
      <c r="C2275" s="5">
        <v>750</v>
      </c>
      <c r="D2275" s="5">
        <v>43</v>
      </c>
      <c r="E2275" s="5">
        <v>46</v>
      </c>
      <c r="F2275" t="s" s="2">
        <v>1746</v>
      </c>
      <c r="G2275" t="s" s="2">
        <v>4050</v>
      </c>
      <c r="H2275" s="5">
        <v>550</v>
      </c>
      <c r="I2275" t="s" s="2">
        <v>526</v>
      </c>
      <c r="J2275" t="s" s="2">
        <v>22</v>
      </c>
      <c r="K2275" t="s" s="2">
        <v>4449</v>
      </c>
      <c r="L2275" s="5">
        <v>208</v>
      </c>
      <c r="M2275" s="5">
        <v>500450.47</v>
      </c>
      <c r="N2275" s="5">
        <v>6107995.03</v>
      </c>
      <c r="O2275" t="s" s="2">
        <v>305</v>
      </c>
      <c r="P2275" s="5">
        <v>22860</v>
      </c>
      <c r="Q2275" t="s" s="2">
        <v>4053</v>
      </c>
      <c r="R2275" t="s" s="2">
        <f>_xlfn.IFERROR(INDEX('model_byCAP'!$D$2:$D$377,MATCH(Q2275,'model_byCAP'!$A$2:$A$377,0)),0)</f>
        <v>2955</v>
      </c>
    </row>
    <row r="2276" ht="15.35" customHeight="1">
      <c r="A2276" t="s" s="2">
        <v>4452</v>
      </c>
      <c r="B2276" s="4">
        <v>35345</v>
      </c>
      <c r="C2276" s="5">
        <v>750</v>
      </c>
      <c r="D2276" s="5">
        <v>44</v>
      </c>
      <c r="E2276" s="5">
        <v>46</v>
      </c>
      <c r="F2276" t="s" s="2">
        <v>1746</v>
      </c>
      <c r="G2276" t="s" s="2">
        <v>4050</v>
      </c>
      <c r="H2276" s="5">
        <v>550</v>
      </c>
      <c r="I2276" t="s" s="2">
        <v>526</v>
      </c>
      <c r="J2276" t="s" s="2">
        <v>22</v>
      </c>
      <c r="K2276" t="s" s="2">
        <v>4449</v>
      </c>
      <c r="L2276" s="5">
        <v>207</v>
      </c>
      <c r="M2276" s="5">
        <v>500624.19</v>
      </c>
      <c r="N2276" s="5">
        <v>6107891.54</v>
      </c>
      <c r="O2276" t="s" s="2">
        <v>305</v>
      </c>
      <c r="P2276" s="5">
        <v>22860</v>
      </c>
      <c r="Q2276" t="s" s="2">
        <v>4053</v>
      </c>
      <c r="R2276" t="s" s="2">
        <f>_xlfn.IFERROR(INDEX('model_byCAP'!$D$2:$D$377,MATCH(Q2276,'model_byCAP'!$A$2:$A$377,0)),0)</f>
        <v>2955</v>
      </c>
    </row>
    <row r="2277" ht="15.35" customHeight="1">
      <c r="A2277" t="s" s="2">
        <v>4453</v>
      </c>
      <c r="B2277" s="4">
        <v>35682</v>
      </c>
      <c r="C2277" s="5">
        <v>750</v>
      </c>
      <c r="D2277" s="5">
        <v>48</v>
      </c>
      <c r="E2277" s="5">
        <v>45</v>
      </c>
      <c r="F2277" t="s" s="2">
        <v>1746</v>
      </c>
      <c r="G2277" t="s" s="2">
        <v>4044</v>
      </c>
      <c r="H2277" s="5">
        <v>550</v>
      </c>
      <c r="I2277" t="s" s="2">
        <v>526</v>
      </c>
      <c r="J2277" t="s" s="2">
        <v>22</v>
      </c>
      <c r="K2277" t="s" s="2">
        <v>3101</v>
      </c>
      <c r="L2277" s="5">
        <v>316</v>
      </c>
      <c r="M2277" s="5">
        <v>497331.1</v>
      </c>
      <c r="N2277" s="5">
        <v>6110054.84</v>
      </c>
      <c r="O2277" t="s" s="2">
        <v>305</v>
      </c>
      <c r="P2277" s="5">
        <v>23028</v>
      </c>
      <c r="Q2277" t="s" s="2">
        <v>4046</v>
      </c>
      <c r="R2277" t="s" s="2">
        <f>_xlfn.IFERROR(INDEX('model_byCAP'!$D$2:$D$377,MATCH(Q2277,'model_byCAP'!$A$2:$A$377,0)),0)</f>
        <v>4047</v>
      </c>
    </row>
    <row r="2278" ht="15.35" customHeight="1">
      <c r="A2278" t="s" s="2">
        <v>4454</v>
      </c>
      <c r="B2278" s="4">
        <v>35440</v>
      </c>
      <c r="C2278" s="5">
        <v>750</v>
      </c>
      <c r="D2278" s="5">
        <v>44</v>
      </c>
      <c r="E2278" s="5">
        <v>46</v>
      </c>
      <c r="F2278" t="s" s="2">
        <v>1746</v>
      </c>
      <c r="G2278" t="s" s="2">
        <v>4050</v>
      </c>
      <c r="H2278" s="5">
        <v>550</v>
      </c>
      <c r="I2278" t="s" s="2">
        <v>526</v>
      </c>
      <c r="J2278" t="s" s="2">
        <v>22</v>
      </c>
      <c r="K2278" t="s" s="2">
        <v>4455</v>
      </c>
      <c r="L2278" s="5">
        <v>66</v>
      </c>
      <c r="M2278" s="5">
        <v>491265.77</v>
      </c>
      <c r="N2278" s="5">
        <v>6105280.03</v>
      </c>
      <c r="O2278" t="s" s="2">
        <v>305</v>
      </c>
      <c r="P2278" s="5">
        <v>32354</v>
      </c>
      <c r="Q2278" t="s" s="2">
        <v>4053</v>
      </c>
      <c r="R2278" t="s" s="2">
        <f>_xlfn.IFERROR(INDEX('model_byCAP'!$D$2:$D$377,MATCH(Q2278,'model_byCAP'!$A$2:$A$377,0)),0)</f>
        <v>2955</v>
      </c>
    </row>
    <row r="2279" ht="15.35" customHeight="1">
      <c r="A2279" t="s" s="2">
        <v>4456</v>
      </c>
      <c r="B2279" s="4">
        <v>35440</v>
      </c>
      <c r="C2279" s="5">
        <v>750</v>
      </c>
      <c r="D2279" s="5">
        <v>44</v>
      </c>
      <c r="E2279" s="5">
        <v>46</v>
      </c>
      <c r="F2279" t="s" s="2">
        <v>1746</v>
      </c>
      <c r="G2279" t="s" s="2">
        <v>4050</v>
      </c>
      <c r="H2279" s="5">
        <v>550</v>
      </c>
      <c r="I2279" t="s" s="2">
        <v>526</v>
      </c>
      <c r="J2279" t="s" s="2">
        <v>22</v>
      </c>
      <c r="K2279" t="s" s="2">
        <v>4455</v>
      </c>
      <c r="L2279" s="5">
        <v>66</v>
      </c>
      <c r="M2279" s="5">
        <v>491373.81</v>
      </c>
      <c r="N2279" s="5">
        <v>6105422.28</v>
      </c>
      <c r="O2279" t="s" s="2">
        <v>305</v>
      </c>
      <c r="P2279" s="5">
        <v>32355</v>
      </c>
      <c r="Q2279" t="s" s="2">
        <v>4053</v>
      </c>
      <c r="R2279" t="s" s="2">
        <f>_xlfn.IFERROR(INDEX('model_byCAP'!$D$2:$D$377,MATCH(Q2279,'model_byCAP'!$A$2:$A$377,0)),0)</f>
        <v>2955</v>
      </c>
    </row>
    <row r="2280" ht="15.35" customHeight="1">
      <c r="A2280" t="s" s="2">
        <v>4457</v>
      </c>
      <c r="B2280" s="4">
        <v>35452</v>
      </c>
      <c r="C2280" s="5">
        <v>750</v>
      </c>
      <c r="D2280" s="5">
        <v>44</v>
      </c>
      <c r="E2280" s="5">
        <v>46</v>
      </c>
      <c r="F2280" t="s" s="2">
        <v>1746</v>
      </c>
      <c r="G2280" t="s" s="2">
        <v>4050</v>
      </c>
      <c r="H2280" s="5">
        <v>550</v>
      </c>
      <c r="I2280" t="s" s="2">
        <v>526</v>
      </c>
      <c r="J2280" t="s" s="2">
        <v>22</v>
      </c>
      <c r="K2280" t="s" s="2">
        <v>4458</v>
      </c>
      <c r="L2280" s="5">
        <v>693</v>
      </c>
      <c r="M2280" s="5">
        <v>485119.12</v>
      </c>
      <c r="N2280" s="5">
        <v>6117804.94</v>
      </c>
      <c r="O2280" t="s" s="2">
        <v>305</v>
      </c>
      <c r="P2280" s="5">
        <v>32356</v>
      </c>
      <c r="Q2280" t="s" s="2">
        <v>4053</v>
      </c>
      <c r="R2280" t="s" s="2">
        <f>_xlfn.IFERROR(INDEX('model_byCAP'!$D$2:$D$377,MATCH(Q2280,'model_byCAP'!$A$2:$A$377,0)),0)</f>
        <v>2955</v>
      </c>
    </row>
    <row r="2281" ht="15.35" customHeight="1">
      <c r="A2281" t="s" s="2">
        <v>4459</v>
      </c>
      <c r="B2281" s="4">
        <v>35452</v>
      </c>
      <c r="C2281" s="5">
        <v>750</v>
      </c>
      <c r="D2281" s="5">
        <v>43</v>
      </c>
      <c r="E2281" s="5">
        <v>46</v>
      </c>
      <c r="F2281" t="s" s="2">
        <v>1746</v>
      </c>
      <c r="G2281" t="s" s="2">
        <v>4050</v>
      </c>
      <c r="H2281" s="5">
        <v>550</v>
      </c>
      <c r="I2281" t="s" s="2">
        <v>526</v>
      </c>
      <c r="J2281" t="s" s="2">
        <v>22</v>
      </c>
      <c r="K2281" t="s" s="2">
        <v>4458</v>
      </c>
      <c r="L2281" s="5">
        <v>396</v>
      </c>
      <c r="M2281" s="5">
        <v>485431.15</v>
      </c>
      <c r="N2281" s="5">
        <v>6117757.43</v>
      </c>
      <c r="O2281" t="s" s="2">
        <v>305</v>
      </c>
      <c r="P2281" s="5">
        <v>32357</v>
      </c>
      <c r="Q2281" t="s" s="2">
        <v>4053</v>
      </c>
      <c r="R2281" t="s" s="2">
        <f>_xlfn.IFERROR(INDEX('model_byCAP'!$D$2:$D$377,MATCH(Q2281,'model_byCAP'!$A$2:$A$377,0)),0)</f>
        <v>2955</v>
      </c>
    </row>
    <row r="2282" ht="15.35" customHeight="1">
      <c r="A2282" t="s" s="2">
        <v>4460</v>
      </c>
      <c r="B2282" s="4">
        <v>35557</v>
      </c>
      <c r="C2282" s="5">
        <v>750</v>
      </c>
      <c r="D2282" s="5">
        <v>44</v>
      </c>
      <c r="E2282" s="5">
        <v>46</v>
      </c>
      <c r="F2282" t="s" s="2">
        <v>1746</v>
      </c>
      <c r="G2282" t="s" s="2">
        <v>4050</v>
      </c>
      <c r="H2282" s="5">
        <v>550</v>
      </c>
      <c r="I2282" t="s" s="2">
        <v>526</v>
      </c>
      <c r="J2282" t="s" s="2">
        <v>22</v>
      </c>
      <c r="K2282" t="s" s="2">
        <v>4461</v>
      </c>
      <c r="L2282" s="5">
        <v>646</v>
      </c>
      <c r="M2282" s="5">
        <v>485070.23</v>
      </c>
      <c r="N2282" s="5">
        <v>6119560.44</v>
      </c>
      <c r="O2282" t="s" s="2">
        <v>305</v>
      </c>
      <c r="P2282" s="5">
        <v>32514</v>
      </c>
      <c r="Q2282" t="s" s="2">
        <v>4053</v>
      </c>
      <c r="R2282" t="s" s="2">
        <f>_xlfn.IFERROR(INDEX('model_byCAP'!$D$2:$D$377,MATCH(Q2282,'model_byCAP'!$A$2:$A$377,0)),0)</f>
        <v>2955</v>
      </c>
    </row>
    <row r="2283" ht="15.35" customHeight="1">
      <c r="A2283" t="s" s="2">
        <v>4462</v>
      </c>
      <c r="B2283" s="4">
        <v>35552</v>
      </c>
      <c r="C2283" s="5">
        <v>750</v>
      </c>
      <c r="D2283" s="5">
        <v>44</v>
      </c>
      <c r="E2283" s="5">
        <v>46</v>
      </c>
      <c r="F2283" t="s" s="2">
        <v>1746</v>
      </c>
      <c r="G2283" t="s" s="2">
        <v>4050</v>
      </c>
      <c r="H2283" s="5">
        <v>550</v>
      </c>
      <c r="I2283" t="s" s="2">
        <v>526</v>
      </c>
      <c r="J2283" t="s" s="2">
        <v>22</v>
      </c>
      <c r="K2283" t="s" s="2">
        <v>4463</v>
      </c>
      <c r="L2283" s="5">
        <v>252</v>
      </c>
      <c r="M2283" s="5">
        <v>498174.79</v>
      </c>
      <c r="N2283" s="5">
        <v>6089685.99</v>
      </c>
      <c r="O2283" t="s" s="2">
        <v>305</v>
      </c>
      <c r="P2283" s="5">
        <v>32515</v>
      </c>
      <c r="Q2283" t="s" s="2">
        <v>4053</v>
      </c>
      <c r="R2283" t="s" s="2">
        <f>_xlfn.IFERROR(INDEX('model_byCAP'!$D$2:$D$377,MATCH(Q2283,'model_byCAP'!$A$2:$A$377,0)),0)</f>
        <v>2955</v>
      </c>
    </row>
    <row r="2284" ht="15.35" customHeight="1">
      <c r="A2284" t="s" s="2">
        <v>4464</v>
      </c>
      <c r="B2284" s="4">
        <v>35566</v>
      </c>
      <c r="C2284" s="5">
        <v>750</v>
      </c>
      <c r="D2284" s="5">
        <v>44</v>
      </c>
      <c r="E2284" s="5">
        <v>46</v>
      </c>
      <c r="F2284" t="s" s="2">
        <v>1746</v>
      </c>
      <c r="G2284" t="s" s="2">
        <v>4050</v>
      </c>
      <c r="H2284" s="5">
        <v>550</v>
      </c>
      <c r="I2284" t="s" s="2">
        <v>526</v>
      </c>
      <c r="J2284" t="s" s="2">
        <v>22</v>
      </c>
      <c r="K2284" t="s" s="2">
        <v>4465</v>
      </c>
      <c r="L2284" s="5">
        <v>1</v>
      </c>
      <c r="M2284" s="5">
        <v>490857.3</v>
      </c>
      <c r="N2284" s="5">
        <v>6103054.45</v>
      </c>
      <c r="O2284" t="s" s="2">
        <v>305</v>
      </c>
      <c r="P2284" s="5">
        <v>32517</v>
      </c>
      <c r="Q2284" t="s" s="2">
        <v>4053</v>
      </c>
      <c r="R2284" t="s" s="2">
        <f>_xlfn.IFERROR(INDEX('model_byCAP'!$D$2:$D$377,MATCH(Q2284,'model_byCAP'!$A$2:$A$377,0)),0)</f>
        <v>2955</v>
      </c>
    </row>
    <row r="2285" ht="15.35" customHeight="1">
      <c r="A2285" t="s" s="2">
        <v>4466</v>
      </c>
      <c r="B2285" s="4">
        <v>35559</v>
      </c>
      <c r="C2285" s="5">
        <v>750</v>
      </c>
      <c r="D2285" s="5">
        <v>44</v>
      </c>
      <c r="E2285" s="5">
        <v>46</v>
      </c>
      <c r="F2285" t="s" s="2">
        <v>1746</v>
      </c>
      <c r="G2285" t="s" s="2">
        <v>4050</v>
      </c>
      <c r="H2285" s="5">
        <v>550</v>
      </c>
      <c r="I2285" t="s" s="2">
        <v>526</v>
      </c>
      <c r="J2285" t="s" s="2">
        <v>22</v>
      </c>
      <c r="K2285" t="s" s="2">
        <v>4467</v>
      </c>
      <c r="L2285" s="5">
        <v>14</v>
      </c>
      <c r="M2285" s="5">
        <v>490571.51</v>
      </c>
      <c r="N2285" s="5">
        <v>6102962.6</v>
      </c>
      <c r="O2285" t="s" s="2">
        <v>305</v>
      </c>
      <c r="P2285" s="5">
        <v>32518</v>
      </c>
      <c r="Q2285" t="s" s="2">
        <v>4053</v>
      </c>
      <c r="R2285" t="s" s="2">
        <f>_xlfn.IFERROR(INDEX('model_byCAP'!$D$2:$D$377,MATCH(Q2285,'model_byCAP'!$A$2:$A$377,0)),0)</f>
        <v>2955</v>
      </c>
    </row>
    <row r="2286" ht="15.35" customHeight="1">
      <c r="A2286" t="s" s="2">
        <v>4468</v>
      </c>
      <c r="B2286" s="4">
        <v>35607</v>
      </c>
      <c r="C2286" s="5">
        <v>750</v>
      </c>
      <c r="D2286" s="5">
        <v>44</v>
      </c>
      <c r="E2286" s="5">
        <v>46</v>
      </c>
      <c r="F2286" t="s" s="2">
        <v>1746</v>
      </c>
      <c r="G2286" t="s" s="2">
        <v>4050</v>
      </c>
      <c r="H2286" s="5">
        <v>550</v>
      </c>
      <c r="I2286" t="s" s="2">
        <v>526</v>
      </c>
      <c r="J2286" t="s" s="2">
        <v>22</v>
      </c>
      <c r="K2286" t="s" s="2">
        <v>4469</v>
      </c>
      <c r="L2286" s="5">
        <v>3</v>
      </c>
      <c r="M2286" s="5">
        <v>491092.94</v>
      </c>
      <c r="N2286" s="5">
        <v>6119806.52</v>
      </c>
      <c r="O2286" t="s" s="2">
        <v>305</v>
      </c>
      <c r="P2286" s="5">
        <v>32520</v>
      </c>
      <c r="Q2286" t="s" s="2">
        <v>4053</v>
      </c>
      <c r="R2286" t="s" s="2">
        <f>_xlfn.IFERROR(INDEX('model_byCAP'!$D$2:$D$377,MATCH(Q2286,'model_byCAP'!$A$2:$A$377,0)),0)</f>
        <v>2955</v>
      </c>
    </row>
    <row r="2287" ht="15.35" customHeight="1">
      <c r="A2287" t="s" s="2">
        <v>4470</v>
      </c>
      <c r="B2287" s="4">
        <v>35607</v>
      </c>
      <c r="C2287" s="5">
        <v>750</v>
      </c>
      <c r="D2287" s="5">
        <v>44</v>
      </c>
      <c r="E2287" s="5">
        <v>46</v>
      </c>
      <c r="F2287" t="s" s="2">
        <v>1746</v>
      </c>
      <c r="G2287" t="s" s="2">
        <v>4050</v>
      </c>
      <c r="H2287" s="5">
        <v>550</v>
      </c>
      <c r="I2287" t="s" s="2">
        <v>526</v>
      </c>
      <c r="J2287" t="s" s="2">
        <v>22</v>
      </c>
      <c r="K2287" t="s" s="2">
        <v>4469</v>
      </c>
      <c r="L2287" s="5">
        <v>83</v>
      </c>
      <c r="M2287" s="5">
        <v>491085.45</v>
      </c>
      <c r="N2287" s="5">
        <v>6119657.47</v>
      </c>
      <c r="O2287" t="s" s="2">
        <v>305</v>
      </c>
      <c r="P2287" s="5">
        <v>32521</v>
      </c>
      <c r="Q2287" t="s" s="2">
        <v>4053</v>
      </c>
      <c r="R2287" t="s" s="2">
        <f>_xlfn.IFERROR(INDEX('model_byCAP'!$D$2:$D$377,MATCH(Q2287,'model_byCAP'!$A$2:$A$377,0)),0)</f>
        <v>2955</v>
      </c>
    </row>
    <row r="2288" ht="15.35" customHeight="1">
      <c r="A2288" t="s" s="2">
        <v>4471</v>
      </c>
      <c r="B2288" s="4">
        <v>35607</v>
      </c>
      <c r="C2288" s="5">
        <v>750</v>
      </c>
      <c r="D2288" s="5">
        <v>48</v>
      </c>
      <c r="E2288" s="5">
        <v>46</v>
      </c>
      <c r="F2288" t="s" s="2">
        <v>1746</v>
      </c>
      <c r="G2288" t="s" s="2">
        <v>4050</v>
      </c>
      <c r="H2288" s="5">
        <v>550</v>
      </c>
      <c r="I2288" t="s" s="2">
        <v>526</v>
      </c>
      <c r="J2288" t="s" s="2">
        <v>22</v>
      </c>
      <c r="K2288" t="s" s="2">
        <v>4469</v>
      </c>
      <c r="L2288" s="5">
        <v>349</v>
      </c>
      <c r="M2288" s="5">
        <v>491077.72</v>
      </c>
      <c r="N2288" s="5">
        <v>6119508.07</v>
      </c>
      <c r="O2288" t="s" s="2">
        <v>305</v>
      </c>
      <c r="P2288" s="5">
        <v>32522</v>
      </c>
      <c r="Q2288" t="s" s="2">
        <v>4053</v>
      </c>
      <c r="R2288" t="s" s="2">
        <f>_xlfn.IFERROR(INDEX('model_byCAP'!$D$2:$D$377,MATCH(Q2288,'model_byCAP'!$A$2:$A$377,0)),0)</f>
        <v>2955</v>
      </c>
    </row>
    <row r="2289" ht="15.35" customHeight="1">
      <c r="A2289" t="s" s="2">
        <v>4472</v>
      </c>
      <c r="B2289" s="4">
        <v>35605</v>
      </c>
      <c r="C2289" s="5">
        <v>750</v>
      </c>
      <c r="D2289" s="5">
        <v>48</v>
      </c>
      <c r="E2289" s="5">
        <v>42</v>
      </c>
      <c r="F2289" t="s" s="2">
        <v>1746</v>
      </c>
      <c r="G2289" t="s" s="2">
        <v>4050</v>
      </c>
      <c r="H2289" s="5">
        <v>550</v>
      </c>
      <c r="I2289" t="s" s="2">
        <v>526</v>
      </c>
      <c r="J2289" t="s" s="2">
        <v>22</v>
      </c>
      <c r="K2289" t="s" s="2">
        <v>526</v>
      </c>
      <c r="L2289" s="5">
        <v>109</v>
      </c>
      <c r="M2289" s="5">
        <v>492689.61</v>
      </c>
      <c r="N2289" s="5">
        <v>6089990.64</v>
      </c>
      <c r="O2289" t="s" s="2">
        <v>305</v>
      </c>
      <c r="P2289" s="5">
        <v>32581</v>
      </c>
      <c r="Q2289" t="s" s="2">
        <v>4053</v>
      </c>
      <c r="R2289" t="s" s="2">
        <f>_xlfn.IFERROR(INDEX('model_byCAP'!$D$2:$D$377,MATCH(Q2289,'model_byCAP'!$A$2:$A$377,0)),0)</f>
        <v>2955</v>
      </c>
    </row>
    <row r="2290" ht="15.35" customHeight="1">
      <c r="A2290" t="s" s="2">
        <v>4473</v>
      </c>
      <c r="B2290" s="4">
        <v>35605</v>
      </c>
      <c r="C2290" s="5">
        <v>750</v>
      </c>
      <c r="D2290" s="5">
        <v>44</v>
      </c>
      <c r="E2290" s="5">
        <v>47</v>
      </c>
      <c r="F2290" t="s" s="2">
        <v>1746</v>
      </c>
      <c r="G2290" t="s" s="2">
        <v>4050</v>
      </c>
      <c r="H2290" s="5">
        <v>550</v>
      </c>
      <c r="I2290" t="s" s="2">
        <v>526</v>
      </c>
      <c r="J2290" t="s" s="2">
        <v>22</v>
      </c>
      <c r="K2290" t="s" s="2">
        <v>526</v>
      </c>
      <c r="L2290" s="5">
        <v>19</v>
      </c>
      <c r="M2290" s="5">
        <v>497802.2</v>
      </c>
      <c r="N2290" s="5">
        <v>6086091</v>
      </c>
      <c r="O2290" t="s" s="2">
        <v>1492</v>
      </c>
      <c r="P2290" s="5">
        <v>32582</v>
      </c>
      <c r="Q2290" t="s" s="2">
        <v>4053</v>
      </c>
      <c r="R2290" t="s" s="2">
        <f>_xlfn.IFERROR(INDEX('model_byCAP'!$D$2:$D$377,MATCH(Q2290,'model_byCAP'!$A$2:$A$377,0)),0)</f>
        <v>2955</v>
      </c>
    </row>
    <row r="2291" ht="15.35" customHeight="1">
      <c r="A2291" t="s" s="2">
        <v>4474</v>
      </c>
      <c r="B2291" s="4">
        <v>35873</v>
      </c>
      <c r="C2291" s="5">
        <v>750</v>
      </c>
      <c r="D2291" s="5">
        <v>44</v>
      </c>
      <c r="E2291" s="5">
        <v>46</v>
      </c>
      <c r="F2291" t="s" s="2">
        <v>1746</v>
      </c>
      <c r="G2291" t="s" s="2">
        <v>4475</v>
      </c>
      <c r="H2291" s="5">
        <v>550</v>
      </c>
      <c r="I2291" t="s" s="2">
        <v>526</v>
      </c>
      <c r="J2291" t="s" s="2">
        <v>22</v>
      </c>
      <c r="K2291" t="s" s="2">
        <v>4458</v>
      </c>
      <c r="L2291" s="5">
        <v>9</v>
      </c>
      <c r="M2291" s="5">
        <v>485742.53</v>
      </c>
      <c r="N2291" s="5">
        <v>6117709.8</v>
      </c>
      <c r="O2291" t="s" s="2">
        <v>305</v>
      </c>
      <c r="P2291" s="5">
        <v>32684</v>
      </c>
      <c r="Q2291" t="s" s="2">
        <v>4476</v>
      </c>
      <c r="R2291" t="s" s="2">
        <f>_xlfn.IFERROR(INDEX('model_byCAP'!$D$2:$D$377,MATCH(Q2291,'model_byCAP'!$A$2:$A$377,0)),0)</f>
        <v>4042</v>
      </c>
    </row>
    <row r="2292" ht="15.35" customHeight="1">
      <c r="A2292" t="s" s="2">
        <v>4477</v>
      </c>
      <c r="B2292" s="4">
        <v>35873</v>
      </c>
      <c r="C2292" s="5">
        <v>750</v>
      </c>
      <c r="D2292" s="5">
        <v>44</v>
      </c>
      <c r="E2292" s="5">
        <v>46</v>
      </c>
      <c r="F2292" t="s" s="2">
        <v>1746</v>
      </c>
      <c r="G2292" t="s" s="2">
        <v>4136</v>
      </c>
      <c r="H2292" s="5">
        <v>550</v>
      </c>
      <c r="I2292" t="s" s="2">
        <v>526</v>
      </c>
      <c r="J2292" t="s" s="2">
        <v>22</v>
      </c>
      <c r="K2292" t="s" s="2">
        <v>4458</v>
      </c>
      <c r="L2292" s="5">
        <v>703</v>
      </c>
      <c r="M2292" s="5">
        <v>486052.81</v>
      </c>
      <c r="N2292" s="5">
        <v>6117659.32</v>
      </c>
      <c r="O2292" t="s" s="2">
        <v>305</v>
      </c>
      <c r="P2292" s="5">
        <v>32685</v>
      </c>
      <c r="Q2292" t="s" s="2">
        <v>4137</v>
      </c>
      <c r="R2292" t="s" s="2">
        <f>_xlfn.IFERROR(INDEX('model_byCAP'!$D$2:$D$377,MATCH(Q2292,'model_byCAP'!$A$2:$A$377,0)),0)</f>
        <v>4042</v>
      </c>
    </row>
    <row r="2293" ht="15.35" customHeight="1">
      <c r="A2293" t="s" s="2">
        <v>4478</v>
      </c>
      <c r="B2293" s="4">
        <v>35873</v>
      </c>
      <c r="C2293" s="5">
        <v>750</v>
      </c>
      <c r="D2293" s="5">
        <v>44</v>
      </c>
      <c r="E2293" s="5">
        <v>46</v>
      </c>
      <c r="F2293" t="s" s="2">
        <v>1746</v>
      </c>
      <c r="G2293" t="s" s="2">
        <v>4136</v>
      </c>
      <c r="H2293" s="5">
        <v>550</v>
      </c>
      <c r="I2293" t="s" s="2">
        <v>526</v>
      </c>
      <c r="J2293" t="s" s="2">
        <v>22</v>
      </c>
      <c r="K2293" t="s" s="2">
        <v>4458</v>
      </c>
      <c r="L2293" s="5">
        <v>691</v>
      </c>
      <c r="M2293" s="5">
        <v>486309.57</v>
      </c>
      <c r="N2293" s="5">
        <v>6117939.41</v>
      </c>
      <c r="O2293" t="s" s="2">
        <v>305</v>
      </c>
      <c r="P2293" s="5">
        <v>32686</v>
      </c>
      <c r="Q2293" t="s" s="2">
        <v>4137</v>
      </c>
      <c r="R2293" t="s" s="2">
        <f>_xlfn.IFERROR(INDEX('model_byCAP'!$D$2:$D$377,MATCH(Q2293,'model_byCAP'!$A$2:$A$377,0)),0)</f>
        <v>4042</v>
      </c>
    </row>
    <row r="2294" ht="15.35" customHeight="1">
      <c r="A2294" t="s" s="2">
        <v>4479</v>
      </c>
      <c r="B2294" s="4">
        <v>35873</v>
      </c>
      <c r="C2294" s="5">
        <v>750</v>
      </c>
      <c r="D2294" s="5">
        <v>0.1</v>
      </c>
      <c r="E2294" s="5">
        <v>0.1</v>
      </c>
      <c r="F2294" t="s" s="2">
        <v>42</v>
      </c>
      <c r="G2294" t="s" s="2">
        <v>42</v>
      </c>
      <c r="H2294" s="5">
        <v>550</v>
      </c>
      <c r="I2294" t="s" s="2">
        <v>526</v>
      </c>
      <c r="J2294" t="s" s="2">
        <v>22</v>
      </c>
      <c r="K2294" t="s" s="2">
        <v>4458</v>
      </c>
      <c r="L2294" s="5">
        <v>9</v>
      </c>
      <c r="M2294" s="5">
        <v>486011.13</v>
      </c>
      <c r="N2294" s="5">
        <v>6117985.05</v>
      </c>
      <c r="O2294" t="s" s="2">
        <v>305</v>
      </c>
      <c r="P2294" s="5">
        <v>32687</v>
      </c>
      <c r="Q2294" t="s" s="2">
        <v>43</v>
      </c>
      <c r="R2294" s="5">
        <f>_xlfn.IFERROR(INDEX('model_byCAP'!$D$2:$D$377,MATCH(Q2294,'model_byCAP'!$A$2:$A$377,0)),0)</f>
        <v>0</v>
      </c>
    </row>
    <row r="2295" ht="15.35" customHeight="1">
      <c r="A2295" t="s" s="2">
        <v>4480</v>
      </c>
      <c r="B2295" s="4">
        <v>35873</v>
      </c>
      <c r="C2295" s="5">
        <v>750</v>
      </c>
      <c r="D2295" s="5">
        <v>44</v>
      </c>
      <c r="E2295" s="5">
        <v>46</v>
      </c>
      <c r="F2295" t="s" s="2">
        <v>1746</v>
      </c>
      <c r="G2295" t="s" s="2">
        <v>4136</v>
      </c>
      <c r="H2295" s="5">
        <v>550</v>
      </c>
      <c r="I2295" t="s" s="2">
        <v>526</v>
      </c>
      <c r="J2295" t="s" s="2">
        <v>22</v>
      </c>
      <c r="K2295" t="s" s="2">
        <v>4458</v>
      </c>
      <c r="L2295" s="5">
        <v>352</v>
      </c>
      <c r="M2295" s="5">
        <v>485699.83</v>
      </c>
      <c r="N2295" s="5">
        <v>6118033.06</v>
      </c>
      <c r="O2295" t="s" s="2">
        <v>305</v>
      </c>
      <c r="P2295" s="5">
        <v>32688</v>
      </c>
      <c r="Q2295" t="s" s="2">
        <v>4137</v>
      </c>
      <c r="R2295" t="s" s="2">
        <f>_xlfn.IFERROR(INDEX('model_byCAP'!$D$2:$D$377,MATCH(Q2295,'model_byCAP'!$A$2:$A$377,0)),0)</f>
        <v>4042</v>
      </c>
    </row>
    <row r="2296" ht="15.35" customHeight="1">
      <c r="A2296" t="s" s="2">
        <v>4481</v>
      </c>
      <c r="B2296" s="4">
        <v>35873</v>
      </c>
      <c r="C2296" s="5">
        <v>750</v>
      </c>
      <c r="D2296" s="5">
        <v>44</v>
      </c>
      <c r="E2296" s="5">
        <v>46</v>
      </c>
      <c r="F2296" t="s" s="2">
        <v>1746</v>
      </c>
      <c r="G2296" t="s" s="2">
        <v>4050</v>
      </c>
      <c r="H2296" s="5">
        <v>550</v>
      </c>
      <c r="I2296" t="s" s="2">
        <v>526</v>
      </c>
      <c r="J2296" t="s" s="2">
        <v>22</v>
      </c>
      <c r="K2296" t="s" s="2">
        <v>4458</v>
      </c>
      <c r="L2296" s="5">
        <v>7</v>
      </c>
      <c r="M2296" s="5">
        <v>485388.28</v>
      </c>
      <c r="N2296" s="5">
        <v>6118080.45</v>
      </c>
      <c r="O2296" t="s" s="2">
        <v>305</v>
      </c>
      <c r="P2296" s="5">
        <v>32689</v>
      </c>
      <c r="Q2296" t="s" s="2">
        <v>4053</v>
      </c>
      <c r="R2296" t="s" s="2">
        <f>_xlfn.IFERROR(INDEX('model_byCAP'!$D$2:$D$377,MATCH(Q2296,'model_byCAP'!$A$2:$A$377,0)),0)</f>
        <v>2955</v>
      </c>
    </row>
    <row r="2297" ht="15.35" customHeight="1">
      <c r="A2297" t="s" s="2">
        <v>4482</v>
      </c>
      <c r="B2297" s="4">
        <v>35901</v>
      </c>
      <c r="C2297" s="5">
        <v>750</v>
      </c>
      <c r="D2297" s="5">
        <v>48</v>
      </c>
      <c r="E2297" s="5">
        <v>45</v>
      </c>
      <c r="F2297" t="s" s="2">
        <v>1746</v>
      </c>
      <c r="G2297" t="s" s="2">
        <v>4044</v>
      </c>
      <c r="H2297" s="5">
        <v>550</v>
      </c>
      <c r="I2297" t="s" s="2">
        <v>526</v>
      </c>
      <c r="J2297" t="s" s="2">
        <v>22</v>
      </c>
      <c r="K2297" t="s" s="2">
        <v>4483</v>
      </c>
      <c r="L2297" s="5">
        <v>79</v>
      </c>
      <c r="M2297" s="5">
        <v>502992.01</v>
      </c>
      <c r="N2297" s="5">
        <v>6092929.97</v>
      </c>
      <c r="O2297" t="s" s="2">
        <v>305</v>
      </c>
      <c r="P2297" s="5">
        <v>32744</v>
      </c>
      <c r="Q2297" t="s" s="2">
        <v>4046</v>
      </c>
      <c r="R2297" t="s" s="2">
        <f>_xlfn.IFERROR(INDEX('model_byCAP'!$D$2:$D$377,MATCH(Q2297,'model_byCAP'!$A$2:$A$377,0)),0)</f>
        <v>4047</v>
      </c>
    </row>
    <row r="2298" ht="15.35" customHeight="1">
      <c r="A2298" t="s" s="2">
        <v>4484</v>
      </c>
      <c r="B2298" s="4">
        <v>35901</v>
      </c>
      <c r="C2298" s="5">
        <v>750</v>
      </c>
      <c r="D2298" s="5">
        <v>0.1</v>
      </c>
      <c r="E2298" s="5">
        <v>0.1</v>
      </c>
      <c r="F2298" t="s" s="2">
        <v>42</v>
      </c>
      <c r="G2298" t="s" s="2">
        <v>42</v>
      </c>
      <c r="H2298" s="5">
        <v>550</v>
      </c>
      <c r="I2298" t="s" s="2">
        <v>526</v>
      </c>
      <c r="J2298" t="s" s="2">
        <v>22</v>
      </c>
      <c r="K2298" t="s" s="2">
        <v>4483</v>
      </c>
      <c r="L2298" s="5">
        <v>79</v>
      </c>
      <c r="M2298" s="5">
        <v>502971.19</v>
      </c>
      <c r="N2298" s="5">
        <v>6093216.93</v>
      </c>
      <c r="O2298" t="s" s="2">
        <v>305</v>
      </c>
      <c r="P2298" s="5">
        <v>32745</v>
      </c>
      <c r="Q2298" t="s" s="2">
        <v>43</v>
      </c>
      <c r="R2298" s="5">
        <f>_xlfn.IFERROR(INDEX('model_byCAP'!$D$2:$D$377,MATCH(Q2298,'model_byCAP'!$A$2:$A$377,0)),0)</f>
        <v>0</v>
      </c>
    </row>
    <row r="2299" ht="15.35" customHeight="1">
      <c r="A2299" t="s" s="2">
        <v>4485</v>
      </c>
      <c r="B2299" s="4">
        <v>35835</v>
      </c>
      <c r="C2299" s="5">
        <v>750</v>
      </c>
      <c r="D2299" s="5">
        <v>0.1</v>
      </c>
      <c r="E2299" s="5">
        <v>46</v>
      </c>
      <c r="F2299" t="s" s="2">
        <v>42</v>
      </c>
      <c r="G2299" t="s" s="2">
        <v>42</v>
      </c>
      <c r="H2299" s="5">
        <v>550</v>
      </c>
      <c r="I2299" t="s" s="2">
        <v>526</v>
      </c>
      <c r="J2299" t="s" s="2">
        <v>22</v>
      </c>
      <c r="K2299" t="s" s="2">
        <v>4486</v>
      </c>
      <c r="L2299" s="5">
        <v>160</v>
      </c>
      <c r="M2299" s="5">
        <v>493421.99</v>
      </c>
      <c r="N2299" s="5">
        <v>6090770.24</v>
      </c>
      <c r="O2299" t="s" s="2">
        <v>305</v>
      </c>
      <c r="P2299" s="5">
        <v>32751</v>
      </c>
      <c r="Q2299" t="s" s="2">
        <v>43</v>
      </c>
      <c r="R2299" s="5">
        <f>_xlfn.IFERROR(INDEX('model_byCAP'!$D$2:$D$377,MATCH(Q2299,'model_byCAP'!$A$2:$A$377,0)),0)</f>
        <v>0</v>
      </c>
    </row>
    <row r="2300" ht="15.35" customHeight="1">
      <c r="A2300" t="s" s="2">
        <v>4487</v>
      </c>
      <c r="B2300" s="4">
        <v>36008</v>
      </c>
      <c r="C2300" s="5">
        <v>750</v>
      </c>
      <c r="D2300" s="5">
        <v>0.1</v>
      </c>
      <c r="E2300" s="5">
        <v>0.1</v>
      </c>
      <c r="F2300" t="s" s="2">
        <v>42</v>
      </c>
      <c r="G2300" t="s" s="2">
        <v>42</v>
      </c>
      <c r="H2300" s="5">
        <v>550</v>
      </c>
      <c r="I2300" t="s" s="2">
        <v>526</v>
      </c>
      <c r="J2300" t="s" s="2">
        <v>22</v>
      </c>
      <c r="K2300" t="s" s="2">
        <v>4469</v>
      </c>
      <c r="L2300" s="5">
        <v>244</v>
      </c>
      <c r="M2300" s="5">
        <v>488959.58</v>
      </c>
      <c r="N2300" s="5">
        <v>6116933.15</v>
      </c>
      <c r="O2300" t="s" s="2">
        <v>305</v>
      </c>
      <c r="P2300" s="5">
        <v>90213</v>
      </c>
      <c r="Q2300" t="s" s="2">
        <v>43</v>
      </c>
      <c r="R2300" s="5">
        <f>_xlfn.IFERROR(INDEX('model_byCAP'!$D$2:$D$377,MATCH(Q2300,'model_byCAP'!$A$2:$A$377,0)),0)</f>
        <v>0</v>
      </c>
    </row>
    <row r="2301" ht="15.35" customHeight="1">
      <c r="A2301" t="s" s="2">
        <v>4488</v>
      </c>
      <c r="B2301" s="4">
        <v>36008</v>
      </c>
      <c r="C2301" s="5">
        <v>750</v>
      </c>
      <c r="D2301" s="5">
        <v>48</v>
      </c>
      <c r="E2301" s="5">
        <v>45</v>
      </c>
      <c r="F2301" t="s" s="2">
        <v>42</v>
      </c>
      <c r="G2301" t="s" s="2">
        <v>42</v>
      </c>
      <c r="H2301" s="5">
        <v>550</v>
      </c>
      <c r="I2301" t="s" s="2">
        <v>526</v>
      </c>
      <c r="J2301" t="s" s="2">
        <v>22</v>
      </c>
      <c r="K2301" t="s" s="2">
        <v>4469</v>
      </c>
      <c r="L2301" s="5">
        <v>355</v>
      </c>
      <c r="M2301" s="5">
        <v>489210.82</v>
      </c>
      <c r="N2301" s="5">
        <v>6117000.54</v>
      </c>
      <c r="O2301" t="s" s="2">
        <v>305</v>
      </c>
      <c r="P2301" s="5">
        <v>90214</v>
      </c>
      <c r="Q2301" t="s" s="2">
        <v>43</v>
      </c>
      <c r="R2301" s="5">
        <f>_xlfn.IFERROR(INDEX('model_byCAP'!$D$2:$D$377,MATCH(Q2301,'model_byCAP'!$A$2:$A$377,0)),0)</f>
        <v>0</v>
      </c>
    </row>
    <row r="2302" ht="15.35" customHeight="1">
      <c r="A2302" t="s" s="2">
        <v>4489</v>
      </c>
      <c r="B2302" s="4">
        <v>36008</v>
      </c>
      <c r="C2302" s="5">
        <v>750</v>
      </c>
      <c r="D2302" s="5">
        <v>48</v>
      </c>
      <c r="E2302" s="5">
        <v>45</v>
      </c>
      <c r="F2302" t="s" s="2">
        <v>1746</v>
      </c>
      <c r="G2302" t="s" s="2">
        <v>4151</v>
      </c>
      <c r="H2302" s="5">
        <v>550</v>
      </c>
      <c r="I2302" t="s" s="2">
        <v>526</v>
      </c>
      <c r="J2302" t="s" s="2">
        <v>22</v>
      </c>
      <c r="K2302" t="s" s="2">
        <v>4469</v>
      </c>
      <c r="L2302" s="5">
        <v>195</v>
      </c>
      <c r="M2302" s="5">
        <v>489469.01</v>
      </c>
      <c r="N2302" s="5">
        <v>6117070.32</v>
      </c>
      <c r="O2302" t="s" s="2">
        <v>305</v>
      </c>
      <c r="P2302" s="5">
        <v>90215</v>
      </c>
      <c r="Q2302" t="s" s="2">
        <v>4154</v>
      </c>
      <c r="R2302" t="s" s="2">
        <f>_xlfn.IFERROR(INDEX('model_byCAP'!$D$2:$D$377,MATCH(Q2302,'model_byCAP'!$A$2:$A$377,0)),0)</f>
        <v>4047</v>
      </c>
    </row>
    <row r="2303" ht="15.35" customHeight="1">
      <c r="A2303" t="s" s="2">
        <v>4490</v>
      </c>
      <c r="B2303" s="4">
        <v>36008</v>
      </c>
      <c r="C2303" s="5">
        <v>750</v>
      </c>
      <c r="D2303" s="5">
        <v>0.1</v>
      </c>
      <c r="E2303" s="5">
        <v>0.1</v>
      </c>
      <c r="F2303" t="s" s="2">
        <v>42</v>
      </c>
      <c r="G2303" t="s" s="2">
        <v>42</v>
      </c>
      <c r="H2303" s="5">
        <v>550</v>
      </c>
      <c r="I2303" t="s" s="2">
        <v>526</v>
      </c>
      <c r="J2303" t="s" s="2">
        <v>22</v>
      </c>
      <c r="K2303" t="s" s="2">
        <v>4469</v>
      </c>
      <c r="L2303" s="5">
        <v>312</v>
      </c>
      <c r="M2303" s="5">
        <v>489726.55</v>
      </c>
      <c r="N2303" s="5">
        <v>6117140.18</v>
      </c>
      <c r="O2303" t="s" s="2">
        <v>305</v>
      </c>
      <c r="P2303" s="5">
        <v>90216</v>
      </c>
      <c r="Q2303" t="s" s="2">
        <v>43</v>
      </c>
      <c r="R2303" s="5">
        <f>_xlfn.IFERROR(INDEX('model_byCAP'!$D$2:$D$377,MATCH(Q2303,'model_byCAP'!$A$2:$A$377,0)),0)</f>
        <v>0</v>
      </c>
    </row>
    <row r="2304" ht="15.35" customHeight="1">
      <c r="A2304" t="s" s="2">
        <v>4491</v>
      </c>
      <c r="B2304" s="4">
        <v>36008</v>
      </c>
      <c r="C2304" s="5">
        <v>750</v>
      </c>
      <c r="D2304" s="5">
        <v>48</v>
      </c>
      <c r="E2304" s="5">
        <v>45</v>
      </c>
      <c r="F2304" t="s" s="2">
        <v>1746</v>
      </c>
      <c r="G2304" t="s" s="2">
        <v>4044</v>
      </c>
      <c r="H2304" s="5">
        <v>550</v>
      </c>
      <c r="I2304" t="s" s="2">
        <v>526</v>
      </c>
      <c r="J2304" t="s" s="2">
        <v>22</v>
      </c>
      <c r="K2304" t="s" s="2">
        <v>4469</v>
      </c>
      <c r="L2304" s="5">
        <v>201</v>
      </c>
      <c r="M2304" s="5">
        <v>489981.12</v>
      </c>
      <c r="N2304" s="5">
        <v>6117209.83</v>
      </c>
      <c r="O2304" t="s" s="2">
        <v>305</v>
      </c>
      <c r="P2304" s="5">
        <v>90217</v>
      </c>
      <c r="Q2304" t="s" s="2">
        <v>4046</v>
      </c>
      <c r="R2304" t="s" s="2">
        <f>_xlfn.IFERROR(INDEX('model_byCAP'!$D$2:$D$377,MATCH(Q2304,'model_byCAP'!$A$2:$A$377,0)),0)</f>
        <v>4047</v>
      </c>
    </row>
    <row r="2305" ht="15.35" customHeight="1">
      <c r="A2305" t="s" s="2">
        <v>4492</v>
      </c>
      <c r="B2305" s="4">
        <v>36008</v>
      </c>
      <c r="C2305" s="5">
        <v>750</v>
      </c>
      <c r="D2305" s="5">
        <v>48</v>
      </c>
      <c r="E2305" s="5">
        <v>45</v>
      </c>
      <c r="F2305" t="s" s="2">
        <v>1746</v>
      </c>
      <c r="G2305" t="s" s="2">
        <v>4044</v>
      </c>
      <c r="H2305" s="5">
        <v>550</v>
      </c>
      <c r="I2305" t="s" s="2">
        <v>526</v>
      </c>
      <c r="J2305" t="s" s="2">
        <v>22</v>
      </c>
      <c r="K2305" t="s" s="2">
        <v>4469</v>
      </c>
      <c r="L2305" s="5">
        <v>308</v>
      </c>
      <c r="M2305" s="5">
        <v>490234.5</v>
      </c>
      <c r="N2305" s="5">
        <v>6117279.46</v>
      </c>
      <c r="O2305" t="s" s="2">
        <v>305</v>
      </c>
      <c r="P2305" s="5">
        <v>90218</v>
      </c>
      <c r="Q2305" t="s" s="2">
        <v>4046</v>
      </c>
      <c r="R2305" t="s" s="2">
        <f>_xlfn.IFERROR(INDEX('model_byCAP'!$D$2:$D$377,MATCH(Q2305,'model_byCAP'!$A$2:$A$377,0)),0)</f>
        <v>4047</v>
      </c>
    </row>
    <row r="2306" ht="15.35" customHeight="1">
      <c r="A2306" t="s" s="2">
        <v>4493</v>
      </c>
      <c r="B2306" s="4">
        <v>36008</v>
      </c>
      <c r="C2306" s="5">
        <v>750</v>
      </c>
      <c r="D2306" s="5">
        <v>48</v>
      </c>
      <c r="E2306" s="5">
        <v>45</v>
      </c>
      <c r="F2306" t="s" s="2">
        <v>1746</v>
      </c>
      <c r="G2306" t="s" s="2">
        <v>4044</v>
      </c>
      <c r="H2306" s="5">
        <v>550</v>
      </c>
      <c r="I2306" t="s" s="2">
        <v>526</v>
      </c>
      <c r="J2306" t="s" s="2">
        <v>22</v>
      </c>
      <c r="K2306" t="s" s="2">
        <v>4469</v>
      </c>
      <c r="L2306" s="5">
        <v>297</v>
      </c>
      <c r="M2306" s="5">
        <v>488704.62</v>
      </c>
      <c r="N2306" s="5">
        <v>6116863.58</v>
      </c>
      <c r="O2306" t="s" s="2">
        <v>305</v>
      </c>
      <c r="P2306" s="5">
        <v>90219</v>
      </c>
      <c r="Q2306" t="s" s="2">
        <v>4046</v>
      </c>
      <c r="R2306" t="s" s="2">
        <f>_xlfn.IFERROR(INDEX('model_byCAP'!$D$2:$D$377,MATCH(Q2306,'model_byCAP'!$A$2:$A$377,0)),0)</f>
        <v>4047</v>
      </c>
    </row>
    <row r="2307" ht="15.35" customHeight="1">
      <c r="A2307" t="s" s="2">
        <v>4494</v>
      </c>
      <c r="B2307" s="4">
        <v>35969</v>
      </c>
      <c r="C2307" s="5">
        <v>750</v>
      </c>
      <c r="D2307" s="5">
        <v>44</v>
      </c>
      <c r="E2307" s="5">
        <v>46</v>
      </c>
      <c r="F2307" t="s" s="2">
        <v>1746</v>
      </c>
      <c r="G2307" t="s" s="2">
        <v>4136</v>
      </c>
      <c r="H2307" s="5">
        <v>550</v>
      </c>
      <c r="I2307" t="s" s="2">
        <v>526</v>
      </c>
      <c r="J2307" t="s" s="2">
        <v>22</v>
      </c>
      <c r="K2307" t="s" s="2">
        <v>4461</v>
      </c>
      <c r="L2307" s="5">
        <v>25</v>
      </c>
      <c r="M2307" s="5">
        <v>485348.05</v>
      </c>
      <c r="N2307" s="5">
        <v>6119621.34</v>
      </c>
      <c r="O2307" t="s" s="2">
        <v>305</v>
      </c>
      <c r="P2307" s="5">
        <v>90220</v>
      </c>
      <c r="Q2307" t="s" s="2">
        <v>4137</v>
      </c>
      <c r="R2307" t="s" s="2">
        <f>_xlfn.IFERROR(INDEX('model_byCAP'!$D$2:$D$377,MATCH(Q2307,'model_byCAP'!$A$2:$A$377,0)),0)</f>
        <v>4042</v>
      </c>
    </row>
    <row r="2308" ht="15.35" customHeight="1">
      <c r="A2308" t="s" s="2">
        <v>4495</v>
      </c>
      <c r="B2308" s="4">
        <v>36008</v>
      </c>
      <c r="C2308" s="5">
        <v>750</v>
      </c>
      <c r="D2308" s="5">
        <v>0.1</v>
      </c>
      <c r="E2308" s="5">
        <v>0.1</v>
      </c>
      <c r="F2308" t="s" s="2">
        <v>42</v>
      </c>
      <c r="G2308" t="s" s="2">
        <v>42</v>
      </c>
      <c r="H2308" s="5">
        <v>550</v>
      </c>
      <c r="I2308" t="s" s="2">
        <v>526</v>
      </c>
      <c r="J2308" t="s" s="2">
        <v>22</v>
      </c>
      <c r="K2308" t="s" s="2">
        <v>4469</v>
      </c>
      <c r="L2308" s="5">
        <v>328</v>
      </c>
      <c r="M2308" s="5">
        <v>489695.42</v>
      </c>
      <c r="N2308" s="5">
        <v>6117370.64</v>
      </c>
      <c r="O2308" t="s" s="2">
        <v>305</v>
      </c>
      <c r="P2308" s="5">
        <v>90223</v>
      </c>
      <c r="Q2308" t="s" s="2">
        <v>43</v>
      </c>
      <c r="R2308" s="5">
        <f>_xlfn.IFERROR(INDEX('model_byCAP'!$D$2:$D$377,MATCH(Q2308,'model_byCAP'!$A$2:$A$377,0)),0)</f>
        <v>0</v>
      </c>
    </row>
    <row r="2309" ht="15.35" customHeight="1">
      <c r="A2309" t="s" s="2">
        <v>4496</v>
      </c>
      <c r="B2309" s="4">
        <v>36008</v>
      </c>
      <c r="C2309" s="5">
        <v>750</v>
      </c>
      <c r="D2309" s="5">
        <v>48</v>
      </c>
      <c r="E2309" s="5">
        <v>45</v>
      </c>
      <c r="F2309" t="s" s="2">
        <v>1746</v>
      </c>
      <c r="G2309" t="s" s="2">
        <v>4168</v>
      </c>
      <c r="H2309" s="5">
        <v>550</v>
      </c>
      <c r="I2309" t="s" s="2">
        <v>526</v>
      </c>
      <c r="J2309" t="s" s="2">
        <v>22</v>
      </c>
      <c r="K2309" t="s" s="2">
        <v>4469</v>
      </c>
      <c r="L2309" s="5">
        <v>328</v>
      </c>
      <c r="M2309" s="5">
        <v>489949.62</v>
      </c>
      <c r="N2309" s="5">
        <v>6117439.63</v>
      </c>
      <c r="O2309" t="s" s="2">
        <v>305</v>
      </c>
      <c r="P2309" s="5">
        <v>90224</v>
      </c>
      <c r="Q2309" t="s" s="2">
        <v>4171</v>
      </c>
      <c r="R2309" t="s" s="2">
        <f>_xlfn.IFERROR(INDEX('model_byCAP'!$D$2:$D$377,MATCH(Q2309,'model_byCAP'!$A$2:$A$377,0)),0)</f>
        <v>4042</v>
      </c>
    </row>
    <row r="2310" ht="15.35" customHeight="1">
      <c r="A2310" t="s" s="2">
        <v>4497</v>
      </c>
      <c r="B2310" s="4">
        <v>36027</v>
      </c>
      <c r="C2310" s="5">
        <v>750</v>
      </c>
      <c r="D2310" s="5">
        <v>48</v>
      </c>
      <c r="E2310" s="5">
        <v>45</v>
      </c>
      <c r="F2310" t="s" s="2">
        <v>1746</v>
      </c>
      <c r="G2310" t="s" s="2">
        <v>4151</v>
      </c>
      <c r="H2310" s="5">
        <v>550</v>
      </c>
      <c r="I2310" t="s" s="2">
        <v>526</v>
      </c>
      <c r="J2310" t="s" s="2">
        <v>22</v>
      </c>
      <c r="K2310" t="s" s="2">
        <v>4498</v>
      </c>
      <c r="L2310" s="5">
        <v>198</v>
      </c>
      <c r="M2310" s="5">
        <v>498544.92</v>
      </c>
      <c r="N2310" s="5">
        <v>6086752.07</v>
      </c>
      <c r="O2310" t="s" s="2">
        <v>305</v>
      </c>
      <c r="P2310" s="5">
        <v>90328</v>
      </c>
      <c r="Q2310" t="s" s="2">
        <v>4154</v>
      </c>
      <c r="R2310" t="s" s="2">
        <f>_xlfn.IFERROR(INDEX('model_byCAP'!$D$2:$D$377,MATCH(Q2310,'model_byCAP'!$A$2:$A$377,0)),0)</f>
        <v>4047</v>
      </c>
    </row>
    <row r="2311" ht="15.35" customHeight="1">
      <c r="A2311" t="s" s="2">
        <v>4499</v>
      </c>
      <c r="B2311" s="4">
        <v>36095</v>
      </c>
      <c r="C2311" s="5">
        <v>750</v>
      </c>
      <c r="D2311" s="5">
        <v>48</v>
      </c>
      <c r="E2311" s="5">
        <v>45</v>
      </c>
      <c r="F2311" t="s" s="2">
        <v>1746</v>
      </c>
      <c r="G2311" t="s" s="2">
        <v>4044</v>
      </c>
      <c r="H2311" s="5">
        <v>550</v>
      </c>
      <c r="I2311" t="s" s="2">
        <v>526</v>
      </c>
      <c r="J2311" t="s" s="2">
        <v>22</v>
      </c>
      <c r="K2311" t="s" s="2">
        <v>4500</v>
      </c>
      <c r="L2311" s="5">
        <v>12</v>
      </c>
      <c r="M2311" s="5">
        <v>487896.62</v>
      </c>
      <c r="N2311" s="5">
        <v>6110584.9</v>
      </c>
      <c r="O2311" t="s" s="2">
        <v>305</v>
      </c>
      <c r="P2311" s="5">
        <v>90364</v>
      </c>
      <c r="Q2311" t="s" s="2">
        <v>4046</v>
      </c>
      <c r="R2311" t="s" s="2">
        <f>_xlfn.IFERROR(INDEX('model_byCAP'!$D$2:$D$377,MATCH(Q2311,'model_byCAP'!$A$2:$A$377,0)),0)</f>
        <v>4047</v>
      </c>
    </row>
    <row r="2312" ht="15.35" customHeight="1">
      <c r="A2312" t="s" s="2">
        <v>4501</v>
      </c>
      <c r="B2312" s="4">
        <v>36095</v>
      </c>
      <c r="C2312" s="5">
        <v>750</v>
      </c>
      <c r="D2312" s="5">
        <v>48</v>
      </c>
      <c r="E2312" s="5">
        <v>45</v>
      </c>
      <c r="F2312" t="s" s="2">
        <v>1746</v>
      </c>
      <c r="G2312" t="s" s="2">
        <v>4044</v>
      </c>
      <c r="H2312" s="5">
        <v>550</v>
      </c>
      <c r="I2312" t="s" s="2">
        <v>526</v>
      </c>
      <c r="J2312" t="s" s="2">
        <v>22</v>
      </c>
      <c r="K2312" t="s" s="2">
        <v>4502</v>
      </c>
      <c r="L2312" s="5">
        <v>90</v>
      </c>
      <c r="M2312" s="5">
        <v>488071.94</v>
      </c>
      <c r="N2312" s="5">
        <v>6110189.18</v>
      </c>
      <c r="O2312" t="s" s="2">
        <v>305</v>
      </c>
      <c r="P2312" s="5">
        <v>90365</v>
      </c>
      <c r="Q2312" t="s" s="2">
        <v>4046</v>
      </c>
      <c r="R2312" t="s" s="2">
        <f>_xlfn.IFERROR(INDEX('model_byCAP'!$D$2:$D$377,MATCH(Q2312,'model_byCAP'!$A$2:$A$377,0)),0)</f>
        <v>4047</v>
      </c>
    </row>
    <row r="2313" ht="15.35" customHeight="1">
      <c r="A2313" t="s" s="2">
        <v>4503</v>
      </c>
      <c r="B2313" s="4">
        <v>36132</v>
      </c>
      <c r="C2313" s="5">
        <v>750</v>
      </c>
      <c r="D2313" s="5">
        <v>48</v>
      </c>
      <c r="E2313" s="5">
        <v>45</v>
      </c>
      <c r="F2313" t="s" s="2">
        <v>1746</v>
      </c>
      <c r="G2313" t="s" s="2">
        <v>4044</v>
      </c>
      <c r="H2313" s="5">
        <v>550</v>
      </c>
      <c r="I2313" t="s" s="2">
        <v>526</v>
      </c>
      <c r="J2313" t="s" s="2">
        <v>22</v>
      </c>
      <c r="K2313" t="s" s="2">
        <v>4455</v>
      </c>
      <c r="L2313" s="5">
        <v>22</v>
      </c>
      <c r="M2313" s="5">
        <v>490877.21</v>
      </c>
      <c r="N2313" s="5">
        <v>6105374.39</v>
      </c>
      <c r="O2313" t="s" s="2">
        <v>305</v>
      </c>
      <c r="P2313" s="5">
        <v>90391</v>
      </c>
      <c r="Q2313" t="s" s="2">
        <v>4046</v>
      </c>
      <c r="R2313" t="s" s="2">
        <f>_xlfn.IFERROR(INDEX('model_byCAP'!$D$2:$D$377,MATCH(Q2313,'model_byCAP'!$A$2:$A$377,0)),0)</f>
        <v>4047</v>
      </c>
    </row>
    <row r="2314" ht="15.35" customHeight="1">
      <c r="A2314" t="s" s="2">
        <v>4504</v>
      </c>
      <c r="B2314" s="4">
        <v>36111</v>
      </c>
      <c r="C2314" s="5">
        <v>750</v>
      </c>
      <c r="D2314" s="5">
        <v>48.2</v>
      </c>
      <c r="E2314" s="5">
        <v>45</v>
      </c>
      <c r="F2314" t="s" s="2">
        <v>1746</v>
      </c>
      <c r="G2314" t="s" s="2">
        <v>4044</v>
      </c>
      <c r="H2314" s="5">
        <v>550</v>
      </c>
      <c r="I2314" t="s" s="2">
        <v>526</v>
      </c>
      <c r="J2314" t="s" s="2">
        <v>22</v>
      </c>
      <c r="K2314" t="s" s="2">
        <v>4505</v>
      </c>
      <c r="L2314" s="5">
        <v>29</v>
      </c>
      <c r="M2314" s="5">
        <v>492468.9</v>
      </c>
      <c r="N2314" s="5">
        <v>6102913.68</v>
      </c>
      <c r="O2314" t="s" s="2">
        <v>25</v>
      </c>
      <c r="P2314" s="5">
        <v>90433</v>
      </c>
      <c r="Q2314" t="s" s="2">
        <v>4046</v>
      </c>
      <c r="R2314" t="s" s="2">
        <f>_xlfn.IFERROR(INDEX('model_byCAP'!$D$2:$D$377,MATCH(Q2314,'model_byCAP'!$A$2:$A$377,0)),0)</f>
        <v>4047</v>
      </c>
    </row>
    <row r="2315" ht="15.35" customHeight="1">
      <c r="A2315" t="s" s="2">
        <v>4506</v>
      </c>
      <c r="B2315" s="4">
        <v>36111</v>
      </c>
      <c r="C2315" s="5">
        <v>750</v>
      </c>
      <c r="D2315" s="5">
        <v>0.1</v>
      </c>
      <c r="E2315" s="5">
        <v>0.1</v>
      </c>
      <c r="F2315" t="s" s="2">
        <v>42</v>
      </c>
      <c r="G2315" t="s" s="2">
        <v>42</v>
      </c>
      <c r="H2315" s="5">
        <v>550</v>
      </c>
      <c r="I2315" t="s" s="2">
        <v>526</v>
      </c>
      <c r="J2315" t="s" s="2">
        <v>22</v>
      </c>
      <c r="K2315" t="s" s="2">
        <v>4505</v>
      </c>
      <c r="L2315" s="5">
        <v>29</v>
      </c>
      <c r="M2315" s="5">
        <v>492621.4</v>
      </c>
      <c r="N2315" s="5">
        <v>6102734.19</v>
      </c>
      <c r="O2315" t="s" s="2">
        <v>305</v>
      </c>
      <c r="P2315" s="5">
        <v>90434</v>
      </c>
      <c r="Q2315" t="s" s="2">
        <v>43</v>
      </c>
      <c r="R2315" s="5">
        <f>_xlfn.IFERROR(INDEX('model_byCAP'!$D$2:$D$377,MATCH(Q2315,'model_byCAP'!$A$2:$A$377,0)),0)</f>
        <v>0</v>
      </c>
    </row>
    <row r="2316" ht="15.35" customHeight="1">
      <c r="A2316" t="s" s="2">
        <v>4507</v>
      </c>
      <c r="B2316" s="4">
        <v>36192</v>
      </c>
      <c r="C2316" s="5">
        <v>750</v>
      </c>
      <c r="D2316" s="5">
        <v>48</v>
      </c>
      <c r="E2316" s="5">
        <v>45</v>
      </c>
      <c r="F2316" t="s" s="2">
        <v>1746</v>
      </c>
      <c r="G2316" t="s" s="2">
        <v>4151</v>
      </c>
      <c r="H2316" s="5">
        <v>550</v>
      </c>
      <c r="I2316" t="s" s="2">
        <v>526</v>
      </c>
      <c r="J2316" t="s" s="2">
        <v>22</v>
      </c>
      <c r="K2316" t="s" s="2">
        <v>4469</v>
      </c>
      <c r="L2316" s="5">
        <v>195</v>
      </c>
      <c r="M2316" s="5">
        <v>488672.93</v>
      </c>
      <c r="N2316" s="5">
        <v>6117093.46</v>
      </c>
      <c r="O2316" t="s" s="2">
        <v>305</v>
      </c>
      <c r="P2316" s="5">
        <v>90467</v>
      </c>
      <c r="Q2316" t="s" s="2">
        <v>4154</v>
      </c>
      <c r="R2316" t="s" s="2">
        <f>_xlfn.IFERROR(INDEX('model_byCAP'!$D$2:$D$377,MATCH(Q2316,'model_byCAP'!$A$2:$A$377,0)),0)</f>
        <v>4047</v>
      </c>
    </row>
    <row r="2317" ht="15.35" customHeight="1">
      <c r="A2317" t="s" s="2">
        <v>4508</v>
      </c>
      <c r="B2317" s="4">
        <v>36146</v>
      </c>
      <c r="C2317" s="5">
        <v>750</v>
      </c>
      <c r="D2317" s="5">
        <v>48.2</v>
      </c>
      <c r="E2317" s="5">
        <v>45</v>
      </c>
      <c r="F2317" t="s" s="2">
        <v>1746</v>
      </c>
      <c r="G2317" t="s" s="2">
        <v>4044</v>
      </c>
      <c r="H2317" s="5">
        <v>550</v>
      </c>
      <c r="I2317" t="s" s="2">
        <v>526</v>
      </c>
      <c r="J2317" t="s" s="2">
        <v>22</v>
      </c>
      <c r="K2317" t="s" s="2">
        <v>4509</v>
      </c>
      <c r="L2317" s="5">
        <v>305</v>
      </c>
      <c r="M2317" s="5">
        <v>492281.58</v>
      </c>
      <c r="N2317" s="5">
        <v>6103099.52</v>
      </c>
      <c r="O2317" t="s" s="2">
        <v>305</v>
      </c>
      <c r="P2317" s="5">
        <v>90506</v>
      </c>
      <c r="Q2317" t="s" s="2">
        <v>4046</v>
      </c>
      <c r="R2317" t="s" s="2">
        <f>_xlfn.IFERROR(INDEX('model_byCAP'!$D$2:$D$377,MATCH(Q2317,'model_byCAP'!$A$2:$A$377,0)),0)</f>
        <v>4047</v>
      </c>
    </row>
    <row r="2318" ht="15.35" customHeight="1">
      <c r="A2318" t="s" s="2">
        <v>4510</v>
      </c>
      <c r="B2318" s="4">
        <v>36458</v>
      </c>
      <c r="C2318" s="5">
        <v>750</v>
      </c>
      <c r="D2318" s="5">
        <v>48</v>
      </c>
      <c r="E2318" s="5">
        <v>45</v>
      </c>
      <c r="F2318" t="s" s="2">
        <v>1746</v>
      </c>
      <c r="G2318" t="s" s="2">
        <v>4044</v>
      </c>
      <c r="H2318" s="5">
        <v>550</v>
      </c>
      <c r="I2318" t="s" s="2">
        <v>526</v>
      </c>
      <c r="J2318" t="s" s="2">
        <v>22</v>
      </c>
      <c r="K2318" t="s" s="2">
        <v>4483</v>
      </c>
      <c r="L2318" s="5">
        <v>84</v>
      </c>
      <c r="M2318" s="5">
        <v>502421.23</v>
      </c>
      <c r="N2318" s="5">
        <v>6091421.22</v>
      </c>
      <c r="O2318" t="s" s="2">
        <v>305</v>
      </c>
      <c r="P2318" s="5">
        <v>90943</v>
      </c>
      <c r="Q2318" t="s" s="2">
        <v>4046</v>
      </c>
      <c r="R2318" t="s" s="2">
        <f>_xlfn.IFERROR(INDEX('model_byCAP'!$D$2:$D$377,MATCH(Q2318,'model_byCAP'!$A$2:$A$377,0)),0)</f>
        <v>4047</v>
      </c>
    </row>
    <row r="2319" ht="15.35" customHeight="1">
      <c r="A2319" t="s" s="2">
        <v>4511</v>
      </c>
      <c r="B2319" s="4">
        <v>36592</v>
      </c>
      <c r="C2319" s="5">
        <v>750</v>
      </c>
      <c r="D2319" s="5">
        <v>48</v>
      </c>
      <c r="E2319" s="5">
        <v>45</v>
      </c>
      <c r="F2319" t="s" s="2">
        <v>1746</v>
      </c>
      <c r="G2319" t="s" s="2">
        <v>4044</v>
      </c>
      <c r="H2319" s="5">
        <v>550</v>
      </c>
      <c r="I2319" t="s" s="2">
        <v>526</v>
      </c>
      <c r="J2319" t="s" s="2">
        <v>22</v>
      </c>
      <c r="K2319" t="s" s="2">
        <v>4512</v>
      </c>
      <c r="L2319" s="5">
        <v>393</v>
      </c>
      <c r="M2319" s="5">
        <v>488924.73</v>
      </c>
      <c r="N2319" s="5">
        <v>6117161.3</v>
      </c>
      <c r="O2319" t="s" s="2">
        <v>305</v>
      </c>
      <c r="P2319" s="5">
        <v>91122</v>
      </c>
      <c r="Q2319" t="s" s="2">
        <v>4046</v>
      </c>
      <c r="R2319" t="s" s="2">
        <f>_xlfn.IFERROR(INDEX('model_byCAP'!$D$2:$D$377,MATCH(Q2319,'model_byCAP'!$A$2:$A$377,0)),0)</f>
        <v>4047</v>
      </c>
    </row>
    <row r="2320" ht="15.35" customHeight="1">
      <c r="A2320" t="s" s="2">
        <v>4513</v>
      </c>
      <c r="B2320" s="4">
        <v>36710</v>
      </c>
      <c r="C2320" s="5">
        <v>750</v>
      </c>
      <c r="D2320" s="5">
        <v>0.1</v>
      </c>
      <c r="E2320" s="5">
        <v>0.1</v>
      </c>
      <c r="F2320" t="s" s="2">
        <v>42</v>
      </c>
      <c r="G2320" t="s" s="2">
        <v>42</v>
      </c>
      <c r="H2320" s="5">
        <v>550</v>
      </c>
      <c r="I2320" t="s" s="2">
        <v>526</v>
      </c>
      <c r="J2320" t="s" s="2">
        <v>22</v>
      </c>
      <c r="K2320" t="s" s="2">
        <v>4514</v>
      </c>
      <c r="L2320" s="5">
        <v>187</v>
      </c>
      <c r="M2320" s="5">
        <v>496343.73</v>
      </c>
      <c r="N2320" s="5">
        <v>6092290.86</v>
      </c>
      <c r="O2320" t="s" s="2">
        <v>305</v>
      </c>
      <c r="P2320" s="5">
        <v>91227</v>
      </c>
      <c r="Q2320" t="s" s="2">
        <v>43</v>
      </c>
      <c r="R2320" s="5">
        <f>_xlfn.IFERROR(INDEX('model_byCAP'!$D$2:$D$377,MATCH(Q2320,'model_byCAP'!$A$2:$A$377,0)),0)</f>
        <v>0</v>
      </c>
    </row>
    <row r="2321" ht="15.35" customHeight="1">
      <c r="A2321" t="s" s="2">
        <v>4515</v>
      </c>
      <c r="B2321" s="4">
        <v>36733</v>
      </c>
      <c r="C2321" s="5">
        <v>750</v>
      </c>
      <c r="D2321" s="5">
        <v>48</v>
      </c>
      <c r="E2321" s="5">
        <v>45</v>
      </c>
      <c r="F2321" t="s" s="2">
        <v>1746</v>
      </c>
      <c r="G2321" t="s" s="2">
        <v>4044</v>
      </c>
      <c r="H2321" s="5">
        <v>550</v>
      </c>
      <c r="I2321" t="s" s="2">
        <v>526</v>
      </c>
      <c r="J2321" t="s" s="2">
        <v>22</v>
      </c>
      <c r="K2321" t="s" s="2">
        <v>4512</v>
      </c>
      <c r="L2321" s="5">
        <v>387</v>
      </c>
      <c r="M2321" s="5">
        <v>489440.49</v>
      </c>
      <c r="N2321" s="5">
        <v>6117301.16</v>
      </c>
      <c r="O2321" t="s" s="2">
        <v>305</v>
      </c>
      <c r="P2321" s="5">
        <v>91313</v>
      </c>
      <c r="Q2321" t="s" s="2">
        <v>4046</v>
      </c>
      <c r="R2321" t="s" s="2">
        <f>_xlfn.IFERROR(INDEX('model_byCAP'!$D$2:$D$377,MATCH(Q2321,'model_byCAP'!$A$2:$A$377,0)),0)</f>
        <v>4047</v>
      </c>
    </row>
    <row r="2322" ht="15.35" customHeight="1">
      <c r="A2322" t="s" s="2">
        <v>4516</v>
      </c>
      <c r="B2322" s="4">
        <v>36822</v>
      </c>
      <c r="C2322" s="5">
        <v>750</v>
      </c>
      <c r="D2322" s="5">
        <v>48</v>
      </c>
      <c r="E2322" s="5">
        <v>45</v>
      </c>
      <c r="F2322" t="s" s="2">
        <v>1746</v>
      </c>
      <c r="G2322" t="s" s="2">
        <v>4044</v>
      </c>
      <c r="H2322" s="5">
        <v>550</v>
      </c>
      <c r="I2322" t="s" s="2">
        <v>526</v>
      </c>
      <c r="J2322" t="s" s="2">
        <v>22</v>
      </c>
      <c r="K2322" t="s" s="2">
        <v>4517</v>
      </c>
      <c r="L2322" s="5">
        <v>394</v>
      </c>
      <c r="M2322" s="5">
        <v>489179.28</v>
      </c>
      <c r="N2322" s="5">
        <v>6117230.92</v>
      </c>
      <c r="O2322" t="s" s="2">
        <v>305</v>
      </c>
      <c r="P2322" s="5">
        <v>91513</v>
      </c>
      <c r="Q2322" t="s" s="2">
        <v>4046</v>
      </c>
      <c r="R2322" t="s" s="2">
        <f>_xlfn.IFERROR(INDEX('model_byCAP'!$D$2:$D$377,MATCH(Q2322,'model_byCAP'!$A$2:$A$377,0)),0)</f>
        <v>4047</v>
      </c>
    </row>
    <row r="2323" ht="15.35" customHeight="1">
      <c r="A2323" t="s" s="2">
        <v>4518</v>
      </c>
      <c r="B2323" s="4">
        <v>36447</v>
      </c>
      <c r="C2323" s="5">
        <v>750</v>
      </c>
      <c r="D2323" s="5">
        <v>48</v>
      </c>
      <c r="E2323" s="5">
        <v>45</v>
      </c>
      <c r="F2323" t="s" s="2">
        <v>1746</v>
      </c>
      <c r="G2323" t="s" s="2">
        <v>4044</v>
      </c>
      <c r="H2323" s="5">
        <v>561</v>
      </c>
      <c r="I2323" t="s" s="2">
        <v>196</v>
      </c>
      <c r="J2323" t="s" s="2">
        <v>22</v>
      </c>
      <c r="K2323" t="s" s="2">
        <v>4519</v>
      </c>
      <c r="L2323" t="s" s="2">
        <v>869</v>
      </c>
      <c r="M2323" s="5">
        <v>471208.51</v>
      </c>
      <c r="N2323" s="5">
        <v>6148088.81</v>
      </c>
      <c r="O2323" t="s" s="2">
        <v>305</v>
      </c>
      <c r="P2323" s="5">
        <v>62144</v>
      </c>
      <c r="Q2323" t="s" s="2">
        <v>4046</v>
      </c>
      <c r="R2323" t="s" s="2">
        <f>_xlfn.IFERROR(INDEX('model_byCAP'!$D$2:$D$377,MATCH(Q2323,'model_byCAP'!$A$2:$A$377,0)),0)</f>
        <v>4047</v>
      </c>
    </row>
    <row r="2324" ht="15.35" customHeight="1">
      <c r="A2324" t="s" s="2">
        <v>4520</v>
      </c>
      <c r="B2324" s="4">
        <v>35453</v>
      </c>
      <c r="C2324" s="5">
        <v>750</v>
      </c>
      <c r="D2324" s="5">
        <v>44</v>
      </c>
      <c r="E2324" s="5">
        <v>46</v>
      </c>
      <c r="F2324" t="s" s="2">
        <v>1746</v>
      </c>
      <c r="G2324" t="s" s="2">
        <v>4168</v>
      </c>
      <c r="H2324" s="5">
        <v>573</v>
      </c>
      <c r="I2324" t="s" s="2">
        <v>1041</v>
      </c>
      <c r="J2324" t="s" s="2">
        <v>22</v>
      </c>
      <c r="K2324" t="s" s="2">
        <v>4521</v>
      </c>
      <c r="L2324" t="s" s="2">
        <v>492</v>
      </c>
      <c r="M2324" s="5">
        <v>471739.53</v>
      </c>
      <c r="N2324" s="5">
        <v>6177033.87</v>
      </c>
      <c r="O2324" t="s" s="2">
        <v>305</v>
      </c>
      <c r="P2324" s="5">
        <v>60131</v>
      </c>
      <c r="Q2324" t="s" s="2">
        <v>4171</v>
      </c>
      <c r="R2324" t="s" s="2">
        <f>_xlfn.IFERROR(INDEX('model_byCAP'!$D$2:$D$377,MATCH(Q2324,'model_byCAP'!$A$2:$A$377,0)),0)</f>
        <v>4042</v>
      </c>
    </row>
    <row r="2325" ht="15.35" customHeight="1">
      <c r="A2325" t="s" s="2">
        <v>4522</v>
      </c>
      <c r="B2325" s="4">
        <v>35453</v>
      </c>
      <c r="C2325" s="5">
        <v>750</v>
      </c>
      <c r="D2325" s="5">
        <v>44</v>
      </c>
      <c r="E2325" s="5">
        <v>46</v>
      </c>
      <c r="F2325" t="s" s="2">
        <v>1746</v>
      </c>
      <c r="G2325" t="s" s="2">
        <v>4168</v>
      </c>
      <c r="H2325" s="5">
        <v>573</v>
      </c>
      <c r="I2325" t="s" s="2">
        <v>1041</v>
      </c>
      <c r="J2325" t="s" s="2">
        <v>22</v>
      </c>
      <c r="K2325" t="s" s="2">
        <v>4521</v>
      </c>
      <c r="L2325" t="s" s="2">
        <v>492</v>
      </c>
      <c r="M2325" s="5">
        <v>472042.48</v>
      </c>
      <c r="N2325" s="5">
        <v>6177011.49</v>
      </c>
      <c r="O2325" t="s" s="2">
        <v>305</v>
      </c>
      <c r="P2325" s="5">
        <v>60132</v>
      </c>
      <c r="Q2325" t="s" s="2">
        <v>4171</v>
      </c>
      <c r="R2325" t="s" s="2">
        <f>_xlfn.IFERROR(INDEX('model_byCAP'!$D$2:$D$377,MATCH(Q2325,'model_byCAP'!$A$2:$A$377,0)),0)</f>
        <v>4042</v>
      </c>
    </row>
    <row r="2326" ht="15.35" customHeight="1">
      <c r="A2326" t="s" s="2">
        <v>4523</v>
      </c>
      <c r="B2326" s="4">
        <v>35458</v>
      </c>
      <c r="C2326" s="5">
        <v>750</v>
      </c>
      <c r="D2326" s="5">
        <v>44</v>
      </c>
      <c r="E2326" s="5">
        <v>46</v>
      </c>
      <c r="F2326" t="s" s="2">
        <v>1746</v>
      </c>
      <c r="G2326" t="s" s="2">
        <v>4524</v>
      </c>
      <c r="H2326" s="5">
        <v>573</v>
      </c>
      <c r="I2326" t="s" s="2">
        <v>1041</v>
      </c>
      <c r="J2326" t="s" s="2">
        <v>22</v>
      </c>
      <c r="K2326" t="s" s="2">
        <v>4525</v>
      </c>
      <c r="L2326" t="s" s="2">
        <v>2348</v>
      </c>
      <c r="M2326" s="5">
        <v>472652.18</v>
      </c>
      <c r="N2326" s="5">
        <v>6178622.11</v>
      </c>
      <c r="O2326" t="s" s="2">
        <v>305</v>
      </c>
      <c r="P2326" s="5">
        <v>60133</v>
      </c>
      <c r="Q2326" t="s" s="2">
        <v>4526</v>
      </c>
      <c r="R2326" t="s" s="2">
        <f>_xlfn.IFERROR(INDEX('model_byCAP'!$D$2:$D$377,MATCH(Q2326,'model_byCAP'!$A$2:$A$377,0)),0)</f>
        <v>4076</v>
      </c>
    </row>
    <row r="2327" ht="15.35" customHeight="1">
      <c r="A2327" t="s" s="2">
        <v>4527</v>
      </c>
      <c r="B2327" s="4">
        <v>35453</v>
      </c>
      <c r="C2327" s="5">
        <v>750</v>
      </c>
      <c r="D2327" s="5">
        <v>44</v>
      </c>
      <c r="E2327" s="5">
        <v>46</v>
      </c>
      <c r="F2327" t="s" s="2">
        <v>1746</v>
      </c>
      <c r="G2327" t="s" s="2">
        <v>4524</v>
      </c>
      <c r="H2327" s="5">
        <v>573</v>
      </c>
      <c r="I2327" t="s" s="2">
        <v>1041</v>
      </c>
      <c r="J2327" t="s" s="2">
        <v>22</v>
      </c>
      <c r="K2327" t="s" s="2">
        <v>4525</v>
      </c>
      <c r="L2327" t="s" s="2">
        <v>2348</v>
      </c>
      <c r="M2327" s="5">
        <v>472419.02</v>
      </c>
      <c r="N2327" s="5">
        <v>6178696.76</v>
      </c>
      <c r="O2327" t="s" s="2">
        <v>305</v>
      </c>
      <c r="P2327" s="5">
        <v>60134</v>
      </c>
      <c r="Q2327" t="s" s="2">
        <v>4526</v>
      </c>
      <c r="R2327" t="s" s="2">
        <f>_xlfn.IFERROR(INDEX('model_byCAP'!$D$2:$D$377,MATCH(Q2327,'model_byCAP'!$A$2:$A$377,0)),0)</f>
        <v>4076</v>
      </c>
    </row>
    <row r="2328" ht="15.35" customHeight="1">
      <c r="A2328" t="s" s="2">
        <v>4528</v>
      </c>
      <c r="B2328" s="4">
        <v>35453</v>
      </c>
      <c r="C2328" s="5">
        <v>750</v>
      </c>
      <c r="D2328" s="5">
        <v>44</v>
      </c>
      <c r="E2328" s="5">
        <v>46</v>
      </c>
      <c r="F2328" t="s" s="2">
        <v>1746</v>
      </c>
      <c r="G2328" t="s" s="2">
        <v>4524</v>
      </c>
      <c r="H2328" s="5">
        <v>573</v>
      </c>
      <c r="I2328" t="s" s="2">
        <v>1041</v>
      </c>
      <c r="J2328" t="s" s="2">
        <v>22</v>
      </c>
      <c r="K2328" t="s" s="2">
        <v>4525</v>
      </c>
      <c r="L2328" t="s" s="2">
        <v>2348</v>
      </c>
      <c r="M2328" s="5">
        <v>472185.56</v>
      </c>
      <c r="N2328" s="5">
        <v>6178772.45</v>
      </c>
      <c r="O2328" t="s" s="2">
        <v>305</v>
      </c>
      <c r="P2328" s="5">
        <v>60135</v>
      </c>
      <c r="Q2328" t="s" s="2">
        <v>4526</v>
      </c>
      <c r="R2328" t="s" s="2">
        <f>_xlfn.IFERROR(INDEX('model_byCAP'!$D$2:$D$377,MATCH(Q2328,'model_byCAP'!$A$2:$A$377,0)),0)</f>
        <v>4076</v>
      </c>
    </row>
    <row r="2329" ht="15.35" customHeight="1">
      <c r="A2329" t="s" s="2">
        <v>4529</v>
      </c>
      <c r="B2329" s="4">
        <v>35979</v>
      </c>
      <c r="C2329" s="5">
        <v>750</v>
      </c>
      <c r="D2329" s="5">
        <v>48</v>
      </c>
      <c r="E2329" s="5">
        <v>50</v>
      </c>
      <c r="F2329" t="s" s="2">
        <v>1746</v>
      </c>
      <c r="G2329" t="s" s="2">
        <v>4151</v>
      </c>
      <c r="H2329" s="5">
        <v>575</v>
      </c>
      <c r="I2329" t="s" s="2">
        <v>2952</v>
      </c>
      <c r="J2329" t="s" s="2">
        <v>22</v>
      </c>
      <c r="K2329" t="s" s="2">
        <v>4530</v>
      </c>
      <c r="L2329" t="s" s="2">
        <v>4399</v>
      </c>
      <c r="M2329" s="5">
        <v>512225.8</v>
      </c>
      <c r="N2329" s="5">
        <v>6160871.85</v>
      </c>
      <c r="O2329" t="s" s="2">
        <v>305</v>
      </c>
      <c r="P2329" s="5">
        <v>2202143</v>
      </c>
      <c r="Q2329" t="s" s="2">
        <v>4154</v>
      </c>
      <c r="R2329" t="s" s="2">
        <f>_xlfn.IFERROR(INDEX('model_byCAP'!$D$2:$D$377,MATCH(Q2329,'model_byCAP'!$A$2:$A$377,0)),0)</f>
        <v>4047</v>
      </c>
    </row>
    <row r="2330" ht="15.35" customHeight="1">
      <c r="A2330" t="s" s="2">
        <v>4531</v>
      </c>
      <c r="B2330" s="4">
        <v>35979</v>
      </c>
      <c r="C2330" s="5">
        <v>750</v>
      </c>
      <c r="D2330" s="5">
        <v>48</v>
      </c>
      <c r="E2330" s="5">
        <v>50</v>
      </c>
      <c r="F2330" t="s" s="2">
        <v>1746</v>
      </c>
      <c r="G2330" t="s" s="2">
        <v>4044</v>
      </c>
      <c r="H2330" s="5">
        <v>575</v>
      </c>
      <c r="I2330" t="s" s="2">
        <v>2952</v>
      </c>
      <c r="J2330" t="s" s="2">
        <v>22</v>
      </c>
      <c r="K2330" t="s" s="2">
        <v>4532</v>
      </c>
      <c r="L2330" t="s" s="2">
        <v>2931</v>
      </c>
      <c r="M2330" s="5">
        <v>512091.61</v>
      </c>
      <c r="N2330" s="5">
        <v>6161098.78</v>
      </c>
      <c r="O2330" t="s" s="2">
        <v>305</v>
      </c>
      <c r="P2330" s="5">
        <v>2202144</v>
      </c>
      <c r="Q2330" t="s" s="2">
        <v>4046</v>
      </c>
      <c r="R2330" t="s" s="2">
        <f>_xlfn.IFERROR(INDEX('model_byCAP'!$D$2:$D$377,MATCH(Q2330,'model_byCAP'!$A$2:$A$377,0)),0)</f>
        <v>4047</v>
      </c>
    </row>
    <row r="2331" ht="15.35" customHeight="1">
      <c r="A2331" t="s" s="2">
        <v>4533</v>
      </c>
      <c r="B2331" s="4">
        <v>36087</v>
      </c>
      <c r="C2331" s="5">
        <v>750</v>
      </c>
      <c r="D2331" s="5">
        <v>48</v>
      </c>
      <c r="E2331" s="5">
        <v>55</v>
      </c>
      <c r="F2331" t="s" s="2">
        <v>1746</v>
      </c>
      <c r="G2331" t="s" s="2">
        <v>4151</v>
      </c>
      <c r="H2331" s="5">
        <v>575</v>
      </c>
      <c r="I2331" t="s" s="2">
        <v>2952</v>
      </c>
      <c r="J2331" t="s" s="2">
        <v>22</v>
      </c>
      <c r="K2331" t="s" s="2">
        <v>4534</v>
      </c>
      <c r="L2331" t="s" s="2">
        <v>2872</v>
      </c>
      <c r="M2331" s="5">
        <v>512251.71</v>
      </c>
      <c r="N2331" s="5">
        <v>6149102.37</v>
      </c>
      <c r="O2331" t="s" s="2">
        <v>305</v>
      </c>
      <c r="P2331" s="5">
        <v>202297</v>
      </c>
      <c r="Q2331" t="s" s="2">
        <v>4154</v>
      </c>
      <c r="R2331" t="s" s="2">
        <f>_xlfn.IFERROR(INDEX('model_byCAP'!$D$2:$D$377,MATCH(Q2331,'model_byCAP'!$A$2:$A$377,0)),0)</f>
        <v>4047</v>
      </c>
    </row>
    <row r="2332" ht="15.35" customHeight="1">
      <c r="A2332" t="s" s="2">
        <v>4535</v>
      </c>
      <c r="B2332" s="4">
        <v>36469</v>
      </c>
      <c r="C2332" s="5">
        <v>750</v>
      </c>
      <c r="D2332" s="5">
        <v>48</v>
      </c>
      <c r="E2332" s="5">
        <v>50</v>
      </c>
      <c r="F2332" t="s" s="2">
        <v>1746</v>
      </c>
      <c r="G2332" t="s" s="2">
        <v>4044</v>
      </c>
      <c r="H2332" s="5">
        <v>575</v>
      </c>
      <c r="I2332" t="s" s="2">
        <v>2952</v>
      </c>
      <c r="J2332" t="s" s="2">
        <v>22</v>
      </c>
      <c r="K2332" t="s" s="2">
        <v>4536</v>
      </c>
      <c r="L2332" t="s" s="2">
        <v>992</v>
      </c>
      <c r="M2332" s="5">
        <v>516209.35</v>
      </c>
      <c r="N2332" s="5">
        <v>6158993.01</v>
      </c>
      <c r="O2332" t="s" s="2">
        <v>305</v>
      </c>
      <c r="P2332" s="5">
        <v>2203338</v>
      </c>
      <c r="Q2332" t="s" s="2">
        <v>4046</v>
      </c>
      <c r="R2332" t="s" s="2">
        <f>_xlfn.IFERROR(INDEX('model_byCAP'!$D$2:$D$377,MATCH(Q2332,'model_byCAP'!$A$2:$A$377,0)),0)</f>
        <v>4047</v>
      </c>
    </row>
    <row r="2333" ht="15.35" customHeight="1">
      <c r="A2333" t="s" s="2">
        <v>4537</v>
      </c>
      <c r="B2333" s="4">
        <v>36469</v>
      </c>
      <c r="C2333" s="5">
        <v>750</v>
      </c>
      <c r="D2333" s="5">
        <v>48.2</v>
      </c>
      <c r="E2333" s="5">
        <v>50</v>
      </c>
      <c r="F2333" t="s" s="2">
        <v>1746</v>
      </c>
      <c r="G2333" t="s" s="2">
        <v>4044</v>
      </c>
      <c r="H2333" s="5">
        <v>575</v>
      </c>
      <c r="I2333" t="s" s="2">
        <v>2952</v>
      </c>
      <c r="J2333" t="s" s="2">
        <v>22</v>
      </c>
      <c r="K2333" t="s" s="2">
        <v>4538</v>
      </c>
      <c r="L2333" t="s" s="2">
        <v>32</v>
      </c>
      <c r="M2333" s="5">
        <v>516294.08</v>
      </c>
      <c r="N2333" s="5">
        <v>6159174.13</v>
      </c>
      <c r="O2333" t="s" s="2">
        <v>305</v>
      </c>
      <c r="P2333" s="5">
        <v>2203339</v>
      </c>
      <c r="Q2333" t="s" s="2">
        <v>4046</v>
      </c>
      <c r="R2333" t="s" s="2">
        <f>_xlfn.IFERROR(INDEX('model_byCAP'!$D$2:$D$377,MATCH(Q2333,'model_byCAP'!$A$2:$A$377,0)),0)</f>
        <v>4047</v>
      </c>
    </row>
    <row r="2334" ht="15.35" customHeight="1">
      <c r="A2334" t="s" s="2">
        <v>4539</v>
      </c>
      <c r="B2334" s="4">
        <v>36469</v>
      </c>
      <c r="C2334" s="5">
        <v>750</v>
      </c>
      <c r="D2334" s="5">
        <v>48</v>
      </c>
      <c r="E2334" s="5">
        <v>50</v>
      </c>
      <c r="F2334" t="s" s="2">
        <v>1746</v>
      </c>
      <c r="G2334" t="s" s="2">
        <v>4044</v>
      </c>
      <c r="H2334" s="5">
        <v>575</v>
      </c>
      <c r="I2334" t="s" s="2">
        <v>2952</v>
      </c>
      <c r="J2334" t="s" s="2">
        <v>22</v>
      </c>
      <c r="K2334" t="s" s="2">
        <v>4538</v>
      </c>
      <c r="L2334" t="s" s="2">
        <v>939</v>
      </c>
      <c r="M2334" s="5">
        <v>516378.84</v>
      </c>
      <c r="N2334" s="5">
        <v>6159355.37</v>
      </c>
      <c r="O2334" t="s" s="2">
        <v>305</v>
      </c>
      <c r="P2334" s="5">
        <v>2203340</v>
      </c>
      <c r="Q2334" t="s" s="2">
        <v>4046</v>
      </c>
      <c r="R2334" t="s" s="2">
        <f>_xlfn.IFERROR(INDEX('model_byCAP'!$D$2:$D$377,MATCH(Q2334,'model_byCAP'!$A$2:$A$377,0)),0)</f>
        <v>4047</v>
      </c>
    </row>
    <row r="2335" ht="15.35" customHeight="1">
      <c r="A2335" t="s" s="2">
        <v>4540</v>
      </c>
      <c r="B2335" s="4">
        <v>36105</v>
      </c>
      <c r="C2335" s="5">
        <v>750</v>
      </c>
      <c r="D2335" s="5">
        <v>48</v>
      </c>
      <c r="E2335" s="5">
        <v>45</v>
      </c>
      <c r="F2335" t="s" s="2">
        <v>1746</v>
      </c>
      <c r="G2335" t="s" s="2">
        <v>4541</v>
      </c>
      <c r="H2335" s="5">
        <v>575</v>
      </c>
      <c r="I2335" t="s" s="2">
        <v>2952</v>
      </c>
      <c r="J2335" t="s" s="2">
        <v>22</v>
      </c>
      <c r="K2335" t="s" s="2">
        <v>4542</v>
      </c>
      <c r="L2335" t="s" s="2">
        <v>2931</v>
      </c>
      <c r="M2335" s="5">
        <v>499251.99</v>
      </c>
      <c r="N2335" s="5">
        <v>6160336.07</v>
      </c>
      <c r="O2335" t="s" s="2">
        <v>305</v>
      </c>
      <c r="P2335" s="5">
        <v>61555</v>
      </c>
      <c r="Q2335" t="s" s="2">
        <v>4543</v>
      </c>
      <c r="R2335" t="s" s="2">
        <f>_xlfn.IFERROR(INDEX('model_byCAP'!$D$2:$D$377,MATCH(Q2335,'model_byCAP'!$A$2:$A$377,0)),0)</f>
        <v>2955</v>
      </c>
    </row>
    <row r="2336" ht="15.35" customHeight="1">
      <c r="A2336" t="s" s="2">
        <v>4544</v>
      </c>
      <c r="B2336" s="4">
        <v>36105</v>
      </c>
      <c r="C2336" s="5">
        <v>750</v>
      </c>
      <c r="D2336" s="5">
        <v>48</v>
      </c>
      <c r="E2336" s="5">
        <v>55</v>
      </c>
      <c r="F2336" t="s" s="2">
        <v>1746</v>
      </c>
      <c r="G2336" t="s" s="2">
        <v>4541</v>
      </c>
      <c r="H2336" s="5">
        <v>575</v>
      </c>
      <c r="I2336" t="s" s="2">
        <v>2952</v>
      </c>
      <c r="J2336" t="s" s="2">
        <v>22</v>
      </c>
      <c r="K2336" t="s" s="2">
        <v>4542</v>
      </c>
      <c r="L2336" t="s" s="2">
        <v>1256</v>
      </c>
      <c r="M2336" s="5">
        <v>499259.38</v>
      </c>
      <c r="N2336" s="5">
        <v>6160149.85</v>
      </c>
      <c r="O2336" t="s" s="2">
        <v>305</v>
      </c>
      <c r="P2336" s="5">
        <v>61556</v>
      </c>
      <c r="Q2336" t="s" s="2">
        <v>4543</v>
      </c>
      <c r="R2336" t="s" s="2">
        <f>_xlfn.IFERROR(INDEX('model_byCAP'!$D$2:$D$377,MATCH(Q2336,'model_byCAP'!$A$2:$A$377,0)),0)</f>
        <v>2955</v>
      </c>
    </row>
    <row r="2337" ht="15.35" customHeight="1">
      <c r="A2337" t="s" s="2">
        <v>4545</v>
      </c>
      <c r="B2337" s="4">
        <v>36201</v>
      </c>
      <c r="C2337" s="5">
        <v>750</v>
      </c>
      <c r="D2337" s="5">
        <v>48</v>
      </c>
      <c r="E2337" s="5">
        <v>55</v>
      </c>
      <c r="F2337" t="s" s="2">
        <v>1746</v>
      </c>
      <c r="G2337" t="s" s="2">
        <v>4546</v>
      </c>
      <c r="H2337" s="5">
        <v>575</v>
      </c>
      <c r="I2337" t="s" s="2">
        <v>2952</v>
      </c>
      <c r="J2337" t="s" s="2">
        <v>22</v>
      </c>
      <c r="K2337" t="s" s="2">
        <v>4547</v>
      </c>
      <c r="L2337" t="s" s="2">
        <v>524</v>
      </c>
      <c r="M2337" s="5">
        <v>503958.56</v>
      </c>
      <c r="N2337" s="5">
        <v>6157110.45</v>
      </c>
      <c r="O2337" t="s" s="2">
        <v>305</v>
      </c>
      <c r="P2337" s="5">
        <v>61774</v>
      </c>
      <c r="Q2337" t="s" s="2">
        <v>4548</v>
      </c>
      <c r="R2337" t="s" s="2">
        <f>_xlfn.IFERROR(INDEX('model_byCAP'!$D$2:$D$377,MATCH(Q2337,'model_byCAP'!$A$2:$A$377,0)),0)</f>
        <v>2955</v>
      </c>
    </row>
    <row r="2338" ht="15.35" customHeight="1">
      <c r="A2338" t="s" s="2">
        <v>4549</v>
      </c>
      <c r="B2338" s="4">
        <v>36201</v>
      </c>
      <c r="C2338" s="5">
        <v>750</v>
      </c>
      <c r="D2338" s="5">
        <v>48</v>
      </c>
      <c r="E2338" s="5">
        <v>55</v>
      </c>
      <c r="F2338" t="s" s="2">
        <v>1746</v>
      </c>
      <c r="G2338" t="s" s="2">
        <v>4546</v>
      </c>
      <c r="H2338" s="5">
        <v>575</v>
      </c>
      <c r="I2338" t="s" s="2">
        <v>2952</v>
      </c>
      <c r="J2338" t="s" s="2">
        <v>22</v>
      </c>
      <c r="K2338" t="s" s="2">
        <v>4547</v>
      </c>
      <c r="L2338" t="s" s="2">
        <v>524</v>
      </c>
      <c r="M2338" s="5">
        <v>503868.23</v>
      </c>
      <c r="N2338" s="5">
        <v>6157291.5</v>
      </c>
      <c r="O2338" t="s" s="2">
        <v>305</v>
      </c>
      <c r="P2338" s="5">
        <v>61775</v>
      </c>
      <c r="Q2338" t="s" s="2">
        <v>4548</v>
      </c>
      <c r="R2338" t="s" s="2">
        <f>_xlfn.IFERROR(INDEX('model_byCAP'!$D$2:$D$377,MATCH(Q2338,'model_byCAP'!$A$2:$A$377,0)),0)</f>
        <v>2955</v>
      </c>
    </row>
    <row r="2339" ht="15.35" customHeight="1">
      <c r="A2339" t="s" s="2">
        <v>4550</v>
      </c>
      <c r="B2339" s="4">
        <v>36130</v>
      </c>
      <c r="C2339" s="5">
        <v>750</v>
      </c>
      <c r="D2339" s="5">
        <v>48</v>
      </c>
      <c r="E2339" s="5">
        <v>46</v>
      </c>
      <c r="F2339" t="s" s="2">
        <v>1746</v>
      </c>
      <c r="G2339" t="s" s="2">
        <v>4044</v>
      </c>
      <c r="H2339" s="5">
        <v>580</v>
      </c>
      <c r="I2339" t="s" s="2">
        <v>1542</v>
      </c>
      <c r="J2339" t="s" s="2">
        <v>22</v>
      </c>
      <c r="K2339" t="s" s="2">
        <v>4551</v>
      </c>
      <c r="L2339" s="5">
        <v>4</v>
      </c>
      <c r="M2339" s="5">
        <v>505784.89</v>
      </c>
      <c r="N2339" s="5">
        <v>6091340.32</v>
      </c>
      <c r="O2339" t="s" s="2">
        <v>305</v>
      </c>
      <c r="P2339" s="5">
        <v>90413</v>
      </c>
      <c r="Q2339" t="s" s="2">
        <v>4046</v>
      </c>
      <c r="R2339" t="s" s="2">
        <f>_xlfn.IFERROR(INDEX('model_byCAP'!$D$2:$D$377,MATCH(Q2339,'model_byCAP'!$A$2:$A$377,0)),0)</f>
        <v>4047</v>
      </c>
    </row>
    <row r="2340" ht="15.35" customHeight="1">
      <c r="A2340" t="s" s="2">
        <v>4552</v>
      </c>
      <c r="B2340" s="4">
        <v>36238</v>
      </c>
      <c r="C2340" s="5">
        <v>750</v>
      </c>
      <c r="D2340" s="5">
        <v>48</v>
      </c>
      <c r="E2340" s="5">
        <v>45</v>
      </c>
      <c r="F2340" t="s" s="2">
        <v>1746</v>
      </c>
      <c r="G2340" t="s" s="2">
        <v>4044</v>
      </c>
      <c r="H2340" s="5">
        <v>580</v>
      </c>
      <c r="I2340" t="s" s="2">
        <v>1542</v>
      </c>
      <c r="J2340" t="s" s="2">
        <v>22</v>
      </c>
      <c r="K2340" t="s" s="2">
        <v>4553</v>
      </c>
      <c r="L2340" s="5">
        <v>561</v>
      </c>
      <c r="M2340" s="5">
        <v>513823.78</v>
      </c>
      <c r="N2340" s="5">
        <v>6105741.26</v>
      </c>
      <c r="O2340" t="s" s="2">
        <v>305</v>
      </c>
      <c r="P2340" s="5">
        <v>90609</v>
      </c>
      <c r="Q2340" t="s" s="2">
        <v>4046</v>
      </c>
      <c r="R2340" t="s" s="2">
        <f>_xlfn.IFERROR(INDEX('model_byCAP'!$D$2:$D$377,MATCH(Q2340,'model_byCAP'!$A$2:$A$377,0)),0)</f>
        <v>4047</v>
      </c>
    </row>
    <row r="2341" ht="15.35" customHeight="1">
      <c r="A2341" t="s" s="2">
        <v>4554</v>
      </c>
      <c r="B2341" s="4">
        <v>36238</v>
      </c>
      <c r="C2341" s="5">
        <v>750</v>
      </c>
      <c r="D2341" s="5">
        <v>48</v>
      </c>
      <c r="E2341" s="5">
        <v>45</v>
      </c>
      <c r="F2341" t="s" s="2">
        <v>1746</v>
      </c>
      <c r="G2341" t="s" s="2">
        <v>4168</v>
      </c>
      <c r="H2341" s="5">
        <v>580</v>
      </c>
      <c r="I2341" t="s" s="2">
        <v>1542</v>
      </c>
      <c r="J2341" t="s" s="2">
        <v>22</v>
      </c>
      <c r="K2341" t="s" s="2">
        <v>4553</v>
      </c>
      <c r="L2341" s="5">
        <v>562</v>
      </c>
      <c r="M2341" s="5">
        <v>513826.59</v>
      </c>
      <c r="N2341" s="5">
        <v>6105741.58</v>
      </c>
      <c r="O2341" t="s" s="2">
        <v>25</v>
      </c>
      <c r="P2341" s="5">
        <v>90610</v>
      </c>
      <c r="Q2341" t="s" s="2">
        <v>4171</v>
      </c>
      <c r="R2341" t="s" s="2">
        <f>_xlfn.IFERROR(INDEX('model_byCAP'!$D$2:$D$377,MATCH(Q2341,'model_byCAP'!$A$2:$A$377,0)),0)</f>
        <v>4042</v>
      </c>
    </row>
    <row r="2342" ht="15.35" customHeight="1">
      <c r="A2342" t="s" s="2">
        <v>4555</v>
      </c>
      <c r="B2342" s="4">
        <v>36829</v>
      </c>
      <c r="C2342" s="5">
        <v>750</v>
      </c>
      <c r="D2342" s="5">
        <v>44</v>
      </c>
      <c r="E2342" s="5">
        <v>46</v>
      </c>
      <c r="F2342" t="s" s="2">
        <v>1746</v>
      </c>
      <c r="G2342" t="s" s="2">
        <v>4151</v>
      </c>
      <c r="H2342" s="5">
        <v>580</v>
      </c>
      <c r="I2342" t="s" s="2">
        <v>1542</v>
      </c>
      <c r="J2342" t="s" s="2">
        <v>22</v>
      </c>
      <c r="K2342" t="s" s="2">
        <v>3256</v>
      </c>
      <c r="L2342" s="5">
        <v>40</v>
      </c>
      <c r="M2342" s="5">
        <v>536006.8100000001</v>
      </c>
      <c r="N2342" s="5">
        <v>6094373.78</v>
      </c>
      <c r="O2342" t="s" s="2">
        <v>305</v>
      </c>
      <c r="P2342" s="5">
        <v>200135</v>
      </c>
      <c r="Q2342" t="s" s="2">
        <v>4154</v>
      </c>
      <c r="R2342" t="s" s="2">
        <f>_xlfn.IFERROR(INDEX('model_byCAP'!$D$2:$D$377,MATCH(Q2342,'model_byCAP'!$A$2:$A$377,0)),0)</f>
        <v>4047</v>
      </c>
    </row>
    <row r="2343" ht="15.35" customHeight="1">
      <c r="A2343" t="s" s="2">
        <v>4556</v>
      </c>
      <c r="B2343" s="4">
        <v>36875</v>
      </c>
      <c r="C2343" s="5">
        <v>750</v>
      </c>
      <c r="D2343" s="5">
        <v>48</v>
      </c>
      <c r="E2343" s="5">
        <v>45</v>
      </c>
      <c r="F2343" t="s" s="2">
        <v>1746</v>
      </c>
      <c r="G2343" t="s" s="2">
        <v>4044</v>
      </c>
      <c r="H2343" s="5">
        <v>580</v>
      </c>
      <c r="I2343" t="s" s="2">
        <v>1542</v>
      </c>
      <c r="J2343" t="s" s="2">
        <v>22</v>
      </c>
      <c r="K2343" t="s" s="2">
        <v>4557</v>
      </c>
      <c r="L2343" s="5">
        <v>32</v>
      </c>
      <c r="M2343" s="5">
        <v>530817.77</v>
      </c>
      <c r="N2343" s="5">
        <v>6089857.83</v>
      </c>
      <c r="O2343" t="s" s="2">
        <v>305</v>
      </c>
      <c r="P2343" s="5">
        <v>200142</v>
      </c>
      <c r="Q2343" t="s" s="2">
        <v>4046</v>
      </c>
      <c r="R2343" t="s" s="2">
        <f>_xlfn.IFERROR(INDEX('model_byCAP'!$D$2:$D$377,MATCH(Q2343,'model_byCAP'!$A$2:$A$377,0)),0)</f>
        <v>4047</v>
      </c>
    </row>
    <row r="2344" ht="15.35" customHeight="1">
      <c r="A2344" t="s" s="2">
        <v>4558</v>
      </c>
      <c r="B2344" s="4">
        <v>36004</v>
      </c>
      <c r="C2344" s="5">
        <v>750</v>
      </c>
      <c r="D2344" s="5">
        <v>48</v>
      </c>
      <c r="E2344" s="5">
        <v>45</v>
      </c>
      <c r="F2344" t="s" s="2">
        <v>1746</v>
      </c>
      <c r="G2344" t="s" s="2">
        <v>4044</v>
      </c>
      <c r="H2344" s="5">
        <v>580</v>
      </c>
      <c r="I2344" t="s" s="2">
        <v>1542</v>
      </c>
      <c r="J2344" t="s" s="2">
        <v>22</v>
      </c>
      <c r="K2344" t="s" s="2">
        <v>4559</v>
      </c>
      <c r="L2344" s="5">
        <v>14</v>
      </c>
      <c r="M2344" s="5">
        <v>532814.01</v>
      </c>
      <c r="N2344" s="5">
        <v>6091120.21</v>
      </c>
      <c r="O2344" t="s" s="2">
        <v>305</v>
      </c>
      <c r="P2344" s="5">
        <v>200207</v>
      </c>
      <c r="Q2344" t="s" s="2">
        <v>4046</v>
      </c>
      <c r="R2344" t="s" s="2">
        <f>_xlfn.IFERROR(INDEX('model_byCAP'!$D$2:$D$377,MATCH(Q2344,'model_byCAP'!$A$2:$A$377,0)),0)</f>
        <v>4047</v>
      </c>
    </row>
    <row r="2345" ht="15.35" customHeight="1">
      <c r="A2345" t="s" s="2">
        <v>4560</v>
      </c>
      <c r="B2345" s="4">
        <v>35980</v>
      </c>
      <c r="C2345" s="5">
        <v>750</v>
      </c>
      <c r="D2345" s="5">
        <v>48</v>
      </c>
      <c r="E2345" s="5">
        <v>45</v>
      </c>
      <c r="F2345" t="s" s="2">
        <v>1746</v>
      </c>
      <c r="G2345" t="s" s="2">
        <v>4044</v>
      </c>
      <c r="H2345" s="5">
        <v>580</v>
      </c>
      <c r="I2345" t="s" s="2">
        <v>1542</v>
      </c>
      <c r="J2345" t="s" s="2">
        <v>22</v>
      </c>
      <c r="K2345" t="s" s="2">
        <v>4561</v>
      </c>
      <c r="L2345" s="5">
        <v>29</v>
      </c>
      <c r="M2345" s="5">
        <v>530808.8199999999</v>
      </c>
      <c r="N2345" s="5">
        <v>6089658.05</v>
      </c>
      <c r="O2345" t="s" s="2">
        <v>305</v>
      </c>
      <c r="P2345" s="8">
        <v>200208</v>
      </c>
      <c r="Q2345" t="s" s="2">
        <v>4046</v>
      </c>
      <c r="R2345" t="s" s="2">
        <f>_xlfn.IFERROR(INDEX('model_byCAP'!$D$2:$D$377,MATCH(Q2345,'model_byCAP'!$A$2:$A$377,0)),0)</f>
        <v>4047</v>
      </c>
    </row>
    <row r="2346" ht="15.35" customHeight="1">
      <c r="A2346" t="s" s="2">
        <v>4562</v>
      </c>
      <c r="B2346" s="4">
        <v>36360</v>
      </c>
      <c r="C2346" s="5">
        <v>750</v>
      </c>
      <c r="D2346" s="5">
        <v>48</v>
      </c>
      <c r="E2346" s="5">
        <v>45</v>
      </c>
      <c r="F2346" t="s" s="2">
        <v>1746</v>
      </c>
      <c r="G2346" t="s" s="2">
        <v>4044</v>
      </c>
      <c r="H2346" s="5">
        <v>580</v>
      </c>
      <c r="I2346" t="s" s="2">
        <v>1542</v>
      </c>
      <c r="J2346" t="s" s="2">
        <v>22</v>
      </c>
      <c r="K2346" t="s" s="2">
        <v>4563</v>
      </c>
      <c r="L2346" s="5">
        <v>4</v>
      </c>
      <c r="M2346" s="5">
        <v>533756.12</v>
      </c>
      <c r="N2346" s="5">
        <v>6093544.73</v>
      </c>
      <c r="O2346" t="s" s="2">
        <v>305</v>
      </c>
      <c r="P2346" s="5">
        <v>200291</v>
      </c>
      <c r="Q2346" t="s" s="2">
        <v>4046</v>
      </c>
      <c r="R2346" t="s" s="2">
        <f>_xlfn.IFERROR(INDEX('model_byCAP'!$D$2:$D$377,MATCH(Q2346,'model_byCAP'!$A$2:$A$377,0)),0)</f>
        <v>4047</v>
      </c>
    </row>
    <row r="2347" ht="15.35" customHeight="1">
      <c r="A2347" t="s" s="2">
        <v>4564</v>
      </c>
      <c r="B2347" s="4">
        <v>36356</v>
      </c>
      <c r="C2347" s="5">
        <v>750</v>
      </c>
      <c r="D2347" s="5">
        <v>48</v>
      </c>
      <c r="E2347" s="5">
        <v>45</v>
      </c>
      <c r="F2347" t="s" s="2">
        <v>1746</v>
      </c>
      <c r="G2347" t="s" s="2">
        <v>4044</v>
      </c>
      <c r="H2347" s="5">
        <v>580</v>
      </c>
      <c r="I2347" t="s" s="2">
        <v>1542</v>
      </c>
      <c r="J2347" t="s" s="2">
        <v>22</v>
      </c>
      <c r="K2347" t="s" s="2">
        <v>4559</v>
      </c>
      <c r="L2347" s="5">
        <v>185</v>
      </c>
      <c r="M2347" s="5">
        <v>534006.6</v>
      </c>
      <c r="N2347" s="5">
        <v>6093613.28</v>
      </c>
      <c r="O2347" t="s" s="2">
        <v>305</v>
      </c>
      <c r="P2347" s="5">
        <v>200292</v>
      </c>
      <c r="Q2347" t="s" s="2">
        <v>4046</v>
      </c>
      <c r="R2347" t="s" s="2">
        <f>_xlfn.IFERROR(INDEX('model_byCAP'!$D$2:$D$377,MATCH(Q2347,'model_byCAP'!$A$2:$A$377,0)),0)</f>
        <v>4047</v>
      </c>
    </row>
    <row r="2348" ht="15.35" customHeight="1">
      <c r="A2348" t="s" s="2">
        <v>4565</v>
      </c>
      <c r="B2348" s="4">
        <v>36818</v>
      </c>
      <c r="C2348" s="5">
        <v>750</v>
      </c>
      <c r="D2348" s="5">
        <v>48</v>
      </c>
      <c r="E2348" s="5">
        <v>45</v>
      </c>
      <c r="F2348" t="s" s="2">
        <v>1746</v>
      </c>
      <c r="G2348" t="s" s="2">
        <v>4242</v>
      </c>
      <c r="H2348" s="5">
        <v>607</v>
      </c>
      <c r="I2348" t="s" s="2">
        <v>4566</v>
      </c>
      <c r="J2348" t="s" s="2">
        <v>22</v>
      </c>
      <c r="K2348" t="s" s="2">
        <v>4567</v>
      </c>
      <c r="L2348" t="s" s="2">
        <v>524</v>
      </c>
      <c r="M2348" s="5">
        <v>541639.8199999999</v>
      </c>
      <c r="N2348" s="5">
        <v>6158687.96</v>
      </c>
      <c r="O2348" t="s" s="2">
        <v>305</v>
      </c>
      <c r="P2348" s="8">
        <v>137561</v>
      </c>
      <c r="Q2348" t="s" s="2">
        <v>4244</v>
      </c>
      <c r="R2348" t="s" s="2">
        <f>_xlfn.IFERROR(INDEX('model_byCAP'!$D$2:$D$377,MATCH(Q2348,'model_byCAP'!$A$2:$A$377,0)),0)</f>
        <v>4042</v>
      </c>
    </row>
    <row r="2349" ht="15.35" customHeight="1">
      <c r="A2349" t="s" s="2">
        <v>4568</v>
      </c>
      <c r="B2349" s="4">
        <v>36605</v>
      </c>
      <c r="C2349" s="5">
        <v>750</v>
      </c>
      <c r="D2349" s="5">
        <v>48</v>
      </c>
      <c r="E2349" s="5">
        <v>45</v>
      </c>
      <c r="F2349" t="s" s="2">
        <v>1746</v>
      </c>
      <c r="G2349" t="s" s="2">
        <v>4044</v>
      </c>
      <c r="H2349" s="5">
        <v>630</v>
      </c>
      <c r="I2349" t="s" s="2">
        <v>1268</v>
      </c>
      <c r="J2349" t="s" s="2">
        <v>22</v>
      </c>
      <c r="K2349" t="s" s="2">
        <v>4569</v>
      </c>
      <c r="L2349" t="s" s="2">
        <v>1258</v>
      </c>
      <c r="M2349" s="5">
        <v>523593.55</v>
      </c>
      <c r="N2349" s="5">
        <v>6165953.45</v>
      </c>
      <c r="O2349" t="s" s="2">
        <v>305</v>
      </c>
      <c r="P2349" s="5">
        <v>203529</v>
      </c>
      <c r="Q2349" t="s" s="2">
        <v>4046</v>
      </c>
      <c r="R2349" t="s" s="2">
        <f>_xlfn.IFERROR(INDEX('model_byCAP'!$D$2:$D$377,MATCH(Q2349,'model_byCAP'!$A$2:$A$377,0)),0)</f>
        <v>4047</v>
      </c>
    </row>
    <row r="2350" ht="15.35" customHeight="1">
      <c r="A2350" t="s" s="2">
        <v>4570</v>
      </c>
      <c r="B2350" s="4">
        <v>36605</v>
      </c>
      <c r="C2350" s="5">
        <v>750</v>
      </c>
      <c r="D2350" s="5">
        <v>48.2</v>
      </c>
      <c r="E2350" s="5">
        <v>50</v>
      </c>
      <c r="F2350" t="s" s="2">
        <v>1746</v>
      </c>
      <c r="G2350" t="s" s="2">
        <v>4044</v>
      </c>
      <c r="H2350" s="5">
        <v>630</v>
      </c>
      <c r="I2350" t="s" s="2">
        <v>1268</v>
      </c>
      <c r="J2350" t="s" s="2">
        <v>22</v>
      </c>
      <c r="K2350" t="s" s="2">
        <v>4569</v>
      </c>
      <c r="L2350" t="s" s="2">
        <v>492</v>
      </c>
      <c r="M2350" s="5">
        <v>523811.48</v>
      </c>
      <c r="N2350" s="5">
        <v>6165831.04</v>
      </c>
      <c r="O2350" t="s" s="2">
        <v>305</v>
      </c>
      <c r="P2350" s="5">
        <v>203529</v>
      </c>
      <c r="Q2350" t="s" s="2">
        <v>4046</v>
      </c>
      <c r="R2350" t="s" s="2">
        <f>_xlfn.IFERROR(INDEX('model_byCAP'!$D$2:$D$377,MATCH(Q2350,'model_byCAP'!$A$2:$A$377,0)),0)</f>
        <v>4047</v>
      </c>
    </row>
    <row r="2351" ht="15.35" customHeight="1">
      <c r="A2351" t="s" s="2">
        <v>4571</v>
      </c>
      <c r="B2351" s="4">
        <v>36605</v>
      </c>
      <c r="C2351" s="5">
        <v>750</v>
      </c>
      <c r="D2351" s="5">
        <v>48.2</v>
      </c>
      <c r="E2351" s="5">
        <v>45</v>
      </c>
      <c r="F2351" t="s" s="2">
        <v>1746</v>
      </c>
      <c r="G2351" t="s" s="2">
        <v>4044</v>
      </c>
      <c r="H2351" s="5">
        <v>630</v>
      </c>
      <c r="I2351" t="s" s="2">
        <v>1268</v>
      </c>
      <c r="J2351" t="s" s="2">
        <v>22</v>
      </c>
      <c r="K2351" t="s" s="2">
        <v>4569</v>
      </c>
      <c r="L2351" t="s" s="2">
        <v>492</v>
      </c>
      <c r="M2351" s="5">
        <v>524026.79</v>
      </c>
      <c r="N2351" s="5">
        <v>6165710.78</v>
      </c>
      <c r="O2351" t="s" s="2">
        <v>305</v>
      </c>
      <c r="P2351" s="5">
        <v>2203529</v>
      </c>
      <c r="Q2351" t="s" s="2">
        <v>4046</v>
      </c>
      <c r="R2351" t="s" s="2">
        <f>_xlfn.IFERROR(INDEX('model_byCAP'!$D$2:$D$377,MATCH(Q2351,'model_byCAP'!$A$2:$A$377,0)),0)</f>
        <v>4047</v>
      </c>
    </row>
    <row r="2352" ht="15.35" customHeight="1">
      <c r="A2352" t="s" s="2">
        <v>4572</v>
      </c>
      <c r="B2352" s="4">
        <v>36605</v>
      </c>
      <c r="C2352" s="5">
        <v>750</v>
      </c>
      <c r="D2352" s="5">
        <v>48.2</v>
      </c>
      <c r="E2352" s="5">
        <v>45</v>
      </c>
      <c r="F2352" t="s" s="2">
        <v>1746</v>
      </c>
      <c r="G2352" t="s" s="2">
        <v>4044</v>
      </c>
      <c r="H2352" s="5">
        <v>630</v>
      </c>
      <c r="I2352" t="s" s="2">
        <v>1268</v>
      </c>
      <c r="J2352" t="s" s="2">
        <v>22</v>
      </c>
      <c r="K2352" t="s" s="2">
        <v>4569</v>
      </c>
      <c r="L2352" t="s" s="2">
        <v>492</v>
      </c>
      <c r="M2352" s="5">
        <v>524219.3</v>
      </c>
      <c r="N2352" s="5">
        <v>6165546</v>
      </c>
      <c r="O2352" t="s" s="2">
        <v>305</v>
      </c>
      <c r="P2352" s="5">
        <v>203529</v>
      </c>
      <c r="Q2352" t="s" s="2">
        <v>4046</v>
      </c>
      <c r="R2352" t="s" s="2">
        <f>_xlfn.IFERROR(INDEX('model_byCAP'!$D$2:$D$377,MATCH(Q2352,'model_byCAP'!$A$2:$A$377,0)),0)</f>
        <v>4047</v>
      </c>
    </row>
    <row r="2353" ht="15.35" customHeight="1">
      <c r="A2353" t="s" s="2">
        <v>4573</v>
      </c>
      <c r="B2353" s="4">
        <v>36605</v>
      </c>
      <c r="C2353" s="5">
        <v>750</v>
      </c>
      <c r="D2353" s="5">
        <v>48.2</v>
      </c>
      <c r="E2353" s="5">
        <v>45</v>
      </c>
      <c r="F2353" t="s" s="2">
        <v>1746</v>
      </c>
      <c r="G2353" t="s" s="2">
        <v>4044</v>
      </c>
      <c r="H2353" s="5">
        <v>630</v>
      </c>
      <c r="I2353" t="s" s="2">
        <v>1268</v>
      </c>
      <c r="J2353" t="s" s="2">
        <v>22</v>
      </c>
      <c r="K2353" t="s" s="2">
        <v>4569</v>
      </c>
      <c r="L2353" t="s" s="2">
        <v>492</v>
      </c>
      <c r="M2353" s="5">
        <v>524409.5699999999</v>
      </c>
      <c r="N2353" s="5">
        <v>6165383.21</v>
      </c>
      <c r="O2353" t="s" s="2">
        <v>305</v>
      </c>
      <c r="P2353" s="5">
        <v>203529</v>
      </c>
      <c r="Q2353" t="s" s="2">
        <v>4046</v>
      </c>
      <c r="R2353" t="s" s="2">
        <f>_xlfn.IFERROR(INDEX('model_byCAP'!$D$2:$D$377,MATCH(Q2353,'model_byCAP'!$A$2:$A$377,0)),0)</f>
        <v>4047</v>
      </c>
    </row>
    <row r="2354" ht="15.35" customHeight="1">
      <c r="A2354" t="s" s="2">
        <v>4574</v>
      </c>
      <c r="B2354" s="4">
        <v>36146</v>
      </c>
      <c r="C2354" s="5">
        <v>750</v>
      </c>
      <c r="D2354" s="5">
        <v>48.2</v>
      </c>
      <c r="E2354" s="5">
        <v>48</v>
      </c>
      <c r="F2354" t="s" s="2">
        <v>1746</v>
      </c>
      <c r="G2354" t="s" s="2">
        <v>4044</v>
      </c>
      <c r="H2354" s="5">
        <v>630</v>
      </c>
      <c r="I2354" t="s" s="2">
        <v>1268</v>
      </c>
      <c r="J2354" t="s" s="2">
        <v>22</v>
      </c>
      <c r="K2354" t="s" s="2">
        <v>4575</v>
      </c>
      <c r="L2354" t="s" s="2">
        <v>1744</v>
      </c>
      <c r="M2354" s="5">
        <v>522192.69</v>
      </c>
      <c r="N2354" s="5">
        <v>6179336.32</v>
      </c>
      <c r="O2354" t="s" s="2">
        <v>25</v>
      </c>
      <c r="P2354" t="s" s="2">
        <v>4576</v>
      </c>
      <c r="Q2354" t="s" s="2">
        <v>4046</v>
      </c>
      <c r="R2354" t="s" s="2">
        <f>_xlfn.IFERROR(INDEX('model_byCAP'!$D$2:$D$377,MATCH(Q2354,'model_byCAP'!$A$2:$A$377,0)),0)</f>
        <v>4047</v>
      </c>
    </row>
    <row r="2355" ht="15.35" customHeight="1">
      <c r="A2355" t="s" s="2">
        <v>4577</v>
      </c>
      <c r="B2355" s="4">
        <v>36146</v>
      </c>
      <c r="C2355" s="5">
        <v>750</v>
      </c>
      <c r="D2355" s="5">
        <v>48.2</v>
      </c>
      <c r="E2355" s="5">
        <v>48</v>
      </c>
      <c r="F2355" t="s" s="2">
        <v>1746</v>
      </c>
      <c r="G2355" t="s" s="2">
        <v>4044</v>
      </c>
      <c r="H2355" s="5">
        <v>630</v>
      </c>
      <c r="I2355" t="s" s="2">
        <v>1268</v>
      </c>
      <c r="J2355" t="s" s="2">
        <v>22</v>
      </c>
      <c r="K2355" t="s" s="2">
        <v>4575</v>
      </c>
      <c r="L2355" t="s" s="2">
        <v>481</v>
      </c>
      <c r="M2355" s="5">
        <v>522175.76</v>
      </c>
      <c r="N2355" s="5">
        <v>6179171.36</v>
      </c>
      <c r="O2355" t="s" s="2">
        <v>25</v>
      </c>
      <c r="P2355" t="s" s="2">
        <v>4576</v>
      </c>
      <c r="Q2355" t="s" s="2">
        <v>4046</v>
      </c>
      <c r="R2355" t="s" s="2">
        <f>_xlfn.IFERROR(INDEX('model_byCAP'!$D$2:$D$377,MATCH(Q2355,'model_byCAP'!$A$2:$A$377,0)),0)</f>
        <v>4047</v>
      </c>
    </row>
    <row r="2356" ht="15.35" customHeight="1">
      <c r="A2356" t="s" s="2">
        <v>4578</v>
      </c>
      <c r="B2356" s="4">
        <v>36146</v>
      </c>
      <c r="C2356" s="5">
        <v>750</v>
      </c>
      <c r="D2356" s="5">
        <v>48.2</v>
      </c>
      <c r="E2356" s="5">
        <v>48</v>
      </c>
      <c r="F2356" t="s" s="2">
        <v>1746</v>
      </c>
      <c r="G2356" t="s" s="2">
        <v>4044</v>
      </c>
      <c r="H2356" s="5">
        <v>630</v>
      </c>
      <c r="I2356" t="s" s="2">
        <v>1268</v>
      </c>
      <c r="J2356" t="s" s="2">
        <v>22</v>
      </c>
      <c r="K2356" t="s" s="2">
        <v>4575</v>
      </c>
      <c r="L2356" t="s" s="2">
        <v>474</v>
      </c>
      <c r="M2356" s="5">
        <v>522162.03</v>
      </c>
      <c r="N2356" s="5">
        <v>6179017.22</v>
      </c>
      <c r="O2356" t="s" s="2">
        <v>25</v>
      </c>
      <c r="P2356" t="s" s="2">
        <v>4576</v>
      </c>
      <c r="Q2356" t="s" s="2">
        <v>4046</v>
      </c>
      <c r="R2356" t="s" s="2">
        <f>_xlfn.IFERROR(INDEX('model_byCAP'!$D$2:$D$377,MATCH(Q2356,'model_byCAP'!$A$2:$A$377,0)),0)</f>
        <v>4047</v>
      </c>
    </row>
    <row r="2357" ht="15.35" customHeight="1">
      <c r="A2357" t="s" s="2">
        <v>4579</v>
      </c>
      <c r="B2357" s="4">
        <v>36146</v>
      </c>
      <c r="C2357" s="5">
        <v>750</v>
      </c>
      <c r="D2357" s="5">
        <v>48.2</v>
      </c>
      <c r="E2357" s="5">
        <v>48</v>
      </c>
      <c r="F2357" t="s" s="2">
        <v>1746</v>
      </c>
      <c r="G2357" t="s" s="2">
        <v>4044</v>
      </c>
      <c r="H2357" s="5">
        <v>630</v>
      </c>
      <c r="I2357" t="s" s="2">
        <v>1268</v>
      </c>
      <c r="J2357" t="s" s="2">
        <v>22</v>
      </c>
      <c r="K2357" t="s" s="2">
        <v>4575</v>
      </c>
      <c r="L2357" t="s" s="2">
        <v>481</v>
      </c>
      <c r="M2357" s="5">
        <v>522442.19</v>
      </c>
      <c r="N2357" s="5">
        <v>6179334.69</v>
      </c>
      <c r="O2357" t="s" s="2">
        <v>305</v>
      </c>
      <c r="P2357" t="s" s="2">
        <v>4580</v>
      </c>
      <c r="Q2357" t="s" s="2">
        <v>4046</v>
      </c>
      <c r="R2357" t="s" s="2">
        <f>_xlfn.IFERROR(INDEX('model_byCAP'!$D$2:$D$377,MATCH(Q2357,'model_byCAP'!$A$2:$A$377,0)),0)</f>
        <v>4047</v>
      </c>
    </row>
    <row r="2358" ht="15.35" customHeight="1">
      <c r="A2358" t="s" s="2">
        <v>4581</v>
      </c>
      <c r="B2358" s="4">
        <v>36146</v>
      </c>
      <c r="C2358" s="5">
        <v>750</v>
      </c>
      <c r="D2358" s="5">
        <v>48.2</v>
      </c>
      <c r="E2358" s="5">
        <v>48</v>
      </c>
      <c r="F2358" t="s" s="2">
        <v>1746</v>
      </c>
      <c r="G2358" t="s" s="2">
        <v>4044</v>
      </c>
      <c r="H2358" s="5">
        <v>630</v>
      </c>
      <c r="I2358" t="s" s="2">
        <v>1268</v>
      </c>
      <c r="J2358" t="s" s="2">
        <v>22</v>
      </c>
      <c r="K2358" t="s" s="2">
        <v>4575</v>
      </c>
      <c r="L2358" t="s" s="2">
        <v>481</v>
      </c>
      <c r="M2358" s="5">
        <v>522426.23</v>
      </c>
      <c r="N2358" s="5">
        <v>6179170.18</v>
      </c>
      <c r="O2358" t="s" s="2">
        <v>305</v>
      </c>
      <c r="P2358" t="s" s="2">
        <v>4580</v>
      </c>
      <c r="Q2358" t="s" s="2">
        <v>4046</v>
      </c>
      <c r="R2358" t="s" s="2">
        <f>_xlfn.IFERROR(INDEX('model_byCAP'!$D$2:$D$377,MATCH(Q2358,'model_byCAP'!$A$2:$A$377,0)),0)</f>
        <v>4047</v>
      </c>
    </row>
    <row r="2359" ht="15.35" customHeight="1">
      <c r="A2359" t="s" s="2">
        <v>4582</v>
      </c>
      <c r="B2359" s="4">
        <v>36146</v>
      </c>
      <c r="C2359" s="5">
        <v>750</v>
      </c>
      <c r="D2359" s="5">
        <v>48.2</v>
      </c>
      <c r="E2359" s="5">
        <v>48</v>
      </c>
      <c r="F2359" t="s" s="2">
        <v>1746</v>
      </c>
      <c r="G2359" t="s" s="2">
        <v>4044</v>
      </c>
      <c r="H2359" s="5">
        <v>630</v>
      </c>
      <c r="I2359" t="s" s="2">
        <v>1268</v>
      </c>
      <c r="J2359" t="s" s="2">
        <v>22</v>
      </c>
      <c r="K2359" t="s" s="2">
        <v>4575</v>
      </c>
      <c r="L2359" t="s" s="2">
        <v>481</v>
      </c>
      <c r="M2359" s="5">
        <v>522410.21</v>
      </c>
      <c r="N2359" s="5">
        <v>6179006.44</v>
      </c>
      <c r="O2359" t="s" s="2">
        <v>305</v>
      </c>
      <c r="P2359" t="s" s="2">
        <v>4580</v>
      </c>
      <c r="Q2359" t="s" s="2">
        <v>4046</v>
      </c>
      <c r="R2359" t="s" s="2">
        <f>_xlfn.IFERROR(INDEX('model_byCAP'!$D$2:$D$377,MATCH(Q2359,'model_byCAP'!$A$2:$A$377,0)),0)</f>
        <v>4047</v>
      </c>
    </row>
    <row r="2360" ht="15.35" customHeight="1">
      <c r="A2360" t="s" s="2">
        <v>4583</v>
      </c>
      <c r="B2360" s="4">
        <v>36473</v>
      </c>
      <c r="C2360" s="5">
        <v>750</v>
      </c>
      <c r="D2360" s="5">
        <v>48</v>
      </c>
      <c r="E2360" s="5">
        <v>50</v>
      </c>
      <c r="F2360" t="s" s="2">
        <v>1746</v>
      </c>
      <c r="G2360" t="s" s="2">
        <v>4151</v>
      </c>
      <c r="H2360" s="5">
        <v>657</v>
      </c>
      <c r="I2360" t="s" s="2">
        <v>541</v>
      </c>
      <c r="J2360" t="s" s="2">
        <v>22</v>
      </c>
      <c r="K2360" t="s" s="2">
        <v>4584</v>
      </c>
      <c r="L2360" t="s" s="2">
        <v>481</v>
      </c>
      <c r="M2360" s="5">
        <v>493023.91</v>
      </c>
      <c r="N2360" s="5">
        <v>6217776.06</v>
      </c>
      <c r="O2360" t="s" s="2">
        <v>305</v>
      </c>
      <c r="P2360" s="5">
        <v>7142438</v>
      </c>
      <c r="Q2360" t="s" s="2">
        <v>4154</v>
      </c>
      <c r="R2360" t="s" s="2">
        <f>_xlfn.IFERROR(INDEX('model_byCAP'!$D$2:$D$377,MATCH(Q2360,'model_byCAP'!$A$2:$A$377,0)),0)</f>
        <v>4047</v>
      </c>
    </row>
    <row r="2361" ht="15.35" customHeight="1">
      <c r="A2361" t="s" s="2">
        <v>4585</v>
      </c>
      <c r="B2361" s="4">
        <v>36586</v>
      </c>
      <c r="C2361" s="5">
        <v>750</v>
      </c>
      <c r="D2361" s="5">
        <v>48</v>
      </c>
      <c r="E2361" s="5">
        <v>50</v>
      </c>
      <c r="F2361" t="s" s="2">
        <v>1746</v>
      </c>
      <c r="G2361" t="s" s="2">
        <v>4168</v>
      </c>
      <c r="H2361" s="5">
        <v>657</v>
      </c>
      <c r="I2361" t="s" s="2">
        <v>541</v>
      </c>
      <c r="J2361" t="s" s="2">
        <v>22</v>
      </c>
      <c r="K2361" t="s" s="2">
        <v>4586</v>
      </c>
      <c r="L2361" t="s" s="2">
        <v>548</v>
      </c>
      <c r="M2361" s="5">
        <v>493018.23</v>
      </c>
      <c r="N2361" s="5">
        <v>6217576.4</v>
      </c>
      <c r="O2361" t="s" s="2">
        <v>305</v>
      </c>
      <c r="P2361" s="5">
        <v>7142779</v>
      </c>
      <c r="Q2361" t="s" s="2">
        <v>4171</v>
      </c>
      <c r="R2361" t="s" s="2">
        <f>_xlfn.IFERROR(INDEX('model_byCAP'!$D$2:$D$377,MATCH(Q2361,'model_byCAP'!$A$2:$A$377,0)),0)</f>
        <v>4042</v>
      </c>
    </row>
    <row r="2362" ht="15.35" customHeight="1">
      <c r="A2362" t="s" s="2">
        <v>4587</v>
      </c>
      <c r="B2362" s="4">
        <v>36699</v>
      </c>
      <c r="C2362" s="5">
        <v>750</v>
      </c>
      <c r="D2362" s="5">
        <v>44</v>
      </c>
      <c r="E2362" s="5">
        <v>45</v>
      </c>
      <c r="F2362" t="s" s="2">
        <v>1746</v>
      </c>
      <c r="G2362" t="s" s="2">
        <v>4588</v>
      </c>
      <c r="H2362" s="5">
        <v>657</v>
      </c>
      <c r="I2362" t="s" s="2">
        <v>541</v>
      </c>
      <c r="J2362" t="s" s="2">
        <v>22</v>
      </c>
      <c r="K2362" t="s" s="2">
        <v>4589</v>
      </c>
      <c r="L2362" t="s" s="2">
        <v>4590</v>
      </c>
      <c r="M2362" s="5">
        <v>487069.02</v>
      </c>
      <c r="N2362" s="5">
        <v>6202392.99</v>
      </c>
      <c r="O2362" t="s" s="2">
        <v>305</v>
      </c>
      <c r="P2362" s="5">
        <v>7142986</v>
      </c>
      <c r="Q2362" t="s" s="2">
        <v>4591</v>
      </c>
      <c r="R2362" t="s" s="2">
        <f>_xlfn.IFERROR(INDEX('model_byCAP'!$D$2:$D$377,MATCH(Q2362,'model_byCAP'!$A$2:$A$377,0)),0)</f>
        <v>4042</v>
      </c>
    </row>
    <row r="2363" ht="15.35" customHeight="1">
      <c r="A2363" t="s" s="2">
        <v>4592</v>
      </c>
      <c r="B2363" s="4">
        <v>36699</v>
      </c>
      <c r="C2363" s="5">
        <v>750</v>
      </c>
      <c r="D2363" s="5">
        <v>44</v>
      </c>
      <c r="E2363" s="5">
        <v>46</v>
      </c>
      <c r="F2363" t="s" s="2">
        <v>1746</v>
      </c>
      <c r="G2363" t="s" s="2">
        <v>4593</v>
      </c>
      <c r="H2363" s="5">
        <v>657</v>
      </c>
      <c r="I2363" t="s" s="2">
        <v>541</v>
      </c>
      <c r="J2363" t="s" s="2">
        <v>22</v>
      </c>
      <c r="K2363" t="s" s="2">
        <v>4589</v>
      </c>
      <c r="L2363" t="s" s="2">
        <v>4590</v>
      </c>
      <c r="M2363" s="5">
        <v>487050.64</v>
      </c>
      <c r="N2363" s="5">
        <v>6202591.29</v>
      </c>
      <c r="O2363" t="s" s="2">
        <v>305</v>
      </c>
      <c r="P2363" s="5">
        <v>7142988</v>
      </c>
      <c r="Q2363" t="s" s="2">
        <v>4594</v>
      </c>
      <c r="R2363" t="s" s="2">
        <f>_xlfn.IFERROR(INDEX('model_byCAP'!$D$2:$D$377,MATCH(Q2363,'model_byCAP'!$A$2:$A$377,0)),0)</f>
        <v>4042</v>
      </c>
    </row>
    <row r="2364" ht="15.35" customHeight="1">
      <c r="A2364" t="s" s="2">
        <v>4595</v>
      </c>
      <c r="B2364" s="4">
        <v>36699</v>
      </c>
      <c r="C2364" s="5">
        <v>750</v>
      </c>
      <c r="D2364" s="5">
        <v>48</v>
      </c>
      <c r="E2364" s="5">
        <v>45</v>
      </c>
      <c r="F2364" t="s" s="2">
        <v>1746</v>
      </c>
      <c r="G2364" t="s" s="2">
        <v>4151</v>
      </c>
      <c r="H2364" s="5">
        <v>657</v>
      </c>
      <c r="I2364" t="s" s="2">
        <v>541</v>
      </c>
      <c r="J2364" t="s" s="2">
        <v>22</v>
      </c>
      <c r="K2364" t="s" s="2">
        <v>4589</v>
      </c>
      <c r="L2364" t="s" s="2">
        <v>4590</v>
      </c>
      <c r="M2364" s="5">
        <v>487032.31</v>
      </c>
      <c r="N2364" s="5">
        <v>6202790.42</v>
      </c>
      <c r="O2364" t="s" s="2">
        <v>305</v>
      </c>
      <c r="P2364" s="5">
        <v>7142990</v>
      </c>
      <c r="Q2364" t="s" s="2">
        <v>4154</v>
      </c>
      <c r="R2364" t="s" s="2">
        <f>_xlfn.IFERROR(INDEX('model_byCAP'!$D$2:$D$377,MATCH(Q2364,'model_byCAP'!$A$2:$A$377,0)),0)</f>
        <v>4047</v>
      </c>
    </row>
    <row r="2365" ht="15.35" customHeight="1">
      <c r="A2365" t="s" s="2">
        <v>4596</v>
      </c>
      <c r="B2365" s="4">
        <v>35947</v>
      </c>
      <c r="C2365" s="5">
        <v>750</v>
      </c>
      <c r="D2365" s="5">
        <v>48</v>
      </c>
      <c r="E2365" s="5">
        <v>45</v>
      </c>
      <c r="F2365" t="s" s="2">
        <v>1746</v>
      </c>
      <c r="G2365" t="s" s="2">
        <v>4151</v>
      </c>
      <c r="H2365" s="5">
        <v>657</v>
      </c>
      <c r="I2365" t="s" s="2">
        <v>541</v>
      </c>
      <c r="J2365" t="s" s="2">
        <v>22</v>
      </c>
      <c r="K2365" t="s" s="2">
        <v>4597</v>
      </c>
      <c r="L2365" t="s" s="2">
        <v>518</v>
      </c>
      <c r="M2365" s="5">
        <v>490603.62</v>
      </c>
      <c r="N2365" s="5">
        <v>6238889.19</v>
      </c>
      <c r="O2365" t="s" s="2">
        <v>305</v>
      </c>
      <c r="P2365" s="5">
        <v>7141357</v>
      </c>
      <c r="Q2365" t="s" s="2">
        <v>4154</v>
      </c>
      <c r="R2365" t="s" s="2">
        <f>_xlfn.IFERROR(INDEX('model_byCAP'!$D$2:$D$377,MATCH(Q2365,'model_byCAP'!$A$2:$A$377,0)),0)</f>
        <v>4047</v>
      </c>
    </row>
    <row r="2366" ht="15.35" customHeight="1">
      <c r="A2366" t="s" s="2">
        <v>4598</v>
      </c>
      <c r="B2366" s="4">
        <v>35978</v>
      </c>
      <c r="C2366" s="5">
        <v>750</v>
      </c>
      <c r="D2366" s="5">
        <v>44</v>
      </c>
      <c r="E2366" s="5">
        <v>50</v>
      </c>
      <c r="F2366" t="s" s="2">
        <v>1746</v>
      </c>
      <c r="G2366" t="s" s="2">
        <v>4588</v>
      </c>
      <c r="H2366" s="5">
        <v>657</v>
      </c>
      <c r="I2366" t="s" s="2">
        <v>541</v>
      </c>
      <c r="J2366" t="s" s="2">
        <v>22</v>
      </c>
      <c r="K2366" t="s" s="2">
        <v>1549</v>
      </c>
      <c r="L2366" t="s" s="2">
        <v>4599</v>
      </c>
      <c r="M2366" s="5">
        <v>489882.89</v>
      </c>
      <c r="N2366" s="5">
        <v>6206327.87</v>
      </c>
      <c r="O2366" t="s" s="2">
        <v>305</v>
      </c>
      <c r="P2366" s="5">
        <v>7141401</v>
      </c>
      <c r="Q2366" t="s" s="2">
        <v>4591</v>
      </c>
      <c r="R2366" t="s" s="2">
        <f>_xlfn.IFERROR(INDEX('model_byCAP'!$D$2:$D$377,MATCH(Q2366,'model_byCAP'!$A$2:$A$377,0)),0)</f>
        <v>4042</v>
      </c>
    </row>
    <row r="2367" ht="15.35" customHeight="1">
      <c r="A2367" t="s" s="2">
        <v>4600</v>
      </c>
      <c r="B2367" s="4">
        <v>36151</v>
      </c>
      <c r="C2367" s="5">
        <v>750</v>
      </c>
      <c r="D2367" s="5">
        <v>48</v>
      </c>
      <c r="E2367" s="5">
        <v>50</v>
      </c>
      <c r="F2367" t="s" s="2">
        <v>1746</v>
      </c>
      <c r="G2367" t="s" s="2">
        <v>4151</v>
      </c>
      <c r="H2367" s="5">
        <v>657</v>
      </c>
      <c r="I2367" t="s" s="2">
        <v>541</v>
      </c>
      <c r="J2367" t="s" s="2">
        <v>22</v>
      </c>
      <c r="K2367" t="s" s="2">
        <v>4601</v>
      </c>
      <c r="L2367" t="s" s="2">
        <v>1276</v>
      </c>
      <c r="M2367" s="5">
        <v>495638.08</v>
      </c>
      <c r="N2367" s="5">
        <v>6228558.01</v>
      </c>
      <c r="O2367" t="s" s="2">
        <v>305</v>
      </c>
      <c r="P2367" s="5">
        <v>7141692</v>
      </c>
      <c r="Q2367" t="s" s="2">
        <v>4154</v>
      </c>
      <c r="R2367" t="s" s="2">
        <f>_xlfn.IFERROR(INDEX('model_byCAP'!$D$2:$D$377,MATCH(Q2367,'model_byCAP'!$A$2:$A$377,0)),0)</f>
        <v>4047</v>
      </c>
    </row>
    <row r="2368" ht="15.35" customHeight="1">
      <c r="A2368" t="s" s="2">
        <v>4602</v>
      </c>
      <c r="B2368" s="4">
        <v>36151</v>
      </c>
      <c r="C2368" s="5">
        <v>750</v>
      </c>
      <c r="D2368" s="5">
        <v>48</v>
      </c>
      <c r="E2368" s="5">
        <v>48</v>
      </c>
      <c r="F2368" t="s" s="2">
        <v>1746</v>
      </c>
      <c r="G2368" t="s" s="2">
        <v>4151</v>
      </c>
      <c r="H2368" s="5">
        <v>657</v>
      </c>
      <c r="I2368" t="s" s="2">
        <v>541</v>
      </c>
      <c r="J2368" t="s" s="2">
        <v>22</v>
      </c>
      <c r="K2368" t="s" s="2">
        <v>4603</v>
      </c>
      <c r="L2368" t="s" s="2">
        <v>4390</v>
      </c>
      <c r="M2368" s="5">
        <v>495548.71</v>
      </c>
      <c r="N2368" s="5">
        <v>6228815.73</v>
      </c>
      <c r="O2368" t="s" s="2">
        <v>305</v>
      </c>
      <c r="P2368" s="5">
        <v>7141693</v>
      </c>
      <c r="Q2368" t="s" s="2">
        <v>4154</v>
      </c>
      <c r="R2368" t="s" s="2">
        <f>_xlfn.IFERROR(INDEX('model_byCAP'!$D$2:$D$377,MATCH(Q2368,'model_byCAP'!$A$2:$A$377,0)),0)</f>
        <v>4047</v>
      </c>
    </row>
    <row r="2369" ht="15.35" customHeight="1">
      <c r="A2369" t="s" s="2">
        <v>4604</v>
      </c>
      <c r="B2369" s="4">
        <v>36151</v>
      </c>
      <c r="C2369" s="5">
        <v>750</v>
      </c>
      <c r="D2369" s="5">
        <v>48.2</v>
      </c>
      <c r="E2369" s="5">
        <v>50</v>
      </c>
      <c r="F2369" t="s" s="2">
        <v>1746</v>
      </c>
      <c r="G2369" t="s" s="2">
        <v>4151</v>
      </c>
      <c r="H2369" s="5">
        <v>657</v>
      </c>
      <c r="I2369" t="s" s="2">
        <v>541</v>
      </c>
      <c r="J2369" t="s" s="2">
        <v>22</v>
      </c>
      <c r="K2369" t="s" s="2">
        <v>4603</v>
      </c>
      <c r="L2369" t="s" s="2">
        <v>1105</v>
      </c>
      <c r="M2369" s="5">
        <v>495456.05</v>
      </c>
      <c r="N2369" s="5">
        <v>6229084.98</v>
      </c>
      <c r="O2369" t="s" s="2">
        <v>305</v>
      </c>
      <c r="P2369" s="5">
        <v>7141694</v>
      </c>
      <c r="Q2369" t="s" s="2">
        <v>4154</v>
      </c>
      <c r="R2369" t="s" s="2">
        <f>_xlfn.IFERROR(INDEX('model_byCAP'!$D$2:$D$377,MATCH(Q2369,'model_byCAP'!$A$2:$A$377,0)),0)</f>
        <v>4047</v>
      </c>
    </row>
    <row r="2370" ht="15.35" customHeight="1">
      <c r="A2370" t="s" s="2">
        <v>4605</v>
      </c>
      <c r="B2370" s="4">
        <v>36151</v>
      </c>
      <c r="C2370" s="5">
        <v>750</v>
      </c>
      <c r="D2370" s="5">
        <v>48.2</v>
      </c>
      <c r="E2370" s="5">
        <v>50</v>
      </c>
      <c r="F2370" t="s" s="2">
        <v>1746</v>
      </c>
      <c r="G2370" t="s" s="2">
        <v>4044</v>
      </c>
      <c r="H2370" s="5">
        <v>657</v>
      </c>
      <c r="I2370" t="s" s="2">
        <v>541</v>
      </c>
      <c r="J2370" t="s" s="2">
        <v>22</v>
      </c>
      <c r="K2370" t="s" s="2">
        <v>4606</v>
      </c>
      <c r="L2370" t="s" s="2">
        <v>4607</v>
      </c>
      <c r="M2370" s="5">
        <v>496067.36</v>
      </c>
      <c r="N2370" s="5">
        <v>6229469.83</v>
      </c>
      <c r="O2370" t="s" s="2">
        <v>305</v>
      </c>
      <c r="P2370" s="5">
        <v>7141695</v>
      </c>
      <c r="Q2370" t="s" s="2">
        <v>4046</v>
      </c>
      <c r="R2370" t="s" s="2">
        <f>_xlfn.IFERROR(INDEX('model_byCAP'!$D$2:$D$377,MATCH(Q2370,'model_byCAP'!$A$2:$A$377,0)),0)</f>
        <v>4047</v>
      </c>
    </row>
    <row r="2371" ht="15.35" customHeight="1">
      <c r="A2371" t="s" s="2">
        <v>4608</v>
      </c>
      <c r="B2371" s="4">
        <v>36151</v>
      </c>
      <c r="C2371" s="5">
        <v>750</v>
      </c>
      <c r="D2371" s="5">
        <v>48</v>
      </c>
      <c r="E2371" s="5">
        <v>50</v>
      </c>
      <c r="F2371" t="s" s="2">
        <v>1746</v>
      </c>
      <c r="G2371" t="s" s="2">
        <v>4151</v>
      </c>
      <c r="H2371" s="5">
        <v>657</v>
      </c>
      <c r="I2371" t="s" s="2">
        <v>541</v>
      </c>
      <c r="J2371" t="s" s="2">
        <v>22</v>
      </c>
      <c r="K2371" t="s" s="2">
        <v>4601</v>
      </c>
      <c r="L2371" t="s" s="2">
        <v>396</v>
      </c>
      <c r="M2371" s="5">
        <v>496228.15</v>
      </c>
      <c r="N2371" s="5">
        <v>6228985.38</v>
      </c>
      <c r="O2371" t="s" s="2">
        <v>305</v>
      </c>
      <c r="P2371" s="5">
        <v>7141696</v>
      </c>
      <c r="Q2371" t="s" s="2">
        <v>4154</v>
      </c>
      <c r="R2371" t="s" s="2">
        <f>_xlfn.IFERROR(INDEX('model_byCAP'!$D$2:$D$377,MATCH(Q2371,'model_byCAP'!$A$2:$A$377,0)),0)</f>
        <v>4047</v>
      </c>
    </row>
    <row r="2372" ht="15.35" customHeight="1">
      <c r="A2372" t="s" s="2">
        <v>4609</v>
      </c>
      <c r="B2372" s="4">
        <v>36281</v>
      </c>
      <c r="C2372" s="5">
        <v>750</v>
      </c>
      <c r="D2372" s="5">
        <v>75</v>
      </c>
      <c r="E2372" s="5">
        <v>50</v>
      </c>
      <c r="F2372" t="s" s="2">
        <v>1746</v>
      </c>
      <c r="G2372" t="s" s="2">
        <v>4044</v>
      </c>
      <c r="H2372" s="5">
        <v>657</v>
      </c>
      <c r="I2372" t="s" s="2">
        <v>541</v>
      </c>
      <c r="J2372" t="s" s="2">
        <v>22</v>
      </c>
      <c r="K2372" t="s" s="2">
        <v>4601</v>
      </c>
      <c r="L2372" t="s" s="2">
        <v>546</v>
      </c>
      <c r="M2372" s="5">
        <v>496142.34</v>
      </c>
      <c r="N2372" s="5">
        <v>6229239.61</v>
      </c>
      <c r="O2372" t="s" s="2">
        <v>305</v>
      </c>
      <c r="P2372" s="5">
        <v>7141874</v>
      </c>
      <c r="Q2372" t="s" s="2">
        <v>4046</v>
      </c>
      <c r="R2372" t="s" s="2">
        <f>_xlfn.IFERROR(INDEX('model_byCAP'!$D$2:$D$377,MATCH(Q2372,'model_byCAP'!$A$2:$A$377,0)),0)</f>
        <v>4047</v>
      </c>
    </row>
    <row r="2373" ht="15.35" customHeight="1">
      <c r="A2373" t="s" s="2">
        <v>4610</v>
      </c>
      <c r="B2373" s="4">
        <v>36313</v>
      </c>
      <c r="C2373" s="5">
        <v>750</v>
      </c>
      <c r="D2373" s="5">
        <v>48</v>
      </c>
      <c r="E2373" s="5">
        <v>50</v>
      </c>
      <c r="F2373" t="s" s="2">
        <v>1746</v>
      </c>
      <c r="G2373" t="s" s="2">
        <v>4044</v>
      </c>
      <c r="H2373" s="5">
        <v>657</v>
      </c>
      <c r="I2373" t="s" s="2">
        <v>541</v>
      </c>
      <c r="J2373" t="s" s="2">
        <v>22</v>
      </c>
      <c r="K2373" t="s" s="2">
        <v>4611</v>
      </c>
      <c r="L2373" t="s" s="2">
        <v>582</v>
      </c>
      <c r="M2373" s="5">
        <v>493040.54</v>
      </c>
      <c r="N2373" s="5">
        <v>6218175.28</v>
      </c>
      <c r="O2373" t="s" s="2">
        <v>305</v>
      </c>
      <c r="P2373" s="5">
        <v>7142090</v>
      </c>
      <c r="Q2373" t="s" s="2">
        <v>4046</v>
      </c>
      <c r="R2373" t="s" s="2">
        <f>_xlfn.IFERROR(INDEX('model_byCAP'!$D$2:$D$377,MATCH(Q2373,'model_byCAP'!$A$2:$A$377,0)),0)</f>
        <v>4047</v>
      </c>
    </row>
    <row r="2374" ht="15.35" customHeight="1">
      <c r="A2374" t="s" s="2">
        <v>4612</v>
      </c>
      <c r="B2374" s="4">
        <v>36468</v>
      </c>
      <c r="C2374" s="5">
        <v>750</v>
      </c>
      <c r="D2374" s="5">
        <v>48</v>
      </c>
      <c r="E2374" s="5">
        <v>50</v>
      </c>
      <c r="F2374" t="s" s="2">
        <v>1746</v>
      </c>
      <c r="G2374" t="s" s="2">
        <v>4242</v>
      </c>
      <c r="H2374" s="5">
        <v>657</v>
      </c>
      <c r="I2374" t="s" s="2">
        <v>541</v>
      </c>
      <c r="J2374" t="s" s="2">
        <v>22</v>
      </c>
      <c r="K2374" t="s" s="2">
        <v>4611</v>
      </c>
      <c r="L2374" t="s" s="2">
        <v>481</v>
      </c>
      <c r="M2374" s="5">
        <v>493034.13</v>
      </c>
      <c r="N2374" s="5">
        <v>6217975.53</v>
      </c>
      <c r="O2374" t="s" s="2">
        <v>305</v>
      </c>
      <c r="P2374" s="5">
        <v>7142436</v>
      </c>
      <c r="Q2374" t="s" s="2">
        <v>4244</v>
      </c>
      <c r="R2374" t="s" s="2">
        <f>_xlfn.IFERROR(INDEX('model_byCAP'!$D$2:$D$377,MATCH(Q2374,'model_byCAP'!$A$2:$A$377,0)),0)</f>
        <v>4042</v>
      </c>
    </row>
    <row r="2375" ht="15.35" customHeight="1">
      <c r="A2375" t="s" s="2">
        <v>4613</v>
      </c>
      <c r="B2375" s="4">
        <v>35565</v>
      </c>
      <c r="C2375" s="5">
        <v>750</v>
      </c>
      <c r="D2375" s="5">
        <v>44</v>
      </c>
      <c r="E2375" s="5">
        <v>50</v>
      </c>
      <c r="F2375" t="s" s="2">
        <v>1746</v>
      </c>
      <c r="G2375" t="s" s="2">
        <v>4050</v>
      </c>
      <c r="H2375" s="5">
        <v>661</v>
      </c>
      <c r="I2375" t="s" s="2">
        <v>562</v>
      </c>
      <c r="J2375" t="s" s="2">
        <v>22</v>
      </c>
      <c r="K2375" t="s" s="2">
        <v>4614</v>
      </c>
      <c r="L2375" t="s" s="2">
        <v>605</v>
      </c>
      <c r="M2375" s="5">
        <v>455123.84</v>
      </c>
      <c r="N2375" s="5">
        <v>6245132.38</v>
      </c>
      <c r="O2375" t="s" s="2">
        <v>305</v>
      </c>
      <c r="P2375" s="5">
        <v>40125230</v>
      </c>
      <c r="Q2375" t="s" s="2">
        <v>4053</v>
      </c>
      <c r="R2375" t="s" s="2">
        <f>_xlfn.IFERROR(INDEX('model_byCAP'!$D$2:$D$377,MATCH(Q2375,'model_byCAP'!$A$2:$A$377,0)),0)</f>
        <v>2955</v>
      </c>
    </row>
    <row r="2376" ht="15.35" customHeight="1">
      <c r="A2376" t="s" s="2">
        <v>4615</v>
      </c>
      <c r="B2376" s="4">
        <v>35565</v>
      </c>
      <c r="C2376" s="5">
        <v>750</v>
      </c>
      <c r="D2376" s="5">
        <v>44</v>
      </c>
      <c r="E2376" s="5">
        <v>50</v>
      </c>
      <c r="F2376" t="s" s="2">
        <v>1746</v>
      </c>
      <c r="G2376" t="s" s="2">
        <v>4050</v>
      </c>
      <c r="H2376" s="5">
        <v>661</v>
      </c>
      <c r="I2376" t="s" s="2">
        <v>562</v>
      </c>
      <c r="J2376" t="s" s="2">
        <v>22</v>
      </c>
      <c r="K2376" t="s" s="2">
        <v>4614</v>
      </c>
      <c r="L2376" t="s" s="2">
        <v>605</v>
      </c>
      <c r="M2376" s="5">
        <v>455073.79</v>
      </c>
      <c r="N2376" s="5">
        <v>6244886.59</v>
      </c>
      <c r="O2376" t="s" s="2">
        <v>305</v>
      </c>
      <c r="P2376" s="5">
        <v>40125230</v>
      </c>
      <c r="Q2376" t="s" s="2">
        <v>4053</v>
      </c>
      <c r="R2376" t="s" s="2">
        <f>_xlfn.IFERROR(INDEX('model_byCAP'!$D$2:$D$377,MATCH(Q2376,'model_byCAP'!$A$2:$A$377,0)),0)</f>
        <v>2955</v>
      </c>
    </row>
    <row r="2377" ht="15.35" customHeight="1">
      <c r="A2377" t="s" s="2">
        <v>4616</v>
      </c>
      <c r="B2377" s="4">
        <v>35565</v>
      </c>
      <c r="C2377" s="5">
        <v>750</v>
      </c>
      <c r="D2377" s="5">
        <v>44</v>
      </c>
      <c r="E2377" s="5">
        <v>50</v>
      </c>
      <c r="F2377" t="s" s="2">
        <v>1746</v>
      </c>
      <c r="G2377" t="s" s="2">
        <v>4050</v>
      </c>
      <c r="H2377" s="5">
        <v>661</v>
      </c>
      <c r="I2377" t="s" s="2">
        <v>562</v>
      </c>
      <c r="J2377" t="s" s="2">
        <v>22</v>
      </c>
      <c r="K2377" t="s" s="2">
        <v>4614</v>
      </c>
      <c r="L2377" t="s" s="2">
        <v>4617</v>
      </c>
      <c r="M2377" s="5">
        <v>454881.34</v>
      </c>
      <c r="N2377" s="5">
        <v>6245038.29</v>
      </c>
      <c r="O2377" t="s" s="2">
        <v>305</v>
      </c>
      <c r="P2377" s="5">
        <v>40125230</v>
      </c>
      <c r="Q2377" t="s" s="2">
        <v>4053</v>
      </c>
      <c r="R2377" t="s" s="2">
        <f>_xlfn.IFERROR(INDEX('model_byCAP'!$D$2:$D$377,MATCH(Q2377,'model_byCAP'!$A$2:$A$377,0)),0)</f>
        <v>2955</v>
      </c>
    </row>
    <row r="2378" ht="15.35" customHeight="1">
      <c r="A2378" t="s" s="2">
        <v>4618</v>
      </c>
      <c r="B2378" s="4">
        <v>36476</v>
      </c>
      <c r="C2378" s="5">
        <v>750</v>
      </c>
      <c r="D2378" s="5">
        <v>48</v>
      </c>
      <c r="E2378" s="5">
        <v>50</v>
      </c>
      <c r="F2378" t="s" s="2">
        <v>1746</v>
      </c>
      <c r="G2378" t="s" s="2">
        <v>4151</v>
      </c>
      <c r="H2378" s="5">
        <v>661</v>
      </c>
      <c r="I2378" t="s" s="2">
        <v>562</v>
      </c>
      <c r="J2378" t="s" s="2">
        <v>22</v>
      </c>
      <c r="K2378" t="s" s="2">
        <v>3315</v>
      </c>
      <c r="L2378" t="s" s="2">
        <v>4619</v>
      </c>
      <c r="M2378" s="5">
        <v>485174.25</v>
      </c>
      <c r="N2378" s="5">
        <v>6248952.35</v>
      </c>
      <c r="O2378" t="s" s="2">
        <v>305</v>
      </c>
      <c r="P2378" s="5">
        <v>40142289</v>
      </c>
      <c r="Q2378" t="s" s="2">
        <v>4154</v>
      </c>
      <c r="R2378" t="s" s="2">
        <f>_xlfn.IFERROR(INDEX('model_byCAP'!$D$2:$D$377,MATCH(Q2378,'model_byCAP'!$A$2:$A$377,0)),0)</f>
        <v>4047</v>
      </c>
    </row>
    <row r="2379" ht="15.35" customHeight="1">
      <c r="A2379" t="s" s="2">
        <v>4620</v>
      </c>
      <c r="B2379" s="4">
        <v>36476</v>
      </c>
      <c r="C2379" s="5">
        <v>750</v>
      </c>
      <c r="D2379" s="5">
        <v>48</v>
      </c>
      <c r="E2379" s="5">
        <v>50</v>
      </c>
      <c r="F2379" t="s" s="2">
        <v>1746</v>
      </c>
      <c r="G2379" t="s" s="2">
        <v>4151</v>
      </c>
      <c r="H2379" s="5">
        <v>661</v>
      </c>
      <c r="I2379" t="s" s="2">
        <v>562</v>
      </c>
      <c r="J2379" t="s" s="2">
        <v>22</v>
      </c>
      <c r="K2379" t="s" s="2">
        <v>3315</v>
      </c>
      <c r="L2379" t="s" s="2">
        <v>4621</v>
      </c>
      <c r="M2379" s="5">
        <v>484953.27</v>
      </c>
      <c r="N2379" s="5">
        <v>6248872.59</v>
      </c>
      <c r="O2379" t="s" s="2">
        <v>305</v>
      </c>
      <c r="P2379" s="5">
        <v>40143290</v>
      </c>
      <c r="Q2379" t="s" s="2">
        <v>4154</v>
      </c>
      <c r="R2379" t="s" s="2">
        <f>_xlfn.IFERROR(INDEX('model_byCAP'!$D$2:$D$377,MATCH(Q2379,'model_byCAP'!$A$2:$A$377,0)),0)</f>
        <v>4047</v>
      </c>
    </row>
    <row r="2380" ht="15.35" customHeight="1">
      <c r="A2380" t="s" s="2">
        <v>4622</v>
      </c>
      <c r="B2380" s="4">
        <v>36476</v>
      </c>
      <c r="C2380" s="5">
        <v>750</v>
      </c>
      <c r="D2380" s="5">
        <v>48</v>
      </c>
      <c r="E2380" s="5">
        <v>50</v>
      </c>
      <c r="F2380" t="s" s="2">
        <v>1746</v>
      </c>
      <c r="G2380" t="s" s="2">
        <v>4151</v>
      </c>
      <c r="H2380" s="5">
        <v>661</v>
      </c>
      <c r="I2380" t="s" s="2">
        <v>562</v>
      </c>
      <c r="J2380" t="s" s="2">
        <v>22</v>
      </c>
      <c r="K2380" t="s" s="2">
        <v>3315</v>
      </c>
      <c r="L2380" t="s" s="2">
        <v>4623</v>
      </c>
      <c r="M2380" s="5">
        <v>485353.58</v>
      </c>
      <c r="N2380" s="5">
        <v>6248800.63</v>
      </c>
      <c r="O2380" t="s" s="2">
        <v>305</v>
      </c>
      <c r="P2380" s="5">
        <v>40144292</v>
      </c>
      <c r="Q2380" t="s" s="2">
        <v>4154</v>
      </c>
      <c r="R2380" t="s" s="2">
        <f>_xlfn.IFERROR(INDEX('model_byCAP'!$D$2:$D$377,MATCH(Q2380,'model_byCAP'!$A$2:$A$377,0)),0)</f>
        <v>4047</v>
      </c>
    </row>
    <row r="2381" ht="15.35" customHeight="1">
      <c r="A2381" t="s" s="2">
        <v>4624</v>
      </c>
      <c r="B2381" s="4">
        <v>36476</v>
      </c>
      <c r="C2381" s="5">
        <v>750</v>
      </c>
      <c r="D2381" s="5">
        <v>48</v>
      </c>
      <c r="E2381" s="5">
        <v>50</v>
      </c>
      <c r="F2381" t="s" s="2">
        <v>1746</v>
      </c>
      <c r="G2381" t="s" s="2">
        <v>4151</v>
      </c>
      <c r="H2381" s="5">
        <v>661</v>
      </c>
      <c r="I2381" t="s" s="2">
        <v>562</v>
      </c>
      <c r="J2381" t="s" s="2">
        <v>22</v>
      </c>
      <c r="K2381" t="s" s="2">
        <v>3315</v>
      </c>
      <c r="L2381" t="s" s="2">
        <v>3691</v>
      </c>
      <c r="M2381" s="5">
        <v>485131.79</v>
      </c>
      <c r="N2381" s="5">
        <v>6248721.01</v>
      </c>
      <c r="O2381" t="s" s="2">
        <v>305</v>
      </c>
      <c r="P2381" s="5">
        <v>40145293</v>
      </c>
      <c r="Q2381" t="s" s="2">
        <v>4154</v>
      </c>
      <c r="R2381" t="s" s="2">
        <f>_xlfn.IFERROR(INDEX('model_byCAP'!$D$2:$D$377,MATCH(Q2381,'model_byCAP'!$A$2:$A$377,0)),0)</f>
        <v>4047</v>
      </c>
    </row>
    <row r="2382" ht="15.35" customHeight="1">
      <c r="A2382" t="s" s="2">
        <v>4625</v>
      </c>
      <c r="B2382" s="4">
        <v>36707</v>
      </c>
      <c r="C2382" s="5">
        <v>750</v>
      </c>
      <c r="D2382" s="5">
        <v>48</v>
      </c>
      <c r="E2382" s="5">
        <v>50</v>
      </c>
      <c r="F2382" t="s" s="2">
        <v>1746</v>
      </c>
      <c r="G2382" t="s" s="2">
        <v>4151</v>
      </c>
      <c r="H2382" s="5">
        <v>661</v>
      </c>
      <c r="I2382" t="s" s="2">
        <v>562</v>
      </c>
      <c r="J2382" t="s" s="2">
        <v>22</v>
      </c>
      <c r="K2382" t="s" s="2">
        <v>4626</v>
      </c>
      <c r="L2382" t="s" s="2">
        <v>518</v>
      </c>
      <c r="M2382" s="5">
        <v>471860.72</v>
      </c>
      <c r="N2382" s="5">
        <v>6244974.26</v>
      </c>
      <c r="O2382" t="s" s="2">
        <v>305</v>
      </c>
      <c r="P2382" s="5">
        <v>40167330</v>
      </c>
      <c r="Q2382" t="s" s="2">
        <v>4154</v>
      </c>
      <c r="R2382" t="s" s="2">
        <f>_xlfn.IFERROR(INDEX('model_byCAP'!$D$2:$D$377,MATCH(Q2382,'model_byCAP'!$A$2:$A$377,0)),0)</f>
        <v>4047</v>
      </c>
    </row>
    <row r="2383" ht="15.35" customHeight="1">
      <c r="A2383" t="s" s="2">
        <v>4627</v>
      </c>
      <c r="B2383" s="4">
        <v>36707</v>
      </c>
      <c r="C2383" s="5">
        <v>750</v>
      </c>
      <c r="D2383" s="5">
        <v>48</v>
      </c>
      <c r="E2383" s="5">
        <v>50</v>
      </c>
      <c r="F2383" t="s" s="2">
        <v>1746</v>
      </c>
      <c r="G2383" t="s" s="2">
        <v>4151</v>
      </c>
      <c r="H2383" s="5">
        <v>661</v>
      </c>
      <c r="I2383" t="s" s="2">
        <v>562</v>
      </c>
      <c r="J2383" t="s" s="2">
        <v>22</v>
      </c>
      <c r="K2383" t="s" s="2">
        <v>4626</v>
      </c>
      <c r="L2383" t="s" s="2">
        <v>518</v>
      </c>
      <c r="M2383" s="5">
        <v>471930.56</v>
      </c>
      <c r="N2383" s="5">
        <v>6245193.42</v>
      </c>
      <c r="O2383" t="s" s="2">
        <v>305</v>
      </c>
      <c r="P2383" s="5">
        <v>40167330</v>
      </c>
      <c r="Q2383" t="s" s="2">
        <v>4154</v>
      </c>
      <c r="R2383" t="s" s="2">
        <f>_xlfn.IFERROR(INDEX('model_byCAP'!$D$2:$D$377,MATCH(Q2383,'model_byCAP'!$A$2:$A$377,0)),0)</f>
        <v>4047</v>
      </c>
    </row>
    <row r="2384" ht="15.35" customHeight="1">
      <c r="A2384" t="s" s="2">
        <v>4628</v>
      </c>
      <c r="B2384" s="4">
        <v>36707</v>
      </c>
      <c r="C2384" s="5">
        <v>750</v>
      </c>
      <c r="D2384" s="5">
        <v>48</v>
      </c>
      <c r="E2384" s="5">
        <v>50</v>
      </c>
      <c r="F2384" t="s" s="2">
        <v>1746</v>
      </c>
      <c r="G2384" t="s" s="2">
        <v>4151</v>
      </c>
      <c r="H2384" s="5">
        <v>661</v>
      </c>
      <c r="I2384" t="s" s="2">
        <v>562</v>
      </c>
      <c r="J2384" t="s" s="2">
        <v>22</v>
      </c>
      <c r="K2384" t="s" s="2">
        <v>4626</v>
      </c>
      <c r="L2384" t="s" s="2">
        <v>502</v>
      </c>
      <c r="M2384" s="5">
        <v>472016.11</v>
      </c>
      <c r="N2384" s="5">
        <v>6244802.99</v>
      </c>
      <c r="O2384" t="s" s="2">
        <v>305</v>
      </c>
      <c r="P2384" s="5">
        <v>40167330</v>
      </c>
      <c r="Q2384" t="s" s="2">
        <v>4154</v>
      </c>
      <c r="R2384" t="s" s="2">
        <f>_xlfn.IFERROR(INDEX('model_byCAP'!$D$2:$D$377,MATCH(Q2384,'model_byCAP'!$A$2:$A$377,0)),0)</f>
        <v>4047</v>
      </c>
    </row>
    <row r="2385" ht="15.35" customHeight="1">
      <c r="A2385" t="s" s="2">
        <v>4629</v>
      </c>
      <c r="B2385" s="4">
        <v>36707</v>
      </c>
      <c r="C2385" s="5">
        <v>750</v>
      </c>
      <c r="D2385" s="5">
        <v>48.2</v>
      </c>
      <c r="E2385" s="5">
        <v>50</v>
      </c>
      <c r="F2385" t="s" s="2">
        <v>1746</v>
      </c>
      <c r="G2385" t="s" s="2">
        <v>4151</v>
      </c>
      <c r="H2385" s="5">
        <v>661</v>
      </c>
      <c r="I2385" t="s" s="2">
        <v>562</v>
      </c>
      <c r="J2385" t="s" s="2">
        <v>22</v>
      </c>
      <c r="K2385" t="s" s="2">
        <v>4626</v>
      </c>
      <c r="L2385" t="s" s="2">
        <v>518</v>
      </c>
      <c r="M2385" s="5">
        <v>472085.61</v>
      </c>
      <c r="N2385" s="5">
        <v>6245023.44</v>
      </c>
      <c r="O2385" t="s" s="2">
        <v>305</v>
      </c>
      <c r="P2385" s="5">
        <v>40167330</v>
      </c>
      <c r="Q2385" t="s" s="2">
        <v>4154</v>
      </c>
      <c r="R2385" t="s" s="2">
        <f>_xlfn.IFERROR(INDEX('model_byCAP'!$D$2:$D$377,MATCH(Q2385,'model_byCAP'!$A$2:$A$377,0)),0)</f>
        <v>4047</v>
      </c>
    </row>
    <row r="2386" ht="15.35" customHeight="1">
      <c r="A2386" t="s" s="2">
        <v>4630</v>
      </c>
      <c r="B2386" s="4">
        <v>36707</v>
      </c>
      <c r="C2386" s="5">
        <v>750</v>
      </c>
      <c r="D2386" s="5">
        <v>48</v>
      </c>
      <c r="E2386" s="5">
        <v>50</v>
      </c>
      <c r="F2386" t="s" s="2">
        <v>1746</v>
      </c>
      <c r="G2386" t="s" s="2">
        <v>4151</v>
      </c>
      <c r="H2386" s="5">
        <v>661</v>
      </c>
      <c r="I2386" t="s" s="2">
        <v>562</v>
      </c>
      <c r="J2386" t="s" s="2">
        <v>22</v>
      </c>
      <c r="K2386" t="s" s="2">
        <v>4626</v>
      </c>
      <c r="L2386" t="s" s="2">
        <v>518</v>
      </c>
      <c r="M2386" s="5">
        <v>472155.21</v>
      </c>
      <c r="N2386" s="5">
        <v>6245242.6</v>
      </c>
      <c r="O2386" t="s" s="2">
        <v>305</v>
      </c>
      <c r="P2386" s="5">
        <v>40167330</v>
      </c>
      <c r="Q2386" t="s" s="2">
        <v>4154</v>
      </c>
      <c r="R2386" t="s" s="2">
        <f>_xlfn.IFERROR(INDEX('model_byCAP'!$D$2:$D$377,MATCH(Q2386,'model_byCAP'!$A$2:$A$377,0)),0)</f>
        <v>4047</v>
      </c>
    </row>
    <row r="2387" ht="15.35" customHeight="1">
      <c r="A2387" t="s" s="2">
        <v>4631</v>
      </c>
      <c r="B2387" s="4">
        <v>36322</v>
      </c>
      <c r="C2387" s="5">
        <v>750</v>
      </c>
      <c r="D2387" s="5">
        <v>48.2</v>
      </c>
      <c r="E2387" s="5">
        <v>50</v>
      </c>
      <c r="F2387" t="s" s="2">
        <v>1746</v>
      </c>
      <c r="G2387" t="s" s="2">
        <v>4044</v>
      </c>
      <c r="H2387" s="5">
        <v>661</v>
      </c>
      <c r="I2387" t="s" s="2">
        <v>562</v>
      </c>
      <c r="J2387" t="s" s="2">
        <v>22</v>
      </c>
      <c r="K2387" t="s" s="2">
        <v>4632</v>
      </c>
      <c r="L2387" t="s" s="2">
        <v>908</v>
      </c>
      <c r="M2387" s="5">
        <v>489522.57</v>
      </c>
      <c r="N2387" s="5">
        <v>6257775.15</v>
      </c>
      <c r="O2387" t="s" s="2">
        <v>305</v>
      </c>
      <c r="P2387" s="5">
        <v>1260</v>
      </c>
      <c r="Q2387" t="s" s="2">
        <v>4046</v>
      </c>
      <c r="R2387" t="s" s="2">
        <f>_xlfn.IFERROR(INDEX('model_byCAP'!$D$2:$D$377,MATCH(Q2387,'model_byCAP'!$A$2:$A$377,0)),0)</f>
        <v>4047</v>
      </c>
    </row>
    <row r="2388" ht="15.35" customHeight="1">
      <c r="A2388" t="s" s="2">
        <v>4633</v>
      </c>
      <c r="B2388" s="4">
        <v>36322</v>
      </c>
      <c r="C2388" s="5">
        <v>750</v>
      </c>
      <c r="D2388" s="5">
        <v>48.2</v>
      </c>
      <c r="E2388" s="5">
        <v>50</v>
      </c>
      <c r="F2388" t="s" s="2">
        <v>1746</v>
      </c>
      <c r="G2388" t="s" s="2">
        <v>4044</v>
      </c>
      <c r="H2388" s="5">
        <v>661</v>
      </c>
      <c r="I2388" t="s" s="2">
        <v>562</v>
      </c>
      <c r="J2388" t="s" s="2">
        <v>22</v>
      </c>
      <c r="K2388" t="s" s="2">
        <v>4632</v>
      </c>
      <c r="L2388" t="s" s="2">
        <v>908</v>
      </c>
      <c r="M2388" s="5">
        <v>489612.66</v>
      </c>
      <c r="N2388" s="5">
        <v>6257634.79</v>
      </c>
      <c r="O2388" t="s" s="2">
        <v>305</v>
      </c>
      <c r="P2388" s="5">
        <v>1261</v>
      </c>
      <c r="Q2388" t="s" s="2">
        <v>4046</v>
      </c>
      <c r="R2388" t="s" s="2">
        <f>_xlfn.IFERROR(INDEX('model_byCAP'!$D$2:$D$377,MATCH(Q2388,'model_byCAP'!$A$2:$A$377,0)),0)</f>
        <v>4047</v>
      </c>
    </row>
    <row r="2389" ht="15.35" customHeight="1">
      <c r="A2389" t="s" s="2">
        <v>4634</v>
      </c>
      <c r="B2389" s="4">
        <v>36322</v>
      </c>
      <c r="C2389" s="5">
        <v>750</v>
      </c>
      <c r="D2389" s="5">
        <v>48</v>
      </c>
      <c r="E2389" s="5">
        <v>45</v>
      </c>
      <c r="F2389" t="s" s="2">
        <v>1746</v>
      </c>
      <c r="G2389" t="s" s="2">
        <v>4044</v>
      </c>
      <c r="H2389" s="5">
        <v>661</v>
      </c>
      <c r="I2389" t="s" s="2">
        <v>562</v>
      </c>
      <c r="J2389" t="s" s="2">
        <v>22</v>
      </c>
      <c r="K2389" t="s" s="2">
        <v>4632</v>
      </c>
      <c r="L2389" t="s" s="2">
        <v>543</v>
      </c>
      <c r="M2389" s="5">
        <v>489698.12</v>
      </c>
      <c r="N2389" s="5">
        <v>6257492.79</v>
      </c>
      <c r="O2389" t="s" s="2">
        <v>305</v>
      </c>
      <c r="P2389" s="5">
        <v>1262</v>
      </c>
      <c r="Q2389" t="s" s="2">
        <v>4046</v>
      </c>
      <c r="R2389" t="s" s="2">
        <f>_xlfn.IFERROR(INDEX('model_byCAP'!$D$2:$D$377,MATCH(Q2389,'model_byCAP'!$A$2:$A$377,0)),0)</f>
        <v>4047</v>
      </c>
    </row>
    <row r="2390" ht="15.35" customHeight="1">
      <c r="A2390" t="s" s="2">
        <v>4635</v>
      </c>
      <c r="B2390" s="4">
        <v>37606</v>
      </c>
      <c r="C2390" s="5">
        <v>750</v>
      </c>
      <c r="D2390" s="5">
        <v>48</v>
      </c>
      <c r="E2390" s="5">
        <v>45</v>
      </c>
      <c r="F2390" t="s" s="2">
        <v>1746</v>
      </c>
      <c r="G2390" t="s" s="2">
        <v>4044</v>
      </c>
      <c r="H2390" s="5">
        <v>661</v>
      </c>
      <c r="I2390" t="s" s="2">
        <v>562</v>
      </c>
      <c r="J2390" t="s" s="2">
        <v>22</v>
      </c>
      <c r="K2390" t="s" s="2">
        <v>4636</v>
      </c>
      <c r="L2390" t="s" s="2">
        <v>937</v>
      </c>
      <c r="M2390" s="5">
        <v>467717.86</v>
      </c>
      <c r="N2390" s="5">
        <v>6248383.66</v>
      </c>
      <c r="O2390" t="s" s="2">
        <v>305</v>
      </c>
      <c r="P2390" t="s" s="2">
        <v>4637</v>
      </c>
      <c r="Q2390" t="s" s="2">
        <v>4046</v>
      </c>
      <c r="R2390" t="s" s="2">
        <f>_xlfn.IFERROR(INDEX('model_byCAP'!$D$2:$D$377,MATCH(Q2390,'model_byCAP'!$A$2:$A$377,0)),0)</f>
        <v>4047</v>
      </c>
    </row>
    <row r="2391" ht="15.35" customHeight="1">
      <c r="A2391" t="s" s="2">
        <v>4638</v>
      </c>
      <c r="B2391" s="4">
        <v>37606</v>
      </c>
      <c r="C2391" s="5">
        <v>750</v>
      </c>
      <c r="D2391" s="5">
        <v>48</v>
      </c>
      <c r="E2391" s="5">
        <v>45</v>
      </c>
      <c r="F2391" t="s" s="2">
        <v>1746</v>
      </c>
      <c r="G2391" t="s" s="2">
        <v>4044</v>
      </c>
      <c r="H2391" s="5">
        <v>661</v>
      </c>
      <c r="I2391" t="s" s="2">
        <v>562</v>
      </c>
      <c r="J2391" t="s" s="2">
        <v>22</v>
      </c>
      <c r="K2391" t="s" s="2">
        <v>4636</v>
      </c>
      <c r="L2391" t="s" s="2">
        <v>937</v>
      </c>
      <c r="M2391" s="5">
        <v>467753.72</v>
      </c>
      <c r="N2391" s="5">
        <v>6248513.83</v>
      </c>
      <c r="O2391" t="s" s="2">
        <v>305</v>
      </c>
      <c r="P2391" t="s" s="2">
        <v>4639</v>
      </c>
      <c r="Q2391" t="s" s="2">
        <v>4046</v>
      </c>
      <c r="R2391" t="s" s="2">
        <f>_xlfn.IFERROR(INDEX('model_byCAP'!$D$2:$D$377,MATCH(Q2391,'model_byCAP'!$A$2:$A$377,0)),0)</f>
        <v>4047</v>
      </c>
    </row>
    <row r="2392" ht="15.35" customHeight="1">
      <c r="A2392" t="s" s="2">
        <v>4640</v>
      </c>
      <c r="B2392" s="4">
        <v>37606</v>
      </c>
      <c r="C2392" s="5">
        <v>750</v>
      </c>
      <c r="D2392" s="5">
        <v>48</v>
      </c>
      <c r="E2392" s="5">
        <v>45</v>
      </c>
      <c r="F2392" t="s" s="2">
        <v>1746</v>
      </c>
      <c r="G2392" t="s" s="2">
        <v>4044</v>
      </c>
      <c r="H2392" s="5">
        <v>661</v>
      </c>
      <c r="I2392" t="s" s="2">
        <v>562</v>
      </c>
      <c r="J2392" t="s" s="2">
        <v>22</v>
      </c>
      <c r="K2392" t="s" s="2">
        <v>4636</v>
      </c>
      <c r="L2392" t="s" s="2">
        <v>937</v>
      </c>
      <c r="M2392" s="5">
        <v>467788.89</v>
      </c>
      <c r="N2392" s="5">
        <v>6248644.12</v>
      </c>
      <c r="O2392" t="s" s="2">
        <v>305</v>
      </c>
      <c r="P2392" t="s" s="2">
        <v>4641</v>
      </c>
      <c r="Q2392" t="s" s="2">
        <v>4046</v>
      </c>
      <c r="R2392" t="s" s="2">
        <f>_xlfn.IFERROR(INDEX('model_byCAP'!$D$2:$D$377,MATCH(Q2392,'model_byCAP'!$A$2:$A$377,0)),0)</f>
        <v>4047</v>
      </c>
    </row>
    <row r="2393" ht="15.35" customHeight="1">
      <c r="A2393" t="s" s="2">
        <v>4642</v>
      </c>
      <c r="B2393" s="4">
        <v>37606</v>
      </c>
      <c r="C2393" s="5">
        <v>750</v>
      </c>
      <c r="D2393" s="5">
        <v>48</v>
      </c>
      <c r="E2393" s="5">
        <v>45</v>
      </c>
      <c r="F2393" t="s" s="2">
        <v>1746</v>
      </c>
      <c r="G2393" t="s" s="2">
        <v>4044</v>
      </c>
      <c r="H2393" s="5">
        <v>661</v>
      </c>
      <c r="I2393" t="s" s="2">
        <v>562</v>
      </c>
      <c r="J2393" t="s" s="2">
        <v>22</v>
      </c>
      <c r="K2393" t="s" s="2">
        <v>4636</v>
      </c>
      <c r="L2393" t="s" s="2">
        <v>937</v>
      </c>
      <c r="M2393" s="5">
        <v>467824.55</v>
      </c>
      <c r="N2393" s="5">
        <v>6248774.62</v>
      </c>
      <c r="O2393" t="s" s="2">
        <v>305</v>
      </c>
      <c r="P2393" t="s" s="2">
        <v>4643</v>
      </c>
      <c r="Q2393" t="s" s="2">
        <v>4046</v>
      </c>
      <c r="R2393" t="s" s="2">
        <f>_xlfn.IFERROR(INDEX('model_byCAP'!$D$2:$D$377,MATCH(Q2393,'model_byCAP'!$A$2:$A$377,0)),0)</f>
        <v>4047</v>
      </c>
    </row>
    <row r="2394" ht="15.35" customHeight="1">
      <c r="A2394" t="s" s="2">
        <v>4644</v>
      </c>
      <c r="B2394" s="4">
        <v>37606</v>
      </c>
      <c r="C2394" s="5">
        <v>750</v>
      </c>
      <c r="D2394" s="5">
        <v>48</v>
      </c>
      <c r="E2394" s="5">
        <v>45</v>
      </c>
      <c r="F2394" t="s" s="2">
        <v>1746</v>
      </c>
      <c r="G2394" t="s" s="2">
        <v>4044</v>
      </c>
      <c r="H2394" s="5">
        <v>661</v>
      </c>
      <c r="I2394" t="s" s="2">
        <v>562</v>
      </c>
      <c r="J2394" t="s" s="2">
        <v>22</v>
      </c>
      <c r="K2394" t="s" s="2">
        <v>4636</v>
      </c>
      <c r="L2394" t="s" s="2">
        <v>937</v>
      </c>
      <c r="M2394" s="5">
        <v>467859.92</v>
      </c>
      <c r="N2394" s="5">
        <v>6248904.65</v>
      </c>
      <c r="O2394" t="s" s="2">
        <v>305</v>
      </c>
      <c r="P2394" t="s" s="2">
        <v>4645</v>
      </c>
      <c r="Q2394" t="s" s="2">
        <v>4046</v>
      </c>
      <c r="R2394" t="s" s="2">
        <f>_xlfn.IFERROR(INDEX('model_byCAP'!$D$2:$D$377,MATCH(Q2394,'model_byCAP'!$A$2:$A$377,0)),0)</f>
        <v>4047</v>
      </c>
    </row>
    <row r="2395" ht="15.35" customHeight="1">
      <c r="A2395" t="s" s="2">
        <v>4646</v>
      </c>
      <c r="B2395" s="4">
        <v>37606</v>
      </c>
      <c r="C2395" s="5">
        <v>750</v>
      </c>
      <c r="D2395" s="5">
        <v>48</v>
      </c>
      <c r="E2395" s="5">
        <v>45</v>
      </c>
      <c r="F2395" t="s" s="2">
        <v>1746</v>
      </c>
      <c r="G2395" t="s" s="2">
        <v>4044</v>
      </c>
      <c r="H2395" s="5">
        <v>661</v>
      </c>
      <c r="I2395" t="s" s="2">
        <v>562</v>
      </c>
      <c r="J2395" t="s" s="2">
        <v>22</v>
      </c>
      <c r="K2395" t="s" s="2">
        <v>4636</v>
      </c>
      <c r="L2395" t="s" s="2">
        <v>937</v>
      </c>
      <c r="M2395" s="5">
        <v>467895.44</v>
      </c>
      <c r="N2395" s="5">
        <v>6249035.02</v>
      </c>
      <c r="O2395" t="s" s="2">
        <v>305</v>
      </c>
      <c r="P2395" t="s" s="2">
        <v>4647</v>
      </c>
      <c r="Q2395" t="s" s="2">
        <v>4046</v>
      </c>
      <c r="R2395" t="s" s="2">
        <f>_xlfn.IFERROR(INDEX('model_byCAP'!$D$2:$D$377,MATCH(Q2395,'model_byCAP'!$A$2:$A$377,0)),0)</f>
        <v>4047</v>
      </c>
    </row>
    <row r="2396" ht="15.35" customHeight="1">
      <c r="A2396" t="s" s="2">
        <v>4648</v>
      </c>
      <c r="B2396" s="4">
        <v>34667</v>
      </c>
      <c r="C2396" s="5">
        <v>750</v>
      </c>
      <c r="D2396" s="5">
        <v>44</v>
      </c>
      <c r="E2396" s="5">
        <v>40.5</v>
      </c>
      <c r="F2396" t="s" s="2">
        <v>1746</v>
      </c>
      <c r="G2396" t="s" s="2">
        <v>4136</v>
      </c>
      <c r="H2396" s="5">
        <v>665</v>
      </c>
      <c r="I2396" t="s" s="2">
        <v>316</v>
      </c>
      <c r="J2396" t="s" s="2">
        <v>22</v>
      </c>
      <c r="K2396" t="s" s="2">
        <v>4649</v>
      </c>
      <c r="L2396" t="s" s="2">
        <v>4650</v>
      </c>
      <c r="M2396" s="5">
        <v>456193.13</v>
      </c>
      <c r="N2396" s="5">
        <v>6264718.02</v>
      </c>
      <c r="O2396" t="s" s="2">
        <v>305</v>
      </c>
      <c r="P2396" s="5">
        <v>40102141</v>
      </c>
      <c r="Q2396" t="s" s="2">
        <v>4137</v>
      </c>
      <c r="R2396" t="s" s="2">
        <f>_xlfn.IFERROR(INDEX('model_byCAP'!$D$2:$D$377,MATCH(Q2396,'model_byCAP'!$A$2:$A$377,0)),0)</f>
        <v>4042</v>
      </c>
    </row>
    <row r="2397" ht="15.35" customHeight="1">
      <c r="A2397" t="s" s="2">
        <v>4651</v>
      </c>
      <c r="B2397" s="4">
        <v>35431</v>
      </c>
      <c r="C2397" s="5">
        <v>750</v>
      </c>
      <c r="D2397" s="5">
        <v>44</v>
      </c>
      <c r="E2397" s="5">
        <v>40.4</v>
      </c>
      <c r="F2397" t="s" s="2">
        <v>1746</v>
      </c>
      <c r="G2397" t="s" s="2">
        <v>4050</v>
      </c>
      <c r="H2397" s="5">
        <v>665</v>
      </c>
      <c r="I2397" t="s" s="2">
        <v>316</v>
      </c>
      <c r="J2397" t="s" s="2">
        <v>22</v>
      </c>
      <c r="K2397" t="s" s="2">
        <v>4652</v>
      </c>
      <c r="L2397" t="s" s="2">
        <v>3203</v>
      </c>
      <c r="M2397" s="5">
        <v>447095.8</v>
      </c>
      <c r="N2397" s="5">
        <v>6258491.88</v>
      </c>
      <c r="O2397" t="s" s="2">
        <v>305</v>
      </c>
      <c r="P2397" s="5">
        <v>40120195</v>
      </c>
      <c r="Q2397" t="s" s="2">
        <v>4053</v>
      </c>
      <c r="R2397" t="s" s="2">
        <f>_xlfn.IFERROR(INDEX('model_byCAP'!$D$2:$D$377,MATCH(Q2397,'model_byCAP'!$A$2:$A$377,0)),0)</f>
        <v>2955</v>
      </c>
    </row>
    <row r="2398" ht="15.35" customHeight="1">
      <c r="A2398" t="s" s="2">
        <v>4653</v>
      </c>
      <c r="B2398" s="4">
        <v>35513</v>
      </c>
      <c r="C2398" s="5">
        <v>750</v>
      </c>
      <c r="D2398" s="5">
        <v>44</v>
      </c>
      <c r="E2398" s="5">
        <v>40.4</v>
      </c>
      <c r="F2398" t="s" s="2">
        <v>1746</v>
      </c>
      <c r="G2398" t="s" s="2">
        <v>4050</v>
      </c>
      <c r="H2398" s="5">
        <v>665</v>
      </c>
      <c r="I2398" t="s" s="2">
        <v>316</v>
      </c>
      <c r="J2398" t="s" s="2">
        <v>22</v>
      </c>
      <c r="K2398" t="s" s="2">
        <v>4652</v>
      </c>
      <c r="L2398" t="s" s="2">
        <v>4654</v>
      </c>
      <c r="M2398" s="5">
        <v>447314.52</v>
      </c>
      <c r="N2398" s="5">
        <v>6258459.47</v>
      </c>
      <c r="O2398" t="s" s="2">
        <v>305</v>
      </c>
      <c r="P2398" s="5">
        <v>40120195</v>
      </c>
      <c r="Q2398" t="s" s="2">
        <v>4053</v>
      </c>
      <c r="R2398" t="s" s="2">
        <f>_xlfn.IFERROR(INDEX('model_byCAP'!$D$2:$D$377,MATCH(Q2398,'model_byCAP'!$A$2:$A$377,0)),0)</f>
        <v>2955</v>
      </c>
    </row>
    <row r="2399" ht="15.35" customHeight="1">
      <c r="A2399" t="s" s="2">
        <v>4655</v>
      </c>
      <c r="B2399" s="4">
        <v>35431</v>
      </c>
      <c r="C2399" s="5">
        <v>750</v>
      </c>
      <c r="D2399" s="5">
        <v>44</v>
      </c>
      <c r="E2399" s="5">
        <v>40.4</v>
      </c>
      <c r="F2399" t="s" s="2">
        <v>1746</v>
      </c>
      <c r="G2399" t="s" s="2">
        <v>4050</v>
      </c>
      <c r="H2399" s="5">
        <v>665</v>
      </c>
      <c r="I2399" t="s" s="2">
        <v>316</v>
      </c>
      <c r="J2399" t="s" s="2">
        <v>22</v>
      </c>
      <c r="K2399" t="s" s="2">
        <v>4652</v>
      </c>
      <c r="L2399" t="s" s="2">
        <v>4656</v>
      </c>
      <c r="M2399" s="5">
        <v>447182.04</v>
      </c>
      <c r="N2399" s="5">
        <v>6258286.88</v>
      </c>
      <c r="O2399" t="s" s="2">
        <v>305</v>
      </c>
      <c r="P2399" s="5">
        <v>40120195</v>
      </c>
      <c r="Q2399" t="s" s="2">
        <v>4053</v>
      </c>
      <c r="R2399" t="s" s="2">
        <f>_xlfn.IFERROR(INDEX('model_byCAP'!$D$2:$D$377,MATCH(Q2399,'model_byCAP'!$A$2:$A$377,0)),0)</f>
        <v>2955</v>
      </c>
    </row>
    <row r="2400" ht="15.35" customHeight="1">
      <c r="A2400" t="s" s="2">
        <v>4657</v>
      </c>
      <c r="B2400" s="4">
        <v>35431</v>
      </c>
      <c r="C2400" s="5">
        <v>750</v>
      </c>
      <c r="D2400" s="5">
        <v>44</v>
      </c>
      <c r="E2400" s="5">
        <v>40.4</v>
      </c>
      <c r="F2400" t="s" s="2">
        <v>1746</v>
      </c>
      <c r="G2400" t="s" s="2">
        <v>4050</v>
      </c>
      <c r="H2400" s="5">
        <v>665</v>
      </c>
      <c r="I2400" t="s" s="2">
        <v>316</v>
      </c>
      <c r="J2400" t="s" s="2">
        <v>22</v>
      </c>
      <c r="K2400" t="s" s="2">
        <v>4652</v>
      </c>
      <c r="L2400" t="s" s="2">
        <v>1330</v>
      </c>
      <c r="M2400" s="5">
        <v>447399.08</v>
      </c>
      <c r="N2400" s="5">
        <v>6258259.21</v>
      </c>
      <c r="O2400" t="s" s="2">
        <v>305</v>
      </c>
      <c r="P2400" s="5">
        <v>40120195</v>
      </c>
      <c r="Q2400" t="s" s="2">
        <v>4053</v>
      </c>
      <c r="R2400" t="s" s="2">
        <f>_xlfn.IFERROR(INDEX('model_byCAP'!$D$2:$D$377,MATCH(Q2400,'model_byCAP'!$A$2:$A$377,0)),0)</f>
        <v>2955</v>
      </c>
    </row>
    <row r="2401" ht="15.35" customHeight="1">
      <c r="A2401" t="s" s="2">
        <v>4658</v>
      </c>
      <c r="B2401" s="4">
        <v>37540</v>
      </c>
      <c r="C2401" s="5">
        <v>750</v>
      </c>
      <c r="D2401" s="5">
        <v>48.2</v>
      </c>
      <c r="E2401" s="5">
        <v>45.5</v>
      </c>
      <c r="F2401" t="s" s="2">
        <v>1746</v>
      </c>
      <c r="G2401" t="s" s="2">
        <v>4151</v>
      </c>
      <c r="H2401" s="5">
        <v>665</v>
      </c>
      <c r="I2401" t="s" s="2">
        <v>316</v>
      </c>
      <c r="J2401" t="s" s="2">
        <v>22</v>
      </c>
      <c r="K2401" t="s" s="2">
        <v>4659</v>
      </c>
      <c r="L2401" t="s" s="2">
        <v>4660</v>
      </c>
      <c r="M2401" s="5">
        <v>453636.27</v>
      </c>
      <c r="N2401" s="5">
        <v>6264132.45</v>
      </c>
      <c r="O2401" t="s" s="2">
        <v>305</v>
      </c>
      <c r="P2401" s="5">
        <v>40175343</v>
      </c>
      <c r="Q2401" t="s" s="2">
        <v>4154</v>
      </c>
      <c r="R2401" t="s" s="2">
        <f>_xlfn.IFERROR(INDEX('model_byCAP'!$D$2:$D$377,MATCH(Q2401,'model_byCAP'!$A$2:$A$377,0)),0)</f>
        <v>4047</v>
      </c>
    </row>
    <row r="2402" ht="15.35" customHeight="1">
      <c r="A2402" t="s" s="2">
        <v>4661</v>
      </c>
      <c r="B2402" s="4">
        <v>37540</v>
      </c>
      <c r="C2402" s="5">
        <v>750</v>
      </c>
      <c r="D2402" s="5">
        <v>48.2</v>
      </c>
      <c r="E2402" s="5">
        <v>45.5</v>
      </c>
      <c r="F2402" t="s" s="2">
        <v>1746</v>
      </c>
      <c r="G2402" t="s" s="2">
        <v>4151</v>
      </c>
      <c r="H2402" s="5">
        <v>665</v>
      </c>
      <c r="I2402" t="s" s="2">
        <v>316</v>
      </c>
      <c r="J2402" t="s" s="2">
        <v>22</v>
      </c>
      <c r="K2402" t="s" s="2">
        <v>4659</v>
      </c>
      <c r="L2402" t="s" s="2">
        <v>4662</v>
      </c>
      <c r="M2402" s="5">
        <v>453611.29</v>
      </c>
      <c r="N2402" s="5">
        <v>6263973.28</v>
      </c>
      <c r="O2402" t="s" s="2">
        <v>305</v>
      </c>
      <c r="P2402" s="5">
        <v>40175344</v>
      </c>
      <c r="Q2402" t="s" s="2">
        <v>4154</v>
      </c>
      <c r="R2402" t="s" s="2">
        <f>_xlfn.IFERROR(INDEX('model_byCAP'!$D$2:$D$377,MATCH(Q2402,'model_byCAP'!$A$2:$A$377,0)),0)</f>
        <v>4047</v>
      </c>
    </row>
    <row r="2403" ht="15.35" customHeight="1">
      <c r="A2403" t="s" s="2">
        <v>4663</v>
      </c>
      <c r="B2403" s="4">
        <v>37540</v>
      </c>
      <c r="C2403" s="5">
        <v>750</v>
      </c>
      <c r="D2403" s="5">
        <v>48.2</v>
      </c>
      <c r="E2403" s="5">
        <v>45.5</v>
      </c>
      <c r="F2403" t="s" s="2">
        <v>1746</v>
      </c>
      <c r="G2403" t="s" s="2">
        <v>4151</v>
      </c>
      <c r="H2403" s="5">
        <v>665</v>
      </c>
      <c r="I2403" t="s" s="2">
        <v>316</v>
      </c>
      <c r="J2403" t="s" s="2">
        <v>22</v>
      </c>
      <c r="K2403" t="s" s="2">
        <v>4659</v>
      </c>
      <c r="L2403" t="s" s="2">
        <v>4664</v>
      </c>
      <c r="M2403" s="5">
        <v>453586.69</v>
      </c>
      <c r="N2403" s="5">
        <v>6263812.18</v>
      </c>
      <c r="O2403" t="s" s="2">
        <v>305</v>
      </c>
      <c r="P2403" s="5">
        <v>40175345</v>
      </c>
      <c r="Q2403" t="s" s="2">
        <v>4154</v>
      </c>
      <c r="R2403" t="s" s="2">
        <f>_xlfn.IFERROR(INDEX('model_byCAP'!$D$2:$D$377,MATCH(Q2403,'model_byCAP'!$A$2:$A$377,0)),0)</f>
        <v>4047</v>
      </c>
    </row>
    <row r="2404" ht="15.35" customHeight="1">
      <c r="A2404" t="s" s="2">
        <v>4665</v>
      </c>
      <c r="B2404" s="4">
        <v>37540</v>
      </c>
      <c r="C2404" s="5">
        <v>750</v>
      </c>
      <c r="D2404" s="5">
        <v>48.2</v>
      </c>
      <c r="E2404" s="5">
        <v>45.5</v>
      </c>
      <c r="F2404" t="s" s="2">
        <v>1746</v>
      </c>
      <c r="G2404" t="s" s="2">
        <v>4151</v>
      </c>
      <c r="H2404" s="5">
        <v>665</v>
      </c>
      <c r="I2404" t="s" s="2">
        <v>316</v>
      </c>
      <c r="J2404" t="s" s="2">
        <v>22</v>
      </c>
      <c r="K2404" t="s" s="2">
        <v>4659</v>
      </c>
      <c r="L2404" t="s" s="2">
        <v>4666</v>
      </c>
      <c r="M2404" s="5">
        <v>453562.05</v>
      </c>
      <c r="N2404" s="5">
        <v>6263651.34</v>
      </c>
      <c r="O2404" t="s" s="2">
        <v>305</v>
      </c>
      <c r="P2404" s="5">
        <v>40175346</v>
      </c>
      <c r="Q2404" t="s" s="2">
        <v>4154</v>
      </c>
      <c r="R2404" t="s" s="2">
        <f>_xlfn.IFERROR(INDEX('model_byCAP'!$D$2:$D$377,MATCH(Q2404,'model_byCAP'!$A$2:$A$377,0)),0)</f>
        <v>4047</v>
      </c>
    </row>
    <row r="2405" ht="15.35" customHeight="1">
      <c r="A2405" t="s" s="2">
        <v>4667</v>
      </c>
      <c r="B2405" s="4">
        <v>36300</v>
      </c>
      <c r="C2405" s="5">
        <v>750</v>
      </c>
      <c r="D2405" s="5">
        <v>48.2</v>
      </c>
      <c r="E2405" s="5">
        <v>45</v>
      </c>
      <c r="F2405" t="s" s="2">
        <v>1746</v>
      </c>
      <c r="G2405" t="s" s="2">
        <v>4668</v>
      </c>
      <c r="H2405" s="5">
        <v>706</v>
      </c>
      <c r="I2405" t="s" s="2">
        <v>3155</v>
      </c>
      <c r="J2405" t="s" s="2">
        <v>22</v>
      </c>
      <c r="K2405" t="s" s="2">
        <v>4669</v>
      </c>
      <c r="L2405" t="s" s="2">
        <v>518</v>
      </c>
      <c r="M2405" s="5">
        <v>577381.08</v>
      </c>
      <c r="N2405" s="5">
        <v>6242439.11</v>
      </c>
      <c r="O2405" t="s" s="2">
        <v>305</v>
      </c>
      <c r="P2405" s="5">
        <v>95174</v>
      </c>
      <c r="Q2405" t="s" s="2">
        <v>4670</v>
      </c>
      <c r="R2405" t="s" s="2">
        <f>_xlfn.IFERROR(INDEX('model_byCAP'!$D$2:$D$377,MATCH(Q2405,'model_byCAP'!$A$2:$A$377,0)),0)</f>
        <v>4042</v>
      </c>
    </row>
    <row r="2406" ht="15.35" customHeight="1">
      <c r="A2406" t="s" s="2">
        <v>4671</v>
      </c>
      <c r="B2406" s="4">
        <v>36671</v>
      </c>
      <c r="C2406" s="5">
        <v>750</v>
      </c>
      <c r="D2406" s="5">
        <v>48.2</v>
      </c>
      <c r="E2406" s="5">
        <v>45</v>
      </c>
      <c r="F2406" t="s" s="2">
        <v>1746</v>
      </c>
      <c r="G2406" t="s" s="2">
        <v>4668</v>
      </c>
      <c r="H2406" s="5">
        <v>706</v>
      </c>
      <c r="I2406" t="s" s="2">
        <v>3155</v>
      </c>
      <c r="J2406" t="s" s="2">
        <v>22</v>
      </c>
      <c r="K2406" t="s" s="2">
        <v>4672</v>
      </c>
      <c r="L2406" t="s" s="2">
        <v>518</v>
      </c>
      <c r="M2406" s="5">
        <v>577555.6899999999</v>
      </c>
      <c r="N2406" s="5">
        <v>6242305.79</v>
      </c>
      <c r="O2406" t="s" s="2">
        <v>305</v>
      </c>
      <c r="P2406" s="5">
        <v>95175</v>
      </c>
      <c r="Q2406" t="s" s="2">
        <v>4670</v>
      </c>
      <c r="R2406" t="s" s="2">
        <f>_xlfn.IFERROR(INDEX('model_byCAP'!$D$2:$D$377,MATCH(Q2406,'model_byCAP'!$A$2:$A$377,0)),0)</f>
        <v>4042</v>
      </c>
    </row>
    <row r="2407" ht="15.35" customHeight="1">
      <c r="A2407" t="s" s="2">
        <v>4673</v>
      </c>
      <c r="B2407" s="4">
        <v>36617</v>
      </c>
      <c r="C2407" s="5">
        <v>750</v>
      </c>
      <c r="D2407" s="5">
        <v>48.2</v>
      </c>
      <c r="E2407" s="5">
        <v>45</v>
      </c>
      <c r="F2407" t="s" s="2">
        <v>1746</v>
      </c>
      <c r="G2407" t="s" s="2">
        <v>4668</v>
      </c>
      <c r="H2407" s="5">
        <v>706</v>
      </c>
      <c r="I2407" t="s" s="2">
        <v>3155</v>
      </c>
      <c r="J2407" t="s" s="2">
        <v>22</v>
      </c>
      <c r="K2407" t="s" s="2">
        <v>4669</v>
      </c>
      <c r="L2407" t="s" s="2">
        <v>1359</v>
      </c>
      <c r="M2407" s="5">
        <v>577731.8</v>
      </c>
      <c r="N2407" s="5">
        <v>6242174.27</v>
      </c>
      <c r="O2407" t="s" s="2">
        <v>305</v>
      </c>
      <c r="P2407" s="5">
        <v>95176</v>
      </c>
      <c r="Q2407" t="s" s="2">
        <v>4670</v>
      </c>
      <c r="R2407" t="s" s="2">
        <f>_xlfn.IFERROR(INDEX('model_byCAP'!$D$2:$D$377,MATCH(Q2407,'model_byCAP'!$A$2:$A$377,0)),0)</f>
        <v>4042</v>
      </c>
    </row>
    <row r="2408" ht="15.35" customHeight="1">
      <c r="A2408" t="s" s="2">
        <v>4674</v>
      </c>
      <c r="B2408" s="4">
        <v>36300</v>
      </c>
      <c r="C2408" s="5">
        <v>750</v>
      </c>
      <c r="D2408" s="5">
        <v>48.2</v>
      </c>
      <c r="E2408" s="5">
        <v>45</v>
      </c>
      <c r="F2408" t="s" s="2">
        <v>1746</v>
      </c>
      <c r="G2408" t="s" s="2">
        <v>4668</v>
      </c>
      <c r="H2408" s="5">
        <v>706</v>
      </c>
      <c r="I2408" t="s" s="2">
        <v>3155</v>
      </c>
      <c r="J2408" t="s" s="2">
        <v>22</v>
      </c>
      <c r="K2408" t="s" s="2">
        <v>4675</v>
      </c>
      <c r="L2408" t="s" s="2">
        <v>1359</v>
      </c>
      <c r="M2408" s="5">
        <v>577905.08</v>
      </c>
      <c r="N2408" s="5">
        <v>6242040.38</v>
      </c>
      <c r="O2408" t="s" s="2">
        <v>305</v>
      </c>
      <c r="P2408" s="5">
        <v>95177</v>
      </c>
      <c r="Q2408" t="s" s="2">
        <v>4670</v>
      </c>
      <c r="R2408" t="s" s="2">
        <f>_xlfn.IFERROR(INDEX('model_byCAP'!$D$2:$D$377,MATCH(Q2408,'model_byCAP'!$A$2:$A$377,0)),0)</f>
        <v>4042</v>
      </c>
    </row>
    <row r="2409" ht="15.35" customHeight="1">
      <c r="A2409" t="s" s="2">
        <v>4676</v>
      </c>
      <c r="B2409" s="4">
        <v>35780</v>
      </c>
      <c r="C2409" s="5">
        <v>750</v>
      </c>
      <c r="D2409" s="5">
        <v>48</v>
      </c>
      <c r="E2409" s="5">
        <v>45</v>
      </c>
      <c r="F2409" t="s" s="2">
        <v>1746</v>
      </c>
      <c r="G2409" t="s" s="2">
        <v>4541</v>
      </c>
      <c r="H2409" s="5">
        <v>707</v>
      </c>
      <c r="I2409" t="s" s="2">
        <v>616</v>
      </c>
      <c r="J2409" t="s" s="2">
        <v>22</v>
      </c>
      <c r="K2409" t="s" s="2">
        <v>4677</v>
      </c>
      <c r="L2409" t="s" s="2">
        <v>605</v>
      </c>
      <c r="M2409" s="5">
        <v>583713.05</v>
      </c>
      <c r="N2409" s="5">
        <v>6264288.24</v>
      </c>
      <c r="O2409" t="s" s="2">
        <v>305</v>
      </c>
      <c r="P2409" s="5">
        <v>95113</v>
      </c>
      <c r="Q2409" t="s" s="2">
        <v>4543</v>
      </c>
      <c r="R2409" t="s" s="2">
        <f>_xlfn.IFERROR(INDEX('model_byCAP'!$D$2:$D$377,MATCH(Q2409,'model_byCAP'!$A$2:$A$377,0)),0)</f>
        <v>2955</v>
      </c>
    </row>
    <row r="2410" ht="15.35" customHeight="1">
      <c r="A2410" t="s" s="2">
        <v>4678</v>
      </c>
      <c r="B2410" s="4">
        <v>35780</v>
      </c>
      <c r="C2410" s="5">
        <v>750</v>
      </c>
      <c r="D2410" s="5">
        <v>48</v>
      </c>
      <c r="E2410" s="5">
        <v>45</v>
      </c>
      <c r="F2410" t="s" s="2">
        <v>1746</v>
      </c>
      <c r="G2410" t="s" s="2">
        <v>4151</v>
      </c>
      <c r="H2410" s="5">
        <v>707</v>
      </c>
      <c r="I2410" t="s" s="2">
        <v>616</v>
      </c>
      <c r="J2410" t="s" s="2">
        <v>22</v>
      </c>
      <c r="K2410" t="s" s="2">
        <v>4677</v>
      </c>
      <c r="L2410" t="s" s="2">
        <v>1626</v>
      </c>
      <c r="M2410" s="5">
        <v>583869.88</v>
      </c>
      <c r="N2410" s="5">
        <v>6264138.38</v>
      </c>
      <c r="O2410" t="s" s="2">
        <v>305</v>
      </c>
      <c r="P2410" s="5">
        <v>95113</v>
      </c>
      <c r="Q2410" t="s" s="2">
        <v>4154</v>
      </c>
      <c r="R2410" t="s" s="2">
        <f>_xlfn.IFERROR(INDEX('model_byCAP'!$D$2:$D$377,MATCH(Q2410,'model_byCAP'!$A$2:$A$377,0)),0)</f>
        <v>4047</v>
      </c>
    </row>
    <row r="2411" ht="15.35" customHeight="1">
      <c r="A2411" t="s" s="2">
        <v>4679</v>
      </c>
      <c r="B2411" s="4">
        <v>35780</v>
      </c>
      <c r="C2411" s="5">
        <v>750</v>
      </c>
      <c r="D2411" s="5">
        <v>48</v>
      </c>
      <c r="E2411" s="5">
        <v>45</v>
      </c>
      <c r="F2411" t="s" s="2">
        <v>1746</v>
      </c>
      <c r="G2411" t="s" s="2">
        <v>4541</v>
      </c>
      <c r="H2411" s="5">
        <v>707</v>
      </c>
      <c r="I2411" t="s" s="2">
        <v>616</v>
      </c>
      <c r="J2411" t="s" s="2">
        <v>22</v>
      </c>
      <c r="K2411" t="s" s="2">
        <v>4677</v>
      </c>
      <c r="L2411" t="s" s="2">
        <v>1161</v>
      </c>
      <c r="M2411" s="5">
        <v>584028.76</v>
      </c>
      <c r="N2411" s="5">
        <v>6263988.06</v>
      </c>
      <c r="O2411" t="s" s="2">
        <v>305</v>
      </c>
      <c r="P2411" s="5">
        <v>95113</v>
      </c>
      <c r="Q2411" t="s" s="2">
        <v>4543</v>
      </c>
      <c r="R2411" t="s" s="2">
        <f>_xlfn.IFERROR(INDEX('model_byCAP'!$D$2:$D$377,MATCH(Q2411,'model_byCAP'!$A$2:$A$377,0)),0)</f>
        <v>2955</v>
      </c>
    </row>
    <row r="2412" ht="15.35" customHeight="1">
      <c r="A2412" t="s" s="2">
        <v>4680</v>
      </c>
      <c r="B2412" s="4">
        <v>35780</v>
      </c>
      <c r="C2412" s="5">
        <v>750</v>
      </c>
      <c r="D2412" s="5">
        <v>48</v>
      </c>
      <c r="E2412" s="5">
        <v>45</v>
      </c>
      <c r="F2412" t="s" s="2">
        <v>1746</v>
      </c>
      <c r="G2412" t="s" s="2">
        <v>4044</v>
      </c>
      <c r="H2412" s="5">
        <v>707</v>
      </c>
      <c r="I2412" t="s" s="2">
        <v>616</v>
      </c>
      <c r="J2412" t="s" s="2">
        <v>22</v>
      </c>
      <c r="K2412" t="s" s="2">
        <v>4677</v>
      </c>
      <c r="L2412" t="s" s="2">
        <v>4681</v>
      </c>
      <c r="M2412" s="5">
        <v>584185.55</v>
      </c>
      <c r="N2412" s="5">
        <v>6263837.18</v>
      </c>
      <c r="O2412" t="s" s="2">
        <v>305</v>
      </c>
      <c r="P2412" s="5">
        <v>95113</v>
      </c>
      <c r="Q2412" t="s" s="2">
        <v>4046</v>
      </c>
      <c r="R2412" t="s" s="2">
        <f>_xlfn.IFERROR(INDEX('model_byCAP'!$D$2:$D$377,MATCH(Q2412,'model_byCAP'!$A$2:$A$377,0)),0)</f>
        <v>4047</v>
      </c>
    </row>
    <row r="2413" ht="15.35" customHeight="1">
      <c r="A2413" t="s" s="2">
        <v>4682</v>
      </c>
      <c r="B2413" s="4">
        <v>35780</v>
      </c>
      <c r="C2413" s="5">
        <v>750</v>
      </c>
      <c r="D2413" s="5">
        <v>48</v>
      </c>
      <c r="E2413" s="5">
        <v>45</v>
      </c>
      <c r="F2413" t="s" s="2">
        <v>1746</v>
      </c>
      <c r="G2413" t="s" s="2">
        <v>4541</v>
      </c>
      <c r="H2413" s="5">
        <v>707</v>
      </c>
      <c r="I2413" t="s" s="2">
        <v>616</v>
      </c>
      <c r="J2413" t="s" s="2">
        <v>22</v>
      </c>
      <c r="K2413" t="s" s="2">
        <v>4677</v>
      </c>
      <c r="L2413" t="s" s="2">
        <v>1359</v>
      </c>
      <c r="M2413" s="5">
        <v>583540.55</v>
      </c>
      <c r="N2413" s="5">
        <v>6264084.54</v>
      </c>
      <c r="O2413" t="s" s="2">
        <v>305</v>
      </c>
      <c r="P2413" s="5">
        <v>95113</v>
      </c>
      <c r="Q2413" t="s" s="2">
        <v>4543</v>
      </c>
      <c r="R2413" t="s" s="2">
        <f>_xlfn.IFERROR(INDEX('model_byCAP'!$D$2:$D$377,MATCH(Q2413,'model_byCAP'!$A$2:$A$377,0)),0)</f>
        <v>2955</v>
      </c>
    </row>
    <row r="2414" ht="15.35" customHeight="1">
      <c r="A2414" t="s" s="2">
        <v>4683</v>
      </c>
      <c r="B2414" s="4">
        <v>35780</v>
      </c>
      <c r="C2414" s="5">
        <v>750</v>
      </c>
      <c r="D2414" s="5">
        <v>48</v>
      </c>
      <c r="E2414" s="5">
        <v>45</v>
      </c>
      <c r="F2414" t="s" s="2">
        <v>1746</v>
      </c>
      <c r="G2414" t="s" s="2">
        <v>4541</v>
      </c>
      <c r="H2414" s="5">
        <v>707</v>
      </c>
      <c r="I2414" t="s" s="2">
        <v>616</v>
      </c>
      <c r="J2414" t="s" s="2">
        <v>22</v>
      </c>
      <c r="K2414" t="s" s="2">
        <v>4677</v>
      </c>
      <c r="L2414" t="s" s="2">
        <v>2354</v>
      </c>
      <c r="M2414" s="5">
        <v>583693.41</v>
      </c>
      <c r="N2414" s="5">
        <v>6263937.66</v>
      </c>
      <c r="O2414" t="s" s="2">
        <v>305</v>
      </c>
      <c r="P2414" s="5">
        <v>95113</v>
      </c>
      <c r="Q2414" t="s" s="2">
        <v>4543</v>
      </c>
      <c r="R2414" t="s" s="2">
        <f>_xlfn.IFERROR(INDEX('model_byCAP'!$D$2:$D$377,MATCH(Q2414,'model_byCAP'!$A$2:$A$377,0)),0)</f>
        <v>2955</v>
      </c>
    </row>
    <row r="2415" ht="15.35" customHeight="1">
      <c r="A2415" t="s" s="2">
        <v>4684</v>
      </c>
      <c r="B2415" s="4">
        <v>35780</v>
      </c>
      <c r="C2415" s="5">
        <v>750</v>
      </c>
      <c r="D2415" s="5">
        <v>48</v>
      </c>
      <c r="E2415" s="5">
        <v>45</v>
      </c>
      <c r="F2415" t="s" s="2">
        <v>1746</v>
      </c>
      <c r="G2415" t="s" s="2">
        <v>4044</v>
      </c>
      <c r="H2415" s="5">
        <v>707</v>
      </c>
      <c r="I2415" t="s" s="2">
        <v>616</v>
      </c>
      <c r="J2415" t="s" s="2">
        <v>22</v>
      </c>
      <c r="K2415" t="s" s="2">
        <v>4677</v>
      </c>
      <c r="L2415" t="s" s="2">
        <v>1740</v>
      </c>
      <c r="M2415" s="5">
        <v>583847.96</v>
      </c>
      <c r="N2415" s="5">
        <v>6263791.82</v>
      </c>
      <c r="O2415" t="s" s="2">
        <v>305</v>
      </c>
      <c r="P2415" s="5">
        <v>95113</v>
      </c>
      <c r="Q2415" t="s" s="2">
        <v>4046</v>
      </c>
      <c r="R2415" t="s" s="2">
        <f>_xlfn.IFERROR(INDEX('model_byCAP'!$D$2:$D$377,MATCH(Q2415,'model_byCAP'!$A$2:$A$377,0)),0)</f>
        <v>4047</v>
      </c>
    </row>
    <row r="2416" ht="15.35" customHeight="1">
      <c r="A2416" t="s" s="2">
        <v>4685</v>
      </c>
      <c r="B2416" s="4">
        <v>35891</v>
      </c>
      <c r="C2416" s="5">
        <v>750</v>
      </c>
      <c r="D2416" s="5">
        <v>48.2</v>
      </c>
      <c r="E2416" s="5">
        <v>46</v>
      </c>
      <c r="F2416" t="s" s="2">
        <v>1746</v>
      </c>
      <c r="G2416" t="s" s="2">
        <v>4686</v>
      </c>
      <c r="H2416" s="5">
        <v>707</v>
      </c>
      <c r="I2416" t="s" s="2">
        <v>616</v>
      </c>
      <c r="J2416" t="s" s="2">
        <v>22</v>
      </c>
      <c r="K2416" t="s" s="2">
        <v>4687</v>
      </c>
      <c r="L2416" t="s" s="2">
        <v>1422</v>
      </c>
      <c r="M2416" s="5">
        <v>581944.11</v>
      </c>
      <c r="N2416" s="5">
        <v>6266752.77</v>
      </c>
      <c r="O2416" t="s" s="2">
        <v>305</v>
      </c>
      <c r="P2416" s="5">
        <v>95114</v>
      </c>
      <c r="Q2416" t="s" s="2">
        <v>4688</v>
      </c>
      <c r="R2416" t="s" s="2">
        <f>_xlfn.IFERROR(INDEX('model_byCAP'!$D$2:$D$377,MATCH(Q2416,'model_byCAP'!$A$2:$A$377,0)),0)</f>
        <v>2955</v>
      </c>
    </row>
    <row r="2417" ht="15.35" customHeight="1">
      <c r="A2417" t="s" s="2">
        <v>4689</v>
      </c>
      <c r="B2417" s="4">
        <v>35977</v>
      </c>
      <c r="C2417" s="5">
        <v>750</v>
      </c>
      <c r="D2417" s="5">
        <v>48</v>
      </c>
      <c r="E2417" s="5">
        <v>45</v>
      </c>
      <c r="F2417" t="s" s="2">
        <v>1746</v>
      </c>
      <c r="G2417" t="s" s="2">
        <v>4151</v>
      </c>
      <c r="H2417" s="5">
        <v>707</v>
      </c>
      <c r="I2417" t="s" s="2">
        <v>616</v>
      </c>
      <c r="J2417" t="s" s="2">
        <v>22</v>
      </c>
      <c r="K2417" t="s" s="2">
        <v>4687</v>
      </c>
      <c r="L2417" t="s" s="2">
        <v>2931</v>
      </c>
      <c r="M2417" s="5">
        <v>581720.41</v>
      </c>
      <c r="N2417" s="5">
        <v>6266807.07</v>
      </c>
      <c r="O2417" t="s" s="2">
        <v>305</v>
      </c>
      <c r="P2417" s="5">
        <v>95114</v>
      </c>
      <c r="Q2417" t="s" s="2">
        <v>4154</v>
      </c>
      <c r="R2417" t="s" s="2">
        <f>_xlfn.IFERROR(INDEX('model_byCAP'!$D$2:$D$377,MATCH(Q2417,'model_byCAP'!$A$2:$A$377,0)),0)</f>
        <v>4047</v>
      </c>
    </row>
    <row r="2418" ht="15.35" customHeight="1">
      <c r="A2418" t="s" s="2">
        <v>4690</v>
      </c>
      <c r="B2418" s="4">
        <v>36136</v>
      </c>
      <c r="C2418" s="5">
        <v>750</v>
      </c>
      <c r="D2418" s="5">
        <v>48</v>
      </c>
      <c r="E2418" s="5">
        <v>45</v>
      </c>
      <c r="F2418" t="s" s="2">
        <v>1746</v>
      </c>
      <c r="G2418" t="s" s="2">
        <v>4044</v>
      </c>
      <c r="H2418" s="5">
        <v>707</v>
      </c>
      <c r="I2418" t="s" s="2">
        <v>616</v>
      </c>
      <c r="J2418" t="s" s="2">
        <v>22</v>
      </c>
      <c r="K2418" t="s" s="2">
        <v>4691</v>
      </c>
      <c r="L2418" t="s" s="2">
        <v>3414</v>
      </c>
      <c r="M2418" s="5">
        <v>583126.55</v>
      </c>
      <c r="N2418" s="5">
        <v>6261279.31</v>
      </c>
      <c r="O2418" t="s" s="2">
        <v>305</v>
      </c>
      <c r="P2418" s="5">
        <v>95125</v>
      </c>
      <c r="Q2418" t="s" s="2">
        <v>4046</v>
      </c>
      <c r="R2418" t="s" s="2">
        <f>_xlfn.IFERROR(INDEX('model_byCAP'!$D$2:$D$377,MATCH(Q2418,'model_byCAP'!$A$2:$A$377,0)),0)</f>
        <v>4047</v>
      </c>
    </row>
    <row r="2419" ht="15.35" customHeight="1">
      <c r="A2419" t="s" s="2">
        <v>4692</v>
      </c>
      <c r="B2419" s="4">
        <v>36136</v>
      </c>
      <c r="C2419" s="5">
        <v>750</v>
      </c>
      <c r="D2419" s="5">
        <v>48</v>
      </c>
      <c r="E2419" s="5">
        <v>45</v>
      </c>
      <c r="F2419" t="s" s="2">
        <v>1746</v>
      </c>
      <c r="G2419" t="s" s="2">
        <v>4044</v>
      </c>
      <c r="H2419" s="5">
        <v>707</v>
      </c>
      <c r="I2419" t="s" s="2">
        <v>616</v>
      </c>
      <c r="J2419" t="s" s="2">
        <v>22</v>
      </c>
      <c r="K2419" t="s" s="2">
        <v>4691</v>
      </c>
      <c r="L2419" t="s" s="2">
        <v>3414</v>
      </c>
      <c r="M2419" s="5">
        <v>583126.73</v>
      </c>
      <c r="N2419" s="5">
        <v>6261032.69</v>
      </c>
      <c r="O2419" t="s" s="2">
        <v>305</v>
      </c>
      <c r="P2419" s="5">
        <v>95125</v>
      </c>
      <c r="Q2419" t="s" s="2">
        <v>4046</v>
      </c>
      <c r="R2419" t="s" s="2">
        <f>_xlfn.IFERROR(INDEX('model_byCAP'!$D$2:$D$377,MATCH(Q2419,'model_byCAP'!$A$2:$A$377,0)),0)</f>
        <v>4047</v>
      </c>
    </row>
    <row r="2420" ht="15.35" customHeight="1">
      <c r="A2420" t="s" s="2">
        <v>4693</v>
      </c>
      <c r="B2420" s="4">
        <v>36136</v>
      </c>
      <c r="C2420" s="5">
        <v>750</v>
      </c>
      <c r="D2420" s="5">
        <v>48</v>
      </c>
      <c r="E2420" s="5">
        <v>45</v>
      </c>
      <c r="F2420" t="s" s="2">
        <v>1746</v>
      </c>
      <c r="G2420" t="s" s="2">
        <v>4044</v>
      </c>
      <c r="H2420" s="5">
        <v>707</v>
      </c>
      <c r="I2420" t="s" s="2">
        <v>616</v>
      </c>
      <c r="J2420" t="s" s="2">
        <v>22</v>
      </c>
      <c r="K2420" t="s" s="2">
        <v>4691</v>
      </c>
      <c r="L2420" t="s" s="2">
        <v>3414</v>
      </c>
      <c r="M2420" s="5">
        <v>583126.39</v>
      </c>
      <c r="N2420" s="5">
        <v>6260786.33</v>
      </c>
      <c r="O2420" t="s" s="2">
        <v>305</v>
      </c>
      <c r="P2420" s="5">
        <v>95125</v>
      </c>
      <c r="Q2420" t="s" s="2">
        <v>4046</v>
      </c>
      <c r="R2420" t="s" s="2">
        <f>_xlfn.IFERROR(INDEX('model_byCAP'!$D$2:$D$377,MATCH(Q2420,'model_byCAP'!$A$2:$A$377,0)),0)</f>
        <v>4047</v>
      </c>
    </row>
    <row r="2421" ht="15.35" customHeight="1">
      <c r="A2421" t="s" s="2">
        <v>4694</v>
      </c>
      <c r="B2421" s="4">
        <v>36130</v>
      </c>
      <c r="C2421" s="5">
        <v>750</v>
      </c>
      <c r="D2421" s="5">
        <v>48</v>
      </c>
      <c r="E2421" s="5">
        <v>45</v>
      </c>
      <c r="F2421" t="s" s="2">
        <v>1746</v>
      </c>
      <c r="G2421" t="s" s="2">
        <v>4044</v>
      </c>
      <c r="H2421" s="5">
        <v>707</v>
      </c>
      <c r="I2421" t="s" s="2">
        <v>616</v>
      </c>
      <c r="J2421" t="s" s="2">
        <v>22</v>
      </c>
      <c r="K2421" t="s" s="2">
        <v>4695</v>
      </c>
      <c r="L2421" t="s" s="2">
        <v>854</v>
      </c>
      <c r="M2421" s="5">
        <v>583352.3199999999</v>
      </c>
      <c r="N2421" s="5">
        <v>6260908.99</v>
      </c>
      <c r="O2421" t="s" s="2">
        <v>305</v>
      </c>
      <c r="P2421" s="5">
        <v>95126</v>
      </c>
      <c r="Q2421" t="s" s="2">
        <v>4046</v>
      </c>
      <c r="R2421" t="s" s="2">
        <f>_xlfn.IFERROR(INDEX('model_byCAP'!$D$2:$D$377,MATCH(Q2421,'model_byCAP'!$A$2:$A$377,0)),0)</f>
        <v>4047</v>
      </c>
    </row>
    <row r="2422" ht="15.35" customHeight="1">
      <c r="A2422" t="s" s="2">
        <v>4696</v>
      </c>
      <c r="B2422" s="4">
        <v>36130</v>
      </c>
      <c r="C2422" s="5">
        <v>750</v>
      </c>
      <c r="D2422" s="5">
        <v>48</v>
      </c>
      <c r="E2422" s="5">
        <v>45</v>
      </c>
      <c r="F2422" t="s" s="2">
        <v>1746</v>
      </c>
      <c r="G2422" t="s" s="2">
        <v>4044</v>
      </c>
      <c r="H2422" s="5">
        <v>707</v>
      </c>
      <c r="I2422" t="s" s="2">
        <v>616</v>
      </c>
      <c r="J2422" t="s" s="2">
        <v>22</v>
      </c>
      <c r="K2422" t="s" s="2">
        <v>4695</v>
      </c>
      <c r="L2422" t="s" s="2">
        <v>854</v>
      </c>
      <c r="M2422" s="5">
        <v>583359.41</v>
      </c>
      <c r="N2422" s="5">
        <v>6260663.22</v>
      </c>
      <c r="O2422" t="s" s="2">
        <v>305</v>
      </c>
      <c r="P2422" s="5">
        <v>95126</v>
      </c>
      <c r="Q2422" t="s" s="2">
        <v>4046</v>
      </c>
      <c r="R2422" t="s" s="2">
        <f>_xlfn.IFERROR(INDEX('model_byCAP'!$D$2:$D$377,MATCH(Q2422,'model_byCAP'!$A$2:$A$377,0)),0)</f>
        <v>4047</v>
      </c>
    </row>
    <row r="2423" ht="15.35" customHeight="1">
      <c r="A2423" t="s" s="2">
        <v>4697</v>
      </c>
      <c r="B2423" s="4">
        <v>36461</v>
      </c>
      <c r="C2423" s="5">
        <v>750</v>
      </c>
      <c r="D2423" s="5">
        <v>48</v>
      </c>
      <c r="E2423" s="5">
        <v>45</v>
      </c>
      <c r="F2423" t="s" s="2">
        <v>1746</v>
      </c>
      <c r="G2423" t="s" s="2">
        <v>4044</v>
      </c>
      <c r="H2423" s="5">
        <v>707</v>
      </c>
      <c r="I2423" t="s" s="2">
        <v>616</v>
      </c>
      <c r="J2423" t="s" s="2">
        <v>22</v>
      </c>
      <c r="K2423" t="s" s="2">
        <v>42</v>
      </c>
      <c r="L2423" s="5">
        <v>0</v>
      </c>
      <c r="M2423" s="5">
        <v>590470.01</v>
      </c>
      <c r="N2423" s="5">
        <v>6262068.22</v>
      </c>
      <c r="O2423" t="s" s="2">
        <v>305</v>
      </c>
      <c r="P2423" s="5">
        <v>95171</v>
      </c>
      <c r="Q2423" t="s" s="2">
        <v>4046</v>
      </c>
      <c r="R2423" t="s" s="2">
        <f>_xlfn.IFERROR(INDEX('model_byCAP'!$D$2:$D$377,MATCH(Q2423,'model_byCAP'!$A$2:$A$377,0)),0)</f>
        <v>4047</v>
      </c>
    </row>
    <row r="2424" ht="15.35" customHeight="1">
      <c r="A2424" t="s" s="2">
        <v>4698</v>
      </c>
      <c r="B2424" s="4">
        <v>36461</v>
      </c>
      <c r="C2424" s="5">
        <v>750</v>
      </c>
      <c r="D2424" s="5">
        <v>48</v>
      </c>
      <c r="E2424" s="5">
        <v>45</v>
      </c>
      <c r="F2424" t="s" s="2">
        <v>1746</v>
      </c>
      <c r="G2424" t="s" s="2">
        <v>4044</v>
      </c>
      <c r="H2424" s="5">
        <v>707</v>
      </c>
      <c r="I2424" t="s" s="2">
        <v>616</v>
      </c>
      <c r="J2424" t="s" s="2">
        <v>22</v>
      </c>
      <c r="K2424" t="s" s="2">
        <v>4699</v>
      </c>
      <c r="L2424" t="s" s="2">
        <v>1196</v>
      </c>
      <c r="M2424" s="5">
        <v>590487.34</v>
      </c>
      <c r="N2424" s="5">
        <v>6261813.79</v>
      </c>
      <c r="O2424" t="s" s="2">
        <v>305</v>
      </c>
      <c r="P2424" s="5">
        <v>95172</v>
      </c>
      <c r="Q2424" t="s" s="2">
        <v>4046</v>
      </c>
      <c r="R2424" t="s" s="2">
        <f>_xlfn.IFERROR(INDEX('model_byCAP'!$D$2:$D$377,MATCH(Q2424,'model_byCAP'!$A$2:$A$377,0)),0)</f>
        <v>4047</v>
      </c>
    </row>
    <row r="2425" ht="15.35" customHeight="1">
      <c r="A2425" t="s" s="2">
        <v>4700</v>
      </c>
      <c r="B2425" s="4">
        <v>36461</v>
      </c>
      <c r="C2425" s="5">
        <v>750</v>
      </c>
      <c r="D2425" s="5">
        <v>48</v>
      </c>
      <c r="E2425" s="5">
        <v>45</v>
      </c>
      <c r="F2425" t="s" s="2">
        <v>1746</v>
      </c>
      <c r="G2425" t="s" s="2">
        <v>4044</v>
      </c>
      <c r="H2425" s="5">
        <v>707</v>
      </c>
      <c r="I2425" t="s" s="2">
        <v>616</v>
      </c>
      <c r="J2425" t="s" s="2">
        <v>22</v>
      </c>
      <c r="K2425" t="s" s="2">
        <v>42</v>
      </c>
      <c r="L2425" s="5">
        <v>0</v>
      </c>
      <c r="M2425" s="5">
        <v>590506.6800000001</v>
      </c>
      <c r="N2425" s="5">
        <v>6261559.09</v>
      </c>
      <c r="O2425" t="s" s="2">
        <v>305</v>
      </c>
      <c r="P2425" s="5">
        <v>95173</v>
      </c>
      <c r="Q2425" t="s" s="2">
        <v>4046</v>
      </c>
      <c r="R2425" t="s" s="2">
        <f>_xlfn.IFERROR(INDEX('model_byCAP'!$D$2:$D$377,MATCH(Q2425,'model_byCAP'!$A$2:$A$377,0)),0)</f>
        <v>4047</v>
      </c>
    </row>
    <row r="2426" ht="15.35" customHeight="1">
      <c r="A2426" t="s" s="2">
        <v>4701</v>
      </c>
      <c r="B2426" s="4">
        <v>35447</v>
      </c>
      <c r="C2426" s="5">
        <v>750</v>
      </c>
      <c r="D2426" s="5">
        <v>44</v>
      </c>
      <c r="E2426" s="5">
        <v>46</v>
      </c>
      <c r="F2426" t="s" s="2">
        <v>1746</v>
      </c>
      <c r="G2426" t="s" s="2">
        <v>4050</v>
      </c>
      <c r="H2426" s="5">
        <v>707</v>
      </c>
      <c r="I2426" t="s" s="2">
        <v>616</v>
      </c>
      <c r="J2426" t="s" s="2">
        <v>22</v>
      </c>
      <c r="K2426" t="s" s="2">
        <v>4702</v>
      </c>
      <c r="L2426" t="s" s="2">
        <v>4703</v>
      </c>
      <c r="M2426" s="5">
        <v>612563.65</v>
      </c>
      <c r="N2426" s="5">
        <v>6246263.77</v>
      </c>
      <c r="O2426" t="s" s="2">
        <v>305</v>
      </c>
      <c r="P2426" s="5">
        <v>256886</v>
      </c>
      <c r="Q2426" t="s" s="2">
        <v>4053</v>
      </c>
      <c r="R2426" t="s" s="2">
        <f>_xlfn.IFERROR(INDEX('model_byCAP'!$D$2:$D$377,MATCH(Q2426,'model_byCAP'!$A$2:$A$377,0)),0)</f>
        <v>2955</v>
      </c>
    </row>
    <row r="2427" ht="15.35" customHeight="1">
      <c r="A2427" t="s" s="2">
        <v>4704</v>
      </c>
      <c r="B2427" s="4">
        <v>35447</v>
      </c>
      <c r="C2427" s="5">
        <v>750</v>
      </c>
      <c r="D2427" s="5">
        <v>44</v>
      </c>
      <c r="E2427" s="5">
        <v>46</v>
      </c>
      <c r="F2427" t="s" s="2">
        <v>1746</v>
      </c>
      <c r="G2427" t="s" s="2">
        <v>4050</v>
      </c>
      <c r="H2427" s="5">
        <v>707</v>
      </c>
      <c r="I2427" t="s" s="2">
        <v>616</v>
      </c>
      <c r="J2427" t="s" s="2">
        <v>22</v>
      </c>
      <c r="K2427" t="s" s="2">
        <v>4702</v>
      </c>
      <c r="L2427" t="s" s="2">
        <v>442</v>
      </c>
      <c r="M2427" s="5">
        <v>612519.04</v>
      </c>
      <c r="N2427" s="5">
        <v>6246458.69</v>
      </c>
      <c r="O2427" t="s" s="2">
        <v>305</v>
      </c>
      <c r="P2427" s="5">
        <v>256887</v>
      </c>
      <c r="Q2427" t="s" s="2">
        <v>4053</v>
      </c>
      <c r="R2427" t="s" s="2">
        <f>_xlfn.IFERROR(INDEX('model_byCAP'!$D$2:$D$377,MATCH(Q2427,'model_byCAP'!$A$2:$A$377,0)),0)</f>
        <v>2955</v>
      </c>
    </row>
    <row r="2428" ht="15.35" customHeight="1">
      <c r="A2428" t="s" s="2">
        <v>4705</v>
      </c>
      <c r="B2428" s="4">
        <v>35447</v>
      </c>
      <c r="C2428" s="5">
        <v>750</v>
      </c>
      <c r="D2428" s="5">
        <v>44</v>
      </c>
      <c r="E2428" s="5">
        <v>46</v>
      </c>
      <c r="F2428" t="s" s="2">
        <v>1746</v>
      </c>
      <c r="G2428" t="s" s="2">
        <v>4050</v>
      </c>
      <c r="H2428" s="5">
        <v>707</v>
      </c>
      <c r="I2428" t="s" s="2">
        <v>616</v>
      </c>
      <c r="J2428" t="s" s="2">
        <v>22</v>
      </c>
      <c r="K2428" t="s" s="2">
        <v>4702</v>
      </c>
      <c r="L2428" t="s" s="2">
        <v>465</v>
      </c>
      <c r="M2428" s="5">
        <v>612473.95</v>
      </c>
      <c r="N2428" s="5">
        <v>6246653.76</v>
      </c>
      <c r="O2428" t="s" s="2">
        <v>305</v>
      </c>
      <c r="P2428" s="5">
        <v>256888</v>
      </c>
      <c r="Q2428" t="s" s="2">
        <v>4053</v>
      </c>
      <c r="R2428" t="s" s="2">
        <f>_xlfn.IFERROR(INDEX('model_byCAP'!$D$2:$D$377,MATCH(Q2428,'model_byCAP'!$A$2:$A$377,0)),0)</f>
        <v>2955</v>
      </c>
    </row>
    <row r="2429" ht="15.35" customHeight="1">
      <c r="A2429" t="s" s="2">
        <v>4706</v>
      </c>
      <c r="B2429" s="4">
        <v>35510</v>
      </c>
      <c r="C2429" s="5">
        <v>750</v>
      </c>
      <c r="D2429" s="5">
        <v>44</v>
      </c>
      <c r="E2429" s="5">
        <v>46</v>
      </c>
      <c r="F2429" t="s" s="2">
        <v>1746</v>
      </c>
      <c r="G2429" t="s" s="2">
        <v>4050</v>
      </c>
      <c r="H2429" s="5">
        <v>707</v>
      </c>
      <c r="I2429" t="s" s="2">
        <v>616</v>
      </c>
      <c r="J2429" t="s" s="2">
        <v>22</v>
      </c>
      <c r="K2429" t="s" s="2">
        <v>4702</v>
      </c>
      <c r="L2429" t="s" s="2">
        <v>4707</v>
      </c>
      <c r="M2429" s="5">
        <v>612651.6</v>
      </c>
      <c r="N2429" s="5">
        <v>6245873.39</v>
      </c>
      <c r="O2429" t="s" s="2">
        <v>305</v>
      </c>
      <c r="P2429" s="5">
        <v>256918</v>
      </c>
      <c r="Q2429" t="s" s="2">
        <v>4053</v>
      </c>
      <c r="R2429" t="s" s="2">
        <f>_xlfn.IFERROR(INDEX('model_byCAP'!$D$2:$D$377,MATCH(Q2429,'model_byCAP'!$A$2:$A$377,0)),0)</f>
        <v>2955</v>
      </c>
    </row>
    <row r="2430" ht="15.35" customHeight="1">
      <c r="A2430" t="s" s="2">
        <v>4708</v>
      </c>
      <c r="B2430" s="4">
        <v>35461</v>
      </c>
      <c r="C2430" s="5">
        <v>750</v>
      </c>
      <c r="D2430" s="5">
        <v>44</v>
      </c>
      <c r="E2430" s="5">
        <v>46</v>
      </c>
      <c r="F2430" t="s" s="2">
        <v>1746</v>
      </c>
      <c r="G2430" t="s" s="2">
        <v>4050</v>
      </c>
      <c r="H2430" s="5">
        <v>707</v>
      </c>
      <c r="I2430" t="s" s="2">
        <v>616</v>
      </c>
      <c r="J2430" t="s" s="2">
        <v>22</v>
      </c>
      <c r="K2430" t="s" s="2">
        <v>4702</v>
      </c>
      <c r="L2430" t="s" s="2">
        <v>4250</v>
      </c>
      <c r="M2430" s="5">
        <v>612608.53</v>
      </c>
      <c r="N2430" s="5">
        <v>6246068.91</v>
      </c>
      <c r="O2430" t="s" s="2">
        <v>305</v>
      </c>
      <c r="P2430" s="5">
        <v>256919</v>
      </c>
      <c r="Q2430" t="s" s="2">
        <v>4053</v>
      </c>
      <c r="R2430" t="s" s="2">
        <f>_xlfn.IFERROR(INDEX('model_byCAP'!$D$2:$D$377,MATCH(Q2430,'model_byCAP'!$A$2:$A$377,0)),0)</f>
        <v>2955</v>
      </c>
    </row>
    <row r="2431" ht="15.35" customHeight="1">
      <c r="A2431" t="s" s="2">
        <v>4709</v>
      </c>
      <c r="B2431" s="4">
        <v>36427</v>
      </c>
      <c r="C2431" s="5">
        <v>750</v>
      </c>
      <c r="D2431" s="5">
        <v>48</v>
      </c>
      <c r="E2431" s="5">
        <v>45</v>
      </c>
      <c r="F2431" t="s" s="2">
        <v>1746</v>
      </c>
      <c r="G2431" t="s" s="2">
        <v>4044</v>
      </c>
      <c r="H2431" s="5">
        <v>707</v>
      </c>
      <c r="I2431" t="s" s="2">
        <v>616</v>
      </c>
      <c r="J2431" t="s" s="2">
        <v>22</v>
      </c>
      <c r="K2431" t="s" s="2">
        <v>4710</v>
      </c>
      <c r="L2431" t="s" s="2">
        <v>2389</v>
      </c>
      <c r="M2431" s="5">
        <v>603906.96</v>
      </c>
      <c r="N2431" s="5">
        <v>6248466.2</v>
      </c>
      <c r="O2431" t="s" s="2">
        <v>305</v>
      </c>
      <c r="P2431" s="5">
        <v>258954</v>
      </c>
      <c r="Q2431" t="s" s="2">
        <v>4046</v>
      </c>
      <c r="R2431" t="s" s="2">
        <f>_xlfn.IFERROR(INDEX('model_byCAP'!$D$2:$D$377,MATCH(Q2431,'model_byCAP'!$A$2:$A$377,0)),0)</f>
        <v>4047</v>
      </c>
    </row>
    <row r="2432" ht="15.35" customHeight="1">
      <c r="A2432" t="s" s="2">
        <v>4711</v>
      </c>
      <c r="B2432" s="4">
        <v>36427</v>
      </c>
      <c r="C2432" s="5">
        <v>750</v>
      </c>
      <c r="D2432" s="5">
        <v>48</v>
      </c>
      <c r="E2432" s="5">
        <v>45</v>
      </c>
      <c r="F2432" t="s" s="2">
        <v>1746</v>
      </c>
      <c r="G2432" t="s" s="2">
        <v>4044</v>
      </c>
      <c r="H2432" s="5">
        <v>707</v>
      </c>
      <c r="I2432" t="s" s="2">
        <v>616</v>
      </c>
      <c r="J2432" t="s" s="2">
        <v>22</v>
      </c>
      <c r="K2432" t="s" s="2">
        <v>4712</v>
      </c>
      <c r="L2432" t="s" s="2">
        <v>4713</v>
      </c>
      <c r="M2432" s="5">
        <v>604063.67</v>
      </c>
      <c r="N2432" s="5">
        <v>6248647.73</v>
      </c>
      <c r="O2432" t="s" s="2">
        <v>305</v>
      </c>
      <c r="P2432" s="5">
        <v>258954</v>
      </c>
      <c r="Q2432" t="s" s="2">
        <v>4046</v>
      </c>
      <c r="R2432" t="s" s="2">
        <f>_xlfn.IFERROR(INDEX('model_byCAP'!$D$2:$D$377,MATCH(Q2432,'model_byCAP'!$A$2:$A$377,0)),0)</f>
        <v>4047</v>
      </c>
    </row>
    <row r="2433" ht="15.35" customHeight="1">
      <c r="A2433" t="s" s="2">
        <v>4714</v>
      </c>
      <c r="B2433" s="4">
        <v>36427</v>
      </c>
      <c r="C2433" s="5">
        <v>750</v>
      </c>
      <c r="D2433" s="5">
        <v>48</v>
      </c>
      <c r="E2433" s="5">
        <v>45</v>
      </c>
      <c r="F2433" t="s" s="2">
        <v>1746</v>
      </c>
      <c r="G2433" t="s" s="2">
        <v>4044</v>
      </c>
      <c r="H2433" s="5">
        <v>707</v>
      </c>
      <c r="I2433" t="s" s="2">
        <v>616</v>
      </c>
      <c r="J2433" t="s" s="2">
        <v>22</v>
      </c>
      <c r="K2433" t="s" s="2">
        <v>4710</v>
      </c>
      <c r="L2433" t="s" s="2">
        <v>518</v>
      </c>
      <c r="M2433" s="5">
        <v>604219.99</v>
      </c>
      <c r="N2433" s="5">
        <v>6248829.65</v>
      </c>
      <c r="O2433" t="s" s="2">
        <v>305</v>
      </c>
      <c r="P2433" s="5">
        <v>258954</v>
      </c>
      <c r="Q2433" t="s" s="2">
        <v>4046</v>
      </c>
      <c r="R2433" t="s" s="2">
        <f>_xlfn.IFERROR(INDEX('model_byCAP'!$D$2:$D$377,MATCH(Q2433,'model_byCAP'!$A$2:$A$377,0)),0)</f>
        <v>4047</v>
      </c>
    </row>
    <row r="2434" ht="15.35" customHeight="1">
      <c r="A2434" t="s" s="2">
        <v>4715</v>
      </c>
      <c r="B2434" s="4">
        <v>36526</v>
      </c>
      <c r="C2434" s="5">
        <v>750</v>
      </c>
      <c r="D2434" s="5">
        <v>52</v>
      </c>
      <c r="E2434" s="5">
        <v>44</v>
      </c>
      <c r="F2434" t="s" s="2">
        <v>4716</v>
      </c>
      <c r="G2434" t="s" s="2">
        <v>4717</v>
      </c>
      <c r="H2434" s="5">
        <v>707</v>
      </c>
      <c r="I2434" t="s" s="2">
        <v>616</v>
      </c>
      <c r="J2434" t="s" s="2">
        <v>22</v>
      </c>
      <c r="K2434" t="s" s="2">
        <v>4718</v>
      </c>
      <c r="L2434" s="5">
        <v>1</v>
      </c>
      <c r="M2434" s="5">
        <v>605868.3</v>
      </c>
      <c r="N2434" s="5">
        <v>6249766.57</v>
      </c>
      <c r="O2434" t="s" s="2">
        <v>305</v>
      </c>
      <c r="P2434" s="5">
        <v>259134</v>
      </c>
      <c r="Q2434" t="s" s="2">
        <v>4719</v>
      </c>
      <c r="R2434" t="s" s="2">
        <f>_xlfn.IFERROR(INDEX('model_byCAP'!$D$2:$D$377,MATCH(Q2434,'model_byCAP'!$A$2:$A$377,0)),0)</f>
        <v>4720</v>
      </c>
    </row>
    <row r="2435" ht="15.35" customHeight="1">
      <c r="A2435" t="s" s="2">
        <v>4721</v>
      </c>
      <c r="B2435" s="4">
        <v>36526</v>
      </c>
      <c r="C2435" s="5">
        <v>750</v>
      </c>
      <c r="D2435" s="5">
        <v>52</v>
      </c>
      <c r="E2435" s="5">
        <v>44</v>
      </c>
      <c r="F2435" t="s" s="2">
        <v>4716</v>
      </c>
      <c r="G2435" t="s" s="2">
        <v>4717</v>
      </c>
      <c r="H2435" s="5">
        <v>707</v>
      </c>
      <c r="I2435" t="s" s="2">
        <v>616</v>
      </c>
      <c r="J2435" t="s" s="2">
        <v>22</v>
      </c>
      <c r="K2435" t="s" s="2">
        <v>4718</v>
      </c>
      <c r="L2435" t="s" s="2">
        <v>2078</v>
      </c>
      <c r="M2435" s="5">
        <v>605928.64</v>
      </c>
      <c r="N2435" s="5">
        <v>6249575.59</v>
      </c>
      <c r="O2435" t="s" s="2">
        <v>305</v>
      </c>
      <c r="P2435" s="5">
        <v>259134</v>
      </c>
      <c r="Q2435" t="s" s="2">
        <v>4719</v>
      </c>
      <c r="R2435" t="s" s="2">
        <f>_xlfn.IFERROR(INDEX('model_byCAP'!$D$2:$D$377,MATCH(Q2435,'model_byCAP'!$A$2:$A$377,0)),0)</f>
        <v>4720</v>
      </c>
    </row>
    <row r="2436" ht="15.35" customHeight="1">
      <c r="A2436" t="s" s="2">
        <v>4722</v>
      </c>
      <c r="B2436" s="4">
        <v>36526</v>
      </c>
      <c r="C2436" s="5">
        <v>750</v>
      </c>
      <c r="D2436" s="5">
        <v>52</v>
      </c>
      <c r="E2436" s="5">
        <v>44</v>
      </c>
      <c r="F2436" t="s" s="2">
        <v>4716</v>
      </c>
      <c r="G2436" t="s" s="2">
        <v>4717</v>
      </c>
      <c r="H2436" s="5">
        <v>707</v>
      </c>
      <c r="I2436" t="s" s="2">
        <v>616</v>
      </c>
      <c r="J2436" t="s" s="2">
        <v>22</v>
      </c>
      <c r="K2436" t="s" s="2">
        <v>4718</v>
      </c>
      <c r="L2436" t="s" s="2">
        <v>1105</v>
      </c>
      <c r="M2436" s="5">
        <v>605988.75</v>
      </c>
      <c r="N2436" s="5">
        <v>6249385.25</v>
      </c>
      <c r="O2436" t="s" s="2">
        <v>305</v>
      </c>
      <c r="P2436" s="5">
        <v>259134</v>
      </c>
      <c r="Q2436" t="s" s="2">
        <v>4719</v>
      </c>
      <c r="R2436" t="s" s="2">
        <f>_xlfn.IFERROR(INDEX('model_byCAP'!$D$2:$D$377,MATCH(Q2436,'model_byCAP'!$A$2:$A$377,0)),0)</f>
        <v>4720</v>
      </c>
    </row>
    <row r="2437" ht="15.35" customHeight="1">
      <c r="A2437" t="s" s="2">
        <v>4723</v>
      </c>
      <c r="B2437" s="4">
        <v>36526</v>
      </c>
      <c r="C2437" s="5">
        <v>750</v>
      </c>
      <c r="D2437" s="5">
        <v>52</v>
      </c>
      <c r="E2437" s="5">
        <v>44</v>
      </c>
      <c r="F2437" t="s" s="2">
        <v>4716</v>
      </c>
      <c r="G2437" t="s" s="2">
        <v>4717</v>
      </c>
      <c r="H2437" s="5">
        <v>707</v>
      </c>
      <c r="I2437" t="s" s="2">
        <v>616</v>
      </c>
      <c r="J2437" t="s" s="2">
        <v>22</v>
      </c>
      <c r="K2437" t="s" s="2">
        <v>4718</v>
      </c>
      <c r="L2437" t="s" s="2">
        <v>4318</v>
      </c>
      <c r="M2437" s="5">
        <v>606048.67</v>
      </c>
      <c r="N2437" s="5">
        <v>6249194.04</v>
      </c>
      <c r="O2437" t="s" s="2">
        <v>305</v>
      </c>
      <c r="P2437" s="5">
        <v>259134</v>
      </c>
      <c r="Q2437" t="s" s="2">
        <v>4719</v>
      </c>
      <c r="R2437" t="s" s="2">
        <f>_xlfn.IFERROR(INDEX('model_byCAP'!$D$2:$D$377,MATCH(Q2437,'model_byCAP'!$A$2:$A$377,0)),0)</f>
        <v>4720</v>
      </c>
    </row>
    <row r="2438" ht="15.35" customHeight="1">
      <c r="A2438" t="s" s="2">
        <v>4724</v>
      </c>
      <c r="B2438" s="4">
        <v>36526</v>
      </c>
      <c r="C2438" s="5">
        <v>750</v>
      </c>
      <c r="D2438" s="5">
        <v>52</v>
      </c>
      <c r="E2438" s="5">
        <v>44</v>
      </c>
      <c r="F2438" t="s" s="2">
        <v>4716</v>
      </c>
      <c r="G2438" t="s" s="2">
        <v>4717</v>
      </c>
      <c r="H2438" s="5">
        <v>707</v>
      </c>
      <c r="I2438" t="s" s="2">
        <v>616</v>
      </c>
      <c r="J2438" t="s" s="2">
        <v>22</v>
      </c>
      <c r="K2438" t="s" s="2">
        <v>4718</v>
      </c>
      <c r="L2438" t="s" s="2">
        <v>500</v>
      </c>
      <c r="M2438" s="5">
        <v>606108.99</v>
      </c>
      <c r="N2438" s="5">
        <v>6249003.71</v>
      </c>
      <c r="O2438" t="s" s="2">
        <v>305</v>
      </c>
      <c r="P2438" s="5">
        <v>259134</v>
      </c>
      <c r="Q2438" t="s" s="2">
        <v>4719</v>
      </c>
      <c r="R2438" t="s" s="2">
        <f>_xlfn.IFERROR(INDEX('model_byCAP'!$D$2:$D$377,MATCH(Q2438,'model_byCAP'!$A$2:$A$377,0)),0)</f>
        <v>4720</v>
      </c>
    </row>
    <row r="2439" ht="15.35" customHeight="1">
      <c r="A2439" t="s" s="2">
        <v>4725</v>
      </c>
      <c r="B2439" s="4">
        <v>36238</v>
      </c>
      <c r="C2439" s="5">
        <v>750</v>
      </c>
      <c r="D2439" s="5">
        <v>50</v>
      </c>
      <c r="E2439" s="5">
        <v>45</v>
      </c>
      <c r="F2439" t="s" s="2">
        <v>1746</v>
      </c>
      <c r="G2439" t="s" s="2">
        <v>4044</v>
      </c>
      <c r="H2439" s="5">
        <v>710</v>
      </c>
      <c r="I2439" t="s" s="2">
        <v>3630</v>
      </c>
      <c r="J2439" t="s" s="2">
        <v>22</v>
      </c>
      <c r="K2439" t="s" s="2">
        <v>4726</v>
      </c>
      <c r="L2439" t="s" s="2">
        <v>394</v>
      </c>
      <c r="M2439" s="5">
        <v>549102.65</v>
      </c>
      <c r="N2439" s="5">
        <v>6237289.15</v>
      </c>
      <c r="O2439" t="s" s="2">
        <v>305</v>
      </c>
      <c r="P2439" s="5">
        <v>3137269</v>
      </c>
      <c r="Q2439" t="s" s="2">
        <v>4046</v>
      </c>
      <c r="R2439" t="s" s="2">
        <f>_xlfn.IFERROR(INDEX('model_byCAP'!$D$2:$D$377,MATCH(Q2439,'model_byCAP'!$A$2:$A$377,0)),0)</f>
        <v>4047</v>
      </c>
    </row>
    <row r="2440" ht="15.35" customHeight="1">
      <c r="A2440" t="s" s="2">
        <v>4727</v>
      </c>
      <c r="B2440" s="4">
        <v>36238</v>
      </c>
      <c r="C2440" s="5">
        <v>750</v>
      </c>
      <c r="D2440" s="5">
        <v>50</v>
      </c>
      <c r="E2440" s="5">
        <v>45</v>
      </c>
      <c r="F2440" t="s" s="2">
        <v>1746</v>
      </c>
      <c r="G2440" t="s" s="2">
        <v>4044</v>
      </c>
      <c r="H2440" s="5">
        <v>710</v>
      </c>
      <c r="I2440" t="s" s="2">
        <v>3630</v>
      </c>
      <c r="J2440" t="s" s="2">
        <v>22</v>
      </c>
      <c r="K2440" t="s" s="2">
        <v>4726</v>
      </c>
      <c r="L2440" t="s" s="2">
        <v>394</v>
      </c>
      <c r="M2440" s="5">
        <v>549131.2</v>
      </c>
      <c r="N2440" s="5">
        <v>6237517.42</v>
      </c>
      <c r="O2440" t="s" s="2">
        <v>305</v>
      </c>
      <c r="P2440" s="5">
        <v>3137272</v>
      </c>
      <c r="Q2440" t="s" s="2">
        <v>4046</v>
      </c>
      <c r="R2440" t="s" s="2">
        <f>_xlfn.IFERROR(INDEX('model_byCAP'!$D$2:$D$377,MATCH(Q2440,'model_byCAP'!$A$2:$A$377,0)),0)</f>
        <v>4047</v>
      </c>
    </row>
    <row r="2441" ht="15.35" customHeight="1">
      <c r="A2441" t="s" s="2">
        <v>4728</v>
      </c>
      <c r="B2441" s="4">
        <v>36766</v>
      </c>
      <c r="C2441" s="5">
        <v>750</v>
      </c>
      <c r="D2441" s="5">
        <v>48</v>
      </c>
      <c r="E2441" s="5">
        <v>46.3</v>
      </c>
      <c r="F2441" t="s" s="2">
        <v>1746</v>
      </c>
      <c r="G2441" t="s" s="2">
        <v>4729</v>
      </c>
      <c r="H2441" s="5">
        <v>710</v>
      </c>
      <c r="I2441" t="s" s="2">
        <v>3630</v>
      </c>
      <c r="J2441" t="s" s="2">
        <v>22</v>
      </c>
      <c r="K2441" t="s" s="2">
        <v>4730</v>
      </c>
      <c r="L2441" t="s" s="2">
        <v>1608</v>
      </c>
      <c r="M2441" s="5">
        <v>553222.45</v>
      </c>
      <c r="N2441" s="5">
        <v>6243365.02</v>
      </c>
      <c r="O2441" t="s" s="2">
        <v>305</v>
      </c>
      <c r="P2441" s="5">
        <v>3144581</v>
      </c>
      <c r="Q2441" t="s" s="2">
        <v>4731</v>
      </c>
      <c r="R2441" t="s" s="2">
        <f>_xlfn.IFERROR(INDEX('model_byCAP'!$D$2:$D$377,MATCH(Q2441,'model_byCAP'!$A$2:$A$377,0)),0)</f>
        <v>1751</v>
      </c>
    </row>
    <row r="2442" ht="15.35" customHeight="1">
      <c r="A2442" t="s" s="2">
        <v>4732</v>
      </c>
      <c r="B2442" s="4">
        <v>36766</v>
      </c>
      <c r="C2442" s="5">
        <v>750</v>
      </c>
      <c r="D2442" s="5">
        <v>48</v>
      </c>
      <c r="E2442" s="5">
        <v>46.3</v>
      </c>
      <c r="F2442" t="s" s="2">
        <v>1746</v>
      </c>
      <c r="G2442" t="s" s="2">
        <v>4729</v>
      </c>
      <c r="H2442" s="5">
        <v>710</v>
      </c>
      <c r="I2442" t="s" s="2">
        <v>3630</v>
      </c>
      <c r="J2442" t="s" s="2">
        <v>22</v>
      </c>
      <c r="K2442" t="s" s="2">
        <v>4730</v>
      </c>
      <c r="L2442" t="s" s="2">
        <v>524</v>
      </c>
      <c r="M2442" s="5">
        <v>553380.53</v>
      </c>
      <c r="N2442" s="5">
        <v>6243243.06</v>
      </c>
      <c r="O2442" t="s" s="2">
        <v>305</v>
      </c>
      <c r="P2442" s="5">
        <v>3144581</v>
      </c>
      <c r="Q2442" t="s" s="2">
        <v>4731</v>
      </c>
      <c r="R2442" t="s" s="2">
        <f>_xlfn.IFERROR(INDEX('model_byCAP'!$D$2:$D$377,MATCH(Q2442,'model_byCAP'!$A$2:$A$377,0)),0)</f>
        <v>1751</v>
      </c>
    </row>
    <row r="2443" ht="15.35" customHeight="1">
      <c r="A2443" t="s" s="2">
        <v>4733</v>
      </c>
      <c r="B2443" s="4">
        <v>36766</v>
      </c>
      <c r="C2443" s="5">
        <v>750</v>
      </c>
      <c r="D2443" s="5">
        <v>48</v>
      </c>
      <c r="E2443" s="5">
        <v>46.3</v>
      </c>
      <c r="F2443" t="s" s="2">
        <v>1746</v>
      </c>
      <c r="G2443" t="s" s="2">
        <v>4729</v>
      </c>
      <c r="H2443" s="5">
        <v>710</v>
      </c>
      <c r="I2443" t="s" s="2">
        <v>3630</v>
      </c>
      <c r="J2443" t="s" s="2">
        <v>22</v>
      </c>
      <c r="K2443" t="s" s="2">
        <v>4730</v>
      </c>
      <c r="L2443" t="s" s="2">
        <v>524</v>
      </c>
      <c r="M2443" s="5">
        <v>553537.54</v>
      </c>
      <c r="N2443" s="5">
        <v>6243121.43</v>
      </c>
      <c r="O2443" t="s" s="2">
        <v>305</v>
      </c>
      <c r="P2443" s="5">
        <v>3144581</v>
      </c>
      <c r="Q2443" t="s" s="2">
        <v>4731</v>
      </c>
      <c r="R2443" t="s" s="2">
        <f>_xlfn.IFERROR(INDEX('model_byCAP'!$D$2:$D$377,MATCH(Q2443,'model_byCAP'!$A$2:$A$377,0)),0)</f>
        <v>1751</v>
      </c>
    </row>
    <row r="2444" ht="15.35" customHeight="1">
      <c r="A2444" t="s" s="2">
        <v>4734</v>
      </c>
      <c r="B2444" s="4">
        <v>36265</v>
      </c>
      <c r="C2444" s="5">
        <v>750</v>
      </c>
      <c r="D2444" s="5">
        <v>69</v>
      </c>
      <c r="E2444" s="5">
        <v>45</v>
      </c>
      <c r="F2444" t="s" s="2">
        <v>1746</v>
      </c>
      <c r="G2444" t="s" s="2">
        <v>4044</v>
      </c>
      <c r="H2444" s="5">
        <v>710</v>
      </c>
      <c r="I2444" t="s" s="2">
        <v>3630</v>
      </c>
      <c r="J2444" t="s" s="2">
        <v>22</v>
      </c>
      <c r="K2444" t="s" s="2">
        <v>4735</v>
      </c>
      <c r="L2444" t="s" s="2">
        <v>2348</v>
      </c>
      <c r="M2444" s="5">
        <v>550930</v>
      </c>
      <c r="N2444" s="5">
        <v>6236480.55</v>
      </c>
      <c r="O2444" t="s" s="2">
        <v>305</v>
      </c>
      <c r="P2444" s="5">
        <v>3086993</v>
      </c>
      <c r="Q2444" t="s" s="2">
        <v>4046</v>
      </c>
      <c r="R2444" t="s" s="2">
        <f>_xlfn.IFERROR(INDEX('model_byCAP'!$D$2:$D$377,MATCH(Q2444,'model_byCAP'!$A$2:$A$377,0)),0)</f>
        <v>4047</v>
      </c>
    </row>
    <row r="2445" ht="15.35" customHeight="1">
      <c r="A2445" t="s" s="2">
        <v>4736</v>
      </c>
      <c r="B2445" s="4">
        <v>36265</v>
      </c>
      <c r="C2445" s="5">
        <v>750</v>
      </c>
      <c r="D2445" s="5">
        <v>48</v>
      </c>
      <c r="E2445" s="5">
        <v>45</v>
      </c>
      <c r="F2445" t="s" s="2">
        <v>1746</v>
      </c>
      <c r="G2445" t="s" s="2">
        <v>4044</v>
      </c>
      <c r="H2445" s="5">
        <v>710</v>
      </c>
      <c r="I2445" t="s" s="2">
        <v>3630</v>
      </c>
      <c r="J2445" t="s" s="2">
        <v>22</v>
      </c>
      <c r="K2445" t="s" s="2">
        <v>4737</v>
      </c>
      <c r="L2445" t="s" s="2">
        <v>492</v>
      </c>
      <c r="M2445" s="5">
        <v>550949.8199999999</v>
      </c>
      <c r="N2445" s="5">
        <v>6236649.12</v>
      </c>
      <c r="O2445" t="s" s="2">
        <v>305</v>
      </c>
      <c r="P2445" s="5">
        <v>3086994</v>
      </c>
      <c r="Q2445" t="s" s="2">
        <v>4046</v>
      </c>
      <c r="R2445" t="s" s="2">
        <f>_xlfn.IFERROR(INDEX('model_byCAP'!$D$2:$D$377,MATCH(Q2445,'model_byCAP'!$A$2:$A$377,0)),0)</f>
        <v>4047</v>
      </c>
    </row>
    <row r="2446" ht="15.35" customHeight="1">
      <c r="A2446" t="s" s="2">
        <v>4738</v>
      </c>
      <c r="B2446" s="4">
        <v>36266</v>
      </c>
      <c r="C2446" s="5">
        <v>750</v>
      </c>
      <c r="D2446" s="5">
        <v>48.2</v>
      </c>
      <c r="E2446" s="5">
        <v>45</v>
      </c>
      <c r="F2446" t="s" s="2">
        <v>1746</v>
      </c>
      <c r="G2446" t="s" s="2">
        <v>4151</v>
      </c>
      <c r="H2446" s="5">
        <v>710</v>
      </c>
      <c r="I2446" t="s" s="2">
        <v>3630</v>
      </c>
      <c r="J2446" t="s" s="2">
        <v>22</v>
      </c>
      <c r="K2446" t="s" s="2">
        <v>4739</v>
      </c>
      <c r="L2446" t="s" s="2">
        <v>3235</v>
      </c>
      <c r="M2446" s="5">
        <v>550969.8100000001</v>
      </c>
      <c r="N2446" s="5">
        <v>6236818.04</v>
      </c>
      <c r="O2446" t="s" s="2">
        <v>305</v>
      </c>
      <c r="P2446" s="5">
        <v>3086995</v>
      </c>
      <c r="Q2446" t="s" s="2">
        <v>4154</v>
      </c>
      <c r="R2446" t="s" s="2">
        <f>_xlfn.IFERROR(INDEX('model_byCAP'!$D$2:$D$377,MATCH(Q2446,'model_byCAP'!$A$2:$A$377,0)),0)</f>
        <v>4047</v>
      </c>
    </row>
    <row r="2447" ht="15.35" customHeight="1">
      <c r="A2447" t="s" s="2">
        <v>4740</v>
      </c>
      <c r="B2447" s="4">
        <v>36110</v>
      </c>
      <c r="C2447" s="5">
        <v>750</v>
      </c>
      <c r="D2447" s="5">
        <v>48.2</v>
      </c>
      <c r="E2447" s="5">
        <v>45</v>
      </c>
      <c r="F2447" t="s" s="2">
        <v>1746</v>
      </c>
      <c r="G2447" t="s" s="2">
        <v>4044</v>
      </c>
      <c r="H2447" s="5">
        <v>710</v>
      </c>
      <c r="I2447" t="s" s="2">
        <v>3630</v>
      </c>
      <c r="J2447" t="s" s="2">
        <v>22</v>
      </c>
      <c r="K2447" t="s" s="2">
        <v>4741</v>
      </c>
      <c r="L2447" t="s" s="2">
        <v>4420</v>
      </c>
      <c r="M2447" s="5">
        <v>556252.28</v>
      </c>
      <c r="N2447" s="5">
        <v>6231590.78</v>
      </c>
      <c r="O2447" t="s" s="2">
        <v>305</v>
      </c>
      <c r="P2447" s="5">
        <v>3100052</v>
      </c>
      <c r="Q2447" t="s" s="2">
        <v>4046</v>
      </c>
      <c r="R2447" t="s" s="2">
        <f>_xlfn.IFERROR(INDEX('model_byCAP'!$D$2:$D$377,MATCH(Q2447,'model_byCAP'!$A$2:$A$377,0)),0)</f>
        <v>4047</v>
      </c>
    </row>
    <row r="2448" ht="15.35" customHeight="1">
      <c r="A2448" t="s" s="2">
        <v>4742</v>
      </c>
      <c r="B2448" s="4">
        <v>36110</v>
      </c>
      <c r="C2448" s="5">
        <v>750</v>
      </c>
      <c r="D2448" s="5">
        <v>48.2</v>
      </c>
      <c r="E2448" s="5">
        <v>45</v>
      </c>
      <c r="F2448" t="s" s="2">
        <v>1746</v>
      </c>
      <c r="G2448" t="s" s="2">
        <v>4044</v>
      </c>
      <c r="H2448" s="5">
        <v>710</v>
      </c>
      <c r="I2448" t="s" s="2">
        <v>3630</v>
      </c>
      <c r="J2448" t="s" s="2">
        <v>22</v>
      </c>
      <c r="K2448" t="s" s="2">
        <v>4741</v>
      </c>
      <c r="L2448" t="s" s="2">
        <v>4420</v>
      </c>
      <c r="M2448" s="5">
        <v>556281.7</v>
      </c>
      <c r="N2448" s="5">
        <v>6231393.79</v>
      </c>
      <c r="O2448" t="s" s="2">
        <v>305</v>
      </c>
      <c r="P2448" s="5">
        <v>3100052</v>
      </c>
      <c r="Q2448" t="s" s="2">
        <v>4046</v>
      </c>
      <c r="R2448" t="s" s="2">
        <f>_xlfn.IFERROR(INDEX('model_byCAP'!$D$2:$D$377,MATCH(Q2448,'model_byCAP'!$A$2:$A$377,0)),0)</f>
        <v>4047</v>
      </c>
    </row>
    <row r="2449" ht="15.35" customHeight="1">
      <c r="A2449" t="s" s="2">
        <v>4743</v>
      </c>
      <c r="B2449" s="4">
        <v>36110</v>
      </c>
      <c r="C2449" s="5">
        <v>750</v>
      </c>
      <c r="D2449" s="5">
        <v>48.2</v>
      </c>
      <c r="E2449" s="5">
        <v>45</v>
      </c>
      <c r="F2449" t="s" s="2">
        <v>1746</v>
      </c>
      <c r="G2449" t="s" s="2">
        <v>4044</v>
      </c>
      <c r="H2449" s="5">
        <v>710</v>
      </c>
      <c r="I2449" t="s" s="2">
        <v>3630</v>
      </c>
      <c r="J2449" t="s" s="2">
        <v>22</v>
      </c>
      <c r="K2449" t="s" s="2">
        <v>4741</v>
      </c>
      <c r="L2449" t="s" s="2">
        <v>4420</v>
      </c>
      <c r="M2449" s="5">
        <v>556310.8100000001</v>
      </c>
      <c r="N2449" s="5">
        <v>6231195.89</v>
      </c>
      <c r="O2449" t="s" s="2">
        <v>305</v>
      </c>
      <c r="P2449" s="5">
        <v>3100053</v>
      </c>
      <c r="Q2449" t="s" s="2">
        <v>4046</v>
      </c>
      <c r="R2449" t="s" s="2">
        <f>_xlfn.IFERROR(INDEX('model_byCAP'!$D$2:$D$377,MATCH(Q2449,'model_byCAP'!$A$2:$A$377,0)),0)</f>
        <v>4047</v>
      </c>
    </row>
    <row r="2450" ht="15.35" customHeight="1">
      <c r="A2450" t="s" s="2">
        <v>4744</v>
      </c>
      <c r="B2450" s="4">
        <v>36708</v>
      </c>
      <c r="C2450" s="5">
        <v>750</v>
      </c>
      <c r="D2450" s="5">
        <v>48.2</v>
      </c>
      <c r="E2450" s="5">
        <v>45</v>
      </c>
      <c r="F2450" t="s" s="2">
        <v>1746</v>
      </c>
      <c r="G2450" t="s" s="2">
        <v>4044</v>
      </c>
      <c r="H2450" s="5">
        <v>710</v>
      </c>
      <c r="I2450" t="s" s="2">
        <v>3630</v>
      </c>
      <c r="J2450" t="s" s="2">
        <v>22</v>
      </c>
      <c r="K2450" t="s" s="2">
        <v>4745</v>
      </c>
      <c r="L2450" t="s" s="2">
        <v>394</v>
      </c>
      <c r="M2450" s="5">
        <v>560559.91</v>
      </c>
      <c r="N2450" s="5">
        <v>6235466.15</v>
      </c>
      <c r="O2450" t="s" s="2">
        <v>305</v>
      </c>
      <c r="P2450" s="5">
        <v>3100062</v>
      </c>
      <c r="Q2450" t="s" s="2">
        <v>4046</v>
      </c>
      <c r="R2450" t="s" s="2">
        <f>_xlfn.IFERROR(INDEX('model_byCAP'!$D$2:$D$377,MATCH(Q2450,'model_byCAP'!$A$2:$A$377,0)),0)</f>
        <v>4047</v>
      </c>
    </row>
    <row r="2451" ht="15.35" customHeight="1">
      <c r="A2451" t="s" s="2">
        <v>4746</v>
      </c>
      <c r="B2451" s="4">
        <v>36607</v>
      </c>
      <c r="C2451" s="5">
        <v>750</v>
      </c>
      <c r="D2451" s="5">
        <v>48.2</v>
      </c>
      <c r="E2451" s="5">
        <v>45</v>
      </c>
      <c r="F2451" t="s" s="2">
        <v>1746</v>
      </c>
      <c r="G2451" t="s" s="2">
        <v>4044</v>
      </c>
      <c r="H2451" s="5">
        <v>710</v>
      </c>
      <c r="I2451" t="s" s="2">
        <v>3630</v>
      </c>
      <c r="J2451" t="s" s="2">
        <v>22</v>
      </c>
      <c r="K2451" t="s" s="2">
        <v>4745</v>
      </c>
      <c r="L2451" t="s" s="2">
        <v>394</v>
      </c>
      <c r="M2451" s="5">
        <v>560653.33</v>
      </c>
      <c r="N2451" s="5">
        <v>6235283.89</v>
      </c>
      <c r="O2451" t="s" s="2">
        <v>305</v>
      </c>
      <c r="P2451" s="5">
        <v>3100061</v>
      </c>
      <c r="Q2451" t="s" s="2">
        <v>4046</v>
      </c>
      <c r="R2451" t="s" s="2">
        <f>_xlfn.IFERROR(INDEX('model_byCAP'!$D$2:$D$377,MATCH(Q2451,'model_byCAP'!$A$2:$A$377,0)),0)</f>
        <v>4047</v>
      </c>
    </row>
    <row r="2452" ht="15.35" customHeight="1">
      <c r="A2452" t="s" s="2">
        <v>4747</v>
      </c>
      <c r="B2452" s="4">
        <v>36326</v>
      </c>
      <c r="C2452" s="5">
        <v>750</v>
      </c>
      <c r="D2452" s="5">
        <v>48.2</v>
      </c>
      <c r="E2452" s="5">
        <v>45</v>
      </c>
      <c r="F2452" t="s" s="2">
        <v>1746</v>
      </c>
      <c r="G2452" t="s" s="2">
        <v>4044</v>
      </c>
      <c r="H2452" s="5">
        <v>710</v>
      </c>
      <c r="I2452" t="s" s="2">
        <v>3630</v>
      </c>
      <c r="J2452" t="s" s="2">
        <v>22</v>
      </c>
      <c r="K2452" t="s" s="2">
        <v>4745</v>
      </c>
      <c r="L2452" t="s" s="2">
        <v>2809</v>
      </c>
      <c r="M2452" s="5">
        <v>560745.9300000001</v>
      </c>
      <c r="N2452" s="5">
        <v>6235102.19</v>
      </c>
      <c r="O2452" t="s" s="2">
        <v>305</v>
      </c>
      <c r="P2452" s="5">
        <v>3100060</v>
      </c>
      <c r="Q2452" t="s" s="2">
        <v>4046</v>
      </c>
      <c r="R2452" t="s" s="2">
        <f>_xlfn.IFERROR(INDEX('model_byCAP'!$D$2:$D$377,MATCH(Q2452,'model_byCAP'!$A$2:$A$377,0)),0)</f>
        <v>4047</v>
      </c>
    </row>
    <row r="2453" ht="15.35" customHeight="1">
      <c r="A2453" t="s" s="2">
        <v>4748</v>
      </c>
      <c r="B2453" s="4">
        <v>36326</v>
      </c>
      <c r="C2453" s="5">
        <v>750</v>
      </c>
      <c r="D2453" s="5">
        <v>48.2</v>
      </c>
      <c r="E2453" s="5">
        <v>45</v>
      </c>
      <c r="F2453" t="s" s="2">
        <v>1746</v>
      </c>
      <c r="G2453" t="s" s="2">
        <v>4044</v>
      </c>
      <c r="H2453" s="5">
        <v>710</v>
      </c>
      <c r="I2453" t="s" s="2">
        <v>3630</v>
      </c>
      <c r="J2453" t="s" s="2">
        <v>22</v>
      </c>
      <c r="K2453" t="s" s="2">
        <v>4745</v>
      </c>
      <c r="L2453" t="s" s="2">
        <v>2872</v>
      </c>
      <c r="M2453" s="5">
        <v>560839.47</v>
      </c>
      <c r="N2453" s="5">
        <v>6234919.74</v>
      </c>
      <c r="O2453" t="s" s="2">
        <v>305</v>
      </c>
      <c r="P2453" s="5">
        <v>3100059</v>
      </c>
      <c r="Q2453" t="s" s="2">
        <v>4046</v>
      </c>
      <c r="R2453" t="s" s="2">
        <f>_xlfn.IFERROR(INDEX('model_byCAP'!$D$2:$D$377,MATCH(Q2453,'model_byCAP'!$A$2:$A$377,0)),0)</f>
        <v>4047</v>
      </c>
    </row>
    <row r="2454" ht="15.35" customHeight="1">
      <c r="A2454" t="s" s="2">
        <v>4749</v>
      </c>
      <c r="B2454" s="4">
        <v>36655</v>
      </c>
      <c r="C2454" s="5">
        <v>750</v>
      </c>
      <c r="D2454" s="5">
        <v>48.2</v>
      </c>
      <c r="E2454" s="5">
        <v>45</v>
      </c>
      <c r="F2454" t="s" s="2">
        <v>1746</v>
      </c>
      <c r="G2454" t="s" s="2">
        <v>4044</v>
      </c>
      <c r="H2454" s="5">
        <v>710</v>
      </c>
      <c r="I2454" t="s" s="2">
        <v>3630</v>
      </c>
      <c r="J2454" t="s" s="2">
        <v>22</v>
      </c>
      <c r="K2454" t="s" s="2">
        <v>4745</v>
      </c>
      <c r="L2454" t="s" s="2">
        <v>858</v>
      </c>
      <c r="M2454" s="5">
        <v>560932.34</v>
      </c>
      <c r="N2454" s="5">
        <v>6234737.86</v>
      </c>
      <c r="O2454" t="s" s="2">
        <v>305</v>
      </c>
      <c r="P2454" s="5">
        <v>3100058</v>
      </c>
      <c r="Q2454" t="s" s="2">
        <v>4046</v>
      </c>
      <c r="R2454" t="s" s="2">
        <f>_xlfn.IFERROR(INDEX('model_byCAP'!$D$2:$D$377,MATCH(Q2454,'model_byCAP'!$A$2:$A$377,0)),0)</f>
        <v>4047</v>
      </c>
    </row>
    <row r="2455" ht="15.35" customHeight="1">
      <c r="A2455" t="s" s="2">
        <v>4750</v>
      </c>
      <c r="B2455" s="4">
        <v>36272</v>
      </c>
      <c r="C2455" s="5">
        <v>750</v>
      </c>
      <c r="D2455" s="5">
        <v>48.2</v>
      </c>
      <c r="E2455" s="5">
        <v>43</v>
      </c>
      <c r="F2455" t="s" s="2">
        <v>3604</v>
      </c>
      <c r="G2455" t="s" s="2">
        <v>4225</v>
      </c>
      <c r="H2455" s="5">
        <v>710</v>
      </c>
      <c r="I2455" t="s" s="2">
        <v>3630</v>
      </c>
      <c r="J2455" t="s" s="2">
        <v>22</v>
      </c>
      <c r="K2455" t="s" s="2">
        <v>4751</v>
      </c>
      <c r="L2455" t="s" s="2">
        <v>4752</v>
      </c>
      <c r="M2455" s="5">
        <v>564666.24</v>
      </c>
      <c r="N2455" s="5">
        <v>6239241.26</v>
      </c>
      <c r="O2455" t="s" s="2">
        <v>305</v>
      </c>
      <c r="P2455" s="5">
        <v>95134</v>
      </c>
      <c r="Q2455" t="s" s="2">
        <v>4227</v>
      </c>
      <c r="R2455" t="s" s="2">
        <f>_xlfn.IFERROR(INDEX('model_byCAP'!$D$2:$D$377,MATCH(Q2455,'model_byCAP'!$A$2:$A$377,0)),0)</f>
        <v>4047</v>
      </c>
    </row>
    <row r="2456" ht="15.35" customHeight="1">
      <c r="A2456" t="s" s="2">
        <v>4753</v>
      </c>
      <c r="B2456" s="4">
        <v>36251</v>
      </c>
      <c r="C2456" s="5">
        <v>750</v>
      </c>
      <c r="D2456" s="5">
        <v>48</v>
      </c>
      <c r="E2456" s="5">
        <v>45</v>
      </c>
      <c r="F2456" t="s" s="2">
        <v>1746</v>
      </c>
      <c r="G2456" t="s" s="2">
        <v>4044</v>
      </c>
      <c r="H2456" s="5">
        <v>710</v>
      </c>
      <c r="I2456" t="s" s="2">
        <v>3630</v>
      </c>
      <c r="J2456" t="s" s="2">
        <v>22</v>
      </c>
      <c r="K2456" t="s" s="2">
        <v>4754</v>
      </c>
      <c r="L2456" t="s" s="2">
        <v>492</v>
      </c>
      <c r="M2456" s="5">
        <v>564892.8</v>
      </c>
      <c r="N2456" s="5">
        <v>6239162.13</v>
      </c>
      <c r="O2456" t="s" s="2">
        <v>305</v>
      </c>
      <c r="P2456" s="5">
        <v>95135</v>
      </c>
      <c r="Q2456" t="s" s="2">
        <v>4046</v>
      </c>
      <c r="R2456" t="s" s="2">
        <f>_xlfn.IFERROR(INDEX('model_byCAP'!$D$2:$D$377,MATCH(Q2456,'model_byCAP'!$A$2:$A$377,0)),0)</f>
        <v>4047</v>
      </c>
    </row>
    <row r="2457" ht="15.35" customHeight="1">
      <c r="A2457" t="s" s="2">
        <v>4755</v>
      </c>
      <c r="B2457" s="4">
        <v>36770</v>
      </c>
      <c r="C2457" s="5">
        <v>750</v>
      </c>
      <c r="D2457" s="5">
        <v>48</v>
      </c>
      <c r="E2457" s="5">
        <v>45</v>
      </c>
      <c r="F2457" t="s" s="2">
        <v>1746</v>
      </c>
      <c r="G2457" t="s" s="2">
        <v>4044</v>
      </c>
      <c r="H2457" s="5">
        <v>710</v>
      </c>
      <c r="I2457" t="s" s="2">
        <v>3630</v>
      </c>
      <c r="J2457" t="s" s="2">
        <v>22</v>
      </c>
      <c r="K2457" t="s" s="2">
        <v>4756</v>
      </c>
      <c r="L2457" t="s" s="2">
        <v>1196</v>
      </c>
      <c r="M2457" s="5">
        <v>558287.14</v>
      </c>
      <c r="N2457" s="5">
        <v>6246417.84</v>
      </c>
      <c r="O2457" t="s" s="2">
        <v>305</v>
      </c>
      <c r="P2457" s="5">
        <v>95153</v>
      </c>
      <c r="Q2457" t="s" s="2">
        <v>4046</v>
      </c>
      <c r="R2457" t="s" s="2">
        <f>_xlfn.IFERROR(INDEX('model_byCAP'!$D$2:$D$377,MATCH(Q2457,'model_byCAP'!$A$2:$A$377,0)),0)</f>
        <v>4047</v>
      </c>
    </row>
    <row r="2458" ht="15.35" customHeight="1">
      <c r="A2458" t="s" s="2">
        <v>4757</v>
      </c>
      <c r="B2458" s="4">
        <v>36770</v>
      </c>
      <c r="C2458" s="5">
        <v>750</v>
      </c>
      <c r="D2458" s="5">
        <v>48.2</v>
      </c>
      <c r="E2458" s="5">
        <v>45</v>
      </c>
      <c r="F2458" t="s" s="2">
        <v>1746</v>
      </c>
      <c r="G2458" t="s" s="2">
        <v>4668</v>
      </c>
      <c r="H2458" s="5">
        <v>710</v>
      </c>
      <c r="I2458" t="s" s="2">
        <v>3630</v>
      </c>
      <c r="J2458" t="s" s="2">
        <v>22</v>
      </c>
      <c r="K2458" t="s" s="2">
        <v>4756</v>
      </c>
      <c r="L2458" t="s" s="2">
        <v>1196</v>
      </c>
      <c r="M2458" s="5">
        <v>558290.6899999999</v>
      </c>
      <c r="N2458" s="5">
        <v>6246617.35</v>
      </c>
      <c r="O2458" t="s" s="2">
        <v>305</v>
      </c>
      <c r="P2458" s="5">
        <v>95154</v>
      </c>
      <c r="Q2458" t="s" s="2">
        <v>4670</v>
      </c>
      <c r="R2458" t="s" s="2">
        <f>_xlfn.IFERROR(INDEX('model_byCAP'!$D$2:$D$377,MATCH(Q2458,'model_byCAP'!$A$2:$A$377,0)),0)</f>
        <v>4042</v>
      </c>
    </row>
    <row r="2459" ht="15.35" customHeight="1">
      <c r="A2459" t="s" s="2">
        <v>4758</v>
      </c>
      <c r="B2459" s="4">
        <v>36770</v>
      </c>
      <c r="C2459" s="5">
        <v>750</v>
      </c>
      <c r="D2459" s="5">
        <v>48</v>
      </c>
      <c r="E2459" s="5">
        <v>45</v>
      </c>
      <c r="F2459" t="s" s="2">
        <v>1746</v>
      </c>
      <c r="G2459" t="s" s="2">
        <v>4044</v>
      </c>
      <c r="H2459" s="5">
        <v>710</v>
      </c>
      <c r="I2459" t="s" s="2">
        <v>3630</v>
      </c>
      <c r="J2459" t="s" s="2">
        <v>22</v>
      </c>
      <c r="K2459" t="s" s="2">
        <v>4756</v>
      </c>
      <c r="L2459" t="s" s="2">
        <v>1165</v>
      </c>
      <c r="M2459" s="5">
        <v>558294.3</v>
      </c>
      <c r="N2459" s="5">
        <v>6246817.61</v>
      </c>
      <c r="O2459" t="s" s="2">
        <v>305</v>
      </c>
      <c r="P2459" s="5">
        <v>95155</v>
      </c>
      <c r="Q2459" t="s" s="2">
        <v>4046</v>
      </c>
      <c r="R2459" t="s" s="2">
        <f>_xlfn.IFERROR(INDEX('model_byCAP'!$D$2:$D$377,MATCH(Q2459,'model_byCAP'!$A$2:$A$377,0)),0)</f>
        <v>4047</v>
      </c>
    </row>
    <row r="2460" ht="15.35" customHeight="1">
      <c r="A2460" t="s" s="2">
        <v>4759</v>
      </c>
      <c r="B2460" s="4">
        <v>36770</v>
      </c>
      <c r="C2460" s="5">
        <v>750</v>
      </c>
      <c r="D2460" s="5">
        <v>48</v>
      </c>
      <c r="E2460" s="5">
        <v>45</v>
      </c>
      <c r="F2460" t="s" s="2">
        <v>1746</v>
      </c>
      <c r="G2460" t="s" s="2">
        <v>4044</v>
      </c>
      <c r="H2460" s="5">
        <v>710</v>
      </c>
      <c r="I2460" t="s" s="2">
        <v>3630</v>
      </c>
      <c r="J2460" t="s" s="2">
        <v>22</v>
      </c>
      <c r="K2460" t="s" s="2">
        <v>4760</v>
      </c>
      <c r="L2460" t="s" s="2">
        <v>1196</v>
      </c>
      <c r="M2460" s="5">
        <v>558297.6</v>
      </c>
      <c r="N2460" s="5">
        <v>6247017.32</v>
      </c>
      <c r="O2460" t="s" s="2">
        <v>305</v>
      </c>
      <c r="P2460" s="5">
        <v>95156</v>
      </c>
      <c r="Q2460" t="s" s="2">
        <v>4046</v>
      </c>
      <c r="R2460" t="s" s="2">
        <f>_xlfn.IFERROR(INDEX('model_byCAP'!$D$2:$D$377,MATCH(Q2460,'model_byCAP'!$A$2:$A$377,0)),0)</f>
        <v>4047</v>
      </c>
    </row>
    <row r="2461" ht="15.35" customHeight="1">
      <c r="A2461" t="s" s="2">
        <v>4761</v>
      </c>
      <c r="B2461" s="4">
        <v>36770</v>
      </c>
      <c r="C2461" s="5">
        <v>750</v>
      </c>
      <c r="D2461" s="5">
        <v>48</v>
      </c>
      <c r="E2461" s="5">
        <v>45</v>
      </c>
      <c r="F2461" t="s" s="2">
        <v>1746</v>
      </c>
      <c r="G2461" t="s" s="2">
        <v>4044</v>
      </c>
      <c r="H2461" s="5">
        <v>710</v>
      </c>
      <c r="I2461" t="s" s="2">
        <v>3630</v>
      </c>
      <c r="J2461" t="s" s="2">
        <v>22</v>
      </c>
      <c r="K2461" t="s" s="2">
        <v>4762</v>
      </c>
      <c r="L2461" t="s" s="2">
        <v>582</v>
      </c>
      <c r="M2461" s="5">
        <v>558300.92</v>
      </c>
      <c r="N2461" s="5">
        <v>6247217.03</v>
      </c>
      <c r="O2461" t="s" s="2">
        <v>305</v>
      </c>
      <c r="P2461" s="5">
        <v>95157</v>
      </c>
      <c r="Q2461" t="s" s="2">
        <v>4046</v>
      </c>
      <c r="R2461" t="s" s="2">
        <f>_xlfn.IFERROR(INDEX('model_byCAP'!$D$2:$D$377,MATCH(Q2461,'model_byCAP'!$A$2:$A$377,0)),0)</f>
        <v>4047</v>
      </c>
    </row>
    <row r="2462" ht="15.35" customHeight="1">
      <c r="A2462" t="s" s="2">
        <v>4763</v>
      </c>
      <c r="B2462" s="4">
        <v>37349</v>
      </c>
      <c r="C2462" s="5">
        <v>750</v>
      </c>
      <c r="D2462" s="5">
        <v>48.2</v>
      </c>
      <c r="E2462" s="5">
        <v>50</v>
      </c>
      <c r="F2462" t="s" s="2">
        <v>1746</v>
      </c>
      <c r="G2462" t="s" s="2">
        <v>4044</v>
      </c>
      <c r="H2462" s="5">
        <v>710</v>
      </c>
      <c r="I2462" t="s" s="2">
        <v>3630</v>
      </c>
      <c r="J2462" t="s" s="2">
        <v>22</v>
      </c>
      <c r="K2462" t="s" s="2">
        <v>4764</v>
      </c>
      <c r="L2462" t="s" s="2">
        <v>1055</v>
      </c>
      <c r="M2462" s="5">
        <v>549071.89</v>
      </c>
      <c r="N2462" s="5">
        <v>6237062.83</v>
      </c>
      <c r="O2462" t="s" s="2">
        <v>305</v>
      </c>
      <c r="P2462" s="5">
        <v>3137308</v>
      </c>
      <c r="Q2462" t="s" s="2">
        <v>4046</v>
      </c>
      <c r="R2462" t="s" s="2">
        <f>_xlfn.IFERROR(INDEX('model_byCAP'!$D$2:$D$377,MATCH(Q2462,'model_byCAP'!$A$2:$A$377,0)),0)</f>
        <v>4047</v>
      </c>
    </row>
    <row r="2463" ht="15.35" customHeight="1">
      <c r="A2463" t="s" s="2">
        <v>4765</v>
      </c>
      <c r="B2463" s="4">
        <v>35928</v>
      </c>
      <c r="C2463" s="5">
        <v>750</v>
      </c>
      <c r="D2463" s="5">
        <v>48</v>
      </c>
      <c r="E2463" s="5">
        <v>50</v>
      </c>
      <c r="F2463" t="s" s="2">
        <v>1746</v>
      </c>
      <c r="G2463" t="s" s="2">
        <v>4686</v>
      </c>
      <c r="H2463" s="5">
        <v>730</v>
      </c>
      <c r="I2463" t="s" s="2">
        <v>843</v>
      </c>
      <c r="J2463" t="s" s="2">
        <v>22</v>
      </c>
      <c r="K2463" t="s" s="2">
        <v>4766</v>
      </c>
      <c r="L2463" t="s" s="2">
        <v>4390</v>
      </c>
      <c r="M2463" s="5">
        <v>558950.55</v>
      </c>
      <c r="N2463" s="5">
        <v>6264856.87</v>
      </c>
      <c r="O2463" t="s" s="2">
        <v>305</v>
      </c>
      <c r="P2463" s="5">
        <v>95115</v>
      </c>
      <c r="Q2463" t="s" s="2">
        <v>4688</v>
      </c>
      <c r="R2463" t="s" s="2">
        <f>_xlfn.IFERROR(INDEX('model_byCAP'!$D$2:$D$377,MATCH(Q2463,'model_byCAP'!$A$2:$A$377,0)),0)</f>
        <v>2955</v>
      </c>
    </row>
    <row r="2464" ht="15.35" customHeight="1">
      <c r="A2464" t="s" s="2">
        <v>4767</v>
      </c>
      <c r="B2464" s="4">
        <v>35928</v>
      </c>
      <c r="C2464" s="5">
        <v>750</v>
      </c>
      <c r="D2464" s="5">
        <v>48</v>
      </c>
      <c r="E2464" s="5">
        <v>50</v>
      </c>
      <c r="F2464" t="s" s="2">
        <v>1746</v>
      </c>
      <c r="G2464" t="s" s="2">
        <v>4686</v>
      </c>
      <c r="H2464" s="5">
        <v>730</v>
      </c>
      <c r="I2464" t="s" s="2">
        <v>843</v>
      </c>
      <c r="J2464" t="s" s="2">
        <v>22</v>
      </c>
      <c r="K2464" t="s" s="2">
        <v>4768</v>
      </c>
      <c r="L2464" s="5">
        <v>29</v>
      </c>
      <c r="M2464" s="5">
        <v>559182.24</v>
      </c>
      <c r="N2464" s="5">
        <v>6264920.92</v>
      </c>
      <c r="O2464" t="s" s="2">
        <v>305</v>
      </c>
      <c r="P2464" s="5">
        <v>95115</v>
      </c>
      <c r="Q2464" t="s" s="2">
        <v>4688</v>
      </c>
      <c r="R2464" t="s" s="2">
        <f>_xlfn.IFERROR(INDEX('model_byCAP'!$D$2:$D$377,MATCH(Q2464,'model_byCAP'!$A$2:$A$377,0)),0)</f>
        <v>2955</v>
      </c>
    </row>
    <row r="2465" ht="15.35" customHeight="1">
      <c r="A2465" t="s" s="2">
        <v>4769</v>
      </c>
      <c r="B2465" s="4">
        <v>35928</v>
      </c>
      <c r="C2465" s="5">
        <v>750</v>
      </c>
      <c r="D2465" s="5">
        <v>48</v>
      </c>
      <c r="E2465" s="5">
        <v>50</v>
      </c>
      <c r="F2465" t="s" s="2">
        <v>1746</v>
      </c>
      <c r="G2465" t="s" s="2">
        <v>4686</v>
      </c>
      <c r="H2465" s="5">
        <v>730</v>
      </c>
      <c r="I2465" t="s" s="2">
        <v>843</v>
      </c>
      <c r="J2465" t="s" s="2">
        <v>22</v>
      </c>
      <c r="K2465" t="s" s="2">
        <v>4768</v>
      </c>
      <c r="L2465" t="s" s="2">
        <v>518</v>
      </c>
      <c r="M2465" s="5">
        <v>559413.6899999999</v>
      </c>
      <c r="N2465" s="5">
        <v>6264985.12</v>
      </c>
      <c r="O2465" t="s" s="2">
        <v>305</v>
      </c>
      <c r="P2465" s="5">
        <v>95115</v>
      </c>
      <c r="Q2465" t="s" s="2">
        <v>4688</v>
      </c>
      <c r="R2465" t="s" s="2">
        <f>_xlfn.IFERROR(INDEX('model_byCAP'!$D$2:$D$377,MATCH(Q2465,'model_byCAP'!$A$2:$A$377,0)),0)</f>
        <v>2955</v>
      </c>
    </row>
    <row r="2466" ht="15.35" customHeight="1">
      <c r="A2466" t="s" s="2">
        <v>4770</v>
      </c>
      <c r="B2466" s="4">
        <v>35928</v>
      </c>
      <c r="C2466" s="5">
        <v>750</v>
      </c>
      <c r="D2466" s="5">
        <v>48</v>
      </c>
      <c r="E2466" s="5">
        <v>50</v>
      </c>
      <c r="F2466" t="s" s="2">
        <v>1746</v>
      </c>
      <c r="G2466" t="s" s="2">
        <v>4686</v>
      </c>
      <c r="H2466" s="5">
        <v>730</v>
      </c>
      <c r="I2466" t="s" s="2">
        <v>843</v>
      </c>
      <c r="J2466" t="s" s="2">
        <v>22</v>
      </c>
      <c r="K2466" t="s" s="2">
        <v>4768</v>
      </c>
      <c r="L2466" t="s" s="2">
        <v>524</v>
      </c>
      <c r="M2466" s="5">
        <v>559644.6899999999</v>
      </c>
      <c r="N2466" s="5">
        <v>6265049.86</v>
      </c>
      <c r="O2466" t="s" s="2">
        <v>305</v>
      </c>
      <c r="P2466" s="5">
        <v>95115</v>
      </c>
      <c r="Q2466" t="s" s="2">
        <v>4688</v>
      </c>
      <c r="R2466" t="s" s="2">
        <f>_xlfn.IFERROR(INDEX('model_byCAP'!$D$2:$D$377,MATCH(Q2466,'model_byCAP'!$A$2:$A$377,0)),0)</f>
        <v>2955</v>
      </c>
    </row>
    <row r="2467" ht="15.35" customHeight="1">
      <c r="A2467" t="s" s="2">
        <v>4771</v>
      </c>
      <c r="B2467" s="4">
        <v>35979</v>
      </c>
      <c r="C2467" s="5">
        <v>750</v>
      </c>
      <c r="D2467" s="5">
        <v>48</v>
      </c>
      <c r="E2467" s="5">
        <v>45</v>
      </c>
      <c r="F2467" t="s" s="2">
        <v>1746</v>
      </c>
      <c r="G2467" t="s" s="2">
        <v>4541</v>
      </c>
      <c r="H2467" s="5">
        <v>730</v>
      </c>
      <c r="I2467" t="s" s="2">
        <v>843</v>
      </c>
      <c r="J2467" t="s" s="2">
        <v>22</v>
      </c>
      <c r="K2467" t="s" s="2">
        <v>4772</v>
      </c>
      <c r="L2467" t="s" s="2">
        <v>518</v>
      </c>
      <c r="M2467" s="5">
        <v>569368.79</v>
      </c>
      <c r="N2467" s="5">
        <v>6273420.39</v>
      </c>
      <c r="O2467" t="s" s="2">
        <v>305</v>
      </c>
      <c r="P2467" s="5">
        <v>95119</v>
      </c>
      <c r="Q2467" t="s" s="2">
        <v>4543</v>
      </c>
      <c r="R2467" t="s" s="2">
        <f>_xlfn.IFERROR(INDEX('model_byCAP'!$D$2:$D$377,MATCH(Q2467,'model_byCAP'!$A$2:$A$377,0)),0)</f>
        <v>2955</v>
      </c>
    </row>
    <row r="2468" ht="15.35" customHeight="1">
      <c r="A2468" t="s" s="2">
        <v>4773</v>
      </c>
      <c r="B2468" s="4">
        <v>35979</v>
      </c>
      <c r="C2468" s="5">
        <v>750</v>
      </c>
      <c r="D2468" s="5">
        <v>48</v>
      </c>
      <c r="E2468" s="5">
        <v>45</v>
      </c>
      <c r="F2468" t="s" s="2">
        <v>1746</v>
      </c>
      <c r="G2468" t="s" s="2">
        <v>4541</v>
      </c>
      <c r="H2468" s="5">
        <v>730</v>
      </c>
      <c r="I2468" t="s" s="2">
        <v>843</v>
      </c>
      <c r="J2468" t="s" s="2">
        <v>22</v>
      </c>
      <c r="K2468" t="s" s="2">
        <v>4772</v>
      </c>
      <c r="L2468" t="s" s="2">
        <v>518</v>
      </c>
      <c r="M2468" s="5">
        <v>569117.89</v>
      </c>
      <c r="N2468" s="5">
        <v>6273312.8</v>
      </c>
      <c r="O2468" t="s" s="2">
        <v>305</v>
      </c>
      <c r="P2468" s="5">
        <v>95119</v>
      </c>
      <c r="Q2468" t="s" s="2">
        <v>4543</v>
      </c>
      <c r="R2468" t="s" s="2">
        <f>_xlfn.IFERROR(INDEX('model_byCAP'!$D$2:$D$377,MATCH(Q2468,'model_byCAP'!$A$2:$A$377,0)),0)</f>
        <v>2955</v>
      </c>
    </row>
    <row r="2469" ht="15.35" customHeight="1">
      <c r="A2469" t="s" s="2">
        <v>4774</v>
      </c>
      <c r="B2469" s="4">
        <v>35979</v>
      </c>
      <c r="C2469" s="5">
        <v>750</v>
      </c>
      <c r="D2469" s="5">
        <v>48</v>
      </c>
      <c r="E2469" s="5">
        <v>45</v>
      </c>
      <c r="F2469" t="s" s="2">
        <v>1746</v>
      </c>
      <c r="G2469" t="s" s="2">
        <v>4541</v>
      </c>
      <c r="H2469" s="5">
        <v>730</v>
      </c>
      <c r="I2469" t="s" s="2">
        <v>843</v>
      </c>
      <c r="J2469" t="s" s="2">
        <v>22</v>
      </c>
      <c r="K2469" t="s" s="2">
        <v>4775</v>
      </c>
      <c r="L2469" t="s" s="2">
        <v>594</v>
      </c>
      <c r="M2469" s="5">
        <v>568864.99</v>
      </c>
      <c r="N2469" s="5">
        <v>6273207.77</v>
      </c>
      <c r="O2469" t="s" s="2">
        <v>305</v>
      </c>
      <c r="P2469" s="5">
        <v>95119</v>
      </c>
      <c r="Q2469" t="s" s="2">
        <v>4543</v>
      </c>
      <c r="R2469" t="s" s="2">
        <f>_xlfn.IFERROR(INDEX('model_byCAP'!$D$2:$D$377,MATCH(Q2469,'model_byCAP'!$A$2:$A$377,0)),0)</f>
        <v>2955</v>
      </c>
    </row>
    <row r="2470" ht="15.35" customHeight="1">
      <c r="A2470" t="s" s="2">
        <v>4776</v>
      </c>
      <c r="B2470" s="4">
        <v>35979</v>
      </c>
      <c r="C2470" s="5">
        <v>750</v>
      </c>
      <c r="D2470" s="5">
        <v>48</v>
      </c>
      <c r="E2470" s="5">
        <v>45</v>
      </c>
      <c r="F2470" t="s" s="2">
        <v>1746</v>
      </c>
      <c r="G2470" t="s" s="2">
        <v>4541</v>
      </c>
      <c r="H2470" s="5">
        <v>730</v>
      </c>
      <c r="I2470" t="s" s="2">
        <v>843</v>
      </c>
      <c r="J2470" t="s" s="2">
        <v>22</v>
      </c>
      <c r="K2470" t="s" s="2">
        <v>4775</v>
      </c>
      <c r="L2470" t="s" s="2">
        <v>394</v>
      </c>
      <c r="M2470" s="5">
        <v>568613.11</v>
      </c>
      <c r="N2470" s="5">
        <v>6273100.56</v>
      </c>
      <c r="O2470" t="s" s="2">
        <v>305</v>
      </c>
      <c r="P2470" s="5">
        <v>95119</v>
      </c>
      <c r="Q2470" t="s" s="2">
        <v>4543</v>
      </c>
      <c r="R2470" t="s" s="2">
        <f>_xlfn.IFERROR(INDEX('model_byCAP'!$D$2:$D$377,MATCH(Q2470,'model_byCAP'!$A$2:$A$377,0)),0)</f>
        <v>2955</v>
      </c>
    </row>
    <row r="2471" ht="15.35" customHeight="1">
      <c r="A2471" t="s" s="2">
        <v>4777</v>
      </c>
      <c r="B2471" s="4">
        <v>35940</v>
      </c>
      <c r="C2471" s="5">
        <v>750</v>
      </c>
      <c r="D2471" s="5">
        <v>44</v>
      </c>
      <c r="E2471" s="5">
        <v>46</v>
      </c>
      <c r="F2471" t="s" s="2">
        <v>3604</v>
      </c>
      <c r="G2471" t="s" s="2">
        <v>4778</v>
      </c>
      <c r="H2471" s="5">
        <v>730</v>
      </c>
      <c r="I2471" t="s" s="2">
        <v>843</v>
      </c>
      <c r="J2471" t="s" s="2">
        <v>22</v>
      </c>
      <c r="K2471" t="s" s="2">
        <v>4779</v>
      </c>
      <c r="L2471" t="s" s="2">
        <v>492</v>
      </c>
      <c r="M2471" s="5">
        <v>571202.45</v>
      </c>
      <c r="N2471" s="5">
        <v>6275429.98</v>
      </c>
      <c r="O2471" t="s" s="2">
        <v>305</v>
      </c>
      <c r="P2471" s="5">
        <v>95120</v>
      </c>
      <c r="Q2471" t="s" s="2">
        <v>4780</v>
      </c>
      <c r="R2471" t="s" s="2">
        <f>_xlfn.IFERROR(INDEX('model_byCAP'!$D$2:$D$377,MATCH(Q2471,'model_byCAP'!$A$2:$A$377,0)),0)</f>
        <v>4042</v>
      </c>
    </row>
    <row r="2472" ht="15.35" customHeight="1">
      <c r="A2472" t="s" s="2">
        <v>4781</v>
      </c>
      <c r="B2472" s="4">
        <v>35940</v>
      </c>
      <c r="C2472" s="5">
        <v>750</v>
      </c>
      <c r="D2472" s="5">
        <v>44</v>
      </c>
      <c r="E2472" s="5">
        <v>46</v>
      </c>
      <c r="F2472" t="s" s="2">
        <v>3604</v>
      </c>
      <c r="G2472" t="s" s="2">
        <v>4778</v>
      </c>
      <c r="H2472" s="5">
        <v>730</v>
      </c>
      <c r="I2472" t="s" s="2">
        <v>843</v>
      </c>
      <c r="J2472" t="s" s="2">
        <v>22</v>
      </c>
      <c r="K2472" t="s" s="2">
        <v>4779</v>
      </c>
      <c r="L2472" t="s" s="2">
        <v>518</v>
      </c>
      <c r="M2472" s="5">
        <v>571381.0699999999</v>
      </c>
      <c r="N2472" s="5">
        <v>6275339.31</v>
      </c>
      <c r="O2472" t="s" s="2">
        <v>305</v>
      </c>
      <c r="P2472" s="5">
        <v>95120</v>
      </c>
      <c r="Q2472" t="s" s="2">
        <v>4780</v>
      </c>
      <c r="R2472" t="s" s="2">
        <f>_xlfn.IFERROR(INDEX('model_byCAP'!$D$2:$D$377,MATCH(Q2472,'model_byCAP'!$A$2:$A$377,0)),0)</f>
        <v>4042</v>
      </c>
    </row>
    <row r="2473" ht="15.35" customHeight="1">
      <c r="A2473" t="s" s="2">
        <v>4782</v>
      </c>
      <c r="B2473" s="4">
        <v>36194</v>
      </c>
      <c r="C2473" s="5">
        <v>750</v>
      </c>
      <c r="D2473" s="5">
        <v>44</v>
      </c>
      <c r="E2473" s="5">
        <v>46</v>
      </c>
      <c r="F2473" t="s" s="2">
        <v>3604</v>
      </c>
      <c r="G2473" t="s" s="2">
        <v>4778</v>
      </c>
      <c r="H2473" s="5">
        <v>730</v>
      </c>
      <c r="I2473" t="s" s="2">
        <v>843</v>
      </c>
      <c r="J2473" t="s" s="2">
        <v>22</v>
      </c>
      <c r="K2473" t="s" s="2">
        <v>4779</v>
      </c>
      <c r="L2473" t="s" s="2">
        <v>2923</v>
      </c>
      <c r="M2473" s="5">
        <v>571560.78</v>
      </c>
      <c r="N2473" s="5">
        <v>6275248.96</v>
      </c>
      <c r="O2473" t="s" s="2">
        <v>305</v>
      </c>
      <c r="P2473" s="5">
        <v>95120</v>
      </c>
      <c r="Q2473" t="s" s="2">
        <v>4780</v>
      </c>
      <c r="R2473" t="s" s="2">
        <f>_xlfn.IFERROR(INDEX('model_byCAP'!$D$2:$D$377,MATCH(Q2473,'model_byCAP'!$A$2:$A$377,0)),0)</f>
        <v>4042</v>
      </c>
    </row>
    <row r="2474" ht="15.35" customHeight="1">
      <c r="A2474" t="s" s="2">
        <v>4783</v>
      </c>
      <c r="B2474" s="4">
        <v>35940</v>
      </c>
      <c r="C2474" s="5">
        <v>750</v>
      </c>
      <c r="D2474" s="5">
        <v>44</v>
      </c>
      <c r="E2474" s="5">
        <v>46</v>
      </c>
      <c r="F2474" t="s" s="2">
        <v>3604</v>
      </c>
      <c r="G2474" t="s" s="2">
        <v>4778</v>
      </c>
      <c r="H2474" s="5">
        <v>730</v>
      </c>
      <c r="I2474" t="s" s="2">
        <v>843</v>
      </c>
      <c r="J2474" t="s" s="2">
        <v>22</v>
      </c>
      <c r="K2474" t="s" s="2">
        <v>4779</v>
      </c>
      <c r="L2474" t="s" s="2">
        <v>4273</v>
      </c>
      <c r="M2474" s="5">
        <v>571738.76</v>
      </c>
      <c r="N2474" s="5">
        <v>6275158.23</v>
      </c>
      <c r="O2474" t="s" s="2">
        <v>305</v>
      </c>
      <c r="P2474" s="5">
        <v>95120</v>
      </c>
      <c r="Q2474" t="s" s="2">
        <v>4780</v>
      </c>
      <c r="R2474" t="s" s="2">
        <f>_xlfn.IFERROR(INDEX('model_byCAP'!$D$2:$D$377,MATCH(Q2474,'model_byCAP'!$A$2:$A$377,0)),0)</f>
        <v>4042</v>
      </c>
    </row>
    <row r="2475" ht="15.35" customHeight="1">
      <c r="A2475" t="s" s="2">
        <v>4784</v>
      </c>
      <c r="B2475" s="4">
        <v>36161</v>
      </c>
      <c r="C2475" s="5">
        <v>750</v>
      </c>
      <c r="D2475" s="5">
        <v>44</v>
      </c>
      <c r="E2475" s="5">
        <v>46</v>
      </c>
      <c r="F2475" t="s" s="2">
        <v>1746</v>
      </c>
      <c r="G2475" t="s" s="2">
        <v>4136</v>
      </c>
      <c r="H2475" s="5">
        <v>730</v>
      </c>
      <c r="I2475" t="s" s="2">
        <v>843</v>
      </c>
      <c r="J2475" t="s" s="2">
        <v>22</v>
      </c>
      <c r="K2475" t="s" s="2">
        <v>4779</v>
      </c>
      <c r="L2475" t="s" s="2">
        <v>511</v>
      </c>
      <c r="M2475" s="5">
        <v>571915.23</v>
      </c>
      <c r="N2475" s="5">
        <v>6275067.73</v>
      </c>
      <c r="O2475" t="s" s="2">
        <v>305</v>
      </c>
      <c r="P2475" s="5">
        <v>95120</v>
      </c>
      <c r="Q2475" t="s" s="2">
        <v>4137</v>
      </c>
      <c r="R2475" t="s" s="2">
        <f>_xlfn.IFERROR(INDEX('model_byCAP'!$D$2:$D$377,MATCH(Q2475,'model_byCAP'!$A$2:$A$377,0)),0)</f>
        <v>4042</v>
      </c>
    </row>
    <row r="2476" ht="15.35" customHeight="1">
      <c r="A2476" t="s" s="2">
        <v>4785</v>
      </c>
      <c r="B2476" s="4">
        <v>36100</v>
      </c>
      <c r="C2476" s="5">
        <v>750</v>
      </c>
      <c r="D2476" s="5">
        <v>48.2</v>
      </c>
      <c r="E2476" s="5">
        <v>45</v>
      </c>
      <c r="F2476" t="s" s="2">
        <v>1746</v>
      </c>
      <c r="G2476" t="s" s="2">
        <v>4044</v>
      </c>
      <c r="H2476" s="5">
        <v>730</v>
      </c>
      <c r="I2476" t="s" s="2">
        <v>843</v>
      </c>
      <c r="J2476" t="s" s="2">
        <v>22</v>
      </c>
      <c r="K2476" t="s" s="2">
        <v>4786</v>
      </c>
      <c r="L2476" t="s" s="2">
        <v>4787</v>
      </c>
      <c r="M2476" s="5">
        <v>565621.85</v>
      </c>
      <c r="N2476" s="5">
        <v>6267398.27</v>
      </c>
      <c r="O2476" t="s" s="2">
        <v>305</v>
      </c>
      <c r="P2476" s="5">
        <v>95122</v>
      </c>
      <c r="Q2476" t="s" s="2">
        <v>4046</v>
      </c>
      <c r="R2476" t="s" s="2">
        <f>_xlfn.IFERROR(INDEX('model_byCAP'!$D$2:$D$377,MATCH(Q2476,'model_byCAP'!$A$2:$A$377,0)),0)</f>
        <v>4047</v>
      </c>
    </row>
    <row r="2477" ht="15.35" customHeight="1">
      <c r="A2477" t="s" s="2">
        <v>4788</v>
      </c>
      <c r="B2477" s="4">
        <v>36100</v>
      </c>
      <c r="C2477" s="5">
        <v>750</v>
      </c>
      <c r="D2477" s="5">
        <v>48.2</v>
      </c>
      <c r="E2477" s="5">
        <v>45</v>
      </c>
      <c r="F2477" t="s" s="2">
        <v>1746</v>
      </c>
      <c r="G2477" t="s" s="2">
        <v>4044</v>
      </c>
      <c r="H2477" s="5">
        <v>730</v>
      </c>
      <c r="I2477" t="s" s="2">
        <v>843</v>
      </c>
      <c r="J2477" t="s" s="2">
        <v>22</v>
      </c>
      <c r="K2477" t="s" s="2">
        <v>4786</v>
      </c>
      <c r="L2477" t="s" s="2">
        <v>937</v>
      </c>
      <c r="M2477" s="5">
        <v>565877.5</v>
      </c>
      <c r="N2477" s="5">
        <v>6267101.96</v>
      </c>
      <c r="O2477" t="s" s="2">
        <v>305</v>
      </c>
      <c r="P2477" s="5">
        <v>95122</v>
      </c>
      <c r="Q2477" t="s" s="2">
        <v>4046</v>
      </c>
      <c r="R2477" t="s" s="2">
        <f>_xlfn.IFERROR(INDEX('model_byCAP'!$D$2:$D$377,MATCH(Q2477,'model_byCAP'!$A$2:$A$377,0)),0)</f>
        <v>4047</v>
      </c>
    </row>
    <row r="2478" ht="15.35" customHeight="1">
      <c r="A2478" t="s" s="2">
        <v>4789</v>
      </c>
      <c r="B2478" s="4">
        <v>36100</v>
      </c>
      <c r="C2478" s="5">
        <v>750</v>
      </c>
      <c r="D2478" s="5">
        <v>48.2</v>
      </c>
      <c r="E2478" s="5">
        <v>45</v>
      </c>
      <c r="F2478" t="s" s="2">
        <v>1746</v>
      </c>
      <c r="G2478" t="s" s="2">
        <v>4044</v>
      </c>
      <c r="H2478" s="5">
        <v>730</v>
      </c>
      <c r="I2478" t="s" s="2">
        <v>843</v>
      </c>
      <c r="J2478" t="s" s="2">
        <v>22</v>
      </c>
      <c r="K2478" t="s" s="2">
        <v>4786</v>
      </c>
      <c r="L2478" t="s" s="2">
        <v>2386</v>
      </c>
      <c r="M2478" s="5">
        <v>566134.78</v>
      </c>
      <c r="N2478" s="5">
        <v>6266805.86</v>
      </c>
      <c r="O2478" t="s" s="2">
        <v>305</v>
      </c>
      <c r="P2478" s="5">
        <v>95122</v>
      </c>
      <c r="Q2478" t="s" s="2">
        <v>4046</v>
      </c>
      <c r="R2478" t="s" s="2">
        <f>_xlfn.IFERROR(INDEX('model_byCAP'!$D$2:$D$377,MATCH(Q2478,'model_byCAP'!$A$2:$A$377,0)),0)</f>
        <v>4047</v>
      </c>
    </row>
    <row r="2479" ht="15.35" customHeight="1">
      <c r="A2479" t="s" s="2">
        <v>4790</v>
      </c>
      <c r="B2479" s="4">
        <v>36100</v>
      </c>
      <c r="C2479" s="5">
        <v>750</v>
      </c>
      <c r="D2479" s="5">
        <v>48.2</v>
      </c>
      <c r="E2479" s="5">
        <v>45</v>
      </c>
      <c r="F2479" t="s" s="2">
        <v>1746</v>
      </c>
      <c r="G2479" t="s" s="2">
        <v>4044</v>
      </c>
      <c r="H2479" s="5">
        <v>730</v>
      </c>
      <c r="I2479" t="s" s="2">
        <v>843</v>
      </c>
      <c r="J2479" t="s" s="2">
        <v>22</v>
      </c>
      <c r="K2479" t="s" s="2">
        <v>4786</v>
      </c>
      <c r="L2479" t="s" s="2">
        <v>4791</v>
      </c>
      <c r="M2479" s="5">
        <v>566196.1800000001</v>
      </c>
      <c r="N2479" s="5">
        <v>6267168</v>
      </c>
      <c r="O2479" t="s" s="2">
        <v>305</v>
      </c>
      <c r="P2479" s="5">
        <v>95122</v>
      </c>
      <c r="Q2479" t="s" s="2">
        <v>4046</v>
      </c>
      <c r="R2479" t="s" s="2">
        <f>_xlfn.IFERROR(INDEX('model_byCAP'!$D$2:$D$377,MATCH(Q2479,'model_byCAP'!$A$2:$A$377,0)),0)</f>
        <v>4047</v>
      </c>
    </row>
    <row r="2480" ht="15.35" customHeight="1">
      <c r="A2480" t="s" s="2">
        <v>4792</v>
      </c>
      <c r="B2480" s="4">
        <v>36100</v>
      </c>
      <c r="C2480" s="5">
        <v>750</v>
      </c>
      <c r="D2480" s="5">
        <v>48.2</v>
      </c>
      <c r="E2480" s="5">
        <v>45</v>
      </c>
      <c r="F2480" t="s" s="2">
        <v>1746</v>
      </c>
      <c r="G2480" t="s" s="2">
        <v>4044</v>
      </c>
      <c r="H2480" s="5">
        <v>730</v>
      </c>
      <c r="I2480" t="s" s="2">
        <v>843</v>
      </c>
      <c r="J2480" t="s" s="2">
        <v>22</v>
      </c>
      <c r="K2480" t="s" s="2">
        <v>4786</v>
      </c>
      <c r="L2480" t="s" s="2">
        <v>2386</v>
      </c>
      <c r="M2480" s="5">
        <v>566452.28</v>
      </c>
      <c r="N2480" s="5">
        <v>6266870.76</v>
      </c>
      <c r="O2480" t="s" s="2">
        <v>305</v>
      </c>
      <c r="P2480" s="5">
        <v>95122</v>
      </c>
      <c r="Q2480" t="s" s="2">
        <v>4046</v>
      </c>
      <c r="R2480" t="s" s="2">
        <f>_xlfn.IFERROR(INDEX('model_byCAP'!$D$2:$D$377,MATCH(Q2480,'model_byCAP'!$A$2:$A$377,0)),0)</f>
        <v>4047</v>
      </c>
    </row>
    <row r="2481" ht="15.35" customHeight="1">
      <c r="A2481" t="s" s="2">
        <v>4793</v>
      </c>
      <c r="B2481" s="4">
        <v>36150</v>
      </c>
      <c r="C2481" s="5">
        <v>750</v>
      </c>
      <c r="D2481" s="5">
        <v>48</v>
      </c>
      <c r="E2481" s="5">
        <v>45</v>
      </c>
      <c r="F2481" t="s" s="2">
        <v>3604</v>
      </c>
      <c r="G2481" t="s" s="2">
        <v>4225</v>
      </c>
      <c r="H2481" s="5">
        <v>730</v>
      </c>
      <c r="I2481" t="s" s="2">
        <v>843</v>
      </c>
      <c r="J2481" t="s" s="2">
        <v>22</v>
      </c>
      <c r="K2481" t="s" s="2">
        <v>4794</v>
      </c>
      <c r="L2481" t="s" s="2">
        <v>481</v>
      </c>
      <c r="M2481" s="5">
        <v>559167.08</v>
      </c>
      <c r="N2481" s="5">
        <v>6270278.57</v>
      </c>
      <c r="O2481" t="s" s="2">
        <v>305</v>
      </c>
      <c r="P2481" s="5">
        <v>95123</v>
      </c>
      <c r="Q2481" t="s" s="2">
        <v>4227</v>
      </c>
      <c r="R2481" t="s" s="2">
        <f>_xlfn.IFERROR(INDEX('model_byCAP'!$D$2:$D$377,MATCH(Q2481,'model_byCAP'!$A$2:$A$377,0)),0)</f>
        <v>4047</v>
      </c>
    </row>
    <row r="2482" ht="15.35" customHeight="1">
      <c r="A2482" t="s" s="2">
        <v>4795</v>
      </c>
      <c r="B2482" s="4">
        <v>36150</v>
      </c>
      <c r="C2482" s="5">
        <v>750</v>
      </c>
      <c r="D2482" s="5">
        <v>48</v>
      </c>
      <c r="E2482" s="5">
        <v>45</v>
      </c>
      <c r="F2482" t="s" s="2">
        <v>3604</v>
      </c>
      <c r="G2482" t="s" s="2">
        <v>4225</v>
      </c>
      <c r="H2482" s="5">
        <v>730</v>
      </c>
      <c r="I2482" t="s" s="2">
        <v>843</v>
      </c>
      <c r="J2482" t="s" s="2">
        <v>22</v>
      </c>
      <c r="K2482" t="s" s="2">
        <v>4794</v>
      </c>
      <c r="L2482" t="s" s="2">
        <v>4796</v>
      </c>
      <c r="M2482" s="5">
        <v>559425.5699999999</v>
      </c>
      <c r="N2482" s="5">
        <v>6270429.27</v>
      </c>
      <c r="O2482" t="s" s="2">
        <v>305</v>
      </c>
      <c r="P2482" s="5">
        <v>95123</v>
      </c>
      <c r="Q2482" t="s" s="2">
        <v>4227</v>
      </c>
      <c r="R2482" t="s" s="2">
        <f>_xlfn.IFERROR(INDEX('model_byCAP'!$D$2:$D$377,MATCH(Q2482,'model_byCAP'!$A$2:$A$377,0)),0)</f>
        <v>4047</v>
      </c>
    </row>
    <row r="2483" ht="15.35" customHeight="1">
      <c r="A2483" t="s" s="2">
        <v>4797</v>
      </c>
      <c r="B2483" s="4">
        <v>36150</v>
      </c>
      <c r="C2483" s="5">
        <v>750</v>
      </c>
      <c r="D2483" s="5">
        <v>48.2</v>
      </c>
      <c r="E2483" s="5">
        <v>45</v>
      </c>
      <c r="F2483" t="s" s="2">
        <v>1746</v>
      </c>
      <c r="G2483" t="s" s="2">
        <v>4151</v>
      </c>
      <c r="H2483" s="5">
        <v>730</v>
      </c>
      <c r="I2483" t="s" s="2">
        <v>843</v>
      </c>
      <c r="J2483" t="s" s="2">
        <v>22</v>
      </c>
      <c r="K2483" t="s" s="2">
        <v>4798</v>
      </c>
      <c r="L2483" t="s" s="2">
        <v>3818</v>
      </c>
      <c r="M2483" s="5">
        <v>559683.99</v>
      </c>
      <c r="N2483" s="5">
        <v>6270581.89</v>
      </c>
      <c r="O2483" t="s" s="2">
        <v>305</v>
      </c>
      <c r="P2483" s="5">
        <v>95123</v>
      </c>
      <c r="Q2483" t="s" s="2">
        <v>4154</v>
      </c>
      <c r="R2483" t="s" s="2">
        <f>_xlfn.IFERROR(INDEX('model_byCAP'!$D$2:$D$377,MATCH(Q2483,'model_byCAP'!$A$2:$A$377,0)),0)</f>
        <v>4047</v>
      </c>
    </row>
    <row r="2484" ht="15.35" customHeight="1">
      <c r="A2484" t="s" s="2">
        <v>4799</v>
      </c>
      <c r="B2484" s="4">
        <v>36150</v>
      </c>
      <c r="C2484" s="5">
        <v>750</v>
      </c>
      <c r="D2484" s="5">
        <v>48.2</v>
      </c>
      <c r="E2484" s="5">
        <v>43.6</v>
      </c>
      <c r="F2484" t="s" s="2">
        <v>3604</v>
      </c>
      <c r="G2484" t="s" s="2">
        <v>4225</v>
      </c>
      <c r="H2484" s="5">
        <v>730</v>
      </c>
      <c r="I2484" t="s" s="2">
        <v>843</v>
      </c>
      <c r="J2484" t="s" s="2">
        <v>22</v>
      </c>
      <c r="K2484" t="s" s="2">
        <v>4798</v>
      </c>
      <c r="L2484" t="s" s="2">
        <v>1260</v>
      </c>
      <c r="M2484" s="5">
        <v>559944.1899999999</v>
      </c>
      <c r="N2484" s="5">
        <v>6270732.5</v>
      </c>
      <c r="O2484" t="s" s="2">
        <v>305</v>
      </c>
      <c r="P2484" s="5">
        <v>95123</v>
      </c>
      <c r="Q2484" t="s" s="2">
        <v>4227</v>
      </c>
      <c r="R2484" t="s" s="2">
        <f>_xlfn.IFERROR(INDEX('model_byCAP'!$D$2:$D$377,MATCH(Q2484,'model_byCAP'!$A$2:$A$377,0)),0)</f>
        <v>4047</v>
      </c>
    </row>
    <row r="2485" ht="15.35" customHeight="1">
      <c r="A2485" t="s" s="2">
        <v>4800</v>
      </c>
      <c r="B2485" s="4">
        <v>36150</v>
      </c>
      <c r="C2485" s="5">
        <v>750</v>
      </c>
      <c r="D2485" s="5">
        <v>48</v>
      </c>
      <c r="E2485" s="5">
        <v>45</v>
      </c>
      <c r="F2485" t="s" s="2">
        <v>1746</v>
      </c>
      <c r="G2485" t="s" s="2">
        <v>4151</v>
      </c>
      <c r="H2485" s="5">
        <v>730</v>
      </c>
      <c r="I2485" t="s" s="2">
        <v>843</v>
      </c>
      <c r="J2485" t="s" s="2">
        <v>22</v>
      </c>
      <c r="K2485" t="s" s="2">
        <v>4798</v>
      </c>
      <c r="L2485" t="s" s="2">
        <v>585</v>
      </c>
      <c r="M2485" s="5">
        <v>560202.83</v>
      </c>
      <c r="N2485" s="5">
        <v>6270882.72</v>
      </c>
      <c r="O2485" t="s" s="2">
        <v>305</v>
      </c>
      <c r="P2485" s="5">
        <v>95123</v>
      </c>
      <c r="Q2485" t="s" s="2">
        <v>4154</v>
      </c>
      <c r="R2485" t="s" s="2">
        <f>_xlfn.IFERROR(INDEX('model_byCAP'!$D$2:$D$377,MATCH(Q2485,'model_byCAP'!$A$2:$A$377,0)),0)</f>
        <v>4047</v>
      </c>
    </row>
    <row r="2486" ht="15.35" customHeight="1">
      <c r="A2486" t="s" s="2">
        <v>4801</v>
      </c>
      <c r="B2486" s="4">
        <v>36130</v>
      </c>
      <c r="C2486" s="5">
        <v>750</v>
      </c>
      <c r="D2486" s="5">
        <v>48</v>
      </c>
      <c r="E2486" s="5">
        <v>50</v>
      </c>
      <c r="F2486" t="s" s="2">
        <v>1746</v>
      </c>
      <c r="G2486" t="s" s="2">
        <v>4044</v>
      </c>
      <c r="H2486" s="5">
        <v>730</v>
      </c>
      <c r="I2486" t="s" s="2">
        <v>843</v>
      </c>
      <c r="J2486" t="s" s="2">
        <v>22</v>
      </c>
      <c r="K2486" t="s" s="2">
        <v>4802</v>
      </c>
      <c r="L2486" t="s" s="2">
        <v>4803</v>
      </c>
      <c r="M2486" s="5">
        <v>574002.15</v>
      </c>
      <c r="N2486" s="5">
        <v>6256074.8</v>
      </c>
      <c r="O2486" t="s" s="2">
        <v>305</v>
      </c>
      <c r="P2486" s="5">
        <v>95127</v>
      </c>
      <c r="Q2486" t="s" s="2">
        <v>4046</v>
      </c>
      <c r="R2486" t="s" s="2">
        <f>_xlfn.IFERROR(INDEX('model_byCAP'!$D$2:$D$377,MATCH(Q2486,'model_byCAP'!$A$2:$A$377,0)),0)</f>
        <v>4047</v>
      </c>
    </row>
    <row r="2487" ht="15.35" customHeight="1">
      <c r="A2487" t="s" s="2">
        <v>4804</v>
      </c>
      <c r="B2487" s="4">
        <v>36130</v>
      </c>
      <c r="C2487" s="5">
        <v>750</v>
      </c>
      <c r="D2487" s="5">
        <v>48</v>
      </c>
      <c r="E2487" s="5">
        <v>50</v>
      </c>
      <c r="F2487" t="s" s="2">
        <v>1746</v>
      </c>
      <c r="G2487" t="s" s="2">
        <v>4151</v>
      </c>
      <c r="H2487" s="5">
        <v>730</v>
      </c>
      <c r="I2487" t="s" s="2">
        <v>843</v>
      </c>
      <c r="J2487" t="s" s="2">
        <v>22</v>
      </c>
      <c r="K2487" t="s" s="2">
        <v>4805</v>
      </c>
      <c r="L2487" t="s" s="2">
        <v>1717</v>
      </c>
      <c r="M2487" s="5">
        <v>573761.83</v>
      </c>
      <c r="N2487" s="5">
        <v>6256170.7</v>
      </c>
      <c r="O2487" t="s" s="2">
        <v>305</v>
      </c>
      <c r="P2487" s="5">
        <v>95128</v>
      </c>
      <c r="Q2487" t="s" s="2">
        <v>4154</v>
      </c>
      <c r="R2487" t="s" s="2">
        <f>_xlfn.IFERROR(INDEX('model_byCAP'!$D$2:$D$377,MATCH(Q2487,'model_byCAP'!$A$2:$A$377,0)),0)</f>
        <v>4047</v>
      </c>
    </row>
    <row r="2488" ht="15.35" customHeight="1">
      <c r="A2488" t="s" s="2">
        <v>4806</v>
      </c>
      <c r="B2488" s="4">
        <v>36265</v>
      </c>
      <c r="C2488" s="5">
        <v>750</v>
      </c>
      <c r="D2488" s="5">
        <v>48</v>
      </c>
      <c r="E2488" s="5">
        <v>50</v>
      </c>
      <c r="F2488" t="s" s="2">
        <v>1746</v>
      </c>
      <c r="G2488" t="s" s="2">
        <v>4044</v>
      </c>
      <c r="H2488" s="5">
        <v>730</v>
      </c>
      <c r="I2488" t="s" s="2">
        <v>843</v>
      </c>
      <c r="J2488" t="s" s="2">
        <v>22</v>
      </c>
      <c r="K2488" t="s" s="2">
        <v>4807</v>
      </c>
      <c r="L2488" t="s" s="2">
        <v>518</v>
      </c>
      <c r="M2488" s="5">
        <v>573298.01</v>
      </c>
      <c r="N2488" s="5">
        <v>6256353.41</v>
      </c>
      <c r="O2488" t="s" s="2">
        <v>305</v>
      </c>
      <c r="P2488" s="5">
        <v>95129</v>
      </c>
      <c r="Q2488" t="s" s="2">
        <v>4046</v>
      </c>
      <c r="R2488" t="s" s="2">
        <f>_xlfn.IFERROR(INDEX('model_byCAP'!$D$2:$D$377,MATCH(Q2488,'model_byCAP'!$A$2:$A$377,0)),0)</f>
        <v>4047</v>
      </c>
    </row>
    <row r="2489" ht="15.35" customHeight="1">
      <c r="A2489" t="s" s="2">
        <v>4808</v>
      </c>
      <c r="B2489" s="4">
        <v>36265</v>
      </c>
      <c r="C2489" s="5">
        <v>750</v>
      </c>
      <c r="D2489" s="5">
        <v>48</v>
      </c>
      <c r="E2489" s="5">
        <v>45</v>
      </c>
      <c r="F2489" t="s" s="2">
        <v>1746</v>
      </c>
      <c r="G2489" t="s" s="2">
        <v>4044</v>
      </c>
      <c r="H2489" s="5">
        <v>730</v>
      </c>
      <c r="I2489" t="s" s="2">
        <v>843</v>
      </c>
      <c r="J2489" t="s" s="2">
        <v>22</v>
      </c>
      <c r="K2489" t="s" s="2">
        <v>4809</v>
      </c>
      <c r="L2489" t="s" s="2">
        <v>518</v>
      </c>
      <c r="M2489" s="5">
        <v>573523.48</v>
      </c>
      <c r="N2489" s="5">
        <v>6256264.76</v>
      </c>
      <c r="O2489" t="s" s="2">
        <v>305</v>
      </c>
      <c r="P2489" s="5">
        <v>8095130</v>
      </c>
      <c r="Q2489" t="s" s="2">
        <v>4046</v>
      </c>
      <c r="R2489" t="s" s="2">
        <f>_xlfn.IFERROR(INDEX('model_byCAP'!$D$2:$D$377,MATCH(Q2489,'model_byCAP'!$A$2:$A$377,0)),0)</f>
        <v>4047</v>
      </c>
    </row>
    <row r="2490" ht="15.35" customHeight="1">
      <c r="A2490" t="s" s="2">
        <v>4810</v>
      </c>
      <c r="B2490" s="4">
        <v>36600</v>
      </c>
      <c r="C2490" s="5">
        <v>750</v>
      </c>
      <c r="D2490" s="5">
        <v>48.2</v>
      </c>
      <c r="E2490" s="5">
        <v>45</v>
      </c>
      <c r="F2490" t="s" s="2">
        <v>1746</v>
      </c>
      <c r="G2490" t="s" s="2">
        <v>4151</v>
      </c>
      <c r="H2490" s="5">
        <v>730</v>
      </c>
      <c r="I2490" t="s" s="2">
        <v>843</v>
      </c>
      <c r="J2490" t="s" s="2">
        <v>22</v>
      </c>
      <c r="K2490" t="s" s="2">
        <v>4811</v>
      </c>
      <c r="L2490" t="s" s="2">
        <v>4812</v>
      </c>
      <c r="M2490" s="5">
        <v>575011.71</v>
      </c>
      <c r="N2490" s="5">
        <v>6276515.8</v>
      </c>
      <c r="O2490" t="s" s="2">
        <v>305</v>
      </c>
      <c r="P2490" s="5">
        <v>95136</v>
      </c>
      <c r="Q2490" t="s" s="2">
        <v>4154</v>
      </c>
      <c r="R2490" t="s" s="2">
        <f>_xlfn.IFERROR(INDEX('model_byCAP'!$D$2:$D$377,MATCH(Q2490,'model_byCAP'!$A$2:$A$377,0)),0)</f>
        <v>4047</v>
      </c>
    </row>
    <row r="2491" ht="15.35" customHeight="1">
      <c r="A2491" t="s" s="2">
        <v>4813</v>
      </c>
      <c r="B2491" s="4">
        <v>36600</v>
      </c>
      <c r="C2491" s="5">
        <v>750</v>
      </c>
      <c r="D2491" s="5">
        <v>48</v>
      </c>
      <c r="E2491" s="5">
        <v>45</v>
      </c>
      <c r="F2491" t="s" s="2">
        <v>1746</v>
      </c>
      <c r="G2491" t="s" s="2">
        <v>4151</v>
      </c>
      <c r="H2491" s="5">
        <v>730</v>
      </c>
      <c r="I2491" t="s" s="2">
        <v>843</v>
      </c>
      <c r="J2491" t="s" s="2">
        <v>22</v>
      </c>
      <c r="K2491" t="s" s="2">
        <v>4814</v>
      </c>
      <c r="L2491" t="s" s="2">
        <v>481</v>
      </c>
      <c r="M2491" s="5">
        <v>575030.46</v>
      </c>
      <c r="N2491" s="5">
        <v>6276273.28</v>
      </c>
      <c r="O2491" t="s" s="2">
        <v>305</v>
      </c>
      <c r="P2491" s="5">
        <v>95136</v>
      </c>
      <c r="Q2491" t="s" s="2">
        <v>4154</v>
      </c>
      <c r="R2491" t="s" s="2">
        <f>_xlfn.IFERROR(INDEX('model_byCAP'!$D$2:$D$377,MATCH(Q2491,'model_byCAP'!$A$2:$A$377,0)),0)</f>
        <v>4047</v>
      </c>
    </row>
    <row r="2492" ht="15.35" customHeight="1">
      <c r="A2492" t="s" s="2">
        <v>4815</v>
      </c>
      <c r="B2492" s="4">
        <v>36600</v>
      </c>
      <c r="C2492" s="5">
        <v>750</v>
      </c>
      <c r="D2492" s="5">
        <v>48</v>
      </c>
      <c r="E2492" s="5">
        <v>45</v>
      </c>
      <c r="F2492" t="s" s="2">
        <v>1746</v>
      </c>
      <c r="G2492" t="s" s="2">
        <v>4151</v>
      </c>
      <c r="H2492" s="5">
        <v>730</v>
      </c>
      <c r="I2492" t="s" s="2">
        <v>843</v>
      </c>
      <c r="J2492" t="s" s="2">
        <v>22</v>
      </c>
      <c r="K2492" t="s" s="2">
        <v>4814</v>
      </c>
      <c r="L2492" t="s" s="2">
        <v>481</v>
      </c>
      <c r="M2492" s="5">
        <v>575051.61</v>
      </c>
      <c r="N2492" s="5">
        <v>6276031.29</v>
      </c>
      <c r="O2492" t="s" s="2">
        <v>305</v>
      </c>
      <c r="P2492" s="5">
        <v>95136</v>
      </c>
      <c r="Q2492" t="s" s="2">
        <v>4154</v>
      </c>
      <c r="R2492" t="s" s="2">
        <f>_xlfn.IFERROR(INDEX('model_byCAP'!$D$2:$D$377,MATCH(Q2492,'model_byCAP'!$A$2:$A$377,0)),0)</f>
        <v>4047</v>
      </c>
    </row>
    <row r="2493" ht="15.35" customHeight="1">
      <c r="A2493" t="s" s="2">
        <v>4816</v>
      </c>
      <c r="B2493" s="4">
        <v>36600</v>
      </c>
      <c r="C2493" s="5">
        <v>750</v>
      </c>
      <c r="D2493" s="5">
        <v>48.2</v>
      </c>
      <c r="E2493" s="5">
        <v>45</v>
      </c>
      <c r="F2493" t="s" s="2">
        <v>1746</v>
      </c>
      <c r="G2493" t="s" s="2">
        <v>4151</v>
      </c>
      <c r="H2493" s="5">
        <v>730</v>
      </c>
      <c r="I2493" t="s" s="2">
        <v>843</v>
      </c>
      <c r="J2493" t="s" s="2">
        <v>22</v>
      </c>
      <c r="K2493" t="s" s="2">
        <v>4811</v>
      </c>
      <c r="L2493" t="s" s="2">
        <v>1161</v>
      </c>
      <c r="M2493" s="5">
        <v>575069.38</v>
      </c>
      <c r="N2493" s="5">
        <v>6275788.99</v>
      </c>
      <c r="O2493" t="s" s="2">
        <v>305</v>
      </c>
      <c r="P2493" s="5">
        <v>95136</v>
      </c>
      <c r="Q2493" t="s" s="2">
        <v>4154</v>
      </c>
      <c r="R2493" t="s" s="2">
        <f>_xlfn.IFERROR(INDEX('model_byCAP'!$D$2:$D$377,MATCH(Q2493,'model_byCAP'!$A$2:$A$377,0)),0)</f>
        <v>4047</v>
      </c>
    </row>
    <row r="2494" ht="15.35" customHeight="1">
      <c r="A2494" t="s" s="2">
        <v>4817</v>
      </c>
      <c r="B2494" s="4">
        <v>36517</v>
      </c>
      <c r="C2494" s="5">
        <v>750</v>
      </c>
      <c r="D2494" s="5">
        <v>48.2</v>
      </c>
      <c r="E2494" s="5">
        <v>45</v>
      </c>
      <c r="F2494" t="s" s="2">
        <v>1746</v>
      </c>
      <c r="G2494" t="s" s="2">
        <v>4168</v>
      </c>
      <c r="H2494" s="5">
        <v>730</v>
      </c>
      <c r="I2494" t="s" s="2">
        <v>843</v>
      </c>
      <c r="J2494" t="s" s="2">
        <v>22</v>
      </c>
      <c r="K2494" t="s" s="2">
        <v>4818</v>
      </c>
      <c r="L2494" t="s" s="2">
        <v>1198</v>
      </c>
      <c r="M2494" s="5">
        <v>561998.0600000001</v>
      </c>
      <c r="N2494" s="5">
        <v>6250934.36</v>
      </c>
      <c r="O2494" t="s" s="2">
        <v>305</v>
      </c>
      <c r="P2494" s="5">
        <v>95137</v>
      </c>
      <c r="Q2494" t="s" s="2">
        <v>4171</v>
      </c>
      <c r="R2494" t="s" s="2">
        <f>_xlfn.IFERROR(INDEX('model_byCAP'!$D$2:$D$377,MATCH(Q2494,'model_byCAP'!$A$2:$A$377,0)),0)</f>
        <v>4042</v>
      </c>
    </row>
    <row r="2495" ht="15.35" customHeight="1">
      <c r="A2495" t="s" s="2">
        <v>4819</v>
      </c>
      <c r="B2495" s="4">
        <v>36360</v>
      </c>
      <c r="C2495" s="5">
        <v>750</v>
      </c>
      <c r="D2495" s="5">
        <v>48</v>
      </c>
      <c r="E2495" s="5">
        <v>45</v>
      </c>
      <c r="F2495" t="s" s="2">
        <v>1746</v>
      </c>
      <c r="G2495" t="s" s="2">
        <v>4044</v>
      </c>
      <c r="H2495" s="5">
        <v>730</v>
      </c>
      <c r="I2495" t="s" s="2">
        <v>843</v>
      </c>
      <c r="J2495" t="s" s="2">
        <v>22</v>
      </c>
      <c r="K2495" t="s" s="2">
        <v>4820</v>
      </c>
      <c r="L2495" t="s" s="2">
        <v>4318</v>
      </c>
      <c r="M2495" s="5">
        <v>557739.74</v>
      </c>
      <c r="N2495" s="5">
        <v>6262606.44</v>
      </c>
      <c r="O2495" t="s" s="2">
        <v>305</v>
      </c>
      <c r="P2495" s="5">
        <v>95138</v>
      </c>
      <c r="Q2495" t="s" s="2">
        <v>4046</v>
      </c>
      <c r="R2495" t="s" s="2">
        <f>_xlfn.IFERROR(INDEX('model_byCAP'!$D$2:$D$377,MATCH(Q2495,'model_byCAP'!$A$2:$A$377,0)),0)</f>
        <v>4047</v>
      </c>
    </row>
    <row r="2496" ht="15.35" customHeight="1">
      <c r="A2496" t="s" s="2">
        <v>4821</v>
      </c>
      <c r="B2496" s="4">
        <v>36360</v>
      </c>
      <c r="C2496" s="5">
        <v>750</v>
      </c>
      <c r="D2496" s="5">
        <v>48.2</v>
      </c>
      <c r="E2496" s="5">
        <v>45</v>
      </c>
      <c r="F2496" t="s" s="2">
        <v>1746</v>
      </c>
      <c r="G2496" t="s" s="2">
        <v>4541</v>
      </c>
      <c r="H2496" s="5">
        <v>730</v>
      </c>
      <c r="I2496" t="s" s="2">
        <v>843</v>
      </c>
      <c r="J2496" t="s" s="2">
        <v>22</v>
      </c>
      <c r="K2496" t="s" s="2">
        <v>4820</v>
      </c>
      <c r="L2496" t="s" s="2">
        <v>24</v>
      </c>
      <c r="M2496" s="5">
        <v>557727.21</v>
      </c>
      <c r="N2496" s="5">
        <v>6262384.21</v>
      </c>
      <c r="O2496" t="s" s="2">
        <v>305</v>
      </c>
      <c r="P2496" s="5">
        <v>95138</v>
      </c>
      <c r="Q2496" t="s" s="2">
        <v>4543</v>
      </c>
      <c r="R2496" t="s" s="2">
        <f>_xlfn.IFERROR(INDEX('model_byCAP'!$D$2:$D$377,MATCH(Q2496,'model_byCAP'!$A$2:$A$377,0)),0)</f>
        <v>2955</v>
      </c>
    </row>
    <row r="2497" ht="15.35" customHeight="1">
      <c r="A2497" t="s" s="2">
        <v>4822</v>
      </c>
      <c r="B2497" s="4">
        <v>36360</v>
      </c>
      <c r="C2497" s="5">
        <v>750</v>
      </c>
      <c r="D2497" s="5">
        <v>48</v>
      </c>
      <c r="E2497" s="5">
        <v>45</v>
      </c>
      <c r="F2497" t="s" s="2">
        <v>1746</v>
      </c>
      <c r="G2497" t="s" s="2">
        <v>4823</v>
      </c>
      <c r="H2497" s="5">
        <v>730</v>
      </c>
      <c r="I2497" t="s" s="2">
        <v>843</v>
      </c>
      <c r="J2497" t="s" s="2">
        <v>22</v>
      </c>
      <c r="K2497" t="s" s="2">
        <v>4824</v>
      </c>
      <c r="L2497" t="s" s="2">
        <v>1445</v>
      </c>
      <c r="M2497" s="5">
        <v>557972.35</v>
      </c>
      <c r="N2497" s="5">
        <v>6262509.43</v>
      </c>
      <c r="O2497" t="s" s="2">
        <v>305</v>
      </c>
      <c r="P2497" s="5">
        <v>95138</v>
      </c>
      <c r="Q2497" t="s" s="2">
        <v>4825</v>
      </c>
      <c r="R2497" t="s" s="2">
        <f>_xlfn.IFERROR(INDEX('model_byCAP'!$D$2:$D$377,MATCH(Q2497,'model_byCAP'!$A$2:$A$377,0)),0)</f>
        <v>4042</v>
      </c>
    </row>
    <row r="2498" ht="15.35" customHeight="1">
      <c r="A2498" t="s" s="2">
        <v>4826</v>
      </c>
      <c r="B2498" s="4">
        <v>36360</v>
      </c>
      <c r="C2498" s="5">
        <v>750</v>
      </c>
      <c r="D2498" s="5">
        <v>48</v>
      </c>
      <c r="E2498" s="5">
        <v>45</v>
      </c>
      <c r="F2498" t="s" s="2">
        <v>1746</v>
      </c>
      <c r="G2498" t="s" s="2">
        <v>4151</v>
      </c>
      <c r="H2498" s="5">
        <v>730</v>
      </c>
      <c r="I2498" t="s" s="2">
        <v>843</v>
      </c>
      <c r="J2498" t="s" s="2">
        <v>22</v>
      </c>
      <c r="K2498" t="s" s="2">
        <v>4827</v>
      </c>
      <c r="L2498" t="s" s="2">
        <v>987</v>
      </c>
      <c r="M2498" s="5">
        <v>557972.79</v>
      </c>
      <c r="N2498" s="5">
        <v>6262309.07</v>
      </c>
      <c r="O2498" t="s" s="2">
        <v>305</v>
      </c>
      <c r="P2498" s="5">
        <v>95138</v>
      </c>
      <c r="Q2498" t="s" s="2">
        <v>4154</v>
      </c>
      <c r="R2498" t="s" s="2">
        <f>_xlfn.IFERROR(INDEX('model_byCAP'!$D$2:$D$377,MATCH(Q2498,'model_byCAP'!$A$2:$A$377,0)),0)</f>
        <v>4047</v>
      </c>
    </row>
    <row r="2499" ht="15.35" customHeight="1">
      <c r="A2499" t="s" s="2">
        <v>4828</v>
      </c>
      <c r="B2499" s="4">
        <v>36488</v>
      </c>
      <c r="C2499" s="5">
        <v>750</v>
      </c>
      <c r="D2499" s="5">
        <v>48.2</v>
      </c>
      <c r="E2499" s="5">
        <v>45</v>
      </c>
      <c r="F2499" t="s" s="2">
        <v>1746</v>
      </c>
      <c r="G2499" t="s" s="2">
        <v>4829</v>
      </c>
      <c r="H2499" s="5">
        <v>730</v>
      </c>
      <c r="I2499" t="s" s="2">
        <v>843</v>
      </c>
      <c r="J2499" t="s" s="2">
        <v>22</v>
      </c>
      <c r="K2499" t="s" s="2">
        <v>4830</v>
      </c>
      <c r="L2499" t="s" s="2">
        <v>4831</v>
      </c>
      <c r="M2499" s="5">
        <v>577176.26</v>
      </c>
      <c r="N2499" s="5">
        <v>6255664.02</v>
      </c>
      <c r="O2499" t="s" s="2">
        <v>305</v>
      </c>
      <c r="P2499" s="5">
        <v>95139</v>
      </c>
      <c r="Q2499" t="s" s="2">
        <v>4832</v>
      </c>
      <c r="R2499" t="s" s="2">
        <f>_xlfn.IFERROR(INDEX('model_byCAP'!$D$2:$D$377,MATCH(Q2499,'model_byCAP'!$A$2:$A$377,0)),0)</f>
        <v>4042</v>
      </c>
    </row>
    <row r="2500" ht="15.35" customHeight="1">
      <c r="A2500" t="s" s="2">
        <v>4833</v>
      </c>
      <c r="B2500" s="4">
        <v>36488</v>
      </c>
      <c r="C2500" s="5">
        <v>750</v>
      </c>
      <c r="D2500" s="5">
        <v>48</v>
      </c>
      <c r="E2500" s="5">
        <v>45</v>
      </c>
      <c r="F2500" t="s" s="2">
        <v>1746</v>
      </c>
      <c r="G2500" t="s" s="2">
        <v>4044</v>
      </c>
      <c r="H2500" s="5">
        <v>730</v>
      </c>
      <c r="I2500" t="s" s="2">
        <v>843</v>
      </c>
      <c r="J2500" t="s" s="2">
        <v>22</v>
      </c>
      <c r="K2500" t="s" s="2">
        <v>4830</v>
      </c>
      <c r="L2500" t="s" s="2">
        <v>4834</v>
      </c>
      <c r="M2500" s="5">
        <v>577149.58</v>
      </c>
      <c r="N2500" s="5">
        <v>6255861.96</v>
      </c>
      <c r="O2500" t="s" s="2">
        <v>305</v>
      </c>
      <c r="P2500" s="5">
        <v>95139</v>
      </c>
      <c r="Q2500" t="s" s="2">
        <v>4046</v>
      </c>
      <c r="R2500" t="s" s="2">
        <f>_xlfn.IFERROR(INDEX('model_byCAP'!$D$2:$D$377,MATCH(Q2500,'model_byCAP'!$A$2:$A$377,0)),0)</f>
        <v>4047</v>
      </c>
    </row>
    <row r="2501" ht="15.35" customHeight="1">
      <c r="A2501" t="s" s="2">
        <v>4835</v>
      </c>
      <c r="B2501" s="4">
        <v>36488</v>
      </c>
      <c r="C2501" s="5">
        <v>750</v>
      </c>
      <c r="D2501" s="5">
        <v>48.2</v>
      </c>
      <c r="E2501" s="5">
        <v>45</v>
      </c>
      <c r="F2501" t="s" s="2">
        <v>1746</v>
      </c>
      <c r="G2501" t="s" s="2">
        <v>4044</v>
      </c>
      <c r="H2501" s="5">
        <v>730</v>
      </c>
      <c r="I2501" t="s" s="2">
        <v>843</v>
      </c>
      <c r="J2501" t="s" s="2">
        <v>22</v>
      </c>
      <c r="K2501" t="s" s="2">
        <v>4830</v>
      </c>
      <c r="L2501" t="s" s="2">
        <v>1271</v>
      </c>
      <c r="M2501" s="5">
        <v>577122.6</v>
      </c>
      <c r="N2501" s="5">
        <v>6256059.81</v>
      </c>
      <c r="O2501" t="s" s="2">
        <v>305</v>
      </c>
      <c r="P2501" s="5">
        <v>95139</v>
      </c>
      <c r="Q2501" t="s" s="2">
        <v>4046</v>
      </c>
      <c r="R2501" t="s" s="2">
        <f>_xlfn.IFERROR(INDEX('model_byCAP'!$D$2:$D$377,MATCH(Q2501,'model_byCAP'!$A$2:$A$377,0)),0)</f>
        <v>4047</v>
      </c>
    </row>
    <row r="2502" ht="15.35" customHeight="1">
      <c r="A2502" t="s" s="2">
        <v>4836</v>
      </c>
      <c r="B2502" s="4">
        <v>36515</v>
      </c>
      <c r="C2502" s="5">
        <v>750</v>
      </c>
      <c r="D2502" s="5">
        <v>48</v>
      </c>
      <c r="E2502" s="5">
        <v>45</v>
      </c>
      <c r="F2502" t="s" s="2">
        <v>1746</v>
      </c>
      <c r="G2502" t="s" s="2">
        <v>4044</v>
      </c>
      <c r="H2502" s="5">
        <v>730</v>
      </c>
      <c r="I2502" t="s" s="2">
        <v>843</v>
      </c>
      <c r="J2502" t="s" s="2">
        <v>22</v>
      </c>
      <c r="K2502" t="s" s="2">
        <v>4837</v>
      </c>
      <c r="L2502" t="s" s="2">
        <v>524</v>
      </c>
      <c r="M2502" s="5">
        <v>569393.49</v>
      </c>
      <c r="N2502" s="5">
        <v>6260515.46</v>
      </c>
      <c r="O2502" t="s" s="2">
        <v>305</v>
      </c>
      <c r="P2502" s="5">
        <v>95140</v>
      </c>
      <c r="Q2502" t="s" s="2">
        <v>4046</v>
      </c>
      <c r="R2502" t="s" s="2">
        <f>_xlfn.IFERROR(INDEX('model_byCAP'!$D$2:$D$377,MATCH(Q2502,'model_byCAP'!$A$2:$A$377,0)),0)</f>
        <v>4047</v>
      </c>
    </row>
    <row r="2503" ht="15.35" customHeight="1">
      <c r="A2503" t="s" s="2">
        <v>4838</v>
      </c>
      <c r="B2503" s="4">
        <v>36606</v>
      </c>
      <c r="C2503" s="5">
        <v>750</v>
      </c>
      <c r="D2503" s="5">
        <v>48</v>
      </c>
      <c r="E2503" s="5">
        <v>45</v>
      </c>
      <c r="F2503" t="s" s="2">
        <v>1746</v>
      </c>
      <c r="G2503" t="s" s="2">
        <v>4044</v>
      </c>
      <c r="H2503" s="5">
        <v>730</v>
      </c>
      <c r="I2503" t="s" s="2">
        <v>843</v>
      </c>
      <c r="J2503" t="s" s="2">
        <v>22</v>
      </c>
      <c r="K2503" t="s" s="2">
        <v>4818</v>
      </c>
      <c r="L2503" t="s" s="2">
        <v>4839</v>
      </c>
      <c r="M2503" s="5">
        <v>561878.36</v>
      </c>
      <c r="N2503" s="5">
        <v>6250834.18</v>
      </c>
      <c r="O2503" t="s" s="2">
        <v>305</v>
      </c>
      <c r="P2503" s="5">
        <v>95141</v>
      </c>
      <c r="Q2503" t="s" s="2">
        <v>4046</v>
      </c>
      <c r="R2503" t="s" s="2">
        <f>_xlfn.IFERROR(INDEX('model_byCAP'!$D$2:$D$377,MATCH(Q2503,'model_byCAP'!$A$2:$A$377,0)),0)</f>
        <v>4047</v>
      </c>
    </row>
    <row r="2504" ht="15.35" customHeight="1">
      <c r="A2504" t="s" s="2">
        <v>4840</v>
      </c>
      <c r="B2504" s="4">
        <v>36807</v>
      </c>
      <c r="C2504" s="5">
        <v>750</v>
      </c>
      <c r="D2504" s="5">
        <v>48</v>
      </c>
      <c r="E2504" s="5">
        <v>44</v>
      </c>
      <c r="F2504" t="s" s="2">
        <v>1746</v>
      </c>
      <c r="G2504" t="s" s="2">
        <v>4044</v>
      </c>
      <c r="H2504" s="5">
        <v>730</v>
      </c>
      <c r="I2504" t="s" s="2">
        <v>843</v>
      </c>
      <c r="J2504" t="s" s="2">
        <v>22</v>
      </c>
      <c r="K2504" t="s" s="2">
        <v>4841</v>
      </c>
      <c r="L2504" t="s" s="2">
        <v>2078</v>
      </c>
      <c r="M2504" s="5">
        <v>556804.83</v>
      </c>
      <c r="N2504" s="5">
        <v>6254489.63</v>
      </c>
      <c r="O2504" t="s" s="2">
        <v>305</v>
      </c>
      <c r="P2504" s="5">
        <v>95162</v>
      </c>
      <c r="Q2504" t="s" s="2">
        <v>4046</v>
      </c>
      <c r="R2504" t="s" s="2">
        <f>_xlfn.IFERROR(INDEX('model_byCAP'!$D$2:$D$377,MATCH(Q2504,'model_byCAP'!$A$2:$A$377,0)),0)</f>
        <v>4047</v>
      </c>
    </row>
    <row r="2505" ht="15.35" customHeight="1">
      <c r="A2505" t="s" s="2">
        <v>4842</v>
      </c>
      <c r="B2505" s="4">
        <v>36807</v>
      </c>
      <c r="C2505" s="5">
        <v>750</v>
      </c>
      <c r="D2505" s="5">
        <v>48</v>
      </c>
      <c r="E2505" s="5">
        <v>44</v>
      </c>
      <c r="F2505" t="s" s="2">
        <v>1746</v>
      </c>
      <c r="G2505" t="s" s="2">
        <v>4044</v>
      </c>
      <c r="H2505" s="5">
        <v>730</v>
      </c>
      <c r="I2505" t="s" s="2">
        <v>843</v>
      </c>
      <c r="J2505" t="s" s="2">
        <v>22</v>
      </c>
      <c r="K2505" t="s" s="2">
        <v>4841</v>
      </c>
      <c r="L2505" t="s" s="2">
        <v>524</v>
      </c>
      <c r="M2505" s="5">
        <v>556855.29</v>
      </c>
      <c r="N2505" s="5">
        <v>6254296.54</v>
      </c>
      <c r="O2505" t="s" s="2">
        <v>305</v>
      </c>
      <c r="P2505" s="5">
        <v>95163</v>
      </c>
      <c r="Q2505" t="s" s="2">
        <v>4046</v>
      </c>
      <c r="R2505" t="s" s="2">
        <f>_xlfn.IFERROR(INDEX('model_byCAP'!$D$2:$D$377,MATCH(Q2505,'model_byCAP'!$A$2:$A$377,0)),0)</f>
        <v>4047</v>
      </c>
    </row>
    <row r="2506" ht="15.35" customHeight="1">
      <c r="A2506" t="s" s="2">
        <v>4843</v>
      </c>
      <c r="B2506" s="4">
        <v>36807</v>
      </c>
      <c r="C2506" s="5">
        <v>750</v>
      </c>
      <c r="D2506" s="5">
        <v>48</v>
      </c>
      <c r="E2506" s="5">
        <v>44</v>
      </c>
      <c r="F2506" t="s" s="2">
        <v>1746</v>
      </c>
      <c r="G2506" t="s" s="2">
        <v>4044</v>
      </c>
      <c r="H2506" s="5">
        <v>730</v>
      </c>
      <c r="I2506" t="s" s="2">
        <v>843</v>
      </c>
      <c r="J2506" t="s" s="2">
        <v>22</v>
      </c>
      <c r="K2506" t="s" s="2">
        <v>4841</v>
      </c>
      <c r="L2506" t="s" s="2">
        <v>524</v>
      </c>
      <c r="M2506" s="5">
        <v>556907</v>
      </c>
      <c r="N2506" s="5">
        <v>6254102.18</v>
      </c>
      <c r="O2506" t="s" s="2">
        <v>305</v>
      </c>
      <c r="P2506" s="5">
        <v>95164</v>
      </c>
      <c r="Q2506" t="s" s="2">
        <v>4046</v>
      </c>
      <c r="R2506" t="s" s="2">
        <f>_xlfn.IFERROR(INDEX('model_byCAP'!$D$2:$D$377,MATCH(Q2506,'model_byCAP'!$A$2:$A$377,0)),0)</f>
        <v>4047</v>
      </c>
    </row>
    <row r="2507" ht="15.35" customHeight="1">
      <c r="A2507" t="s" s="2">
        <v>4844</v>
      </c>
      <c r="B2507" s="4">
        <v>36329</v>
      </c>
      <c r="C2507" s="5">
        <v>750</v>
      </c>
      <c r="D2507" s="5">
        <v>48.2</v>
      </c>
      <c r="E2507" s="5">
        <v>43.6</v>
      </c>
      <c r="F2507" t="s" s="2">
        <v>1746</v>
      </c>
      <c r="G2507" t="s" s="2">
        <v>4168</v>
      </c>
      <c r="H2507" s="5">
        <v>746</v>
      </c>
      <c r="I2507" t="s" s="2">
        <v>902</v>
      </c>
      <c r="J2507" t="s" s="2">
        <v>22</v>
      </c>
      <c r="K2507" t="s" s="2">
        <v>4845</v>
      </c>
      <c r="L2507" t="s" s="2">
        <v>1216</v>
      </c>
      <c r="M2507" s="5">
        <v>567416.28</v>
      </c>
      <c r="N2507" s="5">
        <v>6214281.28</v>
      </c>
      <c r="O2507" t="s" s="2">
        <v>305</v>
      </c>
      <c r="P2507" s="5">
        <v>90027</v>
      </c>
      <c r="Q2507" t="s" s="2">
        <v>4171</v>
      </c>
      <c r="R2507" t="s" s="2">
        <f>_xlfn.IFERROR(INDEX('model_byCAP'!$D$2:$D$377,MATCH(Q2507,'model_byCAP'!$A$2:$A$377,0)),0)</f>
        <v>4042</v>
      </c>
    </row>
    <row r="2508" ht="15.35" customHeight="1">
      <c r="A2508" t="s" s="2">
        <v>4846</v>
      </c>
      <c r="B2508" s="4">
        <v>36329</v>
      </c>
      <c r="C2508" s="5">
        <v>750</v>
      </c>
      <c r="D2508" s="5">
        <v>48</v>
      </c>
      <c r="E2508" s="5">
        <v>45</v>
      </c>
      <c r="F2508" t="s" s="2">
        <v>1746</v>
      </c>
      <c r="G2508" t="s" s="2">
        <v>4168</v>
      </c>
      <c r="H2508" s="5">
        <v>746</v>
      </c>
      <c r="I2508" t="s" s="2">
        <v>902</v>
      </c>
      <c r="J2508" t="s" s="2">
        <v>22</v>
      </c>
      <c r="K2508" t="s" s="2">
        <v>4845</v>
      </c>
      <c r="L2508" t="s" s="2">
        <v>856</v>
      </c>
      <c r="M2508" s="5">
        <v>567327.51</v>
      </c>
      <c r="N2508" s="5">
        <v>6214403.05</v>
      </c>
      <c r="O2508" t="s" s="2">
        <v>305</v>
      </c>
      <c r="P2508" s="5">
        <v>90027</v>
      </c>
      <c r="Q2508" t="s" s="2">
        <v>4171</v>
      </c>
      <c r="R2508" t="s" s="2">
        <f>_xlfn.IFERROR(INDEX('model_byCAP'!$D$2:$D$377,MATCH(Q2508,'model_byCAP'!$A$2:$A$377,0)),0)</f>
        <v>4042</v>
      </c>
    </row>
    <row r="2509" ht="15.35" customHeight="1">
      <c r="A2509" t="s" s="2">
        <v>4847</v>
      </c>
      <c r="B2509" s="4">
        <v>36329</v>
      </c>
      <c r="C2509" s="5">
        <v>750</v>
      </c>
      <c r="D2509" s="5">
        <v>48.2</v>
      </c>
      <c r="E2509" s="5">
        <v>45</v>
      </c>
      <c r="F2509" t="s" s="2">
        <v>1746</v>
      </c>
      <c r="G2509" t="s" s="2">
        <v>4168</v>
      </c>
      <c r="H2509" s="5">
        <v>746</v>
      </c>
      <c r="I2509" t="s" s="2">
        <v>902</v>
      </c>
      <c r="J2509" t="s" s="2">
        <v>22</v>
      </c>
      <c r="K2509" t="s" s="2">
        <v>4845</v>
      </c>
      <c r="L2509" t="s" s="2">
        <v>1504</v>
      </c>
      <c r="M2509" s="5">
        <v>567239.61</v>
      </c>
      <c r="N2509" s="5">
        <v>6214524.83</v>
      </c>
      <c r="O2509" t="s" s="2">
        <v>305</v>
      </c>
      <c r="P2509" s="5">
        <v>90027</v>
      </c>
      <c r="Q2509" t="s" s="2">
        <v>4171</v>
      </c>
      <c r="R2509" t="s" s="2">
        <f>_xlfn.IFERROR(INDEX('model_byCAP'!$D$2:$D$377,MATCH(Q2509,'model_byCAP'!$A$2:$A$377,0)),0)</f>
        <v>4042</v>
      </c>
    </row>
    <row r="2510" ht="15.35" customHeight="1">
      <c r="A2510" t="s" s="2">
        <v>4848</v>
      </c>
      <c r="B2510" s="4">
        <v>36713</v>
      </c>
      <c r="C2510" s="5">
        <v>750</v>
      </c>
      <c r="D2510" s="5">
        <v>48</v>
      </c>
      <c r="E2510" s="5">
        <v>45</v>
      </c>
      <c r="F2510" t="s" s="2">
        <v>1746</v>
      </c>
      <c r="G2510" t="s" s="2">
        <v>4044</v>
      </c>
      <c r="H2510" s="5">
        <v>751</v>
      </c>
      <c r="I2510" t="s" s="2">
        <v>4849</v>
      </c>
      <c r="J2510" t="s" s="2">
        <v>22</v>
      </c>
      <c r="K2510" t="s" s="2">
        <v>4850</v>
      </c>
      <c r="L2510" t="s" s="2">
        <v>2078</v>
      </c>
      <c r="M2510" s="5">
        <v>578001.78</v>
      </c>
      <c r="N2510" s="5">
        <v>6236997.3</v>
      </c>
      <c r="O2510" t="s" s="2">
        <v>305</v>
      </c>
      <c r="P2510" s="5">
        <v>2012131</v>
      </c>
      <c r="Q2510" t="s" s="2">
        <v>4046</v>
      </c>
      <c r="R2510" t="s" s="2">
        <f>_xlfn.IFERROR(INDEX('model_byCAP'!$D$2:$D$377,MATCH(Q2510,'model_byCAP'!$A$2:$A$377,0)),0)</f>
        <v>4047</v>
      </c>
    </row>
    <row r="2511" ht="15.35" customHeight="1">
      <c r="A2511" t="s" s="2">
        <v>4851</v>
      </c>
      <c r="B2511" s="4">
        <v>36713</v>
      </c>
      <c r="C2511" s="5">
        <v>750</v>
      </c>
      <c r="D2511" s="5">
        <v>48</v>
      </c>
      <c r="E2511" s="5">
        <v>45</v>
      </c>
      <c r="F2511" t="s" s="2">
        <v>1746</v>
      </c>
      <c r="G2511" t="s" s="2">
        <v>4044</v>
      </c>
      <c r="H2511" s="5">
        <v>751</v>
      </c>
      <c r="I2511" t="s" s="2">
        <v>4849</v>
      </c>
      <c r="J2511" t="s" s="2">
        <v>22</v>
      </c>
      <c r="K2511" t="s" s="2">
        <v>4852</v>
      </c>
      <c r="L2511" t="s" s="2">
        <v>2348</v>
      </c>
      <c r="M2511" s="5">
        <v>577457.77</v>
      </c>
      <c r="N2511" s="5">
        <v>6237190.17</v>
      </c>
      <c r="O2511" t="s" s="2">
        <v>305</v>
      </c>
      <c r="P2511" s="5">
        <v>2012132</v>
      </c>
      <c r="Q2511" t="s" s="2">
        <v>4046</v>
      </c>
      <c r="R2511" t="s" s="2">
        <f>_xlfn.IFERROR(INDEX('model_byCAP'!$D$2:$D$377,MATCH(Q2511,'model_byCAP'!$A$2:$A$377,0)),0)</f>
        <v>4047</v>
      </c>
    </row>
    <row r="2512" ht="15.35" customHeight="1">
      <c r="A2512" t="s" s="2">
        <v>4853</v>
      </c>
      <c r="B2512" s="4">
        <v>36713</v>
      </c>
      <c r="C2512" s="5">
        <v>750</v>
      </c>
      <c r="D2512" s="5">
        <v>48</v>
      </c>
      <c r="E2512" s="5">
        <v>45</v>
      </c>
      <c r="F2512" t="s" s="2">
        <v>1746</v>
      </c>
      <c r="G2512" t="s" s="2">
        <v>4044</v>
      </c>
      <c r="H2512" s="5">
        <v>751</v>
      </c>
      <c r="I2512" t="s" s="2">
        <v>4849</v>
      </c>
      <c r="J2512" t="s" s="2">
        <v>22</v>
      </c>
      <c r="K2512" t="s" s="2">
        <v>4852</v>
      </c>
      <c r="L2512" t="s" s="2">
        <v>1611</v>
      </c>
      <c r="M2512" s="5">
        <v>577275.97</v>
      </c>
      <c r="N2512" s="5">
        <v>6237254.98</v>
      </c>
      <c r="O2512" t="s" s="2">
        <v>305</v>
      </c>
      <c r="P2512" s="5">
        <v>2012133</v>
      </c>
      <c r="Q2512" t="s" s="2">
        <v>4046</v>
      </c>
      <c r="R2512" t="s" s="2">
        <f>_xlfn.IFERROR(INDEX('model_byCAP'!$D$2:$D$377,MATCH(Q2512,'model_byCAP'!$A$2:$A$377,0)),0)</f>
        <v>4047</v>
      </c>
    </row>
    <row r="2513" ht="15.35" customHeight="1">
      <c r="A2513" t="s" s="2">
        <v>4854</v>
      </c>
      <c r="B2513" s="4">
        <v>37204</v>
      </c>
      <c r="C2513" s="5">
        <v>750</v>
      </c>
      <c r="D2513" s="5">
        <v>48.2</v>
      </c>
      <c r="E2513" s="5">
        <v>45</v>
      </c>
      <c r="F2513" t="s" s="2">
        <v>1746</v>
      </c>
      <c r="G2513" t="s" s="2">
        <v>4151</v>
      </c>
      <c r="H2513" s="5">
        <v>751</v>
      </c>
      <c r="I2513" t="s" s="2">
        <v>4849</v>
      </c>
      <c r="J2513" t="s" s="2">
        <v>22</v>
      </c>
      <c r="K2513" t="s" s="2">
        <v>4855</v>
      </c>
      <c r="L2513" t="s" s="2">
        <v>2348</v>
      </c>
      <c r="M2513" s="5">
        <v>577820.73</v>
      </c>
      <c r="N2513" s="5">
        <v>6237061.24</v>
      </c>
      <c r="O2513" t="s" s="2">
        <v>305</v>
      </c>
      <c r="P2513" s="5">
        <v>2002431</v>
      </c>
      <c r="Q2513" t="s" s="2">
        <v>4154</v>
      </c>
      <c r="R2513" t="s" s="2">
        <f>_xlfn.IFERROR(INDEX('model_byCAP'!$D$2:$D$377,MATCH(Q2513,'model_byCAP'!$A$2:$A$377,0)),0)</f>
        <v>4047</v>
      </c>
    </row>
    <row r="2514" ht="15.35" customHeight="1">
      <c r="A2514" t="s" s="2">
        <v>4856</v>
      </c>
      <c r="B2514" s="4">
        <v>37204</v>
      </c>
      <c r="C2514" s="5">
        <v>750</v>
      </c>
      <c r="D2514" s="5">
        <v>48.2</v>
      </c>
      <c r="E2514" s="5">
        <v>45</v>
      </c>
      <c r="F2514" t="s" s="2">
        <v>1746</v>
      </c>
      <c r="G2514" t="s" s="2">
        <v>4151</v>
      </c>
      <c r="H2514" s="5">
        <v>751</v>
      </c>
      <c r="I2514" t="s" s="2">
        <v>4849</v>
      </c>
      <c r="J2514" t="s" s="2">
        <v>22</v>
      </c>
      <c r="K2514" t="s" s="2">
        <v>4855</v>
      </c>
      <c r="L2514" t="s" s="2">
        <v>2348</v>
      </c>
      <c r="M2514" s="5">
        <v>577639.21</v>
      </c>
      <c r="N2514" s="5">
        <v>6237125.87</v>
      </c>
      <c r="O2514" t="s" s="2">
        <v>305</v>
      </c>
      <c r="P2514" s="5">
        <v>2002441</v>
      </c>
      <c r="Q2514" t="s" s="2">
        <v>4154</v>
      </c>
      <c r="R2514" t="s" s="2">
        <f>_xlfn.IFERROR(INDEX('model_byCAP'!$D$2:$D$377,MATCH(Q2514,'model_byCAP'!$A$2:$A$377,0)),0)</f>
        <v>4047</v>
      </c>
    </row>
    <row r="2515" ht="15.35" customHeight="1">
      <c r="A2515" t="s" s="2">
        <v>4857</v>
      </c>
      <c r="B2515" s="4">
        <v>36096</v>
      </c>
      <c r="C2515" s="5">
        <v>750</v>
      </c>
      <c r="D2515" s="5">
        <v>48</v>
      </c>
      <c r="E2515" s="5">
        <v>45</v>
      </c>
      <c r="F2515" t="s" s="2">
        <v>301</v>
      </c>
      <c r="G2515" t="s" s="2">
        <v>4858</v>
      </c>
      <c r="H2515" s="5">
        <v>766</v>
      </c>
      <c r="I2515" t="s" s="2">
        <v>3363</v>
      </c>
      <c r="J2515" t="s" s="2">
        <v>22</v>
      </c>
      <c r="K2515" t="s" s="2">
        <v>4859</v>
      </c>
      <c r="L2515" t="s" s="2">
        <v>3355</v>
      </c>
      <c r="M2515" s="5">
        <v>560306.73</v>
      </c>
      <c r="N2515" s="5">
        <v>6181756.96</v>
      </c>
      <c r="O2515" t="s" s="2">
        <v>305</v>
      </c>
      <c r="P2515" s="5">
        <v>300141</v>
      </c>
      <c r="Q2515" t="s" s="2">
        <v>4860</v>
      </c>
      <c r="R2515" t="s" s="2">
        <f>_xlfn.IFERROR(INDEX('model_byCAP'!$D$2:$D$377,MATCH(Q2515,'model_byCAP'!$A$2:$A$377,0)),0)</f>
        <v>4861</v>
      </c>
    </row>
    <row r="2516" ht="15.35" customHeight="1">
      <c r="A2516" t="s" s="2">
        <v>4862</v>
      </c>
      <c r="B2516" s="4">
        <v>36105</v>
      </c>
      <c r="C2516" s="5">
        <v>750</v>
      </c>
      <c r="D2516" s="5">
        <v>48</v>
      </c>
      <c r="E2516" s="5">
        <v>45</v>
      </c>
      <c r="F2516" t="s" s="2">
        <v>1746</v>
      </c>
      <c r="G2516" t="s" s="2">
        <v>4151</v>
      </c>
      <c r="H2516" s="5">
        <v>766</v>
      </c>
      <c r="I2516" t="s" s="2">
        <v>3363</v>
      </c>
      <c r="J2516" t="s" s="2">
        <v>22</v>
      </c>
      <c r="K2516" t="s" s="2">
        <v>4863</v>
      </c>
      <c r="L2516" t="s" s="2">
        <v>1611</v>
      </c>
      <c r="M2516" s="5">
        <v>551798.08</v>
      </c>
      <c r="N2516" s="5">
        <v>6178400.56</v>
      </c>
      <c r="O2516" t="s" s="2">
        <v>305</v>
      </c>
      <c r="P2516" s="5">
        <v>300171</v>
      </c>
      <c r="Q2516" t="s" s="2">
        <v>4154</v>
      </c>
      <c r="R2516" t="s" s="2">
        <f>_xlfn.IFERROR(INDEX('model_byCAP'!$D$2:$D$377,MATCH(Q2516,'model_byCAP'!$A$2:$A$377,0)),0)</f>
        <v>4047</v>
      </c>
    </row>
    <row r="2517" ht="15.35" customHeight="1">
      <c r="A2517" t="s" s="2">
        <v>4864</v>
      </c>
      <c r="B2517" s="4">
        <v>36871</v>
      </c>
      <c r="C2517" s="5">
        <v>750</v>
      </c>
      <c r="D2517" s="5">
        <v>48</v>
      </c>
      <c r="E2517" s="5">
        <v>45</v>
      </c>
      <c r="F2517" t="s" s="2">
        <v>1746</v>
      </c>
      <c r="G2517" t="s" s="2">
        <v>4050</v>
      </c>
      <c r="H2517" s="5">
        <v>766</v>
      </c>
      <c r="I2517" t="s" s="2">
        <v>3363</v>
      </c>
      <c r="J2517" t="s" s="2">
        <v>22</v>
      </c>
      <c r="K2517" t="s" s="2">
        <v>4865</v>
      </c>
      <c r="L2517" t="s" s="2">
        <v>394</v>
      </c>
      <c r="M2517" s="5">
        <v>555978.86</v>
      </c>
      <c r="N2517" s="5">
        <v>6182080.73</v>
      </c>
      <c r="O2517" t="s" s="2">
        <v>305</v>
      </c>
      <c r="P2517" s="5">
        <v>300261</v>
      </c>
      <c r="Q2517" t="s" s="2">
        <v>4053</v>
      </c>
      <c r="R2517" t="s" s="2">
        <f>_xlfn.IFERROR(INDEX('model_byCAP'!$D$2:$D$377,MATCH(Q2517,'model_byCAP'!$A$2:$A$377,0)),0)</f>
        <v>2955</v>
      </c>
    </row>
    <row r="2518" ht="15.35" customHeight="1">
      <c r="A2518" t="s" s="2">
        <v>4866</v>
      </c>
      <c r="B2518" s="4">
        <v>36110</v>
      </c>
      <c r="C2518" s="5">
        <v>750</v>
      </c>
      <c r="D2518" s="5">
        <v>48</v>
      </c>
      <c r="E2518" s="5">
        <v>45</v>
      </c>
      <c r="F2518" t="s" s="2">
        <v>1746</v>
      </c>
      <c r="G2518" t="s" s="2">
        <v>4050</v>
      </c>
      <c r="H2518" s="5">
        <v>766</v>
      </c>
      <c r="I2518" t="s" s="2">
        <v>3363</v>
      </c>
      <c r="J2518" t="s" s="2">
        <v>22</v>
      </c>
      <c r="K2518" t="s" s="2">
        <v>4865</v>
      </c>
      <c r="L2518" t="s" s="2">
        <v>394</v>
      </c>
      <c r="M2518" s="5">
        <v>556450.15</v>
      </c>
      <c r="N2518" s="5">
        <v>6182162.01</v>
      </c>
      <c r="O2518" t="s" s="2">
        <v>305</v>
      </c>
      <c r="P2518" s="5">
        <v>300181</v>
      </c>
      <c r="Q2518" t="s" s="2">
        <v>4053</v>
      </c>
      <c r="R2518" t="s" s="2">
        <f>_xlfn.IFERROR(INDEX('model_byCAP'!$D$2:$D$377,MATCH(Q2518,'model_byCAP'!$A$2:$A$377,0)),0)</f>
        <v>2955</v>
      </c>
    </row>
    <row r="2519" ht="15.35" customHeight="1">
      <c r="A2519" t="s" s="2">
        <v>4867</v>
      </c>
      <c r="B2519" s="4">
        <v>36430</v>
      </c>
      <c r="C2519" s="5">
        <v>750</v>
      </c>
      <c r="D2519" s="5">
        <v>48</v>
      </c>
      <c r="E2519" s="5">
        <v>45</v>
      </c>
      <c r="F2519" t="s" s="2">
        <v>1746</v>
      </c>
      <c r="G2519" t="s" s="2">
        <v>4151</v>
      </c>
      <c r="H2519" s="5">
        <v>766</v>
      </c>
      <c r="I2519" t="s" s="2">
        <v>3363</v>
      </c>
      <c r="J2519" t="s" s="2">
        <v>22</v>
      </c>
      <c r="K2519" t="s" s="2">
        <v>4868</v>
      </c>
      <c r="L2519" t="s" s="2">
        <v>492</v>
      </c>
      <c r="M2519" s="5">
        <v>560543.4300000001</v>
      </c>
      <c r="N2519" s="5">
        <v>6181408.17</v>
      </c>
      <c r="O2519" t="s" s="2">
        <v>305</v>
      </c>
      <c r="P2519" s="5">
        <v>300221</v>
      </c>
      <c r="Q2519" t="s" s="2">
        <v>4154</v>
      </c>
      <c r="R2519" t="s" s="2">
        <f>_xlfn.IFERROR(INDEX('model_byCAP'!$D$2:$D$377,MATCH(Q2519,'model_byCAP'!$A$2:$A$377,0)),0)</f>
        <v>4047</v>
      </c>
    </row>
    <row r="2520" ht="15.35" customHeight="1">
      <c r="A2520" t="s" s="2">
        <v>4869</v>
      </c>
      <c r="B2520" s="4">
        <v>36110</v>
      </c>
      <c r="C2520" s="5">
        <v>750</v>
      </c>
      <c r="D2520" s="5">
        <v>48</v>
      </c>
      <c r="E2520" s="5">
        <v>45</v>
      </c>
      <c r="F2520" t="s" s="2">
        <v>1746</v>
      </c>
      <c r="G2520" t="s" s="2">
        <v>4050</v>
      </c>
      <c r="H2520" s="5">
        <v>766</v>
      </c>
      <c r="I2520" t="s" s="2">
        <v>3363</v>
      </c>
      <c r="J2520" t="s" s="2">
        <v>22</v>
      </c>
      <c r="K2520" t="s" s="2">
        <v>4865</v>
      </c>
      <c r="L2520" t="s" s="2">
        <v>394</v>
      </c>
      <c r="M2520" s="5">
        <v>556213.46</v>
      </c>
      <c r="N2520" s="5">
        <v>6182121.88</v>
      </c>
      <c r="O2520" t="s" s="2">
        <v>305</v>
      </c>
      <c r="P2520" s="5">
        <v>300191</v>
      </c>
      <c r="Q2520" t="s" s="2">
        <v>4053</v>
      </c>
      <c r="R2520" t="s" s="2">
        <f>_xlfn.IFERROR(INDEX('model_byCAP'!$D$2:$D$377,MATCH(Q2520,'model_byCAP'!$A$2:$A$377,0)),0)</f>
        <v>2955</v>
      </c>
    </row>
    <row r="2521" ht="15.35" customHeight="1">
      <c r="A2521" t="s" s="2">
        <v>4870</v>
      </c>
      <c r="B2521" s="4">
        <v>36687</v>
      </c>
      <c r="C2521" s="5">
        <v>750</v>
      </c>
      <c r="D2521" s="5">
        <v>48</v>
      </c>
      <c r="E2521" s="5">
        <v>50</v>
      </c>
      <c r="F2521" t="s" s="2">
        <v>1746</v>
      </c>
      <c r="G2521" t="s" s="2">
        <v>4044</v>
      </c>
      <c r="H2521" s="5">
        <v>766</v>
      </c>
      <c r="I2521" t="s" s="2">
        <v>3363</v>
      </c>
      <c r="J2521" t="s" s="2">
        <v>22</v>
      </c>
      <c r="K2521" t="s" s="2">
        <v>4871</v>
      </c>
      <c r="L2521" t="s" s="2">
        <v>992</v>
      </c>
      <c r="M2521" s="5">
        <v>537085.4399999999</v>
      </c>
      <c r="N2521" s="5">
        <v>6195289.68</v>
      </c>
      <c r="O2521" t="s" s="2">
        <v>305</v>
      </c>
      <c r="P2521" s="5">
        <v>1030074</v>
      </c>
      <c r="Q2521" t="s" s="2">
        <v>4046</v>
      </c>
      <c r="R2521" t="s" s="2">
        <f>_xlfn.IFERROR(INDEX('model_byCAP'!$D$2:$D$377,MATCH(Q2521,'model_byCAP'!$A$2:$A$377,0)),0)</f>
        <v>4047</v>
      </c>
    </row>
    <row r="2522" ht="15.35" customHeight="1">
      <c r="A2522" t="s" s="2">
        <v>4872</v>
      </c>
      <c r="B2522" s="4">
        <v>36687</v>
      </c>
      <c r="C2522" s="5">
        <v>750</v>
      </c>
      <c r="D2522" s="5">
        <v>48</v>
      </c>
      <c r="E2522" s="5">
        <v>50</v>
      </c>
      <c r="F2522" t="s" s="2">
        <v>1746</v>
      </c>
      <c r="G2522" t="s" s="2">
        <v>4044</v>
      </c>
      <c r="H2522" s="5">
        <v>766</v>
      </c>
      <c r="I2522" t="s" s="2">
        <v>3363</v>
      </c>
      <c r="J2522" t="s" s="2">
        <v>22</v>
      </c>
      <c r="K2522" t="s" s="2">
        <v>4871</v>
      </c>
      <c r="L2522" t="s" s="2">
        <v>551</v>
      </c>
      <c r="M2522" s="5">
        <v>537239.5</v>
      </c>
      <c r="N2522" s="5">
        <v>6195028</v>
      </c>
      <c r="O2522" t="s" s="2">
        <v>305</v>
      </c>
      <c r="P2522" s="5">
        <v>1030075</v>
      </c>
      <c r="Q2522" t="s" s="2">
        <v>4046</v>
      </c>
      <c r="R2522" t="s" s="2">
        <f>_xlfn.IFERROR(INDEX('model_byCAP'!$D$2:$D$377,MATCH(Q2522,'model_byCAP'!$A$2:$A$377,0)),0)</f>
        <v>4047</v>
      </c>
    </row>
    <row r="2523" ht="15.35" customHeight="1">
      <c r="A2523" t="s" s="2">
        <v>4873</v>
      </c>
      <c r="B2523" s="4">
        <v>36641</v>
      </c>
      <c r="C2523" s="5">
        <v>750</v>
      </c>
      <c r="D2523" s="5">
        <v>48</v>
      </c>
      <c r="E2523" s="5">
        <v>45</v>
      </c>
      <c r="F2523" t="s" s="2">
        <v>1746</v>
      </c>
      <c r="G2523" t="s" s="2">
        <v>4151</v>
      </c>
      <c r="H2523" s="5">
        <v>773</v>
      </c>
      <c r="I2523" t="s" s="2">
        <v>1648</v>
      </c>
      <c r="J2523" t="s" s="2">
        <v>22</v>
      </c>
      <c r="K2523" t="s" s="2">
        <v>4874</v>
      </c>
      <c r="L2523" t="s" s="2">
        <v>1196</v>
      </c>
      <c r="M2523" s="5">
        <v>486020.55</v>
      </c>
      <c r="N2523" s="5">
        <v>6301706.47</v>
      </c>
      <c r="O2523" t="s" s="2">
        <v>305</v>
      </c>
      <c r="P2523" s="5">
        <v>223895</v>
      </c>
      <c r="Q2523" t="s" s="2">
        <v>4154</v>
      </c>
      <c r="R2523" t="s" s="2">
        <f>_xlfn.IFERROR(INDEX('model_byCAP'!$D$2:$D$377,MATCH(Q2523,'model_byCAP'!$A$2:$A$377,0)),0)</f>
        <v>4047</v>
      </c>
    </row>
    <row r="2524" ht="15.35" customHeight="1">
      <c r="A2524" t="s" s="2">
        <v>4875</v>
      </c>
      <c r="B2524" s="4">
        <v>36752</v>
      </c>
      <c r="C2524" s="5">
        <v>750</v>
      </c>
      <c r="D2524" s="5">
        <v>48</v>
      </c>
      <c r="E2524" s="5">
        <v>50</v>
      </c>
      <c r="F2524" t="s" s="2">
        <v>1746</v>
      </c>
      <c r="G2524" t="s" s="2">
        <v>4044</v>
      </c>
      <c r="H2524" s="5">
        <v>773</v>
      </c>
      <c r="I2524" t="s" s="2">
        <v>1648</v>
      </c>
      <c r="J2524" t="s" s="2">
        <v>22</v>
      </c>
      <c r="K2524" t="s" s="2">
        <v>4876</v>
      </c>
      <c r="L2524" t="s" s="2">
        <v>1196</v>
      </c>
      <c r="M2524" s="5">
        <v>486017.19</v>
      </c>
      <c r="N2524" s="5">
        <v>6301906.32</v>
      </c>
      <c r="O2524" t="s" s="2">
        <v>305</v>
      </c>
      <c r="P2524" s="5">
        <v>223951</v>
      </c>
      <c r="Q2524" t="s" s="2">
        <v>4046</v>
      </c>
      <c r="R2524" t="s" s="2">
        <f>_xlfn.IFERROR(INDEX('model_byCAP'!$D$2:$D$377,MATCH(Q2524,'model_byCAP'!$A$2:$A$377,0)),0)</f>
        <v>4047</v>
      </c>
    </row>
    <row r="2525" ht="15.35" customHeight="1">
      <c r="A2525" t="s" s="2">
        <v>4877</v>
      </c>
      <c r="B2525" s="4">
        <v>36531</v>
      </c>
      <c r="C2525" s="5">
        <v>750</v>
      </c>
      <c r="D2525" s="5">
        <v>48</v>
      </c>
      <c r="E2525" s="5">
        <v>45</v>
      </c>
      <c r="F2525" t="s" s="2">
        <v>1746</v>
      </c>
      <c r="G2525" t="s" s="2">
        <v>4044</v>
      </c>
      <c r="H2525" s="5">
        <v>773</v>
      </c>
      <c r="I2525" t="s" s="2">
        <v>1648</v>
      </c>
      <c r="J2525" t="s" s="2">
        <v>22</v>
      </c>
      <c r="K2525" t="s" s="2">
        <v>4878</v>
      </c>
      <c r="L2525" t="s" s="2">
        <v>518</v>
      </c>
      <c r="M2525" s="5">
        <v>488151.24</v>
      </c>
      <c r="N2525" s="5">
        <v>6300226.43</v>
      </c>
      <c r="O2525" t="s" s="2">
        <v>305</v>
      </c>
      <c r="P2525" s="5">
        <v>223988</v>
      </c>
      <c r="Q2525" t="s" s="2">
        <v>4046</v>
      </c>
      <c r="R2525" t="s" s="2">
        <f>_xlfn.IFERROR(INDEX('model_byCAP'!$D$2:$D$377,MATCH(Q2525,'model_byCAP'!$A$2:$A$377,0)),0)</f>
        <v>4047</v>
      </c>
    </row>
    <row r="2526" ht="15.35" customHeight="1">
      <c r="A2526" t="s" s="2">
        <v>4879</v>
      </c>
      <c r="B2526" s="4">
        <v>36536</v>
      </c>
      <c r="C2526" s="5">
        <v>750</v>
      </c>
      <c r="D2526" s="5">
        <v>48</v>
      </c>
      <c r="E2526" s="5">
        <v>48</v>
      </c>
      <c r="F2526" t="s" s="2">
        <v>1746</v>
      </c>
      <c r="G2526" t="s" s="2">
        <v>4044</v>
      </c>
      <c r="H2526" s="5">
        <v>773</v>
      </c>
      <c r="I2526" t="s" s="2">
        <v>1648</v>
      </c>
      <c r="J2526" t="s" s="2">
        <v>22</v>
      </c>
      <c r="K2526" t="s" s="2">
        <v>4880</v>
      </c>
      <c r="L2526" t="s" s="2">
        <v>481</v>
      </c>
      <c r="M2526" s="5">
        <v>476642.91</v>
      </c>
      <c r="N2526" s="5">
        <v>6290112.62</v>
      </c>
      <c r="O2526" t="s" s="2">
        <v>305</v>
      </c>
      <c r="P2526" s="5">
        <v>223989</v>
      </c>
      <c r="Q2526" t="s" s="2">
        <v>4046</v>
      </c>
      <c r="R2526" t="s" s="2">
        <f>_xlfn.IFERROR(INDEX('model_byCAP'!$D$2:$D$377,MATCH(Q2526,'model_byCAP'!$A$2:$A$377,0)),0)</f>
        <v>4047</v>
      </c>
    </row>
    <row r="2527" ht="15.35" customHeight="1">
      <c r="A2527" t="s" s="2">
        <v>4881</v>
      </c>
      <c r="B2527" s="4">
        <v>36536</v>
      </c>
      <c r="C2527" s="5">
        <v>750</v>
      </c>
      <c r="D2527" s="5">
        <v>48</v>
      </c>
      <c r="E2527" s="5">
        <v>48</v>
      </c>
      <c r="F2527" t="s" s="2">
        <v>1746</v>
      </c>
      <c r="G2527" t="s" s="2">
        <v>4044</v>
      </c>
      <c r="H2527" s="5">
        <v>773</v>
      </c>
      <c r="I2527" t="s" s="2">
        <v>1648</v>
      </c>
      <c r="J2527" t="s" s="2">
        <v>22</v>
      </c>
      <c r="K2527" t="s" s="2">
        <v>4880</v>
      </c>
      <c r="L2527" t="s" s="2">
        <v>481</v>
      </c>
      <c r="M2527" s="5">
        <v>476635.35</v>
      </c>
      <c r="N2527" s="5">
        <v>6290312.59</v>
      </c>
      <c r="O2527" t="s" s="2">
        <v>305</v>
      </c>
      <c r="P2527" s="5">
        <v>223990</v>
      </c>
      <c r="Q2527" t="s" s="2">
        <v>4046</v>
      </c>
      <c r="R2527" t="s" s="2">
        <f>_xlfn.IFERROR(INDEX('model_byCAP'!$D$2:$D$377,MATCH(Q2527,'model_byCAP'!$A$2:$A$377,0)),0)</f>
        <v>4047</v>
      </c>
    </row>
    <row r="2528" ht="15.35" customHeight="1">
      <c r="A2528" t="s" s="2">
        <v>4882</v>
      </c>
      <c r="B2528" s="4">
        <v>36458</v>
      </c>
      <c r="C2528" s="5">
        <v>750</v>
      </c>
      <c r="D2528" s="5">
        <v>48</v>
      </c>
      <c r="E2528" s="5">
        <v>50</v>
      </c>
      <c r="F2528" t="s" s="2">
        <v>1746</v>
      </c>
      <c r="G2528" t="s" s="2">
        <v>4044</v>
      </c>
      <c r="H2528" s="5">
        <v>773</v>
      </c>
      <c r="I2528" t="s" s="2">
        <v>1648</v>
      </c>
      <c r="J2528" t="s" s="2">
        <v>22</v>
      </c>
      <c r="K2528" t="s" s="2">
        <v>4880</v>
      </c>
      <c r="L2528" t="s" s="2">
        <v>546</v>
      </c>
      <c r="M2528" s="5">
        <v>476628.51</v>
      </c>
      <c r="N2528" s="5">
        <v>6290512.07</v>
      </c>
      <c r="O2528" t="s" s="2">
        <v>305</v>
      </c>
      <c r="P2528" s="5">
        <v>223992</v>
      </c>
      <c r="Q2528" t="s" s="2">
        <v>4046</v>
      </c>
      <c r="R2528" t="s" s="2">
        <f>_xlfn.IFERROR(INDEX('model_byCAP'!$D$2:$D$377,MATCH(Q2528,'model_byCAP'!$A$2:$A$377,0)),0)</f>
        <v>4047</v>
      </c>
    </row>
    <row r="2529" ht="15.35" customHeight="1">
      <c r="A2529" t="s" s="2">
        <v>4883</v>
      </c>
      <c r="B2529" s="4">
        <v>36459</v>
      </c>
      <c r="C2529" s="5">
        <v>750</v>
      </c>
      <c r="D2529" s="5">
        <v>48</v>
      </c>
      <c r="E2529" s="5">
        <v>45</v>
      </c>
      <c r="F2529" t="s" s="2">
        <v>1746</v>
      </c>
      <c r="G2529" t="s" s="2">
        <v>4044</v>
      </c>
      <c r="H2529" s="5">
        <v>773</v>
      </c>
      <c r="I2529" t="s" s="2">
        <v>1648</v>
      </c>
      <c r="J2529" t="s" s="2">
        <v>22</v>
      </c>
      <c r="K2529" t="s" s="2">
        <v>4878</v>
      </c>
      <c r="L2529" t="s" s="2">
        <v>518</v>
      </c>
      <c r="M2529" s="5">
        <v>488330.63</v>
      </c>
      <c r="N2529" s="5">
        <v>6300140.11</v>
      </c>
      <c r="O2529" t="s" s="2">
        <v>305</v>
      </c>
      <c r="P2529" s="5">
        <v>223993</v>
      </c>
      <c r="Q2529" t="s" s="2">
        <v>4046</v>
      </c>
      <c r="R2529" t="s" s="2">
        <f>_xlfn.IFERROR(INDEX('model_byCAP'!$D$2:$D$377,MATCH(Q2529,'model_byCAP'!$A$2:$A$377,0)),0)</f>
        <v>4047</v>
      </c>
    </row>
    <row r="2530" ht="15.35" customHeight="1">
      <c r="A2530" t="s" s="2">
        <v>4884</v>
      </c>
      <c r="B2530" s="4">
        <v>36459</v>
      </c>
      <c r="C2530" s="5">
        <v>750</v>
      </c>
      <c r="D2530" s="5">
        <v>48</v>
      </c>
      <c r="E2530" s="5">
        <v>45</v>
      </c>
      <c r="F2530" t="s" s="2">
        <v>1746</v>
      </c>
      <c r="G2530" t="s" s="2">
        <v>4044</v>
      </c>
      <c r="H2530" s="5">
        <v>773</v>
      </c>
      <c r="I2530" t="s" s="2">
        <v>1648</v>
      </c>
      <c r="J2530" t="s" s="2">
        <v>22</v>
      </c>
      <c r="K2530" t="s" s="2">
        <v>4878</v>
      </c>
      <c r="L2530" t="s" s="2">
        <v>518</v>
      </c>
      <c r="M2530" s="5">
        <v>488512.54</v>
      </c>
      <c r="N2530" s="5">
        <v>6300051.76</v>
      </c>
      <c r="O2530" t="s" s="2">
        <v>305</v>
      </c>
      <c r="P2530" s="5">
        <v>223994</v>
      </c>
      <c r="Q2530" t="s" s="2">
        <v>4046</v>
      </c>
      <c r="R2530" t="s" s="2">
        <f>_xlfn.IFERROR(INDEX('model_byCAP'!$D$2:$D$377,MATCH(Q2530,'model_byCAP'!$A$2:$A$377,0)),0)</f>
        <v>4047</v>
      </c>
    </row>
    <row r="2531" ht="15.35" customHeight="1">
      <c r="A2531" t="s" s="2">
        <v>4885</v>
      </c>
      <c r="B2531" s="4">
        <v>35741</v>
      </c>
      <c r="C2531" s="5">
        <v>750</v>
      </c>
      <c r="D2531" s="5">
        <v>44</v>
      </c>
      <c r="E2531" s="5">
        <v>46</v>
      </c>
      <c r="F2531" t="s" s="2">
        <v>1746</v>
      </c>
      <c r="G2531" t="s" s="2">
        <v>4886</v>
      </c>
      <c r="H2531" s="5">
        <v>779</v>
      </c>
      <c r="I2531" t="s" s="2">
        <v>1308</v>
      </c>
      <c r="J2531" t="s" s="2">
        <v>22</v>
      </c>
      <c r="K2531" t="s" s="2">
        <v>4887</v>
      </c>
      <c r="L2531" t="s" s="2">
        <v>1196</v>
      </c>
      <c r="M2531" s="5">
        <v>489734.22</v>
      </c>
      <c r="N2531" s="5">
        <v>6271826.4</v>
      </c>
      <c r="O2531" t="s" s="2">
        <v>305</v>
      </c>
      <c r="P2531" s="5">
        <v>2050280</v>
      </c>
      <c r="Q2531" t="s" s="2">
        <v>4888</v>
      </c>
      <c r="R2531" t="s" s="2">
        <f>_xlfn.IFERROR(INDEX('model_byCAP'!$D$2:$D$377,MATCH(Q2531,'model_byCAP'!$A$2:$A$377,0)),0)</f>
        <v>4042</v>
      </c>
    </row>
    <row r="2532" ht="15.35" customHeight="1">
      <c r="A2532" t="s" s="2">
        <v>4889</v>
      </c>
      <c r="B2532" s="4">
        <v>35741</v>
      </c>
      <c r="C2532" s="5">
        <v>750</v>
      </c>
      <c r="D2532" s="5">
        <v>44</v>
      </c>
      <c r="E2532" s="5">
        <v>46</v>
      </c>
      <c r="F2532" t="s" s="2">
        <v>1746</v>
      </c>
      <c r="G2532" t="s" s="2">
        <v>4050</v>
      </c>
      <c r="H2532" s="5">
        <v>779</v>
      </c>
      <c r="I2532" t="s" s="2">
        <v>1308</v>
      </c>
      <c r="J2532" t="s" s="2">
        <v>22</v>
      </c>
      <c r="K2532" t="s" s="2">
        <v>4880</v>
      </c>
      <c r="L2532" t="s" s="2">
        <v>1196</v>
      </c>
      <c r="M2532" s="5">
        <v>495155.32</v>
      </c>
      <c r="N2532" s="5">
        <v>6270001.97</v>
      </c>
      <c r="O2532" t="s" s="2">
        <v>305</v>
      </c>
      <c r="P2532" s="5">
        <v>2050281</v>
      </c>
      <c r="Q2532" t="s" s="2">
        <v>4053</v>
      </c>
      <c r="R2532" t="s" s="2">
        <f>_xlfn.IFERROR(INDEX('model_byCAP'!$D$2:$D$377,MATCH(Q2532,'model_byCAP'!$A$2:$A$377,0)),0)</f>
        <v>2955</v>
      </c>
    </row>
    <row r="2533" ht="15.35" customHeight="1">
      <c r="A2533" t="s" s="2">
        <v>4890</v>
      </c>
      <c r="B2533" s="4">
        <v>35741</v>
      </c>
      <c r="C2533" s="5">
        <v>750</v>
      </c>
      <c r="D2533" s="5">
        <v>44</v>
      </c>
      <c r="E2533" s="5">
        <v>46</v>
      </c>
      <c r="F2533" t="s" s="2">
        <v>1746</v>
      </c>
      <c r="G2533" t="s" s="2">
        <v>4050</v>
      </c>
      <c r="H2533" s="5">
        <v>779</v>
      </c>
      <c r="I2533" t="s" s="2">
        <v>1308</v>
      </c>
      <c r="J2533" t="s" s="2">
        <v>22</v>
      </c>
      <c r="K2533" t="s" s="2">
        <v>4891</v>
      </c>
      <c r="L2533" t="s" s="2">
        <v>1196</v>
      </c>
      <c r="M2533" s="5">
        <v>495161.84</v>
      </c>
      <c r="N2533" s="5">
        <v>6270154.98</v>
      </c>
      <c r="O2533" t="s" s="2">
        <v>305</v>
      </c>
      <c r="P2533" s="5">
        <v>2050284</v>
      </c>
      <c r="Q2533" t="s" s="2">
        <v>4053</v>
      </c>
      <c r="R2533" t="s" s="2">
        <f>_xlfn.IFERROR(INDEX('model_byCAP'!$D$2:$D$377,MATCH(Q2533,'model_byCAP'!$A$2:$A$377,0)),0)</f>
        <v>2955</v>
      </c>
    </row>
    <row r="2534" ht="15.35" customHeight="1">
      <c r="A2534" t="s" s="2">
        <v>4892</v>
      </c>
      <c r="B2534" s="4">
        <v>36458</v>
      </c>
      <c r="C2534" s="5">
        <v>750</v>
      </c>
      <c r="D2534" s="5">
        <v>48</v>
      </c>
      <c r="E2534" s="5">
        <v>50</v>
      </c>
      <c r="F2534" t="s" s="2">
        <v>1746</v>
      </c>
      <c r="G2534" t="s" s="2">
        <v>4151</v>
      </c>
      <c r="H2534" s="5">
        <v>779</v>
      </c>
      <c r="I2534" t="s" s="2">
        <v>1308</v>
      </c>
      <c r="J2534" t="s" s="2">
        <v>22</v>
      </c>
      <c r="K2534" t="s" s="2">
        <v>4893</v>
      </c>
      <c r="L2534" t="s" s="2">
        <v>481</v>
      </c>
      <c r="M2534" s="5">
        <v>498405.79</v>
      </c>
      <c r="N2534" s="5">
        <v>6276821.87</v>
      </c>
      <c r="O2534" t="s" s="2">
        <v>305</v>
      </c>
      <c r="P2534" s="5">
        <v>2050311</v>
      </c>
      <c r="Q2534" t="s" s="2">
        <v>4154</v>
      </c>
      <c r="R2534" t="s" s="2">
        <f>_xlfn.IFERROR(INDEX('model_byCAP'!$D$2:$D$377,MATCH(Q2534,'model_byCAP'!$A$2:$A$377,0)),0)</f>
        <v>4047</v>
      </c>
    </row>
    <row r="2535" ht="15.35" customHeight="1">
      <c r="A2535" t="s" s="2">
        <v>4894</v>
      </c>
      <c r="B2535" s="4">
        <v>36434</v>
      </c>
      <c r="C2535" s="5">
        <v>750</v>
      </c>
      <c r="D2535" s="5">
        <v>48</v>
      </c>
      <c r="E2535" s="5">
        <v>50</v>
      </c>
      <c r="F2535" t="s" s="2">
        <v>1746</v>
      </c>
      <c r="G2535" t="s" s="2">
        <v>4151</v>
      </c>
      <c r="H2535" s="5">
        <v>779</v>
      </c>
      <c r="I2535" t="s" s="2">
        <v>1308</v>
      </c>
      <c r="J2535" t="s" s="2">
        <v>22</v>
      </c>
      <c r="K2535" t="s" s="2">
        <v>4893</v>
      </c>
      <c r="L2535" t="s" s="2">
        <v>4147</v>
      </c>
      <c r="M2535" s="5">
        <v>498207.44</v>
      </c>
      <c r="N2535" s="5">
        <v>6276801.08</v>
      </c>
      <c r="O2535" t="s" s="2">
        <v>305</v>
      </c>
      <c r="P2535" s="5">
        <v>2050312</v>
      </c>
      <c r="Q2535" t="s" s="2">
        <v>4154</v>
      </c>
      <c r="R2535" t="s" s="2">
        <f>_xlfn.IFERROR(INDEX('model_byCAP'!$D$2:$D$377,MATCH(Q2535,'model_byCAP'!$A$2:$A$377,0)),0)</f>
        <v>4047</v>
      </c>
    </row>
    <row r="2536" ht="15.35" customHeight="1">
      <c r="A2536" t="s" s="2">
        <v>4895</v>
      </c>
      <c r="B2536" s="4">
        <v>36458</v>
      </c>
      <c r="C2536" s="5">
        <v>750</v>
      </c>
      <c r="D2536" s="5">
        <v>48</v>
      </c>
      <c r="E2536" s="5">
        <v>50</v>
      </c>
      <c r="F2536" t="s" s="2">
        <v>1746</v>
      </c>
      <c r="G2536" t="s" s="2">
        <v>4151</v>
      </c>
      <c r="H2536" s="5">
        <v>779</v>
      </c>
      <c r="I2536" t="s" s="2">
        <v>1308</v>
      </c>
      <c r="J2536" t="s" s="2">
        <v>22</v>
      </c>
      <c r="K2536" t="s" s="2">
        <v>4896</v>
      </c>
      <c r="L2536" t="s" s="2">
        <v>403</v>
      </c>
      <c r="M2536" s="5">
        <v>499002.88</v>
      </c>
      <c r="N2536" s="5">
        <v>6276882.39</v>
      </c>
      <c r="O2536" t="s" s="2">
        <v>305</v>
      </c>
      <c r="P2536" s="5">
        <v>2050313</v>
      </c>
      <c r="Q2536" t="s" s="2">
        <v>4154</v>
      </c>
      <c r="R2536" t="s" s="2">
        <f>_xlfn.IFERROR(INDEX('model_byCAP'!$D$2:$D$377,MATCH(Q2536,'model_byCAP'!$A$2:$A$377,0)),0)</f>
        <v>4047</v>
      </c>
    </row>
    <row r="2537" ht="15.35" customHeight="1">
      <c r="A2537" t="s" s="2">
        <v>4897</v>
      </c>
      <c r="B2537" s="4">
        <v>37613</v>
      </c>
      <c r="C2537" s="5">
        <v>750</v>
      </c>
      <c r="D2537" s="5">
        <v>48</v>
      </c>
      <c r="E2537" s="5">
        <v>50</v>
      </c>
      <c r="F2537" t="s" s="2">
        <v>1746</v>
      </c>
      <c r="G2537" t="s" s="2">
        <v>4151</v>
      </c>
      <c r="H2537" s="5">
        <v>779</v>
      </c>
      <c r="I2537" t="s" s="2">
        <v>1308</v>
      </c>
      <c r="J2537" t="s" s="2">
        <v>22</v>
      </c>
      <c r="K2537" t="s" s="2">
        <v>4898</v>
      </c>
      <c r="L2537" t="s" s="2">
        <v>394</v>
      </c>
      <c r="M2537" s="5">
        <v>490749.33</v>
      </c>
      <c r="N2537" s="5">
        <v>6275304.41</v>
      </c>
      <c r="O2537" t="s" s="2">
        <v>305</v>
      </c>
      <c r="P2537" s="5">
        <v>2050362</v>
      </c>
      <c r="Q2537" t="s" s="2">
        <v>4154</v>
      </c>
      <c r="R2537" t="s" s="2">
        <f>_xlfn.IFERROR(INDEX('model_byCAP'!$D$2:$D$377,MATCH(Q2537,'model_byCAP'!$A$2:$A$377,0)),0)</f>
        <v>4047</v>
      </c>
    </row>
    <row r="2538" ht="15.35" customHeight="1">
      <c r="A2538" t="s" s="2">
        <v>4899</v>
      </c>
      <c r="B2538" s="4">
        <v>37613</v>
      </c>
      <c r="C2538" s="5">
        <v>750</v>
      </c>
      <c r="D2538" s="5">
        <v>48</v>
      </c>
      <c r="E2538" s="5">
        <v>50</v>
      </c>
      <c r="F2538" t="s" s="2">
        <v>1746</v>
      </c>
      <c r="G2538" t="s" s="2">
        <v>4151</v>
      </c>
      <c r="H2538" s="5">
        <v>779</v>
      </c>
      <c r="I2538" t="s" s="2">
        <v>1308</v>
      </c>
      <c r="J2538" t="s" s="2">
        <v>22</v>
      </c>
      <c r="K2538" t="s" s="2">
        <v>4900</v>
      </c>
      <c r="L2538" t="s" s="2">
        <v>551</v>
      </c>
      <c r="M2538" s="5">
        <v>491198.39</v>
      </c>
      <c r="N2538" s="5">
        <v>6275084.38</v>
      </c>
      <c r="O2538" t="s" s="2">
        <v>305</v>
      </c>
      <c r="P2538" s="5">
        <v>2050363</v>
      </c>
      <c r="Q2538" t="s" s="2">
        <v>4154</v>
      </c>
      <c r="R2538" t="s" s="2">
        <f>_xlfn.IFERROR(INDEX('model_byCAP'!$D$2:$D$377,MATCH(Q2538,'model_byCAP'!$A$2:$A$377,0)),0)</f>
        <v>4047</v>
      </c>
    </row>
    <row r="2539" ht="15.35" customHeight="1">
      <c r="A2539" t="s" s="2">
        <v>4901</v>
      </c>
      <c r="B2539" s="4">
        <v>37613</v>
      </c>
      <c r="C2539" s="5">
        <v>750</v>
      </c>
      <c r="D2539" s="5">
        <v>48</v>
      </c>
      <c r="E2539" s="5">
        <v>50</v>
      </c>
      <c r="F2539" t="s" s="2">
        <v>1746</v>
      </c>
      <c r="G2539" t="s" s="2">
        <v>4151</v>
      </c>
      <c r="H2539" s="5">
        <v>779</v>
      </c>
      <c r="I2539" t="s" s="2">
        <v>1308</v>
      </c>
      <c r="J2539" t="s" s="2">
        <v>22</v>
      </c>
      <c r="K2539" t="s" s="2">
        <v>4902</v>
      </c>
      <c r="L2539" t="s" s="2">
        <v>481</v>
      </c>
      <c r="M2539" s="5">
        <v>490973.65</v>
      </c>
      <c r="N2539" s="5">
        <v>6275195.83</v>
      </c>
      <c r="O2539" t="s" s="2">
        <v>305</v>
      </c>
      <c r="P2539" s="5">
        <v>2050364</v>
      </c>
      <c r="Q2539" t="s" s="2">
        <v>4154</v>
      </c>
      <c r="R2539" t="s" s="2">
        <f>_xlfn.IFERROR(INDEX('model_byCAP'!$D$2:$D$377,MATCH(Q2539,'model_byCAP'!$A$2:$A$377,0)),0)</f>
        <v>4047</v>
      </c>
    </row>
    <row r="2540" ht="15.35" customHeight="1">
      <c r="A2540" t="s" s="2">
        <v>4903</v>
      </c>
      <c r="B2540" s="4">
        <v>36794</v>
      </c>
      <c r="C2540" s="5">
        <v>750</v>
      </c>
      <c r="D2540" s="5">
        <v>48</v>
      </c>
      <c r="E2540" s="5">
        <v>45</v>
      </c>
      <c r="F2540" t="s" s="2">
        <v>1746</v>
      </c>
      <c r="G2540" t="s" s="2">
        <v>4044</v>
      </c>
      <c r="H2540" s="5">
        <v>259</v>
      </c>
      <c r="I2540" t="s" s="2">
        <v>4904</v>
      </c>
      <c r="J2540" t="s" s="2">
        <v>22</v>
      </c>
      <c r="K2540" t="s" s="2">
        <v>4905</v>
      </c>
      <c r="L2540" t="s" s="2">
        <v>1603</v>
      </c>
      <c r="M2540" s="5">
        <v>689721.25</v>
      </c>
      <c r="N2540" s="5">
        <v>6147664.15</v>
      </c>
      <c r="O2540" t="s" s="2">
        <v>305</v>
      </c>
      <c r="P2540" s="5">
        <v>195389</v>
      </c>
      <c r="Q2540" t="s" s="2">
        <v>4046</v>
      </c>
      <c r="R2540" t="s" s="2">
        <f>_xlfn.IFERROR(INDEX('model_byCAP'!$D$2:$D$377,MATCH(Q2540,'model_byCAP'!$A$2:$A$377,0)),0)</f>
        <v>4047</v>
      </c>
    </row>
    <row r="2541" ht="15.35" customHeight="1">
      <c r="A2541" t="s" s="2">
        <v>4906</v>
      </c>
      <c r="B2541" s="4">
        <v>36607</v>
      </c>
      <c r="C2541" s="5">
        <v>750</v>
      </c>
      <c r="D2541" s="5">
        <v>44</v>
      </c>
      <c r="E2541" s="5">
        <v>48</v>
      </c>
      <c r="F2541" t="s" s="2">
        <v>1746</v>
      </c>
      <c r="G2541" t="s" s="2">
        <v>4136</v>
      </c>
      <c r="H2541" s="5">
        <v>260</v>
      </c>
      <c r="I2541" t="s" s="2">
        <v>4907</v>
      </c>
      <c r="J2541" t="s" s="2">
        <v>22</v>
      </c>
      <c r="K2541" t="s" s="2">
        <v>4908</v>
      </c>
      <c r="L2541" t="s" s="2">
        <v>394</v>
      </c>
      <c r="M2541" s="5">
        <v>683020.15</v>
      </c>
      <c r="N2541" s="5">
        <v>6208539.35</v>
      </c>
      <c r="O2541" t="s" s="2">
        <v>305</v>
      </c>
      <c r="P2541" t="s" s="2">
        <v>4909</v>
      </c>
      <c r="Q2541" t="s" s="2">
        <v>4137</v>
      </c>
      <c r="R2541" t="s" s="2">
        <f>_xlfn.IFERROR(INDEX('model_byCAP'!$D$2:$D$377,MATCH(Q2541,'model_byCAP'!$A$2:$A$377,0)),0)</f>
        <v>4042</v>
      </c>
    </row>
    <row r="2542" ht="15.35" customHeight="1">
      <c r="A2542" t="s" s="2">
        <v>4910</v>
      </c>
      <c r="B2542" s="4">
        <v>36607</v>
      </c>
      <c r="C2542" s="5">
        <v>750</v>
      </c>
      <c r="D2542" s="5">
        <v>44</v>
      </c>
      <c r="E2542" s="5">
        <v>48</v>
      </c>
      <c r="F2542" t="s" s="2">
        <v>1746</v>
      </c>
      <c r="G2542" t="s" s="2">
        <v>4136</v>
      </c>
      <c r="H2542" s="5">
        <v>260</v>
      </c>
      <c r="I2542" t="s" s="2">
        <v>4907</v>
      </c>
      <c r="J2542" t="s" s="2">
        <v>22</v>
      </c>
      <c r="K2542" t="s" s="2">
        <v>4908</v>
      </c>
      <c r="L2542" t="s" s="2">
        <v>394</v>
      </c>
      <c r="M2542" s="5">
        <v>682828.9300000001</v>
      </c>
      <c r="N2542" s="5">
        <v>6208460.81</v>
      </c>
      <c r="O2542" t="s" s="2">
        <v>305</v>
      </c>
      <c r="P2542" t="s" s="2">
        <v>4911</v>
      </c>
      <c r="Q2542" t="s" s="2">
        <v>4137</v>
      </c>
      <c r="R2542" t="s" s="2">
        <f>_xlfn.IFERROR(INDEX('model_byCAP'!$D$2:$D$377,MATCH(Q2542,'model_byCAP'!$A$2:$A$377,0)),0)</f>
        <v>4042</v>
      </c>
    </row>
    <row r="2543" ht="15.35" customHeight="1">
      <c r="A2543" t="s" s="2">
        <v>4912</v>
      </c>
      <c r="B2543" s="4">
        <v>36290</v>
      </c>
      <c r="C2543" s="5">
        <v>750</v>
      </c>
      <c r="D2543" s="5">
        <v>48</v>
      </c>
      <c r="E2543" s="5">
        <v>45</v>
      </c>
      <c r="F2543" t="s" s="2">
        <v>4716</v>
      </c>
      <c r="G2543" t="s" s="2">
        <v>4913</v>
      </c>
      <c r="H2543" s="5">
        <v>265</v>
      </c>
      <c r="I2543" t="s" s="2">
        <v>3920</v>
      </c>
      <c r="J2543" t="s" s="2">
        <v>22</v>
      </c>
      <c r="K2543" t="s" s="2">
        <v>4914</v>
      </c>
      <c r="L2543" t="s" s="2">
        <v>3393</v>
      </c>
      <c r="M2543" s="5">
        <v>688686.39</v>
      </c>
      <c r="N2543" s="5">
        <v>6160519.59</v>
      </c>
      <c r="O2543" t="s" s="2">
        <v>305</v>
      </c>
      <c r="P2543" t="s" s="2">
        <v>4915</v>
      </c>
      <c r="Q2543" t="s" s="2">
        <v>4916</v>
      </c>
      <c r="R2543" t="s" s="2">
        <f>_xlfn.IFERROR(INDEX('model_byCAP'!$D$2:$D$377,MATCH(Q2543,'model_byCAP'!$A$2:$A$377,0)),0)</f>
        <v>4720</v>
      </c>
    </row>
    <row r="2544" ht="15.35" customHeight="1">
      <c r="A2544" t="s" s="2">
        <v>4917</v>
      </c>
      <c r="B2544" s="4">
        <v>35223</v>
      </c>
      <c r="C2544" s="5">
        <v>750</v>
      </c>
      <c r="D2544" s="5">
        <v>44</v>
      </c>
      <c r="E2544" s="5">
        <v>48</v>
      </c>
      <c r="F2544" t="s" s="2">
        <v>1746</v>
      </c>
      <c r="G2544" t="s" s="2">
        <v>4044</v>
      </c>
      <c r="H2544" s="5">
        <v>787</v>
      </c>
      <c r="I2544" t="s" s="2">
        <v>21</v>
      </c>
      <c r="J2544" t="s" s="2">
        <v>22</v>
      </c>
      <c r="K2544" t="s" s="2">
        <v>4918</v>
      </c>
      <c r="L2544" t="s" s="2">
        <v>4919</v>
      </c>
      <c r="M2544" s="5">
        <v>463475.1</v>
      </c>
      <c r="N2544" s="5">
        <v>6293304.06</v>
      </c>
      <c r="O2544" t="s" s="2">
        <v>305</v>
      </c>
      <c r="P2544" s="5">
        <v>160246</v>
      </c>
      <c r="Q2544" t="s" s="2">
        <v>4046</v>
      </c>
      <c r="R2544" t="s" s="2">
        <f>_xlfn.IFERROR(INDEX('model_byCAP'!$D$2:$D$377,MATCH(Q2544,'model_byCAP'!$A$2:$A$377,0)),0)</f>
        <v>4047</v>
      </c>
    </row>
    <row r="2545" ht="15.35" customHeight="1">
      <c r="A2545" t="s" s="2">
        <v>4920</v>
      </c>
      <c r="B2545" s="4">
        <v>35404</v>
      </c>
      <c r="C2545" s="5">
        <v>750</v>
      </c>
      <c r="D2545" s="5">
        <v>44</v>
      </c>
      <c r="E2545" s="5">
        <v>46</v>
      </c>
      <c r="F2545" t="s" s="2">
        <v>1746</v>
      </c>
      <c r="G2545" t="s" s="2">
        <v>4050</v>
      </c>
      <c r="H2545" s="5">
        <v>787</v>
      </c>
      <c r="I2545" t="s" s="2">
        <v>21</v>
      </c>
      <c r="J2545" t="s" s="2">
        <v>22</v>
      </c>
      <c r="K2545" t="s" s="2">
        <v>4921</v>
      </c>
      <c r="L2545" t="s" s="2">
        <v>518</v>
      </c>
      <c r="M2545" s="5">
        <v>461122.65</v>
      </c>
      <c r="N2545" s="5">
        <v>6296076.1</v>
      </c>
      <c r="O2545" t="s" s="2">
        <v>305</v>
      </c>
      <c r="P2545" s="5">
        <v>160284</v>
      </c>
      <c r="Q2545" t="s" s="2">
        <v>4053</v>
      </c>
      <c r="R2545" t="s" s="2">
        <f>_xlfn.IFERROR(INDEX('model_byCAP'!$D$2:$D$377,MATCH(Q2545,'model_byCAP'!$A$2:$A$377,0)),0)</f>
        <v>2955</v>
      </c>
    </row>
    <row r="2546" ht="15.35" customHeight="1">
      <c r="A2546" t="s" s="2">
        <v>4922</v>
      </c>
      <c r="B2546" s="4">
        <v>36300</v>
      </c>
      <c r="C2546" s="5">
        <v>750</v>
      </c>
      <c r="D2546" s="5">
        <v>48.2</v>
      </c>
      <c r="E2546" s="5">
        <v>50</v>
      </c>
      <c r="F2546" t="s" s="2">
        <v>1746</v>
      </c>
      <c r="G2546" t="s" s="2">
        <v>4044</v>
      </c>
      <c r="H2546" s="5">
        <v>791</v>
      </c>
      <c r="I2546" t="s" s="2">
        <v>1447</v>
      </c>
      <c r="J2546" t="s" s="2">
        <v>22</v>
      </c>
      <c r="K2546" t="s" s="2">
        <v>3426</v>
      </c>
      <c r="L2546" t="s" s="2">
        <v>1608</v>
      </c>
      <c r="M2546" s="5">
        <v>515126.43</v>
      </c>
      <c r="N2546" s="5">
        <v>6247457.86</v>
      </c>
      <c r="O2546" t="s" s="2">
        <v>305</v>
      </c>
      <c r="P2546" s="5">
        <v>3097668</v>
      </c>
      <c r="Q2546" t="s" s="2">
        <v>4046</v>
      </c>
      <c r="R2546" t="s" s="2">
        <f>_xlfn.IFERROR(INDEX('model_byCAP'!$D$2:$D$377,MATCH(Q2546,'model_byCAP'!$A$2:$A$377,0)),0)</f>
        <v>4047</v>
      </c>
    </row>
    <row r="2547" ht="15.35" customHeight="1">
      <c r="A2547" t="s" s="2">
        <v>4923</v>
      </c>
      <c r="B2547" s="4">
        <v>36300</v>
      </c>
      <c r="C2547" s="5">
        <v>750</v>
      </c>
      <c r="D2547" s="5">
        <v>48.2</v>
      </c>
      <c r="E2547" s="5">
        <v>50</v>
      </c>
      <c r="F2547" t="s" s="2">
        <v>1746</v>
      </c>
      <c r="G2547" t="s" s="2">
        <v>4044</v>
      </c>
      <c r="H2547" s="5">
        <v>791</v>
      </c>
      <c r="I2547" t="s" s="2">
        <v>1447</v>
      </c>
      <c r="J2547" t="s" s="2">
        <v>22</v>
      </c>
      <c r="K2547" t="s" s="2">
        <v>3426</v>
      </c>
      <c r="L2547" t="s" s="2">
        <v>4166</v>
      </c>
      <c r="M2547" s="5">
        <v>515335.55</v>
      </c>
      <c r="N2547" s="5">
        <v>6247261.3</v>
      </c>
      <c r="O2547" t="s" s="2">
        <v>305</v>
      </c>
      <c r="P2547" s="5">
        <v>3097669</v>
      </c>
      <c r="Q2547" t="s" s="2">
        <v>4046</v>
      </c>
      <c r="R2547" t="s" s="2">
        <f>_xlfn.IFERROR(INDEX('model_byCAP'!$D$2:$D$377,MATCH(Q2547,'model_byCAP'!$A$2:$A$377,0)),0)</f>
        <v>4047</v>
      </c>
    </row>
    <row r="2548" ht="15.35" customHeight="1">
      <c r="A2548" t="s" s="2">
        <v>4924</v>
      </c>
      <c r="B2548" s="4">
        <v>36300</v>
      </c>
      <c r="C2548" s="5">
        <v>750</v>
      </c>
      <c r="D2548" s="5">
        <v>48.2</v>
      </c>
      <c r="E2548" s="5">
        <v>50</v>
      </c>
      <c r="F2548" t="s" s="2">
        <v>1746</v>
      </c>
      <c r="G2548" t="s" s="2">
        <v>4044</v>
      </c>
      <c r="H2548" s="5">
        <v>791</v>
      </c>
      <c r="I2548" t="s" s="2">
        <v>1447</v>
      </c>
      <c r="J2548" t="s" s="2">
        <v>22</v>
      </c>
      <c r="K2548" t="s" s="2">
        <v>3426</v>
      </c>
      <c r="L2548" t="s" s="2">
        <v>4925</v>
      </c>
      <c r="M2548" s="5">
        <v>515231.73</v>
      </c>
      <c r="N2548" s="5">
        <v>6247359.65</v>
      </c>
      <c r="O2548" t="s" s="2">
        <v>305</v>
      </c>
      <c r="P2548" s="5">
        <v>3097670</v>
      </c>
      <c r="Q2548" t="s" s="2">
        <v>4046</v>
      </c>
      <c r="R2548" t="s" s="2">
        <f>_xlfn.IFERROR(INDEX('model_byCAP'!$D$2:$D$377,MATCH(Q2548,'model_byCAP'!$A$2:$A$377,0)),0)</f>
        <v>4047</v>
      </c>
    </row>
    <row r="2549" ht="15.35" customHeight="1">
      <c r="A2549" t="s" s="2">
        <v>4926</v>
      </c>
      <c r="B2549" s="4">
        <v>36094</v>
      </c>
      <c r="C2549" s="5">
        <v>750</v>
      </c>
      <c r="D2549" s="5">
        <v>44</v>
      </c>
      <c r="E2549" s="5">
        <v>46</v>
      </c>
      <c r="F2549" t="s" s="2">
        <v>1746</v>
      </c>
      <c r="G2549" t="s" s="2">
        <v>4044</v>
      </c>
      <c r="H2549" s="5">
        <v>791</v>
      </c>
      <c r="I2549" t="s" s="2">
        <v>1447</v>
      </c>
      <c r="J2549" t="s" s="2">
        <v>22</v>
      </c>
      <c r="K2549" t="s" s="2">
        <v>4927</v>
      </c>
      <c r="L2549" t="s" s="2">
        <v>2348</v>
      </c>
      <c r="M2549" s="5">
        <v>501321.41</v>
      </c>
      <c r="N2549" s="5">
        <v>6253158.06</v>
      </c>
      <c r="O2549" t="s" s="2">
        <v>305</v>
      </c>
      <c r="P2549" s="5">
        <v>2050282</v>
      </c>
      <c r="Q2549" t="s" s="2">
        <v>4046</v>
      </c>
      <c r="R2549" t="s" s="2">
        <f>_xlfn.IFERROR(INDEX('model_byCAP'!$D$2:$D$377,MATCH(Q2549,'model_byCAP'!$A$2:$A$377,0)),0)</f>
        <v>4047</v>
      </c>
    </row>
    <row r="2550" ht="15.35" customHeight="1">
      <c r="A2550" t="s" s="2">
        <v>4928</v>
      </c>
      <c r="B2550" s="4">
        <v>35867</v>
      </c>
      <c r="C2550" s="5">
        <v>750</v>
      </c>
      <c r="D2550" s="5">
        <v>52</v>
      </c>
      <c r="E2550" s="5">
        <v>45</v>
      </c>
      <c r="F2550" t="s" s="2">
        <v>4716</v>
      </c>
      <c r="G2550" t="s" s="2">
        <v>4929</v>
      </c>
      <c r="H2550" s="5">
        <v>813</v>
      </c>
      <c r="I2550" t="s" s="2">
        <v>1708</v>
      </c>
      <c r="J2550" t="s" s="2">
        <v>22</v>
      </c>
      <c r="K2550" t="s" s="2">
        <v>3778</v>
      </c>
      <c r="L2550" t="s" s="2">
        <v>4930</v>
      </c>
      <c r="M2550" s="5">
        <v>593238.5</v>
      </c>
      <c r="N2550" s="5">
        <v>6400558.08</v>
      </c>
      <c r="O2550" t="s" s="2">
        <v>305</v>
      </c>
      <c r="P2550" t="s" s="2">
        <v>4931</v>
      </c>
      <c r="Q2550" t="s" s="2">
        <v>4932</v>
      </c>
      <c r="R2550" t="s" s="2">
        <f>_xlfn.IFERROR(INDEX('model_byCAP'!$D$2:$D$377,MATCH(Q2550,'model_byCAP'!$A$2:$A$377,0)),0)</f>
        <v>4720</v>
      </c>
    </row>
    <row r="2551" ht="15.35" customHeight="1">
      <c r="A2551" t="s" s="2">
        <v>4933</v>
      </c>
      <c r="B2551" s="4">
        <v>35482</v>
      </c>
      <c r="C2551" s="5">
        <v>750</v>
      </c>
      <c r="D2551" s="5">
        <v>44</v>
      </c>
      <c r="E2551" s="5">
        <v>45</v>
      </c>
      <c r="F2551" t="s" s="2">
        <v>3604</v>
      </c>
      <c r="G2551" t="s" s="2">
        <v>4934</v>
      </c>
      <c r="H2551" s="5">
        <v>813</v>
      </c>
      <c r="I2551" t="s" s="2">
        <v>1708</v>
      </c>
      <c r="J2551" t="s" s="2">
        <v>22</v>
      </c>
      <c r="K2551" t="s" s="2">
        <v>4935</v>
      </c>
      <c r="L2551" t="s" s="2">
        <v>1088</v>
      </c>
      <c r="M2551" s="5">
        <v>582716.47</v>
      </c>
      <c r="N2551" s="5">
        <v>6363215.67</v>
      </c>
      <c r="O2551" t="s" s="2">
        <v>305</v>
      </c>
      <c r="P2551" t="s" s="2">
        <v>4936</v>
      </c>
      <c r="Q2551" t="s" s="2">
        <v>4937</v>
      </c>
      <c r="R2551" t="s" s="2">
        <f>_xlfn.IFERROR(INDEX('model_byCAP'!$D$2:$D$377,MATCH(Q2551,'model_byCAP'!$A$2:$A$377,0)),0)</f>
        <v>4042</v>
      </c>
    </row>
    <row r="2552" ht="15.35" customHeight="1">
      <c r="A2552" t="s" s="2">
        <v>4938</v>
      </c>
      <c r="B2552" s="4">
        <v>36725</v>
      </c>
      <c r="C2552" s="5">
        <v>750</v>
      </c>
      <c r="D2552" s="5">
        <v>48</v>
      </c>
      <c r="E2552" s="5">
        <v>45</v>
      </c>
      <c r="F2552" t="s" s="2">
        <v>3604</v>
      </c>
      <c r="G2552" t="s" s="2">
        <v>4939</v>
      </c>
      <c r="H2552" s="5">
        <v>813</v>
      </c>
      <c r="I2552" t="s" s="2">
        <v>1708</v>
      </c>
      <c r="J2552" t="s" s="2">
        <v>22</v>
      </c>
      <c r="K2552" t="s" s="2">
        <v>4940</v>
      </c>
      <c r="L2552" t="s" s="2">
        <v>1192</v>
      </c>
      <c r="M2552" s="5">
        <v>577123.46</v>
      </c>
      <c r="N2552" s="5">
        <v>6359727.92</v>
      </c>
      <c r="O2552" t="s" s="2">
        <v>305</v>
      </c>
      <c r="P2552" t="s" s="2">
        <v>4941</v>
      </c>
      <c r="Q2552" t="s" s="2">
        <v>4942</v>
      </c>
      <c r="R2552" t="s" s="2">
        <f>_xlfn.IFERROR(INDEX('model_byCAP'!$D$2:$D$377,MATCH(Q2552,'model_byCAP'!$A$2:$A$377,0)),0)</f>
        <v>4042</v>
      </c>
    </row>
    <row r="2553" ht="15.35" customHeight="1">
      <c r="A2553" t="s" s="2">
        <v>4943</v>
      </c>
      <c r="B2553" s="4">
        <v>36740</v>
      </c>
      <c r="C2553" s="5">
        <v>750</v>
      </c>
      <c r="D2553" s="5">
        <v>48</v>
      </c>
      <c r="E2553" s="5">
        <v>45</v>
      </c>
      <c r="F2553" t="s" s="2">
        <v>3604</v>
      </c>
      <c r="G2553" t="s" s="2">
        <v>4939</v>
      </c>
      <c r="H2553" s="5">
        <v>813</v>
      </c>
      <c r="I2553" t="s" s="2">
        <v>1708</v>
      </c>
      <c r="J2553" t="s" s="2">
        <v>22</v>
      </c>
      <c r="K2553" t="s" s="2">
        <v>4940</v>
      </c>
      <c r="L2553" t="s" s="2">
        <v>492</v>
      </c>
      <c r="M2553" s="5">
        <v>577361.17</v>
      </c>
      <c r="N2553" s="5">
        <v>6359544.89</v>
      </c>
      <c r="O2553" t="s" s="2">
        <v>305</v>
      </c>
      <c r="P2553" t="s" s="2">
        <v>4944</v>
      </c>
      <c r="Q2553" t="s" s="2">
        <v>4942</v>
      </c>
      <c r="R2553" t="s" s="2">
        <f>_xlfn.IFERROR(INDEX('model_byCAP'!$D$2:$D$377,MATCH(Q2553,'model_byCAP'!$A$2:$A$377,0)),0)</f>
        <v>4042</v>
      </c>
    </row>
    <row r="2554" ht="15.35" customHeight="1">
      <c r="A2554" t="s" s="2">
        <v>4945</v>
      </c>
      <c r="B2554" s="4">
        <v>36740</v>
      </c>
      <c r="C2554" s="5">
        <v>750</v>
      </c>
      <c r="D2554" s="5">
        <v>48</v>
      </c>
      <c r="E2554" s="5">
        <v>45</v>
      </c>
      <c r="F2554" t="s" s="2">
        <v>3604</v>
      </c>
      <c r="G2554" t="s" s="2">
        <v>4939</v>
      </c>
      <c r="H2554" s="5">
        <v>813</v>
      </c>
      <c r="I2554" t="s" s="2">
        <v>1708</v>
      </c>
      <c r="J2554" t="s" s="2">
        <v>22</v>
      </c>
      <c r="K2554" t="s" s="2">
        <v>4940</v>
      </c>
      <c r="L2554" t="s" s="2">
        <v>492</v>
      </c>
      <c r="M2554" s="5">
        <v>577598.86</v>
      </c>
      <c r="N2554" s="5">
        <v>6359362.03</v>
      </c>
      <c r="O2554" t="s" s="2">
        <v>305</v>
      </c>
      <c r="P2554" t="s" s="2">
        <v>4946</v>
      </c>
      <c r="Q2554" t="s" s="2">
        <v>4942</v>
      </c>
      <c r="R2554" t="s" s="2">
        <f>_xlfn.IFERROR(INDEX('model_byCAP'!$D$2:$D$377,MATCH(Q2554,'model_byCAP'!$A$2:$A$377,0)),0)</f>
        <v>4042</v>
      </c>
    </row>
    <row r="2555" ht="15.35" customHeight="1">
      <c r="A2555" t="s" s="2">
        <v>4947</v>
      </c>
      <c r="B2555" s="4">
        <v>36725</v>
      </c>
      <c r="C2555" s="5">
        <v>750</v>
      </c>
      <c r="D2555" s="5">
        <v>48</v>
      </c>
      <c r="E2555" s="5">
        <v>45</v>
      </c>
      <c r="F2555" t="s" s="2">
        <v>3604</v>
      </c>
      <c r="G2555" t="s" s="2">
        <v>4939</v>
      </c>
      <c r="H2555" s="5">
        <v>813</v>
      </c>
      <c r="I2555" t="s" s="2">
        <v>1708</v>
      </c>
      <c r="J2555" t="s" s="2">
        <v>22</v>
      </c>
      <c r="K2555" t="s" s="2">
        <v>4940</v>
      </c>
      <c r="L2555" t="s" s="2">
        <v>492</v>
      </c>
      <c r="M2555" s="5">
        <v>577128.39</v>
      </c>
      <c r="N2555" s="5">
        <v>6359487.76</v>
      </c>
      <c r="O2555" t="s" s="2">
        <v>305</v>
      </c>
      <c r="P2555" t="s" s="2">
        <v>4948</v>
      </c>
      <c r="Q2555" t="s" s="2">
        <v>4942</v>
      </c>
      <c r="R2555" t="s" s="2">
        <f>_xlfn.IFERROR(INDEX('model_byCAP'!$D$2:$D$377,MATCH(Q2555,'model_byCAP'!$A$2:$A$377,0)),0)</f>
        <v>4042</v>
      </c>
    </row>
    <row r="2556" ht="15.35" customHeight="1">
      <c r="A2556" t="s" s="2">
        <v>4949</v>
      </c>
      <c r="B2556" s="4">
        <v>36528</v>
      </c>
      <c r="C2556" s="5">
        <v>750</v>
      </c>
      <c r="D2556" s="5">
        <v>48</v>
      </c>
      <c r="E2556" s="5">
        <v>45</v>
      </c>
      <c r="F2556" t="s" s="2">
        <v>3604</v>
      </c>
      <c r="G2556" t="s" s="2">
        <v>4939</v>
      </c>
      <c r="H2556" s="5">
        <v>813</v>
      </c>
      <c r="I2556" t="s" s="2">
        <v>1708</v>
      </c>
      <c r="J2556" t="s" s="2">
        <v>22</v>
      </c>
      <c r="K2556" t="s" s="2">
        <v>4940</v>
      </c>
      <c r="L2556" t="s" s="2">
        <v>492</v>
      </c>
      <c r="M2556" s="5">
        <v>577365.77</v>
      </c>
      <c r="N2556" s="5">
        <v>6359305.07</v>
      </c>
      <c r="O2556" t="s" s="2">
        <v>305</v>
      </c>
      <c r="P2556" t="s" s="2">
        <v>4950</v>
      </c>
      <c r="Q2556" t="s" s="2">
        <v>4942</v>
      </c>
      <c r="R2556" t="s" s="2">
        <f>_xlfn.IFERROR(INDEX('model_byCAP'!$D$2:$D$377,MATCH(Q2556,'model_byCAP'!$A$2:$A$377,0)),0)</f>
        <v>4042</v>
      </c>
    </row>
    <row r="2557" ht="15.35" customHeight="1">
      <c r="A2557" t="s" s="2">
        <v>4951</v>
      </c>
      <c r="B2557" s="4">
        <v>36529</v>
      </c>
      <c r="C2557" s="5">
        <v>750</v>
      </c>
      <c r="D2557" s="5">
        <v>48</v>
      </c>
      <c r="E2557" s="5">
        <v>45</v>
      </c>
      <c r="F2557" t="s" s="2">
        <v>3604</v>
      </c>
      <c r="G2557" t="s" s="2">
        <v>4939</v>
      </c>
      <c r="H2557" s="5">
        <v>813</v>
      </c>
      <c r="I2557" t="s" s="2">
        <v>1708</v>
      </c>
      <c r="J2557" t="s" s="2">
        <v>22</v>
      </c>
      <c r="K2557" t="s" s="2">
        <v>3766</v>
      </c>
      <c r="L2557" t="s" s="2">
        <v>4952</v>
      </c>
      <c r="M2557" s="5">
        <v>579425.01</v>
      </c>
      <c r="N2557" s="5">
        <v>6382570.79</v>
      </c>
      <c r="O2557" t="s" s="2">
        <v>305</v>
      </c>
      <c r="P2557" t="s" s="2">
        <v>4953</v>
      </c>
      <c r="Q2557" t="s" s="2">
        <v>4942</v>
      </c>
      <c r="R2557" t="s" s="2">
        <f>_xlfn.IFERROR(INDEX('model_byCAP'!$D$2:$D$377,MATCH(Q2557,'model_byCAP'!$A$2:$A$377,0)),0)</f>
        <v>4042</v>
      </c>
    </row>
    <row r="2558" ht="15.35" customHeight="1">
      <c r="A2558" t="s" s="2">
        <v>4954</v>
      </c>
      <c r="B2558" s="4">
        <v>36558</v>
      </c>
      <c r="C2558" s="5">
        <v>750</v>
      </c>
      <c r="D2558" s="5">
        <v>48</v>
      </c>
      <c r="E2558" s="5">
        <v>45</v>
      </c>
      <c r="F2558" t="s" s="2">
        <v>3604</v>
      </c>
      <c r="G2558" t="s" s="2">
        <v>4939</v>
      </c>
      <c r="H2558" s="5">
        <v>813</v>
      </c>
      <c r="I2558" t="s" s="2">
        <v>1708</v>
      </c>
      <c r="J2558" t="s" s="2">
        <v>22</v>
      </c>
      <c r="K2558" t="s" s="2">
        <v>3766</v>
      </c>
      <c r="L2558" t="s" s="2">
        <v>4955</v>
      </c>
      <c r="M2558" s="5">
        <v>579662.85</v>
      </c>
      <c r="N2558" s="5">
        <v>6382697.04</v>
      </c>
      <c r="O2558" t="s" s="2">
        <v>305</v>
      </c>
      <c r="P2558" t="s" s="2">
        <v>4956</v>
      </c>
      <c r="Q2558" t="s" s="2">
        <v>4942</v>
      </c>
      <c r="R2558" t="s" s="2">
        <f>_xlfn.IFERROR(INDEX('model_byCAP'!$D$2:$D$377,MATCH(Q2558,'model_byCAP'!$A$2:$A$377,0)),0)</f>
        <v>4042</v>
      </c>
    </row>
    <row r="2559" ht="15.35" customHeight="1">
      <c r="A2559" t="s" s="2">
        <v>4957</v>
      </c>
      <c r="B2559" s="4">
        <v>36529</v>
      </c>
      <c r="C2559" s="5">
        <v>750</v>
      </c>
      <c r="D2559" s="5">
        <v>48</v>
      </c>
      <c r="E2559" s="5">
        <v>45</v>
      </c>
      <c r="F2559" t="s" s="2">
        <v>3604</v>
      </c>
      <c r="G2559" t="s" s="2">
        <v>4939</v>
      </c>
      <c r="H2559" s="5">
        <v>813</v>
      </c>
      <c r="I2559" t="s" s="2">
        <v>1708</v>
      </c>
      <c r="J2559" t="s" s="2">
        <v>22</v>
      </c>
      <c r="K2559" t="s" s="2">
        <v>3766</v>
      </c>
      <c r="L2559" t="s" s="2">
        <v>4955</v>
      </c>
      <c r="M2559" s="5">
        <v>579386.77</v>
      </c>
      <c r="N2559" s="5">
        <v>6382353.46</v>
      </c>
      <c r="O2559" t="s" s="2">
        <v>305</v>
      </c>
      <c r="P2559" t="s" s="2">
        <v>4958</v>
      </c>
      <c r="Q2559" t="s" s="2">
        <v>4942</v>
      </c>
      <c r="R2559" t="s" s="2">
        <f>_xlfn.IFERROR(INDEX('model_byCAP'!$D$2:$D$377,MATCH(Q2559,'model_byCAP'!$A$2:$A$377,0)),0)</f>
        <v>4042</v>
      </c>
    </row>
    <row r="2560" ht="15.35" customHeight="1">
      <c r="A2560" t="s" s="2">
        <v>4959</v>
      </c>
      <c r="B2560" s="4">
        <v>36529</v>
      </c>
      <c r="C2560" s="5">
        <v>750</v>
      </c>
      <c r="D2560" s="5">
        <v>48</v>
      </c>
      <c r="E2560" s="5">
        <v>45</v>
      </c>
      <c r="F2560" t="s" s="2">
        <v>3604</v>
      </c>
      <c r="G2560" t="s" s="2">
        <v>4939</v>
      </c>
      <c r="H2560" s="5">
        <v>813</v>
      </c>
      <c r="I2560" t="s" s="2">
        <v>1708</v>
      </c>
      <c r="J2560" t="s" s="2">
        <v>22</v>
      </c>
      <c r="K2560" t="s" s="2">
        <v>3766</v>
      </c>
      <c r="L2560" t="s" s="2">
        <v>4955</v>
      </c>
      <c r="M2560" s="5">
        <v>579624.91</v>
      </c>
      <c r="N2560" s="5">
        <v>6382480.01</v>
      </c>
      <c r="O2560" t="s" s="2">
        <v>305</v>
      </c>
      <c r="P2560" t="s" s="2">
        <v>4960</v>
      </c>
      <c r="Q2560" t="s" s="2">
        <v>4942</v>
      </c>
      <c r="R2560" t="s" s="2">
        <f>_xlfn.IFERROR(INDEX('model_byCAP'!$D$2:$D$377,MATCH(Q2560,'model_byCAP'!$A$2:$A$377,0)),0)</f>
        <v>4042</v>
      </c>
    </row>
    <row r="2561" ht="15.35" customHeight="1">
      <c r="A2561" t="s" s="2">
        <v>4961</v>
      </c>
      <c r="B2561" s="4">
        <v>36529</v>
      </c>
      <c r="C2561" s="5">
        <v>750</v>
      </c>
      <c r="D2561" s="5">
        <v>48</v>
      </c>
      <c r="E2561" s="5">
        <v>45</v>
      </c>
      <c r="F2561" t="s" s="2">
        <v>3604</v>
      </c>
      <c r="G2561" t="s" s="2">
        <v>4939</v>
      </c>
      <c r="H2561" s="5">
        <v>813</v>
      </c>
      <c r="I2561" t="s" s="2">
        <v>1708</v>
      </c>
      <c r="J2561" t="s" s="2">
        <v>22</v>
      </c>
      <c r="K2561" t="s" s="2">
        <v>3766</v>
      </c>
      <c r="L2561" s="5">
        <v>6</v>
      </c>
      <c r="M2561" s="5">
        <v>579863.42</v>
      </c>
      <c r="N2561" s="5">
        <v>6382605.3</v>
      </c>
      <c r="O2561" t="s" s="2">
        <v>305</v>
      </c>
      <c r="P2561" t="s" s="2">
        <v>4962</v>
      </c>
      <c r="Q2561" t="s" s="2">
        <v>4942</v>
      </c>
      <c r="R2561" t="s" s="2">
        <f>_xlfn.IFERROR(INDEX('model_byCAP'!$D$2:$D$377,MATCH(Q2561,'model_byCAP'!$A$2:$A$377,0)),0)</f>
        <v>4042</v>
      </c>
    </row>
    <row r="2562" ht="15.35" customHeight="1">
      <c r="A2562" t="s" s="2">
        <v>4963</v>
      </c>
      <c r="B2562" s="4">
        <v>36542</v>
      </c>
      <c r="C2562" s="5">
        <v>750</v>
      </c>
      <c r="D2562" s="5">
        <v>44</v>
      </c>
      <c r="E2562" s="5">
        <v>46</v>
      </c>
      <c r="F2562" t="s" s="2">
        <v>1746</v>
      </c>
      <c r="G2562" t="s" s="2">
        <v>4964</v>
      </c>
      <c r="H2562" s="5">
        <v>813</v>
      </c>
      <c r="I2562" t="s" s="2">
        <v>1708</v>
      </c>
      <c r="J2562" t="s" s="2">
        <v>22</v>
      </c>
      <c r="K2562" t="s" s="2">
        <v>4965</v>
      </c>
      <c r="L2562" t="s" s="2">
        <v>1345</v>
      </c>
      <c r="M2562" s="5">
        <v>586300.99</v>
      </c>
      <c r="N2562" s="5">
        <v>6339389.51</v>
      </c>
      <c r="O2562" t="s" s="2">
        <v>305</v>
      </c>
      <c r="P2562" t="s" s="2">
        <v>4966</v>
      </c>
      <c r="Q2562" t="s" s="2">
        <v>4967</v>
      </c>
      <c r="R2562" t="s" s="2">
        <f>_xlfn.IFERROR(INDEX('model_byCAP'!$D$2:$D$377,MATCH(Q2562,'model_byCAP'!$A$2:$A$377,0)),0)</f>
        <v>4042</v>
      </c>
    </row>
    <row r="2563" ht="15.35" customHeight="1">
      <c r="A2563" t="s" s="2">
        <v>4968</v>
      </c>
      <c r="B2563" s="4">
        <v>36509</v>
      </c>
      <c r="C2563" s="5">
        <v>750</v>
      </c>
      <c r="D2563" s="5">
        <v>44</v>
      </c>
      <c r="E2563" s="5">
        <v>46</v>
      </c>
      <c r="F2563" t="s" s="2">
        <v>1746</v>
      </c>
      <c r="G2563" t="s" s="2">
        <v>4964</v>
      </c>
      <c r="H2563" s="5">
        <v>813</v>
      </c>
      <c r="I2563" t="s" s="2">
        <v>1708</v>
      </c>
      <c r="J2563" t="s" s="2">
        <v>22</v>
      </c>
      <c r="K2563" t="s" s="2">
        <v>4965</v>
      </c>
      <c r="L2563" t="s" s="2">
        <v>4162</v>
      </c>
      <c r="M2563" s="5">
        <v>586203.15</v>
      </c>
      <c r="N2563" s="5">
        <v>6339159.57</v>
      </c>
      <c r="O2563" t="s" s="2">
        <v>305</v>
      </c>
      <c r="P2563" t="s" s="2">
        <v>4966</v>
      </c>
      <c r="Q2563" t="s" s="2">
        <v>4967</v>
      </c>
      <c r="R2563" t="s" s="2">
        <f>_xlfn.IFERROR(INDEX('model_byCAP'!$D$2:$D$377,MATCH(Q2563,'model_byCAP'!$A$2:$A$377,0)),0)</f>
        <v>4042</v>
      </c>
    </row>
    <row r="2564" ht="15.35" customHeight="1">
      <c r="A2564" t="s" s="2">
        <v>4969</v>
      </c>
      <c r="B2564" s="4">
        <v>36553</v>
      </c>
      <c r="C2564" s="5">
        <v>750</v>
      </c>
      <c r="D2564" s="5">
        <v>44</v>
      </c>
      <c r="E2564" s="5">
        <v>46</v>
      </c>
      <c r="F2564" t="s" s="2">
        <v>1746</v>
      </c>
      <c r="G2564" t="s" s="2">
        <v>4964</v>
      </c>
      <c r="H2564" s="5">
        <v>813</v>
      </c>
      <c r="I2564" t="s" s="2">
        <v>1708</v>
      </c>
      <c r="J2564" t="s" s="2">
        <v>22</v>
      </c>
      <c r="K2564" t="s" s="2">
        <v>4965</v>
      </c>
      <c r="L2564" t="s" s="2">
        <v>4970</v>
      </c>
      <c r="M2564" s="5">
        <v>586104.49</v>
      </c>
      <c r="N2564" s="5">
        <v>6338928.5</v>
      </c>
      <c r="O2564" t="s" s="2">
        <v>305</v>
      </c>
      <c r="P2564" t="s" s="2">
        <v>4966</v>
      </c>
      <c r="Q2564" t="s" s="2">
        <v>4967</v>
      </c>
      <c r="R2564" t="s" s="2">
        <f>_xlfn.IFERROR(INDEX('model_byCAP'!$D$2:$D$377,MATCH(Q2564,'model_byCAP'!$A$2:$A$377,0)),0)</f>
        <v>4042</v>
      </c>
    </row>
    <row r="2565" ht="15.35" customHeight="1">
      <c r="A2565" t="s" s="2">
        <v>4971</v>
      </c>
      <c r="B2565" s="4">
        <v>36509</v>
      </c>
      <c r="C2565" s="5">
        <v>750</v>
      </c>
      <c r="D2565" s="5">
        <v>44</v>
      </c>
      <c r="E2565" s="5">
        <v>46</v>
      </c>
      <c r="F2565" t="s" s="2">
        <v>1746</v>
      </c>
      <c r="G2565" t="s" s="2">
        <v>4964</v>
      </c>
      <c r="H2565" s="5">
        <v>813</v>
      </c>
      <c r="I2565" t="s" s="2">
        <v>1708</v>
      </c>
      <c r="J2565" t="s" s="2">
        <v>22</v>
      </c>
      <c r="K2565" t="s" s="2">
        <v>4965</v>
      </c>
      <c r="L2565" t="s" s="2">
        <v>3375</v>
      </c>
      <c r="M2565" s="5">
        <v>586011.45</v>
      </c>
      <c r="N2565" s="5">
        <v>6338698.11</v>
      </c>
      <c r="O2565" t="s" s="2">
        <v>305</v>
      </c>
      <c r="P2565" t="s" s="2">
        <v>4966</v>
      </c>
      <c r="Q2565" t="s" s="2">
        <v>4967</v>
      </c>
      <c r="R2565" t="s" s="2">
        <f>_xlfn.IFERROR(INDEX('model_byCAP'!$D$2:$D$377,MATCH(Q2565,'model_byCAP'!$A$2:$A$377,0)),0)</f>
        <v>4042</v>
      </c>
    </row>
    <row r="2566" ht="15.35" customHeight="1">
      <c r="A2566" t="s" s="2">
        <v>4972</v>
      </c>
      <c r="B2566" s="4">
        <v>35706</v>
      </c>
      <c r="C2566" s="5">
        <v>750</v>
      </c>
      <c r="D2566" s="5">
        <v>44</v>
      </c>
      <c r="E2566" s="5">
        <v>50</v>
      </c>
      <c r="F2566" t="s" s="2">
        <v>1746</v>
      </c>
      <c r="G2566" t="s" s="2">
        <v>4050</v>
      </c>
      <c r="H2566" s="5">
        <v>820</v>
      </c>
      <c r="I2566" t="s" s="2">
        <v>388</v>
      </c>
      <c r="J2566" t="s" s="2">
        <v>22</v>
      </c>
      <c r="K2566" t="s" s="2">
        <v>4973</v>
      </c>
      <c r="L2566" t="s" s="2">
        <v>481</v>
      </c>
      <c r="M2566" s="5">
        <v>525119.13</v>
      </c>
      <c r="N2566" s="5">
        <v>6296184.71</v>
      </c>
      <c r="O2566" t="s" s="2">
        <v>305</v>
      </c>
      <c r="P2566" s="5">
        <v>370</v>
      </c>
      <c r="Q2566" t="s" s="2">
        <v>4053</v>
      </c>
      <c r="R2566" t="s" s="2">
        <f>_xlfn.IFERROR(INDEX('model_byCAP'!$D$2:$D$377,MATCH(Q2566,'model_byCAP'!$A$2:$A$377,0)),0)</f>
        <v>2955</v>
      </c>
    </row>
    <row r="2567" ht="15.35" customHeight="1">
      <c r="A2567" t="s" s="2">
        <v>4974</v>
      </c>
      <c r="B2567" s="4">
        <v>35706</v>
      </c>
      <c r="C2567" s="5">
        <v>750</v>
      </c>
      <c r="D2567" s="5">
        <v>44</v>
      </c>
      <c r="E2567" s="5">
        <v>50</v>
      </c>
      <c r="F2567" t="s" s="2">
        <v>1746</v>
      </c>
      <c r="G2567" t="s" s="2">
        <v>4050</v>
      </c>
      <c r="H2567" s="5">
        <v>820</v>
      </c>
      <c r="I2567" t="s" s="2">
        <v>388</v>
      </c>
      <c r="J2567" t="s" s="2">
        <v>22</v>
      </c>
      <c r="K2567" t="s" s="2">
        <v>4975</v>
      </c>
      <c r="L2567" t="s" s="2">
        <v>1260</v>
      </c>
      <c r="M2567" s="5">
        <v>525013.62</v>
      </c>
      <c r="N2567" s="5">
        <v>6294754.86</v>
      </c>
      <c r="O2567" t="s" s="2">
        <v>305</v>
      </c>
      <c r="P2567" s="5">
        <v>371</v>
      </c>
      <c r="Q2567" t="s" s="2">
        <v>4053</v>
      </c>
      <c r="R2567" t="s" s="2">
        <f>_xlfn.IFERROR(INDEX('model_byCAP'!$D$2:$D$377,MATCH(Q2567,'model_byCAP'!$A$2:$A$377,0)),0)</f>
        <v>2955</v>
      </c>
    </row>
    <row r="2568" ht="15.35" customHeight="1">
      <c r="A2568" t="s" s="2">
        <v>4976</v>
      </c>
      <c r="B2568" s="4">
        <v>35947</v>
      </c>
      <c r="C2568" s="5">
        <v>750</v>
      </c>
      <c r="D2568" s="5">
        <v>44</v>
      </c>
      <c r="E2568" s="5">
        <v>48</v>
      </c>
      <c r="F2568" t="s" s="2">
        <v>1746</v>
      </c>
      <c r="G2568" t="s" s="2">
        <v>4151</v>
      </c>
      <c r="H2568" s="5">
        <v>820</v>
      </c>
      <c r="I2568" t="s" s="2">
        <v>388</v>
      </c>
      <c r="J2568" t="s" s="2">
        <v>22</v>
      </c>
      <c r="K2568" t="s" s="2">
        <v>4977</v>
      </c>
      <c r="L2568" t="s" s="2">
        <v>1445</v>
      </c>
      <c r="M2568" s="5">
        <v>521967.95</v>
      </c>
      <c r="N2568" s="5">
        <v>6294996.55</v>
      </c>
      <c r="O2568" t="s" s="2">
        <v>305</v>
      </c>
      <c r="P2568" s="5">
        <v>507</v>
      </c>
      <c r="Q2568" t="s" s="2">
        <v>4154</v>
      </c>
      <c r="R2568" t="s" s="2">
        <f>_xlfn.IFERROR(INDEX('model_byCAP'!$D$2:$D$377,MATCH(Q2568,'model_byCAP'!$A$2:$A$377,0)),0)</f>
        <v>4047</v>
      </c>
    </row>
    <row r="2569" ht="15.35" customHeight="1">
      <c r="A2569" t="s" s="2">
        <v>4978</v>
      </c>
      <c r="B2569" s="4">
        <v>36105</v>
      </c>
      <c r="C2569" s="5">
        <v>750</v>
      </c>
      <c r="D2569" s="5">
        <v>44</v>
      </c>
      <c r="E2569" s="5">
        <v>40</v>
      </c>
      <c r="F2569" t="s" s="2">
        <v>1746</v>
      </c>
      <c r="G2569" t="s" s="2">
        <v>4136</v>
      </c>
      <c r="H2569" s="5">
        <v>820</v>
      </c>
      <c r="I2569" t="s" s="2">
        <v>388</v>
      </c>
      <c r="J2569" t="s" s="2">
        <v>22</v>
      </c>
      <c r="K2569" t="s" s="2">
        <v>4979</v>
      </c>
      <c r="L2569" t="s" s="2">
        <v>4980</v>
      </c>
      <c r="M2569" s="5">
        <v>518014.75</v>
      </c>
      <c r="N2569" s="5">
        <v>6314084.19</v>
      </c>
      <c r="O2569" t="s" s="2">
        <v>305</v>
      </c>
      <c r="P2569" s="5">
        <v>389</v>
      </c>
      <c r="Q2569" t="s" s="2">
        <v>4137</v>
      </c>
      <c r="R2569" t="s" s="2">
        <f>_xlfn.IFERROR(INDEX('model_byCAP'!$D$2:$D$377,MATCH(Q2569,'model_byCAP'!$A$2:$A$377,0)),0)</f>
        <v>4042</v>
      </c>
    </row>
    <row r="2570" ht="15.35" customHeight="1">
      <c r="A2570" t="s" s="2">
        <v>4981</v>
      </c>
      <c r="B2570" s="4">
        <v>36105</v>
      </c>
      <c r="C2570" s="5">
        <v>750</v>
      </c>
      <c r="D2570" s="5">
        <v>44</v>
      </c>
      <c r="E2570" s="5">
        <v>40</v>
      </c>
      <c r="F2570" t="s" s="2">
        <v>1746</v>
      </c>
      <c r="G2570" t="s" s="2">
        <v>4136</v>
      </c>
      <c r="H2570" s="5">
        <v>820</v>
      </c>
      <c r="I2570" t="s" s="2">
        <v>388</v>
      </c>
      <c r="J2570" t="s" s="2">
        <v>22</v>
      </c>
      <c r="K2570" t="s" s="2">
        <v>4979</v>
      </c>
      <c r="L2570" t="s" s="2">
        <v>4980</v>
      </c>
      <c r="M2570" s="5">
        <v>518050.97</v>
      </c>
      <c r="N2570" s="5">
        <v>6313888.47</v>
      </c>
      <c r="O2570" t="s" s="2">
        <v>305</v>
      </c>
      <c r="P2570" s="5">
        <v>390</v>
      </c>
      <c r="Q2570" t="s" s="2">
        <v>4137</v>
      </c>
      <c r="R2570" t="s" s="2">
        <f>_xlfn.IFERROR(INDEX('model_byCAP'!$D$2:$D$377,MATCH(Q2570,'model_byCAP'!$A$2:$A$377,0)),0)</f>
        <v>4042</v>
      </c>
    </row>
    <row r="2571" ht="15.35" customHeight="1">
      <c r="A2571" t="s" s="2">
        <v>4982</v>
      </c>
      <c r="B2571" s="4">
        <v>36105</v>
      </c>
      <c r="C2571" s="5">
        <v>750</v>
      </c>
      <c r="D2571" s="5">
        <v>44</v>
      </c>
      <c r="E2571" s="5">
        <v>40</v>
      </c>
      <c r="F2571" t="s" s="2">
        <v>1746</v>
      </c>
      <c r="G2571" t="s" s="2">
        <v>4136</v>
      </c>
      <c r="H2571" s="5">
        <v>820</v>
      </c>
      <c r="I2571" t="s" s="2">
        <v>388</v>
      </c>
      <c r="J2571" t="s" s="2">
        <v>22</v>
      </c>
      <c r="K2571" t="s" s="2">
        <v>4979</v>
      </c>
      <c r="L2571" t="s" s="2">
        <v>4983</v>
      </c>
      <c r="M2571" s="5">
        <v>518086.01</v>
      </c>
      <c r="N2571" s="5">
        <v>6313693.92</v>
      </c>
      <c r="O2571" t="s" s="2">
        <v>305</v>
      </c>
      <c r="P2571" s="5">
        <v>391</v>
      </c>
      <c r="Q2571" t="s" s="2">
        <v>4137</v>
      </c>
      <c r="R2571" t="s" s="2">
        <f>_xlfn.IFERROR(INDEX('model_byCAP'!$D$2:$D$377,MATCH(Q2571,'model_byCAP'!$A$2:$A$377,0)),0)</f>
        <v>4042</v>
      </c>
    </row>
    <row r="2572" ht="15.35" customHeight="1">
      <c r="A2572" t="s" s="2">
        <v>4984</v>
      </c>
      <c r="B2572" s="4">
        <v>36097</v>
      </c>
      <c r="C2572" s="5">
        <v>750</v>
      </c>
      <c r="D2572" s="5">
        <v>48</v>
      </c>
      <c r="E2572" s="5">
        <v>48</v>
      </c>
      <c r="F2572" t="s" s="2">
        <v>1746</v>
      </c>
      <c r="G2572" t="s" s="2">
        <v>4151</v>
      </c>
      <c r="H2572" s="5">
        <v>820</v>
      </c>
      <c r="I2572" t="s" s="2">
        <v>388</v>
      </c>
      <c r="J2572" t="s" s="2">
        <v>22</v>
      </c>
      <c r="K2572" t="s" s="2">
        <v>4985</v>
      </c>
      <c r="L2572" t="s" s="2">
        <v>4986</v>
      </c>
      <c r="M2572" s="5">
        <v>531300.54</v>
      </c>
      <c r="N2572" s="5">
        <v>6304456.44</v>
      </c>
      <c r="O2572" t="s" s="2">
        <v>305</v>
      </c>
      <c r="P2572" s="5">
        <v>9000393</v>
      </c>
      <c r="Q2572" t="s" s="2">
        <v>4154</v>
      </c>
      <c r="R2572" t="s" s="2">
        <f>_xlfn.IFERROR(INDEX('model_byCAP'!$D$2:$D$377,MATCH(Q2572,'model_byCAP'!$A$2:$A$377,0)),0)</f>
        <v>4047</v>
      </c>
    </row>
    <row r="2573" ht="15.35" customHeight="1">
      <c r="A2573" t="s" s="2">
        <v>4987</v>
      </c>
      <c r="B2573" s="4">
        <v>36096</v>
      </c>
      <c r="C2573" s="5">
        <v>750</v>
      </c>
      <c r="D2573" s="5">
        <v>48</v>
      </c>
      <c r="E2573" s="5">
        <v>48</v>
      </c>
      <c r="F2573" t="s" s="2">
        <v>1746</v>
      </c>
      <c r="G2573" t="s" s="2">
        <v>4151</v>
      </c>
      <c r="H2573" s="5">
        <v>820</v>
      </c>
      <c r="I2573" t="s" s="2">
        <v>388</v>
      </c>
      <c r="J2573" t="s" s="2">
        <v>22</v>
      </c>
      <c r="K2573" t="s" s="2">
        <v>4985</v>
      </c>
      <c r="L2573" t="s" s="2">
        <v>4988</v>
      </c>
      <c r="M2573" s="5">
        <v>531480.86</v>
      </c>
      <c r="N2573" s="5">
        <v>6304383.17</v>
      </c>
      <c r="O2573" t="s" s="2">
        <v>305</v>
      </c>
      <c r="P2573" s="5">
        <v>394</v>
      </c>
      <c r="Q2573" t="s" s="2">
        <v>4154</v>
      </c>
      <c r="R2573" t="s" s="2">
        <f>_xlfn.IFERROR(INDEX('model_byCAP'!$D$2:$D$377,MATCH(Q2573,'model_byCAP'!$A$2:$A$377,0)),0)</f>
        <v>4047</v>
      </c>
    </row>
    <row r="2574" ht="15.35" customHeight="1">
      <c r="A2574" t="s" s="2">
        <v>4989</v>
      </c>
      <c r="B2574" s="4">
        <v>36096</v>
      </c>
      <c r="C2574" s="5">
        <v>750</v>
      </c>
      <c r="D2574" s="5">
        <v>48</v>
      </c>
      <c r="E2574" s="5">
        <v>48</v>
      </c>
      <c r="F2574" t="s" s="2">
        <v>1746</v>
      </c>
      <c r="G2574" t="s" s="2">
        <v>4151</v>
      </c>
      <c r="H2574" s="5">
        <v>820</v>
      </c>
      <c r="I2574" t="s" s="2">
        <v>388</v>
      </c>
      <c r="J2574" t="s" s="2">
        <v>22</v>
      </c>
      <c r="K2574" t="s" s="2">
        <v>4985</v>
      </c>
      <c r="L2574" t="s" s="2">
        <v>4990</v>
      </c>
      <c r="M2574" s="5">
        <v>531661.3</v>
      </c>
      <c r="N2574" s="5">
        <v>6304309.83</v>
      </c>
      <c r="O2574" t="s" s="2">
        <v>305</v>
      </c>
      <c r="P2574" s="5">
        <v>9000394</v>
      </c>
      <c r="Q2574" t="s" s="2">
        <v>4154</v>
      </c>
      <c r="R2574" t="s" s="2">
        <f>_xlfn.IFERROR(INDEX('model_byCAP'!$D$2:$D$377,MATCH(Q2574,'model_byCAP'!$A$2:$A$377,0)),0)</f>
        <v>4047</v>
      </c>
    </row>
    <row r="2575" ht="15.35" customHeight="1">
      <c r="A2575" t="s" s="2">
        <v>4991</v>
      </c>
      <c r="B2575" s="4">
        <v>36110</v>
      </c>
      <c r="C2575" s="5">
        <v>750</v>
      </c>
      <c r="D2575" s="5">
        <v>48</v>
      </c>
      <c r="E2575" s="5">
        <v>45</v>
      </c>
      <c r="F2575" t="s" s="2">
        <v>1746</v>
      </c>
      <c r="G2575" t="s" s="2">
        <v>4151</v>
      </c>
      <c r="H2575" s="5">
        <v>820</v>
      </c>
      <c r="I2575" t="s" s="2">
        <v>388</v>
      </c>
      <c r="J2575" t="s" s="2">
        <v>22</v>
      </c>
      <c r="K2575" t="s" s="2">
        <v>4992</v>
      </c>
      <c r="L2575" t="s" s="2">
        <v>498</v>
      </c>
      <c r="M2575" s="5">
        <v>529694.65</v>
      </c>
      <c r="N2575" s="5">
        <v>6304317.19</v>
      </c>
      <c r="O2575" t="s" s="2">
        <v>305</v>
      </c>
      <c r="P2575" s="5">
        <v>395</v>
      </c>
      <c r="Q2575" t="s" s="2">
        <v>4154</v>
      </c>
      <c r="R2575" t="s" s="2">
        <f>_xlfn.IFERROR(INDEX('model_byCAP'!$D$2:$D$377,MATCH(Q2575,'model_byCAP'!$A$2:$A$377,0)),0)</f>
        <v>4047</v>
      </c>
    </row>
    <row r="2576" ht="15.35" customHeight="1">
      <c r="A2576" t="s" s="2">
        <v>4993</v>
      </c>
      <c r="B2576" s="4">
        <v>36110</v>
      </c>
      <c r="C2576" s="5">
        <v>750</v>
      </c>
      <c r="D2576" s="5">
        <v>48</v>
      </c>
      <c r="E2576" s="5">
        <v>45</v>
      </c>
      <c r="F2576" t="s" s="2">
        <v>1746</v>
      </c>
      <c r="G2576" t="s" s="2">
        <v>4151</v>
      </c>
      <c r="H2576" s="5">
        <v>820</v>
      </c>
      <c r="I2576" t="s" s="2">
        <v>388</v>
      </c>
      <c r="J2576" t="s" s="2">
        <v>22</v>
      </c>
      <c r="K2576" t="s" s="2">
        <v>4994</v>
      </c>
      <c r="L2576" t="s" s="2">
        <v>1165</v>
      </c>
      <c r="M2576" s="5">
        <v>529749.6899999999</v>
      </c>
      <c r="N2576" s="5">
        <v>6304116.5</v>
      </c>
      <c r="O2576" t="s" s="2">
        <v>305</v>
      </c>
      <c r="P2576" s="5">
        <v>396</v>
      </c>
      <c r="Q2576" t="s" s="2">
        <v>4154</v>
      </c>
      <c r="R2576" t="s" s="2">
        <f>_xlfn.IFERROR(INDEX('model_byCAP'!$D$2:$D$377,MATCH(Q2576,'model_byCAP'!$A$2:$A$377,0)),0)</f>
        <v>4047</v>
      </c>
    </row>
    <row r="2577" ht="15.35" customHeight="1">
      <c r="A2577" t="s" s="2">
        <v>4995</v>
      </c>
      <c r="B2577" s="4">
        <v>36110</v>
      </c>
      <c r="C2577" s="5">
        <v>750</v>
      </c>
      <c r="D2577" s="5">
        <v>48</v>
      </c>
      <c r="E2577" s="5">
        <v>45</v>
      </c>
      <c r="F2577" t="s" s="2">
        <v>1746</v>
      </c>
      <c r="G2577" t="s" s="2">
        <v>4151</v>
      </c>
      <c r="H2577" s="5">
        <v>820</v>
      </c>
      <c r="I2577" t="s" s="2">
        <v>388</v>
      </c>
      <c r="J2577" t="s" s="2">
        <v>22</v>
      </c>
      <c r="K2577" t="s" s="2">
        <v>4994</v>
      </c>
      <c r="L2577" t="s" s="2">
        <v>582</v>
      </c>
      <c r="M2577" s="5">
        <v>529532.96</v>
      </c>
      <c r="N2577" s="5">
        <v>6304162.47</v>
      </c>
      <c r="O2577" t="s" s="2">
        <v>305</v>
      </c>
      <c r="P2577" s="5">
        <v>397</v>
      </c>
      <c r="Q2577" t="s" s="2">
        <v>4154</v>
      </c>
      <c r="R2577" t="s" s="2">
        <f>_xlfn.IFERROR(INDEX('model_byCAP'!$D$2:$D$377,MATCH(Q2577,'model_byCAP'!$A$2:$A$377,0)),0)</f>
        <v>4047</v>
      </c>
    </row>
    <row r="2578" ht="15.35" customHeight="1">
      <c r="A2578" t="s" s="2">
        <v>4996</v>
      </c>
      <c r="B2578" s="4">
        <v>36150</v>
      </c>
      <c r="C2578" s="5">
        <v>750</v>
      </c>
      <c r="D2578" s="5">
        <v>48</v>
      </c>
      <c r="E2578" s="5">
        <v>45</v>
      </c>
      <c r="F2578" t="s" s="2">
        <v>1746</v>
      </c>
      <c r="G2578" t="s" s="2">
        <v>4151</v>
      </c>
      <c r="H2578" s="5">
        <v>820</v>
      </c>
      <c r="I2578" t="s" s="2">
        <v>388</v>
      </c>
      <c r="J2578" t="s" s="2">
        <v>22</v>
      </c>
      <c r="K2578" t="s" s="2">
        <v>4997</v>
      </c>
      <c r="L2578" t="s" s="2">
        <v>4998</v>
      </c>
      <c r="M2578" s="5">
        <v>528808.86</v>
      </c>
      <c r="N2578" s="5">
        <v>6306651.38</v>
      </c>
      <c r="O2578" t="s" s="2">
        <v>305</v>
      </c>
      <c r="P2578" s="5">
        <v>401</v>
      </c>
      <c r="Q2578" t="s" s="2">
        <v>4154</v>
      </c>
      <c r="R2578" t="s" s="2">
        <f>_xlfn.IFERROR(INDEX('model_byCAP'!$D$2:$D$377,MATCH(Q2578,'model_byCAP'!$A$2:$A$377,0)),0)</f>
        <v>4047</v>
      </c>
    </row>
    <row r="2579" ht="15.35" customHeight="1">
      <c r="A2579" t="s" s="2">
        <v>4999</v>
      </c>
      <c r="B2579" s="4">
        <v>36150</v>
      </c>
      <c r="C2579" s="5">
        <v>750</v>
      </c>
      <c r="D2579" s="5">
        <v>48</v>
      </c>
      <c r="E2579" s="5">
        <v>45</v>
      </c>
      <c r="F2579" t="s" s="2">
        <v>1746</v>
      </c>
      <c r="G2579" t="s" s="2">
        <v>4151</v>
      </c>
      <c r="H2579" s="5">
        <v>820</v>
      </c>
      <c r="I2579" t="s" s="2">
        <v>388</v>
      </c>
      <c r="J2579" t="s" s="2">
        <v>22</v>
      </c>
      <c r="K2579" t="s" s="2">
        <v>4997</v>
      </c>
      <c r="L2579" t="s" s="2">
        <v>4998</v>
      </c>
      <c r="M2579" s="5">
        <v>528766.5600000001</v>
      </c>
      <c r="N2579" s="5">
        <v>6306466.04</v>
      </c>
      <c r="O2579" t="s" s="2">
        <v>305</v>
      </c>
      <c r="P2579" s="5">
        <v>402</v>
      </c>
      <c r="Q2579" t="s" s="2">
        <v>4154</v>
      </c>
      <c r="R2579" t="s" s="2">
        <f>_xlfn.IFERROR(INDEX('model_byCAP'!$D$2:$D$377,MATCH(Q2579,'model_byCAP'!$A$2:$A$377,0)),0)</f>
        <v>4047</v>
      </c>
    </row>
    <row r="2580" ht="15.35" customHeight="1">
      <c r="A2580" t="s" s="2">
        <v>5000</v>
      </c>
      <c r="B2580" s="4">
        <v>36150</v>
      </c>
      <c r="C2580" s="5">
        <v>750</v>
      </c>
      <c r="D2580" s="5">
        <v>48</v>
      </c>
      <c r="E2580" s="5">
        <v>45</v>
      </c>
      <c r="F2580" t="s" s="2">
        <v>1746</v>
      </c>
      <c r="G2580" t="s" s="2">
        <v>4151</v>
      </c>
      <c r="H2580" s="5">
        <v>820</v>
      </c>
      <c r="I2580" t="s" s="2">
        <v>388</v>
      </c>
      <c r="J2580" t="s" s="2">
        <v>22</v>
      </c>
      <c r="K2580" t="s" s="2">
        <v>4997</v>
      </c>
      <c r="L2580" t="s" s="2">
        <v>4998</v>
      </c>
      <c r="M2580" s="5">
        <v>528724.3199999999</v>
      </c>
      <c r="N2580" s="5">
        <v>6306280.15</v>
      </c>
      <c r="O2580" t="s" s="2">
        <v>305</v>
      </c>
      <c r="P2580" s="5">
        <v>403</v>
      </c>
      <c r="Q2580" t="s" s="2">
        <v>4154</v>
      </c>
      <c r="R2580" t="s" s="2">
        <f>_xlfn.IFERROR(INDEX('model_byCAP'!$D$2:$D$377,MATCH(Q2580,'model_byCAP'!$A$2:$A$377,0)),0)</f>
        <v>4047</v>
      </c>
    </row>
    <row r="2581" ht="15.35" customHeight="1">
      <c r="A2581" t="s" s="2">
        <v>5001</v>
      </c>
      <c r="B2581" s="4">
        <v>36836</v>
      </c>
      <c r="C2581" s="5">
        <v>750</v>
      </c>
      <c r="D2581" s="5">
        <v>48</v>
      </c>
      <c r="E2581" s="5">
        <v>45</v>
      </c>
      <c r="F2581" t="s" s="2">
        <v>1746</v>
      </c>
      <c r="G2581" t="s" s="2">
        <v>4044</v>
      </c>
      <c r="H2581" s="5">
        <v>820</v>
      </c>
      <c r="I2581" t="s" s="2">
        <v>388</v>
      </c>
      <c r="J2581" t="s" s="2">
        <v>22</v>
      </c>
      <c r="K2581" t="s" s="2">
        <v>5002</v>
      </c>
      <c r="L2581" t="s" s="2">
        <v>492</v>
      </c>
      <c r="M2581" s="5">
        <v>514740.37</v>
      </c>
      <c r="N2581" s="5">
        <v>6311220.67</v>
      </c>
      <c r="O2581" t="s" s="2">
        <v>305</v>
      </c>
      <c r="P2581" s="5">
        <v>440</v>
      </c>
      <c r="Q2581" t="s" s="2">
        <v>4046</v>
      </c>
      <c r="R2581" t="s" s="2">
        <f>_xlfn.IFERROR(INDEX('model_byCAP'!$D$2:$D$377,MATCH(Q2581,'model_byCAP'!$A$2:$A$377,0)),0)</f>
        <v>4047</v>
      </c>
    </row>
    <row r="2582" ht="15.35" customHeight="1">
      <c r="A2582" t="s" s="2">
        <v>5003</v>
      </c>
      <c r="B2582" s="4">
        <v>36836</v>
      </c>
      <c r="C2582" s="5">
        <v>750</v>
      </c>
      <c r="D2582" s="5">
        <v>48</v>
      </c>
      <c r="E2582" s="5">
        <v>45</v>
      </c>
      <c r="F2582" t="s" s="2">
        <v>1746</v>
      </c>
      <c r="G2582" t="s" s="2">
        <v>4044</v>
      </c>
      <c r="H2582" s="5">
        <v>820</v>
      </c>
      <c r="I2582" t="s" s="2">
        <v>388</v>
      </c>
      <c r="J2582" t="s" s="2">
        <v>22</v>
      </c>
      <c r="K2582" t="s" s="2">
        <v>5002</v>
      </c>
      <c r="L2582" t="s" s="2">
        <v>492</v>
      </c>
      <c r="M2582" s="5">
        <v>514775.97</v>
      </c>
      <c r="N2582" s="5">
        <v>6311123.88</v>
      </c>
      <c r="O2582" t="s" s="2">
        <v>305</v>
      </c>
      <c r="P2582" s="5">
        <v>441</v>
      </c>
      <c r="Q2582" t="s" s="2">
        <v>4046</v>
      </c>
      <c r="R2582" t="s" s="2">
        <f>_xlfn.IFERROR(INDEX('model_byCAP'!$D$2:$D$377,MATCH(Q2582,'model_byCAP'!$A$2:$A$377,0)),0)</f>
        <v>4047</v>
      </c>
    </row>
    <row r="2583" ht="15.35" customHeight="1">
      <c r="A2583" t="s" s="2">
        <v>5004</v>
      </c>
      <c r="B2583" s="4">
        <v>36847</v>
      </c>
      <c r="C2583" s="5">
        <v>750</v>
      </c>
      <c r="D2583" s="5">
        <v>48</v>
      </c>
      <c r="E2583" s="5">
        <v>45</v>
      </c>
      <c r="F2583" t="s" s="2">
        <v>1746</v>
      </c>
      <c r="G2583" t="s" s="2">
        <v>4044</v>
      </c>
      <c r="H2583" s="5">
        <v>820</v>
      </c>
      <c r="I2583" t="s" s="2">
        <v>388</v>
      </c>
      <c r="J2583" t="s" s="2">
        <v>22</v>
      </c>
      <c r="K2583" t="s" s="2">
        <v>5005</v>
      </c>
      <c r="L2583" t="s" s="2">
        <v>396</v>
      </c>
      <c r="M2583" s="5">
        <v>518208.87</v>
      </c>
      <c r="N2583" s="5">
        <v>6304223.65</v>
      </c>
      <c r="O2583" t="s" s="2">
        <v>305</v>
      </c>
      <c r="P2583" s="5">
        <v>442</v>
      </c>
      <c r="Q2583" t="s" s="2">
        <v>4046</v>
      </c>
      <c r="R2583" t="s" s="2">
        <f>_xlfn.IFERROR(INDEX('model_byCAP'!$D$2:$D$377,MATCH(Q2583,'model_byCAP'!$A$2:$A$377,0)),0)</f>
        <v>4047</v>
      </c>
    </row>
    <row r="2584" ht="15.35" customHeight="1">
      <c r="A2584" t="s" s="2">
        <v>5006</v>
      </c>
      <c r="B2584" s="4">
        <v>36847</v>
      </c>
      <c r="C2584" s="5">
        <v>750</v>
      </c>
      <c r="D2584" s="5">
        <v>48</v>
      </c>
      <c r="E2584" s="5">
        <v>45</v>
      </c>
      <c r="F2584" t="s" s="2">
        <v>1746</v>
      </c>
      <c r="G2584" t="s" s="2">
        <v>4044</v>
      </c>
      <c r="H2584" s="5">
        <v>820</v>
      </c>
      <c r="I2584" t="s" s="2">
        <v>388</v>
      </c>
      <c r="J2584" t="s" s="2">
        <v>22</v>
      </c>
      <c r="K2584" t="s" s="2">
        <v>5005</v>
      </c>
      <c r="L2584" t="s" s="2">
        <v>396</v>
      </c>
      <c r="M2584" s="5">
        <v>518245.69</v>
      </c>
      <c r="N2584" s="5">
        <v>6304084.96</v>
      </c>
      <c r="O2584" t="s" s="2">
        <v>305</v>
      </c>
      <c r="P2584" s="5">
        <v>443</v>
      </c>
      <c r="Q2584" t="s" s="2">
        <v>4046</v>
      </c>
      <c r="R2584" t="s" s="2">
        <f>_xlfn.IFERROR(INDEX('model_byCAP'!$D$2:$D$377,MATCH(Q2584,'model_byCAP'!$A$2:$A$377,0)),0)</f>
        <v>4047</v>
      </c>
    </row>
    <row r="2585" ht="15.35" customHeight="1">
      <c r="A2585" t="s" s="2">
        <v>5007</v>
      </c>
      <c r="B2585" s="4">
        <v>36847</v>
      </c>
      <c r="C2585" s="5">
        <v>750</v>
      </c>
      <c r="D2585" s="5">
        <v>48</v>
      </c>
      <c r="E2585" s="5">
        <v>45</v>
      </c>
      <c r="F2585" t="s" s="2">
        <v>1746</v>
      </c>
      <c r="G2585" t="s" s="2">
        <v>4044</v>
      </c>
      <c r="H2585" s="5">
        <v>820</v>
      </c>
      <c r="I2585" t="s" s="2">
        <v>388</v>
      </c>
      <c r="J2585" t="s" s="2">
        <v>22</v>
      </c>
      <c r="K2585" t="s" s="2">
        <v>5005</v>
      </c>
      <c r="L2585" t="s" s="2">
        <v>481</v>
      </c>
      <c r="M2585" s="5">
        <v>518282.43</v>
      </c>
      <c r="N2585" s="5">
        <v>6303946.11</v>
      </c>
      <c r="O2585" t="s" s="2">
        <v>305</v>
      </c>
      <c r="P2585" s="5">
        <v>444</v>
      </c>
      <c r="Q2585" t="s" s="2">
        <v>4046</v>
      </c>
      <c r="R2585" t="s" s="2">
        <f>_xlfn.IFERROR(INDEX('model_byCAP'!$D$2:$D$377,MATCH(Q2585,'model_byCAP'!$A$2:$A$377,0)),0)</f>
        <v>4047</v>
      </c>
    </row>
    <row r="2586" ht="15.35" customHeight="1">
      <c r="A2586" t="s" s="2">
        <v>5008</v>
      </c>
      <c r="B2586" s="4">
        <v>36861</v>
      </c>
      <c r="C2586" s="5">
        <v>750</v>
      </c>
      <c r="D2586" s="5">
        <v>48</v>
      </c>
      <c r="E2586" s="5">
        <v>45</v>
      </c>
      <c r="F2586" t="s" s="2">
        <v>1746</v>
      </c>
      <c r="G2586" t="s" s="2">
        <v>4044</v>
      </c>
      <c r="H2586" s="5">
        <v>820</v>
      </c>
      <c r="I2586" t="s" s="2">
        <v>388</v>
      </c>
      <c r="J2586" t="s" s="2">
        <v>22</v>
      </c>
      <c r="K2586" t="s" s="2">
        <v>5009</v>
      </c>
      <c r="L2586" t="s" s="2">
        <v>5010</v>
      </c>
      <c r="M2586" s="5">
        <v>512270.8</v>
      </c>
      <c r="N2586" s="5">
        <v>6307479.06</v>
      </c>
      <c r="O2586" t="s" s="2">
        <v>305</v>
      </c>
      <c r="P2586" s="5">
        <v>445</v>
      </c>
      <c r="Q2586" t="s" s="2">
        <v>4046</v>
      </c>
      <c r="R2586" t="s" s="2">
        <f>_xlfn.IFERROR(INDEX('model_byCAP'!$D$2:$D$377,MATCH(Q2586,'model_byCAP'!$A$2:$A$377,0)),0)</f>
        <v>4047</v>
      </c>
    </row>
    <row r="2587" ht="15.35" customHeight="1">
      <c r="A2587" t="s" s="2">
        <v>5011</v>
      </c>
      <c r="B2587" s="4">
        <v>36861</v>
      </c>
      <c r="C2587" s="5">
        <v>750</v>
      </c>
      <c r="D2587" s="5">
        <v>48</v>
      </c>
      <c r="E2587" s="5">
        <v>45</v>
      </c>
      <c r="F2587" t="s" s="2">
        <v>1746</v>
      </c>
      <c r="G2587" t="s" s="2">
        <v>4044</v>
      </c>
      <c r="H2587" s="5">
        <v>820</v>
      </c>
      <c r="I2587" t="s" s="2">
        <v>388</v>
      </c>
      <c r="J2587" t="s" s="2">
        <v>22</v>
      </c>
      <c r="K2587" t="s" s="2">
        <v>5009</v>
      </c>
      <c r="L2587" t="s" s="2">
        <v>5010</v>
      </c>
      <c r="M2587" s="5">
        <v>512375.3</v>
      </c>
      <c r="N2587" s="5">
        <v>6307210.69</v>
      </c>
      <c r="O2587" t="s" s="2">
        <v>305</v>
      </c>
      <c r="P2587" s="5">
        <v>446</v>
      </c>
      <c r="Q2587" t="s" s="2">
        <v>4046</v>
      </c>
      <c r="R2587" t="s" s="2">
        <f>_xlfn.IFERROR(INDEX('model_byCAP'!$D$2:$D$377,MATCH(Q2587,'model_byCAP'!$A$2:$A$377,0)),0)</f>
        <v>4047</v>
      </c>
    </row>
    <row r="2588" ht="15.35" customHeight="1">
      <c r="A2588" t="s" s="2">
        <v>5012</v>
      </c>
      <c r="B2588" s="4">
        <v>36861</v>
      </c>
      <c r="C2588" s="5">
        <v>750</v>
      </c>
      <c r="D2588" s="5">
        <v>48</v>
      </c>
      <c r="E2588" s="5">
        <v>45</v>
      </c>
      <c r="F2588" t="s" s="2">
        <v>1746</v>
      </c>
      <c r="G2588" t="s" s="2">
        <v>4044</v>
      </c>
      <c r="H2588" s="5">
        <v>820</v>
      </c>
      <c r="I2588" t="s" s="2">
        <v>388</v>
      </c>
      <c r="J2588" t="s" s="2">
        <v>22</v>
      </c>
      <c r="K2588" t="s" s="2">
        <v>5009</v>
      </c>
      <c r="L2588" t="s" s="2">
        <v>4998</v>
      </c>
      <c r="M2588" s="5">
        <v>512322.75</v>
      </c>
      <c r="N2588" s="5">
        <v>6307344.78</v>
      </c>
      <c r="O2588" t="s" s="2">
        <v>305</v>
      </c>
      <c r="P2588" s="5">
        <v>447</v>
      </c>
      <c r="Q2588" t="s" s="2">
        <v>4046</v>
      </c>
      <c r="R2588" t="s" s="2">
        <f>_xlfn.IFERROR(INDEX('model_byCAP'!$D$2:$D$377,MATCH(Q2588,'model_byCAP'!$A$2:$A$377,0)),0)</f>
        <v>4047</v>
      </c>
    </row>
    <row r="2589" ht="15.35" customHeight="1">
      <c r="A2589" t="s" s="2">
        <v>5013</v>
      </c>
      <c r="B2589" s="4">
        <v>37609</v>
      </c>
      <c r="C2589" s="5">
        <v>750</v>
      </c>
      <c r="D2589" s="5">
        <v>48</v>
      </c>
      <c r="E2589" s="5">
        <v>45</v>
      </c>
      <c r="F2589" t="s" s="2">
        <v>1746</v>
      </c>
      <c r="G2589" t="s" s="2">
        <v>4044</v>
      </c>
      <c r="H2589" s="5">
        <v>820</v>
      </c>
      <c r="I2589" t="s" s="2">
        <v>388</v>
      </c>
      <c r="J2589" t="s" s="2">
        <v>22</v>
      </c>
      <c r="K2589" t="s" s="2">
        <v>5014</v>
      </c>
      <c r="L2589" t="s" s="2">
        <v>5015</v>
      </c>
      <c r="M2589" s="5">
        <v>511293.74</v>
      </c>
      <c r="N2589" s="5">
        <v>6304562.22</v>
      </c>
      <c r="O2589" t="s" s="2">
        <v>305</v>
      </c>
      <c r="P2589" t="s" s="2">
        <v>5016</v>
      </c>
      <c r="Q2589" t="s" s="2">
        <v>4046</v>
      </c>
      <c r="R2589" t="s" s="2">
        <f>_xlfn.IFERROR(INDEX('model_byCAP'!$D$2:$D$377,MATCH(Q2589,'model_byCAP'!$A$2:$A$377,0)),0)</f>
        <v>4047</v>
      </c>
    </row>
    <row r="2590" ht="15.35" customHeight="1">
      <c r="A2590" t="s" s="2">
        <v>5017</v>
      </c>
      <c r="B2590" s="4">
        <v>37609</v>
      </c>
      <c r="C2590" s="5">
        <v>750</v>
      </c>
      <c r="D2590" s="5">
        <v>48</v>
      </c>
      <c r="E2590" s="5">
        <v>45</v>
      </c>
      <c r="F2590" t="s" s="2">
        <v>1746</v>
      </c>
      <c r="G2590" t="s" s="2">
        <v>4044</v>
      </c>
      <c r="H2590" s="5">
        <v>820</v>
      </c>
      <c r="I2590" t="s" s="2">
        <v>388</v>
      </c>
      <c r="J2590" t="s" s="2">
        <v>22</v>
      </c>
      <c r="K2590" t="s" s="2">
        <v>5014</v>
      </c>
      <c r="L2590" t="s" s="2">
        <v>5015</v>
      </c>
      <c r="M2590" s="5">
        <v>511564.84</v>
      </c>
      <c r="N2590" s="5">
        <v>6304489.23</v>
      </c>
      <c r="O2590" t="s" s="2">
        <v>305</v>
      </c>
      <c r="P2590" t="s" s="2">
        <v>5018</v>
      </c>
      <c r="Q2590" t="s" s="2">
        <v>4046</v>
      </c>
      <c r="R2590" t="s" s="2">
        <f>_xlfn.IFERROR(INDEX('model_byCAP'!$D$2:$D$377,MATCH(Q2590,'model_byCAP'!$A$2:$A$377,0)),0)</f>
        <v>4047</v>
      </c>
    </row>
    <row r="2591" ht="15.35" customHeight="1">
      <c r="A2591" t="s" s="2">
        <v>5019</v>
      </c>
      <c r="B2591" s="4">
        <v>37609</v>
      </c>
      <c r="C2591" s="5">
        <v>750</v>
      </c>
      <c r="D2591" s="5">
        <v>48</v>
      </c>
      <c r="E2591" s="5">
        <v>45</v>
      </c>
      <c r="F2591" t="s" s="2">
        <v>1746</v>
      </c>
      <c r="G2591" t="s" s="2">
        <v>4044</v>
      </c>
      <c r="H2591" s="5">
        <v>820</v>
      </c>
      <c r="I2591" t="s" s="2">
        <v>388</v>
      </c>
      <c r="J2591" t="s" s="2">
        <v>22</v>
      </c>
      <c r="K2591" t="s" s="2">
        <v>5014</v>
      </c>
      <c r="L2591" t="s" s="2">
        <v>5015</v>
      </c>
      <c r="M2591" s="5">
        <v>511429.72</v>
      </c>
      <c r="N2591" s="5">
        <v>6304526.46</v>
      </c>
      <c r="O2591" t="s" s="2">
        <v>305</v>
      </c>
      <c r="P2591" t="s" s="2">
        <v>5020</v>
      </c>
      <c r="Q2591" t="s" s="2">
        <v>4046</v>
      </c>
      <c r="R2591" t="s" s="2">
        <f>_xlfn.IFERROR(INDEX('model_byCAP'!$D$2:$D$377,MATCH(Q2591,'model_byCAP'!$A$2:$A$377,0)),0)</f>
        <v>4047</v>
      </c>
    </row>
    <row r="2592" ht="15.35" customHeight="1">
      <c r="A2592" t="s" s="2">
        <v>5021</v>
      </c>
      <c r="B2592" s="4">
        <v>37609</v>
      </c>
      <c r="C2592" s="5">
        <v>750</v>
      </c>
      <c r="D2592" s="5">
        <v>48</v>
      </c>
      <c r="E2592" s="5">
        <v>45</v>
      </c>
      <c r="F2592" t="s" s="2">
        <v>1746</v>
      </c>
      <c r="G2592" t="s" s="2">
        <v>4044</v>
      </c>
      <c r="H2592" s="5">
        <v>820</v>
      </c>
      <c r="I2592" t="s" s="2">
        <v>388</v>
      </c>
      <c r="J2592" t="s" s="2">
        <v>22</v>
      </c>
      <c r="K2592" t="s" s="2">
        <v>5014</v>
      </c>
      <c r="L2592" t="s" s="2">
        <v>5015</v>
      </c>
      <c r="M2592" s="5">
        <v>511699.87</v>
      </c>
      <c r="N2592" s="5">
        <v>6304454.24</v>
      </c>
      <c r="O2592" t="s" s="2">
        <v>305</v>
      </c>
      <c r="P2592" t="s" s="2">
        <v>5022</v>
      </c>
      <c r="Q2592" t="s" s="2">
        <v>4046</v>
      </c>
      <c r="R2592" t="s" s="2">
        <f>_xlfn.IFERROR(INDEX('model_byCAP'!$D$2:$D$377,MATCH(Q2592,'model_byCAP'!$A$2:$A$377,0)),0)</f>
        <v>4047</v>
      </c>
    </row>
    <row r="2593" ht="15.35" customHeight="1">
      <c r="A2593" t="s" s="2">
        <v>5023</v>
      </c>
      <c r="B2593" s="4">
        <v>37613</v>
      </c>
      <c r="C2593" s="5">
        <v>750</v>
      </c>
      <c r="D2593" s="5">
        <v>48.2</v>
      </c>
      <c r="E2593" s="5">
        <v>45</v>
      </c>
      <c r="F2593" t="s" s="2">
        <v>1746</v>
      </c>
      <c r="G2593" t="s" s="2">
        <v>4044</v>
      </c>
      <c r="H2593" s="5">
        <v>820</v>
      </c>
      <c r="I2593" t="s" s="2">
        <v>388</v>
      </c>
      <c r="J2593" t="s" s="2">
        <v>22</v>
      </c>
      <c r="K2593" t="s" s="2">
        <v>5009</v>
      </c>
      <c r="L2593" t="s" s="2">
        <v>928</v>
      </c>
      <c r="M2593" s="5">
        <v>512384.54</v>
      </c>
      <c r="N2593" s="5">
        <v>6308297.94</v>
      </c>
      <c r="O2593" t="s" s="2">
        <v>305</v>
      </c>
      <c r="P2593" t="s" s="2">
        <v>5024</v>
      </c>
      <c r="Q2593" t="s" s="2">
        <v>4046</v>
      </c>
      <c r="R2593" t="s" s="2">
        <f>_xlfn.IFERROR(INDEX('model_byCAP'!$D$2:$D$377,MATCH(Q2593,'model_byCAP'!$A$2:$A$377,0)),0)</f>
        <v>4047</v>
      </c>
    </row>
    <row r="2594" ht="15.35" customHeight="1">
      <c r="A2594" t="s" s="2">
        <v>5025</v>
      </c>
      <c r="B2594" s="4">
        <v>37611</v>
      </c>
      <c r="C2594" s="5">
        <v>750</v>
      </c>
      <c r="D2594" s="5">
        <v>48.2</v>
      </c>
      <c r="E2594" s="5">
        <v>45</v>
      </c>
      <c r="F2594" t="s" s="2">
        <v>1746</v>
      </c>
      <c r="G2594" t="s" s="2">
        <v>4044</v>
      </c>
      <c r="H2594" s="5">
        <v>820</v>
      </c>
      <c r="I2594" t="s" s="2">
        <v>388</v>
      </c>
      <c r="J2594" t="s" s="2">
        <v>22</v>
      </c>
      <c r="K2594" t="s" s="2">
        <v>5009</v>
      </c>
      <c r="L2594" t="s" s="2">
        <v>481</v>
      </c>
      <c r="M2594" s="5">
        <v>512334.56</v>
      </c>
      <c r="N2594" s="5">
        <v>6308167.28</v>
      </c>
      <c r="O2594" t="s" s="2">
        <v>305</v>
      </c>
      <c r="P2594" t="s" s="2">
        <v>5026</v>
      </c>
      <c r="Q2594" t="s" s="2">
        <v>4046</v>
      </c>
      <c r="R2594" t="s" s="2">
        <f>_xlfn.IFERROR(INDEX('model_byCAP'!$D$2:$D$377,MATCH(Q2594,'model_byCAP'!$A$2:$A$377,0)),0)</f>
        <v>4047</v>
      </c>
    </row>
    <row r="2595" ht="15.35" customHeight="1">
      <c r="A2595" t="s" s="2">
        <v>5027</v>
      </c>
      <c r="B2595" s="4">
        <v>39168</v>
      </c>
      <c r="C2595" s="5">
        <v>750</v>
      </c>
      <c r="D2595" s="5">
        <v>44</v>
      </c>
      <c r="E2595" s="5">
        <v>40.4</v>
      </c>
      <c r="F2595" t="s" s="2">
        <v>3604</v>
      </c>
      <c r="G2595" t="s" s="2">
        <v>4072</v>
      </c>
      <c r="H2595" s="5">
        <v>820</v>
      </c>
      <c r="I2595" t="s" s="2">
        <v>388</v>
      </c>
      <c r="J2595" t="s" s="2">
        <v>22</v>
      </c>
      <c r="K2595" t="s" s="2">
        <v>5028</v>
      </c>
      <c r="L2595" t="s" s="2">
        <v>1258</v>
      </c>
      <c r="M2595" s="5">
        <v>520754.08</v>
      </c>
      <c r="N2595" s="5">
        <v>6311662.68</v>
      </c>
      <c r="O2595" t="s" s="2">
        <v>305</v>
      </c>
      <c r="P2595" s="6"/>
      <c r="Q2595" t="s" s="2">
        <v>4075</v>
      </c>
      <c r="R2595" t="s" s="2">
        <f>_xlfn.IFERROR(INDEX('model_byCAP'!$D$2:$D$377,MATCH(Q2595,'model_byCAP'!$A$2:$A$377,0)),0)</f>
        <v>4076</v>
      </c>
    </row>
    <row r="2596" ht="15.35" customHeight="1">
      <c r="A2596" t="s" s="2">
        <v>5029</v>
      </c>
      <c r="B2596" s="4">
        <v>39176</v>
      </c>
      <c r="C2596" s="5">
        <v>750</v>
      </c>
      <c r="D2596" s="5">
        <v>44</v>
      </c>
      <c r="E2596" s="5">
        <v>40.4</v>
      </c>
      <c r="F2596" t="s" s="2">
        <v>3604</v>
      </c>
      <c r="G2596" t="s" s="2">
        <v>4072</v>
      </c>
      <c r="H2596" s="5">
        <v>820</v>
      </c>
      <c r="I2596" t="s" s="2">
        <v>388</v>
      </c>
      <c r="J2596" t="s" s="2">
        <v>22</v>
      </c>
      <c r="K2596" t="s" s="2">
        <v>5028</v>
      </c>
      <c r="L2596" t="s" s="2">
        <v>1258</v>
      </c>
      <c r="M2596" s="5">
        <v>520615.94</v>
      </c>
      <c r="N2596" s="5">
        <v>6311478.94</v>
      </c>
      <c r="O2596" t="s" s="2">
        <v>305</v>
      </c>
      <c r="P2596" s="6"/>
      <c r="Q2596" t="s" s="2">
        <v>4075</v>
      </c>
      <c r="R2596" t="s" s="2">
        <f>_xlfn.IFERROR(INDEX('model_byCAP'!$D$2:$D$377,MATCH(Q2596,'model_byCAP'!$A$2:$A$377,0)),0)</f>
        <v>4076</v>
      </c>
    </row>
    <row r="2597" ht="15.35" customHeight="1">
      <c r="A2597" t="s" s="2">
        <v>5030</v>
      </c>
      <c r="B2597" s="4">
        <v>39174</v>
      </c>
      <c r="C2597" s="5">
        <v>750</v>
      </c>
      <c r="D2597" s="5">
        <v>44</v>
      </c>
      <c r="E2597" s="5">
        <v>40.4</v>
      </c>
      <c r="F2597" t="s" s="2">
        <v>3604</v>
      </c>
      <c r="G2597" t="s" s="2">
        <v>4072</v>
      </c>
      <c r="H2597" s="5">
        <v>820</v>
      </c>
      <c r="I2597" t="s" s="2">
        <v>388</v>
      </c>
      <c r="J2597" t="s" s="2">
        <v>22</v>
      </c>
      <c r="K2597" t="s" s="2">
        <v>5028</v>
      </c>
      <c r="L2597" t="s" s="2">
        <v>1258</v>
      </c>
      <c r="M2597" s="5">
        <v>520524.15</v>
      </c>
      <c r="N2597" s="5">
        <v>6311688.89</v>
      </c>
      <c r="O2597" t="s" s="2">
        <v>305</v>
      </c>
      <c r="P2597" s="6"/>
      <c r="Q2597" t="s" s="2">
        <v>4075</v>
      </c>
      <c r="R2597" t="s" s="2">
        <f>_xlfn.IFERROR(INDEX('model_byCAP'!$D$2:$D$377,MATCH(Q2597,'model_byCAP'!$A$2:$A$377,0)),0)</f>
        <v>4076</v>
      </c>
    </row>
    <row r="2598" ht="15.35" customHeight="1">
      <c r="A2598" t="s" s="2">
        <v>5031</v>
      </c>
      <c r="B2598" s="4">
        <v>36287</v>
      </c>
      <c r="C2598" s="5">
        <v>750</v>
      </c>
      <c r="D2598" s="5">
        <v>48</v>
      </c>
      <c r="E2598" s="5">
        <v>45</v>
      </c>
      <c r="F2598" t="s" s="2">
        <v>1746</v>
      </c>
      <c r="G2598" t="s" s="2">
        <v>4151</v>
      </c>
      <c r="H2598" s="5">
        <v>840</v>
      </c>
      <c r="I2598" t="s" s="2">
        <v>973</v>
      </c>
      <c r="J2598" t="s" s="2">
        <v>22</v>
      </c>
      <c r="K2598" t="s" s="2">
        <v>5032</v>
      </c>
      <c r="L2598" t="s" s="2">
        <v>492</v>
      </c>
      <c r="M2598" s="5">
        <v>546809.3100000001</v>
      </c>
      <c r="N2598" s="5">
        <v>6312360.66</v>
      </c>
      <c r="O2598" t="s" s="2">
        <v>305</v>
      </c>
      <c r="P2598" s="5">
        <v>404</v>
      </c>
      <c r="Q2598" t="s" s="2">
        <v>4154</v>
      </c>
      <c r="R2598" t="s" s="2">
        <f>_xlfn.IFERROR(INDEX('model_byCAP'!$D$2:$D$377,MATCH(Q2598,'model_byCAP'!$A$2:$A$377,0)),0)</f>
        <v>4047</v>
      </c>
    </row>
    <row r="2599" ht="15.35" customHeight="1">
      <c r="A2599" t="s" s="2">
        <v>5033</v>
      </c>
      <c r="B2599" s="4">
        <v>36287</v>
      </c>
      <c r="C2599" s="5">
        <v>750</v>
      </c>
      <c r="D2599" s="5">
        <v>48</v>
      </c>
      <c r="E2599" s="5">
        <v>45</v>
      </c>
      <c r="F2599" t="s" s="2">
        <v>1746</v>
      </c>
      <c r="G2599" t="s" s="2">
        <v>4151</v>
      </c>
      <c r="H2599" s="5">
        <v>840</v>
      </c>
      <c r="I2599" t="s" s="2">
        <v>973</v>
      </c>
      <c r="J2599" t="s" s="2">
        <v>22</v>
      </c>
      <c r="K2599" t="s" s="2">
        <v>5032</v>
      </c>
      <c r="L2599" t="s" s="2">
        <v>492</v>
      </c>
      <c r="M2599" s="5">
        <v>546820.89</v>
      </c>
      <c r="N2599" s="5">
        <v>6312180.07</v>
      </c>
      <c r="O2599" t="s" s="2">
        <v>305</v>
      </c>
      <c r="P2599" s="5">
        <v>405</v>
      </c>
      <c r="Q2599" t="s" s="2">
        <v>4154</v>
      </c>
      <c r="R2599" t="s" s="2">
        <f>_xlfn.IFERROR(INDEX('model_byCAP'!$D$2:$D$377,MATCH(Q2599,'model_byCAP'!$A$2:$A$377,0)),0)</f>
        <v>4047</v>
      </c>
    </row>
    <row r="2600" ht="15.35" customHeight="1">
      <c r="A2600" t="s" s="2">
        <v>5034</v>
      </c>
      <c r="B2600" s="4">
        <v>36287</v>
      </c>
      <c r="C2600" s="5">
        <v>750</v>
      </c>
      <c r="D2600" s="5">
        <v>48</v>
      </c>
      <c r="E2600" s="5">
        <v>45</v>
      </c>
      <c r="F2600" t="s" s="2">
        <v>1746</v>
      </c>
      <c r="G2600" t="s" s="2">
        <v>4151</v>
      </c>
      <c r="H2600" s="5">
        <v>840</v>
      </c>
      <c r="I2600" t="s" s="2">
        <v>973</v>
      </c>
      <c r="J2600" t="s" s="2">
        <v>22</v>
      </c>
      <c r="K2600" t="s" s="2">
        <v>5032</v>
      </c>
      <c r="L2600" t="s" s="2">
        <v>2725</v>
      </c>
      <c r="M2600" s="5">
        <v>546829.54</v>
      </c>
      <c r="N2600" s="5">
        <v>6311999.46</v>
      </c>
      <c r="O2600" t="s" s="2">
        <v>305</v>
      </c>
      <c r="P2600" s="5">
        <v>406</v>
      </c>
      <c r="Q2600" t="s" s="2">
        <v>4154</v>
      </c>
      <c r="R2600" t="s" s="2">
        <f>_xlfn.IFERROR(INDEX('model_byCAP'!$D$2:$D$377,MATCH(Q2600,'model_byCAP'!$A$2:$A$377,0)),0)</f>
        <v>4047</v>
      </c>
    </row>
    <row r="2601" ht="15.35" customHeight="1">
      <c r="A2601" t="s" s="2">
        <v>5035</v>
      </c>
      <c r="B2601" s="4">
        <v>36664</v>
      </c>
      <c r="C2601" s="5">
        <v>750</v>
      </c>
      <c r="D2601" s="5">
        <v>48</v>
      </c>
      <c r="E2601" s="5">
        <v>45</v>
      </c>
      <c r="F2601" t="s" s="2">
        <v>1746</v>
      </c>
      <c r="G2601" t="s" s="2">
        <v>4044</v>
      </c>
      <c r="H2601" s="5">
        <v>840</v>
      </c>
      <c r="I2601" t="s" s="2">
        <v>973</v>
      </c>
      <c r="J2601" t="s" s="2">
        <v>22</v>
      </c>
      <c r="K2601" t="s" s="2">
        <v>5036</v>
      </c>
      <c r="L2601" t="s" s="2">
        <v>2348</v>
      </c>
      <c r="M2601" s="5">
        <v>561328.08</v>
      </c>
      <c r="N2601" s="5">
        <v>6301343.94</v>
      </c>
      <c r="O2601" t="s" s="2">
        <v>305</v>
      </c>
      <c r="P2601" s="5">
        <v>417</v>
      </c>
      <c r="Q2601" t="s" s="2">
        <v>4046</v>
      </c>
      <c r="R2601" t="s" s="2">
        <f>_xlfn.IFERROR(INDEX('model_byCAP'!$D$2:$D$377,MATCH(Q2601,'model_byCAP'!$A$2:$A$377,0)),0)</f>
        <v>4047</v>
      </c>
    </row>
    <row r="2602" ht="15.35" customHeight="1">
      <c r="A2602" t="s" s="2">
        <v>5037</v>
      </c>
      <c r="B2602" s="4">
        <v>36664</v>
      </c>
      <c r="C2602" s="5">
        <v>750</v>
      </c>
      <c r="D2602" s="5">
        <v>48</v>
      </c>
      <c r="E2602" s="5">
        <v>50</v>
      </c>
      <c r="F2602" t="s" s="2">
        <v>1746</v>
      </c>
      <c r="G2602" t="s" s="2">
        <v>4044</v>
      </c>
      <c r="H2602" s="5">
        <v>840</v>
      </c>
      <c r="I2602" t="s" s="2">
        <v>973</v>
      </c>
      <c r="J2602" t="s" s="2">
        <v>22</v>
      </c>
      <c r="K2602" t="s" s="2">
        <v>5036</v>
      </c>
      <c r="L2602" t="s" s="2">
        <v>979</v>
      </c>
      <c r="M2602" s="5">
        <v>561111.55</v>
      </c>
      <c r="N2602" s="5">
        <v>6301580.86</v>
      </c>
      <c r="O2602" t="s" s="2">
        <v>305</v>
      </c>
      <c r="P2602" s="5">
        <v>418</v>
      </c>
      <c r="Q2602" t="s" s="2">
        <v>4046</v>
      </c>
      <c r="R2602" t="s" s="2">
        <f>_xlfn.IFERROR(INDEX('model_byCAP'!$D$2:$D$377,MATCH(Q2602,'model_byCAP'!$A$2:$A$377,0)),0)</f>
        <v>4047</v>
      </c>
    </row>
    <row r="2603" ht="15.35" customHeight="1">
      <c r="A2603" t="s" s="2">
        <v>5038</v>
      </c>
      <c r="B2603" s="4">
        <v>36664</v>
      </c>
      <c r="C2603" s="5">
        <v>750</v>
      </c>
      <c r="D2603" s="5">
        <v>48</v>
      </c>
      <c r="E2603" s="5">
        <v>50</v>
      </c>
      <c r="F2603" t="s" s="2">
        <v>1746</v>
      </c>
      <c r="G2603" t="s" s="2">
        <v>4044</v>
      </c>
      <c r="H2603" s="5">
        <v>840</v>
      </c>
      <c r="I2603" t="s" s="2">
        <v>973</v>
      </c>
      <c r="J2603" t="s" s="2">
        <v>22</v>
      </c>
      <c r="K2603" t="s" s="2">
        <v>5036</v>
      </c>
      <c r="L2603" t="s" s="2">
        <v>979</v>
      </c>
      <c r="M2603" s="5">
        <v>560899.6899999999</v>
      </c>
      <c r="N2603" s="5">
        <v>6301818.43</v>
      </c>
      <c r="O2603" t="s" s="2">
        <v>305</v>
      </c>
      <c r="P2603" s="5">
        <v>419</v>
      </c>
      <c r="Q2603" t="s" s="2">
        <v>4046</v>
      </c>
      <c r="R2603" t="s" s="2">
        <f>_xlfn.IFERROR(INDEX('model_byCAP'!$D$2:$D$377,MATCH(Q2603,'model_byCAP'!$A$2:$A$377,0)),0)</f>
        <v>4047</v>
      </c>
    </row>
    <row r="2604" ht="15.35" customHeight="1">
      <c r="A2604" t="s" s="2">
        <v>5039</v>
      </c>
      <c r="B2604" s="4">
        <v>36664</v>
      </c>
      <c r="C2604" s="5">
        <v>750</v>
      </c>
      <c r="D2604" s="5">
        <v>48</v>
      </c>
      <c r="E2604" s="5">
        <v>45</v>
      </c>
      <c r="F2604" t="s" s="2">
        <v>1746</v>
      </c>
      <c r="G2604" t="s" s="2">
        <v>4044</v>
      </c>
      <c r="H2604" s="5">
        <v>840</v>
      </c>
      <c r="I2604" t="s" s="2">
        <v>973</v>
      </c>
      <c r="J2604" t="s" s="2">
        <v>22</v>
      </c>
      <c r="K2604" t="s" s="2">
        <v>5036</v>
      </c>
      <c r="L2604" t="s" s="2">
        <v>908</v>
      </c>
      <c r="M2604" s="5">
        <v>560990.98</v>
      </c>
      <c r="N2604" s="5">
        <v>6302117.36</v>
      </c>
      <c r="O2604" t="s" s="2">
        <v>305</v>
      </c>
      <c r="P2604" s="5">
        <v>420</v>
      </c>
      <c r="Q2604" t="s" s="2">
        <v>4046</v>
      </c>
      <c r="R2604" t="s" s="2">
        <f>_xlfn.IFERROR(INDEX('model_byCAP'!$D$2:$D$377,MATCH(Q2604,'model_byCAP'!$A$2:$A$377,0)),0)</f>
        <v>4047</v>
      </c>
    </row>
    <row r="2605" ht="15.35" customHeight="1">
      <c r="A2605" t="s" s="2">
        <v>5040</v>
      </c>
      <c r="B2605" s="4">
        <v>36664</v>
      </c>
      <c r="C2605" s="5">
        <v>750</v>
      </c>
      <c r="D2605" s="5">
        <v>48</v>
      </c>
      <c r="E2605" s="5">
        <v>45</v>
      </c>
      <c r="F2605" t="s" s="2">
        <v>1746</v>
      </c>
      <c r="G2605" t="s" s="2">
        <v>4044</v>
      </c>
      <c r="H2605" s="5">
        <v>840</v>
      </c>
      <c r="I2605" t="s" s="2">
        <v>973</v>
      </c>
      <c r="J2605" t="s" s="2">
        <v>22</v>
      </c>
      <c r="K2605" t="s" s="2">
        <v>5036</v>
      </c>
      <c r="L2605" t="s" s="2">
        <v>304</v>
      </c>
      <c r="M2605" s="5">
        <v>561205.84</v>
      </c>
      <c r="N2605" s="5">
        <v>6301880.3</v>
      </c>
      <c r="O2605" t="s" s="2">
        <v>305</v>
      </c>
      <c r="P2605" s="5">
        <v>421</v>
      </c>
      <c r="Q2605" t="s" s="2">
        <v>4046</v>
      </c>
      <c r="R2605" t="s" s="2">
        <f>_xlfn.IFERROR(INDEX('model_byCAP'!$D$2:$D$377,MATCH(Q2605,'model_byCAP'!$A$2:$A$377,0)),0)</f>
        <v>4047</v>
      </c>
    </row>
    <row r="2606" ht="15.35" customHeight="1">
      <c r="A2606" t="s" s="2">
        <v>5041</v>
      </c>
      <c r="B2606" s="4">
        <v>36664</v>
      </c>
      <c r="C2606" s="5">
        <v>750</v>
      </c>
      <c r="D2606" s="5">
        <v>48</v>
      </c>
      <c r="E2606" s="5">
        <v>50</v>
      </c>
      <c r="F2606" t="s" s="2">
        <v>1746</v>
      </c>
      <c r="G2606" t="s" s="2">
        <v>4044</v>
      </c>
      <c r="H2606" s="5">
        <v>840</v>
      </c>
      <c r="I2606" t="s" s="2">
        <v>973</v>
      </c>
      <c r="J2606" t="s" s="2">
        <v>22</v>
      </c>
      <c r="K2606" t="s" s="2">
        <v>5036</v>
      </c>
      <c r="L2606" t="s" s="2">
        <v>394</v>
      </c>
      <c r="M2606" s="5">
        <v>561419.8100000001</v>
      </c>
      <c r="N2606" s="5">
        <v>6301643.07</v>
      </c>
      <c r="O2606" t="s" s="2">
        <v>305</v>
      </c>
      <c r="P2606" s="5">
        <v>422</v>
      </c>
      <c r="Q2606" t="s" s="2">
        <v>4046</v>
      </c>
      <c r="R2606" t="s" s="2">
        <f>_xlfn.IFERROR(INDEX('model_byCAP'!$D$2:$D$377,MATCH(Q2606,'model_byCAP'!$A$2:$A$377,0)),0)</f>
        <v>4047</v>
      </c>
    </row>
    <row r="2607" ht="15.35" customHeight="1">
      <c r="A2607" t="s" s="2">
        <v>5042</v>
      </c>
      <c r="B2607" s="4">
        <v>37565</v>
      </c>
      <c r="C2607" s="5">
        <v>750</v>
      </c>
      <c r="D2607" s="5">
        <v>44</v>
      </c>
      <c r="E2607" s="5">
        <v>45</v>
      </c>
      <c r="F2607" t="s" s="2">
        <v>1746</v>
      </c>
      <c r="G2607" t="s" s="2">
        <v>5043</v>
      </c>
      <c r="H2607" s="5">
        <v>840</v>
      </c>
      <c r="I2607" t="s" s="2">
        <v>973</v>
      </c>
      <c r="J2607" t="s" s="2">
        <v>22</v>
      </c>
      <c r="K2607" t="s" s="2">
        <v>5044</v>
      </c>
      <c r="L2607" t="s" s="2">
        <v>518</v>
      </c>
      <c r="M2607" s="5">
        <v>542609.72</v>
      </c>
      <c r="N2607" s="5">
        <v>6291342.94</v>
      </c>
      <c r="O2607" t="s" s="2">
        <v>305</v>
      </c>
      <c r="P2607" t="s" s="2">
        <v>5045</v>
      </c>
      <c r="Q2607" t="s" s="2">
        <v>5046</v>
      </c>
      <c r="R2607" t="s" s="2">
        <f>_xlfn.IFERROR(INDEX('model_byCAP'!$D$2:$D$377,MATCH(Q2607,'model_byCAP'!$A$2:$A$377,0)),0)</f>
        <v>4042</v>
      </c>
    </row>
    <row r="2608" ht="15.35" customHeight="1">
      <c r="A2608" t="s" s="2">
        <v>5047</v>
      </c>
      <c r="B2608" s="4">
        <v>37567</v>
      </c>
      <c r="C2608" s="5">
        <v>750</v>
      </c>
      <c r="D2608" s="5">
        <v>48.2</v>
      </c>
      <c r="E2608" s="5">
        <v>45</v>
      </c>
      <c r="F2608" t="s" s="2">
        <v>1746</v>
      </c>
      <c r="G2608" t="s" s="2">
        <v>4151</v>
      </c>
      <c r="H2608" s="5">
        <v>840</v>
      </c>
      <c r="I2608" t="s" s="2">
        <v>973</v>
      </c>
      <c r="J2608" t="s" s="2">
        <v>22</v>
      </c>
      <c r="K2608" t="s" s="2">
        <v>5048</v>
      </c>
      <c r="L2608" t="s" s="2">
        <v>1002</v>
      </c>
      <c r="M2608" s="5">
        <v>543981.14</v>
      </c>
      <c r="N2608" s="5">
        <v>6309817.59</v>
      </c>
      <c r="O2608" t="s" s="2">
        <v>305</v>
      </c>
      <c r="P2608" t="s" s="2">
        <v>5049</v>
      </c>
      <c r="Q2608" t="s" s="2">
        <v>4154</v>
      </c>
      <c r="R2608" t="s" s="2">
        <f>_xlfn.IFERROR(INDEX('model_byCAP'!$D$2:$D$377,MATCH(Q2608,'model_byCAP'!$A$2:$A$377,0)),0)</f>
        <v>4047</v>
      </c>
    </row>
    <row r="2609" ht="15.35" customHeight="1">
      <c r="A2609" t="s" s="2">
        <v>5050</v>
      </c>
      <c r="B2609" s="4">
        <v>35430</v>
      </c>
      <c r="C2609" s="5">
        <v>750</v>
      </c>
      <c r="D2609" s="5">
        <v>44</v>
      </c>
      <c r="E2609" s="5">
        <v>46</v>
      </c>
      <c r="F2609" t="s" s="2">
        <v>3604</v>
      </c>
      <c r="G2609" t="s" s="2">
        <v>4778</v>
      </c>
      <c r="H2609" s="5">
        <v>846</v>
      </c>
      <c r="I2609" t="s" s="2">
        <v>429</v>
      </c>
      <c r="J2609" t="s" s="2">
        <v>22</v>
      </c>
      <c r="K2609" t="s" s="2">
        <v>5051</v>
      </c>
      <c r="L2609" t="s" s="2">
        <v>5052</v>
      </c>
      <c r="M2609" s="5">
        <v>552035.5</v>
      </c>
      <c r="N2609" s="5">
        <v>6283055.03</v>
      </c>
      <c r="O2609" t="s" s="2">
        <v>305</v>
      </c>
      <c r="P2609" s="5">
        <v>350</v>
      </c>
      <c r="Q2609" t="s" s="2">
        <v>4780</v>
      </c>
      <c r="R2609" t="s" s="2">
        <f>_xlfn.IFERROR(INDEX('model_byCAP'!$D$2:$D$377,MATCH(Q2609,'model_byCAP'!$A$2:$A$377,0)),0)</f>
        <v>4042</v>
      </c>
    </row>
    <row r="2610" ht="15.35" customHeight="1">
      <c r="A2610" t="s" s="2">
        <v>5053</v>
      </c>
      <c r="B2610" s="4">
        <v>35430</v>
      </c>
      <c r="C2610" s="5">
        <v>750</v>
      </c>
      <c r="D2610" s="5">
        <v>44</v>
      </c>
      <c r="E2610" s="5">
        <v>46</v>
      </c>
      <c r="F2610" t="s" s="2">
        <v>3604</v>
      </c>
      <c r="G2610" t="s" s="2">
        <v>4778</v>
      </c>
      <c r="H2610" s="5">
        <v>846</v>
      </c>
      <c r="I2610" t="s" s="2">
        <v>429</v>
      </c>
      <c r="J2610" t="s" s="2">
        <v>22</v>
      </c>
      <c r="K2610" t="s" s="2">
        <v>5051</v>
      </c>
      <c r="L2610" t="s" s="2">
        <v>5054</v>
      </c>
      <c r="M2610" s="5">
        <v>552276.12</v>
      </c>
      <c r="N2610" s="5">
        <v>6283061.01</v>
      </c>
      <c r="O2610" t="s" s="2">
        <v>305</v>
      </c>
      <c r="P2610" s="5">
        <v>351</v>
      </c>
      <c r="Q2610" t="s" s="2">
        <v>4780</v>
      </c>
      <c r="R2610" t="s" s="2">
        <f>_xlfn.IFERROR(INDEX('model_byCAP'!$D$2:$D$377,MATCH(Q2610,'model_byCAP'!$A$2:$A$377,0)),0)</f>
        <v>4042</v>
      </c>
    </row>
    <row r="2611" ht="15.35" customHeight="1">
      <c r="A2611" t="s" s="2">
        <v>5055</v>
      </c>
      <c r="B2611" s="4">
        <v>36678</v>
      </c>
      <c r="C2611" s="5">
        <v>750</v>
      </c>
      <c r="D2611" s="5">
        <v>48</v>
      </c>
      <c r="E2611" s="5">
        <v>45</v>
      </c>
      <c r="F2611" t="s" s="2">
        <v>1746</v>
      </c>
      <c r="G2611" t="s" s="2">
        <v>4044</v>
      </c>
      <c r="H2611" s="5">
        <v>846</v>
      </c>
      <c r="I2611" t="s" s="2">
        <v>429</v>
      </c>
      <c r="J2611" t="s" s="2">
        <v>22</v>
      </c>
      <c r="K2611" t="s" s="2">
        <v>5056</v>
      </c>
      <c r="L2611" t="s" s="2">
        <v>1198</v>
      </c>
      <c r="M2611" s="5">
        <v>553329.13</v>
      </c>
      <c r="N2611" s="5">
        <v>6274165.04</v>
      </c>
      <c r="O2611" t="s" s="2">
        <v>305</v>
      </c>
      <c r="P2611" s="5">
        <v>95144</v>
      </c>
      <c r="Q2611" t="s" s="2">
        <v>4046</v>
      </c>
      <c r="R2611" t="s" s="2">
        <f>_xlfn.IFERROR(INDEX('model_byCAP'!$D$2:$D$377,MATCH(Q2611,'model_byCAP'!$A$2:$A$377,0)),0)</f>
        <v>4047</v>
      </c>
    </row>
    <row r="2612" ht="15.35" customHeight="1">
      <c r="A2612" t="s" s="2">
        <v>5057</v>
      </c>
      <c r="B2612" s="4">
        <v>36685</v>
      </c>
      <c r="C2612" s="5">
        <v>750</v>
      </c>
      <c r="D2612" s="5">
        <v>48</v>
      </c>
      <c r="E2612" s="5">
        <v>45</v>
      </c>
      <c r="F2612" t="s" s="2">
        <v>1746</v>
      </c>
      <c r="G2612" t="s" s="2">
        <v>5058</v>
      </c>
      <c r="H2612" s="5">
        <v>846</v>
      </c>
      <c r="I2612" t="s" s="2">
        <v>429</v>
      </c>
      <c r="J2612" t="s" s="2">
        <v>22</v>
      </c>
      <c r="K2612" t="s" s="2">
        <v>5059</v>
      </c>
      <c r="L2612" t="s" s="2">
        <v>524</v>
      </c>
      <c r="M2612" s="5">
        <v>553585.8</v>
      </c>
      <c r="N2612" s="5">
        <v>6274157.8</v>
      </c>
      <c r="O2612" t="s" s="2">
        <v>305</v>
      </c>
      <c r="P2612" s="5">
        <v>95145</v>
      </c>
      <c r="Q2612" t="s" s="2">
        <v>5060</v>
      </c>
      <c r="R2612" t="s" s="2">
        <f>_xlfn.IFERROR(INDEX('model_byCAP'!$D$2:$D$377,MATCH(Q2612,'model_byCAP'!$A$2:$A$377,0)),0)</f>
        <v>4042</v>
      </c>
    </row>
    <row r="2613" ht="15.35" customHeight="1">
      <c r="A2613" t="s" s="2">
        <v>5061</v>
      </c>
      <c r="B2613" s="4">
        <v>36685</v>
      </c>
      <c r="C2613" s="5">
        <v>750</v>
      </c>
      <c r="D2613" s="5">
        <v>48</v>
      </c>
      <c r="E2613" s="5">
        <v>45</v>
      </c>
      <c r="F2613" t="s" s="2">
        <v>1746</v>
      </c>
      <c r="G2613" t="s" s="2">
        <v>4044</v>
      </c>
      <c r="H2613" s="5">
        <v>846</v>
      </c>
      <c r="I2613" t="s" s="2">
        <v>429</v>
      </c>
      <c r="J2613" t="s" s="2">
        <v>22</v>
      </c>
      <c r="K2613" t="s" s="2">
        <v>5059</v>
      </c>
      <c r="L2613" t="s" s="2">
        <v>5062</v>
      </c>
      <c r="M2613" s="5">
        <v>553842.8</v>
      </c>
      <c r="N2613" s="5">
        <v>6274150.79</v>
      </c>
      <c r="O2613" t="s" s="2">
        <v>305</v>
      </c>
      <c r="P2613" s="5">
        <v>95146</v>
      </c>
      <c r="Q2613" t="s" s="2">
        <v>4046</v>
      </c>
      <c r="R2613" t="s" s="2">
        <f>_xlfn.IFERROR(INDEX('model_byCAP'!$D$2:$D$377,MATCH(Q2613,'model_byCAP'!$A$2:$A$377,0)),0)</f>
        <v>4047</v>
      </c>
    </row>
    <row r="2614" ht="15.35" customHeight="1">
      <c r="A2614" t="s" s="2">
        <v>5063</v>
      </c>
      <c r="B2614" s="4">
        <v>36685</v>
      </c>
      <c r="C2614" s="5">
        <v>750</v>
      </c>
      <c r="D2614" s="5">
        <v>48</v>
      </c>
      <c r="E2614" s="5">
        <v>45</v>
      </c>
      <c r="F2614" t="s" s="2">
        <v>1746</v>
      </c>
      <c r="G2614" t="s" s="2">
        <v>4044</v>
      </c>
      <c r="H2614" s="5">
        <v>846</v>
      </c>
      <c r="I2614" t="s" s="2">
        <v>429</v>
      </c>
      <c r="J2614" t="s" s="2">
        <v>22</v>
      </c>
      <c r="K2614" t="s" s="2">
        <v>5064</v>
      </c>
      <c r="L2614" t="s" s="2">
        <v>2705</v>
      </c>
      <c r="M2614" s="5">
        <v>554102.35</v>
      </c>
      <c r="N2614" s="5">
        <v>6274144.82</v>
      </c>
      <c r="O2614" t="s" s="2">
        <v>305</v>
      </c>
      <c r="P2614" s="5">
        <v>95147</v>
      </c>
      <c r="Q2614" t="s" s="2">
        <v>4046</v>
      </c>
      <c r="R2614" t="s" s="2">
        <f>_xlfn.IFERROR(INDEX('model_byCAP'!$D$2:$D$377,MATCH(Q2614,'model_byCAP'!$A$2:$A$377,0)),0)</f>
        <v>4047</v>
      </c>
    </row>
    <row r="2615" ht="15.35" customHeight="1">
      <c r="A2615" t="s" s="2">
        <v>5065</v>
      </c>
      <c r="B2615" s="4">
        <v>36685</v>
      </c>
      <c r="C2615" s="5">
        <v>750</v>
      </c>
      <c r="D2615" s="5">
        <v>48.2</v>
      </c>
      <c r="E2615" s="5">
        <v>45</v>
      </c>
      <c r="F2615" t="s" s="2">
        <v>1746</v>
      </c>
      <c r="G2615" t="s" s="2">
        <v>4044</v>
      </c>
      <c r="H2615" s="5">
        <v>846</v>
      </c>
      <c r="I2615" t="s" s="2">
        <v>429</v>
      </c>
      <c r="J2615" t="s" s="2">
        <v>22</v>
      </c>
      <c r="K2615" t="s" s="2">
        <v>5064</v>
      </c>
      <c r="L2615" t="s" s="2">
        <v>992</v>
      </c>
      <c r="M2615" s="5">
        <v>554359.4</v>
      </c>
      <c r="N2615" s="5">
        <v>6274137.44</v>
      </c>
      <c r="O2615" t="s" s="2">
        <v>305</v>
      </c>
      <c r="P2615" s="5">
        <v>95148</v>
      </c>
      <c r="Q2615" t="s" s="2">
        <v>4046</v>
      </c>
      <c r="R2615" t="s" s="2">
        <f>_xlfn.IFERROR(INDEX('model_byCAP'!$D$2:$D$377,MATCH(Q2615,'model_byCAP'!$A$2:$A$377,0)),0)</f>
        <v>4047</v>
      </c>
    </row>
    <row r="2616" ht="15.35" customHeight="1">
      <c r="A2616" t="s" s="2">
        <v>5066</v>
      </c>
      <c r="B2616" s="4">
        <v>36572</v>
      </c>
      <c r="C2616" s="5">
        <v>750</v>
      </c>
      <c r="D2616" s="5">
        <v>48</v>
      </c>
      <c r="E2616" s="5">
        <v>45</v>
      </c>
      <c r="F2616" t="s" s="2">
        <v>1746</v>
      </c>
      <c r="G2616" t="s" s="2">
        <v>4044</v>
      </c>
      <c r="H2616" s="5">
        <v>849</v>
      </c>
      <c r="I2616" t="s" s="2">
        <v>411</v>
      </c>
      <c r="J2616" t="s" s="2">
        <v>22</v>
      </c>
      <c r="K2616" t="s" s="2">
        <v>5067</v>
      </c>
      <c r="L2616" t="s" s="2">
        <v>4086</v>
      </c>
      <c r="M2616" s="5">
        <v>532686.53</v>
      </c>
      <c r="N2616" s="5">
        <v>6331150.04</v>
      </c>
      <c r="O2616" t="s" s="2">
        <v>305</v>
      </c>
      <c r="P2616" t="s" s="2">
        <v>5068</v>
      </c>
      <c r="Q2616" t="s" s="2">
        <v>4046</v>
      </c>
      <c r="R2616" t="s" s="2">
        <f>_xlfn.IFERROR(INDEX('model_byCAP'!$D$2:$D$377,MATCH(Q2616,'model_byCAP'!$A$2:$A$377,0)),0)</f>
        <v>4047</v>
      </c>
    </row>
    <row r="2617" ht="15.35" customHeight="1">
      <c r="A2617" t="s" s="2">
        <v>5069</v>
      </c>
      <c r="B2617" s="4">
        <v>36572</v>
      </c>
      <c r="C2617" s="5">
        <v>750</v>
      </c>
      <c r="D2617" s="5">
        <v>48</v>
      </c>
      <c r="E2617" s="5">
        <v>45</v>
      </c>
      <c r="F2617" t="s" s="2">
        <v>1746</v>
      </c>
      <c r="G2617" t="s" s="2">
        <v>4044</v>
      </c>
      <c r="H2617" s="5">
        <v>849</v>
      </c>
      <c r="I2617" t="s" s="2">
        <v>411</v>
      </c>
      <c r="J2617" t="s" s="2">
        <v>22</v>
      </c>
      <c r="K2617" t="s" s="2">
        <v>5067</v>
      </c>
      <c r="L2617" t="s" s="2">
        <v>5070</v>
      </c>
      <c r="M2617" s="5">
        <v>532512.4399999999</v>
      </c>
      <c r="N2617" s="5">
        <v>6331329.9</v>
      </c>
      <c r="O2617" t="s" s="2">
        <v>305</v>
      </c>
      <c r="P2617" t="s" s="2">
        <v>5068</v>
      </c>
      <c r="Q2617" t="s" s="2">
        <v>4046</v>
      </c>
      <c r="R2617" t="s" s="2">
        <f>_xlfn.IFERROR(INDEX('model_byCAP'!$D$2:$D$377,MATCH(Q2617,'model_byCAP'!$A$2:$A$377,0)),0)</f>
        <v>4047</v>
      </c>
    </row>
    <row r="2618" ht="15.35" customHeight="1">
      <c r="A2618" t="s" s="2">
        <v>5071</v>
      </c>
      <c r="B2618" s="4">
        <v>36572</v>
      </c>
      <c r="C2618" s="5">
        <v>750</v>
      </c>
      <c r="D2618" s="5">
        <v>48</v>
      </c>
      <c r="E2618" s="5">
        <v>45</v>
      </c>
      <c r="F2618" t="s" s="2">
        <v>1746</v>
      </c>
      <c r="G2618" t="s" s="2">
        <v>4044</v>
      </c>
      <c r="H2618" s="5">
        <v>849</v>
      </c>
      <c r="I2618" t="s" s="2">
        <v>411</v>
      </c>
      <c r="J2618" t="s" s="2">
        <v>22</v>
      </c>
      <c r="K2618" t="s" s="2">
        <v>5072</v>
      </c>
      <c r="L2618" t="s" s="2">
        <v>5073</v>
      </c>
      <c r="M2618" s="5">
        <v>532338.47</v>
      </c>
      <c r="N2618" s="5">
        <v>6331510.07</v>
      </c>
      <c r="O2618" t="s" s="2">
        <v>305</v>
      </c>
      <c r="P2618" t="s" s="2">
        <v>5068</v>
      </c>
      <c r="Q2618" t="s" s="2">
        <v>4046</v>
      </c>
      <c r="R2618" t="s" s="2">
        <f>_xlfn.IFERROR(INDEX('model_byCAP'!$D$2:$D$377,MATCH(Q2618,'model_byCAP'!$A$2:$A$377,0)),0)</f>
        <v>4047</v>
      </c>
    </row>
    <row r="2619" ht="15.35" customHeight="1">
      <c r="A2619" t="s" s="2">
        <v>5074</v>
      </c>
      <c r="B2619" s="4">
        <v>36572</v>
      </c>
      <c r="C2619" s="5">
        <v>750</v>
      </c>
      <c r="D2619" s="5">
        <v>48</v>
      </c>
      <c r="E2619" s="5">
        <v>45</v>
      </c>
      <c r="F2619" t="s" s="2">
        <v>1746</v>
      </c>
      <c r="G2619" t="s" s="2">
        <v>4044</v>
      </c>
      <c r="H2619" s="5">
        <v>849</v>
      </c>
      <c r="I2619" t="s" s="2">
        <v>411</v>
      </c>
      <c r="J2619" t="s" s="2">
        <v>22</v>
      </c>
      <c r="K2619" t="s" s="2">
        <v>5072</v>
      </c>
      <c r="L2619" t="s" s="2">
        <v>5073</v>
      </c>
      <c r="M2619" s="5">
        <v>532165.09</v>
      </c>
      <c r="N2619" s="5">
        <v>6331690.21</v>
      </c>
      <c r="O2619" t="s" s="2">
        <v>305</v>
      </c>
      <c r="P2619" t="s" s="2">
        <v>5068</v>
      </c>
      <c r="Q2619" t="s" s="2">
        <v>4046</v>
      </c>
      <c r="R2619" t="s" s="2">
        <f>_xlfn.IFERROR(INDEX('model_byCAP'!$D$2:$D$377,MATCH(Q2619,'model_byCAP'!$A$2:$A$377,0)),0)</f>
        <v>4047</v>
      </c>
    </row>
    <row r="2620" ht="15.35" customHeight="1">
      <c r="A2620" t="s" s="2">
        <v>5075</v>
      </c>
      <c r="B2620" s="4">
        <v>36572</v>
      </c>
      <c r="C2620" s="5">
        <v>750</v>
      </c>
      <c r="D2620" s="5">
        <v>48</v>
      </c>
      <c r="E2620" s="5">
        <v>45</v>
      </c>
      <c r="F2620" t="s" s="2">
        <v>1746</v>
      </c>
      <c r="G2620" t="s" s="2">
        <v>4044</v>
      </c>
      <c r="H2620" s="5">
        <v>849</v>
      </c>
      <c r="I2620" t="s" s="2">
        <v>411</v>
      </c>
      <c r="J2620" t="s" s="2">
        <v>22</v>
      </c>
      <c r="K2620" t="s" s="2">
        <v>5067</v>
      </c>
      <c r="L2620" t="s" s="2">
        <v>1663</v>
      </c>
      <c r="M2620" s="5">
        <v>532928.41</v>
      </c>
      <c r="N2620" s="5">
        <v>6331212.98</v>
      </c>
      <c r="O2620" t="s" s="2">
        <v>305</v>
      </c>
      <c r="P2620" t="s" s="2">
        <v>5068</v>
      </c>
      <c r="Q2620" t="s" s="2">
        <v>4046</v>
      </c>
      <c r="R2620" t="s" s="2">
        <f>_xlfn.IFERROR(INDEX('model_byCAP'!$D$2:$D$377,MATCH(Q2620,'model_byCAP'!$A$2:$A$377,0)),0)</f>
        <v>4047</v>
      </c>
    </row>
    <row r="2621" ht="15.35" customHeight="1">
      <c r="A2621" t="s" s="2">
        <v>5076</v>
      </c>
      <c r="B2621" s="4">
        <v>36572</v>
      </c>
      <c r="C2621" s="5">
        <v>750</v>
      </c>
      <c r="D2621" s="5">
        <v>48</v>
      </c>
      <c r="E2621" s="5">
        <v>45</v>
      </c>
      <c r="F2621" t="s" s="2">
        <v>1746</v>
      </c>
      <c r="G2621" t="s" s="2">
        <v>4044</v>
      </c>
      <c r="H2621" s="5">
        <v>849</v>
      </c>
      <c r="I2621" t="s" s="2">
        <v>411</v>
      </c>
      <c r="J2621" t="s" s="2">
        <v>22</v>
      </c>
      <c r="K2621" t="s" s="2">
        <v>5067</v>
      </c>
      <c r="L2621" t="s" s="2">
        <v>1663</v>
      </c>
      <c r="M2621" s="5">
        <v>532751.73</v>
      </c>
      <c r="N2621" s="5">
        <v>6331392.4</v>
      </c>
      <c r="O2621" t="s" s="2">
        <v>305</v>
      </c>
      <c r="P2621" t="s" s="2">
        <v>5068</v>
      </c>
      <c r="Q2621" t="s" s="2">
        <v>4046</v>
      </c>
      <c r="R2621" t="s" s="2">
        <f>_xlfn.IFERROR(INDEX('model_byCAP'!$D$2:$D$377,MATCH(Q2621,'model_byCAP'!$A$2:$A$377,0)),0)</f>
        <v>4047</v>
      </c>
    </row>
    <row r="2622" ht="15.35" customHeight="1">
      <c r="A2622" t="s" s="2">
        <v>5077</v>
      </c>
      <c r="B2622" s="4">
        <v>36572</v>
      </c>
      <c r="C2622" s="5">
        <v>750</v>
      </c>
      <c r="D2622" s="5">
        <v>48</v>
      </c>
      <c r="E2622" s="5">
        <v>45</v>
      </c>
      <c r="F2622" t="s" s="2">
        <v>1746</v>
      </c>
      <c r="G2622" t="s" s="2">
        <v>4044</v>
      </c>
      <c r="H2622" s="5">
        <v>849</v>
      </c>
      <c r="I2622" t="s" s="2">
        <v>411</v>
      </c>
      <c r="J2622" t="s" s="2">
        <v>22</v>
      </c>
      <c r="K2622" t="s" s="2">
        <v>5067</v>
      </c>
      <c r="L2622" t="s" s="2">
        <v>3180</v>
      </c>
      <c r="M2622" s="5">
        <v>532580.8</v>
      </c>
      <c r="N2622" s="5">
        <v>6331572.67</v>
      </c>
      <c r="O2622" t="s" s="2">
        <v>305</v>
      </c>
      <c r="P2622" t="s" s="2">
        <v>5068</v>
      </c>
      <c r="Q2622" t="s" s="2">
        <v>4046</v>
      </c>
      <c r="R2622" t="s" s="2">
        <f>_xlfn.IFERROR(INDEX('model_byCAP'!$D$2:$D$377,MATCH(Q2622,'model_byCAP'!$A$2:$A$377,0)),0)</f>
        <v>4047</v>
      </c>
    </row>
    <row r="2623" ht="15.35" customHeight="1">
      <c r="A2623" t="s" s="2">
        <v>5078</v>
      </c>
      <c r="B2623" s="4">
        <v>36572</v>
      </c>
      <c r="C2623" s="5">
        <v>750</v>
      </c>
      <c r="D2623" s="5">
        <v>48</v>
      </c>
      <c r="E2623" s="5">
        <v>45</v>
      </c>
      <c r="F2623" t="s" s="2">
        <v>1746</v>
      </c>
      <c r="G2623" t="s" s="2">
        <v>4044</v>
      </c>
      <c r="H2623" s="5">
        <v>849</v>
      </c>
      <c r="I2623" t="s" s="2">
        <v>411</v>
      </c>
      <c r="J2623" t="s" s="2">
        <v>22</v>
      </c>
      <c r="K2623" t="s" s="2">
        <v>5067</v>
      </c>
      <c r="L2623" t="s" s="2">
        <v>5070</v>
      </c>
      <c r="M2623" s="5">
        <v>532407.26</v>
      </c>
      <c r="N2623" s="5">
        <v>6331752.53</v>
      </c>
      <c r="O2623" t="s" s="2">
        <v>305</v>
      </c>
      <c r="P2623" t="s" s="2">
        <v>5068</v>
      </c>
      <c r="Q2623" t="s" s="2">
        <v>4046</v>
      </c>
      <c r="R2623" t="s" s="2">
        <f>_xlfn.IFERROR(INDEX('model_byCAP'!$D$2:$D$377,MATCH(Q2623,'model_byCAP'!$A$2:$A$377,0)),0)</f>
        <v>4047</v>
      </c>
    </row>
    <row r="2624" ht="15.35" customHeight="1">
      <c r="A2624" t="s" s="2">
        <v>5079</v>
      </c>
      <c r="B2624" s="4">
        <v>36572</v>
      </c>
      <c r="C2624" s="5">
        <v>750</v>
      </c>
      <c r="D2624" s="5">
        <v>48</v>
      </c>
      <c r="E2624" s="5">
        <v>45</v>
      </c>
      <c r="F2624" t="s" s="2">
        <v>1746</v>
      </c>
      <c r="G2624" t="s" s="2">
        <v>4044</v>
      </c>
      <c r="H2624" s="5">
        <v>849</v>
      </c>
      <c r="I2624" t="s" s="2">
        <v>411</v>
      </c>
      <c r="J2624" t="s" s="2">
        <v>22</v>
      </c>
      <c r="K2624" t="s" s="2">
        <v>5067</v>
      </c>
      <c r="L2624" t="s" s="2">
        <v>1663</v>
      </c>
      <c r="M2624" s="5">
        <v>533170.53</v>
      </c>
      <c r="N2624" s="5">
        <v>6331275.33</v>
      </c>
      <c r="O2624" t="s" s="2">
        <v>305</v>
      </c>
      <c r="P2624" t="s" s="2">
        <v>5068</v>
      </c>
      <c r="Q2624" t="s" s="2">
        <v>4046</v>
      </c>
      <c r="R2624" t="s" s="2">
        <f>_xlfn.IFERROR(INDEX('model_byCAP'!$D$2:$D$377,MATCH(Q2624,'model_byCAP'!$A$2:$A$377,0)),0)</f>
        <v>4047</v>
      </c>
    </row>
    <row r="2625" ht="15.35" customHeight="1">
      <c r="A2625" t="s" s="2">
        <v>5080</v>
      </c>
      <c r="B2625" s="4">
        <v>36572</v>
      </c>
      <c r="C2625" s="5">
        <v>750</v>
      </c>
      <c r="D2625" s="5">
        <v>48</v>
      </c>
      <c r="E2625" s="5">
        <v>45</v>
      </c>
      <c r="F2625" t="s" s="2">
        <v>1746</v>
      </c>
      <c r="G2625" t="s" s="2">
        <v>4044</v>
      </c>
      <c r="H2625" s="5">
        <v>849</v>
      </c>
      <c r="I2625" t="s" s="2">
        <v>411</v>
      </c>
      <c r="J2625" t="s" s="2">
        <v>22</v>
      </c>
      <c r="K2625" t="s" s="2">
        <v>5067</v>
      </c>
      <c r="L2625" t="s" s="2">
        <v>1663</v>
      </c>
      <c r="M2625" s="5">
        <v>532996.37</v>
      </c>
      <c r="N2625" s="5">
        <v>6331454.9</v>
      </c>
      <c r="O2625" t="s" s="2">
        <v>305</v>
      </c>
      <c r="P2625" t="s" s="2">
        <v>5068</v>
      </c>
      <c r="Q2625" t="s" s="2">
        <v>4046</v>
      </c>
      <c r="R2625" t="s" s="2">
        <f>_xlfn.IFERROR(INDEX('model_byCAP'!$D$2:$D$377,MATCH(Q2625,'model_byCAP'!$A$2:$A$377,0)),0)</f>
        <v>4047</v>
      </c>
    </row>
    <row r="2626" ht="15.35" customHeight="1">
      <c r="A2626" t="s" s="2">
        <v>5081</v>
      </c>
      <c r="B2626" s="4">
        <v>36572</v>
      </c>
      <c r="C2626" s="5">
        <v>750</v>
      </c>
      <c r="D2626" s="5">
        <v>48</v>
      </c>
      <c r="E2626" s="5">
        <v>45</v>
      </c>
      <c r="F2626" t="s" s="2">
        <v>1746</v>
      </c>
      <c r="G2626" t="s" s="2">
        <v>4044</v>
      </c>
      <c r="H2626" s="5">
        <v>849</v>
      </c>
      <c r="I2626" t="s" s="2">
        <v>411</v>
      </c>
      <c r="J2626" t="s" s="2">
        <v>22</v>
      </c>
      <c r="K2626" t="s" s="2">
        <v>5067</v>
      </c>
      <c r="L2626" t="s" s="2">
        <v>1663</v>
      </c>
      <c r="M2626" s="5">
        <v>532822.75</v>
      </c>
      <c r="N2626" s="5">
        <v>6331635.46</v>
      </c>
      <c r="O2626" t="s" s="2">
        <v>305</v>
      </c>
      <c r="P2626" t="s" s="2">
        <v>5068</v>
      </c>
      <c r="Q2626" t="s" s="2">
        <v>4046</v>
      </c>
      <c r="R2626" t="s" s="2">
        <f>_xlfn.IFERROR(INDEX('model_byCAP'!$D$2:$D$377,MATCH(Q2626,'model_byCAP'!$A$2:$A$377,0)),0)</f>
        <v>4047</v>
      </c>
    </row>
    <row r="2627" ht="15.35" customHeight="1">
      <c r="A2627" t="s" s="2">
        <v>5082</v>
      </c>
      <c r="B2627" s="4">
        <v>36572</v>
      </c>
      <c r="C2627" s="5">
        <v>750</v>
      </c>
      <c r="D2627" s="5">
        <v>48</v>
      </c>
      <c r="E2627" s="5">
        <v>45</v>
      </c>
      <c r="F2627" t="s" s="2">
        <v>1746</v>
      </c>
      <c r="G2627" t="s" s="2">
        <v>4044</v>
      </c>
      <c r="H2627" s="5">
        <v>849</v>
      </c>
      <c r="I2627" t="s" s="2">
        <v>411</v>
      </c>
      <c r="J2627" t="s" s="2">
        <v>22</v>
      </c>
      <c r="K2627" t="s" s="2">
        <v>5067</v>
      </c>
      <c r="L2627" t="s" s="2">
        <v>5070</v>
      </c>
      <c r="M2627" s="5">
        <v>532649.37</v>
      </c>
      <c r="N2627" s="5">
        <v>6331815.07</v>
      </c>
      <c r="O2627" t="s" s="2">
        <v>305</v>
      </c>
      <c r="P2627" t="s" s="2">
        <v>5068</v>
      </c>
      <c r="Q2627" t="s" s="2">
        <v>4046</v>
      </c>
      <c r="R2627" t="s" s="2">
        <f>_xlfn.IFERROR(INDEX('model_byCAP'!$D$2:$D$377,MATCH(Q2627,'model_byCAP'!$A$2:$A$377,0)),0)</f>
        <v>4047</v>
      </c>
    </row>
    <row r="2628" ht="15.35" customHeight="1">
      <c r="A2628" t="s" s="2">
        <v>5083</v>
      </c>
      <c r="B2628" s="4">
        <v>36572</v>
      </c>
      <c r="C2628" s="5">
        <v>750</v>
      </c>
      <c r="D2628" s="5">
        <v>48</v>
      </c>
      <c r="E2628" s="5">
        <v>45</v>
      </c>
      <c r="F2628" t="s" s="2">
        <v>1746</v>
      </c>
      <c r="G2628" t="s" s="2">
        <v>4044</v>
      </c>
      <c r="H2628" s="5">
        <v>849</v>
      </c>
      <c r="I2628" t="s" s="2">
        <v>411</v>
      </c>
      <c r="J2628" t="s" s="2">
        <v>22</v>
      </c>
      <c r="K2628" t="s" s="2">
        <v>5067</v>
      </c>
      <c r="L2628" t="s" s="2">
        <v>500</v>
      </c>
      <c r="M2628" s="5">
        <v>533412.13</v>
      </c>
      <c r="N2628" s="5">
        <v>6331337.96</v>
      </c>
      <c r="O2628" t="s" s="2">
        <v>305</v>
      </c>
      <c r="P2628" t="s" s="2">
        <v>5068</v>
      </c>
      <c r="Q2628" t="s" s="2">
        <v>4046</v>
      </c>
      <c r="R2628" t="s" s="2">
        <f>_xlfn.IFERROR(INDEX('model_byCAP'!$D$2:$D$377,MATCH(Q2628,'model_byCAP'!$A$2:$A$377,0)),0)</f>
        <v>4047</v>
      </c>
    </row>
    <row r="2629" ht="15.35" customHeight="1">
      <c r="A2629" t="s" s="2">
        <v>5084</v>
      </c>
      <c r="B2629" s="4">
        <v>36572</v>
      </c>
      <c r="C2629" s="5">
        <v>750</v>
      </c>
      <c r="D2629" s="5">
        <v>48</v>
      </c>
      <c r="E2629" s="5">
        <v>45</v>
      </c>
      <c r="F2629" t="s" s="2">
        <v>1746</v>
      </c>
      <c r="G2629" t="s" s="2">
        <v>4044</v>
      </c>
      <c r="H2629" s="5">
        <v>849</v>
      </c>
      <c r="I2629" t="s" s="2">
        <v>411</v>
      </c>
      <c r="J2629" t="s" s="2">
        <v>22</v>
      </c>
      <c r="K2629" t="s" s="2">
        <v>5067</v>
      </c>
      <c r="L2629" t="s" s="2">
        <v>500</v>
      </c>
      <c r="M2629" s="5">
        <v>533237.6800000001</v>
      </c>
      <c r="N2629" s="5">
        <v>6331518.1</v>
      </c>
      <c r="O2629" t="s" s="2">
        <v>305</v>
      </c>
      <c r="P2629" t="s" s="2">
        <v>5068</v>
      </c>
      <c r="Q2629" t="s" s="2">
        <v>4046</v>
      </c>
      <c r="R2629" t="s" s="2">
        <f>_xlfn.IFERROR(INDEX('model_byCAP'!$D$2:$D$377,MATCH(Q2629,'model_byCAP'!$A$2:$A$377,0)),0)</f>
        <v>4047</v>
      </c>
    </row>
    <row r="2630" ht="15.35" customHeight="1">
      <c r="A2630" t="s" s="2">
        <v>5085</v>
      </c>
      <c r="B2630" s="4">
        <v>36572</v>
      </c>
      <c r="C2630" s="5">
        <v>750</v>
      </c>
      <c r="D2630" s="5">
        <v>48</v>
      </c>
      <c r="E2630" s="5">
        <v>45</v>
      </c>
      <c r="F2630" t="s" s="2">
        <v>1746</v>
      </c>
      <c r="G2630" t="s" s="2">
        <v>4044</v>
      </c>
      <c r="H2630" s="5">
        <v>849</v>
      </c>
      <c r="I2630" t="s" s="2">
        <v>411</v>
      </c>
      <c r="J2630" t="s" s="2">
        <v>22</v>
      </c>
      <c r="K2630" t="s" s="2">
        <v>5067</v>
      </c>
      <c r="L2630" t="s" s="2">
        <v>5070</v>
      </c>
      <c r="M2630" s="5">
        <v>532891.55</v>
      </c>
      <c r="N2630" s="5">
        <v>6331877.59</v>
      </c>
      <c r="O2630" t="s" s="2">
        <v>305</v>
      </c>
      <c r="P2630" t="s" s="2">
        <v>5068</v>
      </c>
      <c r="Q2630" t="s" s="2">
        <v>4046</v>
      </c>
      <c r="R2630" t="s" s="2">
        <f>_xlfn.IFERROR(INDEX('model_byCAP'!$D$2:$D$377,MATCH(Q2630,'model_byCAP'!$A$2:$A$377,0)),0)</f>
        <v>4047</v>
      </c>
    </row>
    <row r="2631" ht="15.35" customHeight="1">
      <c r="A2631" t="s" s="2">
        <v>5086</v>
      </c>
      <c r="B2631" s="4">
        <v>36572</v>
      </c>
      <c r="C2631" s="5">
        <v>750</v>
      </c>
      <c r="D2631" s="5">
        <v>48</v>
      </c>
      <c r="E2631" s="5">
        <v>45</v>
      </c>
      <c r="F2631" t="s" s="2">
        <v>1746</v>
      </c>
      <c r="G2631" t="s" s="2">
        <v>4044</v>
      </c>
      <c r="H2631" s="5">
        <v>849</v>
      </c>
      <c r="I2631" t="s" s="2">
        <v>411</v>
      </c>
      <c r="J2631" t="s" s="2">
        <v>22</v>
      </c>
      <c r="K2631" t="s" s="2">
        <v>5067</v>
      </c>
      <c r="L2631" t="s" s="2">
        <v>5087</v>
      </c>
      <c r="M2631" s="5">
        <v>533653.8</v>
      </c>
      <c r="N2631" s="5">
        <v>6331400.49</v>
      </c>
      <c r="O2631" t="s" s="2">
        <v>305</v>
      </c>
      <c r="P2631" t="s" s="2">
        <v>5068</v>
      </c>
      <c r="Q2631" t="s" s="2">
        <v>4046</v>
      </c>
      <c r="R2631" t="s" s="2">
        <f>_xlfn.IFERROR(INDEX('model_byCAP'!$D$2:$D$377,MATCH(Q2631,'model_byCAP'!$A$2:$A$377,0)),0)</f>
        <v>4047</v>
      </c>
    </row>
    <row r="2632" ht="15.35" customHeight="1">
      <c r="A2632" t="s" s="2">
        <v>5088</v>
      </c>
      <c r="B2632" s="4">
        <v>36572</v>
      </c>
      <c r="C2632" s="5">
        <v>750</v>
      </c>
      <c r="D2632" s="5">
        <v>48</v>
      </c>
      <c r="E2632" s="5">
        <v>45</v>
      </c>
      <c r="F2632" t="s" s="2">
        <v>1746</v>
      </c>
      <c r="G2632" t="s" s="2">
        <v>4044</v>
      </c>
      <c r="H2632" s="5">
        <v>849</v>
      </c>
      <c r="I2632" t="s" s="2">
        <v>411</v>
      </c>
      <c r="J2632" t="s" s="2">
        <v>22</v>
      </c>
      <c r="K2632" t="s" s="2">
        <v>5067</v>
      </c>
      <c r="L2632" t="s" s="2">
        <v>500</v>
      </c>
      <c r="M2632" s="5">
        <v>533481.22</v>
      </c>
      <c r="N2632" s="5">
        <v>6331580.29</v>
      </c>
      <c r="O2632" t="s" s="2">
        <v>305</v>
      </c>
      <c r="P2632" t="s" s="2">
        <v>5068</v>
      </c>
      <c r="Q2632" t="s" s="2">
        <v>4046</v>
      </c>
      <c r="R2632" t="s" s="2">
        <f>_xlfn.IFERROR(INDEX('model_byCAP'!$D$2:$D$377,MATCH(Q2632,'model_byCAP'!$A$2:$A$377,0)),0)</f>
        <v>4047</v>
      </c>
    </row>
    <row r="2633" ht="15.35" customHeight="1">
      <c r="A2633" t="s" s="2">
        <v>5089</v>
      </c>
      <c r="B2633" s="4">
        <v>36572</v>
      </c>
      <c r="C2633" s="5">
        <v>750</v>
      </c>
      <c r="D2633" s="5">
        <v>48</v>
      </c>
      <c r="E2633" s="5">
        <v>45</v>
      </c>
      <c r="F2633" t="s" s="2">
        <v>1746</v>
      </c>
      <c r="G2633" t="s" s="2">
        <v>4044</v>
      </c>
      <c r="H2633" s="5">
        <v>849</v>
      </c>
      <c r="I2633" t="s" s="2">
        <v>411</v>
      </c>
      <c r="J2633" t="s" s="2">
        <v>22</v>
      </c>
      <c r="K2633" t="s" s="2">
        <v>5067</v>
      </c>
      <c r="L2633" t="s" s="2">
        <v>5090</v>
      </c>
      <c r="M2633" s="5">
        <v>533306.4399999999</v>
      </c>
      <c r="N2633" s="5">
        <v>6331760.69</v>
      </c>
      <c r="O2633" t="s" s="2">
        <v>305</v>
      </c>
      <c r="P2633" t="s" s="2">
        <v>5068</v>
      </c>
      <c r="Q2633" t="s" s="2">
        <v>4046</v>
      </c>
      <c r="R2633" t="s" s="2">
        <f>_xlfn.IFERROR(INDEX('model_byCAP'!$D$2:$D$377,MATCH(Q2633,'model_byCAP'!$A$2:$A$377,0)),0)</f>
        <v>4047</v>
      </c>
    </row>
    <row r="2634" ht="15.35" customHeight="1">
      <c r="A2634" t="s" s="2">
        <v>5091</v>
      </c>
      <c r="B2634" s="4">
        <v>36572</v>
      </c>
      <c r="C2634" s="5">
        <v>750</v>
      </c>
      <c r="D2634" s="5">
        <v>48</v>
      </c>
      <c r="E2634" s="5">
        <v>45</v>
      </c>
      <c r="F2634" t="s" s="2">
        <v>1746</v>
      </c>
      <c r="G2634" t="s" s="2">
        <v>4044</v>
      </c>
      <c r="H2634" s="5">
        <v>849</v>
      </c>
      <c r="I2634" t="s" s="2">
        <v>411</v>
      </c>
      <c r="J2634" t="s" s="2">
        <v>22</v>
      </c>
      <c r="K2634" t="s" s="2">
        <v>5067</v>
      </c>
      <c r="L2634" t="s" s="2">
        <v>481</v>
      </c>
      <c r="M2634" s="5">
        <v>533133.55</v>
      </c>
      <c r="N2634" s="5">
        <v>6331939.98</v>
      </c>
      <c r="O2634" t="s" s="2">
        <v>305</v>
      </c>
      <c r="P2634" t="s" s="2">
        <v>5068</v>
      </c>
      <c r="Q2634" t="s" s="2">
        <v>4046</v>
      </c>
      <c r="R2634" t="s" s="2">
        <f>_xlfn.IFERROR(INDEX('model_byCAP'!$D$2:$D$377,MATCH(Q2634,'model_byCAP'!$A$2:$A$377,0)),0)</f>
        <v>4047</v>
      </c>
    </row>
    <row r="2635" ht="15.35" customHeight="1">
      <c r="A2635" t="s" s="2">
        <v>5092</v>
      </c>
      <c r="B2635" s="4">
        <v>36572</v>
      </c>
      <c r="C2635" s="5">
        <v>750</v>
      </c>
      <c r="D2635" s="5">
        <v>48</v>
      </c>
      <c r="E2635" s="5">
        <v>45</v>
      </c>
      <c r="F2635" t="s" s="2">
        <v>1746</v>
      </c>
      <c r="G2635" t="s" s="2">
        <v>4044</v>
      </c>
      <c r="H2635" s="5">
        <v>849</v>
      </c>
      <c r="I2635" t="s" s="2">
        <v>411</v>
      </c>
      <c r="J2635" t="s" s="2">
        <v>22</v>
      </c>
      <c r="K2635" t="s" s="2">
        <v>5067</v>
      </c>
      <c r="L2635" t="s" s="2">
        <v>5087</v>
      </c>
      <c r="M2635" s="5">
        <v>533895.86</v>
      </c>
      <c r="N2635" s="5">
        <v>6331463.48</v>
      </c>
      <c r="O2635" t="s" s="2">
        <v>305</v>
      </c>
      <c r="P2635" t="s" s="2">
        <v>5068</v>
      </c>
      <c r="Q2635" t="s" s="2">
        <v>4046</v>
      </c>
      <c r="R2635" t="s" s="2">
        <f>_xlfn.IFERROR(INDEX('model_byCAP'!$D$2:$D$377,MATCH(Q2635,'model_byCAP'!$A$2:$A$377,0)),0)</f>
        <v>4047</v>
      </c>
    </row>
    <row r="2636" ht="15.35" customHeight="1">
      <c r="A2636" t="s" s="2">
        <v>5093</v>
      </c>
      <c r="B2636" s="4">
        <v>36572</v>
      </c>
      <c r="C2636" s="5">
        <v>750</v>
      </c>
      <c r="D2636" s="5">
        <v>48</v>
      </c>
      <c r="E2636" s="5">
        <v>45</v>
      </c>
      <c r="F2636" t="s" s="2">
        <v>1746</v>
      </c>
      <c r="G2636" t="s" s="2">
        <v>4044</v>
      </c>
      <c r="H2636" s="5">
        <v>849</v>
      </c>
      <c r="I2636" t="s" s="2">
        <v>411</v>
      </c>
      <c r="J2636" t="s" s="2">
        <v>22</v>
      </c>
      <c r="K2636" t="s" s="2">
        <v>5067</v>
      </c>
      <c r="L2636" t="s" s="2">
        <v>5087</v>
      </c>
      <c r="M2636" s="5">
        <v>533722.9300000001</v>
      </c>
      <c r="N2636" s="5">
        <v>6331643.11</v>
      </c>
      <c r="O2636" t="s" s="2">
        <v>305</v>
      </c>
      <c r="P2636" t="s" s="2">
        <v>5068</v>
      </c>
      <c r="Q2636" t="s" s="2">
        <v>4046</v>
      </c>
      <c r="R2636" t="s" s="2">
        <f>_xlfn.IFERROR(INDEX('model_byCAP'!$D$2:$D$377,MATCH(Q2636,'model_byCAP'!$A$2:$A$377,0)),0)</f>
        <v>4047</v>
      </c>
    </row>
    <row r="2637" ht="15.35" customHeight="1">
      <c r="A2637" t="s" s="2">
        <v>5094</v>
      </c>
      <c r="B2637" s="4">
        <v>36572</v>
      </c>
      <c r="C2637" s="5">
        <v>750</v>
      </c>
      <c r="D2637" s="5">
        <v>48</v>
      </c>
      <c r="E2637" s="5">
        <v>45</v>
      </c>
      <c r="F2637" t="s" s="2">
        <v>1746</v>
      </c>
      <c r="G2637" t="s" s="2">
        <v>4044</v>
      </c>
      <c r="H2637" s="5">
        <v>849</v>
      </c>
      <c r="I2637" t="s" s="2">
        <v>411</v>
      </c>
      <c r="J2637" t="s" s="2">
        <v>22</v>
      </c>
      <c r="K2637" t="s" s="2">
        <v>5067</v>
      </c>
      <c r="L2637" t="s" s="2">
        <v>5090</v>
      </c>
      <c r="M2637" s="5">
        <v>533548.84</v>
      </c>
      <c r="N2637" s="5">
        <v>6331823.01</v>
      </c>
      <c r="O2637" t="s" s="2">
        <v>305</v>
      </c>
      <c r="P2637" t="s" s="2">
        <v>5068</v>
      </c>
      <c r="Q2637" t="s" s="2">
        <v>4046</v>
      </c>
      <c r="R2637" t="s" s="2">
        <f>_xlfn.IFERROR(INDEX('model_byCAP'!$D$2:$D$377,MATCH(Q2637,'model_byCAP'!$A$2:$A$377,0)),0)</f>
        <v>4047</v>
      </c>
    </row>
    <row r="2638" ht="15.35" customHeight="1">
      <c r="A2638" t="s" s="2">
        <v>5095</v>
      </c>
      <c r="B2638" s="4">
        <v>36572</v>
      </c>
      <c r="C2638" s="5">
        <v>750</v>
      </c>
      <c r="D2638" s="5">
        <v>48</v>
      </c>
      <c r="E2638" s="5">
        <v>45</v>
      </c>
      <c r="F2638" t="s" s="2">
        <v>1746</v>
      </c>
      <c r="G2638" t="s" s="2">
        <v>4044</v>
      </c>
      <c r="H2638" s="5">
        <v>849</v>
      </c>
      <c r="I2638" t="s" s="2">
        <v>411</v>
      </c>
      <c r="J2638" t="s" s="2">
        <v>22</v>
      </c>
      <c r="K2638" t="s" s="2">
        <v>5067</v>
      </c>
      <c r="L2638" t="s" s="2">
        <v>5090</v>
      </c>
      <c r="M2638" s="5">
        <v>533375.53</v>
      </c>
      <c r="N2638" s="5">
        <v>6332002.78</v>
      </c>
      <c r="O2638" t="s" s="2">
        <v>305</v>
      </c>
      <c r="P2638" t="s" s="2">
        <v>5068</v>
      </c>
      <c r="Q2638" t="s" s="2">
        <v>4046</v>
      </c>
      <c r="R2638" t="s" s="2">
        <f>_xlfn.IFERROR(INDEX('model_byCAP'!$D$2:$D$377,MATCH(Q2638,'model_byCAP'!$A$2:$A$377,0)),0)</f>
        <v>4047</v>
      </c>
    </row>
    <row r="2639" ht="15.35" customHeight="1">
      <c r="A2639" t="s" s="2">
        <v>5096</v>
      </c>
      <c r="B2639" s="4">
        <v>36636</v>
      </c>
      <c r="C2639" s="5">
        <v>750</v>
      </c>
      <c r="D2639" s="5">
        <v>48</v>
      </c>
      <c r="E2639" s="5">
        <v>45</v>
      </c>
      <c r="F2639" t="s" s="2">
        <v>1746</v>
      </c>
      <c r="G2639" t="s" s="2">
        <v>4044</v>
      </c>
      <c r="H2639" s="5">
        <v>849</v>
      </c>
      <c r="I2639" t="s" s="2">
        <v>411</v>
      </c>
      <c r="J2639" t="s" s="2">
        <v>22</v>
      </c>
      <c r="K2639" t="s" s="2">
        <v>5097</v>
      </c>
      <c r="L2639" t="s" s="2">
        <v>1194</v>
      </c>
      <c r="M2639" s="5">
        <v>545709.8199999999</v>
      </c>
      <c r="N2639" s="5">
        <v>6347640.64</v>
      </c>
      <c r="O2639" t="s" s="2">
        <v>305</v>
      </c>
      <c r="P2639" s="5">
        <v>91</v>
      </c>
      <c r="Q2639" t="s" s="2">
        <v>4046</v>
      </c>
      <c r="R2639" t="s" s="2">
        <f>_xlfn.IFERROR(INDEX('model_byCAP'!$D$2:$D$377,MATCH(Q2639,'model_byCAP'!$A$2:$A$377,0)),0)</f>
        <v>4047</v>
      </c>
    </row>
    <row r="2640" ht="15.35" customHeight="1">
      <c r="A2640" t="s" s="2">
        <v>5098</v>
      </c>
      <c r="B2640" s="4">
        <v>36636</v>
      </c>
      <c r="C2640" s="5">
        <v>750</v>
      </c>
      <c r="D2640" s="5">
        <v>48</v>
      </c>
      <c r="E2640" s="5">
        <v>45</v>
      </c>
      <c r="F2640" t="s" s="2">
        <v>1746</v>
      </c>
      <c r="G2640" t="s" s="2">
        <v>4044</v>
      </c>
      <c r="H2640" s="5">
        <v>849</v>
      </c>
      <c r="I2640" t="s" s="2">
        <v>411</v>
      </c>
      <c r="J2640" t="s" s="2">
        <v>22</v>
      </c>
      <c r="K2640" t="s" s="2">
        <v>5097</v>
      </c>
      <c r="L2640" t="s" s="2">
        <v>2369</v>
      </c>
      <c r="M2640" s="5">
        <v>545934.6</v>
      </c>
      <c r="N2640" s="5">
        <v>6347531.97</v>
      </c>
      <c r="O2640" t="s" s="2">
        <v>305</v>
      </c>
      <c r="P2640" s="5">
        <v>92</v>
      </c>
      <c r="Q2640" t="s" s="2">
        <v>4046</v>
      </c>
      <c r="R2640" t="s" s="2">
        <f>_xlfn.IFERROR(INDEX('model_byCAP'!$D$2:$D$377,MATCH(Q2640,'model_byCAP'!$A$2:$A$377,0)),0)</f>
        <v>4047</v>
      </c>
    </row>
    <row r="2641" ht="15.35" customHeight="1">
      <c r="A2641" t="s" s="2">
        <v>5099</v>
      </c>
      <c r="B2641" s="4">
        <v>36636</v>
      </c>
      <c r="C2641" s="5">
        <v>750</v>
      </c>
      <c r="D2641" s="5">
        <v>48</v>
      </c>
      <c r="E2641" s="5">
        <v>45</v>
      </c>
      <c r="F2641" t="s" s="2">
        <v>1746</v>
      </c>
      <c r="G2641" t="s" s="2">
        <v>4044</v>
      </c>
      <c r="H2641" s="5">
        <v>849</v>
      </c>
      <c r="I2641" t="s" s="2">
        <v>411</v>
      </c>
      <c r="J2641" t="s" s="2">
        <v>22</v>
      </c>
      <c r="K2641" t="s" s="2">
        <v>5097</v>
      </c>
      <c r="L2641" t="s" s="2">
        <v>1588</v>
      </c>
      <c r="M2641" s="5">
        <v>546159.9399999999</v>
      </c>
      <c r="N2641" s="5">
        <v>6347423.32</v>
      </c>
      <c r="O2641" t="s" s="2">
        <v>305</v>
      </c>
      <c r="P2641" s="5">
        <v>93</v>
      </c>
      <c r="Q2641" t="s" s="2">
        <v>4046</v>
      </c>
      <c r="R2641" t="s" s="2">
        <f>_xlfn.IFERROR(INDEX('model_byCAP'!$D$2:$D$377,MATCH(Q2641,'model_byCAP'!$A$2:$A$377,0)),0)</f>
        <v>4047</v>
      </c>
    </row>
    <row r="2642" ht="15.35" customHeight="1">
      <c r="A2642" t="s" s="2">
        <v>5100</v>
      </c>
      <c r="B2642" s="4">
        <v>36636</v>
      </c>
      <c r="C2642" s="5">
        <v>750</v>
      </c>
      <c r="D2642" s="5">
        <v>48</v>
      </c>
      <c r="E2642" s="5">
        <v>45</v>
      </c>
      <c r="F2642" t="s" s="2">
        <v>1746</v>
      </c>
      <c r="G2642" t="s" s="2">
        <v>4044</v>
      </c>
      <c r="H2642" s="5">
        <v>849</v>
      </c>
      <c r="I2642" t="s" s="2">
        <v>411</v>
      </c>
      <c r="J2642" t="s" s="2">
        <v>22</v>
      </c>
      <c r="K2642" t="s" s="2">
        <v>5097</v>
      </c>
      <c r="L2642" t="s" s="2">
        <v>1145</v>
      </c>
      <c r="M2642" s="5">
        <v>545388.38</v>
      </c>
      <c r="N2642" s="5">
        <v>6347442.41</v>
      </c>
      <c r="O2642" t="s" s="2">
        <v>305</v>
      </c>
      <c r="P2642" s="5">
        <v>94</v>
      </c>
      <c r="Q2642" t="s" s="2">
        <v>4046</v>
      </c>
      <c r="R2642" t="s" s="2">
        <f>_xlfn.IFERROR(INDEX('model_byCAP'!$D$2:$D$377,MATCH(Q2642,'model_byCAP'!$A$2:$A$377,0)),0)</f>
        <v>4047</v>
      </c>
    </row>
    <row r="2643" ht="15.35" customHeight="1">
      <c r="A2643" t="s" s="2">
        <v>5101</v>
      </c>
      <c r="B2643" s="4">
        <v>36636</v>
      </c>
      <c r="C2643" s="5">
        <v>750</v>
      </c>
      <c r="D2643" s="5">
        <v>48</v>
      </c>
      <c r="E2643" s="5">
        <v>45</v>
      </c>
      <c r="F2643" t="s" s="2">
        <v>1746</v>
      </c>
      <c r="G2643" t="s" s="2">
        <v>4044</v>
      </c>
      <c r="H2643" s="5">
        <v>849</v>
      </c>
      <c r="I2643" t="s" s="2">
        <v>411</v>
      </c>
      <c r="J2643" t="s" s="2">
        <v>22</v>
      </c>
      <c r="K2643" t="s" s="2">
        <v>5097</v>
      </c>
      <c r="L2643" t="s" s="2">
        <v>1147</v>
      </c>
      <c r="M2643" s="5">
        <v>545615.28</v>
      </c>
      <c r="N2643" s="5">
        <v>6347337.38</v>
      </c>
      <c r="O2643" t="s" s="2">
        <v>305</v>
      </c>
      <c r="P2643" s="5">
        <v>95</v>
      </c>
      <c r="Q2643" t="s" s="2">
        <v>4046</v>
      </c>
      <c r="R2643" t="s" s="2">
        <f>_xlfn.IFERROR(INDEX('model_byCAP'!$D$2:$D$377,MATCH(Q2643,'model_byCAP'!$A$2:$A$377,0)),0)</f>
        <v>4047</v>
      </c>
    </row>
    <row r="2644" ht="15.35" customHeight="1">
      <c r="A2644" t="s" s="2">
        <v>5102</v>
      </c>
      <c r="B2644" s="4">
        <v>36636</v>
      </c>
      <c r="C2644" s="5">
        <v>750</v>
      </c>
      <c r="D2644" s="5">
        <v>48</v>
      </c>
      <c r="E2644" s="5">
        <v>45</v>
      </c>
      <c r="F2644" t="s" s="2">
        <v>1746</v>
      </c>
      <c r="G2644" t="s" s="2">
        <v>4044</v>
      </c>
      <c r="H2644" s="5">
        <v>849</v>
      </c>
      <c r="I2644" t="s" s="2">
        <v>411</v>
      </c>
      <c r="J2644" t="s" s="2">
        <v>22</v>
      </c>
      <c r="K2644" t="s" s="2">
        <v>5097</v>
      </c>
      <c r="L2644" t="s" s="2">
        <v>1122</v>
      </c>
      <c r="M2644" s="5">
        <v>545842.21</v>
      </c>
      <c r="N2644" s="5">
        <v>6347232.67</v>
      </c>
      <c r="O2644" t="s" s="2">
        <v>305</v>
      </c>
      <c r="P2644" s="5">
        <v>96</v>
      </c>
      <c r="Q2644" t="s" s="2">
        <v>4046</v>
      </c>
      <c r="R2644" t="s" s="2">
        <f>_xlfn.IFERROR(INDEX('model_byCAP'!$D$2:$D$377,MATCH(Q2644,'model_byCAP'!$A$2:$A$377,0)),0)</f>
        <v>4047</v>
      </c>
    </row>
    <row r="2645" ht="15.35" customHeight="1">
      <c r="A2645" t="s" s="2">
        <v>5103</v>
      </c>
      <c r="B2645" s="4">
        <v>35430</v>
      </c>
      <c r="C2645" s="5">
        <v>750</v>
      </c>
      <c r="D2645" s="5">
        <v>44</v>
      </c>
      <c r="E2645" s="5">
        <v>53</v>
      </c>
      <c r="F2645" t="s" s="2">
        <v>3604</v>
      </c>
      <c r="G2645" t="s" s="2">
        <v>4778</v>
      </c>
      <c r="H2645" s="5">
        <v>851</v>
      </c>
      <c r="I2645" t="s" s="2">
        <v>1139</v>
      </c>
      <c r="J2645" t="s" s="2">
        <v>22</v>
      </c>
      <c r="K2645" t="s" s="2">
        <v>5104</v>
      </c>
      <c r="L2645" t="s" s="2">
        <v>1055</v>
      </c>
      <c r="M2645" s="5">
        <v>542052.23</v>
      </c>
      <c r="N2645" s="5">
        <v>6316275.67</v>
      </c>
      <c r="O2645" t="s" s="2">
        <v>305</v>
      </c>
      <c r="P2645" s="5">
        <v>354</v>
      </c>
      <c r="Q2645" t="s" s="2">
        <v>4780</v>
      </c>
      <c r="R2645" t="s" s="2">
        <f>_xlfn.IFERROR(INDEX('model_byCAP'!$D$2:$D$377,MATCH(Q2645,'model_byCAP'!$A$2:$A$377,0)),0)</f>
        <v>4042</v>
      </c>
    </row>
    <row r="2646" ht="15.35" customHeight="1">
      <c r="A2646" t="s" s="2">
        <v>5105</v>
      </c>
      <c r="B2646" s="4">
        <v>35430</v>
      </c>
      <c r="C2646" s="5">
        <v>750</v>
      </c>
      <c r="D2646" s="5">
        <v>44</v>
      </c>
      <c r="E2646" s="5">
        <v>53</v>
      </c>
      <c r="F2646" t="s" s="2">
        <v>3604</v>
      </c>
      <c r="G2646" t="s" s="2">
        <v>4778</v>
      </c>
      <c r="H2646" s="5">
        <v>851</v>
      </c>
      <c r="I2646" t="s" s="2">
        <v>1139</v>
      </c>
      <c r="J2646" t="s" s="2">
        <v>22</v>
      </c>
      <c r="K2646" t="s" s="2">
        <v>5104</v>
      </c>
      <c r="L2646" t="s" s="2">
        <v>1276</v>
      </c>
      <c r="M2646" s="5">
        <v>542558.8100000001</v>
      </c>
      <c r="N2646" s="5">
        <v>6316385.64</v>
      </c>
      <c r="O2646" t="s" s="2">
        <v>305</v>
      </c>
      <c r="P2646" s="5">
        <v>482</v>
      </c>
      <c r="Q2646" t="s" s="2">
        <v>4780</v>
      </c>
      <c r="R2646" t="s" s="2">
        <f>_xlfn.IFERROR(INDEX('model_byCAP'!$D$2:$D$377,MATCH(Q2646,'model_byCAP'!$A$2:$A$377,0)),0)</f>
        <v>4042</v>
      </c>
    </row>
    <row r="2647" ht="15.35" customHeight="1">
      <c r="A2647" t="s" s="2">
        <v>5106</v>
      </c>
      <c r="B2647" s="4">
        <v>35430</v>
      </c>
      <c r="C2647" s="5">
        <v>750</v>
      </c>
      <c r="D2647" s="5">
        <v>44</v>
      </c>
      <c r="E2647" s="5">
        <v>53</v>
      </c>
      <c r="F2647" t="s" s="2">
        <v>3604</v>
      </c>
      <c r="G2647" t="s" s="2">
        <v>4778</v>
      </c>
      <c r="H2647" s="5">
        <v>851</v>
      </c>
      <c r="I2647" t="s" s="2">
        <v>1139</v>
      </c>
      <c r="J2647" t="s" s="2">
        <v>22</v>
      </c>
      <c r="K2647" t="s" s="2">
        <v>5107</v>
      </c>
      <c r="L2647" t="s" s="2">
        <v>1276</v>
      </c>
      <c r="M2647" s="5">
        <v>542652.4300000001</v>
      </c>
      <c r="N2647" s="5">
        <v>6316139.71</v>
      </c>
      <c r="O2647" t="s" s="2">
        <v>305</v>
      </c>
      <c r="P2647" s="5">
        <v>483</v>
      </c>
      <c r="Q2647" t="s" s="2">
        <v>4780</v>
      </c>
      <c r="R2647" t="s" s="2">
        <f>_xlfn.IFERROR(INDEX('model_byCAP'!$D$2:$D$377,MATCH(Q2647,'model_byCAP'!$A$2:$A$377,0)),0)</f>
        <v>4042</v>
      </c>
    </row>
    <row r="2648" ht="15.35" customHeight="1">
      <c r="A2648" t="s" s="2">
        <v>5108</v>
      </c>
      <c r="B2648" s="4">
        <v>36143</v>
      </c>
      <c r="C2648" s="5">
        <v>750</v>
      </c>
      <c r="D2648" s="5">
        <v>44</v>
      </c>
      <c r="E2648" s="5">
        <v>53</v>
      </c>
      <c r="F2648" t="s" s="2">
        <v>3604</v>
      </c>
      <c r="G2648" t="s" s="2">
        <v>4778</v>
      </c>
      <c r="H2648" s="5">
        <v>851</v>
      </c>
      <c r="I2648" t="s" s="2">
        <v>1139</v>
      </c>
      <c r="J2648" t="s" s="2">
        <v>22</v>
      </c>
      <c r="K2648" t="s" s="2">
        <v>5107</v>
      </c>
      <c r="L2648" t="s" s="2">
        <v>5109</v>
      </c>
      <c r="M2648" s="5">
        <v>542741.88</v>
      </c>
      <c r="N2648" s="5">
        <v>6315898.2</v>
      </c>
      <c r="O2648" t="s" s="2">
        <v>305</v>
      </c>
      <c r="P2648" s="5">
        <v>485</v>
      </c>
      <c r="Q2648" t="s" s="2">
        <v>4780</v>
      </c>
      <c r="R2648" t="s" s="2">
        <f>_xlfn.IFERROR(INDEX('model_byCAP'!$D$2:$D$377,MATCH(Q2648,'model_byCAP'!$A$2:$A$377,0)),0)</f>
        <v>4042</v>
      </c>
    </row>
    <row r="2649" ht="15.35" customHeight="1">
      <c r="A2649" t="s" s="2">
        <v>5110</v>
      </c>
      <c r="B2649" s="4">
        <v>35786</v>
      </c>
      <c r="C2649" s="5">
        <v>750</v>
      </c>
      <c r="D2649" s="5">
        <v>44</v>
      </c>
      <c r="E2649" s="5">
        <v>42</v>
      </c>
      <c r="F2649" t="s" s="2">
        <v>1746</v>
      </c>
      <c r="G2649" t="s" s="2">
        <v>4588</v>
      </c>
      <c r="H2649" s="5">
        <v>851</v>
      </c>
      <c r="I2649" t="s" s="2">
        <v>1139</v>
      </c>
      <c r="J2649" t="s" s="2">
        <v>22</v>
      </c>
      <c r="K2649" t="s" s="2">
        <v>5111</v>
      </c>
      <c r="L2649" t="s" s="2">
        <v>198</v>
      </c>
      <c r="M2649" s="5">
        <v>531541.4300000001</v>
      </c>
      <c r="N2649" s="5">
        <v>6315700.94</v>
      </c>
      <c r="O2649" t="s" s="2">
        <v>305</v>
      </c>
      <c r="P2649" s="5">
        <v>489</v>
      </c>
      <c r="Q2649" t="s" s="2">
        <v>4591</v>
      </c>
      <c r="R2649" t="s" s="2">
        <f>_xlfn.IFERROR(INDEX('model_byCAP'!$D$2:$D$377,MATCH(Q2649,'model_byCAP'!$A$2:$A$377,0)),0)</f>
        <v>4042</v>
      </c>
    </row>
    <row r="2650" ht="15.35" customHeight="1">
      <c r="A2650" t="s" s="2">
        <v>5112</v>
      </c>
      <c r="B2650" s="4">
        <v>35774</v>
      </c>
      <c r="C2650" s="5">
        <v>750</v>
      </c>
      <c r="D2650" s="5">
        <v>44</v>
      </c>
      <c r="E2650" s="5">
        <v>42</v>
      </c>
      <c r="F2650" t="s" s="2">
        <v>1746</v>
      </c>
      <c r="G2650" t="s" s="2">
        <v>4588</v>
      </c>
      <c r="H2650" s="5">
        <v>851</v>
      </c>
      <c r="I2650" t="s" s="2">
        <v>1139</v>
      </c>
      <c r="J2650" t="s" s="2">
        <v>22</v>
      </c>
      <c r="K2650" t="s" s="2">
        <v>5113</v>
      </c>
      <c r="L2650" t="s" s="2">
        <v>5114</v>
      </c>
      <c r="M2650" s="5">
        <v>531713.96</v>
      </c>
      <c r="N2650" s="5">
        <v>6316106.04</v>
      </c>
      <c r="O2650" t="s" s="2">
        <v>305</v>
      </c>
      <c r="P2650" s="5">
        <v>490</v>
      </c>
      <c r="Q2650" t="s" s="2">
        <v>4591</v>
      </c>
      <c r="R2650" t="s" s="2">
        <f>_xlfn.IFERROR(INDEX('model_byCAP'!$D$2:$D$377,MATCH(Q2650,'model_byCAP'!$A$2:$A$377,0)),0)</f>
        <v>4042</v>
      </c>
    </row>
    <row r="2651" ht="15.35" customHeight="1">
      <c r="A2651" t="s" s="2">
        <v>5115</v>
      </c>
      <c r="B2651" s="4">
        <v>35774</v>
      </c>
      <c r="C2651" s="5">
        <v>750</v>
      </c>
      <c r="D2651" s="5">
        <v>44</v>
      </c>
      <c r="E2651" s="5">
        <v>42</v>
      </c>
      <c r="F2651" t="s" s="2">
        <v>1746</v>
      </c>
      <c r="G2651" t="s" s="2">
        <v>4588</v>
      </c>
      <c r="H2651" s="5">
        <v>851</v>
      </c>
      <c r="I2651" t="s" s="2">
        <v>1139</v>
      </c>
      <c r="J2651" t="s" s="2">
        <v>22</v>
      </c>
      <c r="K2651" t="s" s="2">
        <v>5111</v>
      </c>
      <c r="L2651" t="s" s="2">
        <v>518</v>
      </c>
      <c r="M2651" s="5">
        <v>531627.9300000001</v>
      </c>
      <c r="N2651" s="5">
        <v>6315903.33</v>
      </c>
      <c r="O2651" t="s" s="2">
        <v>305</v>
      </c>
      <c r="P2651" s="5">
        <v>491</v>
      </c>
      <c r="Q2651" t="s" s="2">
        <v>4591</v>
      </c>
      <c r="R2651" t="s" s="2">
        <f>_xlfn.IFERROR(INDEX('model_byCAP'!$D$2:$D$377,MATCH(Q2651,'model_byCAP'!$A$2:$A$377,0)),0)</f>
        <v>4042</v>
      </c>
    </row>
    <row r="2652" ht="15.35" customHeight="1">
      <c r="A2652" t="s" s="2">
        <v>5116</v>
      </c>
      <c r="B2652" s="4">
        <v>36269</v>
      </c>
      <c r="C2652" s="5">
        <v>750</v>
      </c>
      <c r="D2652" s="5">
        <v>44</v>
      </c>
      <c r="E2652" s="5">
        <v>42</v>
      </c>
      <c r="F2652" t="s" s="2">
        <v>1746</v>
      </c>
      <c r="G2652" t="s" s="2">
        <v>4588</v>
      </c>
      <c r="H2652" s="5">
        <v>851</v>
      </c>
      <c r="I2652" t="s" s="2">
        <v>1139</v>
      </c>
      <c r="J2652" t="s" s="2">
        <v>22</v>
      </c>
      <c r="K2652" t="s" s="2">
        <v>5117</v>
      </c>
      <c r="L2652" t="s" s="2">
        <v>5118</v>
      </c>
      <c r="M2652" s="5">
        <v>531122.79</v>
      </c>
      <c r="N2652" s="5">
        <v>6316161.18</v>
      </c>
      <c r="O2652" t="s" s="2">
        <v>305</v>
      </c>
      <c r="P2652" s="5">
        <v>492</v>
      </c>
      <c r="Q2652" t="s" s="2">
        <v>4591</v>
      </c>
      <c r="R2652" t="s" s="2">
        <f>_xlfn.IFERROR(INDEX('model_byCAP'!$D$2:$D$377,MATCH(Q2652,'model_byCAP'!$A$2:$A$377,0)),0)</f>
        <v>4042</v>
      </c>
    </row>
    <row r="2653" ht="15.35" customHeight="1">
      <c r="A2653" t="s" s="2">
        <v>5119</v>
      </c>
      <c r="B2653" s="4">
        <v>36881</v>
      </c>
      <c r="C2653" s="5">
        <v>750</v>
      </c>
      <c r="D2653" s="5">
        <v>44</v>
      </c>
      <c r="E2653" s="5">
        <v>42</v>
      </c>
      <c r="F2653" t="s" s="2">
        <v>1746</v>
      </c>
      <c r="G2653" t="s" s="2">
        <v>4588</v>
      </c>
      <c r="H2653" s="5">
        <v>851</v>
      </c>
      <c r="I2653" t="s" s="2">
        <v>1139</v>
      </c>
      <c r="J2653" t="s" s="2">
        <v>22</v>
      </c>
      <c r="K2653" t="s" s="2">
        <v>5117</v>
      </c>
      <c r="L2653" t="s" s="2">
        <v>5118</v>
      </c>
      <c r="M2653" s="5">
        <v>531124.5699999999</v>
      </c>
      <c r="N2653" s="5">
        <v>6315972.42</v>
      </c>
      <c r="O2653" t="s" s="2">
        <v>305</v>
      </c>
      <c r="P2653" s="5">
        <v>493</v>
      </c>
      <c r="Q2653" t="s" s="2">
        <v>4591</v>
      </c>
      <c r="R2653" t="s" s="2">
        <f>_xlfn.IFERROR(INDEX('model_byCAP'!$D$2:$D$377,MATCH(Q2653,'model_byCAP'!$A$2:$A$377,0)),0)</f>
        <v>4042</v>
      </c>
    </row>
    <row r="2654" ht="15.35" customHeight="1">
      <c r="A2654" t="s" s="2">
        <v>5120</v>
      </c>
      <c r="B2654" s="4">
        <v>36881</v>
      </c>
      <c r="C2654" s="5">
        <v>750</v>
      </c>
      <c r="D2654" s="5">
        <v>44</v>
      </c>
      <c r="E2654" s="5">
        <v>42</v>
      </c>
      <c r="F2654" t="s" s="2">
        <v>1746</v>
      </c>
      <c r="G2654" t="s" s="2">
        <v>4588</v>
      </c>
      <c r="H2654" s="5">
        <v>851</v>
      </c>
      <c r="I2654" t="s" s="2">
        <v>1139</v>
      </c>
      <c r="J2654" t="s" s="2">
        <v>22</v>
      </c>
      <c r="K2654" t="s" s="2">
        <v>5117</v>
      </c>
      <c r="L2654" t="s" s="2">
        <v>5118</v>
      </c>
      <c r="M2654" s="5">
        <v>531127.09</v>
      </c>
      <c r="N2654" s="5">
        <v>6315782.78</v>
      </c>
      <c r="O2654" t="s" s="2">
        <v>305</v>
      </c>
      <c r="P2654" s="5">
        <v>494</v>
      </c>
      <c r="Q2654" t="s" s="2">
        <v>4591</v>
      </c>
      <c r="R2654" t="s" s="2">
        <f>_xlfn.IFERROR(INDEX('model_byCAP'!$D$2:$D$377,MATCH(Q2654,'model_byCAP'!$A$2:$A$377,0)),0)</f>
        <v>4042</v>
      </c>
    </row>
    <row r="2655" ht="15.35" customHeight="1">
      <c r="A2655" t="s" s="2">
        <v>5121</v>
      </c>
      <c r="B2655" s="4">
        <v>36888</v>
      </c>
      <c r="C2655" s="5">
        <v>750</v>
      </c>
      <c r="D2655" s="5">
        <v>44</v>
      </c>
      <c r="E2655" s="5">
        <v>45</v>
      </c>
      <c r="F2655" t="s" s="2">
        <v>1746</v>
      </c>
      <c r="G2655" t="s" s="2">
        <v>4136</v>
      </c>
      <c r="H2655" s="5">
        <v>851</v>
      </c>
      <c r="I2655" t="s" s="2">
        <v>1139</v>
      </c>
      <c r="J2655" t="s" s="2">
        <v>22</v>
      </c>
      <c r="K2655" t="s" s="2">
        <v>5122</v>
      </c>
      <c r="L2655" t="s" s="2">
        <v>5123</v>
      </c>
      <c r="M2655" s="5">
        <v>541801.49</v>
      </c>
      <c r="N2655" s="5">
        <v>6319489.84</v>
      </c>
      <c r="O2655" t="s" s="2">
        <v>305</v>
      </c>
      <c r="P2655" s="5">
        <v>448</v>
      </c>
      <c r="Q2655" t="s" s="2">
        <v>4137</v>
      </c>
      <c r="R2655" t="s" s="2">
        <f>_xlfn.IFERROR(INDEX('model_byCAP'!$D$2:$D$377,MATCH(Q2655,'model_byCAP'!$A$2:$A$377,0)),0)</f>
        <v>4042</v>
      </c>
    </row>
    <row r="2656" ht="15.35" customHeight="1">
      <c r="A2656" t="s" s="2">
        <v>5124</v>
      </c>
      <c r="B2656" s="4">
        <v>36888</v>
      </c>
      <c r="C2656" s="5">
        <v>750</v>
      </c>
      <c r="D2656" s="5">
        <v>44</v>
      </c>
      <c r="E2656" s="5">
        <v>45</v>
      </c>
      <c r="F2656" t="s" s="2">
        <v>1746</v>
      </c>
      <c r="G2656" t="s" s="2">
        <v>4136</v>
      </c>
      <c r="H2656" s="5">
        <v>851</v>
      </c>
      <c r="I2656" t="s" s="2">
        <v>1139</v>
      </c>
      <c r="J2656" t="s" s="2">
        <v>22</v>
      </c>
      <c r="K2656" t="s" s="2">
        <v>5122</v>
      </c>
      <c r="L2656" t="s" s="2">
        <v>5125</v>
      </c>
      <c r="M2656" s="5">
        <v>541763.13</v>
      </c>
      <c r="N2656" s="5">
        <v>6319268.23</v>
      </c>
      <c r="O2656" t="s" s="2">
        <v>305</v>
      </c>
      <c r="P2656" s="5">
        <v>449</v>
      </c>
      <c r="Q2656" t="s" s="2">
        <v>4137</v>
      </c>
      <c r="R2656" t="s" s="2">
        <f>_xlfn.IFERROR(INDEX('model_byCAP'!$D$2:$D$377,MATCH(Q2656,'model_byCAP'!$A$2:$A$377,0)),0)</f>
        <v>4042</v>
      </c>
    </row>
    <row r="2657" ht="15.35" customHeight="1">
      <c r="A2657" t="s" s="2">
        <v>5126</v>
      </c>
      <c r="B2657" s="4">
        <v>36888</v>
      </c>
      <c r="C2657" s="5">
        <v>750</v>
      </c>
      <c r="D2657" s="5">
        <v>44</v>
      </c>
      <c r="E2657" s="5">
        <v>45</v>
      </c>
      <c r="F2657" t="s" s="2">
        <v>1746</v>
      </c>
      <c r="G2657" t="s" s="2">
        <v>4136</v>
      </c>
      <c r="H2657" s="5">
        <v>851</v>
      </c>
      <c r="I2657" t="s" s="2">
        <v>1139</v>
      </c>
      <c r="J2657" t="s" s="2">
        <v>22</v>
      </c>
      <c r="K2657" t="s" s="2">
        <v>5127</v>
      </c>
      <c r="L2657" t="s" s="2">
        <v>1310</v>
      </c>
      <c r="M2657" s="5">
        <v>541725.45</v>
      </c>
      <c r="N2657" s="5">
        <v>6319046.74</v>
      </c>
      <c r="O2657" t="s" s="2">
        <v>305</v>
      </c>
      <c r="P2657" s="5">
        <v>450</v>
      </c>
      <c r="Q2657" t="s" s="2">
        <v>4137</v>
      </c>
      <c r="R2657" t="s" s="2">
        <f>_xlfn.IFERROR(INDEX('model_byCAP'!$D$2:$D$377,MATCH(Q2657,'model_byCAP'!$A$2:$A$377,0)),0)</f>
        <v>4042</v>
      </c>
    </row>
    <row r="2658" ht="15.35" customHeight="1">
      <c r="A2658" t="s" s="2">
        <v>5128</v>
      </c>
      <c r="B2658" s="4">
        <v>36888</v>
      </c>
      <c r="C2658" s="5">
        <v>750</v>
      </c>
      <c r="D2658" s="5">
        <v>44</v>
      </c>
      <c r="E2658" s="5">
        <v>45</v>
      </c>
      <c r="F2658" t="s" s="2">
        <v>1746</v>
      </c>
      <c r="G2658" t="s" s="2">
        <v>4136</v>
      </c>
      <c r="H2658" s="5">
        <v>851</v>
      </c>
      <c r="I2658" t="s" s="2">
        <v>1139</v>
      </c>
      <c r="J2658" t="s" s="2">
        <v>22</v>
      </c>
      <c r="K2658" t="s" s="2">
        <v>5127</v>
      </c>
      <c r="L2658" t="s" s="2">
        <v>394</v>
      </c>
      <c r="M2658" s="5">
        <v>541685.21</v>
      </c>
      <c r="N2658" s="5">
        <v>6318825.36</v>
      </c>
      <c r="O2658" t="s" s="2">
        <v>305</v>
      </c>
      <c r="P2658" s="5">
        <v>451</v>
      </c>
      <c r="Q2658" t="s" s="2">
        <v>4137</v>
      </c>
      <c r="R2658" t="s" s="2">
        <f>_xlfn.IFERROR(INDEX('model_byCAP'!$D$2:$D$377,MATCH(Q2658,'model_byCAP'!$A$2:$A$377,0)),0)</f>
        <v>4042</v>
      </c>
    </row>
    <row r="2659" ht="15.35" customHeight="1">
      <c r="A2659" t="s" s="2">
        <v>5129</v>
      </c>
      <c r="B2659" s="4">
        <v>36888</v>
      </c>
      <c r="C2659" s="5">
        <v>750</v>
      </c>
      <c r="D2659" s="5">
        <v>44</v>
      </c>
      <c r="E2659" s="5">
        <v>45</v>
      </c>
      <c r="F2659" t="s" s="2">
        <v>1746</v>
      </c>
      <c r="G2659" t="s" s="2">
        <v>4136</v>
      </c>
      <c r="H2659" s="5">
        <v>851</v>
      </c>
      <c r="I2659" t="s" s="2">
        <v>1139</v>
      </c>
      <c r="J2659" t="s" s="2">
        <v>22</v>
      </c>
      <c r="K2659" t="s" s="2">
        <v>5122</v>
      </c>
      <c r="L2659" t="s" s="2">
        <v>608</v>
      </c>
      <c r="M2659" s="5">
        <v>541949.62</v>
      </c>
      <c r="N2659" s="5">
        <v>6319350.09</v>
      </c>
      <c r="O2659" t="s" s="2">
        <v>305</v>
      </c>
      <c r="P2659" s="5">
        <v>452</v>
      </c>
      <c r="Q2659" t="s" s="2">
        <v>4137</v>
      </c>
      <c r="R2659" t="s" s="2">
        <f>_xlfn.IFERROR(INDEX('model_byCAP'!$D$2:$D$377,MATCH(Q2659,'model_byCAP'!$A$2:$A$377,0)),0)</f>
        <v>4042</v>
      </c>
    </row>
    <row r="2660" ht="15.35" customHeight="1">
      <c r="A2660" t="s" s="2">
        <v>5130</v>
      </c>
      <c r="B2660" s="4">
        <v>36888</v>
      </c>
      <c r="C2660" s="5">
        <v>750</v>
      </c>
      <c r="D2660" s="5">
        <v>44</v>
      </c>
      <c r="E2660" s="5">
        <v>45</v>
      </c>
      <c r="F2660" t="s" s="2">
        <v>1746</v>
      </c>
      <c r="G2660" t="s" s="2">
        <v>4136</v>
      </c>
      <c r="H2660" s="5">
        <v>851</v>
      </c>
      <c r="I2660" t="s" s="2">
        <v>1139</v>
      </c>
      <c r="J2660" t="s" s="2">
        <v>22</v>
      </c>
      <c r="K2660" t="s" s="2">
        <v>5127</v>
      </c>
      <c r="L2660" t="s" s="2">
        <v>1310</v>
      </c>
      <c r="M2660" s="5">
        <v>541912.51</v>
      </c>
      <c r="N2660" s="5">
        <v>6319127.73</v>
      </c>
      <c r="O2660" t="s" s="2">
        <v>305</v>
      </c>
      <c r="P2660" s="5">
        <v>453</v>
      </c>
      <c r="Q2660" t="s" s="2">
        <v>4137</v>
      </c>
      <c r="R2660" t="s" s="2">
        <f>_xlfn.IFERROR(INDEX('model_byCAP'!$D$2:$D$377,MATCH(Q2660,'model_byCAP'!$A$2:$A$377,0)),0)</f>
        <v>4042</v>
      </c>
    </row>
    <row r="2661" ht="15.35" customHeight="1">
      <c r="A2661" t="s" s="2">
        <v>5131</v>
      </c>
      <c r="B2661" s="4">
        <v>36888</v>
      </c>
      <c r="C2661" s="5">
        <v>750</v>
      </c>
      <c r="D2661" s="5">
        <v>44</v>
      </c>
      <c r="E2661" s="5">
        <v>45</v>
      </c>
      <c r="F2661" t="s" s="2">
        <v>1746</v>
      </c>
      <c r="G2661" t="s" s="2">
        <v>4136</v>
      </c>
      <c r="H2661" s="5">
        <v>851</v>
      </c>
      <c r="I2661" t="s" s="2">
        <v>1139</v>
      </c>
      <c r="J2661" t="s" s="2">
        <v>22</v>
      </c>
      <c r="K2661" t="s" s="2">
        <v>5127</v>
      </c>
      <c r="L2661" t="s" s="2">
        <v>543</v>
      </c>
      <c r="M2661" s="5">
        <v>541872.3199999999</v>
      </c>
      <c r="N2661" s="5">
        <v>6318906.65</v>
      </c>
      <c r="O2661" t="s" s="2">
        <v>305</v>
      </c>
      <c r="P2661" s="5">
        <v>454</v>
      </c>
      <c r="Q2661" t="s" s="2">
        <v>4137</v>
      </c>
      <c r="R2661" t="s" s="2">
        <f>_xlfn.IFERROR(INDEX('model_byCAP'!$D$2:$D$377,MATCH(Q2661,'model_byCAP'!$A$2:$A$377,0)),0)</f>
        <v>4042</v>
      </c>
    </row>
    <row r="2662" ht="15.35" customHeight="1">
      <c r="A2662" t="s" s="2">
        <v>5132</v>
      </c>
      <c r="B2662" s="4">
        <v>37071</v>
      </c>
      <c r="C2662" s="5">
        <v>750</v>
      </c>
      <c r="D2662" s="5">
        <v>48</v>
      </c>
      <c r="E2662" s="5">
        <v>45</v>
      </c>
      <c r="F2662" t="s" s="2">
        <v>1746</v>
      </c>
      <c r="G2662" t="s" s="2">
        <v>4044</v>
      </c>
      <c r="H2662" s="5">
        <v>851</v>
      </c>
      <c r="I2662" t="s" s="2">
        <v>1139</v>
      </c>
      <c r="J2662" t="s" s="2">
        <v>22</v>
      </c>
      <c r="K2662" t="s" s="2">
        <v>5133</v>
      </c>
      <c r="L2662" t="s" s="2">
        <v>1537</v>
      </c>
      <c r="M2662" s="5">
        <v>560938.17</v>
      </c>
      <c r="N2662" s="5">
        <v>6312581.03</v>
      </c>
      <c r="O2662" t="s" s="2">
        <v>305</v>
      </c>
      <c r="P2662" s="5">
        <v>508</v>
      </c>
      <c r="Q2662" t="s" s="2">
        <v>4046</v>
      </c>
      <c r="R2662" t="s" s="2">
        <f>_xlfn.IFERROR(INDEX('model_byCAP'!$D$2:$D$377,MATCH(Q2662,'model_byCAP'!$A$2:$A$377,0)),0)</f>
        <v>4047</v>
      </c>
    </row>
    <row r="2663" ht="15.35" customHeight="1">
      <c r="A2663" t="s" s="2">
        <v>5134</v>
      </c>
      <c r="B2663" s="4">
        <v>37111</v>
      </c>
      <c r="C2663" s="5">
        <v>750</v>
      </c>
      <c r="D2663" s="5">
        <v>48</v>
      </c>
      <c r="E2663" s="5">
        <v>45</v>
      </c>
      <c r="F2663" t="s" s="2">
        <v>1746</v>
      </c>
      <c r="G2663" t="s" s="2">
        <v>4044</v>
      </c>
      <c r="H2663" s="5">
        <v>851</v>
      </c>
      <c r="I2663" t="s" s="2">
        <v>1139</v>
      </c>
      <c r="J2663" t="s" s="2">
        <v>22</v>
      </c>
      <c r="K2663" t="s" s="2">
        <v>5133</v>
      </c>
      <c r="L2663" t="s" s="2">
        <v>1537</v>
      </c>
      <c r="M2663" s="5">
        <v>561059.5699999999</v>
      </c>
      <c r="N2663" s="5">
        <v>6312752.86</v>
      </c>
      <c r="O2663" t="s" s="2">
        <v>305</v>
      </c>
      <c r="P2663" s="5">
        <v>509</v>
      </c>
      <c r="Q2663" t="s" s="2">
        <v>4046</v>
      </c>
      <c r="R2663" t="s" s="2">
        <f>_xlfn.IFERROR(INDEX('model_byCAP'!$D$2:$D$377,MATCH(Q2663,'model_byCAP'!$A$2:$A$377,0)),0)</f>
        <v>4047</v>
      </c>
    </row>
    <row r="2664" ht="15.35" customHeight="1">
      <c r="A2664" t="s" s="2">
        <v>5135</v>
      </c>
      <c r="B2664" s="4">
        <v>36890</v>
      </c>
      <c r="C2664" s="5">
        <v>750</v>
      </c>
      <c r="D2664" s="5">
        <v>48</v>
      </c>
      <c r="E2664" s="5">
        <v>45</v>
      </c>
      <c r="F2664" t="s" s="2">
        <v>1746</v>
      </c>
      <c r="G2664" t="s" s="2">
        <v>4044</v>
      </c>
      <c r="H2664" s="5">
        <v>851</v>
      </c>
      <c r="I2664" t="s" s="2">
        <v>1139</v>
      </c>
      <c r="J2664" t="s" s="2">
        <v>22</v>
      </c>
      <c r="K2664" t="s" s="2">
        <v>5133</v>
      </c>
      <c r="L2664" t="s" s="2">
        <v>481</v>
      </c>
      <c r="M2664" s="5">
        <v>560735.78</v>
      </c>
      <c r="N2664" s="5">
        <v>6312632.77</v>
      </c>
      <c r="O2664" t="s" s="2">
        <v>305</v>
      </c>
      <c r="P2664" s="5">
        <v>510</v>
      </c>
      <c r="Q2664" t="s" s="2">
        <v>4046</v>
      </c>
      <c r="R2664" t="s" s="2">
        <f>_xlfn.IFERROR(INDEX('model_byCAP'!$D$2:$D$377,MATCH(Q2664,'model_byCAP'!$A$2:$A$377,0)),0)</f>
        <v>4047</v>
      </c>
    </row>
    <row r="2665" ht="15.35" customHeight="1">
      <c r="A2665" t="s" s="2">
        <v>5136</v>
      </c>
      <c r="B2665" s="4">
        <v>37071</v>
      </c>
      <c r="C2665" s="5">
        <v>750</v>
      </c>
      <c r="D2665" s="5">
        <v>48</v>
      </c>
      <c r="E2665" s="5">
        <v>45</v>
      </c>
      <c r="F2665" t="s" s="2">
        <v>1746</v>
      </c>
      <c r="G2665" t="s" s="2">
        <v>4044</v>
      </c>
      <c r="H2665" s="5">
        <v>851</v>
      </c>
      <c r="I2665" t="s" s="2">
        <v>1139</v>
      </c>
      <c r="J2665" t="s" s="2">
        <v>22</v>
      </c>
      <c r="K2665" t="s" s="2">
        <v>5133</v>
      </c>
      <c r="L2665" t="s" s="2">
        <v>481</v>
      </c>
      <c r="M2665" s="5">
        <v>560855.79</v>
      </c>
      <c r="N2665" s="5">
        <v>6312803.68</v>
      </c>
      <c r="O2665" t="s" s="2">
        <v>305</v>
      </c>
      <c r="P2665" s="5">
        <v>511</v>
      </c>
      <c r="Q2665" t="s" s="2">
        <v>4046</v>
      </c>
      <c r="R2665" t="s" s="2">
        <f>_xlfn.IFERROR(INDEX('model_byCAP'!$D$2:$D$377,MATCH(Q2665,'model_byCAP'!$A$2:$A$377,0)),0)</f>
        <v>4047</v>
      </c>
    </row>
    <row r="2666" ht="15.35" customHeight="1">
      <c r="A2666" t="s" s="2">
        <v>5137</v>
      </c>
      <c r="B2666" s="4">
        <v>37071</v>
      </c>
      <c r="C2666" s="5">
        <v>750</v>
      </c>
      <c r="D2666" s="5">
        <v>48</v>
      </c>
      <c r="E2666" s="5">
        <v>45</v>
      </c>
      <c r="F2666" t="s" s="2">
        <v>1746</v>
      </c>
      <c r="G2666" t="s" s="2">
        <v>4044</v>
      </c>
      <c r="H2666" s="5">
        <v>851</v>
      </c>
      <c r="I2666" t="s" s="2">
        <v>1139</v>
      </c>
      <c r="J2666" t="s" s="2">
        <v>22</v>
      </c>
      <c r="K2666" t="s" s="2">
        <v>5133</v>
      </c>
      <c r="L2666" t="s" s="2">
        <v>481</v>
      </c>
      <c r="M2666" s="5">
        <v>560978.92</v>
      </c>
      <c r="N2666" s="5">
        <v>6312975.22</v>
      </c>
      <c r="O2666" t="s" s="2">
        <v>305</v>
      </c>
      <c r="P2666" s="5">
        <v>512</v>
      </c>
      <c r="Q2666" t="s" s="2">
        <v>4046</v>
      </c>
      <c r="R2666" t="s" s="2">
        <f>_xlfn.IFERROR(INDEX('model_byCAP'!$D$2:$D$377,MATCH(Q2666,'model_byCAP'!$A$2:$A$377,0)),0)</f>
        <v>4047</v>
      </c>
    </row>
    <row r="2667" ht="15.35" customHeight="1">
      <c r="A2667" t="s" s="2">
        <v>5138</v>
      </c>
      <c r="B2667" s="4">
        <v>37071</v>
      </c>
      <c r="C2667" s="5">
        <v>750</v>
      </c>
      <c r="D2667" s="5">
        <v>48</v>
      </c>
      <c r="E2667" s="5">
        <v>45</v>
      </c>
      <c r="F2667" t="s" s="2">
        <v>1746</v>
      </c>
      <c r="G2667" t="s" s="2">
        <v>4044</v>
      </c>
      <c r="H2667" s="5">
        <v>851</v>
      </c>
      <c r="I2667" t="s" s="2">
        <v>1139</v>
      </c>
      <c r="J2667" t="s" s="2">
        <v>22</v>
      </c>
      <c r="K2667" t="s" s="2">
        <v>5133</v>
      </c>
      <c r="L2667" t="s" s="2">
        <v>481</v>
      </c>
      <c r="M2667" s="5">
        <v>561098.72</v>
      </c>
      <c r="N2667" s="5">
        <v>6313146.92</v>
      </c>
      <c r="O2667" t="s" s="2">
        <v>305</v>
      </c>
      <c r="P2667" s="5">
        <v>513</v>
      </c>
      <c r="Q2667" t="s" s="2">
        <v>4046</v>
      </c>
      <c r="R2667" t="s" s="2">
        <f>_xlfn.IFERROR(INDEX('model_byCAP'!$D$2:$D$377,MATCH(Q2667,'model_byCAP'!$A$2:$A$377,0)),0)</f>
        <v>4047</v>
      </c>
    </row>
    <row r="2668" ht="15.35" customHeight="1">
      <c r="A2668" t="s" s="2">
        <v>5139</v>
      </c>
      <c r="B2668" s="4">
        <v>37076</v>
      </c>
      <c r="C2668" s="5">
        <v>750</v>
      </c>
      <c r="D2668" s="5">
        <v>48</v>
      </c>
      <c r="E2668" s="5">
        <v>45</v>
      </c>
      <c r="F2668" t="s" s="2">
        <v>1746</v>
      </c>
      <c r="G2668" t="s" s="2">
        <v>4044</v>
      </c>
      <c r="H2668" s="5">
        <v>851</v>
      </c>
      <c r="I2668" t="s" s="2">
        <v>1139</v>
      </c>
      <c r="J2668" t="s" s="2">
        <v>22</v>
      </c>
      <c r="K2668" t="s" s="2">
        <v>5133</v>
      </c>
      <c r="L2668" t="s" s="2">
        <v>2931</v>
      </c>
      <c r="M2668" s="5">
        <v>560653.36</v>
      </c>
      <c r="N2668" s="5">
        <v>6312856.29</v>
      </c>
      <c r="O2668" t="s" s="2">
        <v>305</v>
      </c>
      <c r="P2668" s="5">
        <v>514</v>
      </c>
      <c r="Q2668" t="s" s="2">
        <v>4046</v>
      </c>
      <c r="R2668" t="s" s="2">
        <f>_xlfn.IFERROR(INDEX('model_byCAP'!$D$2:$D$377,MATCH(Q2668,'model_byCAP'!$A$2:$A$377,0)),0)</f>
        <v>4047</v>
      </c>
    </row>
    <row r="2669" ht="15.35" customHeight="1">
      <c r="A2669" t="s" s="2">
        <v>5140</v>
      </c>
      <c r="B2669" s="4">
        <v>37076</v>
      </c>
      <c r="C2669" s="5">
        <v>750</v>
      </c>
      <c r="D2669" s="5">
        <v>48</v>
      </c>
      <c r="E2669" s="5">
        <v>45</v>
      </c>
      <c r="F2669" t="s" s="2">
        <v>1746</v>
      </c>
      <c r="G2669" t="s" s="2">
        <v>4044</v>
      </c>
      <c r="H2669" s="5">
        <v>851</v>
      </c>
      <c r="I2669" t="s" s="2">
        <v>1139</v>
      </c>
      <c r="J2669" t="s" s="2">
        <v>22</v>
      </c>
      <c r="K2669" t="s" s="2">
        <v>5133</v>
      </c>
      <c r="L2669" t="s" s="2">
        <v>2931</v>
      </c>
      <c r="M2669" s="5">
        <v>560773.47</v>
      </c>
      <c r="N2669" s="5">
        <v>6313026.72</v>
      </c>
      <c r="O2669" t="s" s="2">
        <v>305</v>
      </c>
      <c r="P2669" s="5">
        <v>515</v>
      </c>
      <c r="Q2669" t="s" s="2">
        <v>4046</v>
      </c>
      <c r="R2669" t="s" s="2">
        <f>_xlfn.IFERROR(INDEX('model_byCAP'!$D$2:$D$377,MATCH(Q2669,'model_byCAP'!$A$2:$A$377,0)),0)</f>
        <v>4047</v>
      </c>
    </row>
    <row r="2670" ht="15.35" customHeight="1">
      <c r="A2670" t="s" s="2">
        <v>5141</v>
      </c>
      <c r="B2670" s="4">
        <v>37076</v>
      </c>
      <c r="C2670" s="5">
        <v>750</v>
      </c>
      <c r="D2670" s="5">
        <v>48</v>
      </c>
      <c r="E2670" s="5">
        <v>45</v>
      </c>
      <c r="F2670" t="s" s="2">
        <v>1746</v>
      </c>
      <c r="G2670" t="s" s="2">
        <v>4044</v>
      </c>
      <c r="H2670" s="5">
        <v>851</v>
      </c>
      <c r="I2670" t="s" s="2">
        <v>1139</v>
      </c>
      <c r="J2670" t="s" s="2">
        <v>22</v>
      </c>
      <c r="K2670" t="s" s="2">
        <v>5133</v>
      </c>
      <c r="L2670" t="s" s="2">
        <v>2931</v>
      </c>
      <c r="M2670" s="5">
        <v>560895.42</v>
      </c>
      <c r="N2670" s="5">
        <v>6313198.05</v>
      </c>
      <c r="O2670" t="s" s="2">
        <v>305</v>
      </c>
      <c r="P2670" s="5">
        <v>516</v>
      </c>
      <c r="Q2670" t="s" s="2">
        <v>4046</v>
      </c>
      <c r="R2670" t="s" s="2">
        <f>_xlfn.IFERROR(INDEX('model_byCAP'!$D$2:$D$377,MATCH(Q2670,'model_byCAP'!$A$2:$A$377,0)),0)</f>
        <v>4047</v>
      </c>
    </row>
    <row r="2671" ht="15.35" customHeight="1">
      <c r="A2671" t="s" s="2">
        <v>5142</v>
      </c>
      <c r="B2671" s="4">
        <v>36890</v>
      </c>
      <c r="C2671" s="5">
        <v>750</v>
      </c>
      <c r="D2671" s="5">
        <v>48</v>
      </c>
      <c r="E2671" s="5">
        <v>45</v>
      </c>
      <c r="F2671" t="s" s="2">
        <v>1746</v>
      </c>
      <c r="G2671" t="s" s="2">
        <v>4044</v>
      </c>
      <c r="H2671" s="5">
        <v>851</v>
      </c>
      <c r="I2671" t="s" s="2">
        <v>1139</v>
      </c>
      <c r="J2671" t="s" s="2">
        <v>22</v>
      </c>
      <c r="K2671" t="s" s="2">
        <v>5133</v>
      </c>
      <c r="L2671" t="s" s="2">
        <v>5143</v>
      </c>
      <c r="M2671" s="5">
        <v>561015.79</v>
      </c>
      <c r="N2671" s="5">
        <v>6313369.88</v>
      </c>
      <c r="O2671" t="s" s="2">
        <v>305</v>
      </c>
      <c r="P2671" s="5">
        <v>517</v>
      </c>
      <c r="Q2671" t="s" s="2">
        <v>4046</v>
      </c>
      <c r="R2671" t="s" s="2">
        <f>_xlfn.IFERROR(INDEX('model_byCAP'!$D$2:$D$377,MATCH(Q2671,'model_byCAP'!$A$2:$A$377,0)),0)</f>
        <v>4047</v>
      </c>
    </row>
    <row r="2672" ht="15.35" customHeight="1">
      <c r="A2672" t="s" s="2">
        <v>5144</v>
      </c>
      <c r="B2672" s="4">
        <v>37077</v>
      </c>
      <c r="C2672" s="5">
        <v>750</v>
      </c>
      <c r="D2672" s="5">
        <v>48</v>
      </c>
      <c r="E2672" s="5">
        <v>45</v>
      </c>
      <c r="F2672" t="s" s="2">
        <v>1746</v>
      </c>
      <c r="G2672" t="s" s="2">
        <v>4044</v>
      </c>
      <c r="H2672" s="5">
        <v>851</v>
      </c>
      <c r="I2672" t="s" s="2">
        <v>1139</v>
      </c>
      <c r="J2672" t="s" s="2">
        <v>22</v>
      </c>
      <c r="K2672" t="s" s="2">
        <v>5133</v>
      </c>
      <c r="L2672" t="s" s="2">
        <v>2931</v>
      </c>
      <c r="M2672" s="5">
        <v>560690.14</v>
      </c>
      <c r="N2672" s="5">
        <v>6313249.08</v>
      </c>
      <c r="O2672" t="s" s="2">
        <v>305</v>
      </c>
      <c r="P2672" s="5">
        <v>518</v>
      </c>
      <c r="Q2672" t="s" s="2">
        <v>4046</v>
      </c>
      <c r="R2672" t="s" s="2">
        <f>_xlfn.IFERROR(INDEX('model_byCAP'!$D$2:$D$377,MATCH(Q2672,'model_byCAP'!$A$2:$A$377,0)),0)</f>
        <v>4047</v>
      </c>
    </row>
    <row r="2673" ht="15.35" customHeight="1">
      <c r="A2673" t="s" s="2">
        <v>5145</v>
      </c>
      <c r="B2673" s="4">
        <v>37077</v>
      </c>
      <c r="C2673" s="5">
        <v>750</v>
      </c>
      <c r="D2673" s="5">
        <v>48</v>
      </c>
      <c r="E2673" s="5">
        <v>45</v>
      </c>
      <c r="F2673" t="s" s="2">
        <v>1746</v>
      </c>
      <c r="G2673" t="s" s="2">
        <v>4044</v>
      </c>
      <c r="H2673" s="5">
        <v>851</v>
      </c>
      <c r="I2673" t="s" s="2">
        <v>1139</v>
      </c>
      <c r="J2673" t="s" s="2">
        <v>22</v>
      </c>
      <c r="K2673" t="s" s="2">
        <v>5133</v>
      </c>
      <c r="L2673" t="s" s="2">
        <v>2931</v>
      </c>
      <c r="M2673" s="5">
        <v>560811.79</v>
      </c>
      <c r="N2673" s="5">
        <v>6313420.36</v>
      </c>
      <c r="O2673" t="s" s="2">
        <v>305</v>
      </c>
      <c r="P2673" s="5">
        <v>519</v>
      </c>
      <c r="Q2673" t="s" s="2">
        <v>4046</v>
      </c>
      <c r="R2673" t="s" s="2">
        <f>_xlfn.IFERROR(INDEX('model_byCAP'!$D$2:$D$377,MATCH(Q2673,'model_byCAP'!$A$2:$A$377,0)),0)</f>
        <v>4047</v>
      </c>
    </row>
    <row r="2674" ht="15.35" customHeight="1">
      <c r="A2674" t="s" s="2">
        <v>5146</v>
      </c>
      <c r="B2674" s="4">
        <v>36539</v>
      </c>
      <c r="C2674" s="5">
        <v>750</v>
      </c>
      <c r="D2674" s="5">
        <v>48</v>
      </c>
      <c r="E2674" s="5">
        <v>45</v>
      </c>
      <c r="F2674" t="s" s="2">
        <v>1746</v>
      </c>
      <c r="G2674" t="s" s="2">
        <v>4044</v>
      </c>
      <c r="H2674" s="5">
        <v>851</v>
      </c>
      <c r="I2674" t="s" s="2">
        <v>1139</v>
      </c>
      <c r="J2674" t="s" s="2">
        <v>22</v>
      </c>
      <c r="K2674" t="s" s="2">
        <v>5147</v>
      </c>
      <c r="L2674" t="s" s="2">
        <v>5148</v>
      </c>
      <c r="M2674" s="5">
        <v>554155.95</v>
      </c>
      <c r="N2674" s="5">
        <v>6339581.28</v>
      </c>
      <c r="O2674" t="s" s="2">
        <v>305</v>
      </c>
      <c r="P2674" t="s" s="2">
        <v>5149</v>
      </c>
      <c r="Q2674" t="s" s="2">
        <v>4046</v>
      </c>
      <c r="R2674" t="s" s="2">
        <f>_xlfn.IFERROR(INDEX('model_byCAP'!$D$2:$D$377,MATCH(Q2674,'model_byCAP'!$A$2:$A$377,0)),0)</f>
        <v>4047</v>
      </c>
    </row>
    <row r="2675" ht="15.35" customHeight="1">
      <c r="A2675" t="s" s="2">
        <v>5150</v>
      </c>
      <c r="B2675" s="4">
        <v>36539</v>
      </c>
      <c r="C2675" s="5">
        <v>750</v>
      </c>
      <c r="D2675" s="5">
        <v>48</v>
      </c>
      <c r="E2675" s="5">
        <v>45</v>
      </c>
      <c r="F2675" t="s" s="2">
        <v>1746</v>
      </c>
      <c r="G2675" t="s" s="2">
        <v>4044</v>
      </c>
      <c r="H2675" s="5">
        <v>851</v>
      </c>
      <c r="I2675" t="s" s="2">
        <v>1139</v>
      </c>
      <c r="J2675" t="s" s="2">
        <v>22</v>
      </c>
      <c r="K2675" t="s" s="2">
        <v>5147</v>
      </c>
      <c r="L2675" t="s" s="2">
        <v>5151</v>
      </c>
      <c r="M2675" s="5">
        <v>554094.71</v>
      </c>
      <c r="N2675" s="5">
        <v>6339856.01</v>
      </c>
      <c r="O2675" t="s" s="2">
        <v>305</v>
      </c>
      <c r="P2675" t="s" s="2">
        <v>5149</v>
      </c>
      <c r="Q2675" t="s" s="2">
        <v>4046</v>
      </c>
      <c r="R2675" t="s" s="2">
        <f>_xlfn.IFERROR(INDEX('model_byCAP'!$D$2:$D$377,MATCH(Q2675,'model_byCAP'!$A$2:$A$377,0)),0)</f>
        <v>4047</v>
      </c>
    </row>
    <row r="2676" ht="15.35" customHeight="1">
      <c r="A2676" t="s" s="2">
        <v>5152</v>
      </c>
      <c r="B2676" s="4">
        <v>36539</v>
      </c>
      <c r="C2676" s="5">
        <v>750</v>
      </c>
      <c r="D2676" s="5">
        <v>48</v>
      </c>
      <c r="E2676" s="5">
        <v>45</v>
      </c>
      <c r="F2676" t="s" s="2">
        <v>1746</v>
      </c>
      <c r="G2676" t="s" s="2">
        <v>4044</v>
      </c>
      <c r="H2676" s="5">
        <v>851</v>
      </c>
      <c r="I2676" t="s" s="2">
        <v>1139</v>
      </c>
      <c r="J2676" t="s" s="2">
        <v>22</v>
      </c>
      <c r="K2676" t="s" s="2">
        <v>5147</v>
      </c>
      <c r="L2676" t="s" s="2">
        <v>5153</v>
      </c>
      <c r="M2676" s="5">
        <v>554033.63</v>
      </c>
      <c r="N2676" s="5">
        <v>6340130.93</v>
      </c>
      <c r="O2676" t="s" s="2">
        <v>305</v>
      </c>
      <c r="P2676" t="s" s="2">
        <v>5149</v>
      </c>
      <c r="Q2676" t="s" s="2">
        <v>4046</v>
      </c>
      <c r="R2676" t="s" s="2">
        <f>_xlfn.IFERROR(INDEX('model_byCAP'!$D$2:$D$377,MATCH(Q2676,'model_byCAP'!$A$2:$A$377,0)),0)</f>
        <v>4047</v>
      </c>
    </row>
    <row r="2677" ht="15.35" customHeight="1">
      <c r="A2677" t="s" s="2">
        <v>5154</v>
      </c>
      <c r="B2677" s="4">
        <v>36539</v>
      </c>
      <c r="C2677" s="5">
        <v>750</v>
      </c>
      <c r="D2677" s="5">
        <v>48</v>
      </c>
      <c r="E2677" s="5">
        <v>45</v>
      </c>
      <c r="F2677" t="s" s="2">
        <v>1746</v>
      </c>
      <c r="G2677" t="s" s="2">
        <v>4044</v>
      </c>
      <c r="H2677" s="5">
        <v>851</v>
      </c>
      <c r="I2677" t="s" s="2">
        <v>1139</v>
      </c>
      <c r="J2677" t="s" s="2">
        <v>22</v>
      </c>
      <c r="K2677" t="s" s="2">
        <v>5147</v>
      </c>
      <c r="L2677" t="s" s="2">
        <v>2479</v>
      </c>
      <c r="M2677" s="5">
        <v>554513.33</v>
      </c>
      <c r="N2677" s="5">
        <v>6339436.34</v>
      </c>
      <c r="O2677" t="s" s="2">
        <v>305</v>
      </c>
      <c r="P2677" t="s" s="2">
        <v>5149</v>
      </c>
      <c r="Q2677" t="s" s="2">
        <v>4046</v>
      </c>
      <c r="R2677" t="s" s="2">
        <f>_xlfn.IFERROR(INDEX('model_byCAP'!$D$2:$D$377,MATCH(Q2677,'model_byCAP'!$A$2:$A$377,0)),0)</f>
        <v>4047</v>
      </c>
    </row>
    <row r="2678" ht="15.35" customHeight="1">
      <c r="A2678" t="s" s="2">
        <v>5155</v>
      </c>
      <c r="B2678" s="4">
        <v>36539</v>
      </c>
      <c r="C2678" s="5">
        <v>750</v>
      </c>
      <c r="D2678" s="5">
        <v>48</v>
      </c>
      <c r="E2678" s="5">
        <v>45</v>
      </c>
      <c r="F2678" t="s" s="2">
        <v>1746</v>
      </c>
      <c r="G2678" t="s" s="2">
        <v>4044</v>
      </c>
      <c r="H2678" s="5">
        <v>851</v>
      </c>
      <c r="I2678" t="s" s="2">
        <v>1139</v>
      </c>
      <c r="J2678" t="s" s="2">
        <v>22</v>
      </c>
      <c r="K2678" t="s" s="2">
        <v>5147</v>
      </c>
      <c r="L2678" t="s" s="2">
        <v>2473</v>
      </c>
      <c r="M2678" s="5">
        <v>554451.66</v>
      </c>
      <c r="N2678" s="5">
        <v>6339711.41</v>
      </c>
      <c r="O2678" t="s" s="2">
        <v>305</v>
      </c>
      <c r="P2678" t="s" s="2">
        <v>5149</v>
      </c>
      <c r="Q2678" t="s" s="2">
        <v>4046</v>
      </c>
      <c r="R2678" t="s" s="2">
        <f>_xlfn.IFERROR(INDEX('model_byCAP'!$D$2:$D$377,MATCH(Q2678,'model_byCAP'!$A$2:$A$377,0)),0)</f>
        <v>4047</v>
      </c>
    </row>
    <row r="2679" ht="15.35" customHeight="1">
      <c r="A2679" t="s" s="2">
        <v>5156</v>
      </c>
      <c r="B2679" s="4">
        <v>36539</v>
      </c>
      <c r="C2679" s="5">
        <v>750</v>
      </c>
      <c r="D2679" s="5">
        <v>48</v>
      </c>
      <c r="E2679" s="5">
        <v>45</v>
      </c>
      <c r="F2679" t="s" s="2">
        <v>1746</v>
      </c>
      <c r="G2679" t="s" s="2">
        <v>4044</v>
      </c>
      <c r="H2679" s="5">
        <v>851</v>
      </c>
      <c r="I2679" t="s" s="2">
        <v>1139</v>
      </c>
      <c r="J2679" t="s" s="2">
        <v>22</v>
      </c>
      <c r="K2679" t="s" s="2">
        <v>5147</v>
      </c>
      <c r="L2679" t="s" s="2">
        <v>969</v>
      </c>
      <c r="M2679" s="5">
        <v>554388.65</v>
      </c>
      <c r="N2679" s="5">
        <v>6339985.24</v>
      </c>
      <c r="O2679" t="s" s="2">
        <v>305</v>
      </c>
      <c r="P2679" t="s" s="2">
        <v>5149</v>
      </c>
      <c r="Q2679" t="s" s="2">
        <v>4046</v>
      </c>
      <c r="R2679" t="s" s="2">
        <f>_xlfn.IFERROR(INDEX('model_byCAP'!$D$2:$D$377,MATCH(Q2679,'model_byCAP'!$A$2:$A$377,0)),0)</f>
        <v>4047</v>
      </c>
    </row>
    <row r="2680" ht="15.35" customHeight="1">
      <c r="A2680" t="s" s="2">
        <v>5157</v>
      </c>
      <c r="B2680" s="4">
        <v>36539</v>
      </c>
      <c r="C2680" s="5">
        <v>750</v>
      </c>
      <c r="D2680" s="5">
        <v>48</v>
      </c>
      <c r="E2680" s="5">
        <v>45</v>
      </c>
      <c r="F2680" t="s" s="2">
        <v>1746</v>
      </c>
      <c r="G2680" t="s" s="2">
        <v>4044</v>
      </c>
      <c r="H2680" s="5">
        <v>851</v>
      </c>
      <c r="I2680" t="s" s="2">
        <v>1139</v>
      </c>
      <c r="J2680" t="s" s="2">
        <v>22</v>
      </c>
      <c r="K2680" t="s" s="2">
        <v>5147</v>
      </c>
      <c r="L2680" t="s" s="2">
        <v>1408</v>
      </c>
      <c r="M2680" s="5">
        <v>554328.73</v>
      </c>
      <c r="N2680" s="5">
        <v>6340261.33</v>
      </c>
      <c r="O2680" t="s" s="2">
        <v>305</v>
      </c>
      <c r="P2680" t="s" s="2">
        <v>5149</v>
      </c>
      <c r="Q2680" t="s" s="2">
        <v>4046</v>
      </c>
      <c r="R2680" t="s" s="2">
        <f>_xlfn.IFERROR(INDEX('model_byCAP'!$D$2:$D$377,MATCH(Q2680,'model_byCAP'!$A$2:$A$377,0)),0)</f>
        <v>4047</v>
      </c>
    </row>
    <row r="2681" ht="15.35" customHeight="1">
      <c r="A2681" t="s" s="2">
        <v>5158</v>
      </c>
      <c r="B2681" s="4">
        <v>36539</v>
      </c>
      <c r="C2681" s="5">
        <v>750</v>
      </c>
      <c r="D2681" s="5">
        <v>48</v>
      </c>
      <c r="E2681" s="5">
        <v>45</v>
      </c>
      <c r="F2681" t="s" s="2">
        <v>1746</v>
      </c>
      <c r="G2681" t="s" s="2">
        <v>4044</v>
      </c>
      <c r="H2681" s="5">
        <v>851</v>
      </c>
      <c r="I2681" t="s" s="2">
        <v>1139</v>
      </c>
      <c r="J2681" t="s" s="2">
        <v>22</v>
      </c>
      <c r="K2681" t="s" s="2">
        <v>5147</v>
      </c>
      <c r="L2681" t="s" s="2">
        <v>4681</v>
      </c>
      <c r="M2681" s="5">
        <v>554265.01</v>
      </c>
      <c r="N2681" s="5">
        <v>6340537.53</v>
      </c>
      <c r="O2681" t="s" s="2">
        <v>305</v>
      </c>
      <c r="P2681" t="s" s="2">
        <v>5149</v>
      </c>
      <c r="Q2681" t="s" s="2">
        <v>4046</v>
      </c>
      <c r="R2681" t="s" s="2">
        <f>_xlfn.IFERROR(INDEX('model_byCAP'!$D$2:$D$377,MATCH(Q2681,'model_byCAP'!$A$2:$A$377,0)),0)</f>
        <v>4047</v>
      </c>
    </row>
    <row r="2682" ht="15.35" customHeight="1">
      <c r="A2682" t="s" s="2">
        <v>5159</v>
      </c>
      <c r="B2682" s="4">
        <v>36539</v>
      </c>
      <c r="C2682" s="5">
        <v>750</v>
      </c>
      <c r="D2682" s="5">
        <v>48</v>
      </c>
      <c r="E2682" s="5">
        <v>45</v>
      </c>
      <c r="F2682" t="s" s="2">
        <v>1746</v>
      </c>
      <c r="G2682" t="s" s="2">
        <v>4044</v>
      </c>
      <c r="H2682" s="5">
        <v>851</v>
      </c>
      <c r="I2682" t="s" s="2">
        <v>1139</v>
      </c>
      <c r="J2682" t="s" s="2">
        <v>22</v>
      </c>
      <c r="K2682" t="s" s="2">
        <v>5147</v>
      </c>
      <c r="L2682" t="s" s="2">
        <v>5160</v>
      </c>
      <c r="M2682" s="5">
        <v>554808.79</v>
      </c>
      <c r="N2682" s="5">
        <v>6339566.69</v>
      </c>
      <c r="O2682" t="s" s="2">
        <v>305</v>
      </c>
      <c r="P2682" t="s" s="2">
        <v>5149</v>
      </c>
      <c r="Q2682" t="s" s="2">
        <v>4046</v>
      </c>
      <c r="R2682" t="s" s="2">
        <f>_xlfn.IFERROR(INDEX('model_byCAP'!$D$2:$D$377,MATCH(Q2682,'model_byCAP'!$A$2:$A$377,0)),0)</f>
        <v>4047</v>
      </c>
    </row>
    <row r="2683" ht="15.35" customHeight="1">
      <c r="A2683" t="s" s="2">
        <v>5161</v>
      </c>
      <c r="B2683" s="4">
        <v>36539</v>
      </c>
      <c r="C2683" s="5">
        <v>750</v>
      </c>
      <c r="D2683" s="5">
        <v>48</v>
      </c>
      <c r="E2683" s="5">
        <v>45</v>
      </c>
      <c r="F2683" t="s" s="2">
        <v>1746</v>
      </c>
      <c r="G2683" t="s" s="2">
        <v>4044</v>
      </c>
      <c r="H2683" s="5">
        <v>851</v>
      </c>
      <c r="I2683" t="s" s="2">
        <v>1139</v>
      </c>
      <c r="J2683" t="s" s="2">
        <v>22</v>
      </c>
      <c r="K2683" t="s" s="2">
        <v>5147</v>
      </c>
      <c r="L2683" t="s" s="2">
        <v>5162</v>
      </c>
      <c r="M2683" s="5">
        <v>554746.8199999999</v>
      </c>
      <c r="N2683" s="5">
        <v>6339842.17</v>
      </c>
      <c r="O2683" t="s" s="2">
        <v>305</v>
      </c>
      <c r="P2683" t="s" s="2">
        <v>5149</v>
      </c>
      <c r="Q2683" t="s" s="2">
        <v>4046</v>
      </c>
      <c r="R2683" t="s" s="2">
        <f>_xlfn.IFERROR(INDEX('model_byCAP'!$D$2:$D$377,MATCH(Q2683,'model_byCAP'!$A$2:$A$377,0)),0)</f>
        <v>4047</v>
      </c>
    </row>
    <row r="2684" ht="15.35" customHeight="1">
      <c r="A2684" t="s" s="2">
        <v>5163</v>
      </c>
      <c r="B2684" s="4">
        <v>36539</v>
      </c>
      <c r="C2684" s="5">
        <v>750</v>
      </c>
      <c r="D2684" s="5">
        <v>48</v>
      </c>
      <c r="E2684" s="5">
        <v>45</v>
      </c>
      <c r="F2684" t="s" s="2">
        <v>1746</v>
      </c>
      <c r="G2684" t="s" s="2">
        <v>4044</v>
      </c>
      <c r="H2684" s="5">
        <v>851</v>
      </c>
      <c r="I2684" t="s" s="2">
        <v>1139</v>
      </c>
      <c r="J2684" t="s" s="2">
        <v>22</v>
      </c>
      <c r="K2684" t="s" s="2">
        <v>5147</v>
      </c>
      <c r="L2684" t="s" s="2">
        <v>2473</v>
      </c>
      <c r="M2684" s="5">
        <v>554685.73</v>
      </c>
      <c r="N2684" s="5">
        <v>6340116.25</v>
      </c>
      <c r="O2684" t="s" s="2">
        <v>305</v>
      </c>
      <c r="P2684" t="s" s="2">
        <v>5149</v>
      </c>
      <c r="Q2684" t="s" s="2">
        <v>4046</v>
      </c>
      <c r="R2684" t="s" s="2">
        <f>_xlfn.IFERROR(INDEX('model_byCAP'!$D$2:$D$377,MATCH(Q2684,'model_byCAP'!$A$2:$A$377,0)),0)</f>
        <v>4047</v>
      </c>
    </row>
    <row r="2685" ht="15.35" customHeight="1">
      <c r="A2685" t="s" s="2">
        <v>5164</v>
      </c>
      <c r="B2685" s="4">
        <v>36539</v>
      </c>
      <c r="C2685" s="5">
        <v>750</v>
      </c>
      <c r="D2685" s="5">
        <v>48</v>
      </c>
      <c r="E2685" s="5">
        <v>45</v>
      </c>
      <c r="F2685" t="s" s="2">
        <v>1746</v>
      </c>
      <c r="G2685" t="s" s="2">
        <v>4044</v>
      </c>
      <c r="H2685" s="5">
        <v>851</v>
      </c>
      <c r="I2685" t="s" s="2">
        <v>1139</v>
      </c>
      <c r="J2685" t="s" s="2">
        <v>22</v>
      </c>
      <c r="K2685" t="s" s="2">
        <v>5147</v>
      </c>
      <c r="L2685" t="s" s="2">
        <v>5165</v>
      </c>
      <c r="M2685" s="5">
        <v>554622.37</v>
      </c>
      <c r="N2685" s="5">
        <v>6340392.8</v>
      </c>
      <c r="O2685" t="s" s="2">
        <v>305</v>
      </c>
      <c r="P2685" t="s" s="2">
        <v>5149</v>
      </c>
      <c r="Q2685" t="s" s="2">
        <v>4046</v>
      </c>
      <c r="R2685" t="s" s="2">
        <f>_xlfn.IFERROR(INDEX('model_byCAP'!$D$2:$D$377,MATCH(Q2685,'model_byCAP'!$A$2:$A$377,0)),0)</f>
        <v>4047</v>
      </c>
    </row>
    <row r="2686" ht="15.35" customHeight="1">
      <c r="A2686" t="s" s="2">
        <v>5166</v>
      </c>
      <c r="B2686" s="4">
        <v>36539</v>
      </c>
      <c r="C2686" s="5">
        <v>750</v>
      </c>
      <c r="D2686" s="5">
        <v>48</v>
      </c>
      <c r="E2686" s="5">
        <v>45</v>
      </c>
      <c r="F2686" t="s" s="2">
        <v>1746</v>
      </c>
      <c r="G2686" t="s" s="2">
        <v>4044</v>
      </c>
      <c r="H2686" s="5">
        <v>851</v>
      </c>
      <c r="I2686" t="s" s="2">
        <v>1139</v>
      </c>
      <c r="J2686" t="s" s="2">
        <v>22</v>
      </c>
      <c r="K2686" t="s" s="2">
        <v>5147</v>
      </c>
      <c r="L2686" t="s" s="2">
        <v>1603</v>
      </c>
      <c r="M2686" s="5">
        <v>554560.7</v>
      </c>
      <c r="N2686" s="5">
        <v>6340667.84</v>
      </c>
      <c r="O2686" t="s" s="2">
        <v>305</v>
      </c>
      <c r="P2686" t="s" s="2">
        <v>5149</v>
      </c>
      <c r="Q2686" t="s" s="2">
        <v>4046</v>
      </c>
      <c r="R2686" t="s" s="2">
        <f>_xlfn.IFERROR(INDEX('model_byCAP'!$D$2:$D$377,MATCH(Q2686,'model_byCAP'!$A$2:$A$377,0)),0)</f>
        <v>4047</v>
      </c>
    </row>
    <row r="2687" ht="15.35" customHeight="1">
      <c r="A2687" t="s" s="2">
        <v>5167</v>
      </c>
      <c r="B2687" s="4">
        <v>36539</v>
      </c>
      <c r="C2687" s="5">
        <v>750</v>
      </c>
      <c r="D2687" s="5">
        <v>48.2</v>
      </c>
      <c r="E2687" s="5">
        <v>45</v>
      </c>
      <c r="F2687" t="s" s="2">
        <v>1746</v>
      </c>
      <c r="G2687" t="s" s="2">
        <v>4044</v>
      </c>
      <c r="H2687" s="5">
        <v>851</v>
      </c>
      <c r="I2687" t="s" s="2">
        <v>1139</v>
      </c>
      <c r="J2687" t="s" s="2">
        <v>22</v>
      </c>
      <c r="K2687" t="s" s="2">
        <v>5147</v>
      </c>
      <c r="L2687" t="s" s="2">
        <v>5168</v>
      </c>
      <c r="M2687" s="5">
        <v>553969.59</v>
      </c>
      <c r="N2687" s="5">
        <v>6340407.36</v>
      </c>
      <c r="O2687" t="s" s="2">
        <v>305</v>
      </c>
      <c r="P2687" t="s" s="2">
        <v>5169</v>
      </c>
      <c r="Q2687" t="s" s="2">
        <v>4046</v>
      </c>
      <c r="R2687" t="s" s="2">
        <f>_xlfn.IFERROR(INDEX('model_byCAP'!$D$2:$D$377,MATCH(Q2687,'model_byCAP'!$A$2:$A$377,0)),0)</f>
        <v>4047</v>
      </c>
    </row>
    <row r="2688" ht="15.35" customHeight="1">
      <c r="A2688" t="s" s="2">
        <v>5170</v>
      </c>
      <c r="B2688" s="4">
        <v>36539</v>
      </c>
      <c r="C2688" s="5">
        <v>750</v>
      </c>
      <c r="D2688" s="5">
        <v>48.2</v>
      </c>
      <c r="E2688" s="5">
        <v>45</v>
      </c>
      <c r="F2688" t="s" s="2">
        <v>1746</v>
      </c>
      <c r="G2688" t="s" s="2">
        <v>4044</v>
      </c>
      <c r="H2688" s="5">
        <v>851</v>
      </c>
      <c r="I2688" t="s" s="2">
        <v>1139</v>
      </c>
      <c r="J2688" t="s" s="2">
        <v>22</v>
      </c>
      <c r="K2688" t="s" s="2">
        <v>5147</v>
      </c>
      <c r="L2688" t="s" s="2">
        <v>5171</v>
      </c>
      <c r="M2688" s="5">
        <v>554216.52</v>
      </c>
      <c r="N2688" s="5">
        <v>6339307.34</v>
      </c>
      <c r="O2688" t="s" s="2">
        <v>305</v>
      </c>
      <c r="P2688" t="s" s="2">
        <v>5169</v>
      </c>
      <c r="Q2688" t="s" s="2">
        <v>4046</v>
      </c>
      <c r="R2688" t="s" s="2">
        <f>_xlfn.IFERROR(INDEX('model_byCAP'!$D$2:$D$377,MATCH(Q2688,'model_byCAP'!$A$2:$A$377,0)),0)</f>
        <v>4047</v>
      </c>
    </row>
    <row r="2689" ht="15.35" customHeight="1">
      <c r="A2689" t="s" s="2">
        <v>5172</v>
      </c>
      <c r="B2689" s="4">
        <v>36888</v>
      </c>
      <c r="C2689" s="5">
        <v>750</v>
      </c>
      <c r="D2689" s="5">
        <v>48</v>
      </c>
      <c r="E2689" s="5">
        <v>45</v>
      </c>
      <c r="F2689" t="s" s="2">
        <v>1746</v>
      </c>
      <c r="G2689" t="s" s="2">
        <v>4044</v>
      </c>
      <c r="H2689" s="5">
        <v>851</v>
      </c>
      <c r="I2689" t="s" s="2">
        <v>1139</v>
      </c>
      <c r="J2689" t="s" s="2">
        <v>22</v>
      </c>
      <c r="K2689" t="s" s="2">
        <v>5147</v>
      </c>
      <c r="L2689" t="s" s="2">
        <v>5173</v>
      </c>
      <c r="M2689" s="5">
        <v>555252.33</v>
      </c>
      <c r="N2689" s="5">
        <v>6337724.93</v>
      </c>
      <c r="O2689" t="s" s="2">
        <v>305</v>
      </c>
      <c r="P2689" t="s" s="2">
        <v>5174</v>
      </c>
      <c r="Q2689" t="s" s="2">
        <v>4046</v>
      </c>
      <c r="R2689" t="s" s="2">
        <f>_xlfn.IFERROR(INDEX('model_byCAP'!$D$2:$D$377,MATCH(Q2689,'model_byCAP'!$A$2:$A$377,0)),0)</f>
        <v>4047</v>
      </c>
    </row>
    <row r="2690" ht="15.35" customHeight="1">
      <c r="A2690" t="s" s="2">
        <v>5175</v>
      </c>
      <c r="B2690" s="4">
        <v>36888</v>
      </c>
      <c r="C2690" s="5">
        <v>750</v>
      </c>
      <c r="D2690" s="5">
        <v>48</v>
      </c>
      <c r="E2690" s="5">
        <v>45</v>
      </c>
      <c r="F2690" t="s" s="2">
        <v>1746</v>
      </c>
      <c r="G2690" t="s" s="2">
        <v>4044</v>
      </c>
      <c r="H2690" s="5">
        <v>851</v>
      </c>
      <c r="I2690" t="s" s="2">
        <v>1139</v>
      </c>
      <c r="J2690" t="s" s="2">
        <v>22</v>
      </c>
      <c r="K2690" t="s" s="2">
        <v>5147</v>
      </c>
      <c r="L2690" t="s" s="2">
        <v>5173</v>
      </c>
      <c r="M2690" s="5">
        <v>555189.71</v>
      </c>
      <c r="N2690" s="5">
        <v>6337960.06</v>
      </c>
      <c r="O2690" t="s" s="2">
        <v>305</v>
      </c>
      <c r="P2690" t="s" s="2">
        <v>5174</v>
      </c>
      <c r="Q2690" t="s" s="2">
        <v>4046</v>
      </c>
      <c r="R2690" t="s" s="2">
        <f>_xlfn.IFERROR(INDEX('model_byCAP'!$D$2:$D$377,MATCH(Q2690,'model_byCAP'!$A$2:$A$377,0)),0)</f>
        <v>4047</v>
      </c>
    </row>
    <row r="2691" ht="15.35" customHeight="1">
      <c r="A2691" t="s" s="2">
        <v>5176</v>
      </c>
      <c r="B2691" s="4">
        <v>37028</v>
      </c>
      <c r="C2691" s="5">
        <v>750</v>
      </c>
      <c r="D2691" s="5">
        <v>48</v>
      </c>
      <c r="E2691" s="5">
        <v>45</v>
      </c>
      <c r="F2691" t="s" s="2">
        <v>1746</v>
      </c>
      <c r="G2691" t="s" s="2">
        <v>4044</v>
      </c>
      <c r="H2691" s="5">
        <v>851</v>
      </c>
      <c r="I2691" t="s" s="2">
        <v>1139</v>
      </c>
      <c r="J2691" t="s" s="2">
        <v>22</v>
      </c>
      <c r="K2691" t="s" s="2">
        <v>5147</v>
      </c>
      <c r="L2691" s="5">
        <v>0</v>
      </c>
      <c r="M2691" s="5">
        <v>555315.3</v>
      </c>
      <c r="N2691" s="5">
        <v>6337490.08</v>
      </c>
      <c r="O2691" t="s" s="2">
        <v>305</v>
      </c>
      <c r="P2691" t="s" s="2">
        <v>5174</v>
      </c>
      <c r="Q2691" t="s" s="2">
        <v>4046</v>
      </c>
      <c r="R2691" t="s" s="2">
        <f>_xlfn.IFERROR(INDEX('model_byCAP'!$D$2:$D$377,MATCH(Q2691,'model_byCAP'!$A$2:$A$377,0)),0)</f>
        <v>4047</v>
      </c>
    </row>
    <row r="2692" ht="15.35" customHeight="1">
      <c r="A2692" t="s" s="2">
        <v>5177</v>
      </c>
      <c r="B2692" s="4">
        <v>36888</v>
      </c>
      <c r="C2692" s="5">
        <v>750</v>
      </c>
      <c r="D2692" s="5">
        <v>48</v>
      </c>
      <c r="E2692" s="5">
        <v>45</v>
      </c>
      <c r="F2692" t="s" s="2">
        <v>1746</v>
      </c>
      <c r="G2692" t="s" s="2">
        <v>4044</v>
      </c>
      <c r="H2692" s="5">
        <v>851</v>
      </c>
      <c r="I2692" t="s" s="2">
        <v>1139</v>
      </c>
      <c r="J2692" t="s" s="2">
        <v>22</v>
      </c>
      <c r="K2692" t="s" s="2">
        <v>5147</v>
      </c>
      <c r="L2692" t="s" s="2">
        <v>5178</v>
      </c>
      <c r="M2692" s="5">
        <v>555377.61</v>
      </c>
      <c r="N2692" s="5">
        <v>6337255.19</v>
      </c>
      <c r="O2692" t="s" s="2">
        <v>305</v>
      </c>
      <c r="P2692" t="s" s="2">
        <v>5174</v>
      </c>
      <c r="Q2692" t="s" s="2">
        <v>4046</v>
      </c>
      <c r="R2692" t="s" s="2">
        <f>_xlfn.IFERROR(INDEX('model_byCAP'!$D$2:$D$377,MATCH(Q2692,'model_byCAP'!$A$2:$A$377,0)),0)</f>
        <v>4047</v>
      </c>
    </row>
    <row r="2693" ht="15.35" customHeight="1">
      <c r="A2693" t="s" s="2">
        <v>5179</v>
      </c>
      <c r="B2693" s="4">
        <v>36888</v>
      </c>
      <c r="C2693" s="5">
        <v>750</v>
      </c>
      <c r="D2693" s="5">
        <v>48</v>
      </c>
      <c r="E2693" s="5">
        <v>45</v>
      </c>
      <c r="F2693" t="s" s="2">
        <v>1746</v>
      </c>
      <c r="G2693" t="s" s="2">
        <v>4044</v>
      </c>
      <c r="H2693" s="5">
        <v>851</v>
      </c>
      <c r="I2693" t="s" s="2">
        <v>1139</v>
      </c>
      <c r="J2693" t="s" s="2">
        <v>22</v>
      </c>
      <c r="K2693" t="s" s="2">
        <v>5147</v>
      </c>
      <c r="L2693" t="s" s="2">
        <v>5180</v>
      </c>
      <c r="M2693" s="5">
        <v>555440.4300000001</v>
      </c>
      <c r="N2693" s="5">
        <v>6337020.32</v>
      </c>
      <c r="O2693" t="s" s="2">
        <v>305</v>
      </c>
      <c r="P2693" t="s" s="2">
        <v>5174</v>
      </c>
      <c r="Q2693" t="s" s="2">
        <v>4046</v>
      </c>
      <c r="R2693" t="s" s="2">
        <f>_xlfn.IFERROR(INDEX('model_byCAP'!$D$2:$D$377,MATCH(Q2693,'model_byCAP'!$A$2:$A$377,0)),0)</f>
        <v>4047</v>
      </c>
    </row>
    <row r="2694" ht="15.35" customHeight="1">
      <c r="A2694" t="s" s="2">
        <v>5181</v>
      </c>
      <c r="B2694" s="4">
        <v>36888</v>
      </c>
      <c r="C2694" s="5">
        <v>750</v>
      </c>
      <c r="D2694" s="5">
        <v>48</v>
      </c>
      <c r="E2694" s="5">
        <v>45</v>
      </c>
      <c r="F2694" t="s" s="2">
        <v>1746</v>
      </c>
      <c r="G2694" t="s" s="2">
        <v>4044</v>
      </c>
      <c r="H2694" s="5">
        <v>851</v>
      </c>
      <c r="I2694" t="s" s="2">
        <v>1139</v>
      </c>
      <c r="J2694" t="s" s="2">
        <v>22</v>
      </c>
      <c r="K2694" t="s" s="2">
        <v>5147</v>
      </c>
      <c r="L2694" t="s" s="2">
        <v>5182</v>
      </c>
      <c r="M2694" s="5">
        <v>555496.2</v>
      </c>
      <c r="N2694" s="5">
        <v>6338030.65</v>
      </c>
      <c r="O2694" t="s" s="2">
        <v>305</v>
      </c>
      <c r="P2694" t="s" s="2">
        <v>5174</v>
      </c>
      <c r="Q2694" t="s" s="2">
        <v>4046</v>
      </c>
      <c r="R2694" t="s" s="2">
        <f>_xlfn.IFERROR(INDEX('model_byCAP'!$D$2:$D$377,MATCH(Q2694,'model_byCAP'!$A$2:$A$377,0)),0)</f>
        <v>4047</v>
      </c>
    </row>
    <row r="2695" ht="15.35" customHeight="1">
      <c r="A2695" t="s" s="2">
        <v>5183</v>
      </c>
      <c r="B2695" s="4">
        <v>36888</v>
      </c>
      <c r="C2695" s="5">
        <v>750</v>
      </c>
      <c r="D2695" s="5">
        <v>48</v>
      </c>
      <c r="E2695" s="5">
        <v>45</v>
      </c>
      <c r="F2695" t="s" s="2">
        <v>1746</v>
      </c>
      <c r="G2695" t="s" s="2">
        <v>4044</v>
      </c>
      <c r="H2695" s="5">
        <v>851</v>
      </c>
      <c r="I2695" t="s" s="2">
        <v>1139</v>
      </c>
      <c r="J2695" t="s" s="2">
        <v>22</v>
      </c>
      <c r="K2695" t="s" s="2">
        <v>5147</v>
      </c>
      <c r="L2695" t="s" s="2">
        <v>5184</v>
      </c>
      <c r="M2695" s="5">
        <v>555557.64</v>
      </c>
      <c r="N2695" s="5">
        <v>6337796.66</v>
      </c>
      <c r="O2695" t="s" s="2">
        <v>305</v>
      </c>
      <c r="P2695" t="s" s="2">
        <v>5174</v>
      </c>
      <c r="Q2695" t="s" s="2">
        <v>4046</v>
      </c>
      <c r="R2695" t="s" s="2">
        <f>_xlfn.IFERROR(INDEX('model_byCAP'!$D$2:$D$377,MATCH(Q2695,'model_byCAP'!$A$2:$A$377,0)),0)</f>
        <v>4047</v>
      </c>
    </row>
    <row r="2696" ht="15.35" customHeight="1">
      <c r="A2696" t="s" s="2">
        <v>5185</v>
      </c>
      <c r="B2696" s="4">
        <v>36888</v>
      </c>
      <c r="C2696" s="5">
        <v>750</v>
      </c>
      <c r="D2696" s="5">
        <v>48</v>
      </c>
      <c r="E2696" s="5">
        <v>45</v>
      </c>
      <c r="F2696" t="s" s="2">
        <v>1746</v>
      </c>
      <c r="G2696" t="s" s="2">
        <v>4044</v>
      </c>
      <c r="H2696" s="5">
        <v>851</v>
      </c>
      <c r="I2696" t="s" s="2">
        <v>1139</v>
      </c>
      <c r="J2696" t="s" s="2">
        <v>22</v>
      </c>
      <c r="K2696" t="s" s="2">
        <v>5147</v>
      </c>
      <c r="L2696" t="s" s="2">
        <v>5186</v>
      </c>
      <c r="M2696" s="5">
        <v>555620.3199999999</v>
      </c>
      <c r="N2696" s="5">
        <v>6337562.01</v>
      </c>
      <c r="O2696" t="s" s="2">
        <v>305</v>
      </c>
      <c r="P2696" t="s" s="2">
        <v>5174</v>
      </c>
      <c r="Q2696" t="s" s="2">
        <v>4046</v>
      </c>
      <c r="R2696" t="s" s="2">
        <f>_xlfn.IFERROR(INDEX('model_byCAP'!$D$2:$D$377,MATCH(Q2696,'model_byCAP'!$A$2:$A$377,0)),0)</f>
        <v>4047</v>
      </c>
    </row>
    <row r="2697" ht="15.35" customHeight="1">
      <c r="A2697" t="s" s="2">
        <v>5187</v>
      </c>
      <c r="B2697" s="4">
        <v>36888</v>
      </c>
      <c r="C2697" s="5">
        <v>750</v>
      </c>
      <c r="D2697" s="5">
        <v>48</v>
      </c>
      <c r="E2697" s="5">
        <v>45</v>
      </c>
      <c r="F2697" t="s" s="2">
        <v>1746</v>
      </c>
      <c r="G2697" t="s" s="2">
        <v>4044</v>
      </c>
      <c r="H2697" s="5">
        <v>851</v>
      </c>
      <c r="I2697" t="s" s="2">
        <v>1139</v>
      </c>
      <c r="J2697" t="s" s="2">
        <v>22</v>
      </c>
      <c r="K2697" t="s" s="2">
        <v>5147</v>
      </c>
      <c r="L2697" t="s" s="2">
        <v>5180</v>
      </c>
      <c r="M2697" s="5">
        <v>555682.5699999999</v>
      </c>
      <c r="N2697" s="5">
        <v>6337327.14</v>
      </c>
      <c r="O2697" t="s" s="2">
        <v>305</v>
      </c>
      <c r="P2697" t="s" s="2">
        <v>5174</v>
      </c>
      <c r="Q2697" t="s" s="2">
        <v>4046</v>
      </c>
      <c r="R2697" t="s" s="2">
        <f>_xlfn.IFERROR(INDEX('model_byCAP'!$D$2:$D$377,MATCH(Q2697,'model_byCAP'!$A$2:$A$377,0)),0)</f>
        <v>4047</v>
      </c>
    </row>
    <row r="2698" ht="15.35" customHeight="1">
      <c r="A2698" t="s" s="2">
        <v>5188</v>
      </c>
      <c r="B2698" s="4">
        <v>36888</v>
      </c>
      <c r="C2698" s="5">
        <v>750</v>
      </c>
      <c r="D2698" s="5">
        <v>48</v>
      </c>
      <c r="E2698" s="5">
        <v>45</v>
      </c>
      <c r="F2698" t="s" s="2">
        <v>1746</v>
      </c>
      <c r="G2698" t="s" s="2">
        <v>4044</v>
      </c>
      <c r="H2698" s="5">
        <v>851</v>
      </c>
      <c r="I2698" t="s" s="2">
        <v>1139</v>
      </c>
      <c r="J2698" t="s" s="2">
        <v>22</v>
      </c>
      <c r="K2698" t="s" s="2">
        <v>5147</v>
      </c>
      <c r="L2698" t="s" s="2">
        <v>5180</v>
      </c>
      <c r="M2698" s="5">
        <v>555745.35</v>
      </c>
      <c r="N2698" s="5">
        <v>6337091.92</v>
      </c>
      <c r="O2698" t="s" s="2">
        <v>305</v>
      </c>
      <c r="P2698" t="s" s="2">
        <v>5174</v>
      </c>
      <c r="Q2698" t="s" s="2">
        <v>4046</v>
      </c>
      <c r="R2698" t="s" s="2">
        <f>_xlfn.IFERROR(INDEX('model_byCAP'!$D$2:$D$377,MATCH(Q2698,'model_byCAP'!$A$2:$A$377,0)),0)</f>
        <v>4047</v>
      </c>
    </row>
    <row r="2699" ht="15.35" customHeight="1">
      <c r="A2699" t="s" s="2">
        <v>5189</v>
      </c>
      <c r="B2699" s="4">
        <v>36888</v>
      </c>
      <c r="C2699" s="5">
        <v>750</v>
      </c>
      <c r="D2699" s="5">
        <v>48</v>
      </c>
      <c r="E2699" s="5">
        <v>45</v>
      </c>
      <c r="F2699" t="s" s="2">
        <v>1746</v>
      </c>
      <c r="G2699" t="s" s="2">
        <v>4044</v>
      </c>
      <c r="H2699" s="5">
        <v>851</v>
      </c>
      <c r="I2699" t="s" s="2">
        <v>1139</v>
      </c>
      <c r="J2699" t="s" s="2">
        <v>22</v>
      </c>
      <c r="K2699" t="s" s="2">
        <v>5147</v>
      </c>
      <c r="L2699" t="s" s="2">
        <v>518</v>
      </c>
      <c r="M2699" s="5">
        <v>555800.8199999999</v>
      </c>
      <c r="N2699" s="5">
        <v>6338102.88</v>
      </c>
      <c r="O2699" t="s" s="2">
        <v>305</v>
      </c>
      <c r="P2699" t="s" s="2">
        <v>5174</v>
      </c>
      <c r="Q2699" t="s" s="2">
        <v>4046</v>
      </c>
      <c r="R2699" t="s" s="2">
        <f>_xlfn.IFERROR(INDEX('model_byCAP'!$D$2:$D$377,MATCH(Q2699,'model_byCAP'!$A$2:$A$377,0)),0)</f>
        <v>4047</v>
      </c>
    </row>
    <row r="2700" ht="15.35" customHeight="1">
      <c r="A2700" t="s" s="2">
        <v>5190</v>
      </c>
      <c r="B2700" s="4">
        <v>36888</v>
      </c>
      <c r="C2700" s="5">
        <v>750</v>
      </c>
      <c r="D2700" s="5">
        <v>48</v>
      </c>
      <c r="E2700" s="5">
        <v>45</v>
      </c>
      <c r="F2700" t="s" s="2">
        <v>1746</v>
      </c>
      <c r="G2700" t="s" s="2">
        <v>4044</v>
      </c>
      <c r="H2700" s="5">
        <v>851</v>
      </c>
      <c r="I2700" t="s" s="2">
        <v>1139</v>
      </c>
      <c r="J2700" t="s" s="2">
        <v>22</v>
      </c>
      <c r="K2700" t="s" s="2">
        <v>5147</v>
      </c>
      <c r="L2700" t="s" s="2">
        <v>518</v>
      </c>
      <c r="M2700" s="5">
        <v>555862.59</v>
      </c>
      <c r="N2700" s="5">
        <v>6337869.4</v>
      </c>
      <c r="O2700" t="s" s="2">
        <v>305</v>
      </c>
      <c r="P2700" t="s" s="2">
        <v>5174</v>
      </c>
      <c r="Q2700" t="s" s="2">
        <v>4046</v>
      </c>
      <c r="R2700" t="s" s="2">
        <f>_xlfn.IFERROR(INDEX('model_byCAP'!$D$2:$D$377,MATCH(Q2700,'model_byCAP'!$A$2:$A$377,0)),0)</f>
        <v>4047</v>
      </c>
    </row>
    <row r="2701" ht="15.35" customHeight="1">
      <c r="A2701" t="s" s="2">
        <v>5191</v>
      </c>
      <c r="B2701" s="4">
        <v>36888</v>
      </c>
      <c r="C2701" s="5">
        <v>750</v>
      </c>
      <c r="D2701" s="5">
        <v>48</v>
      </c>
      <c r="E2701" s="5">
        <v>45</v>
      </c>
      <c r="F2701" t="s" s="2">
        <v>1746</v>
      </c>
      <c r="G2701" t="s" s="2">
        <v>4044</v>
      </c>
      <c r="H2701" s="5">
        <v>851</v>
      </c>
      <c r="I2701" t="s" s="2">
        <v>1139</v>
      </c>
      <c r="J2701" t="s" s="2">
        <v>22</v>
      </c>
      <c r="K2701" t="s" s="2">
        <v>5147</v>
      </c>
      <c r="L2701" t="s" s="2">
        <v>518</v>
      </c>
      <c r="M2701" s="5">
        <v>555925.25</v>
      </c>
      <c r="N2701" s="5">
        <v>6337634.28</v>
      </c>
      <c r="O2701" t="s" s="2">
        <v>305</v>
      </c>
      <c r="P2701" t="s" s="2">
        <v>5174</v>
      </c>
      <c r="Q2701" t="s" s="2">
        <v>4046</v>
      </c>
      <c r="R2701" t="s" s="2">
        <f>_xlfn.IFERROR(INDEX('model_byCAP'!$D$2:$D$377,MATCH(Q2701,'model_byCAP'!$A$2:$A$377,0)),0)</f>
        <v>4047</v>
      </c>
    </row>
    <row r="2702" ht="15.35" customHeight="1">
      <c r="A2702" t="s" s="2">
        <v>5192</v>
      </c>
      <c r="B2702" s="4">
        <v>36888</v>
      </c>
      <c r="C2702" s="5">
        <v>750</v>
      </c>
      <c r="D2702" s="5">
        <v>48</v>
      </c>
      <c r="E2702" s="5">
        <v>45</v>
      </c>
      <c r="F2702" t="s" s="2">
        <v>1746</v>
      </c>
      <c r="G2702" t="s" s="2">
        <v>4044</v>
      </c>
      <c r="H2702" s="5">
        <v>851</v>
      </c>
      <c r="I2702" t="s" s="2">
        <v>1139</v>
      </c>
      <c r="J2702" t="s" s="2">
        <v>22</v>
      </c>
      <c r="K2702" t="s" s="2">
        <v>5147</v>
      </c>
      <c r="L2702" t="s" s="2">
        <v>518</v>
      </c>
      <c r="M2702" s="5">
        <v>555987.6800000001</v>
      </c>
      <c r="N2702" s="5">
        <v>6337399.06</v>
      </c>
      <c r="O2702" t="s" s="2">
        <v>305</v>
      </c>
      <c r="P2702" t="s" s="2">
        <v>5174</v>
      </c>
      <c r="Q2702" t="s" s="2">
        <v>4046</v>
      </c>
      <c r="R2702" t="s" s="2">
        <f>_xlfn.IFERROR(INDEX('model_byCAP'!$D$2:$D$377,MATCH(Q2702,'model_byCAP'!$A$2:$A$377,0)),0)</f>
        <v>4047</v>
      </c>
    </row>
    <row r="2703" ht="15.35" customHeight="1">
      <c r="A2703" t="s" s="2">
        <v>5193</v>
      </c>
      <c r="B2703" s="4">
        <v>36888</v>
      </c>
      <c r="C2703" s="5">
        <v>750</v>
      </c>
      <c r="D2703" s="5">
        <v>48</v>
      </c>
      <c r="E2703" s="5">
        <v>45</v>
      </c>
      <c r="F2703" t="s" s="2">
        <v>1746</v>
      </c>
      <c r="G2703" t="s" s="2">
        <v>4044</v>
      </c>
      <c r="H2703" s="5">
        <v>851</v>
      </c>
      <c r="I2703" t="s" s="2">
        <v>1139</v>
      </c>
      <c r="J2703" t="s" s="2">
        <v>22</v>
      </c>
      <c r="K2703" t="s" s="2">
        <v>5147</v>
      </c>
      <c r="L2703" t="s" s="2">
        <v>518</v>
      </c>
      <c r="M2703" s="5">
        <v>556049.91</v>
      </c>
      <c r="N2703" s="5">
        <v>6337164.17</v>
      </c>
      <c r="O2703" t="s" s="2">
        <v>305</v>
      </c>
      <c r="P2703" t="s" s="2">
        <v>5174</v>
      </c>
      <c r="Q2703" t="s" s="2">
        <v>4046</v>
      </c>
      <c r="R2703" t="s" s="2">
        <f>_xlfn.IFERROR(INDEX('model_byCAP'!$D$2:$D$377,MATCH(Q2703,'model_byCAP'!$A$2:$A$377,0)),0)</f>
        <v>4047</v>
      </c>
    </row>
    <row r="2704" ht="15.35" customHeight="1">
      <c r="A2704" t="s" s="2">
        <v>5194</v>
      </c>
      <c r="B2704" s="4">
        <v>35430</v>
      </c>
      <c r="C2704" s="5">
        <v>750</v>
      </c>
      <c r="D2704" s="5">
        <v>44</v>
      </c>
      <c r="E2704" s="5">
        <v>46</v>
      </c>
      <c r="F2704" t="s" s="2">
        <v>1746</v>
      </c>
      <c r="G2704" t="s" s="2">
        <v>4136</v>
      </c>
      <c r="H2704" s="5">
        <v>851</v>
      </c>
      <c r="I2704" t="s" s="2">
        <v>1139</v>
      </c>
      <c r="J2704" t="s" s="2">
        <v>22</v>
      </c>
      <c r="K2704" t="s" s="2">
        <v>5195</v>
      </c>
      <c r="L2704" t="s" s="2">
        <v>5196</v>
      </c>
      <c r="M2704" s="5">
        <v>562384.96</v>
      </c>
      <c r="N2704" s="5">
        <v>6327735.18</v>
      </c>
      <c r="O2704" t="s" s="2">
        <v>305</v>
      </c>
      <c r="P2704" t="s" s="2">
        <v>5197</v>
      </c>
      <c r="Q2704" t="s" s="2">
        <v>4137</v>
      </c>
      <c r="R2704" t="s" s="2">
        <f>_xlfn.IFERROR(INDEX('model_byCAP'!$D$2:$D$377,MATCH(Q2704,'model_byCAP'!$A$2:$A$377,0)),0)</f>
        <v>4042</v>
      </c>
    </row>
    <row r="2705" ht="15.35" customHeight="1">
      <c r="A2705" t="s" s="2">
        <v>5198</v>
      </c>
      <c r="B2705" s="4">
        <v>35430</v>
      </c>
      <c r="C2705" s="5">
        <v>750</v>
      </c>
      <c r="D2705" s="5">
        <v>44</v>
      </c>
      <c r="E2705" s="5">
        <v>46</v>
      </c>
      <c r="F2705" t="s" s="2">
        <v>1746</v>
      </c>
      <c r="G2705" t="s" s="2">
        <v>4136</v>
      </c>
      <c r="H2705" s="5">
        <v>851</v>
      </c>
      <c r="I2705" t="s" s="2">
        <v>1139</v>
      </c>
      <c r="J2705" t="s" s="2">
        <v>22</v>
      </c>
      <c r="K2705" t="s" s="2">
        <v>5199</v>
      </c>
      <c r="L2705" t="s" s="2">
        <v>5200</v>
      </c>
      <c r="M2705" s="5">
        <v>562525.8199999999</v>
      </c>
      <c r="N2705" s="5">
        <v>6327593.16</v>
      </c>
      <c r="O2705" t="s" s="2">
        <v>305</v>
      </c>
      <c r="P2705" t="s" s="2">
        <v>5197</v>
      </c>
      <c r="Q2705" t="s" s="2">
        <v>4137</v>
      </c>
      <c r="R2705" t="s" s="2">
        <f>_xlfn.IFERROR(INDEX('model_byCAP'!$D$2:$D$377,MATCH(Q2705,'model_byCAP'!$A$2:$A$377,0)),0)</f>
        <v>4042</v>
      </c>
    </row>
    <row r="2706" ht="15.35" customHeight="1">
      <c r="A2706" t="s" s="2">
        <v>5201</v>
      </c>
      <c r="B2706" s="4">
        <v>35430</v>
      </c>
      <c r="C2706" s="5">
        <v>750</v>
      </c>
      <c r="D2706" s="5">
        <v>44</v>
      </c>
      <c r="E2706" s="5">
        <v>46</v>
      </c>
      <c r="F2706" t="s" s="2">
        <v>1746</v>
      </c>
      <c r="G2706" t="s" s="2">
        <v>4136</v>
      </c>
      <c r="H2706" s="5">
        <v>851</v>
      </c>
      <c r="I2706" t="s" s="2">
        <v>1139</v>
      </c>
      <c r="J2706" t="s" s="2">
        <v>22</v>
      </c>
      <c r="K2706" t="s" s="2">
        <v>5202</v>
      </c>
      <c r="L2706" t="s" s="2">
        <v>5203</v>
      </c>
      <c r="M2706" s="5">
        <v>562667.17</v>
      </c>
      <c r="N2706" s="5">
        <v>6327450.18</v>
      </c>
      <c r="O2706" t="s" s="2">
        <v>305</v>
      </c>
      <c r="P2706" t="s" s="2">
        <v>5197</v>
      </c>
      <c r="Q2706" t="s" s="2">
        <v>4137</v>
      </c>
      <c r="R2706" t="s" s="2">
        <f>_xlfn.IFERROR(INDEX('model_byCAP'!$D$2:$D$377,MATCH(Q2706,'model_byCAP'!$A$2:$A$377,0)),0)</f>
        <v>4042</v>
      </c>
    </row>
    <row r="2707" ht="15.35" customHeight="1">
      <c r="A2707" t="s" s="2">
        <v>5204</v>
      </c>
      <c r="B2707" s="4">
        <v>35430</v>
      </c>
      <c r="C2707" s="5">
        <v>750</v>
      </c>
      <c r="D2707" s="5">
        <v>44</v>
      </c>
      <c r="E2707" s="5">
        <v>46</v>
      </c>
      <c r="F2707" t="s" s="2">
        <v>1746</v>
      </c>
      <c r="G2707" t="s" s="2">
        <v>4136</v>
      </c>
      <c r="H2707" s="5">
        <v>851</v>
      </c>
      <c r="I2707" t="s" s="2">
        <v>1139</v>
      </c>
      <c r="J2707" t="s" s="2">
        <v>22</v>
      </c>
      <c r="K2707" t="s" s="2">
        <v>5205</v>
      </c>
      <c r="L2707" t="s" s="2">
        <v>500</v>
      </c>
      <c r="M2707" s="5">
        <v>562739.55</v>
      </c>
      <c r="N2707" s="5">
        <v>6327604.19</v>
      </c>
      <c r="O2707" t="s" s="2">
        <v>305</v>
      </c>
      <c r="P2707" t="s" s="2">
        <v>5197</v>
      </c>
      <c r="Q2707" t="s" s="2">
        <v>4137</v>
      </c>
      <c r="R2707" t="s" s="2">
        <f>_xlfn.IFERROR(INDEX('model_byCAP'!$D$2:$D$377,MATCH(Q2707,'model_byCAP'!$A$2:$A$377,0)),0)</f>
        <v>4042</v>
      </c>
    </row>
    <row r="2708" ht="15.35" customHeight="1">
      <c r="A2708" t="s" s="2">
        <v>5206</v>
      </c>
      <c r="B2708" s="4">
        <v>35430</v>
      </c>
      <c r="C2708" s="5">
        <v>750</v>
      </c>
      <c r="D2708" s="5">
        <v>44</v>
      </c>
      <c r="E2708" s="5">
        <v>46</v>
      </c>
      <c r="F2708" t="s" s="2">
        <v>1746</v>
      </c>
      <c r="G2708" t="s" s="2">
        <v>4136</v>
      </c>
      <c r="H2708" s="5">
        <v>851</v>
      </c>
      <c r="I2708" t="s" s="2">
        <v>1139</v>
      </c>
      <c r="J2708" t="s" s="2">
        <v>22</v>
      </c>
      <c r="K2708" t="s" s="2">
        <v>5207</v>
      </c>
      <c r="L2708" t="s" s="2">
        <v>5208</v>
      </c>
      <c r="M2708" s="5">
        <v>562815.21</v>
      </c>
      <c r="N2708" s="5">
        <v>6327756.13</v>
      </c>
      <c r="O2708" t="s" s="2">
        <v>305</v>
      </c>
      <c r="P2708" t="s" s="2">
        <v>5197</v>
      </c>
      <c r="Q2708" t="s" s="2">
        <v>4137</v>
      </c>
      <c r="R2708" t="s" s="2">
        <f>_xlfn.IFERROR(INDEX('model_byCAP'!$D$2:$D$377,MATCH(Q2708,'model_byCAP'!$A$2:$A$377,0)),0)</f>
        <v>4042</v>
      </c>
    </row>
    <row r="2709" ht="15.35" customHeight="1">
      <c r="A2709" t="s" s="2">
        <v>5209</v>
      </c>
      <c r="B2709" s="4">
        <v>35430</v>
      </c>
      <c r="C2709" s="5">
        <v>750</v>
      </c>
      <c r="D2709" s="5">
        <v>44</v>
      </c>
      <c r="E2709" s="5">
        <v>46</v>
      </c>
      <c r="F2709" t="s" s="2">
        <v>1746</v>
      </c>
      <c r="G2709" t="s" s="2">
        <v>4136</v>
      </c>
      <c r="H2709" s="5">
        <v>851</v>
      </c>
      <c r="I2709" t="s" s="2">
        <v>1139</v>
      </c>
      <c r="J2709" t="s" s="2">
        <v>22</v>
      </c>
      <c r="K2709" t="s" s="2">
        <v>5147</v>
      </c>
      <c r="L2709" t="s" s="2">
        <v>518</v>
      </c>
      <c r="M2709" s="5">
        <v>562888.28</v>
      </c>
      <c r="N2709" s="5">
        <v>6327908.88</v>
      </c>
      <c r="O2709" t="s" s="2">
        <v>305</v>
      </c>
      <c r="P2709" t="s" s="2">
        <v>5197</v>
      </c>
      <c r="Q2709" t="s" s="2">
        <v>4137</v>
      </c>
      <c r="R2709" t="s" s="2">
        <f>_xlfn.IFERROR(INDEX('model_byCAP'!$D$2:$D$377,MATCH(Q2709,'model_byCAP'!$A$2:$A$377,0)),0)</f>
        <v>4042</v>
      </c>
    </row>
    <row r="2710" ht="15.35" customHeight="1">
      <c r="A2710" t="s" s="2">
        <v>5210</v>
      </c>
      <c r="B2710" s="4">
        <v>35430</v>
      </c>
      <c r="C2710" s="5">
        <v>750</v>
      </c>
      <c r="D2710" s="5">
        <v>44</v>
      </c>
      <c r="E2710" s="5">
        <v>46</v>
      </c>
      <c r="F2710" t="s" s="2">
        <v>1746</v>
      </c>
      <c r="G2710" t="s" s="2">
        <v>4136</v>
      </c>
      <c r="H2710" s="5">
        <v>851</v>
      </c>
      <c r="I2710" t="s" s="2">
        <v>1139</v>
      </c>
      <c r="J2710" t="s" s="2">
        <v>22</v>
      </c>
      <c r="K2710" t="s" s="2">
        <v>5202</v>
      </c>
      <c r="L2710" t="s" s="2">
        <v>4273</v>
      </c>
      <c r="M2710" s="5">
        <v>562962.03</v>
      </c>
      <c r="N2710" s="5">
        <v>6328062.5</v>
      </c>
      <c r="O2710" t="s" s="2">
        <v>305</v>
      </c>
      <c r="P2710" t="s" s="2">
        <v>5197</v>
      </c>
      <c r="Q2710" t="s" s="2">
        <v>4137</v>
      </c>
      <c r="R2710" t="s" s="2">
        <f>_xlfn.IFERROR(INDEX('model_byCAP'!$D$2:$D$377,MATCH(Q2710,'model_byCAP'!$A$2:$A$377,0)),0)</f>
        <v>4042</v>
      </c>
    </row>
    <row r="2711" ht="15.35" customHeight="1">
      <c r="A2711" t="s" s="2">
        <v>5211</v>
      </c>
      <c r="B2711" s="4">
        <v>35503</v>
      </c>
      <c r="C2711" s="5">
        <v>750</v>
      </c>
      <c r="D2711" s="5">
        <v>44</v>
      </c>
      <c r="E2711" s="5">
        <v>46</v>
      </c>
      <c r="F2711" t="s" s="2">
        <v>1746</v>
      </c>
      <c r="G2711" t="s" s="2">
        <v>4044</v>
      </c>
      <c r="H2711" s="5">
        <v>851</v>
      </c>
      <c r="I2711" t="s" s="2">
        <v>1139</v>
      </c>
      <c r="J2711" t="s" s="2">
        <v>22</v>
      </c>
      <c r="K2711" t="s" s="2">
        <v>5212</v>
      </c>
      <c r="L2711" t="s" s="2">
        <v>611</v>
      </c>
      <c r="M2711" s="5">
        <v>561753.95</v>
      </c>
      <c r="N2711" s="5">
        <v>6328129</v>
      </c>
      <c r="O2711" t="s" s="2">
        <v>305</v>
      </c>
      <c r="P2711" s="6"/>
      <c r="Q2711" t="s" s="2">
        <v>4046</v>
      </c>
      <c r="R2711" t="s" s="2">
        <f>_xlfn.IFERROR(INDEX('model_byCAP'!$D$2:$D$377,MATCH(Q2711,'model_byCAP'!$A$2:$A$377,0)),0)</f>
        <v>4047</v>
      </c>
    </row>
    <row r="2712" ht="15.35" customHeight="1">
      <c r="A2712" t="s" s="2">
        <v>5213</v>
      </c>
      <c r="B2712" s="4">
        <v>36207</v>
      </c>
      <c r="C2712" s="5">
        <v>750</v>
      </c>
      <c r="D2712" s="5">
        <v>44</v>
      </c>
      <c r="E2712" s="5">
        <v>45</v>
      </c>
      <c r="F2712" t="s" s="2">
        <v>1746</v>
      </c>
      <c r="G2712" t="s" s="2">
        <v>4044</v>
      </c>
      <c r="H2712" s="5">
        <v>851</v>
      </c>
      <c r="I2712" t="s" s="2">
        <v>1139</v>
      </c>
      <c r="J2712" t="s" s="2">
        <v>22</v>
      </c>
      <c r="K2712" t="s" s="2">
        <v>5212</v>
      </c>
      <c r="L2712" t="s" s="2">
        <v>611</v>
      </c>
      <c r="M2712" s="5">
        <v>561641.28</v>
      </c>
      <c r="N2712" s="5">
        <v>6328242.74</v>
      </c>
      <c r="O2712" t="s" s="2">
        <v>305</v>
      </c>
      <c r="P2712" s="6"/>
      <c r="Q2712" t="s" s="2">
        <v>4046</v>
      </c>
      <c r="R2712" t="s" s="2">
        <f>_xlfn.IFERROR(INDEX('model_byCAP'!$D$2:$D$377,MATCH(Q2712,'model_byCAP'!$A$2:$A$377,0)),0)</f>
        <v>4047</v>
      </c>
    </row>
    <row r="2713" ht="15.35" customHeight="1">
      <c r="A2713" t="s" s="2">
        <v>5214</v>
      </c>
      <c r="B2713" s="4">
        <v>35503</v>
      </c>
      <c r="C2713" s="5">
        <v>750</v>
      </c>
      <c r="D2713" s="5">
        <v>44</v>
      </c>
      <c r="E2713" s="5">
        <v>46</v>
      </c>
      <c r="F2713" t="s" s="2">
        <v>1746</v>
      </c>
      <c r="G2713" t="s" s="2">
        <v>4044</v>
      </c>
      <c r="H2713" s="5">
        <v>851</v>
      </c>
      <c r="I2713" t="s" s="2">
        <v>1139</v>
      </c>
      <c r="J2713" t="s" s="2">
        <v>22</v>
      </c>
      <c r="K2713" t="s" s="2">
        <v>5212</v>
      </c>
      <c r="L2713" t="s" s="2">
        <v>4164</v>
      </c>
      <c r="M2713" s="5">
        <v>561562.26</v>
      </c>
      <c r="N2713" s="5">
        <v>6328078.63</v>
      </c>
      <c r="O2713" t="s" s="2">
        <v>305</v>
      </c>
      <c r="P2713" s="6"/>
      <c r="Q2713" t="s" s="2">
        <v>4046</v>
      </c>
      <c r="R2713" t="s" s="2">
        <f>_xlfn.IFERROR(INDEX('model_byCAP'!$D$2:$D$377,MATCH(Q2713,'model_byCAP'!$A$2:$A$377,0)),0)</f>
        <v>4047</v>
      </c>
    </row>
    <row r="2714" ht="15.35" customHeight="1">
      <c r="A2714" t="s" s="2">
        <v>5215</v>
      </c>
      <c r="B2714" s="4">
        <v>35503</v>
      </c>
      <c r="C2714" s="5">
        <v>750</v>
      </c>
      <c r="D2714" s="5">
        <v>44</v>
      </c>
      <c r="E2714" s="5">
        <v>46.5</v>
      </c>
      <c r="F2714" t="s" s="2">
        <v>1746</v>
      </c>
      <c r="G2714" t="s" s="2">
        <v>4044</v>
      </c>
      <c r="H2714" s="5">
        <v>851</v>
      </c>
      <c r="I2714" t="s" s="2">
        <v>1139</v>
      </c>
      <c r="J2714" t="s" s="2">
        <v>22</v>
      </c>
      <c r="K2714" t="s" s="2">
        <v>5212</v>
      </c>
      <c r="L2714" t="s" s="2">
        <v>4162</v>
      </c>
      <c r="M2714" s="5">
        <v>561450.04</v>
      </c>
      <c r="N2714" s="5">
        <v>6328191.71</v>
      </c>
      <c r="O2714" t="s" s="2">
        <v>305</v>
      </c>
      <c r="P2714" s="6"/>
      <c r="Q2714" t="s" s="2">
        <v>4046</v>
      </c>
      <c r="R2714" t="s" s="2">
        <f>_xlfn.IFERROR(INDEX('model_byCAP'!$D$2:$D$377,MATCH(Q2714,'model_byCAP'!$A$2:$A$377,0)),0)</f>
        <v>4047</v>
      </c>
    </row>
    <row r="2715" ht="15.35" customHeight="1">
      <c r="A2715" t="s" s="2">
        <v>5216</v>
      </c>
      <c r="B2715" s="4">
        <v>36139</v>
      </c>
      <c r="C2715" s="5">
        <v>750</v>
      </c>
      <c r="D2715" s="5">
        <v>48</v>
      </c>
      <c r="E2715" s="5">
        <v>45</v>
      </c>
      <c r="F2715" t="s" s="2">
        <v>3604</v>
      </c>
      <c r="G2715" t="s" s="2">
        <v>5217</v>
      </c>
      <c r="H2715" s="5">
        <v>860</v>
      </c>
      <c r="I2715" t="s" s="2">
        <v>449</v>
      </c>
      <c r="J2715" t="s" s="2">
        <v>22</v>
      </c>
      <c r="K2715" t="s" s="2">
        <v>5218</v>
      </c>
      <c r="L2715" t="s" s="2">
        <v>1608</v>
      </c>
      <c r="M2715" s="5">
        <v>554451.17</v>
      </c>
      <c r="N2715" s="5">
        <v>6360149.72</v>
      </c>
      <c r="O2715" t="s" s="2">
        <v>305</v>
      </c>
      <c r="P2715" t="s" s="2">
        <v>5219</v>
      </c>
      <c r="Q2715" t="s" s="2">
        <v>5220</v>
      </c>
      <c r="R2715" t="s" s="2">
        <f>_xlfn.IFERROR(INDEX('model_byCAP'!$D$2:$D$377,MATCH(Q2715,'model_byCAP'!$A$2:$A$377,0)),0)</f>
        <v>4042</v>
      </c>
    </row>
    <row r="2716" ht="15.35" customHeight="1">
      <c r="A2716" t="s" s="2">
        <v>5221</v>
      </c>
      <c r="B2716" s="4">
        <v>36139</v>
      </c>
      <c r="C2716" s="5">
        <v>750</v>
      </c>
      <c r="D2716" s="5">
        <v>48</v>
      </c>
      <c r="E2716" s="5">
        <v>45</v>
      </c>
      <c r="F2716" t="s" s="2">
        <v>3604</v>
      </c>
      <c r="G2716" t="s" s="2">
        <v>5217</v>
      </c>
      <c r="H2716" s="5">
        <v>860</v>
      </c>
      <c r="I2716" t="s" s="2">
        <v>449</v>
      </c>
      <c r="J2716" t="s" s="2">
        <v>22</v>
      </c>
      <c r="K2716" t="s" s="2">
        <v>5218</v>
      </c>
      <c r="L2716" t="s" s="2">
        <v>1537</v>
      </c>
      <c r="M2716" s="5">
        <v>554643.02</v>
      </c>
      <c r="N2716" s="5">
        <v>6359981.06</v>
      </c>
      <c r="O2716" t="s" s="2">
        <v>305</v>
      </c>
      <c r="P2716" t="s" s="2">
        <v>5222</v>
      </c>
      <c r="Q2716" t="s" s="2">
        <v>5220</v>
      </c>
      <c r="R2716" t="s" s="2">
        <f>_xlfn.IFERROR(INDEX('model_byCAP'!$D$2:$D$377,MATCH(Q2716,'model_byCAP'!$A$2:$A$377,0)),0)</f>
        <v>4042</v>
      </c>
    </row>
    <row r="2717" ht="15.35" customHeight="1">
      <c r="A2717" t="s" s="2">
        <v>5223</v>
      </c>
      <c r="B2717" s="4">
        <v>36139</v>
      </c>
      <c r="C2717" s="5">
        <v>750</v>
      </c>
      <c r="D2717" s="5">
        <v>48</v>
      </c>
      <c r="E2717" s="5">
        <v>45</v>
      </c>
      <c r="F2717" t="s" s="2">
        <v>3604</v>
      </c>
      <c r="G2717" t="s" s="2">
        <v>5217</v>
      </c>
      <c r="H2717" s="5">
        <v>860</v>
      </c>
      <c r="I2717" t="s" s="2">
        <v>449</v>
      </c>
      <c r="J2717" t="s" s="2">
        <v>22</v>
      </c>
      <c r="K2717" t="s" s="2">
        <v>5218</v>
      </c>
      <c r="L2717" t="s" s="2">
        <v>403</v>
      </c>
      <c r="M2717" s="5">
        <v>554436.5600000001</v>
      </c>
      <c r="N2717" s="5">
        <v>6359894.84</v>
      </c>
      <c r="O2717" t="s" s="2">
        <v>305</v>
      </c>
      <c r="P2717" t="s" s="2">
        <v>5224</v>
      </c>
      <c r="Q2717" t="s" s="2">
        <v>5220</v>
      </c>
      <c r="R2717" t="s" s="2">
        <f>_xlfn.IFERROR(INDEX('model_byCAP'!$D$2:$D$377,MATCH(Q2717,'model_byCAP'!$A$2:$A$377,0)),0)</f>
        <v>4042</v>
      </c>
    </row>
    <row r="2718" ht="15.35" customHeight="1">
      <c r="A2718" t="s" s="2">
        <v>5225</v>
      </c>
      <c r="B2718" s="4">
        <v>36139</v>
      </c>
      <c r="C2718" s="5">
        <v>750</v>
      </c>
      <c r="D2718" s="5">
        <v>48</v>
      </c>
      <c r="E2718" s="5">
        <v>45</v>
      </c>
      <c r="F2718" t="s" s="2">
        <v>3604</v>
      </c>
      <c r="G2718" t="s" s="2">
        <v>5217</v>
      </c>
      <c r="H2718" s="5">
        <v>860</v>
      </c>
      <c r="I2718" t="s" s="2">
        <v>449</v>
      </c>
      <c r="J2718" t="s" s="2">
        <v>22</v>
      </c>
      <c r="K2718" t="s" s="2">
        <v>5218</v>
      </c>
      <c r="L2718" t="s" s="2">
        <v>4650</v>
      </c>
      <c r="M2718" s="5">
        <v>554629.11</v>
      </c>
      <c r="N2718" s="5">
        <v>6359727.13</v>
      </c>
      <c r="O2718" t="s" s="2">
        <v>305</v>
      </c>
      <c r="P2718" t="s" s="2">
        <v>5226</v>
      </c>
      <c r="Q2718" t="s" s="2">
        <v>5220</v>
      </c>
      <c r="R2718" t="s" s="2">
        <f>_xlfn.IFERROR(INDEX('model_byCAP'!$D$2:$D$377,MATCH(Q2718,'model_byCAP'!$A$2:$A$377,0)),0)</f>
        <v>4042</v>
      </c>
    </row>
    <row r="2719" ht="15.35" customHeight="1">
      <c r="A2719" t="s" s="2">
        <v>5227</v>
      </c>
      <c r="B2719" s="4">
        <v>36091</v>
      </c>
      <c r="C2719" s="5">
        <v>750</v>
      </c>
      <c r="D2719" s="5">
        <v>44</v>
      </c>
      <c r="E2719" s="5">
        <v>40</v>
      </c>
      <c r="F2719" t="s" s="2">
        <v>3604</v>
      </c>
      <c r="G2719" t="s" s="2">
        <v>4072</v>
      </c>
      <c r="H2719" s="5">
        <v>860</v>
      </c>
      <c r="I2719" t="s" s="2">
        <v>449</v>
      </c>
      <c r="J2719" t="s" s="2">
        <v>22</v>
      </c>
      <c r="K2719" t="s" s="2">
        <v>5228</v>
      </c>
      <c r="L2719" t="s" s="2">
        <v>524</v>
      </c>
      <c r="M2719" s="5">
        <v>560731.26</v>
      </c>
      <c r="N2719" s="5">
        <v>6379304.47</v>
      </c>
      <c r="O2719" t="s" s="2">
        <v>305</v>
      </c>
      <c r="P2719" t="s" s="2">
        <v>5229</v>
      </c>
      <c r="Q2719" t="s" s="2">
        <v>4075</v>
      </c>
      <c r="R2719" t="s" s="2">
        <f>_xlfn.IFERROR(INDEX('model_byCAP'!$D$2:$D$377,MATCH(Q2719,'model_byCAP'!$A$2:$A$377,0)),0)</f>
        <v>4076</v>
      </c>
    </row>
    <row r="2720" ht="15.35" customHeight="1">
      <c r="A2720" t="s" s="2">
        <v>5230</v>
      </c>
      <c r="B2720" s="4">
        <v>36095</v>
      </c>
      <c r="C2720" s="5">
        <v>750</v>
      </c>
      <c r="D2720" s="5">
        <v>44</v>
      </c>
      <c r="E2720" s="5">
        <v>40</v>
      </c>
      <c r="F2720" t="s" s="2">
        <v>3604</v>
      </c>
      <c r="G2720" t="s" s="2">
        <v>4072</v>
      </c>
      <c r="H2720" s="5">
        <v>860</v>
      </c>
      <c r="I2720" t="s" s="2">
        <v>449</v>
      </c>
      <c r="J2720" t="s" s="2">
        <v>22</v>
      </c>
      <c r="K2720" t="s" s="2">
        <v>5228</v>
      </c>
      <c r="L2720" t="s" s="2">
        <v>2806</v>
      </c>
      <c r="M2720" s="5">
        <v>560898.5699999999</v>
      </c>
      <c r="N2720" s="5">
        <v>6379120.37</v>
      </c>
      <c r="O2720" t="s" s="2">
        <v>305</v>
      </c>
      <c r="P2720" t="s" s="2">
        <v>5231</v>
      </c>
      <c r="Q2720" t="s" s="2">
        <v>4075</v>
      </c>
      <c r="R2720" t="s" s="2">
        <f>_xlfn.IFERROR(INDEX('model_byCAP'!$D$2:$D$377,MATCH(Q2720,'model_byCAP'!$A$2:$A$377,0)),0)</f>
        <v>4076</v>
      </c>
    </row>
    <row r="2721" ht="15.35" customHeight="1">
      <c r="A2721" t="s" s="2">
        <v>5232</v>
      </c>
      <c r="B2721" s="4">
        <v>36091</v>
      </c>
      <c r="C2721" s="5">
        <v>750</v>
      </c>
      <c r="D2721" s="5">
        <v>44</v>
      </c>
      <c r="E2721" s="5">
        <v>40</v>
      </c>
      <c r="F2721" t="s" s="2">
        <v>3604</v>
      </c>
      <c r="G2721" t="s" s="2">
        <v>4072</v>
      </c>
      <c r="H2721" s="5">
        <v>860</v>
      </c>
      <c r="I2721" t="s" s="2">
        <v>449</v>
      </c>
      <c r="J2721" t="s" s="2">
        <v>22</v>
      </c>
      <c r="K2721" t="s" s="2">
        <v>5228</v>
      </c>
      <c r="L2721" t="s" s="2">
        <v>5233</v>
      </c>
      <c r="M2721" s="5">
        <v>560650.25</v>
      </c>
      <c r="N2721" s="5">
        <v>6379095.47</v>
      </c>
      <c r="O2721" t="s" s="2">
        <v>305</v>
      </c>
      <c r="P2721" t="s" s="2">
        <v>5234</v>
      </c>
      <c r="Q2721" t="s" s="2">
        <v>4075</v>
      </c>
      <c r="R2721" t="s" s="2">
        <f>_xlfn.IFERROR(INDEX('model_byCAP'!$D$2:$D$377,MATCH(Q2721,'model_byCAP'!$A$2:$A$377,0)),0)</f>
        <v>4076</v>
      </c>
    </row>
    <row r="2722" ht="15.35" customHeight="1">
      <c r="A2722" t="s" s="2">
        <v>5235</v>
      </c>
      <c r="B2722" s="4">
        <v>36803</v>
      </c>
      <c r="C2722" s="5">
        <v>750</v>
      </c>
      <c r="D2722" s="5">
        <v>48</v>
      </c>
      <c r="E2722" s="5">
        <v>45</v>
      </c>
      <c r="F2722" t="s" s="2">
        <v>3604</v>
      </c>
      <c r="G2722" t="s" s="2">
        <v>5217</v>
      </c>
      <c r="H2722" s="5">
        <v>860</v>
      </c>
      <c r="I2722" t="s" s="2">
        <v>449</v>
      </c>
      <c r="J2722" t="s" s="2">
        <v>22</v>
      </c>
      <c r="K2722" t="s" s="2">
        <v>5236</v>
      </c>
      <c r="L2722" t="s" s="2">
        <v>481</v>
      </c>
      <c r="M2722" s="5">
        <v>552650.23</v>
      </c>
      <c r="N2722" s="5">
        <v>6369133.1</v>
      </c>
      <c r="O2722" t="s" s="2">
        <v>305</v>
      </c>
      <c r="P2722" t="s" s="2">
        <v>5237</v>
      </c>
      <c r="Q2722" t="s" s="2">
        <v>5220</v>
      </c>
      <c r="R2722" t="s" s="2">
        <f>_xlfn.IFERROR(INDEX('model_byCAP'!$D$2:$D$377,MATCH(Q2722,'model_byCAP'!$A$2:$A$377,0)),0)</f>
        <v>4042</v>
      </c>
    </row>
    <row r="2723" ht="15.35" customHeight="1">
      <c r="A2723" t="s" s="2">
        <v>5238</v>
      </c>
      <c r="B2723" s="4">
        <v>36803</v>
      </c>
      <c r="C2723" s="5">
        <v>750</v>
      </c>
      <c r="D2723" s="5">
        <v>48</v>
      </c>
      <c r="E2723" s="5">
        <v>45</v>
      </c>
      <c r="F2723" t="s" s="2">
        <v>3604</v>
      </c>
      <c r="G2723" t="s" s="2">
        <v>5217</v>
      </c>
      <c r="H2723" s="5">
        <v>860</v>
      </c>
      <c r="I2723" t="s" s="2">
        <v>449</v>
      </c>
      <c r="J2723" t="s" s="2">
        <v>22</v>
      </c>
      <c r="K2723" t="s" s="2">
        <v>5236</v>
      </c>
      <c r="L2723" t="s" s="2">
        <v>995</v>
      </c>
      <c r="M2723" s="5">
        <v>552652.21</v>
      </c>
      <c r="N2723" s="5">
        <v>6368933.23</v>
      </c>
      <c r="O2723" t="s" s="2">
        <v>305</v>
      </c>
      <c r="P2723" t="s" s="2">
        <v>5239</v>
      </c>
      <c r="Q2723" t="s" s="2">
        <v>5220</v>
      </c>
      <c r="R2723" t="s" s="2">
        <f>_xlfn.IFERROR(INDEX('model_byCAP'!$D$2:$D$377,MATCH(Q2723,'model_byCAP'!$A$2:$A$377,0)),0)</f>
        <v>4042</v>
      </c>
    </row>
    <row r="2724" ht="15.35" customHeight="1">
      <c r="A2724" t="s" s="2">
        <v>5240</v>
      </c>
      <c r="B2724" s="4">
        <v>36803</v>
      </c>
      <c r="C2724" s="5">
        <v>750</v>
      </c>
      <c r="D2724" s="5">
        <v>48</v>
      </c>
      <c r="E2724" s="5">
        <v>45</v>
      </c>
      <c r="F2724" t="s" s="2">
        <v>3604</v>
      </c>
      <c r="G2724" t="s" s="2">
        <v>5217</v>
      </c>
      <c r="H2724" s="5">
        <v>860</v>
      </c>
      <c r="I2724" t="s" s="2">
        <v>449</v>
      </c>
      <c r="J2724" t="s" s="2">
        <v>22</v>
      </c>
      <c r="K2724" t="s" s="2">
        <v>5236</v>
      </c>
      <c r="L2724" t="s" s="2">
        <v>481</v>
      </c>
      <c r="M2724" s="5">
        <v>552658.1</v>
      </c>
      <c r="N2724" s="5">
        <v>6368732.6</v>
      </c>
      <c r="O2724" t="s" s="2">
        <v>305</v>
      </c>
      <c r="P2724" t="s" s="2">
        <v>5241</v>
      </c>
      <c r="Q2724" t="s" s="2">
        <v>5220</v>
      </c>
      <c r="R2724" t="s" s="2">
        <f>_xlfn.IFERROR(INDEX('model_byCAP'!$D$2:$D$377,MATCH(Q2724,'model_byCAP'!$A$2:$A$377,0)),0)</f>
        <v>4042</v>
      </c>
    </row>
    <row r="2725" ht="15.35" customHeight="1">
      <c r="A2725" t="s" s="2">
        <v>5242</v>
      </c>
      <c r="B2725" s="4">
        <v>36803</v>
      </c>
      <c r="C2725" s="5">
        <v>750</v>
      </c>
      <c r="D2725" s="5">
        <v>48</v>
      </c>
      <c r="E2725" s="5">
        <v>45</v>
      </c>
      <c r="F2725" t="s" s="2">
        <v>3604</v>
      </c>
      <c r="G2725" t="s" s="2">
        <v>5217</v>
      </c>
      <c r="H2725" s="5">
        <v>860</v>
      </c>
      <c r="I2725" t="s" s="2">
        <v>449</v>
      </c>
      <c r="J2725" t="s" s="2">
        <v>22</v>
      </c>
      <c r="K2725" t="s" s="2">
        <v>5236</v>
      </c>
      <c r="L2725" t="s" s="2">
        <v>481</v>
      </c>
      <c r="M2725" s="5">
        <v>552657.3</v>
      </c>
      <c r="N2725" s="5">
        <v>6368533.53</v>
      </c>
      <c r="O2725" t="s" s="2">
        <v>305</v>
      </c>
      <c r="P2725" t="s" s="2">
        <v>5243</v>
      </c>
      <c r="Q2725" t="s" s="2">
        <v>5220</v>
      </c>
      <c r="R2725" t="s" s="2">
        <f>_xlfn.IFERROR(INDEX('model_byCAP'!$D$2:$D$377,MATCH(Q2725,'model_byCAP'!$A$2:$A$377,0)),0)</f>
        <v>4042</v>
      </c>
    </row>
    <row r="2726" ht="15.35" customHeight="1">
      <c r="A2726" t="s" s="2">
        <v>5244</v>
      </c>
      <c r="B2726" s="4">
        <v>36474</v>
      </c>
      <c r="C2726" s="5">
        <v>750</v>
      </c>
      <c r="D2726" s="5">
        <v>44</v>
      </c>
      <c r="E2726" s="5">
        <v>40</v>
      </c>
      <c r="F2726" t="s" s="2">
        <v>3604</v>
      </c>
      <c r="G2726" t="s" s="2">
        <v>5245</v>
      </c>
      <c r="H2726" s="5">
        <v>860</v>
      </c>
      <c r="I2726" t="s" s="2">
        <v>449</v>
      </c>
      <c r="J2726" t="s" s="2">
        <v>22</v>
      </c>
      <c r="K2726" t="s" s="2">
        <v>5246</v>
      </c>
      <c r="L2726" t="s" s="2">
        <v>5247</v>
      </c>
      <c r="M2726" s="5">
        <v>568698.7</v>
      </c>
      <c r="N2726" s="5">
        <v>6381589.32</v>
      </c>
      <c r="O2726" t="s" s="2">
        <v>305</v>
      </c>
      <c r="P2726" t="s" s="2">
        <v>5248</v>
      </c>
      <c r="Q2726" t="s" s="2">
        <v>5249</v>
      </c>
      <c r="R2726" t="s" s="2">
        <f>_xlfn.IFERROR(INDEX('model_byCAP'!$D$2:$D$377,MATCH(Q2726,'model_byCAP'!$A$2:$A$377,0)),0)</f>
        <v>4042</v>
      </c>
    </row>
    <row r="2727" ht="15.35" customHeight="1">
      <c r="A2727" t="s" s="2">
        <v>5250</v>
      </c>
      <c r="B2727" s="4">
        <v>36474</v>
      </c>
      <c r="C2727" s="5">
        <v>750</v>
      </c>
      <c r="D2727" s="5">
        <v>44</v>
      </c>
      <c r="E2727" s="5">
        <v>40</v>
      </c>
      <c r="F2727" t="s" s="2">
        <v>3604</v>
      </c>
      <c r="G2727" t="s" s="2">
        <v>5245</v>
      </c>
      <c r="H2727" s="5">
        <v>860</v>
      </c>
      <c r="I2727" t="s" s="2">
        <v>449</v>
      </c>
      <c r="J2727" t="s" s="2">
        <v>22</v>
      </c>
      <c r="K2727" t="s" s="2">
        <v>5246</v>
      </c>
      <c r="L2727" t="s" s="2">
        <v>5251</v>
      </c>
      <c r="M2727" s="5">
        <v>568948.76</v>
      </c>
      <c r="N2727" s="5">
        <v>6381589.59</v>
      </c>
      <c r="O2727" t="s" s="2">
        <v>305</v>
      </c>
      <c r="P2727" t="s" s="2">
        <v>5252</v>
      </c>
      <c r="Q2727" t="s" s="2">
        <v>5249</v>
      </c>
      <c r="R2727" t="s" s="2">
        <f>_xlfn.IFERROR(INDEX('model_byCAP'!$D$2:$D$377,MATCH(Q2727,'model_byCAP'!$A$2:$A$377,0)),0)</f>
        <v>4042</v>
      </c>
    </row>
    <row r="2728" ht="15.35" customHeight="1">
      <c r="A2728" t="s" s="2">
        <v>5253</v>
      </c>
      <c r="B2728" s="4">
        <v>36528</v>
      </c>
      <c r="C2728" s="5">
        <v>750</v>
      </c>
      <c r="D2728" s="5">
        <v>44</v>
      </c>
      <c r="E2728" s="5">
        <v>40</v>
      </c>
      <c r="F2728" t="s" s="2">
        <v>3604</v>
      </c>
      <c r="G2728" t="s" s="2">
        <v>5245</v>
      </c>
      <c r="H2728" s="5">
        <v>860</v>
      </c>
      <c r="I2728" t="s" s="2">
        <v>449</v>
      </c>
      <c r="J2728" t="s" s="2">
        <v>22</v>
      </c>
      <c r="K2728" t="s" s="2">
        <v>5246</v>
      </c>
      <c r="L2728" t="s" s="2">
        <v>5254</v>
      </c>
      <c r="M2728" s="5">
        <v>569198.67</v>
      </c>
      <c r="N2728" s="5">
        <v>6381589.78</v>
      </c>
      <c r="O2728" t="s" s="2">
        <v>305</v>
      </c>
      <c r="P2728" t="s" s="2">
        <v>5255</v>
      </c>
      <c r="Q2728" t="s" s="2">
        <v>5249</v>
      </c>
      <c r="R2728" t="s" s="2">
        <f>_xlfn.IFERROR(INDEX('model_byCAP'!$D$2:$D$377,MATCH(Q2728,'model_byCAP'!$A$2:$A$377,0)),0)</f>
        <v>4042</v>
      </c>
    </row>
    <row r="2729" ht="15.35" customHeight="1">
      <c r="A2729" t="s" s="2">
        <v>5256</v>
      </c>
      <c r="B2729" s="4">
        <v>36511</v>
      </c>
      <c r="C2729" s="5">
        <v>750</v>
      </c>
      <c r="D2729" s="5">
        <v>44</v>
      </c>
      <c r="E2729" s="5">
        <v>40</v>
      </c>
      <c r="F2729" t="s" s="2">
        <v>3604</v>
      </c>
      <c r="G2729" t="s" s="2">
        <v>5245</v>
      </c>
      <c r="H2729" s="5">
        <v>860</v>
      </c>
      <c r="I2729" t="s" s="2">
        <v>449</v>
      </c>
      <c r="J2729" t="s" s="2">
        <v>22</v>
      </c>
      <c r="K2729" t="s" s="2">
        <v>5246</v>
      </c>
      <c r="L2729" t="s" s="2">
        <v>5257</v>
      </c>
      <c r="M2729" s="5">
        <v>569447.88</v>
      </c>
      <c r="N2729" s="5">
        <v>6381590.03</v>
      </c>
      <c r="O2729" t="s" s="2">
        <v>305</v>
      </c>
      <c r="P2729" t="s" s="2">
        <v>5258</v>
      </c>
      <c r="Q2729" t="s" s="2">
        <v>5249</v>
      </c>
      <c r="R2729" t="s" s="2">
        <f>_xlfn.IFERROR(INDEX('model_byCAP'!$D$2:$D$377,MATCH(Q2729,'model_byCAP'!$A$2:$A$377,0)),0)</f>
        <v>4042</v>
      </c>
    </row>
    <row r="2730" ht="15.35" customHeight="1">
      <c r="A2730" t="s" s="2">
        <v>5259</v>
      </c>
      <c r="B2730" s="4">
        <v>36342</v>
      </c>
      <c r="C2730" s="5">
        <v>750</v>
      </c>
      <c r="D2730" s="5">
        <v>48</v>
      </c>
      <c r="E2730" s="5">
        <v>45</v>
      </c>
      <c r="F2730" t="s" s="2">
        <v>1746</v>
      </c>
      <c r="G2730" t="s" s="2">
        <v>4044</v>
      </c>
      <c r="H2730" s="5">
        <v>860</v>
      </c>
      <c r="I2730" t="s" s="2">
        <v>449</v>
      </c>
      <c r="J2730" t="s" s="2">
        <v>22</v>
      </c>
      <c r="K2730" t="s" s="2">
        <v>5260</v>
      </c>
      <c r="L2730" t="s" s="2">
        <v>3818</v>
      </c>
      <c r="M2730" s="5">
        <v>549360.98</v>
      </c>
      <c r="N2730" s="5">
        <v>6355984.81</v>
      </c>
      <c r="O2730" t="s" s="2">
        <v>305</v>
      </c>
      <c r="P2730" s="5">
        <v>81</v>
      </c>
      <c r="Q2730" t="s" s="2">
        <v>4046</v>
      </c>
      <c r="R2730" t="s" s="2">
        <f>_xlfn.IFERROR(INDEX('model_byCAP'!$D$2:$D$377,MATCH(Q2730,'model_byCAP'!$A$2:$A$377,0)),0)</f>
        <v>4047</v>
      </c>
    </row>
    <row r="2731" ht="15.35" customHeight="1">
      <c r="A2731" t="s" s="2">
        <v>5261</v>
      </c>
      <c r="B2731" s="4">
        <v>36397</v>
      </c>
      <c r="C2731" s="5">
        <v>750</v>
      </c>
      <c r="D2731" s="5">
        <v>48</v>
      </c>
      <c r="E2731" s="5">
        <v>45</v>
      </c>
      <c r="F2731" t="s" s="2">
        <v>1746</v>
      </c>
      <c r="G2731" t="s" s="2">
        <v>4044</v>
      </c>
      <c r="H2731" s="5">
        <v>860</v>
      </c>
      <c r="I2731" t="s" s="2">
        <v>449</v>
      </c>
      <c r="J2731" t="s" s="2">
        <v>22</v>
      </c>
      <c r="K2731" t="s" s="2">
        <v>5262</v>
      </c>
      <c r="L2731" t="s" s="2">
        <v>1105</v>
      </c>
      <c r="M2731" s="5">
        <v>549620.62</v>
      </c>
      <c r="N2731" s="5">
        <v>6355819.24</v>
      </c>
      <c r="O2731" t="s" s="2">
        <v>305</v>
      </c>
      <c r="P2731" s="5">
        <v>82</v>
      </c>
      <c r="Q2731" t="s" s="2">
        <v>4046</v>
      </c>
      <c r="R2731" t="s" s="2">
        <f>_xlfn.IFERROR(INDEX('model_byCAP'!$D$2:$D$377,MATCH(Q2731,'model_byCAP'!$A$2:$A$377,0)),0)</f>
        <v>4047</v>
      </c>
    </row>
    <row r="2732" ht="15.35" customHeight="1">
      <c r="A2732" t="s" s="2">
        <v>5263</v>
      </c>
      <c r="B2732" s="4">
        <v>36342</v>
      </c>
      <c r="C2732" s="5">
        <v>750</v>
      </c>
      <c r="D2732" s="5">
        <v>48</v>
      </c>
      <c r="E2732" s="5">
        <v>45</v>
      </c>
      <c r="F2732" t="s" s="2">
        <v>1746</v>
      </c>
      <c r="G2732" t="s" s="2">
        <v>4044</v>
      </c>
      <c r="H2732" s="5">
        <v>860</v>
      </c>
      <c r="I2732" t="s" s="2">
        <v>449</v>
      </c>
      <c r="J2732" t="s" s="2">
        <v>22</v>
      </c>
      <c r="K2732" t="s" s="2">
        <v>5262</v>
      </c>
      <c r="L2732" t="s" s="2">
        <v>481</v>
      </c>
      <c r="M2732" s="5">
        <v>549879.99</v>
      </c>
      <c r="N2732" s="5">
        <v>6355654.05</v>
      </c>
      <c r="O2732" t="s" s="2">
        <v>305</v>
      </c>
      <c r="P2732" s="5">
        <v>85</v>
      </c>
      <c r="Q2732" t="s" s="2">
        <v>4046</v>
      </c>
      <c r="R2732" t="s" s="2">
        <f>_xlfn.IFERROR(INDEX('model_byCAP'!$D$2:$D$377,MATCH(Q2732,'model_byCAP'!$A$2:$A$377,0)),0)</f>
        <v>4047</v>
      </c>
    </row>
    <row r="2733" ht="15.35" customHeight="1">
      <c r="A2733" t="s" s="2">
        <v>5264</v>
      </c>
      <c r="B2733" s="4">
        <v>36342</v>
      </c>
      <c r="C2733" s="5">
        <v>750</v>
      </c>
      <c r="D2733" s="5">
        <v>48</v>
      </c>
      <c r="E2733" s="5">
        <v>45</v>
      </c>
      <c r="F2733" t="s" s="2">
        <v>1746</v>
      </c>
      <c r="G2733" t="s" s="2">
        <v>4044</v>
      </c>
      <c r="H2733" s="5">
        <v>860</v>
      </c>
      <c r="I2733" t="s" s="2">
        <v>449</v>
      </c>
      <c r="J2733" t="s" s="2">
        <v>22</v>
      </c>
      <c r="K2733" t="s" s="2">
        <v>5262</v>
      </c>
      <c r="L2733" t="s" s="2">
        <v>481</v>
      </c>
      <c r="M2733" s="5">
        <v>550139.6899999999</v>
      </c>
      <c r="N2733" s="5">
        <v>6355488.36</v>
      </c>
      <c r="O2733" t="s" s="2">
        <v>305</v>
      </c>
      <c r="P2733" s="5">
        <v>83</v>
      </c>
      <c r="Q2733" t="s" s="2">
        <v>4046</v>
      </c>
      <c r="R2733" t="s" s="2">
        <f>_xlfn.IFERROR(INDEX('model_byCAP'!$D$2:$D$377,MATCH(Q2733,'model_byCAP'!$A$2:$A$377,0)),0)</f>
        <v>4047</v>
      </c>
    </row>
    <row r="2734" ht="15.35" customHeight="1">
      <c r="A2734" t="s" s="2">
        <v>5265</v>
      </c>
      <c r="B2734" s="4">
        <v>36342</v>
      </c>
      <c r="C2734" s="5">
        <v>750</v>
      </c>
      <c r="D2734" s="5">
        <v>48</v>
      </c>
      <c r="E2734" s="5">
        <v>45</v>
      </c>
      <c r="F2734" t="s" s="2">
        <v>1746</v>
      </c>
      <c r="G2734" t="s" s="2">
        <v>4044</v>
      </c>
      <c r="H2734" s="5">
        <v>860</v>
      </c>
      <c r="I2734" t="s" s="2">
        <v>449</v>
      </c>
      <c r="J2734" t="s" s="2">
        <v>22</v>
      </c>
      <c r="K2734" t="s" s="2">
        <v>5262</v>
      </c>
      <c r="L2734" t="s" s="2">
        <v>481</v>
      </c>
      <c r="M2734" s="5">
        <v>550399.26</v>
      </c>
      <c r="N2734" s="5">
        <v>6355322.97</v>
      </c>
      <c r="O2734" t="s" s="2">
        <v>305</v>
      </c>
      <c r="P2734" s="5">
        <v>84</v>
      </c>
      <c r="Q2734" t="s" s="2">
        <v>4046</v>
      </c>
      <c r="R2734" t="s" s="2">
        <f>_xlfn.IFERROR(INDEX('model_byCAP'!$D$2:$D$377,MATCH(Q2734,'model_byCAP'!$A$2:$A$377,0)),0)</f>
        <v>4047</v>
      </c>
    </row>
    <row r="2735" ht="15.35" customHeight="1">
      <c r="A2735" t="s" s="2">
        <v>5266</v>
      </c>
      <c r="B2735" s="4">
        <v>36342</v>
      </c>
      <c r="C2735" s="5">
        <v>750</v>
      </c>
      <c r="D2735" s="5">
        <v>48</v>
      </c>
      <c r="E2735" s="5">
        <v>45</v>
      </c>
      <c r="F2735" t="s" s="2">
        <v>1746</v>
      </c>
      <c r="G2735" t="s" s="2">
        <v>4044</v>
      </c>
      <c r="H2735" s="5">
        <v>860</v>
      </c>
      <c r="I2735" t="s" s="2">
        <v>449</v>
      </c>
      <c r="J2735" t="s" s="2">
        <v>22</v>
      </c>
      <c r="K2735" t="s" s="2">
        <v>5262</v>
      </c>
      <c r="L2735" t="s" s="2">
        <v>481</v>
      </c>
      <c r="M2735" s="5">
        <v>550659.4300000001</v>
      </c>
      <c r="N2735" s="5">
        <v>6355157.14</v>
      </c>
      <c r="O2735" t="s" s="2">
        <v>305</v>
      </c>
      <c r="P2735" s="5">
        <v>86</v>
      </c>
      <c r="Q2735" t="s" s="2">
        <v>4046</v>
      </c>
      <c r="R2735" t="s" s="2">
        <f>_xlfn.IFERROR(INDEX('model_byCAP'!$D$2:$D$377,MATCH(Q2735,'model_byCAP'!$A$2:$A$377,0)),0)</f>
        <v>4047</v>
      </c>
    </row>
    <row r="2736" ht="15.35" customHeight="1">
      <c r="A2736" t="s" s="2">
        <v>5267</v>
      </c>
      <c r="B2736" s="4">
        <v>36342</v>
      </c>
      <c r="C2736" s="5">
        <v>750</v>
      </c>
      <c r="D2736" s="5">
        <v>48</v>
      </c>
      <c r="E2736" s="5">
        <v>45</v>
      </c>
      <c r="F2736" t="s" s="2">
        <v>1746</v>
      </c>
      <c r="G2736" t="s" s="2">
        <v>4044</v>
      </c>
      <c r="H2736" s="5">
        <v>860</v>
      </c>
      <c r="I2736" t="s" s="2">
        <v>449</v>
      </c>
      <c r="J2736" t="s" s="2">
        <v>22</v>
      </c>
      <c r="K2736" t="s" s="2">
        <v>5262</v>
      </c>
      <c r="L2736" t="s" s="2">
        <v>481</v>
      </c>
      <c r="M2736" s="5">
        <v>550918.85</v>
      </c>
      <c r="N2736" s="5">
        <v>6354991.47</v>
      </c>
      <c r="O2736" t="s" s="2">
        <v>305</v>
      </c>
      <c r="P2736" s="5">
        <v>87</v>
      </c>
      <c r="Q2736" t="s" s="2">
        <v>4046</v>
      </c>
      <c r="R2736" t="s" s="2">
        <f>_xlfn.IFERROR(INDEX('model_byCAP'!$D$2:$D$377,MATCH(Q2736,'model_byCAP'!$A$2:$A$377,0)),0)</f>
        <v>4047</v>
      </c>
    </row>
    <row r="2737" ht="15.35" customHeight="1">
      <c r="A2737" t="s" s="2">
        <v>5268</v>
      </c>
      <c r="B2737" s="4">
        <v>36342</v>
      </c>
      <c r="C2737" s="5">
        <v>750</v>
      </c>
      <c r="D2737" s="5">
        <v>48</v>
      </c>
      <c r="E2737" s="5">
        <v>45</v>
      </c>
      <c r="F2737" t="s" s="2">
        <v>1746</v>
      </c>
      <c r="G2737" t="s" s="2">
        <v>4044</v>
      </c>
      <c r="H2737" s="5">
        <v>860</v>
      </c>
      <c r="I2737" t="s" s="2">
        <v>449</v>
      </c>
      <c r="J2737" t="s" s="2">
        <v>22</v>
      </c>
      <c r="K2737" t="s" s="2">
        <v>5262</v>
      </c>
      <c r="L2737" t="s" s="2">
        <v>481</v>
      </c>
      <c r="M2737" s="5">
        <v>551178.1800000001</v>
      </c>
      <c r="N2737" s="5">
        <v>6354825.98</v>
      </c>
      <c r="O2737" t="s" s="2">
        <v>305</v>
      </c>
      <c r="P2737" s="5">
        <v>88</v>
      </c>
      <c r="Q2737" t="s" s="2">
        <v>4046</v>
      </c>
      <c r="R2737" t="s" s="2">
        <f>_xlfn.IFERROR(INDEX('model_byCAP'!$D$2:$D$377,MATCH(Q2737,'model_byCAP'!$A$2:$A$377,0)),0)</f>
        <v>4047</v>
      </c>
    </row>
    <row r="2738" ht="15.35" customHeight="1">
      <c r="A2738" t="s" s="2">
        <v>5269</v>
      </c>
      <c r="B2738" s="4">
        <v>36451</v>
      </c>
      <c r="C2738" s="5">
        <v>660</v>
      </c>
      <c r="D2738" s="5">
        <v>47</v>
      </c>
      <c r="E2738" s="5">
        <v>40</v>
      </c>
      <c r="F2738" t="s" s="2">
        <v>301</v>
      </c>
      <c r="G2738" t="s" s="2">
        <v>5270</v>
      </c>
      <c r="H2738" s="5">
        <v>316</v>
      </c>
      <c r="I2738" t="s" s="2">
        <v>1769</v>
      </c>
      <c r="J2738" t="s" s="2">
        <v>22</v>
      </c>
      <c r="K2738" t="s" s="2">
        <v>5271</v>
      </c>
      <c r="L2738" t="s" s="2">
        <v>1306</v>
      </c>
      <c r="M2738" s="5">
        <v>665922.6899999999</v>
      </c>
      <c r="N2738" s="5">
        <v>6169792.34</v>
      </c>
      <c r="O2738" t="s" s="2">
        <v>305</v>
      </c>
      <c r="P2738" s="5">
        <v>40039722</v>
      </c>
      <c r="Q2738" t="s" s="2">
        <v>5272</v>
      </c>
      <c r="R2738" t="s" s="2">
        <f>_xlfn.IFERROR(INDEX('model_byCAP'!$D$2:$D$377,MATCH(Q2738,'model_byCAP'!$A$2:$A$377,0)),0)</f>
        <v>4861</v>
      </c>
    </row>
    <row r="2739" ht="15.35" customHeight="1">
      <c r="A2739" t="s" s="2">
        <v>5273</v>
      </c>
      <c r="B2739" s="4">
        <v>36486</v>
      </c>
      <c r="C2739" s="5">
        <v>660</v>
      </c>
      <c r="D2739" s="5">
        <v>47</v>
      </c>
      <c r="E2739" s="5">
        <v>40</v>
      </c>
      <c r="F2739" t="s" s="2">
        <v>301</v>
      </c>
      <c r="G2739" t="s" s="2">
        <v>5270</v>
      </c>
      <c r="H2739" s="5">
        <v>316</v>
      </c>
      <c r="I2739" t="s" s="2">
        <v>1769</v>
      </c>
      <c r="J2739" t="s" s="2">
        <v>22</v>
      </c>
      <c r="K2739" t="s" s="2">
        <v>5271</v>
      </c>
      <c r="L2739" t="s" s="2">
        <v>511</v>
      </c>
      <c r="M2739" s="5">
        <v>665921.04</v>
      </c>
      <c r="N2739" s="5">
        <v>6169923.98</v>
      </c>
      <c r="O2739" t="s" s="2">
        <v>305</v>
      </c>
      <c r="P2739" s="5">
        <v>40039713</v>
      </c>
      <c r="Q2739" t="s" s="2">
        <v>5272</v>
      </c>
      <c r="R2739" t="s" s="2">
        <f>_xlfn.IFERROR(INDEX('model_byCAP'!$D$2:$D$377,MATCH(Q2739,'model_byCAP'!$A$2:$A$377,0)),0)</f>
        <v>4861</v>
      </c>
    </row>
    <row r="2740" ht="15.35" customHeight="1">
      <c r="A2740" t="s" s="2">
        <v>5274</v>
      </c>
      <c r="B2740" s="4">
        <v>36493</v>
      </c>
      <c r="C2740" s="5">
        <v>660</v>
      </c>
      <c r="D2740" s="5">
        <v>47</v>
      </c>
      <c r="E2740" s="5">
        <v>40</v>
      </c>
      <c r="F2740" t="s" s="2">
        <v>301</v>
      </c>
      <c r="G2740" t="s" s="2">
        <v>5270</v>
      </c>
      <c r="H2740" s="5">
        <v>316</v>
      </c>
      <c r="I2740" t="s" s="2">
        <v>1769</v>
      </c>
      <c r="J2740" t="s" s="2">
        <v>22</v>
      </c>
      <c r="K2740" t="s" s="2">
        <v>5271</v>
      </c>
      <c r="L2740" t="s" s="2">
        <v>1596</v>
      </c>
      <c r="M2740" s="5">
        <v>665924.88</v>
      </c>
      <c r="N2740" s="5">
        <v>6169658.68</v>
      </c>
      <c r="O2740" t="s" s="2">
        <v>305</v>
      </c>
      <c r="P2740" s="5">
        <v>40039729</v>
      </c>
      <c r="Q2740" t="s" s="2">
        <v>5272</v>
      </c>
      <c r="R2740" t="s" s="2">
        <f>_xlfn.IFERROR(INDEX('model_byCAP'!$D$2:$D$377,MATCH(Q2740,'model_byCAP'!$A$2:$A$377,0)),0)</f>
        <v>4861</v>
      </c>
    </row>
    <row r="2741" ht="15.35" customHeight="1">
      <c r="A2741" t="s" s="2">
        <v>5275</v>
      </c>
      <c r="B2741" s="4">
        <v>36692</v>
      </c>
      <c r="C2741" s="5">
        <v>660</v>
      </c>
      <c r="D2741" s="5">
        <v>47</v>
      </c>
      <c r="E2741" s="5">
        <v>49.7</v>
      </c>
      <c r="F2741" t="s" s="2">
        <v>301</v>
      </c>
      <c r="G2741" t="s" s="2">
        <v>5270</v>
      </c>
      <c r="H2741" s="5">
        <v>316</v>
      </c>
      <c r="I2741" t="s" s="2">
        <v>1769</v>
      </c>
      <c r="J2741" t="s" s="2">
        <v>22</v>
      </c>
      <c r="K2741" t="s" s="2">
        <v>5276</v>
      </c>
      <c r="L2741" t="s" s="2">
        <v>2356</v>
      </c>
      <c r="M2741" s="5">
        <v>654480.38</v>
      </c>
      <c r="N2741" s="5">
        <v>6170411.5</v>
      </c>
      <c r="O2741" t="s" s="2">
        <v>305</v>
      </c>
      <c r="P2741" s="5">
        <v>40048133</v>
      </c>
      <c r="Q2741" t="s" s="2">
        <v>5272</v>
      </c>
      <c r="R2741" t="s" s="2">
        <f>_xlfn.IFERROR(INDEX('model_byCAP'!$D$2:$D$377,MATCH(Q2741,'model_byCAP'!$A$2:$A$377,0)),0)</f>
        <v>4861</v>
      </c>
    </row>
    <row r="2742" ht="15.35" customHeight="1">
      <c r="A2742" t="s" s="2">
        <v>5277</v>
      </c>
      <c r="B2742" s="4">
        <v>36707</v>
      </c>
      <c r="C2742" s="5">
        <v>660</v>
      </c>
      <c r="D2742" s="5">
        <v>47</v>
      </c>
      <c r="E2742" s="5">
        <v>49.7</v>
      </c>
      <c r="F2742" t="s" s="2">
        <v>301</v>
      </c>
      <c r="G2742" t="s" s="2">
        <v>5270</v>
      </c>
      <c r="H2742" s="5">
        <v>316</v>
      </c>
      <c r="I2742" t="s" s="2">
        <v>1769</v>
      </c>
      <c r="J2742" t="s" s="2">
        <v>22</v>
      </c>
      <c r="K2742" t="s" s="2">
        <v>5276</v>
      </c>
      <c r="L2742" t="s" s="2">
        <v>5278</v>
      </c>
      <c r="M2742" s="5">
        <v>654639.28</v>
      </c>
      <c r="N2742" s="5">
        <v>6170306.8</v>
      </c>
      <c r="O2742" t="s" s="2">
        <v>305</v>
      </c>
      <c r="P2742" s="5">
        <v>40048142</v>
      </c>
      <c r="Q2742" t="s" s="2">
        <v>5272</v>
      </c>
      <c r="R2742" t="s" s="2">
        <f>_xlfn.IFERROR(INDEX('model_byCAP'!$D$2:$D$377,MATCH(Q2742,'model_byCAP'!$A$2:$A$377,0)),0)</f>
        <v>4861</v>
      </c>
    </row>
    <row r="2743" ht="15.35" customHeight="1">
      <c r="A2743" t="s" s="2">
        <v>5279</v>
      </c>
      <c r="B2743" s="4">
        <v>36706</v>
      </c>
      <c r="C2743" s="5">
        <v>660</v>
      </c>
      <c r="D2743" s="5">
        <v>47</v>
      </c>
      <c r="E2743" s="5">
        <v>49.7</v>
      </c>
      <c r="F2743" t="s" s="2">
        <v>301</v>
      </c>
      <c r="G2743" t="s" s="2">
        <v>5270</v>
      </c>
      <c r="H2743" s="5">
        <v>316</v>
      </c>
      <c r="I2743" t="s" s="2">
        <v>1769</v>
      </c>
      <c r="J2743" t="s" s="2">
        <v>22</v>
      </c>
      <c r="K2743" t="s" s="2">
        <v>5276</v>
      </c>
      <c r="L2743" t="s" s="2">
        <v>5280</v>
      </c>
      <c r="M2743" s="5">
        <v>654796.98</v>
      </c>
      <c r="N2743" s="5">
        <v>6170203.72</v>
      </c>
      <c r="O2743" t="s" s="2">
        <v>305</v>
      </c>
      <c r="P2743" s="5">
        <v>40048151</v>
      </c>
      <c r="Q2743" t="s" s="2">
        <v>5272</v>
      </c>
      <c r="R2743" t="s" s="2">
        <f>_xlfn.IFERROR(INDEX('model_byCAP'!$D$2:$D$377,MATCH(Q2743,'model_byCAP'!$A$2:$A$377,0)),0)</f>
        <v>4861</v>
      </c>
    </row>
    <row r="2744" ht="15.35" customHeight="1">
      <c r="A2744" t="s" s="2">
        <v>5281</v>
      </c>
      <c r="B2744" s="4">
        <v>36843</v>
      </c>
      <c r="C2744" s="5">
        <v>660</v>
      </c>
      <c r="D2744" s="5">
        <v>47</v>
      </c>
      <c r="E2744" s="5">
        <v>40</v>
      </c>
      <c r="F2744" t="s" s="2">
        <v>301</v>
      </c>
      <c r="G2744" t="s" s="2">
        <v>5270</v>
      </c>
      <c r="H2744" s="5">
        <v>316</v>
      </c>
      <c r="I2744" t="s" s="2">
        <v>1769</v>
      </c>
      <c r="J2744" t="s" s="2">
        <v>22</v>
      </c>
      <c r="K2744" t="s" s="2">
        <v>5282</v>
      </c>
      <c r="L2744" t="s" s="2">
        <v>1161</v>
      </c>
      <c r="M2744" s="5">
        <v>665214.08</v>
      </c>
      <c r="N2744" s="5">
        <v>6171294.78</v>
      </c>
      <c r="O2744" t="s" s="2">
        <v>305</v>
      </c>
      <c r="P2744" s="5">
        <v>40066701</v>
      </c>
      <c r="Q2744" t="s" s="2">
        <v>5272</v>
      </c>
      <c r="R2744" t="s" s="2">
        <f>_xlfn.IFERROR(INDEX('model_byCAP'!$D$2:$D$377,MATCH(Q2744,'model_byCAP'!$A$2:$A$377,0)),0)</f>
        <v>4861</v>
      </c>
    </row>
    <row r="2745" ht="15.35" customHeight="1">
      <c r="A2745" t="s" s="2">
        <v>5283</v>
      </c>
      <c r="B2745" s="4">
        <v>36843</v>
      </c>
      <c r="C2745" s="5">
        <v>660</v>
      </c>
      <c r="D2745" s="5">
        <v>47</v>
      </c>
      <c r="E2745" s="5">
        <v>40</v>
      </c>
      <c r="F2745" t="s" s="2">
        <v>301</v>
      </c>
      <c r="G2745" t="s" s="2">
        <v>5270</v>
      </c>
      <c r="H2745" s="5">
        <v>316</v>
      </c>
      <c r="I2745" t="s" s="2">
        <v>1769</v>
      </c>
      <c r="J2745" t="s" s="2">
        <v>22</v>
      </c>
      <c r="K2745" t="s" s="2">
        <v>5282</v>
      </c>
      <c r="L2745" t="s" s="2">
        <v>1161</v>
      </c>
      <c r="M2745" s="5">
        <v>665191.97</v>
      </c>
      <c r="N2745" s="5">
        <v>6171148.68</v>
      </c>
      <c r="O2745" t="s" s="2">
        <v>305</v>
      </c>
      <c r="P2745" s="5">
        <v>40066710</v>
      </c>
      <c r="Q2745" t="s" s="2">
        <v>5272</v>
      </c>
      <c r="R2745" t="s" s="2">
        <f>_xlfn.IFERROR(INDEX('model_byCAP'!$D$2:$D$377,MATCH(Q2745,'model_byCAP'!$A$2:$A$377,0)),0)</f>
        <v>4861</v>
      </c>
    </row>
    <row r="2746" ht="15.35" customHeight="1">
      <c r="A2746" t="s" s="2">
        <v>5284</v>
      </c>
      <c r="B2746" s="4">
        <v>36843</v>
      </c>
      <c r="C2746" s="5">
        <v>660</v>
      </c>
      <c r="D2746" s="5">
        <v>47</v>
      </c>
      <c r="E2746" s="5">
        <v>40</v>
      </c>
      <c r="F2746" t="s" s="2">
        <v>301</v>
      </c>
      <c r="G2746" t="s" s="2">
        <v>5270</v>
      </c>
      <c r="H2746" s="5">
        <v>316</v>
      </c>
      <c r="I2746" t="s" s="2">
        <v>1769</v>
      </c>
      <c r="J2746" t="s" s="2">
        <v>22</v>
      </c>
      <c r="K2746" t="s" s="2">
        <v>5282</v>
      </c>
      <c r="L2746" t="s" s="2">
        <v>1161</v>
      </c>
      <c r="M2746" s="5">
        <v>665169.15</v>
      </c>
      <c r="N2746" s="5">
        <v>6171002.66</v>
      </c>
      <c r="O2746" t="s" s="2">
        <v>305</v>
      </c>
      <c r="P2746" s="5">
        <v>40066720</v>
      </c>
      <c r="Q2746" t="s" s="2">
        <v>5272</v>
      </c>
      <c r="R2746" t="s" s="2">
        <f>_xlfn.IFERROR(INDEX('model_byCAP'!$D$2:$D$377,MATCH(Q2746,'model_byCAP'!$A$2:$A$377,0)),0)</f>
        <v>4861</v>
      </c>
    </row>
    <row r="2747" ht="15.35" customHeight="1">
      <c r="A2747" t="s" s="2">
        <v>5285</v>
      </c>
      <c r="B2747" s="4">
        <v>37244</v>
      </c>
      <c r="C2747" s="5">
        <v>660</v>
      </c>
      <c r="D2747" s="5">
        <v>47</v>
      </c>
      <c r="E2747" s="5">
        <v>45</v>
      </c>
      <c r="F2747" t="s" s="2">
        <v>301</v>
      </c>
      <c r="G2747" t="s" s="2">
        <v>5270</v>
      </c>
      <c r="H2747" s="5">
        <v>316</v>
      </c>
      <c r="I2747" t="s" s="2">
        <v>1769</v>
      </c>
      <c r="J2747" t="s" s="2">
        <v>22</v>
      </c>
      <c r="K2747" t="s" s="2">
        <v>5286</v>
      </c>
      <c r="L2747" t="s" s="2">
        <v>1260</v>
      </c>
      <c r="M2747" s="5">
        <v>676585.27</v>
      </c>
      <c r="N2747" s="5">
        <v>6164157.56</v>
      </c>
      <c r="O2747" t="s" s="2">
        <v>305</v>
      </c>
      <c r="P2747" s="5">
        <v>40148070</v>
      </c>
      <c r="Q2747" t="s" s="2">
        <v>5272</v>
      </c>
      <c r="R2747" t="s" s="2">
        <f>_xlfn.IFERROR(INDEX('model_byCAP'!$D$2:$D$377,MATCH(Q2747,'model_byCAP'!$A$2:$A$377,0)),0)</f>
        <v>4861</v>
      </c>
    </row>
    <row r="2748" ht="15.35" customHeight="1">
      <c r="A2748" t="s" s="2">
        <v>5287</v>
      </c>
      <c r="B2748" s="4">
        <v>37244</v>
      </c>
      <c r="C2748" s="5">
        <v>660</v>
      </c>
      <c r="D2748" s="5">
        <v>47</v>
      </c>
      <c r="E2748" s="5">
        <v>45</v>
      </c>
      <c r="F2748" t="s" s="2">
        <v>301</v>
      </c>
      <c r="G2748" t="s" s="2">
        <v>5270</v>
      </c>
      <c r="H2748" s="5">
        <v>316</v>
      </c>
      <c r="I2748" t="s" s="2">
        <v>1769</v>
      </c>
      <c r="J2748" t="s" s="2">
        <v>22</v>
      </c>
      <c r="K2748" t="s" s="2">
        <v>5286</v>
      </c>
      <c r="L2748" t="s" s="2">
        <v>518</v>
      </c>
      <c r="M2748" s="5">
        <v>676489.41</v>
      </c>
      <c r="N2748" s="5">
        <v>6163959.85</v>
      </c>
      <c r="O2748" t="s" s="2">
        <v>305</v>
      </c>
      <c r="P2748" s="5">
        <v>40148077</v>
      </c>
      <c r="Q2748" t="s" s="2">
        <v>5272</v>
      </c>
      <c r="R2748" t="s" s="2">
        <f>_xlfn.IFERROR(INDEX('model_byCAP'!$D$2:$D$377,MATCH(Q2748,'model_byCAP'!$A$2:$A$377,0)),0)</f>
        <v>4861</v>
      </c>
    </row>
    <row r="2749" ht="15.35" customHeight="1">
      <c r="A2749" t="s" s="2">
        <v>5288</v>
      </c>
      <c r="B2749" s="4">
        <v>37244</v>
      </c>
      <c r="C2749" s="5">
        <v>660</v>
      </c>
      <c r="D2749" s="5">
        <v>47</v>
      </c>
      <c r="E2749" s="5">
        <v>45</v>
      </c>
      <c r="F2749" t="s" s="2">
        <v>301</v>
      </c>
      <c r="G2749" t="s" s="2">
        <v>5270</v>
      </c>
      <c r="H2749" s="5">
        <v>316</v>
      </c>
      <c r="I2749" t="s" s="2">
        <v>1769</v>
      </c>
      <c r="J2749" t="s" s="2">
        <v>22</v>
      </c>
      <c r="K2749" t="s" s="2">
        <v>5286</v>
      </c>
      <c r="L2749" t="s" s="2">
        <v>1608</v>
      </c>
      <c r="M2749" s="5">
        <v>676397.11</v>
      </c>
      <c r="N2749" s="5">
        <v>6163759.58</v>
      </c>
      <c r="O2749" t="s" s="2">
        <v>305</v>
      </c>
      <c r="P2749" s="5">
        <v>40148081</v>
      </c>
      <c r="Q2749" t="s" s="2">
        <v>5272</v>
      </c>
      <c r="R2749" t="s" s="2">
        <f>_xlfn.IFERROR(INDEX('model_byCAP'!$D$2:$D$377,MATCH(Q2749,'model_byCAP'!$A$2:$A$377,0)),0)</f>
        <v>4861</v>
      </c>
    </row>
    <row r="2750" ht="15.35" customHeight="1">
      <c r="A2750" t="s" s="2">
        <v>5289</v>
      </c>
      <c r="B2750" s="4">
        <v>37245</v>
      </c>
      <c r="C2750" s="5">
        <v>660</v>
      </c>
      <c r="D2750" s="5">
        <v>47</v>
      </c>
      <c r="E2750" s="5">
        <v>45</v>
      </c>
      <c r="F2750" t="s" s="2">
        <v>301</v>
      </c>
      <c r="G2750" t="s" s="2">
        <v>5270</v>
      </c>
      <c r="H2750" s="5">
        <v>316</v>
      </c>
      <c r="I2750" t="s" s="2">
        <v>1769</v>
      </c>
      <c r="J2750" t="s" s="2">
        <v>22</v>
      </c>
      <c r="K2750" t="s" s="2">
        <v>5286</v>
      </c>
      <c r="L2750" t="s" s="2">
        <v>869</v>
      </c>
      <c r="M2750" s="5">
        <v>675095.89</v>
      </c>
      <c r="N2750" s="5">
        <v>6164705.1</v>
      </c>
      <c r="O2750" t="s" s="2">
        <v>305</v>
      </c>
      <c r="P2750" s="5">
        <v>40148085</v>
      </c>
      <c r="Q2750" t="s" s="2">
        <v>5272</v>
      </c>
      <c r="R2750" t="s" s="2">
        <f>_xlfn.IFERROR(INDEX('model_byCAP'!$D$2:$D$377,MATCH(Q2750,'model_byCAP'!$A$2:$A$377,0)),0)</f>
        <v>4861</v>
      </c>
    </row>
    <row r="2751" ht="15.35" customHeight="1">
      <c r="A2751" t="s" s="2">
        <v>5290</v>
      </c>
      <c r="B2751" s="4">
        <v>37245</v>
      </c>
      <c r="C2751" s="5">
        <v>660</v>
      </c>
      <c r="D2751" s="5">
        <v>47</v>
      </c>
      <c r="E2751" s="5">
        <v>45</v>
      </c>
      <c r="F2751" t="s" s="2">
        <v>301</v>
      </c>
      <c r="G2751" t="s" s="2">
        <v>5270</v>
      </c>
      <c r="H2751" s="5">
        <v>316</v>
      </c>
      <c r="I2751" t="s" s="2">
        <v>1769</v>
      </c>
      <c r="J2751" t="s" s="2">
        <v>22</v>
      </c>
      <c r="K2751" t="s" s="2">
        <v>5286</v>
      </c>
      <c r="L2751" t="s" s="2">
        <v>1258</v>
      </c>
      <c r="M2751" s="5">
        <v>675006.9399999999</v>
      </c>
      <c r="N2751" s="5">
        <v>6164503.51</v>
      </c>
      <c r="O2751" t="s" s="2">
        <v>305</v>
      </c>
      <c r="P2751" s="5">
        <v>40148088</v>
      </c>
      <c r="Q2751" t="s" s="2">
        <v>5272</v>
      </c>
      <c r="R2751" t="s" s="2">
        <f>_xlfn.IFERROR(INDEX('model_byCAP'!$D$2:$D$377,MATCH(Q2751,'model_byCAP'!$A$2:$A$377,0)),0)</f>
        <v>4861</v>
      </c>
    </row>
    <row r="2752" ht="15.35" customHeight="1">
      <c r="A2752" t="s" s="2">
        <v>5291</v>
      </c>
      <c r="B2752" s="4">
        <v>37245</v>
      </c>
      <c r="C2752" s="5">
        <v>660</v>
      </c>
      <c r="D2752" s="5">
        <v>47</v>
      </c>
      <c r="E2752" s="5">
        <v>50</v>
      </c>
      <c r="F2752" t="s" s="2">
        <v>301</v>
      </c>
      <c r="G2752" t="s" s="2">
        <v>5270</v>
      </c>
      <c r="H2752" s="5">
        <v>316</v>
      </c>
      <c r="I2752" t="s" s="2">
        <v>1769</v>
      </c>
      <c r="J2752" t="s" s="2">
        <v>22</v>
      </c>
      <c r="K2752" t="s" s="2">
        <v>5286</v>
      </c>
      <c r="L2752" t="s" s="2">
        <v>1611</v>
      </c>
      <c r="M2752" s="5">
        <v>674918.24</v>
      </c>
      <c r="N2752" s="5">
        <v>6164301.7</v>
      </c>
      <c r="O2752" t="s" s="2">
        <v>305</v>
      </c>
      <c r="P2752" s="5">
        <v>40148091</v>
      </c>
      <c r="Q2752" t="s" s="2">
        <v>5272</v>
      </c>
      <c r="R2752" t="s" s="2">
        <f>_xlfn.IFERROR(INDEX('model_byCAP'!$D$2:$D$377,MATCH(Q2752,'model_byCAP'!$A$2:$A$377,0)),0)</f>
        <v>4861</v>
      </c>
    </row>
    <row r="2753" ht="15.35" customHeight="1">
      <c r="A2753" t="s" s="2">
        <v>5292</v>
      </c>
      <c r="B2753" s="4">
        <v>36526</v>
      </c>
      <c r="C2753" s="5">
        <v>660</v>
      </c>
      <c r="D2753" s="5">
        <v>47</v>
      </c>
      <c r="E2753" s="5">
        <v>45</v>
      </c>
      <c r="F2753" t="s" s="2">
        <v>301</v>
      </c>
      <c r="G2753" t="s" s="2">
        <v>4858</v>
      </c>
      <c r="H2753" s="5">
        <v>320</v>
      </c>
      <c r="I2753" t="s" s="2">
        <v>1006</v>
      </c>
      <c r="J2753" t="s" s="2">
        <v>22</v>
      </c>
      <c r="K2753" t="s" s="2">
        <v>1992</v>
      </c>
      <c r="L2753" t="s" s="2">
        <v>5293</v>
      </c>
      <c r="M2753" s="5">
        <v>708265.85</v>
      </c>
      <c r="N2753" s="5">
        <v>6129628.21</v>
      </c>
      <c r="O2753" t="s" s="2">
        <v>305</v>
      </c>
      <c r="P2753" t="s" s="2">
        <v>5294</v>
      </c>
      <c r="Q2753" t="s" s="2">
        <v>4860</v>
      </c>
      <c r="R2753" t="s" s="2">
        <f>_xlfn.IFERROR(INDEX('model_byCAP'!$D$2:$D$377,MATCH(Q2753,'model_byCAP'!$A$2:$A$377,0)),0)</f>
        <v>4861</v>
      </c>
    </row>
    <row r="2754" ht="15.35" customHeight="1">
      <c r="A2754" t="s" s="2">
        <v>5295</v>
      </c>
      <c r="B2754" s="4">
        <v>36526</v>
      </c>
      <c r="C2754" s="5">
        <v>660</v>
      </c>
      <c r="D2754" s="5">
        <v>47</v>
      </c>
      <c r="E2754" s="5">
        <v>45</v>
      </c>
      <c r="F2754" t="s" s="2">
        <v>301</v>
      </c>
      <c r="G2754" t="s" s="2">
        <v>4858</v>
      </c>
      <c r="H2754" s="5">
        <v>320</v>
      </c>
      <c r="I2754" t="s" s="2">
        <v>1006</v>
      </c>
      <c r="J2754" t="s" s="2">
        <v>22</v>
      </c>
      <c r="K2754" t="s" s="2">
        <v>1992</v>
      </c>
      <c r="L2754" t="s" s="2">
        <v>1165</v>
      </c>
      <c r="M2754" s="5">
        <v>685730.95</v>
      </c>
      <c r="N2754" s="5">
        <v>6138527.74</v>
      </c>
      <c r="O2754" t="s" s="2">
        <v>305</v>
      </c>
      <c r="P2754" s="5">
        <v>194326</v>
      </c>
      <c r="Q2754" t="s" s="2">
        <v>4860</v>
      </c>
      <c r="R2754" t="s" s="2">
        <f>_xlfn.IFERROR(INDEX('model_byCAP'!$D$2:$D$377,MATCH(Q2754,'model_byCAP'!$A$2:$A$377,0)),0)</f>
        <v>4861</v>
      </c>
    </row>
    <row r="2755" ht="15.35" customHeight="1">
      <c r="A2755" t="s" s="2">
        <v>5296</v>
      </c>
      <c r="B2755" s="4">
        <v>36526</v>
      </c>
      <c r="C2755" s="5">
        <v>660</v>
      </c>
      <c r="D2755" s="5">
        <v>47</v>
      </c>
      <c r="E2755" s="5">
        <v>45</v>
      </c>
      <c r="F2755" t="s" s="2">
        <v>301</v>
      </c>
      <c r="G2755" t="s" s="2">
        <v>4858</v>
      </c>
      <c r="H2755" s="5">
        <v>320</v>
      </c>
      <c r="I2755" t="s" s="2">
        <v>1006</v>
      </c>
      <c r="J2755" t="s" s="2">
        <v>22</v>
      </c>
      <c r="K2755" t="s" s="2">
        <v>1992</v>
      </c>
      <c r="L2755" t="s" s="2">
        <v>582</v>
      </c>
      <c r="M2755" s="5">
        <v>685930.5600000001</v>
      </c>
      <c r="N2755" s="5">
        <v>6138538.88</v>
      </c>
      <c r="O2755" t="s" s="2">
        <v>305</v>
      </c>
      <c r="P2755" s="5">
        <v>194326</v>
      </c>
      <c r="Q2755" t="s" s="2">
        <v>4860</v>
      </c>
      <c r="R2755" t="s" s="2">
        <f>_xlfn.IFERROR(INDEX('model_byCAP'!$D$2:$D$377,MATCH(Q2755,'model_byCAP'!$A$2:$A$377,0)),0)</f>
        <v>4861</v>
      </c>
    </row>
    <row r="2756" ht="15.35" customHeight="1">
      <c r="A2756" t="s" s="2">
        <v>5297</v>
      </c>
      <c r="B2756" s="4">
        <v>36526</v>
      </c>
      <c r="C2756" s="5">
        <v>660</v>
      </c>
      <c r="D2756" s="5">
        <v>47</v>
      </c>
      <c r="E2756" s="5">
        <v>45</v>
      </c>
      <c r="F2756" t="s" s="2">
        <v>301</v>
      </c>
      <c r="G2756" t="s" s="2">
        <v>4858</v>
      </c>
      <c r="H2756" s="5">
        <v>320</v>
      </c>
      <c r="I2756" t="s" s="2">
        <v>1006</v>
      </c>
      <c r="J2756" t="s" s="2">
        <v>22</v>
      </c>
      <c r="K2756" t="s" s="2">
        <v>1992</v>
      </c>
      <c r="L2756" t="s" s="2">
        <v>3647</v>
      </c>
      <c r="M2756" s="5">
        <v>686131.42</v>
      </c>
      <c r="N2756" s="5">
        <v>6138548.94</v>
      </c>
      <c r="O2756" t="s" s="2">
        <v>305</v>
      </c>
      <c r="P2756" s="5">
        <v>194326</v>
      </c>
      <c r="Q2756" t="s" s="2">
        <v>4860</v>
      </c>
      <c r="R2756" t="s" s="2">
        <f>_xlfn.IFERROR(INDEX('model_byCAP'!$D$2:$D$377,MATCH(Q2756,'model_byCAP'!$A$2:$A$377,0)),0)</f>
        <v>4861</v>
      </c>
    </row>
    <row r="2757" ht="15.35" customHeight="1">
      <c r="A2757" t="s" s="2">
        <v>5298</v>
      </c>
      <c r="B2757" s="4">
        <v>36266</v>
      </c>
      <c r="C2757" s="5">
        <v>660</v>
      </c>
      <c r="D2757" s="5">
        <v>47</v>
      </c>
      <c r="E2757" s="5">
        <v>50</v>
      </c>
      <c r="F2757" t="s" s="2">
        <v>301</v>
      </c>
      <c r="G2757" t="s" s="2">
        <v>5270</v>
      </c>
      <c r="H2757" s="5">
        <v>320</v>
      </c>
      <c r="I2757" t="s" s="2">
        <v>1006</v>
      </c>
      <c r="J2757" t="s" s="2">
        <v>22</v>
      </c>
      <c r="K2757" t="s" s="2">
        <v>5299</v>
      </c>
      <c r="L2757" t="s" s="2">
        <v>3414</v>
      </c>
      <c r="M2757" s="5">
        <v>683529.8100000001</v>
      </c>
      <c r="N2757" s="5">
        <v>6133176.67</v>
      </c>
      <c r="O2757" t="s" s="2">
        <v>305</v>
      </c>
      <c r="P2757" s="5">
        <v>192735</v>
      </c>
      <c r="Q2757" t="s" s="2">
        <v>5272</v>
      </c>
      <c r="R2757" t="s" s="2">
        <f>_xlfn.IFERROR(INDEX('model_byCAP'!$D$2:$D$377,MATCH(Q2757,'model_byCAP'!$A$2:$A$377,0)),0)</f>
        <v>4861</v>
      </c>
    </row>
    <row r="2758" ht="15.35" customHeight="1">
      <c r="A2758" t="s" s="2">
        <v>5300</v>
      </c>
      <c r="B2758" s="4">
        <v>36266</v>
      </c>
      <c r="C2758" s="5">
        <v>660</v>
      </c>
      <c r="D2758" s="5">
        <v>47</v>
      </c>
      <c r="E2758" s="5">
        <v>50</v>
      </c>
      <c r="F2758" t="s" s="2">
        <v>301</v>
      </c>
      <c r="G2758" t="s" s="2">
        <v>5270</v>
      </c>
      <c r="H2758" s="5">
        <v>320</v>
      </c>
      <c r="I2758" t="s" s="2">
        <v>1006</v>
      </c>
      <c r="J2758" t="s" s="2">
        <v>22</v>
      </c>
      <c r="K2758" t="s" s="2">
        <v>5299</v>
      </c>
      <c r="L2758" t="s" s="2">
        <v>2809</v>
      </c>
      <c r="M2758" s="5">
        <v>683790.05</v>
      </c>
      <c r="N2758" s="5">
        <v>6133129.85</v>
      </c>
      <c r="O2758" t="s" s="2">
        <v>305</v>
      </c>
      <c r="P2758" s="5">
        <v>192736</v>
      </c>
      <c r="Q2758" t="s" s="2">
        <v>5272</v>
      </c>
      <c r="R2758" t="s" s="2">
        <f>_xlfn.IFERROR(INDEX('model_byCAP'!$D$2:$D$377,MATCH(Q2758,'model_byCAP'!$A$2:$A$377,0)),0)</f>
        <v>4861</v>
      </c>
    </row>
    <row r="2759" ht="15.35" customHeight="1">
      <c r="A2759" t="s" s="2">
        <v>5301</v>
      </c>
      <c r="B2759" s="4">
        <v>36266</v>
      </c>
      <c r="C2759" s="5">
        <v>660</v>
      </c>
      <c r="D2759" s="5">
        <v>47</v>
      </c>
      <c r="E2759" s="5">
        <v>50</v>
      </c>
      <c r="F2759" t="s" s="2">
        <v>301</v>
      </c>
      <c r="G2759" t="s" s="2">
        <v>5270</v>
      </c>
      <c r="H2759" s="5">
        <v>320</v>
      </c>
      <c r="I2759" t="s" s="2">
        <v>1006</v>
      </c>
      <c r="J2759" t="s" s="2">
        <v>22</v>
      </c>
      <c r="K2759" t="s" s="2">
        <v>5299</v>
      </c>
      <c r="L2759" s="5">
        <v>3</v>
      </c>
      <c r="M2759" s="5">
        <v>684046.73</v>
      </c>
      <c r="N2759" s="5">
        <v>6133084.09</v>
      </c>
      <c r="O2759" t="s" s="2">
        <v>305</v>
      </c>
      <c r="P2759" s="5">
        <v>192742</v>
      </c>
      <c r="Q2759" t="s" s="2">
        <v>5272</v>
      </c>
      <c r="R2759" t="s" s="2">
        <f>_xlfn.IFERROR(INDEX('model_byCAP'!$D$2:$D$377,MATCH(Q2759,'model_byCAP'!$A$2:$A$377,0)),0)</f>
        <v>4861</v>
      </c>
    </row>
    <row r="2760" ht="15.35" customHeight="1">
      <c r="A2760" t="s" s="2">
        <v>5302</v>
      </c>
      <c r="B2760" s="4">
        <v>36531</v>
      </c>
      <c r="C2760" s="5">
        <v>660</v>
      </c>
      <c r="D2760" s="5">
        <v>47</v>
      </c>
      <c r="E2760" s="5">
        <v>45</v>
      </c>
      <c r="F2760" t="s" s="2">
        <v>301</v>
      </c>
      <c r="G2760" t="s" s="2">
        <v>4858</v>
      </c>
      <c r="H2760" s="5">
        <v>320</v>
      </c>
      <c r="I2760" t="s" s="2">
        <v>1006</v>
      </c>
      <c r="J2760" t="s" s="2">
        <v>22</v>
      </c>
      <c r="K2760" t="s" s="2">
        <v>5303</v>
      </c>
      <c r="L2760" t="s" s="2">
        <v>1161</v>
      </c>
      <c r="M2760" s="5">
        <v>708365.66</v>
      </c>
      <c r="N2760" s="5">
        <v>6129466.39</v>
      </c>
      <c r="O2760" t="s" s="2">
        <v>305</v>
      </c>
      <c r="P2760" s="5">
        <v>194324</v>
      </c>
      <c r="Q2760" t="s" s="2">
        <v>4860</v>
      </c>
      <c r="R2760" t="s" s="2">
        <f>_xlfn.IFERROR(INDEX('model_byCAP'!$D$2:$D$377,MATCH(Q2760,'model_byCAP'!$A$2:$A$377,0)),0)</f>
        <v>4861</v>
      </c>
    </row>
    <row r="2761" ht="15.35" customHeight="1">
      <c r="A2761" t="s" s="2">
        <v>5304</v>
      </c>
      <c r="B2761" s="4">
        <v>36531</v>
      </c>
      <c r="C2761" s="5">
        <v>660</v>
      </c>
      <c r="D2761" s="5">
        <v>47</v>
      </c>
      <c r="E2761" s="5">
        <v>45</v>
      </c>
      <c r="F2761" t="s" s="2">
        <v>301</v>
      </c>
      <c r="G2761" t="s" s="2">
        <v>4858</v>
      </c>
      <c r="H2761" s="5">
        <v>320</v>
      </c>
      <c r="I2761" t="s" s="2">
        <v>1006</v>
      </c>
      <c r="J2761" t="s" s="2">
        <v>22</v>
      </c>
      <c r="K2761" t="s" s="2">
        <v>5303</v>
      </c>
      <c r="L2761" t="s" s="2">
        <v>3273</v>
      </c>
      <c r="M2761" s="5">
        <v>708465.22</v>
      </c>
      <c r="N2761" s="5">
        <v>6129304.22</v>
      </c>
      <c r="O2761" t="s" s="2">
        <v>305</v>
      </c>
      <c r="P2761" s="5">
        <v>194323</v>
      </c>
      <c r="Q2761" t="s" s="2">
        <v>4860</v>
      </c>
      <c r="R2761" t="s" s="2">
        <f>_xlfn.IFERROR(INDEX('model_byCAP'!$D$2:$D$377,MATCH(Q2761,'model_byCAP'!$A$2:$A$377,0)),0)</f>
        <v>4861</v>
      </c>
    </row>
    <row r="2762" ht="15.35" customHeight="1">
      <c r="A2762" t="s" s="2">
        <v>5305</v>
      </c>
      <c r="B2762" s="4">
        <v>36531</v>
      </c>
      <c r="C2762" s="5">
        <v>660</v>
      </c>
      <c r="D2762" s="5">
        <v>47</v>
      </c>
      <c r="E2762" s="5">
        <v>45</v>
      </c>
      <c r="F2762" t="s" s="2">
        <v>301</v>
      </c>
      <c r="G2762" t="s" s="2">
        <v>4858</v>
      </c>
      <c r="H2762" s="5">
        <v>320</v>
      </c>
      <c r="I2762" t="s" s="2">
        <v>1006</v>
      </c>
      <c r="J2762" t="s" s="2">
        <v>22</v>
      </c>
      <c r="K2762" t="s" s="2">
        <v>5303</v>
      </c>
      <c r="L2762" t="s" s="2">
        <v>5306</v>
      </c>
      <c r="M2762" s="5">
        <v>708564.83</v>
      </c>
      <c r="N2762" s="5">
        <v>6129142.59</v>
      </c>
      <c r="O2762" t="s" s="2">
        <v>305</v>
      </c>
      <c r="P2762" s="5">
        <v>194322</v>
      </c>
      <c r="Q2762" t="s" s="2">
        <v>4860</v>
      </c>
      <c r="R2762" t="s" s="2">
        <f>_xlfn.IFERROR(INDEX('model_byCAP'!$D$2:$D$377,MATCH(Q2762,'model_byCAP'!$A$2:$A$377,0)),0)</f>
        <v>4861</v>
      </c>
    </row>
    <row r="2763" ht="15.35" customHeight="1">
      <c r="A2763" t="s" s="2">
        <v>5307</v>
      </c>
      <c r="B2763" s="4">
        <v>36879</v>
      </c>
      <c r="C2763" s="5">
        <v>660</v>
      </c>
      <c r="D2763" s="5">
        <v>47</v>
      </c>
      <c r="E2763" s="5">
        <v>45</v>
      </c>
      <c r="F2763" t="s" s="2">
        <v>301</v>
      </c>
      <c r="G2763" t="s" s="2">
        <v>4858</v>
      </c>
      <c r="H2763" s="5">
        <v>320</v>
      </c>
      <c r="I2763" t="s" s="2">
        <v>1006</v>
      </c>
      <c r="J2763" t="s" s="2">
        <v>22</v>
      </c>
      <c r="K2763" t="s" s="2">
        <v>5308</v>
      </c>
      <c r="L2763" t="s" s="2">
        <v>2348</v>
      </c>
      <c r="M2763" s="5">
        <v>703715.64</v>
      </c>
      <c r="N2763" s="5">
        <v>6135647.6</v>
      </c>
      <c r="O2763" t="s" s="2">
        <v>305</v>
      </c>
      <c r="P2763" s="5">
        <v>195745</v>
      </c>
      <c r="Q2763" t="s" s="2">
        <v>4860</v>
      </c>
      <c r="R2763" t="s" s="2">
        <f>_xlfn.IFERROR(INDEX('model_byCAP'!$D$2:$D$377,MATCH(Q2763,'model_byCAP'!$A$2:$A$377,0)),0)</f>
        <v>4861</v>
      </c>
    </row>
    <row r="2764" ht="15.35" customHeight="1">
      <c r="A2764" t="s" s="2">
        <v>5309</v>
      </c>
      <c r="B2764" s="4">
        <v>36879</v>
      </c>
      <c r="C2764" s="5">
        <v>660</v>
      </c>
      <c r="D2764" s="5">
        <v>47</v>
      </c>
      <c r="E2764" s="5">
        <v>45</v>
      </c>
      <c r="F2764" t="s" s="2">
        <v>301</v>
      </c>
      <c r="G2764" t="s" s="2">
        <v>4858</v>
      </c>
      <c r="H2764" s="5">
        <v>320</v>
      </c>
      <c r="I2764" t="s" s="2">
        <v>1006</v>
      </c>
      <c r="J2764" t="s" s="2">
        <v>22</v>
      </c>
      <c r="K2764" t="s" s="2">
        <v>5310</v>
      </c>
      <c r="L2764" t="s" s="2">
        <v>2348</v>
      </c>
      <c r="M2764" s="5">
        <v>703657.87</v>
      </c>
      <c r="N2764" s="5">
        <v>6135448.98</v>
      </c>
      <c r="O2764" t="s" s="2">
        <v>305</v>
      </c>
      <c r="P2764" s="5">
        <v>195746</v>
      </c>
      <c r="Q2764" t="s" s="2">
        <v>4860</v>
      </c>
      <c r="R2764" t="s" s="2">
        <f>_xlfn.IFERROR(INDEX('model_byCAP'!$D$2:$D$377,MATCH(Q2764,'model_byCAP'!$A$2:$A$377,0)),0)</f>
        <v>4861</v>
      </c>
    </row>
    <row r="2765" ht="15.35" customHeight="1">
      <c r="A2765" t="s" s="2">
        <v>5311</v>
      </c>
      <c r="B2765" s="4">
        <v>36879</v>
      </c>
      <c r="C2765" s="5">
        <v>660</v>
      </c>
      <c r="D2765" s="5">
        <v>47</v>
      </c>
      <c r="E2765" s="5">
        <v>45</v>
      </c>
      <c r="F2765" t="s" s="2">
        <v>301</v>
      </c>
      <c r="G2765" t="s" s="2">
        <v>4858</v>
      </c>
      <c r="H2765" s="5">
        <v>320</v>
      </c>
      <c r="I2765" t="s" s="2">
        <v>1006</v>
      </c>
      <c r="J2765" t="s" s="2">
        <v>22</v>
      </c>
      <c r="K2765" t="s" s="2">
        <v>5312</v>
      </c>
      <c r="L2765" t="s" s="2">
        <v>481</v>
      </c>
      <c r="M2765" s="5">
        <v>703857.1899999999</v>
      </c>
      <c r="N2765" s="5">
        <v>6135391.51</v>
      </c>
      <c r="O2765" t="s" s="2">
        <v>305</v>
      </c>
      <c r="P2765" s="5">
        <v>195748</v>
      </c>
      <c r="Q2765" t="s" s="2">
        <v>4860</v>
      </c>
      <c r="R2765" t="s" s="2">
        <f>_xlfn.IFERROR(INDEX('model_byCAP'!$D$2:$D$377,MATCH(Q2765,'model_byCAP'!$A$2:$A$377,0)),0)</f>
        <v>4861</v>
      </c>
    </row>
    <row r="2766" ht="15.35" customHeight="1">
      <c r="A2766" t="s" s="2">
        <v>5313</v>
      </c>
      <c r="B2766" s="4">
        <v>36879</v>
      </c>
      <c r="C2766" s="5">
        <v>660</v>
      </c>
      <c r="D2766" s="5">
        <v>47</v>
      </c>
      <c r="E2766" s="5">
        <v>45</v>
      </c>
      <c r="F2766" t="s" s="2">
        <v>301</v>
      </c>
      <c r="G2766" t="s" s="2">
        <v>4858</v>
      </c>
      <c r="H2766" s="5">
        <v>320</v>
      </c>
      <c r="I2766" t="s" s="2">
        <v>1006</v>
      </c>
      <c r="J2766" t="s" s="2">
        <v>22</v>
      </c>
      <c r="K2766" t="s" s="2">
        <v>5312</v>
      </c>
      <c r="L2766" t="s" s="2">
        <v>481</v>
      </c>
      <c r="M2766" s="5">
        <v>703913.84</v>
      </c>
      <c r="N2766" s="5">
        <v>6135590.59</v>
      </c>
      <c r="O2766" t="s" s="2">
        <v>305</v>
      </c>
      <c r="P2766" s="5">
        <v>195750</v>
      </c>
      <c r="Q2766" t="s" s="2">
        <v>4860</v>
      </c>
      <c r="R2766" t="s" s="2">
        <f>_xlfn.IFERROR(INDEX('model_byCAP'!$D$2:$D$377,MATCH(Q2766,'model_byCAP'!$A$2:$A$377,0)),0)</f>
        <v>4861</v>
      </c>
    </row>
    <row r="2767" ht="15.35" customHeight="1">
      <c r="A2767" t="s" s="2">
        <v>5314</v>
      </c>
      <c r="B2767" s="4">
        <v>37118</v>
      </c>
      <c r="C2767" s="5">
        <v>660</v>
      </c>
      <c r="D2767" s="5">
        <v>47</v>
      </c>
      <c r="E2767" s="5">
        <v>45</v>
      </c>
      <c r="F2767" t="s" s="2">
        <v>301</v>
      </c>
      <c r="G2767" t="s" s="2">
        <v>5270</v>
      </c>
      <c r="H2767" s="5">
        <v>326</v>
      </c>
      <c r="I2767" t="s" s="2">
        <v>1263</v>
      </c>
      <c r="J2767" t="s" s="2">
        <v>22</v>
      </c>
      <c r="K2767" t="s" s="2">
        <v>5315</v>
      </c>
      <c r="L2767" t="s" s="2">
        <v>1258</v>
      </c>
      <c r="M2767" s="5">
        <v>647587.7</v>
      </c>
      <c r="N2767" s="5">
        <v>6156693.31</v>
      </c>
      <c r="O2767" t="s" s="2">
        <v>305</v>
      </c>
      <c r="P2767" s="5">
        <v>40057786</v>
      </c>
      <c r="Q2767" t="s" s="2">
        <v>5272</v>
      </c>
      <c r="R2767" t="s" s="2">
        <f>_xlfn.IFERROR(INDEX('model_byCAP'!$D$2:$D$377,MATCH(Q2767,'model_byCAP'!$A$2:$A$377,0)),0)</f>
        <v>4861</v>
      </c>
    </row>
    <row r="2768" ht="15.35" customHeight="1">
      <c r="A2768" t="s" s="2">
        <v>5316</v>
      </c>
      <c r="B2768" s="4">
        <v>37118</v>
      </c>
      <c r="C2768" s="5">
        <v>660</v>
      </c>
      <c r="D2768" s="5">
        <v>47</v>
      </c>
      <c r="E2768" s="5">
        <v>45</v>
      </c>
      <c r="F2768" t="s" s="2">
        <v>301</v>
      </c>
      <c r="G2768" t="s" s="2">
        <v>5270</v>
      </c>
      <c r="H2768" s="5">
        <v>326</v>
      </c>
      <c r="I2768" t="s" s="2">
        <v>1263</v>
      </c>
      <c r="J2768" t="s" s="2">
        <v>22</v>
      </c>
      <c r="K2768" t="s" s="2">
        <v>5317</v>
      </c>
      <c r="L2768" s="5">
        <v>5</v>
      </c>
      <c r="M2768" s="5">
        <v>647693.85</v>
      </c>
      <c r="N2768" s="5">
        <v>6156587.44</v>
      </c>
      <c r="O2768" t="s" s="2">
        <v>305</v>
      </c>
      <c r="P2768" s="5">
        <v>40057795</v>
      </c>
      <c r="Q2768" t="s" s="2">
        <v>5272</v>
      </c>
      <c r="R2768" t="s" s="2">
        <f>_xlfn.IFERROR(INDEX('model_byCAP'!$D$2:$D$377,MATCH(Q2768,'model_byCAP'!$A$2:$A$377,0)),0)</f>
        <v>4861</v>
      </c>
    </row>
    <row r="2769" ht="15.35" customHeight="1">
      <c r="A2769" t="s" s="2">
        <v>5318</v>
      </c>
      <c r="B2769" s="4">
        <v>37118</v>
      </c>
      <c r="C2769" s="5">
        <v>660</v>
      </c>
      <c r="D2769" s="5">
        <v>47</v>
      </c>
      <c r="E2769" s="5">
        <v>45</v>
      </c>
      <c r="F2769" t="s" s="2">
        <v>301</v>
      </c>
      <c r="G2769" t="s" s="2">
        <v>5270</v>
      </c>
      <c r="H2769" s="5">
        <v>326</v>
      </c>
      <c r="I2769" t="s" s="2">
        <v>1263</v>
      </c>
      <c r="J2769" t="s" s="2">
        <v>22</v>
      </c>
      <c r="K2769" t="s" s="2">
        <v>5317</v>
      </c>
      <c r="L2769" s="5">
        <v>5</v>
      </c>
      <c r="M2769" s="5">
        <v>647800.23</v>
      </c>
      <c r="N2769" s="5">
        <v>6156481.69</v>
      </c>
      <c r="O2769" t="s" s="2">
        <v>305</v>
      </c>
      <c r="P2769" s="5">
        <v>40057802</v>
      </c>
      <c r="Q2769" t="s" s="2">
        <v>5272</v>
      </c>
      <c r="R2769" t="s" s="2">
        <f>_xlfn.IFERROR(INDEX('model_byCAP'!$D$2:$D$377,MATCH(Q2769,'model_byCAP'!$A$2:$A$377,0)),0)</f>
        <v>4861</v>
      </c>
    </row>
    <row r="2770" ht="15.35" customHeight="1">
      <c r="A2770" t="s" s="2">
        <v>5319</v>
      </c>
      <c r="B2770" s="4">
        <v>36145</v>
      </c>
      <c r="C2770" s="5">
        <v>660</v>
      </c>
      <c r="D2770" s="5">
        <v>47</v>
      </c>
      <c r="E2770" s="5">
        <v>45</v>
      </c>
      <c r="F2770" t="s" s="2">
        <v>301</v>
      </c>
      <c r="G2770" t="s" s="2">
        <v>5270</v>
      </c>
      <c r="H2770" s="5">
        <v>329</v>
      </c>
      <c r="I2770" t="s" s="2">
        <v>2902</v>
      </c>
      <c r="J2770" t="s" s="2">
        <v>22</v>
      </c>
      <c r="K2770" t="s" s="2">
        <v>5320</v>
      </c>
      <c r="L2770" t="s" s="2">
        <v>1161</v>
      </c>
      <c r="M2770" s="5">
        <v>672028.22</v>
      </c>
      <c r="N2770" s="5">
        <v>6151138.31</v>
      </c>
      <c r="O2770" t="s" s="2">
        <v>305</v>
      </c>
      <c r="P2770" s="5">
        <v>192488</v>
      </c>
      <c r="Q2770" t="s" s="2">
        <v>5272</v>
      </c>
      <c r="R2770" t="s" s="2">
        <f>_xlfn.IFERROR(INDEX('model_byCAP'!$D$2:$D$377,MATCH(Q2770,'model_byCAP'!$A$2:$A$377,0)),0)</f>
        <v>4861</v>
      </c>
    </row>
    <row r="2771" ht="15.35" customHeight="1">
      <c r="A2771" t="s" s="2">
        <v>5321</v>
      </c>
      <c r="B2771" s="4">
        <v>36616</v>
      </c>
      <c r="C2771" s="5">
        <v>660</v>
      </c>
      <c r="D2771" s="5">
        <v>47</v>
      </c>
      <c r="E2771" s="5">
        <v>45</v>
      </c>
      <c r="F2771" t="s" s="2">
        <v>301</v>
      </c>
      <c r="G2771" t="s" s="2">
        <v>4858</v>
      </c>
      <c r="H2771" s="5">
        <v>329</v>
      </c>
      <c r="I2771" t="s" s="2">
        <v>2902</v>
      </c>
      <c r="J2771" t="s" s="2">
        <v>22</v>
      </c>
      <c r="K2771" t="s" s="2">
        <v>5322</v>
      </c>
      <c r="L2771" t="s" s="2">
        <v>5323</v>
      </c>
      <c r="M2771" s="5">
        <v>680055.41</v>
      </c>
      <c r="N2771" s="5">
        <v>6145353.17</v>
      </c>
      <c r="O2771" t="s" s="2">
        <v>305</v>
      </c>
      <c r="P2771" s="5">
        <v>194573</v>
      </c>
      <c r="Q2771" t="s" s="2">
        <v>4860</v>
      </c>
      <c r="R2771" t="s" s="2">
        <f>_xlfn.IFERROR(INDEX('model_byCAP'!$D$2:$D$377,MATCH(Q2771,'model_byCAP'!$A$2:$A$377,0)),0)</f>
        <v>4861</v>
      </c>
    </row>
    <row r="2772" ht="15.35" customHeight="1">
      <c r="A2772" t="s" s="2">
        <v>5324</v>
      </c>
      <c r="B2772" s="4">
        <v>36882</v>
      </c>
      <c r="C2772" s="5">
        <v>660</v>
      </c>
      <c r="D2772" s="5">
        <v>47</v>
      </c>
      <c r="E2772" s="5">
        <v>45</v>
      </c>
      <c r="F2772" t="s" s="2">
        <v>301</v>
      </c>
      <c r="G2772" t="s" s="2">
        <v>4858</v>
      </c>
      <c r="H2772" s="5">
        <v>329</v>
      </c>
      <c r="I2772" t="s" s="2">
        <v>2902</v>
      </c>
      <c r="J2772" t="s" s="2">
        <v>22</v>
      </c>
      <c r="K2772" t="s" s="2">
        <v>5325</v>
      </c>
      <c r="L2772" t="s" s="2">
        <v>394</v>
      </c>
      <c r="M2772" s="5">
        <v>672803.86</v>
      </c>
      <c r="N2772" s="5">
        <v>6150000.54</v>
      </c>
      <c r="O2772" t="s" s="2">
        <v>305</v>
      </c>
      <c r="P2772" s="5">
        <v>195723</v>
      </c>
      <c r="Q2772" t="s" s="2">
        <v>4860</v>
      </c>
      <c r="R2772" t="s" s="2">
        <f>_xlfn.IFERROR(INDEX('model_byCAP'!$D$2:$D$377,MATCH(Q2772,'model_byCAP'!$A$2:$A$377,0)),0)</f>
        <v>4861</v>
      </c>
    </row>
    <row r="2773" ht="15.35" customHeight="1">
      <c r="A2773" t="s" s="2">
        <v>5326</v>
      </c>
      <c r="B2773" s="4">
        <v>36882</v>
      </c>
      <c r="C2773" s="5">
        <v>660</v>
      </c>
      <c r="D2773" s="5">
        <v>47</v>
      </c>
      <c r="E2773" s="5">
        <v>45</v>
      </c>
      <c r="F2773" t="s" s="2">
        <v>301</v>
      </c>
      <c r="G2773" t="s" s="2">
        <v>4858</v>
      </c>
      <c r="H2773" s="5">
        <v>329</v>
      </c>
      <c r="I2773" t="s" s="2">
        <v>2902</v>
      </c>
      <c r="J2773" t="s" s="2">
        <v>22</v>
      </c>
      <c r="K2773" t="s" s="2">
        <v>5325</v>
      </c>
      <c r="L2773" t="s" s="2">
        <v>502</v>
      </c>
      <c r="M2773" s="5">
        <v>672694.11</v>
      </c>
      <c r="N2773" s="5">
        <v>6150167.47</v>
      </c>
      <c r="O2773" t="s" s="2">
        <v>305</v>
      </c>
      <c r="P2773" s="5">
        <v>195722</v>
      </c>
      <c r="Q2773" t="s" s="2">
        <v>4860</v>
      </c>
      <c r="R2773" t="s" s="2">
        <f>_xlfn.IFERROR(INDEX('model_byCAP'!$D$2:$D$377,MATCH(Q2773,'model_byCAP'!$A$2:$A$377,0)),0)</f>
        <v>4861</v>
      </c>
    </row>
    <row r="2774" ht="15.35" customHeight="1">
      <c r="A2774" t="s" s="2">
        <v>5327</v>
      </c>
      <c r="B2774" s="4">
        <v>36803</v>
      </c>
      <c r="C2774" s="5">
        <v>660</v>
      </c>
      <c r="D2774" s="5">
        <v>47</v>
      </c>
      <c r="E2774" s="5">
        <v>35</v>
      </c>
      <c r="F2774" t="s" s="2">
        <v>301</v>
      </c>
      <c r="G2774" t="s" s="2">
        <v>5328</v>
      </c>
      <c r="H2774" s="5">
        <v>360</v>
      </c>
      <c r="I2774" t="s" s="2">
        <v>463</v>
      </c>
      <c r="J2774" t="s" s="2">
        <v>22</v>
      </c>
      <c r="K2774" t="s" s="2">
        <v>5329</v>
      </c>
      <c r="L2774" t="s" s="2">
        <v>524</v>
      </c>
      <c r="M2774" s="5">
        <v>649941.41</v>
      </c>
      <c r="N2774" s="5">
        <v>6067129.68</v>
      </c>
      <c r="O2774" t="s" s="2">
        <v>305</v>
      </c>
      <c r="P2774" s="5">
        <v>2060120</v>
      </c>
      <c r="Q2774" t="s" s="2">
        <v>5330</v>
      </c>
      <c r="R2774" t="s" s="2">
        <f>_xlfn.IFERROR(INDEX('model_byCAP'!$D$2:$D$377,MATCH(Q2774,'model_byCAP'!$A$2:$A$377,0)),0)</f>
        <v>5331</v>
      </c>
    </row>
    <row r="2775" ht="15.35" customHeight="1">
      <c r="A2775" t="s" s="2">
        <v>5332</v>
      </c>
      <c r="B2775" s="4">
        <v>37543</v>
      </c>
      <c r="C2775" s="5">
        <v>660</v>
      </c>
      <c r="D2775" s="5">
        <v>47</v>
      </c>
      <c r="E2775" s="5">
        <v>35</v>
      </c>
      <c r="F2775" t="s" s="2">
        <v>301</v>
      </c>
      <c r="G2775" t="s" s="2">
        <v>4858</v>
      </c>
      <c r="H2775" s="5">
        <v>360</v>
      </c>
      <c r="I2775" t="s" s="2">
        <v>463</v>
      </c>
      <c r="J2775" t="s" s="2">
        <v>22</v>
      </c>
      <c r="K2775" t="s" s="2">
        <v>5333</v>
      </c>
      <c r="L2775" t="s" s="2">
        <v>1608</v>
      </c>
      <c r="M2775" s="5">
        <v>653381.3</v>
      </c>
      <c r="N2775" s="5">
        <v>6067697.31</v>
      </c>
      <c r="O2775" t="s" s="2">
        <v>305</v>
      </c>
      <c r="P2775" s="5">
        <v>2000829</v>
      </c>
      <c r="Q2775" t="s" s="2">
        <v>4860</v>
      </c>
      <c r="R2775" t="s" s="2">
        <f>_xlfn.IFERROR(INDEX('model_byCAP'!$D$2:$D$377,MATCH(Q2775,'model_byCAP'!$A$2:$A$377,0)),0)</f>
        <v>4861</v>
      </c>
    </row>
    <row r="2776" ht="15.35" customHeight="1">
      <c r="A2776" t="s" s="2">
        <v>5334</v>
      </c>
      <c r="B2776" s="4">
        <v>36220</v>
      </c>
      <c r="C2776" s="5">
        <v>660</v>
      </c>
      <c r="D2776" s="5">
        <v>47</v>
      </c>
      <c r="E2776" s="5">
        <v>45</v>
      </c>
      <c r="F2776" t="s" s="2">
        <v>301</v>
      </c>
      <c r="G2776" t="s" s="2">
        <v>4858</v>
      </c>
      <c r="H2776" s="5">
        <v>370</v>
      </c>
      <c r="I2776" t="s" s="2">
        <v>520</v>
      </c>
      <c r="J2776" t="s" s="2">
        <v>22</v>
      </c>
      <c r="K2776" t="s" s="2">
        <v>1992</v>
      </c>
      <c r="L2776" t="s" s="2">
        <v>941</v>
      </c>
      <c r="M2776" s="5">
        <v>672085.85</v>
      </c>
      <c r="N2776" s="5">
        <v>6132900.96</v>
      </c>
      <c r="O2776" t="s" s="2">
        <v>305</v>
      </c>
      <c r="P2776" t="s" s="2">
        <v>5335</v>
      </c>
      <c r="Q2776" t="s" s="2">
        <v>4860</v>
      </c>
      <c r="R2776" t="s" s="2">
        <f>_xlfn.IFERROR(INDEX('model_byCAP'!$D$2:$D$377,MATCH(Q2776,'model_byCAP'!$A$2:$A$377,0)),0)</f>
        <v>4861</v>
      </c>
    </row>
    <row r="2777" ht="15.35" customHeight="1">
      <c r="A2777" t="s" s="2">
        <v>5336</v>
      </c>
      <c r="B2777" s="4">
        <v>36220</v>
      </c>
      <c r="C2777" s="5">
        <v>660</v>
      </c>
      <c r="D2777" s="5">
        <v>47</v>
      </c>
      <c r="E2777" s="5">
        <v>45</v>
      </c>
      <c r="F2777" t="s" s="2">
        <v>301</v>
      </c>
      <c r="G2777" t="s" s="2">
        <v>4858</v>
      </c>
      <c r="H2777" s="5">
        <v>370</v>
      </c>
      <c r="I2777" t="s" s="2">
        <v>520</v>
      </c>
      <c r="J2777" t="s" s="2">
        <v>22</v>
      </c>
      <c r="K2777" t="s" s="2">
        <v>1992</v>
      </c>
      <c r="L2777" t="s" s="2">
        <v>1055</v>
      </c>
      <c r="M2777" s="5">
        <v>672097.86</v>
      </c>
      <c r="N2777" s="5">
        <v>6132682.33</v>
      </c>
      <c r="O2777" t="s" s="2">
        <v>305</v>
      </c>
      <c r="P2777" t="s" s="2">
        <v>5335</v>
      </c>
      <c r="Q2777" t="s" s="2">
        <v>4860</v>
      </c>
      <c r="R2777" t="s" s="2">
        <f>_xlfn.IFERROR(INDEX('model_byCAP'!$D$2:$D$377,MATCH(Q2777,'model_byCAP'!$A$2:$A$377,0)),0)</f>
        <v>4861</v>
      </c>
    </row>
    <row r="2778" ht="15.35" customHeight="1">
      <c r="A2778" t="s" s="2">
        <v>5337</v>
      </c>
      <c r="B2778" s="4">
        <v>36124</v>
      </c>
      <c r="C2778" s="5">
        <v>660</v>
      </c>
      <c r="D2778" s="5">
        <v>47</v>
      </c>
      <c r="E2778" s="5">
        <v>40</v>
      </c>
      <c r="F2778" t="s" s="2">
        <v>301</v>
      </c>
      <c r="G2778" t="s" s="2">
        <v>5270</v>
      </c>
      <c r="H2778" s="5">
        <v>370</v>
      </c>
      <c r="I2778" t="s" s="2">
        <v>520</v>
      </c>
      <c r="J2778" t="s" s="2">
        <v>22</v>
      </c>
      <c r="K2778" t="s" s="2">
        <v>5338</v>
      </c>
      <c r="L2778" t="s" s="2">
        <v>1626</v>
      </c>
      <c r="M2778" s="5">
        <v>660806.54</v>
      </c>
      <c r="N2778" s="5">
        <v>6130306.46</v>
      </c>
      <c r="O2778" t="s" s="2">
        <v>305</v>
      </c>
      <c r="P2778" s="5">
        <v>192415</v>
      </c>
      <c r="Q2778" t="s" s="2">
        <v>5272</v>
      </c>
      <c r="R2778" t="s" s="2">
        <f>_xlfn.IFERROR(INDEX('model_byCAP'!$D$2:$D$377,MATCH(Q2778,'model_byCAP'!$A$2:$A$377,0)),0)</f>
        <v>4861</v>
      </c>
    </row>
    <row r="2779" ht="15.35" customHeight="1">
      <c r="A2779" t="s" s="2">
        <v>5339</v>
      </c>
      <c r="B2779" s="4">
        <v>36570</v>
      </c>
      <c r="C2779" s="5">
        <v>660</v>
      </c>
      <c r="D2779" s="5">
        <v>47</v>
      </c>
      <c r="E2779" s="5">
        <v>45</v>
      </c>
      <c r="F2779" t="s" s="2">
        <v>301</v>
      </c>
      <c r="G2779" t="s" s="2">
        <v>4858</v>
      </c>
      <c r="H2779" s="5">
        <v>370</v>
      </c>
      <c r="I2779" t="s" s="2">
        <v>520</v>
      </c>
      <c r="J2779" t="s" s="2">
        <v>22</v>
      </c>
      <c r="K2779" t="s" s="2">
        <v>5340</v>
      </c>
      <c r="L2779" t="s" s="2">
        <v>481</v>
      </c>
      <c r="M2779" s="5">
        <v>663118.78</v>
      </c>
      <c r="N2779" s="5">
        <v>6128113.23</v>
      </c>
      <c r="O2779" t="s" s="2">
        <v>305</v>
      </c>
      <c r="P2779" s="5">
        <v>194180</v>
      </c>
      <c r="Q2779" t="s" s="2">
        <v>4860</v>
      </c>
      <c r="R2779" t="s" s="2">
        <f>_xlfn.IFERROR(INDEX('model_byCAP'!$D$2:$D$377,MATCH(Q2779,'model_byCAP'!$A$2:$A$377,0)),0)</f>
        <v>4861</v>
      </c>
    </row>
    <row r="2780" ht="15.35" customHeight="1">
      <c r="A2780" t="s" s="2">
        <v>5341</v>
      </c>
      <c r="B2780" s="4">
        <v>36570</v>
      </c>
      <c r="C2780" s="5">
        <v>660</v>
      </c>
      <c r="D2780" s="5">
        <v>47</v>
      </c>
      <c r="E2780" s="5">
        <v>45</v>
      </c>
      <c r="F2780" t="s" s="2">
        <v>301</v>
      </c>
      <c r="G2780" t="s" s="2">
        <v>4858</v>
      </c>
      <c r="H2780" s="5">
        <v>370</v>
      </c>
      <c r="I2780" t="s" s="2">
        <v>520</v>
      </c>
      <c r="J2780" t="s" s="2">
        <v>22</v>
      </c>
      <c r="K2780" t="s" s="2">
        <v>5342</v>
      </c>
      <c r="L2780" t="s" s="2">
        <v>481</v>
      </c>
      <c r="M2780" s="5">
        <v>663108.58</v>
      </c>
      <c r="N2780" s="5">
        <v>6128303.49</v>
      </c>
      <c r="O2780" t="s" s="2">
        <v>305</v>
      </c>
      <c r="P2780" s="5">
        <v>194181</v>
      </c>
      <c r="Q2780" t="s" s="2">
        <v>4860</v>
      </c>
      <c r="R2780" t="s" s="2">
        <f>_xlfn.IFERROR(INDEX('model_byCAP'!$D$2:$D$377,MATCH(Q2780,'model_byCAP'!$A$2:$A$377,0)),0)</f>
        <v>4861</v>
      </c>
    </row>
    <row r="2781" ht="15.35" customHeight="1">
      <c r="A2781" t="s" s="2">
        <v>5343</v>
      </c>
      <c r="B2781" s="4">
        <v>36570</v>
      </c>
      <c r="C2781" s="5">
        <v>660</v>
      </c>
      <c r="D2781" s="5">
        <v>47</v>
      </c>
      <c r="E2781" s="5">
        <v>45</v>
      </c>
      <c r="F2781" t="s" s="2">
        <v>301</v>
      </c>
      <c r="G2781" t="s" s="2">
        <v>4858</v>
      </c>
      <c r="H2781" s="5">
        <v>370</v>
      </c>
      <c r="I2781" t="s" s="2">
        <v>520</v>
      </c>
      <c r="J2781" t="s" s="2">
        <v>22</v>
      </c>
      <c r="K2781" t="s" s="2">
        <v>5340</v>
      </c>
      <c r="L2781" t="s" s="2">
        <v>481</v>
      </c>
      <c r="M2781" s="5">
        <v>663127.54</v>
      </c>
      <c r="N2781" s="5">
        <v>6127923.64</v>
      </c>
      <c r="O2781" t="s" s="2">
        <v>305</v>
      </c>
      <c r="P2781" s="5">
        <v>194179</v>
      </c>
      <c r="Q2781" t="s" s="2">
        <v>4860</v>
      </c>
      <c r="R2781" t="s" s="2">
        <f>_xlfn.IFERROR(INDEX('model_byCAP'!$D$2:$D$377,MATCH(Q2781,'model_byCAP'!$A$2:$A$377,0)),0)</f>
        <v>4861</v>
      </c>
    </row>
    <row r="2782" ht="15.35" customHeight="1">
      <c r="A2782" t="s" s="2">
        <v>5344</v>
      </c>
      <c r="B2782" s="4">
        <v>36724</v>
      </c>
      <c r="C2782" s="5">
        <v>660</v>
      </c>
      <c r="D2782" s="5">
        <v>47</v>
      </c>
      <c r="E2782" s="5">
        <v>40</v>
      </c>
      <c r="F2782" t="s" s="2">
        <v>301</v>
      </c>
      <c r="G2782" t="s" s="2">
        <v>4858</v>
      </c>
      <c r="H2782" s="5">
        <v>376</v>
      </c>
      <c r="I2782" t="s" s="2">
        <v>1991</v>
      </c>
      <c r="J2782" t="s" s="2">
        <v>22</v>
      </c>
      <c r="K2782" t="s" s="2">
        <v>5345</v>
      </c>
      <c r="L2782" t="s" s="2">
        <v>2384</v>
      </c>
      <c r="M2782" s="5">
        <v>669697.09</v>
      </c>
      <c r="N2782" s="5">
        <v>6080170.16</v>
      </c>
      <c r="O2782" t="s" s="2">
        <v>305</v>
      </c>
      <c r="P2782" s="5">
        <v>194940</v>
      </c>
      <c r="Q2782" t="s" s="2">
        <v>4860</v>
      </c>
      <c r="R2782" t="s" s="2">
        <f>_xlfn.IFERROR(INDEX('model_byCAP'!$D$2:$D$377,MATCH(Q2782,'model_byCAP'!$A$2:$A$377,0)),0)</f>
        <v>4861</v>
      </c>
    </row>
    <row r="2783" ht="15.35" customHeight="1">
      <c r="A2783" t="s" s="2">
        <v>5346</v>
      </c>
      <c r="B2783" s="4">
        <v>36517</v>
      </c>
      <c r="C2783" s="5">
        <v>660</v>
      </c>
      <c r="D2783" s="5">
        <v>47</v>
      </c>
      <c r="E2783" s="5">
        <v>45</v>
      </c>
      <c r="F2783" t="s" s="2">
        <v>301</v>
      </c>
      <c r="G2783" t="s" s="2">
        <v>4858</v>
      </c>
      <c r="H2783" s="5">
        <v>376</v>
      </c>
      <c r="I2783" t="s" s="2">
        <v>1991</v>
      </c>
      <c r="J2783" t="s" s="2">
        <v>22</v>
      </c>
      <c r="K2783" t="s" s="2">
        <v>5347</v>
      </c>
      <c r="L2783" t="s" s="2">
        <v>524</v>
      </c>
      <c r="M2783" s="5">
        <v>689563.53</v>
      </c>
      <c r="N2783" s="5">
        <v>6073674.03</v>
      </c>
      <c r="O2783" t="s" s="2">
        <v>305</v>
      </c>
      <c r="P2783" s="5">
        <v>194253</v>
      </c>
      <c r="Q2783" t="s" s="2">
        <v>4860</v>
      </c>
      <c r="R2783" t="s" s="2">
        <f>_xlfn.IFERROR(INDEX('model_byCAP'!$D$2:$D$377,MATCH(Q2783,'model_byCAP'!$A$2:$A$377,0)),0)</f>
        <v>4861</v>
      </c>
    </row>
    <row r="2784" ht="15.35" customHeight="1">
      <c r="A2784" t="s" s="2">
        <v>5348</v>
      </c>
      <c r="B2784" s="4">
        <v>36517</v>
      </c>
      <c r="C2784" s="5">
        <v>660</v>
      </c>
      <c r="D2784" s="5">
        <v>47</v>
      </c>
      <c r="E2784" s="5">
        <v>45</v>
      </c>
      <c r="F2784" t="s" s="2">
        <v>301</v>
      </c>
      <c r="G2784" t="s" s="2">
        <v>4858</v>
      </c>
      <c r="H2784" s="5">
        <v>376</v>
      </c>
      <c r="I2784" t="s" s="2">
        <v>1991</v>
      </c>
      <c r="J2784" t="s" s="2">
        <v>22</v>
      </c>
      <c r="K2784" t="s" s="2">
        <v>5347</v>
      </c>
      <c r="L2784" t="s" s="2">
        <v>524</v>
      </c>
      <c r="M2784" s="5">
        <v>689527.39</v>
      </c>
      <c r="N2784" s="5">
        <v>6073870.71</v>
      </c>
      <c r="O2784" t="s" s="2">
        <v>305</v>
      </c>
      <c r="P2784" s="5">
        <v>194251</v>
      </c>
      <c r="Q2784" t="s" s="2">
        <v>4860</v>
      </c>
      <c r="R2784" t="s" s="2">
        <f>_xlfn.IFERROR(INDEX('model_byCAP'!$D$2:$D$377,MATCH(Q2784,'model_byCAP'!$A$2:$A$377,0)),0)</f>
        <v>4861</v>
      </c>
    </row>
    <row r="2785" ht="15.35" customHeight="1">
      <c r="A2785" t="s" s="2">
        <v>5349</v>
      </c>
      <c r="B2785" s="4">
        <v>36724</v>
      </c>
      <c r="C2785" s="5">
        <v>660</v>
      </c>
      <c r="D2785" s="5">
        <v>47</v>
      </c>
      <c r="E2785" s="5">
        <v>40</v>
      </c>
      <c r="F2785" t="s" s="2">
        <v>301</v>
      </c>
      <c r="G2785" t="s" s="2">
        <v>4858</v>
      </c>
      <c r="H2785" s="5">
        <v>376</v>
      </c>
      <c r="I2785" t="s" s="2">
        <v>1991</v>
      </c>
      <c r="J2785" t="s" s="2">
        <v>22</v>
      </c>
      <c r="K2785" t="s" s="2">
        <v>5350</v>
      </c>
      <c r="L2785" t="s" s="2">
        <v>1201</v>
      </c>
      <c r="M2785" s="5">
        <v>669748.11</v>
      </c>
      <c r="N2785" s="5">
        <v>6080737.96</v>
      </c>
      <c r="O2785" t="s" s="2">
        <v>305</v>
      </c>
      <c r="P2785" s="5">
        <v>194937</v>
      </c>
      <c r="Q2785" t="s" s="2">
        <v>4860</v>
      </c>
      <c r="R2785" t="s" s="2">
        <f>_xlfn.IFERROR(INDEX('model_byCAP'!$D$2:$D$377,MATCH(Q2785,'model_byCAP'!$A$2:$A$377,0)),0)</f>
        <v>4861</v>
      </c>
    </row>
    <row r="2786" ht="15.35" customHeight="1">
      <c r="A2786" t="s" s="2">
        <v>5351</v>
      </c>
      <c r="B2786" s="4">
        <v>36622</v>
      </c>
      <c r="C2786" s="5">
        <v>660</v>
      </c>
      <c r="D2786" s="5">
        <v>47</v>
      </c>
      <c r="E2786" s="5">
        <v>45</v>
      </c>
      <c r="F2786" t="s" s="2">
        <v>301</v>
      </c>
      <c r="G2786" t="s" s="2">
        <v>4858</v>
      </c>
      <c r="H2786" s="5">
        <v>376</v>
      </c>
      <c r="I2786" t="s" s="2">
        <v>1991</v>
      </c>
      <c r="J2786" t="s" s="2">
        <v>22</v>
      </c>
      <c r="K2786" t="s" s="2">
        <v>5347</v>
      </c>
      <c r="L2786" t="s" s="2">
        <v>524</v>
      </c>
      <c r="M2786" s="5">
        <v>689491.53</v>
      </c>
      <c r="N2786" s="5">
        <v>6074069.21</v>
      </c>
      <c r="O2786" t="s" s="2">
        <v>305</v>
      </c>
      <c r="P2786" s="5">
        <v>194252</v>
      </c>
      <c r="Q2786" t="s" s="2">
        <v>4860</v>
      </c>
      <c r="R2786" t="s" s="2">
        <f>_xlfn.IFERROR(INDEX('model_byCAP'!$D$2:$D$377,MATCH(Q2786,'model_byCAP'!$A$2:$A$377,0)),0)</f>
        <v>4861</v>
      </c>
    </row>
    <row r="2787" ht="15.35" customHeight="1">
      <c r="A2787" t="s" s="2">
        <v>5352</v>
      </c>
      <c r="B2787" s="4">
        <v>36724</v>
      </c>
      <c r="C2787" s="5">
        <v>660</v>
      </c>
      <c r="D2787" s="5">
        <v>47</v>
      </c>
      <c r="E2787" s="5">
        <v>40.5</v>
      </c>
      <c r="F2787" t="s" s="2">
        <v>301</v>
      </c>
      <c r="G2787" t="s" s="2">
        <v>4858</v>
      </c>
      <c r="H2787" s="5">
        <v>376</v>
      </c>
      <c r="I2787" t="s" s="2">
        <v>1991</v>
      </c>
      <c r="J2787" t="s" s="2">
        <v>22</v>
      </c>
      <c r="K2787" t="s" s="2">
        <v>5345</v>
      </c>
      <c r="L2787" t="s" s="2">
        <v>5353</v>
      </c>
      <c r="M2787" s="5">
        <v>669714.3199999999</v>
      </c>
      <c r="N2787" s="5">
        <v>6080359.55</v>
      </c>
      <c r="O2787" t="s" s="2">
        <v>305</v>
      </c>
      <c r="P2787" s="5">
        <v>194939</v>
      </c>
      <c r="Q2787" t="s" s="2">
        <v>4860</v>
      </c>
      <c r="R2787" t="s" s="2">
        <f>_xlfn.IFERROR(INDEX('model_byCAP'!$D$2:$D$377,MATCH(Q2787,'model_byCAP'!$A$2:$A$377,0)),0)</f>
        <v>4861</v>
      </c>
    </row>
    <row r="2788" ht="15.35" customHeight="1">
      <c r="A2788" t="s" s="2">
        <v>5354</v>
      </c>
      <c r="B2788" s="4">
        <v>36724</v>
      </c>
      <c r="C2788" s="5">
        <v>660</v>
      </c>
      <c r="D2788" s="5">
        <v>47</v>
      </c>
      <c r="E2788" s="5">
        <v>40</v>
      </c>
      <c r="F2788" t="s" s="2">
        <v>301</v>
      </c>
      <c r="G2788" t="s" s="2">
        <v>4858</v>
      </c>
      <c r="H2788" s="5">
        <v>376</v>
      </c>
      <c r="I2788" t="s" s="2">
        <v>1991</v>
      </c>
      <c r="J2788" t="s" s="2">
        <v>22</v>
      </c>
      <c r="K2788" t="s" s="2">
        <v>5345</v>
      </c>
      <c r="L2788" t="s" s="2">
        <v>914</v>
      </c>
      <c r="M2788" s="5">
        <v>669731.26</v>
      </c>
      <c r="N2788" s="5">
        <v>6080548.69</v>
      </c>
      <c r="O2788" t="s" s="2">
        <v>305</v>
      </c>
      <c r="P2788" s="5">
        <v>194938</v>
      </c>
      <c r="Q2788" t="s" s="2">
        <v>4860</v>
      </c>
      <c r="R2788" t="s" s="2">
        <f>_xlfn.IFERROR(INDEX('model_byCAP'!$D$2:$D$377,MATCH(Q2788,'model_byCAP'!$A$2:$A$377,0)),0)</f>
        <v>4861</v>
      </c>
    </row>
    <row r="2789" ht="15.35" customHeight="1">
      <c r="A2789" t="s" s="2">
        <v>5355</v>
      </c>
      <c r="B2789" s="4">
        <v>36532</v>
      </c>
      <c r="C2789" s="5">
        <v>660</v>
      </c>
      <c r="D2789" s="5">
        <v>47</v>
      </c>
      <c r="E2789" s="5">
        <v>45</v>
      </c>
      <c r="F2789" t="s" s="2">
        <v>301</v>
      </c>
      <c r="G2789" t="s" s="2">
        <v>4858</v>
      </c>
      <c r="H2789" s="5">
        <v>390</v>
      </c>
      <c r="I2789" t="s" s="2">
        <v>46</v>
      </c>
      <c r="J2789" t="s" s="2">
        <v>22</v>
      </c>
      <c r="K2789" t="s" s="2">
        <v>5356</v>
      </c>
      <c r="L2789" t="s" s="2">
        <v>481</v>
      </c>
      <c r="M2789" s="5">
        <v>693119.11</v>
      </c>
      <c r="N2789" s="5">
        <v>6105046.35</v>
      </c>
      <c r="O2789" t="s" s="2">
        <v>305</v>
      </c>
      <c r="P2789" s="5">
        <v>194308</v>
      </c>
      <c r="Q2789" t="s" s="2">
        <v>4860</v>
      </c>
      <c r="R2789" t="s" s="2">
        <f>_xlfn.IFERROR(INDEX('model_byCAP'!$D$2:$D$377,MATCH(Q2789,'model_byCAP'!$A$2:$A$377,0)),0)</f>
        <v>4861</v>
      </c>
    </row>
    <row r="2790" ht="15.35" customHeight="1">
      <c r="A2790" t="s" s="2">
        <v>5357</v>
      </c>
      <c r="B2790" s="4">
        <v>36532</v>
      </c>
      <c r="C2790" s="5">
        <v>660</v>
      </c>
      <c r="D2790" s="5">
        <v>47</v>
      </c>
      <c r="E2790" s="5">
        <v>45</v>
      </c>
      <c r="F2790" t="s" s="2">
        <v>301</v>
      </c>
      <c r="G2790" t="s" s="2">
        <v>4858</v>
      </c>
      <c r="H2790" s="5">
        <v>390</v>
      </c>
      <c r="I2790" t="s" s="2">
        <v>46</v>
      </c>
      <c r="J2790" t="s" s="2">
        <v>22</v>
      </c>
      <c r="K2790" t="s" s="2">
        <v>5356</v>
      </c>
      <c r="L2790" t="s" s="2">
        <v>481</v>
      </c>
      <c r="M2790" s="5">
        <v>693213.75</v>
      </c>
      <c r="N2790" s="5">
        <v>6104914.82</v>
      </c>
      <c r="O2790" t="s" s="2">
        <v>305</v>
      </c>
      <c r="P2790" s="5">
        <v>194307</v>
      </c>
      <c r="Q2790" t="s" s="2">
        <v>4860</v>
      </c>
      <c r="R2790" t="s" s="2">
        <f>_xlfn.IFERROR(INDEX('model_byCAP'!$D$2:$D$377,MATCH(Q2790,'model_byCAP'!$A$2:$A$377,0)),0)</f>
        <v>4861</v>
      </c>
    </row>
    <row r="2791" ht="15.35" customHeight="1">
      <c r="A2791" t="s" s="2">
        <v>5358</v>
      </c>
      <c r="B2791" s="4">
        <v>36532</v>
      </c>
      <c r="C2791" s="5">
        <v>660</v>
      </c>
      <c r="D2791" s="5">
        <v>47</v>
      </c>
      <c r="E2791" s="5">
        <v>45</v>
      </c>
      <c r="F2791" t="s" s="2">
        <v>301</v>
      </c>
      <c r="G2791" t="s" s="2">
        <v>4858</v>
      </c>
      <c r="H2791" s="5">
        <v>390</v>
      </c>
      <c r="I2791" t="s" s="2">
        <v>46</v>
      </c>
      <c r="J2791" t="s" s="2">
        <v>22</v>
      </c>
      <c r="K2791" t="s" s="2">
        <v>5359</v>
      </c>
      <c r="L2791" t="s" s="2">
        <v>4147</v>
      </c>
      <c r="M2791" s="5">
        <v>694535.01</v>
      </c>
      <c r="N2791" s="5">
        <v>6102796.46</v>
      </c>
      <c r="O2791" t="s" s="2">
        <v>305</v>
      </c>
      <c r="P2791" s="5">
        <v>194309</v>
      </c>
      <c r="Q2791" t="s" s="2">
        <v>4860</v>
      </c>
      <c r="R2791" t="s" s="2">
        <f>_xlfn.IFERROR(INDEX('model_byCAP'!$D$2:$D$377,MATCH(Q2791,'model_byCAP'!$A$2:$A$377,0)),0)</f>
        <v>4861</v>
      </c>
    </row>
    <row r="2792" ht="15.35" customHeight="1">
      <c r="A2792" t="s" s="2">
        <v>5360</v>
      </c>
      <c r="B2792" s="4">
        <v>36532</v>
      </c>
      <c r="C2792" s="5">
        <v>660</v>
      </c>
      <c r="D2792" s="5">
        <v>47</v>
      </c>
      <c r="E2792" s="5">
        <v>45</v>
      </c>
      <c r="F2792" t="s" s="2">
        <v>301</v>
      </c>
      <c r="G2792" t="s" s="2">
        <v>4858</v>
      </c>
      <c r="H2792" s="5">
        <v>390</v>
      </c>
      <c r="I2792" t="s" s="2">
        <v>46</v>
      </c>
      <c r="J2792" t="s" s="2">
        <v>22</v>
      </c>
      <c r="K2792" t="s" s="2">
        <v>5359</v>
      </c>
      <c r="L2792" t="s" s="2">
        <v>4147</v>
      </c>
      <c r="M2792" s="5">
        <v>694441.1800000001</v>
      </c>
      <c r="N2792" s="5">
        <v>6102927.34</v>
      </c>
      <c r="O2792" t="s" s="2">
        <v>305</v>
      </c>
      <c r="P2792" s="5">
        <v>194310</v>
      </c>
      <c r="Q2792" t="s" s="2">
        <v>4860</v>
      </c>
      <c r="R2792" t="s" s="2">
        <f>_xlfn.IFERROR(INDEX('model_byCAP'!$D$2:$D$377,MATCH(Q2792,'model_byCAP'!$A$2:$A$377,0)),0)</f>
        <v>4861</v>
      </c>
    </row>
    <row r="2793" ht="15.35" customHeight="1">
      <c r="A2793" t="s" s="2">
        <v>5361</v>
      </c>
      <c r="B2793" s="4">
        <v>36804</v>
      </c>
      <c r="C2793" s="5">
        <v>660</v>
      </c>
      <c r="D2793" s="5">
        <v>47</v>
      </c>
      <c r="E2793" s="5">
        <v>45</v>
      </c>
      <c r="F2793" t="s" s="2">
        <v>301</v>
      </c>
      <c r="G2793" t="s" s="2">
        <v>4858</v>
      </c>
      <c r="H2793" s="5">
        <v>390</v>
      </c>
      <c r="I2793" t="s" s="2">
        <v>46</v>
      </c>
      <c r="J2793" t="s" s="2">
        <v>22</v>
      </c>
      <c r="K2793" t="s" s="2">
        <v>5359</v>
      </c>
      <c r="L2793" t="s" s="2">
        <v>4147</v>
      </c>
      <c r="M2793" s="5">
        <v>694627.96</v>
      </c>
      <c r="N2793" s="5">
        <v>6102666.48</v>
      </c>
      <c r="O2793" t="s" s="2">
        <v>305</v>
      </c>
      <c r="P2793" s="5">
        <v>195376</v>
      </c>
      <c r="Q2793" t="s" s="2">
        <v>4860</v>
      </c>
      <c r="R2793" t="s" s="2">
        <f>_xlfn.IFERROR(INDEX('model_byCAP'!$D$2:$D$377,MATCH(Q2793,'model_byCAP'!$A$2:$A$377,0)),0)</f>
        <v>4861</v>
      </c>
    </row>
    <row r="2794" ht="15.35" customHeight="1">
      <c r="A2794" t="s" s="2">
        <v>5362</v>
      </c>
      <c r="B2794" s="4">
        <v>36804</v>
      </c>
      <c r="C2794" s="5">
        <v>660</v>
      </c>
      <c r="D2794" s="5">
        <v>47</v>
      </c>
      <c r="E2794" s="5">
        <v>45</v>
      </c>
      <c r="F2794" t="s" s="2">
        <v>301</v>
      </c>
      <c r="G2794" t="s" s="2">
        <v>4858</v>
      </c>
      <c r="H2794" s="5">
        <v>390</v>
      </c>
      <c r="I2794" t="s" s="2">
        <v>46</v>
      </c>
      <c r="J2794" t="s" s="2">
        <v>22</v>
      </c>
      <c r="K2794" t="s" s="2">
        <v>5363</v>
      </c>
      <c r="L2794" t="s" s="2">
        <v>481</v>
      </c>
      <c r="M2794" s="5">
        <v>693305.4300000001</v>
      </c>
      <c r="N2794" s="5">
        <v>6104785.19</v>
      </c>
      <c r="O2794" t="s" s="2">
        <v>305</v>
      </c>
      <c r="P2794" s="5">
        <v>195375</v>
      </c>
      <c r="Q2794" t="s" s="2">
        <v>4860</v>
      </c>
      <c r="R2794" t="s" s="2">
        <f>_xlfn.IFERROR(INDEX('model_byCAP'!$D$2:$D$377,MATCH(Q2794,'model_byCAP'!$A$2:$A$377,0)),0)</f>
        <v>4861</v>
      </c>
    </row>
    <row r="2795" ht="15.35" customHeight="1">
      <c r="A2795" t="s" s="2">
        <v>5364</v>
      </c>
      <c r="B2795" s="4">
        <v>36480</v>
      </c>
      <c r="C2795" s="5">
        <v>660</v>
      </c>
      <c r="D2795" s="5">
        <v>47</v>
      </c>
      <c r="E2795" s="5">
        <v>40</v>
      </c>
      <c r="F2795" t="s" s="2">
        <v>301</v>
      </c>
      <c r="G2795" t="s" s="2">
        <v>5270</v>
      </c>
      <c r="H2795" s="5">
        <v>400</v>
      </c>
      <c r="I2795" t="s" s="2">
        <v>2068</v>
      </c>
      <c r="J2795" t="s" s="2">
        <v>22</v>
      </c>
      <c r="K2795" t="s" s="2">
        <v>2860</v>
      </c>
      <c r="L2795" t="s" s="2">
        <v>5365</v>
      </c>
      <c r="M2795" s="5">
        <v>866874.0600000001</v>
      </c>
      <c r="N2795" s="5">
        <v>6134399.36</v>
      </c>
      <c r="O2795" t="s" s="2">
        <v>305</v>
      </c>
      <c r="P2795" t="s" s="2">
        <v>5366</v>
      </c>
      <c r="Q2795" t="s" s="2">
        <v>5272</v>
      </c>
      <c r="R2795" t="s" s="2">
        <f>_xlfn.IFERROR(INDEX('model_byCAP'!$D$2:$D$377,MATCH(Q2795,'model_byCAP'!$A$2:$A$377,0)),0)</f>
        <v>4861</v>
      </c>
    </row>
    <row r="2796" ht="15.35" customHeight="1">
      <c r="A2796" t="s" s="2">
        <v>5367</v>
      </c>
      <c r="B2796" s="4">
        <v>37568</v>
      </c>
      <c r="C2796" s="5">
        <v>660</v>
      </c>
      <c r="D2796" s="5">
        <v>47</v>
      </c>
      <c r="E2796" s="5">
        <v>40</v>
      </c>
      <c r="F2796" t="s" s="2">
        <v>301</v>
      </c>
      <c r="G2796" t="s" s="2">
        <v>5270</v>
      </c>
      <c r="H2796" s="5">
        <v>400</v>
      </c>
      <c r="I2796" t="s" s="2">
        <v>2068</v>
      </c>
      <c r="J2796" t="s" s="2">
        <v>22</v>
      </c>
      <c r="K2796" t="s" s="2">
        <v>5368</v>
      </c>
      <c r="L2796" t="s" s="2">
        <v>3953</v>
      </c>
      <c r="M2796" s="5">
        <v>867150.88</v>
      </c>
      <c r="N2796" s="5">
        <v>6134656.03</v>
      </c>
      <c r="O2796" t="s" s="2">
        <v>305</v>
      </c>
      <c r="P2796" t="s" s="2">
        <v>5369</v>
      </c>
      <c r="Q2796" t="s" s="2">
        <v>5272</v>
      </c>
      <c r="R2796" t="s" s="2">
        <f>_xlfn.IFERROR(INDEX('model_byCAP'!$D$2:$D$377,MATCH(Q2796,'model_byCAP'!$A$2:$A$377,0)),0)</f>
        <v>4861</v>
      </c>
    </row>
    <row r="2797" ht="15.35" customHeight="1">
      <c r="A2797" t="s" s="2">
        <v>5370</v>
      </c>
      <c r="B2797" s="4">
        <v>36664</v>
      </c>
      <c r="C2797" s="5">
        <v>660</v>
      </c>
      <c r="D2797" s="5">
        <v>47</v>
      </c>
      <c r="E2797" s="5">
        <v>50</v>
      </c>
      <c r="F2797" t="s" s="2">
        <v>301</v>
      </c>
      <c r="G2797" t="s" s="2">
        <v>5270</v>
      </c>
      <c r="H2797" s="5">
        <v>410</v>
      </c>
      <c r="I2797" t="s" s="2">
        <v>4278</v>
      </c>
      <c r="J2797" t="s" s="2">
        <v>22</v>
      </c>
      <c r="K2797" t="s" s="2">
        <v>4279</v>
      </c>
      <c r="L2797" t="s" s="2">
        <v>2348</v>
      </c>
      <c r="M2797" s="5">
        <v>551393.2</v>
      </c>
      <c r="N2797" s="5">
        <v>6150576.51</v>
      </c>
      <c r="O2797" t="s" s="2">
        <v>305</v>
      </c>
      <c r="P2797" s="8">
        <v>210471</v>
      </c>
      <c r="Q2797" t="s" s="2">
        <v>5272</v>
      </c>
      <c r="R2797" t="s" s="2">
        <f>_xlfn.IFERROR(INDEX('model_byCAP'!$D$2:$D$377,MATCH(Q2797,'model_byCAP'!$A$2:$A$377,0)),0)</f>
        <v>4861</v>
      </c>
    </row>
    <row r="2798" ht="15.35" customHeight="1">
      <c r="A2798" t="s" s="2">
        <v>5371</v>
      </c>
      <c r="B2798" s="4">
        <v>36360</v>
      </c>
      <c r="C2798" s="5">
        <v>660</v>
      </c>
      <c r="D2798" s="5">
        <v>47</v>
      </c>
      <c r="E2798" s="5">
        <v>50</v>
      </c>
      <c r="F2798" t="s" s="2">
        <v>301</v>
      </c>
      <c r="G2798" t="s" s="2">
        <v>5270</v>
      </c>
      <c r="H2798" s="5">
        <v>410</v>
      </c>
      <c r="I2798" t="s" s="2">
        <v>4278</v>
      </c>
      <c r="J2798" t="s" s="2">
        <v>22</v>
      </c>
      <c r="K2798" t="s" s="2">
        <v>4279</v>
      </c>
      <c r="L2798" t="s" s="2">
        <v>524</v>
      </c>
      <c r="M2798" s="5">
        <v>551525.4</v>
      </c>
      <c r="N2798" s="5">
        <v>6150501.88</v>
      </c>
      <c r="O2798" t="s" s="2">
        <v>305</v>
      </c>
      <c r="P2798" s="8">
        <v>210357</v>
      </c>
      <c r="Q2798" t="s" s="2">
        <v>5272</v>
      </c>
      <c r="R2798" t="s" s="2">
        <f>_xlfn.IFERROR(INDEX('model_byCAP'!$D$2:$D$377,MATCH(Q2798,'model_byCAP'!$A$2:$A$377,0)),0)</f>
        <v>4861</v>
      </c>
    </row>
    <row r="2799" ht="15.35" customHeight="1">
      <c r="A2799" t="s" s="2">
        <v>5372</v>
      </c>
      <c r="B2799" s="4">
        <v>36088</v>
      </c>
      <c r="C2799" s="5">
        <v>660</v>
      </c>
      <c r="D2799" s="5">
        <v>47</v>
      </c>
      <c r="E2799" s="5">
        <v>50</v>
      </c>
      <c r="F2799" t="s" s="2">
        <v>301</v>
      </c>
      <c r="G2799" t="s" s="2">
        <v>5270</v>
      </c>
      <c r="H2799" s="5">
        <v>420</v>
      </c>
      <c r="I2799" t="s" s="2">
        <v>3043</v>
      </c>
      <c r="J2799" t="s" s="2">
        <v>22</v>
      </c>
      <c r="K2799" t="s" s="2">
        <v>5373</v>
      </c>
      <c r="L2799" t="s" s="2">
        <v>1258</v>
      </c>
      <c r="M2799" s="5">
        <v>567229.6800000001</v>
      </c>
      <c r="N2799" s="5">
        <v>6123350.68</v>
      </c>
      <c r="O2799" t="s" s="2">
        <v>305</v>
      </c>
      <c r="P2799" s="5">
        <v>99174</v>
      </c>
      <c r="Q2799" t="s" s="2">
        <v>5272</v>
      </c>
      <c r="R2799" t="s" s="2">
        <f>_xlfn.IFERROR(INDEX('model_byCAP'!$D$2:$D$377,MATCH(Q2799,'model_byCAP'!$A$2:$A$377,0)),0)</f>
        <v>4861</v>
      </c>
    </row>
    <row r="2800" ht="15.35" customHeight="1">
      <c r="A2800" t="s" s="2">
        <v>5374</v>
      </c>
      <c r="B2800" s="4">
        <v>36083</v>
      </c>
      <c r="C2800" s="5">
        <v>660</v>
      </c>
      <c r="D2800" s="5">
        <v>47</v>
      </c>
      <c r="E2800" s="5">
        <v>50</v>
      </c>
      <c r="F2800" t="s" s="2">
        <v>301</v>
      </c>
      <c r="G2800" t="s" s="2">
        <v>5270</v>
      </c>
      <c r="H2800" s="5">
        <v>420</v>
      </c>
      <c r="I2800" t="s" s="2">
        <v>3043</v>
      </c>
      <c r="J2800" t="s" s="2">
        <v>22</v>
      </c>
      <c r="K2800" t="s" s="2">
        <v>5373</v>
      </c>
      <c r="L2800" t="s" s="2">
        <v>2809</v>
      </c>
      <c r="M2800" s="5">
        <v>567072.5699999999</v>
      </c>
      <c r="N2800" s="5">
        <v>6123423.61</v>
      </c>
      <c r="O2800" t="s" s="2">
        <v>305</v>
      </c>
      <c r="P2800" s="5">
        <v>99175</v>
      </c>
      <c r="Q2800" t="s" s="2">
        <v>5272</v>
      </c>
      <c r="R2800" t="s" s="2">
        <f>_xlfn.IFERROR(INDEX('model_byCAP'!$D$2:$D$377,MATCH(Q2800,'model_byCAP'!$A$2:$A$377,0)),0)</f>
        <v>4861</v>
      </c>
    </row>
    <row r="2801" ht="15.35" customHeight="1">
      <c r="A2801" t="s" s="2">
        <v>5375</v>
      </c>
      <c r="B2801" s="4">
        <v>36081</v>
      </c>
      <c r="C2801" s="5">
        <v>660</v>
      </c>
      <c r="D2801" s="5">
        <v>47</v>
      </c>
      <c r="E2801" s="5">
        <v>50</v>
      </c>
      <c r="F2801" t="s" s="2">
        <v>301</v>
      </c>
      <c r="G2801" t="s" s="2">
        <v>5270</v>
      </c>
      <c r="H2801" s="5">
        <v>420</v>
      </c>
      <c r="I2801" t="s" s="2">
        <v>3043</v>
      </c>
      <c r="J2801" t="s" s="2">
        <v>22</v>
      </c>
      <c r="K2801" t="s" s="2">
        <v>5373</v>
      </c>
      <c r="L2801" t="s" s="2">
        <v>1049</v>
      </c>
      <c r="M2801" s="5">
        <v>566916.0699999999</v>
      </c>
      <c r="N2801" s="5">
        <v>6123496.91</v>
      </c>
      <c r="O2801" t="s" s="2">
        <v>305</v>
      </c>
      <c r="P2801" s="5">
        <v>99176</v>
      </c>
      <c r="Q2801" t="s" s="2">
        <v>5272</v>
      </c>
      <c r="R2801" t="s" s="2">
        <f>_xlfn.IFERROR(INDEX('model_byCAP'!$D$2:$D$377,MATCH(Q2801,'model_byCAP'!$A$2:$A$377,0)),0)</f>
        <v>4861</v>
      </c>
    </row>
    <row r="2802" ht="15.35" customHeight="1">
      <c r="A2802" t="s" s="2">
        <v>5376</v>
      </c>
      <c r="B2802" s="4">
        <v>36172</v>
      </c>
      <c r="C2802" s="5">
        <v>660</v>
      </c>
      <c r="D2802" s="5">
        <v>47</v>
      </c>
      <c r="E2802" s="5">
        <v>50</v>
      </c>
      <c r="F2802" t="s" s="2">
        <v>301</v>
      </c>
      <c r="G2802" t="s" s="2">
        <v>5270</v>
      </c>
      <c r="H2802" s="5">
        <v>420</v>
      </c>
      <c r="I2802" t="s" s="2">
        <v>3043</v>
      </c>
      <c r="J2802" t="s" s="2">
        <v>22</v>
      </c>
      <c r="K2802" t="s" s="2">
        <v>5377</v>
      </c>
      <c r="L2802" t="s" s="2">
        <v>3355</v>
      </c>
      <c r="M2802" s="5">
        <v>565305.6</v>
      </c>
      <c r="N2802" s="5">
        <v>6128450.48</v>
      </c>
      <c r="O2802" t="s" s="2">
        <v>305</v>
      </c>
      <c r="P2802" s="5">
        <v>99179</v>
      </c>
      <c r="Q2802" t="s" s="2">
        <v>5272</v>
      </c>
      <c r="R2802" t="s" s="2">
        <f>_xlfn.IFERROR(INDEX('model_byCAP'!$D$2:$D$377,MATCH(Q2802,'model_byCAP'!$A$2:$A$377,0)),0)</f>
        <v>4861</v>
      </c>
    </row>
    <row r="2803" ht="15.35" customHeight="1">
      <c r="A2803" t="s" s="2">
        <v>5378</v>
      </c>
      <c r="B2803" s="4">
        <v>36179</v>
      </c>
      <c r="C2803" s="5">
        <v>660</v>
      </c>
      <c r="D2803" s="5">
        <v>47</v>
      </c>
      <c r="E2803" s="5">
        <v>50</v>
      </c>
      <c r="F2803" t="s" s="2">
        <v>301</v>
      </c>
      <c r="G2803" t="s" s="2">
        <v>5270</v>
      </c>
      <c r="H2803" s="5">
        <v>420</v>
      </c>
      <c r="I2803" t="s" s="2">
        <v>3043</v>
      </c>
      <c r="J2803" t="s" s="2">
        <v>22</v>
      </c>
      <c r="K2803" t="s" s="2">
        <v>5377</v>
      </c>
      <c r="L2803" t="s" s="2">
        <v>524</v>
      </c>
      <c r="M2803" s="5">
        <v>565560.23</v>
      </c>
      <c r="N2803" s="5">
        <v>6128486.77</v>
      </c>
      <c r="O2803" t="s" s="2">
        <v>305</v>
      </c>
      <c r="P2803" s="5">
        <v>99180</v>
      </c>
      <c r="Q2803" t="s" s="2">
        <v>5272</v>
      </c>
      <c r="R2803" t="s" s="2">
        <f>_xlfn.IFERROR(INDEX('model_byCAP'!$D$2:$D$377,MATCH(Q2803,'model_byCAP'!$A$2:$A$377,0)),0)</f>
        <v>4861</v>
      </c>
    </row>
    <row r="2804" ht="15.35" customHeight="1">
      <c r="A2804" t="s" s="2">
        <v>5379</v>
      </c>
      <c r="B2804" s="4">
        <v>36645</v>
      </c>
      <c r="C2804" s="5">
        <v>660</v>
      </c>
      <c r="D2804" s="5">
        <v>47</v>
      </c>
      <c r="E2804" s="5">
        <v>50</v>
      </c>
      <c r="F2804" t="s" s="2">
        <v>301</v>
      </c>
      <c r="G2804" t="s" s="2">
        <v>5270</v>
      </c>
      <c r="H2804" s="5">
        <v>420</v>
      </c>
      <c r="I2804" t="s" s="2">
        <v>3043</v>
      </c>
      <c r="J2804" t="s" s="2">
        <v>22</v>
      </c>
      <c r="K2804" t="s" s="2">
        <v>5380</v>
      </c>
      <c r="L2804" t="s" s="2">
        <v>1591</v>
      </c>
      <c r="M2804" s="5">
        <v>567271.84</v>
      </c>
      <c r="N2804" s="5">
        <v>6125256.33</v>
      </c>
      <c r="O2804" t="s" s="2">
        <v>305</v>
      </c>
      <c r="P2804" s="5">
        <v>99230</v>
      </c>
      <c r="Q2804" t="s" s="2">
        <v>5272</v>
      </c>
      <c r="R2804" t="s" s="2">
        <f>_xlfn.IFERROR(INDEX('model_byCAP'!$D$2:$D$377,MATCH(Q2804,'model_byCAP'!$A$2:$A$377,0)),0)</f>
        <v>4861</v>
      </c>
    </row>
    <row r="2805" ht="15.35" customHeight="1">
      <c r="A2805" t="s" s="2">
        <v>5381</v>
      </c>
      <c r="B2805" s="4">
        <v>36853</v>
      </c>
      <c r="C2805" s="5">
        <v>660</v>
      </c>
      <c r="D2805" s="5">
        <v>47</v>
      </c>
      <c r="E2805" s="5">
        <v>50</v>
      </c>
      <c r="F2805" t="s" s="2">
        <v>301</v>
      </c>
      <c r="G2805" t="s" s="2">
        <v>5270</v>
      </c>
      <c r="H2805" s="5">
        <v>420</v>
      </c>
      <c r="I2805" t="s" s="2">
        <v>3043</v>
      </c>
      <c r="J2805" t="s" s="2">
        <v>22</v>
      </c>
      <c r="K2805" t="s" s="2">
        <v>5382</v>
      </c>
      <c r="L2805" t="s" s="2">
        <v>481</v>
      </c>
      <c r="M2805" s="5">
        <v>564380.61</v>
      </c>
      <c r="N2805" s="5">
        <v>6133800.26</v>
      </c>
      <c r="O2805" t="s" s="2">
        <v>305</v>
      </c>
      <c r="P2805" s="5">
        <v>99234</v>
      </c>
      <c r="Q2805" t="s" s="2">
        <v>5272</v>
      </c>
      <c r="R2805" t="s" s="2">
        <f>_xlfn.IFERROR(INDEX('model_byCAP'!$D$2:$D$377,MATCH(Q2805,'model_byCAP'!$A$2:$A$377,0)),0)</f>
        <v>4861</v>
      </c>
    </row>
    <row r="2806" ht="15.35" customHeight="1">
      <c r="A2806" t="s" s="2">
        <v>5383</v>
      </c>
      <c r="B2806" s="4">
        <v>36775</v>
      </c>
      <c r="C2806" s="5">
        <v>660</v>
      </c>
      <c r="D2806" s="5">
        <v>47</v>
      </c>
      <c r="E2806" s="5">
        <v>50</v>
      </c>
      <c r="F2806" t="s" s="2">
        <v>301</v>
      </c>
      <c r="G2806" t="s" s="2">
        <v>5270</v>
      </c>
      <c r="H2806" s="5">
        <v>420</v>
      </c>
      <c r="I2806" t="s" s="2">
        <v>3043</v>
      </c>
      <c r="J2806" t="s" s="2">
        <v>22</v>
      </c>
      <c r="K2806" t="s" s="2">
        <v>5382</v>
      </c>
      <c r="L2806" t="s" s="2">
        <v>481</v>
      </c>
      <c r="M2806" s="5">
        <v>564360.37</v>
      </c>
      <c r="N2806" s="5">
        <v>6133973.83</v>
      </c>
      <c r="O2806" t="s" s="2">
        <v>305</v>
      </c>
      <c r="P2806" s="5">
        <v>99235</v>
      </c>
      <c r="Q2806" t="s" s="2">
        <v>5272</v>
      </c>
      <c r="R2806" t="s" s="2">
        <f>_xlfn.IFERROR(INDEX('model_byCAP'!$D$2:$D$377,MATCH(Q2806,'model_byCAP'!$A$2:$A$377,0)),0)</f>
        <v>4861</v>
      </c>
    </row>
    <row r="2807" ht="15.35" customHeight="1">
      <c r="A2807" t="s" s="2">
        <v>5384</v>
      </c>
      <c r="B2807" s="4">
        <v>36860</v>
      </c>
      <c r="C2807" s="5">
        <v>660</v>
      </c>
      <c r="D2807" s="5">
        <v>47</v>
      </c>
      <c r="E2807" s="5">
        <v>50</v>
      </c>
      <c r="F2807" t="s" s="2">
        <v>301</v>
      </c>
      <c r="G2807" t="s" s="2">
        <v>5270</v>
      </c>
      <c r="H2807" s="5">
        <v>420</v>
      </c>
      <c r="I2807" t="s" s="2">
        <v>3043</v>
      </c>
      <c r="J2807" t="s" s="2">
        <v>22</v>
      </c>
      <c r="K2807" t="s" s="2">
        <v>5382</v>
      </c>
      <c r="L2807" t="s" s="2">
        <v>1422</v>
      </c>
      <c r="M2807" s="5">
        <v>564339.87</v>
      </c>
      <c r="N2807" s="5">
        <v>6134147.4</v>
      </c>
      <c r="O2807" t="s" s="2">
        <v>305</v>
      </c>
      <c r="P2807" s="5">
        <v>99236</v>
      </c>
      <c r="Q2807" t="s" s="2">
        <v>5272</v>
      </c>
      <c r="R2807" t="s" s="2">
        <f>_xlfn.IFERROR(INDEX('model_byCAP'!$D$2:$D$377,MATCH(Q2807,'model_byCAP'!$A$2:$A$377,0)),0)</f>
        <v>4861</v>
      </c>
    </row>
    <row r="2808" ht="15.35" customHeight="1">
      <c r="A2808" t="s" s="2">
        <v>5385</v>
      </c>
      <c r="B2808" s="4">
        <v>36882</v>
      </c>
      <c r="C2808" s="5">
        <v>660</v>
      </c>
      <c r="D2808" s="5">
        <v>47</v>
      </c>
      <c r="E2808" s="5">
        <v>45.3</v>
      </c>
      <c r="F2808" t="s" s="2">
        <v>301</v>
      </c>
      <c r="G2808" t="s" s="2">
        <v>5270</v>
      </c>
      <c r="H2808" s="5">
        <v>420</v>
      </c>
      <c r="I2808" t="s" s="2">
        <v>3043</v>
      </c>
      <c r="J2808" t="s" s="2">
        <v>22</v>
      </c>
      <c r="K2808" t="s" s="2">
        <v>5386</v>
      </c>
      <c r="L2808" t="s" s="2">
        <v>608</v>
      </c>
      <c r="M2808" s="5">
        <v>569304.47</v>
      </c>
      <c r="N2808" s="5">
        <v>6119819.19</v>
      </c>
      <c r="O2808" t="s" s="2">
        <v>305</v>
      </c>
      <c r="P2808" s="5">
        <v>99240</v>
      </c>
      <c r="Q2808" t="s" s="2">
        <v>5272</v>
      </c>
      <c r="R2808" t="s" s="2">
        <f>_xlfn.IFERROR(INDEX('model_byCAP'!$D$2:$D$377,MATCH(Q2808,'model_byCAP'!$A$2:$A$377,0)),0)</f>
        <v>4861</v>
      </c>
    </row>
    <row r="2809" ht="15.35" customHeight="1">
      <c r="A2809" t="s" s="2">
        <v>5387</v>
      </c>
      <c r="B2809" s="4">
        <v>36882</v>
      </c>
      <c r="C2809" s="5">
        <v>660</v>
      </c>
      <c r="D2809" s="5">
        <v>47</v>
      </c>
      <c r="E2809" s="5">
        <v>45.3</v>
      </c>
      <c r="F2809" t="s" s="2">
        <v>301</v>
      </c>
      <c r="G2809" t="s" s="2">
        <v>5270</v>
      </c>
      <c r="H2809" s="5">
        <v>420</v>
      </c>
      <c r="I2809" t="s" s="2">
        <v>3043</v>
      </c>
      <c r="J2809" t="s" s="2">
        <v>22</v>
      </c>
      <c r="K2809" t="s" s="2">
        <v>4303</v>
      </c>
      <c r="L2809" t="s" s="2">
        <v>608</v>
      </c>
      <c r="M2809" s="5">
        <v>569542.77</v>
      </c>
      <c r="N2809" s="5">
        <v>6119788.94</v>
      </c>
      <c r="O2809" t="s" s="2">
        <v>305</v>
      </c>
      <c r="P2809" s="5">
        <v>99240</v>
      </c>
      <c r="Q2809" t="s" s="2">
        <v>5272</v>
      </c>
      <c r="R2809" t="s" s="2">
        <f>_xlfn.IFERROR(INDEX('model_byCAP'!$D$2:$D$377,MATCH(Q2809,'model_byCAP'!$A$2:$A$377,0)),0)</f>
        <v>4861</v>
      </c>
    </row>
    <row r="2810" ht="15.35" customHeight="1">
      <c r="A2810" t="s" s="2">
        <v>5388</v>
      </c>
      <c r="B2810" s="4">
        <v>36882</v>
      </c>
      <c r="C2810" s="5">
        <v>660</v>
      </c>
      <c r="D2810" s="5">
        <v>47</v>
      </c>
      <c r="E2810" s="5">
        <v>45.3</v>
      </c>
      <c r="F2810" t="s" s="2">
        <v>301</v>
      </c>
      <c r="G2810" t="s" s="2">
        <v>5270</v>
      </c>
      <c r="H2810" s="5">
        <v>420</v>
      </c>
      <c r="I2810" t="s" s="2">
        <v>3043</v>
      </c>
      <c r="J2810" t="s" s="2">
        <v>22</v>
      </c>
      <c r="K2810" t="s" s="2">
        <v>5386</v>
      </c>
      <c r="L2810" t="s" s="2">
        <v>3410</v>
      </c>
      <c r="M2810" s="5">
        <v>569397.02</v>
      </c>
      <c r="N2810" s="5">
        <v>6119597.94</v>
      </c>
      <c r="O2810" t="s" s="2">
        <v>305</v>
      </c>
      <c r="P2810" s="5">
        <v>99240</v>
      </c>
      <c r="Q2810" t="s" s="2">
        <v>5272</v>
      </c>
      <c r="R2810" t="s" s="2">
        <f>_xlfn.IFERROR(INDEX('model_byCAP'!$D$2:$D$377,MATCH(Q2810,'model_byCAP'!$A$2:$A$377,0)),0)</f>
        <v>4861</v>
      </c>
    </row>
    <row r="2811" ht="15.35" customHeight="1">
      <c r="A2811" t="s" s="2">
        <v>5389</v>
      </c>
      <c r="B2811" s="4">
        <v>36850</v>
      </c>
      <c r="C2811" s="5">
        <v>660</v>
      </c>
      <c r="D2811" s="5">
        <v>47</v>
      </c>
      <c r="E2811" s="5">
        <v>50</v>
      </c>
      <c r="F2811" t="s" s="2">
        <v>301</v>
      </c>
      <c r="G2811" t="s" s="2">
        <v>5270</v>
      </c>
      <c r="H2811" s="5">
        <v>420</v>
      </c>
      <c r="I2811" t="s" s="2">
        <v>3043</v>
      </c>
      <c r="J2811" t="s" s="2">
        <v>22</v>
      </c>
      <c r="K2811" t="s" s="2">
        <v>5377</v>
      </c>
      <c r="L2811" t="s" s="2">
        <v>3355</v>
      </c>
      <c r="M2811" s="5">
        <v>565051.39</v>
      </c>
      <c r="N2811" s="5">
        <v>6128412.11</v>
      </c>
      <c r="O2811" t="s" s="2">
        <v>305</v>
      </c>
      <c r="P2811" s="5">
        <v>99247</v>
      </c>
      <c r="Q2811" t="s" s="2">
        <v>5272</v>
      </c>
      <c r="R2811" t="s" s="2">
        <f>_xlfn.IFERROR(INDEX('model_byCAP'!$D$2:$D$377,MATCH(Q2811,'model_byCAP'!$A$2:$A$377,0)),0)</f>
        <v>4861</v>
      </c>
    </row>
    <row r="2812" ht="15.35" customHeight="1">
      <c r="A2812" t="s" s="2">
        <v>5390</v>
      </c>
      <c r="B2812" s="4">
        <v>37362</v>
      </c>
      <c r="C2812" s="5">
        <v>660</v>
      </c>
      <c r="D2812" s="5">
        <v>47</v>
      </c>
      <c r="E2812" s="5">
        <v>50</v>
      </c>
      <c r="F2812" t="s" s="2">
        <v>301</v>
      </c>
      <c r="G2812" t="s" s="2">
        <v>5270</v>
      </c>
      <c r="H2812" s="5">
        <v>420</v>
      </c>
      <c r="I2812" t="s" s="2">
        <v>3043</v>
      </c>
      <c r="J2812" t="s" s="2">
        <v>22</v>
      </c>
      <c r="K2812" t="s" s="2">
        <v>5391</v>
      </c>
      <c r="L2812" t="s" s="2">
        <v>5392</v>
      </c>
      <c r="M2812" s="5">
        <v>567701.77</v>
      </c>
      <c r="N2812" s="5">
        <v>6125036.12</v>
      </c>
      <c r="O2812" t="s" s="2">
        <v>305</v>
      </c>
      <c r="P2812" s="5">
        <v>99257</v>
      </c>
      <c r="Q2812" t="s" s="2">
        <v>5272</v>
      </c>
      <c r="R2812" t="s" s="2">
        <f>_xlfn.IFERROR(INDEX('model_byCAP'!$D$2:$D$377,MATCH(Q2812,'model_byCAP'!$A$2:$A$377,0)),0)</f>
        <v>4861</v>
      </c>
    </row>
    <row r="2813" ht="15.35" customHeight="1">
      <c r="A2813" t="s" s="2">
        <v>5393</v>
      </c>
      <c r="B2813" s="4">
        <v>36641</v>
      </c>
      <c r="C2813" s="5">
        <v>660</v>
      </c>
      <c r="D2813" s="5">
        <v>47</v>
      </c>
      <c r="E2813" s="5">
        <v>50</v>
      </c>
      <c r="F2813" t="s" s="2">
        <v>301</v>
      </c>
      <c r="G2813" t="s" s="2">
        <v>5270</v>
      </c>
      <c r="H2813" s="5">
        <v>420</v>
      </c>
      <c r="I2813" t="s" s="2">
        <v>3043</v>
      </c>
      <c r="J2813" t="s" s="2">
        <v>22</v>
      </c>
      <c r="K2813" t="s" s="2">
        <v>5380</v>
      </c>
      <c r="L2813" t="s" s="2">
        <v>333</v>
      </c>
      <c r="M2813" s="5">
        <v>567497.39</v>
      </c>
      <c r="N2813" s="5">
        <v>6125140.9</v>
      </c>
      <c r="O2813" t="s" s="2">
        <v>305</v>
      </c>
      <c r="P2813" s="5">
        <v>99258</v>
      </c>
      <c r="Q2813" t="s" s="2">
        <v>5272</v>
      </c>
      <c r="R2813" t="s" s="2">
        <f>_xlfn.IFERROR(INDEX('model_byCAP'!$D$2:$D$377,MATCH(Q2813,'model_byCAP'!$A$2:$A$377,0)),0)</f>
        <v>4861</v>
      </c>
    </row>
    <row r="2814" ht="15.35" customHeight="1">
      <c r="A2814" t="s" s="2">
        <v>5394</v>
      </c>
      <c r="B2814" s="4">
        <v>36299</v>
      </c>
      <c r="C2814" s="5">
        <v>660</v>
      </c>
      <c r="D2814" s="5">
        <v>47</v>
      </c>
      <c r="E2814" s="5">
        <v>45</v>
      </c>
      <c r="F2814" t="s" s="2">
        <v>301</v>
      </c>
      <c r="G2814" t="s" s="2">
        <v>5270</v>
      </c>
      <c r="H2814" s="5">
        <v>430</v>
      </c>
      <c r="I2814" t="s" s="2">
        <v>3470</v>
      </c>
      <c r="J2814" t="s" s="2">
        <v>22</v>
      </c>
      <c r="K2814" t="s" s="2">
        <v>5395</v>
      </c>
      <c r="L2814" t="s" s="2">
        <v>4164</v>
      </c>
      <c r="M2814" s="5">
        <v>582642.96</v>
      </c>
      <c r="N2814" s="5">
        <v>6124500.26</v>
      </c>
      <c r="O2814" t="s" s="2">
        <v>305</v>
      </c>
      <c r="P2814" s="5">
        <v>99198</v>
      </c>
      <c r="Q2814" t="s" s="2">
        <v>5272</v>
      </c>
      <c r="R2814" t="s" s="2">
        <f>_xlfn.IFERROR(INDEX('model_byCAP'!$D$2:$D$377,MATCH(Q2814,'model_byCAP'!$A$2:$A$377,0)),0)</f>
        <v>4861</v>
      </c>
    </row>
    <row r="2815" ht="15.35" customHeight="1">
      <c r="A2815" t="s" s="2">
        <v>5396</v>
      </c>
      <c r="B2815" s="4">
        <v>36812</v>
      </c>
      <c r="C2815" s="5">
        <v>660</v>
      </c>
      <c r="D2815" s="5">
        <v>47</v>
      </c>
      <c r="E2815" s="5">
        <v>50</v>
      </c>
      <c r="F2815" t="s" s="2">
        <v>301</v>
      </c>
      <c r="G2815" t="s" s="2">
        <v>5270</v>
      </c>
      <c r="H2815" s="5">
        <v>430</v>
      </c>
      <c r="I2815" t="s" s="2">
        <v>3470</v>
      </c>
      <c r="J2815" t="s" s="2">
        <v>22</v>
      </c>
      <c r="K2815" t="s" s="2">
        <v>5397</v>
      </c>
      <c r="L2815" t="s" s="2">
        <v>856</v>
      </c>
      <c r="M2815" s="5">
        <v>587019.97</v>
      </c>
      <c r="N2815" s="5">
        <v>6124611.33</v>
      </c>
      <c r="O2815" t="s" s="2">
        <v>305</v>
      </c>
      <c r="P2815" s="5">
        <v>99228</v>
      </c>
      <c r="Q2815" t="s" s="2">
        <v>5272</v>
      </c>
      <c r="R2815" t="s" s="2">
        <f>_xlfn.IFERROR(INDEX('model_byCAP'!$D$2:$D$377,MATCH(Q2815,'model_byCAP'!$A$2:$A$377,0)),0)</f>
        <v>4861</v>
      </c>
    </row>
    <row r="2816" ht="15.35" customHeight="1">
      <c r="A2816" t="s" s="2">
        <v>5398</v>
      </c>
      <c r="B2816" s="4">
        <v>37609</v>
      </c>
      <c r="C2816" s="5">
        <v>660</v>
      </c>
      <c r="D2816" s="5">
        <v>47</v>
      </c>
      <c r="E2816" s="5">
        <v>50</v>
      </c>
      <c r="F2816" t="s" s="2">
        <v>42</v>
      </c>
      <c r="G2816" t="s" s="2">
        <v>42</v>
      </c>
      <c r="H2816" s="5">
        <v>430</v>
      </c>
      <c r="I2816" t="s" s="2">
        <v>3470</v>
      </c>
      <c r="J2816" t="s" s="2">
        <v>22</v>
      </c>
      <c r="K2816" t="s" s="2">
        <v>5399</v>
      </c>
      <c r="L2816" t="s" s="2">
        <v>2384</v>
      </c>
      <c r="M2816" s="5">
        <v>580988.8100000001</v>
      </c>
      <c r="N2816" s="5">
        <v>6118515.21</v>
      </c>
      <c r="O2816" t="s" s="2">
        <v>305</v>
      </c>
      <c r="P2816" s="5">
        <v>13403</v>
      </c>
      <c r="Q2816" t="s" s="2">
        <v>43</v>
      </c>
      <c r="R2816" s="5">
        <f>_xlfn.IFERROR(INDEX('model_byCAP'!$D$2:$D$377,MATCH(Q2816,'model_byCAP'!$A$2:$A$377,0)),0)</f>
        <v>0</v>
      </c>
    </row>
    <row r="2817" ht="15.35" customHeight="1">
      <c r="A2817" t="s" s="2">
        <v>5400</v>
      </c>
      <c r="B2817" s="4">
        <v>36769</v>
      </c>
      <c r="C2817" s="5">
        <v>660</v>
      </c>
      <c r="D2817" s="5">
        <v>47</v>
      </c>
      <c r="E2817" s="5">
        <v>50</v>
      </c>
      <c r="F2817" t="s" s="2">
        <v>301</v>
      </c>
      <c r="G2817" t="s" s="2">
        <v>5270</v>
      </c>
      <c r="H2817" s="5">
        <v>450</v>
      </c>
      <c r="I2817" t="s" s="2">
        <v>2870</v>
      </c>
      <c r="J2817" t="s" s="2">
        <v>22</v>
      </c>
      <c r="K2817" t="s" s="2">
        <v>5401</v>
      </c>
      <c r="L2817" t="s" s="2">
        <v>2931</v>
      </c>
      <c r="M2817" s="5">
        <v>607193.4300000001</v>
      </c>
      <c r="N2817" s="5">
        <v>6138021.41</v>
      </c>
      <c r="O2817" t="s" s="2">
        <v>305</v>
      </c>
      <c r="P2817" s="5">
        <v>16033</v>
      </c>
      <c r="Q2817" t="s" s="2">
        <v>5272</v>
      </c>
      <c r="R2817" t="s" s="2">
        <f>_xlfn.IFERROR(INDEX('model_byCAP'!$D$2:$D$377,MATCH(Q2817,'model_byCAP'!$A$2:$A$377,0)),0)</f>
        <v>4861</v>
      </c>
    </row>
    <row r="2818" ht="15.35" customHeight="1">
      <c r="A2818" t="s" s="2">
        <v>5402</v>
      </c>
      <c r="B2818" s="4">
        <v>36769</v>
      </c>
      <c r="C2818" s="5">
        <v>660</v>
      </c>
      <c r="D2818" s="5">
        <v>47</v>
      </c>
      <c r="E2818" s="5">
        <v>50</v>
      </c>
      <c r="F2818" t="s" s="2">
        <v>301</v>
      </c>
      <c r="G2818" t="s" s="2">
        <v>5270</v>
      </c>
      <c r="H2818" s="5">
        <v>450</v>
      </c>
      <c r="I2818" t="s" s="2">
        <v>2870</v>
      </c>
      <c r="J2818" t="s" s="2">
        <v>22</v>
      </c>
      <c r="K2818" t="s" s="2">
        <v>5401</v>
      </c>
      <c r="L2818" t="s" s="2">
        <v>2931</v>
      </c>
      <c r="M2818" s="5">
        <v>607239.25</v>
      </c>
      <c r="N2818" s="5">
        <v>6138300.91</v>
      </c>
      <c r="O2818" t="s" s="2">
        <v>305</v>
      </c>
      <c r="P2818" s="5">
        <v>16034</v>
      </c>
      <c r="Q2818" t="s" s="2">
        <v>5272</v>
      </c>
      <c r="R2818" t="s" s="2">
        <f>_xlfn.IFERROR(INDEX('model_byCAP'!$D$2:$D$377,MATCH(Q2818,'model_byCAP'!$A$2:$A$377,0)),0)</f>
        <v>4861</v>
      </c>
    </row>
    <row r="2819" ht="15.35" customHeight="1">
      <c r="A2819" t="s" s="2">
        <v>5403</v>
      </c>
      <c r="B2819" s="4">
        <v>36769</v>
      </c>
      <c r="C2819" s="5">
        <v>660</v>
      </c>
      <c r="D2819" s="5">
        <v>47</v>
      </c>
      <c r="E2819" s="5">
        <v>50</v>
      </c>
      <c r="F2819" t="s" s="2">
        <v>301</v>
      </c>
      <c r="G2819" t="s" s="2">
        <v>5270</v>
      </c>
      <c r="H2819" s="5">
        <v>450</v>
      </c>
      <c r="I2819" t="s" s="2">
        <v>2870</v>
      </c>
      <c r="J2819" t="s" s="2">
        <v>22</v>
      </c>
      <c r="K2819" t="s" s="2">
        <v>5401</v>
      </c>
      <c r="L2819" t="s" s="2">
        <v>2348</v>
      </c>
      <c r="M2819" s="5">
        <v>607285.28</v>
      </c>
      <c r="N2819" s="5">
        <v>6138579.89</v>
      </c>
      <c r="O2819" t="s" s="2">
        <v>305</v>
      </c>
      <c r="P2819" s="5">
        <v>16035</v>
      </c>
      <c r="Q2819" t="s" s="2">
        <v>5272</v>
      </c>
      <c r="R2819" t="s" s="2">
        <f>_xlfn.IFERROR(INDEX('model_byCAP'!$D$2:$D$377,MATCH(Q2819,'model_byCAP'!$A$2:$A$377,0)),0)</f>
        <v>4861</v>
      </c>
    </row>
    <row r="2820" ht="15.35" customHeight="1">
      <c r="A2820" t="s" s="2">
        <v>5404</v>
      </c>
      <c r="B2820" s="4">
        <v>36521</v>
      </c>
      <c r="C2820" s="5">
        <v>660</v>
      </c>
      <c r="D2820" s="5">
        <v>47</v>
      </c>
      <c r="E2820" s="5">
        <v>45</v>
      </c>
      <c r="F2820" t="s" s="2">
        <v>301</v>
      </c>
      <c r="G2820" t="s" s="2">
        <v>5270</v>
      </c>
      <c r="H2820" s="5">
        <v>461</v>
      </c>
      <c r="I2820" t="s" s="2">
        <v>3475</v>
      </c>
      <c r="J2820" t="s" s="2">
        <v>22</v>
      </c>
      <c r="K2820" t="s" s="2">
        <v>5405</v>
      </c>
      <c r="L2820" t="s" s="2">
        <v>481</v>
      </c>
      <c r="M2820" s="5">
        <v>595210.4399999999</v>
      </c>
      <c r="N2820" s="5">
        <v>6134345.8</v>
      </c>
      <c r="O2820" t="s" s="2">
        <v>305</v>
      </c>
      <c r="P2820" s="5">
        <v>99218</v>
      </c>
      <c r="Q2820" t="s" s="2">
        <v>5272</v>
      </c>
      <c r="R2820" t="s" s="2">
        <f>_xlfn.IFERROR(INDEX('model_byCAP'!$D$2:$D$377,MATCH(Q2820,'model_byCAP'!$A$2:$A$377,0)),0)</f>
        <v>4861</v>
      </c>
    </row>
    <row r="2821" ht="15.35" customHeight="1">
      <c r="A2821" t="s" s="2">
        <v>5406</v>
      </c>
      <c r="B2821" s="4">
        <v>36811</v>
      </c>
      <c r="C2821" s="5">
        <v>660</v>
      </c>
      <c r="D2821" s="5">
        <v>47</v>
      </c>
      <c r="E2821" s="5">
        <v>45</v>
      </c>
      <c r="F2821" t="s" s="2">
        <v>301</v>
      </c>
      <c r="G2821" t="s" s="2">
        <v>5270</v>
      </c>
      <c r="H2821" s="5">
        <v>461</v>
      </c>
      <c r="I2821" t="s" s="2">
        <v>3475</v>
      </c>
      <c r="J2821" t="s" s="2">
        <v>22</v>
      </c>
      <c r="K2821" t="s" s="2">
        <v>5405</v>
      </c>
      <c r="L2821" t="s" s="2">
        <v>481</v>
      </c>
      <c r="M2821" s="5">
        <v>595397.63</v>
      </c>
      <c r="N2821" s="5">
        <v>6134310.34</v>
      </c>
      <c r="O2821" t="s" s="2">
        <v>305</v>
      </c>
      <c r="P2821" s="5">
        <v>99242</v>
      </c>
      <c r="Q2821" t="s" s="2">
        <v>5272</v>
      </c>
      <c r="R2821" t="s" s="2">
        <f>_xlfn.IFERROR(INDEX('model_byCAP'!$D$2:$D$377,MATCH(Q2821,'model_byCAP'!$A$2:$A$377,0)),0)</f>
        <v>4861</v>
      </c>
    </row>
    <row r="2822" ht="15.35" customHeight="1">
      <c r="A2822" t="s" s="2">
        <v>5407</v>
      </c>
      <c r="B2822" s="4">
        <v>36811</v>
      </c>
      <c r="C2822" s="5">
        <v>660</v>
      </c>
      <c r="D2822" s="5">
        <v>47</v>
      </c>
      <c r="E2822" s="5">
        <v>45</v>
      </c>
      <c r="F2822" t="s" s="2">
        <v>301</v>
      </c>
      <c r="G2822" t="s" s="2">
        <v>5270</v>
      </c>
      <c r="H2822" s="5">
        <v>461</v>
      </c>
      <c r="I2822" t="s" s="2">
        <v>3475</v>
      </c>
      <c r="J2822" t="s" s="2">
        <v>22</v>
      </c>
      <c r="K2822" t="s" s="2">
        <v>5405</v>
      </c>
      <c r="L2822" t="s" s="2">
        <v>481</v>
      </c>
      <c r="M2822" s="5">
        <v>595584.29</v>
      </c>
      <c r="N2822" s="5">
        <v>6134274.45</v>
      </c>
      <c r="O2822" t="s" s="2">
        <v>305</v>
      </c>
      <c r="P2822" s="5">
        <v>99243</v>
      </c>
      <c r="Q2822" t="s" s="2">
        <v>5272</v>
      </c>
      <c r="R2822" t="s" s="2">
        <f>_xlfn.IFERROR(INDEX('model_byCAP'!$D$2:$D$377,MATCH(Q2822,'model_byCAP'!$A$2:$A$377,0)),0)</f>
        <v>4861</v>
      </c>
    </row>
    <row r="2823" ht="15.35" customHeight="1">
      <c r="A2823" t="s" s="2">
        <v>5408</v>
      </c>
      <c r="B2823" s="4">
        <v>36881</v>
      </c>
      <c r="C2823" s="5">
        <v>660</v>
      </c>
      <c r="D2823" s="5">
        <v>47</v>
      </c>
      <c r="E2823" s="5">
        <v>50</v>
      </c>
      <c r="F2823" t="s" s="2">
        <v>301</v>
      </c>
      <c r="G2823" t="s" s="2">
        <v>5270</v>
      </c>
      <c r="H2823" s="5">
        <v>479</v>
      </c>
      <c r="I2823" t="s" s="2">
        <v>2082</v>
      </c>
      <c r="J2823" t="s" s="2">
        <v>22</v>
      </c>
      <c r="K2823" t="s" s="2">
        <v>5409</v>
      </c>
      <c r="L2823" t="s" s="2">
        <v>1057</v>
      </c>
      <c r="M2823" s="5">
        <v>601997.01</v>
      </c>
      <c r="N2823" s="5">
        <v>6112782.98</v>
      </c>
      <c r="O2823" t="s" s="2">
        <v>305</v>
      </c>
      <c r="P2823" s="5">
        <v>99246</v>
      </c>
      <c r="Q2823" t="s" s="2">
        <v>5272</v>
      </c>
      <c r="R2823" t="s" s="2">
        <f>_xlfn.IFERROR(INDEX('model_byCAP'!$D$2:$D$377,MATCH(Q2823,'model_byCAP'!$A$2:$A$377,0)),0)</f>
        <v>4861</v>
      </c>
    </row>
    <row r="2824" ht="15.35" customHeight="1">
      <c r="A2824" t="s" s="2">
        <v>5410</v>
      </c>
      <c r="B2824" s="4">
        <v>36881</v>
      </c>
      <c r="C2824" s="5">
        <v>660</v>
      </c>
      <c r="D2824" s="5">
        <v>47</v>
      </c>
      <c r="E2824" s="5">
        <v>50</v>
      </c>
      <c r="F2824" t="s" s="2">
        <v>301</v>
      </c>
      <c r="G2824" t="s" s="2">
        <v>5270</v>
      </c>
      <c r="H2824" s="5">
        <v>479</v>
      </c>
      <c r="I2824" t="s" s="2">
        <v>2082</v>
      </c>
      <c r="J2824" t="s" s="2">
        <v>22</v>
      </c>
      <c r="K2824" t="s" s="2">
        <v>5411</v>
      </c>
      <c r="L2824" t="s" s="2">
        <v>1057</v>
      </c>
      <c r="M2824" s="5">
        <v>601817.2</v>
      </c>
      <c r="N2824" s="5">
        <v>6112905.14</v>
      </c>
      <c r="O2824" t="s" s="2">
        <v>305</v>
      </c>
      <c r="P2824" s="5">
        <v>99253</v>
      </c>
      <c r="Q2824" t="s" s="2">
        <v>5272</v>
      </c>
      <c r="R2824" t="s" s="2">
        <f>_xlfn.IFERROR(INDEX('model_byCAP'!$D$2:$D$377,MATCH(Q2824,'model_byCAP'!$A$2:$A$377,0)),0)</f>
        <v>4861</v>
      </c>
    </row>
    <row r="2825" ht="15.35" customHeight="1">
      <c r="A2825" t="s" s="2">
        <v>5412</v>
      </c>
      <c r="B2825" s="4">
        <v>36527</v>
      </c>
      <c r="C2825" s="5">
        <v>660</v>
      </c>
      <c r="D2825" s="5">
        <v>47</v>
      </c>
      <c r="E2825" s="5">
        <v>50</v>
      </c>
      <c r="F2825" t="s" s="2">
        <v>301</v>
      </c>
      <c r="G2825" t="s" s="2">
        <v>5270</v>
      </c>
      <c r="H2825" s="5">
        <v>479</v>
      </c>
      <c r="I2825" t="s" s="2">
        <v>2082</v>
      </c>
      <c r="J2825" t="s" s="2">
        <v>22</v>
      </c>
      <c r="K2825" t="s" s="2">
        <v>5411</v>
      </c>
      <c r="L2825" t="s" s="2">
        <v>1057</v>
      </c>
      <c r="M2825" s="5">
        <v>601637.65</v>
      </c>
      <c r="N2825" s="5">
        <v>6113029.81</v>
      </c>
      <c r="O2825" t="s" s="2">
        <v>305</v>
      </c>
      <c r="P2825" s="5">
        <v>99254</v>
      </c>
      <c r="Q2825" t="s" s="2">
        <v>5272</v>
      </c>
      <c r="R2825" t="s" s="2">
        <f>_xlfn.IFERROR(INDEX('model_byCAP'!$D$2:$D$377,MATCH(Q2825,'model_byCAP'!$A$2:$A$377,0)),0)</f>
        <v>4861</v>
      </c>
    </row>
    <row r="2826" ht="15.35" customHeight="1">
      <c r="A2826" t="s" s="2">
        <v>5413</v>
      </c>
      <c r="B2826" s="4">
        <v>35787</v>
      </c>
      <c r="C2826" s="5">
        <v>660</v>
      </c>
      <c r="D2826" s="5">
        <v>47</v>
      </c>
      <c r="E2826" s="5">
        <v>50</v>
      </c>
      <c r="F2826" t="s" s="2">
        <v>301</v>
      </c>
      <c r="G2826" t="s" s="2">
        <v>5270</v>
      </c>
      <c r="H2826" s="5">
        <v>480</v>
      </c>
      <c r="I2826" t="s" s="2">
        <v>3957</v>
      </c>
      <c r="J2826" t="s" s="2">
        <v>22</v>
      </c>
      <c r="K2826" t="s" s="2">
        <v>5414</v>
      </c>
      <c r="L2826" t="s" s="2">
        <v>481</v>
      </c>
      <c r="M2826" s="5">
        <v>589376.7</v>
      </c>
      <c r="N2826" s="5">
        <v>6155183.48</v>
      </c>
      <c r="O2826" t="s" s="2">
        <v>305</v>
      </c>
      <c r="P2826" s="5">
        <v>99115</v>
      </c>
      <c r="Q2826" t="s" s="2">
        <v>5272</v>
      </c>
      <c r="R2826" t="s" s="2">
        <f>_xlfn.IFERROR(INDEX('model_byCAP'!$D$2:$D$377,MATCH(Q2826,'model_byCAP'!$A$2:$A$377,0)),0)</f>
        <v>4861</v>
      </c>
    </row>
    <row r="2827" ht="15.35" customHeight="1">
      <c r="A2827" t="s" s="2">
        <v>5415</v>
      </c>
      <c r="B2827" s="4">
        <v>36327</v>
      </c>
      <c r="C2827" s="5">
        <v>660</v>
      </c>
      <c r="D2827" s="5">
        <v>47</v>
      </c>
      <c r="E2827" s="5">
        <v>50</v>
      </c>
      <c r="F2827" t="s" s="2">
        <v>301</v>
      </c>
      <c r="G2827" t="s" s="2">
        <v>5270</v>
      </c>
      <c r="H2827" s="5">
        <v>480</v>
      </c>
      <c r="I2827" t="s" s="2">
        <v>3957</v>
      </c>
      <c r="J2827" t="s" s="2">
        <v>22</v>
      </c>
      <c r="K2827" t="s" s="2">
        <v>5414</v>
      </c>
      <c r="L2827" t="s" s="2">
        <v>481</v>
      </c>
      <c r="M2827" s="5">
        <v>589382.72</v>
      </c>
      <c r="N2827" s="5">
        <v>6154878.41</v>
      </c>
      <c r="O2827" t="s" s="2">
        <v>305</v>
      </c>
      <c r="P2827" s="5">
        <v>99115</v>
      </c>
      <c r="Q2827" t="s" s="2">
        <v>5272</v>
      </c>
      <c r="R2827" t="s" s="2">
        <f>_xlfn.IFERROR(INDEX('model_byCAP'!$D$2:$D$377,MATCH(Q2827,'model_byCAP'!$A$2:$A$377,0)),0)</f>
        <v>4861</v>
      </c>
    </row>
    <row r="2828" ht="15.35" customHeight="1">
      <c r="A2828" t="s" s="2">
        <v>5416</v>
      </c>
      <c r="B2828" s="4">
        <v>35990</v>
      </c>
      <c r="C2828" s="5">
        <v>660</v>
      </c>
      <c r="D2828" s="5">
        <v>45</v>
      </c>
      <c r="E2828" s="5">
        <v>47</v>
      </c>
      <c r="F2828" t="s" s="2">
        <v>301</v>
      </c>
      <c r="G2828" t="s" s="2">
        <v>5270</v>
      </c>
      <c r="H2828" s="5">
        <v>480</v>
      </c>
      <c r="I2828" t="s" s="2">
        <v>3957</v>
      </c>
      <c r="J2828" t="s" s="2">
        <v>22</v>
      </c>
      <c r="K2828" t="s" s="2">
        <v>5417</v>
      </c>
      <c r="L2828" t="s" s="2">
        <v>518</v>
      </c>
      <c r="M2828" s="5">
        <v>579296.21</v>
      </c>
      <c r="N2828" s="5">
        <v>6156454.53</v>
      </c>
      <c r="O2828" t="s" s="2">
        <v>305</v>
      </c>
      <c r="P2828" s="5">
        <v>99125</v>
      </c>
      <c r="Q2828" t="s" s="2">
        <v>5272</v>
      </c>
      <c r="R2828" t="s" s="2">
        <f>_xlfn.IFERROR(INDEX('model_byCAP'!$D$2:$D$377,MATCH(Q2828,'model_byCAP'!$A$2:$A$377,0)),0)</f>
        <v>4861</v>
      </c>
    </row>
    <row r="2829" ht="15.35" customHeight="1">
      <c r="A2829" t="s" s="2">
        <v>5418</v>
      </c>
      <c r="B2829" s="4">
        <v>35990</v>
      </c>
      <c r="C2829" s="5">
        <v>660</v>
      </c>
      <c r="D2829" s="5">
        <v>45</v>
      </c>
      <c r="E2829" s="5">
        <v>47</v>
      </c>
      <c r="F2829" t="s" s="2">
        <v>301</v>
      </c>
      <c r="G2829" t="s" s="2">
        <v>5270</v>
      </c>
      <c r="H2829" s="5">
        <v>480</v>
      </c>
      <c r="I2829" t="s" s="2">
        <v>3957</v>
      </c>
      <c r="J2829" t="s" s="2">
        <v>22</v>
      </c>
      <c r="K2829" t="s" s="2">
        <v>5417</v>
      </c>
      <c r="L2829" t="s" s="2">
        <v>518</v>
      </c>
      <c r="M2829" s="5">
        <v>579269.21</v>
      </c>
      <c r="N2829" s="5">
        <v>6156259.98</v>
      </c>
      <c r="O2829" t="s" s="2">
        <v>305</v>
      </c>
      <c r="P2829" s="5">
        <v>99125</v>
      </c>
      <c r="Q2829" t="s" s="2">
        <v>5272</v>
      </c>
      <c r="R2829" t="s" s="2">
        <f>_xlfn.IFERROR(INDEX('model_byCAP'!$D$2:$D$377,MATCH(Q2829,'model_byCAP'!$A$2:$A$377,0)),0)</f>
        <v>4861</v>
      </c>
    </row>
    <row r="2830" ht="15.35" customHeight="1">
      <c r="A2830" t="s" s="2">
        <v>5419</v>
      </c>
      <c r="B2830" s="4">
        <v>35990</v>
      </c>
      <c r="C2830" s="5">
        <v>660</v>
      </c>
      <c r="D2830" s="5">
        <v>47</v>
      </c>
      <c r="E2830" s="5">
        <v>47</v>
      </c>
      <c r="F2830" t="s" s="2">
        <v>301</v>
      </c>
      <c r="G2830" t="s" s="2">
        <v>5270</v>
      </c>
      <c r="H2830" s="5">
        <v>480</v>
      </c>
      <c r="I2830" t="s" s="2">
        <v>3957</v>
      </c>
      <c r="J2830" t="s" s="2">
        <v>22</v>
      </c>
      <c r="K2830" t="s" s="2">
        <v>5417</v>
      </c>
      <c r="L2830" t="s" s="2">
        <v>518</v>
      </c>
      <c r="M2830" s="5">
        <v>579241.96</v>
      </c>
      <c r="N2830" s="5">
        <v>6156065.72</v>
      </c>
      <c r="O2830" t="s" s="2">
        <v>305</v>
      </c>
      <c r="P2830" s="5">
        <v>99125</v>
      </c>
      <c r="Q2830" t="s" s="2">
        <v>5272</v>
      </c>
      <c r="R2830" t="s" s="2">
        <f>_xlfn.IFERROR(INDEX('model_byCAP'!$D$2:$D$377,MATCH(Q2830,'model_byCAP'!$A$2:$A$377,0)),0)</f>
        <v>4861</v>
      </c>
    </row>
    <row r="2831" ht="15.35" customHeight="1">
      <c r="A2831" t="s" s="2">
        <v>5420</v>
      </c>
      <c r="B2831" s="4">
        <v>36118</v>
      </c>
      <c r="C2831" s="5">
        <v>660</v>
      </c>
      <c r="D2831" s="5">
        <v>47</v>
      </c>
      <c r="E2831" s="5">
        <v>50</v>
      </c>
      <c r="F2831" t="s" s="2">
        <v>301</v>
      </c>
      <c r="G2831" t="s" s="2">
        <v>5270</v>
      </c>
      <c r="H2831" s="5">
        <v>482</v>
      </c>
      <c r="I2831" t="s" s="2">
        <v>1523</v>
      </c>
      <c r="J2831" t="s" s="2">
        <v>22</v>
      </c>
      <c r="K2831" t="s" s="2">
        <v>4429</v>
      </c>
      <c r="L2831" t="s" s="2">
        <v>2369</v>
      </c>
      <c r="M2831" s="5">
        <v>613930.41</v>
      </c>
      <c r="N2831" s="5">
        <v>6089003.03</v>
      </c>
      <c r="O2831" t="s" s="2">
        <v>305</v>
      </c>
      <c r="P2831" s="5">
        <v>1756331</v>
      </c>
      <c r="Q2831" t="s" s="2">
        <v>5272</v>
      </c>
      <c r="R2831" t="s" s="2">
        <f>_xlfn.IFERROR(INDEX('model_byCAP'!$D$2:$D$377,MATCH(Q2831,'model_byCAP'!$A$2:$A$377,0)),0)</f>
        <v>4861</v>
      </c>
    </row>
    <row r="2832" ht="15.35" customHeight="1">
      <c r="A2832" t="s" s="2">
        <v>5421</v>
      </c>
      <c r="B2832" s="4">
        <v>36119</v>
      </c>
      <c r="C2832" s="5">
        <v>660</v>
      </c>
      <c r="D2832" s="5">
        <v>47</v>
      </c>
      <c r="E2832" s="5">
        <v>50</v>
      </c>
      <c r="F2832" t="s" s="2">
        <v>301</v>
      </c>
      <c r="G2832" t="s" s="2">
        <v>5270</v>
      </c>
      <c r="H2832" s="5">
        <v>482</v>
      </c>
      <c r="I2832" t="s" s="2">
        <v>1523</v>
      </c>
      <c r="J2832" t="s" s="2">
        <v>22</v>
      </c>
      <c r="K2832" t="s" s="2">
        <v>4429</v>
      </c>
      <c r="L2832" t="s" s="2">
        <v>5422</v>
      </c>
      <c r="M2832" s="5">
        <v>614051.6899999999</v>
      </c>
      <c r="N2832" s="5">
        <v>6088538.95</v>
      </c>
      <c r="O2832" t="s" s="2">
        <v>305</v>
      </c>
      <c r="P2832" s="5">
        <v>1756531</v>
      </c>
      <c r="Q2832" t="s" s="2">
        <v>5272</v>
      </c>
      <c r="R2832" t="s" s="2">
        <f>_xlfn.IFERROR(INDEX('model_byCAP'!$D$2:$D$377,MATCH(Q2832,'model_byCAP'!$A$2:$A$377,0)),0)</f>
        <v>4861</v>
      </c>
    </row>
    <row r="2833" ht="15.35" customHeight="1">
      <c r="A2833" t="s" s="2">
        <v>5423</v>
      </c>
      <c r="B2833" s="4">
        <v>36119</v>
      </c>
      <c r="C2833" s="5">
        <v>660</v>
      </c>
      <c r="D2833" s="5">
        <v>47</v>
      </c>
      <c r="E2833" s="5">
        <v>50</v>
      </c>
      <c r="F2833" t="s" s="2">
        <v>301</v>
      </c>
      <c r="G2833" t="s" s="2">
        <v>5270</v>
      </c>
      <c r="H2833" s="5">
        <v>482</v>
      </c>
      <c r="I2833" t="s" s="2">
        <v>1523</v>
      </c>
      <c r="J2833" t="s" s="2">
        <v>22</v>
      </c>
      <c r="K2833" t="s" s="2">
        <v>4429</v>
      </c>
      <c r="L2833" t="s" s="2">
        <v>5424</v>
      </c>
      <c r="M2833" s="5">
        <v>614010.64</v>
      </c>
      <c r="N2833" s="5">
        <v>6088692.67</v>
      </c>
      <c r="O2833" t="s" s="2">
        <v>305</v>
      </c>
      <c r="P2833" s="5">
        <v>1756731</v>
      </c>
      <c r="Q2833" t="s" s="2">
        <v>5272</v>
      </c>
      <c r="R2833" t="s" s="2">
        <f>_xlfn.IFERROR(INDEX('model_byCAP'!$D$2:$D$377,MATCH(Q2833,'model_byCAP'!$A$2:$A$377,0)),0)</f>
        <v>4861</v>
      </c>
    </row>
    <row r="2834" ht="15.35" customHeight="1">
      <c r="A2834" t="s" s="2">
        <v>5425</v>
      </c>
      <c r="B2834" s="4">
        <v>36119</v>
      </c>
      <c r="C2834" s="5">
        <v>660</v>
      </c>
      <c r="D2834" s="5">
        <v>47</v>
      </c>
      <c r="E2834" s="5">
        <v>50</v>
      </c>
      <c r="F2834" t="s" s="2">
        <v>301</v>
      </c>
      <c r="G2834" t="s" s="2">
        <v>5270</v>
      </c>
      <c r="H2834" s="5">
        <v>482</v>
      </c>
      <c r="I2834" t="s" s="2">
        <v>1523</v>
      </c>
      <c r="J2834" t="s" s="2">
        <v>22</v>
      </c>
      <c r="K2834" t="s" s="2">
        <v>4429</v>
      </c>
      <c r="L2834" t="s" s="2">
        <v>2979</v>
      </c>
      <c r="M2834" s="5">
        <v>613970.64</v>
      </c>
      <c r="N2834" s="5">
        <v>6088848.24</v>
      </c>
      <c r="O2834" t="s" s="2">
        <v>305</v>
      </c>
      <c r="P2834" s="5">
        <v>1756931</v>
      </c>
      <c r="Q2834" t="s" s="2">
        <v>5272</v>
      </c>
      <c r="R2834" t="s" s="2">
        <f>_xlfn.IFERROR(INDEX('model_byCAP'!$D$2:$D$377,MATCH(Q2834,'model_byCAP'!$A$2:$A$377,0)),0)</f>
        <v>4861</v>
      </c>
    </row>
    <row r="2835" ht="15.35" customHeight="1">
      <c r="A2835" t="s" s="2">
        <v>5426</v>
      </c>
      <c r="B2835" s="4">
        <v>36105</v>
      </c>
      <c r="C2835" s="5">
        <v>660</v>
      </c>
      <c r="D2835" s="5">
        <v>47</v>
      </c>
      <c r="E2835" s="5">
        <v>50</v>
      </c>
      <c r="F2835" t="s" s="2">
        <v>301</v>
      </c>
      <c r="G2835" t="s" s="2">
        <v>5270</v>
      </c>
      <c r="H2835" s="5">
        <v>482</v>
      </c>
      <c r="I2835" t="s" s="2">
        <v>1523</v>
      </c>
      <c r="J2835" t="s" s="2">
        <v>22</v>
      </c>
      <c r="K2835" t="s" s="2">
        <v>4434</v>
      </c>
      <c r="L2835" t="s" s="2">
        <v>492</v>
      </c>
      <c r="M2835" s="5">
        <v>611951.1</v>
      </c>
      <c r="N2835" s="5">
        <v>6086178.28</v>
      </c>
      <c r="O2835" t="s" s="2">
        <v>305</v>
      </c>
      <c r="P2835" s="5">
        <v>5852210</v>
      </c>
      <c r="Q2835" t="s" s="2">
        <v>5272</v>
      </c>
      <c r="R2835" t="s" s="2">
        <f>_xlfn.IFERROR(INDEX('model_byCAP'!$D$2:$D$377,MATCH(Q2835,'model_byCAP'!$A$2:$A$377,0)),0)</f>
        <v>4861</v>
      </c>
    </row>
    <row r="2836" ht="15.35" customHeight="1">
      <c r="A2836" t="s" s="2">
        <v>5427</v>
      </c>
      <c r="B2836" s="4">
        <v>36791</v>
      </c>
      <c r="C2836" s="5">
        <v>660</v>
      </c>
      <c r="D2836" s="5">
        <v>47</v>
      </c>
      <c r="E2836" s="5">
        <v>50</v>
      </c>
      <c r="F2836" t="s" s="2">
        <v>301</v>
      </c>
      <c r="G2836" t="s" s="2">
        <v>5270</v>
      </c>
      <c r="H2836" s="5">
        <v>482</v>
      </c>
      <c r="I2836" t="s" s="2">
        <v>1523</v>
      </c>
      <c r="J2836" t="s" s="2">
        <v>22</v>
      </c>
      <c r="K2836" t="s" s="2">
        <v>3971</v>
      </c>
      <c r="L2836" t="s" s="2">
        <v>2809</v>
      </c>
      <c r="M2836" s="5">
        <v>608895.13</v>
      </c>
      <c r="N2836" s="5">
        <v>6075487.05</v>
      </c>
      <c r="O2836" t="s" s="2">
        <v>305</v>
      </c>
      <c r="P2836" s="5">
        <v>18564411</v>
      </c>
      <c r="Q2836" t="s" s="2">
        <v>5272</v>
      </c>
      <c r="R2836" t="s" s="2">
        <f>_xlfn.IFERROR(INDEX('model_byCAP'!$D$2:$D$377,MATCH(Q2836,'model_byCAP'!$A$2:$A$377,0)),0)</f>
        <v>4861</v>
      </c>
    </row>
    <row r="2837" ht="15.35" customHeight="1">
      <c r="A2837" t="s" s="2">
        <v>5428</v>
      </c>
      <c r="B2837" s="4">
        <v>36210</v>
      </c>
      <c r="C2837" s="5">
        <v>660</v>
      </c>
      <c r="D2837" s="5">
        <v>47</v>
      </c>
      <c r="E2837" s="5">
        <v>46</v>
      </c>
      <c r="F2837" t="s" s="2">
        <v>301</v>
      </c>
      <c r="G2837" t="s" s="2">
        <v>5270</v>
      </c>
      <c r="H2837" s="5">
        <v>510</v>
      </c>
      <c r="I2837" t="s" s="2">
        <v>3049</v>
      </c>
      <c r="J2837" t="s" s="2">
        <v>22</v>
      </c>
      <c r="K2837" t="s" s="2">
        <v>5429</v>
      </c>
      <c r="L2837" s="5">
        <v>49</v>
      </c>
      <c r="M2837" s="5">
        <v>506929.37</v>
      </c>
      <c r="N2837" s="5">
        <v>6131840.6</v>
      </c>
      <c r="O2837" t="s" s="2">
        <v>305</v>
      </c>
      <c r="P2837" s="5">
        <v>90525</v>
      </c>
      <c r="Q2837" t="s" s="2">
        <v>5272</v>
      </c>
      <c r="R2837" t="s" s="2">
        <f>_xlfn.IFERROR(INDEX('model_byCAP'!$D$2:$D$377,MATCH(Q2837,'model_byCAP'!$A$2:$A$377,0)),0)</f>
        <v>4861</v>
      </c>
    </row>
    <row r="2838" ht="15.35" customHeight="1">
      <c r="A2838" t="s" s="2">
        <v>5430</v>
      </c>
      <c r="B2838" s="4">
        <v>36244</v>
      </c>
      <c r="C2838" s="5">
        <v>660</v>
      </c>
      <c r="D2838" s="5">
        <v>47</v>
      </c>
      <c r="E2838" s="5">
        <v>45</v>
      </c>
      <c r="F2838" t="s" s="2">
        <v>301</v>
      </c>
      <c r="G2838" t="s" s="2">
        <v>5270</v>
      </c>
      <c r="H2838" s="5">
        <v>510</v>
      </c>
      <c r="I2838" t="s" s="2">
        <v>3049</v>
      </c>
      <c r="J2838" t="s" s="2">
        <v>22</v>
      </c>
      <c r="K2838" t="s" s="2">
        <v>5431</v>
      </c>
      <c r="L2838" s="5">
        <v>199</v>
      </c>
      <c r="M2838" s="5">
        <v>507037.79</v>
      </c>
      <c r="N2838" s="5">
        <v>6131659.31</v>
      </c>
      <c r="O2838" t="s" s="2">
        <v>305</v>
      </c>
      <c r="P2838" s="5">
        <v>90526</v>
      </c>
      <c r="Q2838" t="s" s="2">
        <v>5272</v>
      </c>
      <c r="R2838" t="s" s="2">
        <f>_xlfn.IFERROR(INDEX('model_byCAP'!$D$2:$D$377,MATCH(Q2838,'model_byCAP'!$A$2:$A$377,0)),0)</f>
        <v>4861</v>
      </c>
    </row>
    <row r="2839" ht="15.35" customHeight="1">
      <c r="A2839" t="s" s="2">
        <v>5432</v>
      </c>
      <c r="B2839" s="4">
        <v>36210</v>
      </c>
      <c r="C2839" s="5">
        <v>660</v>
      </c>
      <c r="D2839" s="5">
        <v>47</v>
      </c>
      <c r="E2839" s="5">
        <v>45</v>
      </c>
      <c r="F2839" t="s" s="2">
        <v>301</v>
      </c>
      <c r="G2839" t="s" s="2">
        <v>4858</v>
      </c>
      <c r="H2839" s="5">
        <v>510</v>
      </c>
      <c r="I2839" t="s" s="2">
        <v>3049</v>
      </c>
      <c r="J2839" t="s" s="2">
        <v>22</v>
      </c>
      <c r="K2839" t="s" s="2">
        <v>5433</v>
      </c>
      <c r="L2839" s="5">
        <v>38</v>
      </c>
      <c r="M2839" s="5">
        <v>506843.8</v>
      </c>
      <c r="N2839" s="5">
        <v>6131674.05</v>
      </c>
      <c r="O2839" t="s" s="2">
        <v>305</v>
      </c>
      <c r="P2839" s="5">
        <v>90527</v>
      </c>
      <c r="Q2839" t="s" s="2">
        <v>4860</v>
      </c>
      <c r="R2839" t="s" s="2">
        <f>_xlfn.IFERROR(INDEX('model_byCAP'!$D$2:$D$377,MATCH(Q2839,'model_byCAP'!$A$2:$A$377,0)),0)</f>
        <v>4861</v>
      </c>
    </row>
    <row r="2840" ht="15.35" customHeight="1">
      <c r="A2840" t="s" s="2">
        <v>5434</v>
      </c>
      <c r="B2840" s="4">
        <v>36277</v>
      </c>
      <c r="C2840" s="5">
        <v>660</v>
      </c>
      <c r="D2840" s="5">
        <v>46</v>
      </c>
      <c r="E2840" s="5">
        <v>45</v>
      </c>
      <c r="F2840" t="s" s="2">
        <v>301</v>
      </c>
      <c r="G2840" t="s" s="2">
        <v>5270</v>
      </c>
      <c r="H2840" s="5">
        <v>510</v>
      </c>
      <c r="I2840" t="s" s="2">
        <v>3049</v>
      </c>
      <c r="J2840" t="s" s="2">
        <v>22</v>
      </c>
      <c r="K2840" t="s" s="2">
        <v>5435</v>
      </c>
      <c r="L2840" s="5">
        <v>1169</v>
      </c>
      <c r="M2840" s="5">
        <v>498089.38</v>
      </c>
      <c r="N2840" s="5">
        <v>6120671.41</v>
      </c>
      <c r="O2840" t="s" s="2">
        <v>305</v>
      </c>
      <c r="P2840" s="5">
        <v>90621</v>
      </c>
      <c r="Q2840" t="s" s="2">
        <v>5272</v>
      </c>
      <c r="R2840" t="s" s="2">
        <f>_xlfn.IFERROR(INDEX('model_byCAP'!$D$2:$D$377,MATCH(Q2840,'model_byCAP'!$A$2:$A$377,0)),0)</f>
        <v>4861</v>
      </c>
    </row>
    <row r="2841" ht="15.35" customHeight="1">
      <c r="A2841" t="s" s="2">
        <v>5436</v>
      </c>
      <c r="B2841" s="4">
        <v>36657</v>
      </c>
      <c r="C2841" s="5">
        <v>660</v>
      </c>
      <c r="D2841" s="5">
        <v>47</v>
      </c>
      <c r="E2841" s="5">
        <v>45</v>
      </c>
      <c r="F2841" t="s" s="2">
        <v>301</v>
      </c>
      <c r="G2841" t="s" s="2">
        <v>5270</v>
      </c>
      <c r="H2841" s="5">
        <v>510</v>
      </c>
      <c r="I2841" t="s" s="2">
        <v>3049</v>
      </c>
      <c r="J2841" t="s" s="2">
        <v>22</v>
      </c>
      <c r="K2841" t="s" s="2">
        <v>5437</v>
      </c>
      <c r="L2841" s="5">
        <v>406</v>
      </c>
      <c r="M2841" s="5">
        <v>523209.58</v>
      </c>
      <c r="N2841" s="5">
        <v>6125481.75</v>
      </c>
      <c r="O2841" t="s" s="2">
        <v>305</v>
      </c>
      <c r="P2841" s="5">
        <v>200117</v>
      </c>
      <c r="Q2841" t="s" s="2">
        <v>5272</v>
      </c>
      <c r="R2841" t="s" s="2">
        <f>_xlfn.IFERROR(INDEX('model_byCAP'!$D$2:$D$377,MATCH(Q2841,'model_byCAP'!$A$2:$A$377,0)),0)</f>
        <v>4861</v>
      </c>
    </row>
    <row r="2842" ht="15.35" customHeight="1">
      <c r="A2842" t="s" s="2">
        <v>5438</v>
      </c>
      <c r="B2842" s="4">
        <v>36851</v>
      </c>
      <c r="C2842" s="5">
        <v>660</v>
      </c>
      <c r="D2842" s="5">
        <v>47</v>
      </c>
      <c r="E2842" s="5">
        <v>45</v>
      </c>
      <c r="F2842" t="s" s="2">
        <v>301</v>
      </c>
      <c r="G2842" t="s" s="2">
        <v>5270</v>
      </c>
      <c r="H2842" s="5">
        <v>510</v>
      </c>
      <c r="I2842" t="s" s="2">
        <v>3049</v>
      </c>
      <c r="J2842" t="s" s="2">
        <v>22</v>
      </c>
      <c r="K2842" t="s" s="2">
        <v>5439</v>
      </c>
      <c r="L2842" s="5">
        <v>19</v>
      </c>
      <c r="M2842" s="5">
        <v>524867.65</v>
      </c>
      <c r="N2842" s="5">
        <v>6127782.76</v>
      </c>
      <c r="O2842" t="s" s="2">
        <v>305</v>
      </c>
      <c r="P2842" s="5">
        <v>200120</v>
      </c>
      <c r="Q2842" t="s" s="2">
        <v>5272</v>
      </c>
      <c r="R2842" t="s" s="2">
        <f>_xlfn.IFERROR(INDEX('model_byCAP'!$D$2:$D$377,MATCH(Q2842,'model_byCAP'!$A$2:$A$377,0)),0)</f>
        <v>4861</v>
      </c>
    </row>
    <row r="2843" ht="15.35" customHeight="1">
      <c r="A2843" t="s" s="2">
        <v>5440</v>
      </c>
      <c r="B2843" s="4">
        <v>35866</v>
      </c>
      <c r="C2843" s="5">
        <v>660</v>
      </c>
      <c r="D2843" s="5">
        <v>47</v>
      </c>
      <c r="E2843" s="5">
        <v>45</v>
      </c>
      <c r="F2843" t="s" s="2">
        <v>301</v>
      </c>
      <c r="G2843" t="s" s="2">
        <v>5270</v>
      </c>
      <c r="H2843" s="5">
        <v>510</v>
      </c>
      <c r="I2843" t="s" s="2">
        <v>3049</v>
      </c>
      <c r="J2843" t="s" s="2">
        <v>22</v>
      </c>
      <c r="K2843" t="s" s="2">
        <v>5441</v>
      </c>
      <c r="L2843" s="5">
        <v>136</v>
      </c>
      <c r="M2843" s="5">
        <v>519434.31</v>
      </c>
      <c r="N2843" s="5">
        <v>6129143.42</v>
      </c>
      <c r="O2843" t="s" s="2">
        <v>305</v>
      </c>
      <c r="P2843" s="5">
        <v>200256</v>
      </c>
      <c r="Q2843" t="s" s="2">
        <v>5272</v>
      </c>
      <c r="R2843" t="s" s="2">
        <f>_xlfn.IFERROR(INDEX('model_byCAP'!$D$2:$D$377,MATCH(Q2843,'model_byCAP'!$A$2:$A$377,0)),0)</f>
        <v>4861</v>
      </c>
    </row>
    <row r="2844" ht="15.35" customHeight="1">
      <c r="A2844" t="s" s="2">
        <v>5442</v>
      </c>
      <c r="B2844" s="4">
        <v>36531</v>
      </c>
      <c r="C2844" s="5">
        <v>660</v>
      </c>
      <c r="D2844" s="5">
        <v>47</v>
      </c>
      <c r="E2844" s="5">
        <v>45</v>
      </c>
      <c r="F2844" t="s" s="2">
        <v>301</v>
      </c>
      <c r="G2844" t="s" s="2">
        <v>5270</v>
      </c>
      <c r="H2844" s="5">
        <v>510</v>
      </c>
      <c r="I2844" t="s" s="2">
        <v>3049</v>
      </c>
      <c r="J2844" t="s" s="2">
        <v>22</v>
      </c>
      <c r="K2844" t="s" s="2">
        <v>5443</v>
      </c>
      <c r="L2844" s="5">
        <v>13</v>
      </c>
      <c r="M2844" s="5">
        <v>523633.49</v>
      </c>
      <c r="N2844" s="5">
        <v>6124691.43</v>
      </c>
      <c r="O2844" t="s" s="2">
        <v>305</v>
      </c>
      <c r="P2844" s="5">
        <v>200276</v>
      </c>
      <c r="Q2844" t="s" s="2">
        <v>5272</v>
      </c>
      <c r="R2844" t="s" s="2">
        <f>_xlfn.IFERROR(INDEX('model_byCAP'!$D$2:$D$377,MATCH(Q2844,'model_byCAP'!$A$2:$A$377,0)),0)</f>
        <v>4861</v>
      </c>
    </row>
    <row r="2845" ht="15.35" customHeight="1">
      <c r="A2845" t="s" s="2">
        <v>5444</v>
      </c>
      <c r="B2845" s="4">
        <v>36605</v>
      </c>
      <c r="C2845" s="5">
        <v>660</v>
      </c>
      <c r="D2845" s="5">
        <v>47</v>
      </c>
      <c r="E2845" s="5">
        <v>45</v>
      </c>
      <c r="F2845" t="s" s="2">
        <v>301</v>
      </c>
      <c r="G2845" t="s" s="2">
        <v>5270</v>
      </c>
      <c r="H2845" s="5">
        <v>510</v>
      </c>
      <c r="I2845" t="s" s="2">
        <v>3049</v>
      </c>
      <c r="J2845" t="s" s="2">
        <v>22</v>
      </c>
      <c r="K2845" t="s" s="2">
        <v>5445</v>
      </c>
      <c r="L2845" s="5">
        <v>13</v>
      </c>
      <c r="M2845" s="5">
        <v>524858.09</v>
      </c>
      <c r="N2845" s="5">
        <v>6129741.05</v>
      </c>
      <c r="O2845" t="s" s="2">
        <v>305</v>
      </c>
      <c r="P2845" s="5">
        <v>200293</v>
      </c>
      <c r="Q2845" t="s" s="2">
        <v>5272</v>
      </c>
      <c r="R2845" t="s" s="2">
        <f>_xlfn.IFERROR(INDEX('model_byCAP'!$D$2:$D$377,MATCH(Q2845,'model_byCAP'!$A$2:$A$377,0)),0)</f>
        <v>4861</v>
      </c>
    </row>
    <row r="2846" ht="15.35" customHeight="1">
      <c r="A2846" t="s" s="2">
        <v>5446</v>
      </c>
      <c r="B2846" s="4">
        <v>36392</v>
      </c>
      <c r="C2846" s="5">
        <v>660</v>
      </c>
      <c r="D2846" s="5">
        <v>47</v>
      </c>
      <c r="E2846" s="5">
        <v>46</v>
      </c>
      <c r="F2846" t="s" s="2">
        <v>301</v>
      </c>
      <c r="G2846" t="s" s="2">
        <v>5270</v>
      </c>
      <c r="H2846" s="5">
        <v>510</v>
      </c>
      <c r="I2846" t="s" s="2">
        <v>3049</v>
      </c>
      <c r="J2846" t="s" s="2">
        <v>22</v>
      </c>
      <c r="K2846" t="s" s="2">
        <v>5447</v>
      </c>
      <c r="L2846" s="5">
        <v>238</v>
      </c>
      <c r="M2846" s="5">
        <v>523913.59</v>
      </c>
      <c r="N2846" s="5">
        <v>6129213.97</v>
      </c>
      <c r="O2846" t="s" s="2">
        <v>305</v>
      </c>
      <c r="P2846" s="5">
        <v>200297</v>
      </c>
      <c r="Q2846" t="s" s="2">
        <v>5272</v>
      </c>
      <c r="R2846" t="s" s="2">
        <f>_xlfn.IFERROR(INDEX('model_byCAP'!$D$2:$D$377,MATCH(Q2846,'model_byCAP'!$A$2:$A$377,0)),0)</f>
        <v>4861</v>
      </c>
    </row>
    <row r="2847" ht="15.35" customHeight="1">
      <c r="A2847" t="s" s="2">
        <v>5448</v>
      </c>
      <c r="B2847" s="4">
        <v>35825</v>
      </c>
      <c r="C2847" s="5">
        <v>660</v>
      </c>
      <c r="D2847" s="5">
        <v>47</v>
      </c>
      <c r="E2847" s="5">
        <v>45</v>
      </c>
      <c r="F2847" t="s" s="2">
        <v>301</v>
      </c>
      <c r="G2847" t="s" s="2">
        <v>5270</v>
      </c>
      <c r="H2847" s="5">
        <v>550</v>
      </c>
      <c r="I2847" t="s" s="2">
        <v>526</v>
      </c>
      <c r="J2847" t="s" s="2">
        <v>22</v>
      </c>
      <c r="K2847" t="s" s="2">
        <v>3101</v>
      </c>
      <c r="L2847" s="5">
        <v>24</v>
      </c>
      <c r="M2847" s="5">
        <v>497791.85</v>
      </c>
      <c r="N2847" s="5">
        <v>6109555.89</v>
      </c>
      <c r="O2847" t="s" s="2">
        <v>305</v>
      </c>
      <c r="P2847" s="5">
        <v>23138</v>
      </c>
      <c r="Q2847" t="s" s="2">
        <v>5272</v>
      </c>
      <c r="R2847" t="s" s="2">
        <f>_xlfn.IFERROR(INDEX('model_byCAP'!$D$2:$D$377,MATCH(Q2847,'model_byCAP'!$A$2:$A$377,0)),0)</f>
        <v>4861</v>
      </c>
    </row>
    <row r="2848" ht="15.35" customHeight="1">
      <c r="A2848" t="s" s="2">
        <v>5449</v>
      </c>
      <c r="B2848" s="4">
        <v>35863</v>
      </c>
      <c r="C2848" s="5">
        <v>660</v>
      </c>
      <c r="D2848" s="5">
        <v>47</v>
      </c>
      <c r="E2848" s="5">
        <v>45</v>
      </c>
      <c r="F2848" t="s" s="2">
        <v>301</v>
      </c>
      <c r="G2848" t="s" s="2">
        <v>5270</v>
      </c>
      <c r="H2848" s="5">
        <v>550</v>
      </c>
      <c r="I2848" t="s" s="2">
        <v>526</v>
      </c>
      <c r="J2848" t="s" s="2">
        <v>22</v>
      </c>
      <c r="K2848" t="s" s="2">
        <v>3086</v>
      </c>
      <c r="L2848" s="5">
        <v>101</v>
      </c>
      <c r="M2848" s="5">
        <v>501028.77</v>
      </c>
      <c r="N2848" s="5">
        <v>6107917.37</v>
      </c>
      <c r="O2848" t="s" s="2">
        <v>305</v>
      </c>
      <c r="P2848" s="5">
        <v>44196563</v>
      </c>
      <c r="Q2848" t="s" s="2">
        <v>5272</v>
      </c>
      <c r="R2848" t="s" s="2">
        <f>_xlfn.IFERROR(INDEX('model_byCAP'!$D$2:$D$377,MATCH(Q2848,'model_byCAP'!$A$2:$A$377,0)),0)</f>
        <v>4861</v>
      </c>
    </row>
    <row r="2849" ht="15.35" customHeight="1">
      <c r="A2849" t="s" s="2">
        <v>5450</v>
      </c>
      <c r="B2849" s="4">
        <v>35863</v>
      </c>
      <c r="C2849" s="5">
        <v>660</v>
      </c>
      <c r="D2849" s="5">
        <v>47</v>
      </c>
      <c r="E2849" s="5">
        <v>46</v>
      </c>
      <c r="F2849" t="s" s="2">
        <v>301</v>
      </c>
      <c r="G2849" t="s" s="2">
        <v>5270</v>
      </c>
      <c r="H2849" s="5">
        <v>550</v>
      </c>
      <c r="I2849" t="s" s="2">
        <v>526</v>
      </c>
      <c r="J2849" t="s" s="2">
        <v>22</v>
      </c>
      <c r="K2849" t="s" s="2">
        <v>3086</v>
      </c>
      <c r="L2849" s="5">
        <v>10</v>
      </c>
      <c r="M2849" s="5">
        <v>501010.6</v>
      </c>
      <c r="N2849" s="5">
        <v>6107660.42</v>
      </c>
      <c r="O2849" t="s" s="2">
        <v>305</v>
      </c>
      <c r="P2849" s="5">
        <v>44196564</v>
      </c>
      <c r="Q2849" t="s" s="2">
        <v>5272</v>
      </c>
      <c r="R2849" t="s" s="2">
        <f>_xlfn.IFERROR(INDEX('model_byCAP'!$D$2:$D$377,MATCH(Q2849,'model_byCAP'!$A$2:$A$377,0)),0)</f>
        <v>4861</v>
      </c>
    </row>
    <row r="2850" ht="15.35" customHeight="1">
      <c r="A2850" t="s" s="2">
        <v>5451</v>
      </c>
      <c r="B2850" s="4">
        <v>35376</v>
      </c>
      <c r="C2850" s="5">
        <v>660</v>
      </c>
      <c r="D2850" s="5">
        <v>47</v>
      </c>
      <c r="E2850" s="5">
        <v>45</v>
      </c>
      <c r="F2850" t="s" s="2">
        <v>301</v>
      </c>
      <c r="G2850" t="s" s="2">
        <v>4858</v>
      </c>
      <c r="H2850" s="5">
        <v>550</v>
      </c>
      <c r="I2850" t="s" s="2">
        <v>526</v>
      </c>
      <c r="J2850" t="s" s="2">
        <v>22</v>
      </c>
      <c r="K2850" t="s" s="2">
        <v>5452</v>
      </c>
      <c r="L2850" s="5">
        <v>9</v>
      </c>
      <c r="M2850" s="5">
        <v>485042.97</v>
      </c>
      <c r="N2850" s="5">
        <v>6103529.99</v>
      </c>
      <c r="O2850" t="s" s="2">
        <v>305</v>
      </c>
      <c r="P2850" s="5">
        <v>32307</v>
      </c>
      <c r="Q2850" t="s" s="2">
        <v>4860</v>
      </c>
      <c r="R2850" t="s" s="2">
        <f>_xlfn.IFERROR(INDEX('model_byCAP'!$D$2:$D$377,MATCH(Q2850,'model_byCAP'!$A$2:$A$377,0)),0)</f>
        <v>4861</v>
      </c>
    </row>
    <row r="2851" ht="15.35" customHeight="1">
      <c r="A2851" t="s" s="2">
        <v>5453</v>
      </c>
      <c r="B2851" s="4">
        <v>35370</v>
      </c>
      <c r="C2851" s="5">
        <v>660</v>
      </c>
      <c r="D2851" s="5">
        <v>47</v>
      </c>
      <c r="E2851" s="5">
        <v>45</v>
      </c>
      <c r="F2851" t="s" s="2">
        <v>301</v>
      </c>
      <c r="G2851" t="s" s="2">
        <v>4858</v>
      </c>
      <c r="H2851" s="5">
        <v>550</v>
      </c>
      <c r="I2851" t="s" s="2">
        <v>526</v>
      </c>
      <c r="J2851" t="s" s="2">
        <v>22</v>
      </c>
      <c r="K2851" t="s" s="2">
        <v>5452</v>
      </c>
      <c r="L2851" s="5">
        <v>6</v>
      </c>
      <c r="M2851" s="5">
        <v>484579.92</v>
      </c>
      <c r="N2851" s="5">
        <v>6103331.67</v>
      </c>
      <c r="O2851" t="s" s="2">
        <v>305</v>
      </c>
      <c r="P2851" s="5">
        <v>32308</v>
      </c>
      <c r="Q2851" t="s" s="2">
        <v>4860</v>
      </c>
      <c r="R2851" t="s" s="2">
        <f>_xlfn.IFERROR(INDEX('model_byCAP'!$D$2:$D$377,MATCH(Q2851,'model_byCAP'!$A$2:$A$377,0)),0)</f>
        <v>4861</v>
      </c>
    </row>
    <row r="2852" ht="15.35" customHeight="1">
      <c r="A2852" t="s" s="2">
        <v>5454</v>
      </c>
      <c r="B2852" s="4">
        <v>35814</v>
      </c>
      <c r="C2852" s="5">
        <v>660</v>
      </c>
      <c r="D2852" s="5">
        <v>47</v>
      </c>
      <c r="E2852" s="5">
        <v>46</v>
      </c>
      <c r="F2852" t="s" s="2">
        <v>301</v>
      </c>
      <c r="G2852" t="s" s="2">
        <v>4858</v>
      </c>
      <c r="H2852" s="5">
        <v>550</v>
      </c>
      <c r="I2852" t="s" s="2">
        <v>526</v>
      </c>
      <c r="J2852" t="s" s="2">
        <v>22</v>
      </c>
      <c r="K2852" t="s" s="2">
        <v>4465</v>
      </c>
      <c r="L2852" s="5">
        <v>357</v>
      </c>
      <c r="M2852" s="5">
        <v>492089.98</v>
      </c>
      <c r="N2852" s="5">
        <v>6099368.25</v>
      </c>
      <c r="O2852" t="s" s="2">
        <v>305</v>
      </c>
      <c r="P2852" s="5">
        <v>32673</v>
      </c>
      <c r="Q2852" t="s" s="2">
        <v>4860</v>
      </c>
      <c r="R2852" t="s" s="2">
        <f>_xlfn.IFERROR(INDEX('model_byCAP'!$D$2:$D$377,MATCH(Q2852,'model_byCAP'!$A$2:$A$377,0)),0)</f>
        <v>4861</v>
      </c>
    </row>
    <row r="2853" ht="15.35" customHeight="1">
      <c r="A2853" t="s" s="2">
        <v>5455</v>
      </c>
      <c r="B2853" s="4">
        <v>35818</v>
      </c>
      <c r="C2853" s="5">
        <v>660</v>
      </c>
      <c r="D2853" s="5">
        <v>47</v>
      </c>
      <c r="E2853" s="5">
        <v>46</v>
      </c>
      <c r="F2853" t="s" s="2">
        <v>301</v>
      </c>
      <c r="G2853" t="s" s="2">
        <v>5270</v>
      </c>
      <c r="H2853" s="5">
        <v>550</v>
      </c>
      <c r="I2853" t="s" s="2">
        <v>526</v>
      </c>
      <c r="J2853" t="s" s="2">
        <v>22</v>
      </c>
      <c r="K2853" t="s" s="2">
        <v>4505</v>
      </c>
      <c r="L2853" s="5">
        <v>555</v>
      </c>
      <c r="M2853" s="5">
        <v>491885.98</v>
      </c>
      <c r="N2853" s="5">
        <v>6099225.29</v>
      </c>
      <c r="O2853" t="s" s="2">
        <v>305</v>
      </c>
      <c r="P2853" s="5">
        <v>32674</v>
      </c>
      <c r="Q2853" t="s" s="2">
        <v>5272</v>
      </c>
      <c r="R2853" t="s" s="2">
        <f>_xlfn.IFERROR(INDEX('model_byCAP'!$D$2:$D$377,MATCH(Q2853,'model_byCAP'!$A$2:$A$377,0)),0)</f>
        <v>4861</v>
      </c>
    </row>
    <row r="2854" ht="15.35" customHeight="1">
      <c r="A2854" t="s" s="2">
        <v>5456</v>
      </c>
      <c r="B2854" s="4">
        <v>35818</v>
      </c>
      <c r="C2854" s="5">
        <v>660</v>
      </c>
      <c r="D2854" s="5">
        <v>0.1</v>
      </c>
      <c r="E2854" s="5">
        <v>0.1</v>
      </c>
      <c r="F2854" t="s" s="2">
        <v>42</v>
      </c>
      <c r="G2854" t="s" s="2">
        <v>42</v>
      </c>
      <c r="H2854" s="5">
        <v>550</v>
      </c>
      <c r="I2854" t="s" s="2">
        <v>526</v>
      </c>
      <c r="J2854" t="s" s="2">
        <v>22</v>
      </c>
      <c r="K2854" t="s" s="2">
        <v>4505</v>
      </c>
      <c r="L2854" s="5">
        <v>248</v>
      </c>
      <c r="M2854" s="5">
        <v>491861.89</v>
      </c>
      <c r="N2854" s="5">
        <v>6099475.54</v>
      </c>
      <c r="O2854" t="s" s="2">
        <v>305</v>
      </c>
      <c r="P2854" s="5">
        <v>32675</v>
      </c>
      <c r="Q2854" t="s" s="2">
        <v>43</v>
      </c>
      <c r="R2854" s="5">
        <f>_xlfn.IFERROR(INDEX('model_byCAP'!$D$2:$D$377,MATCH(Q2854,'model_byCAP'!$A$2:$A$377,0)),0)</f>
        <v>0</v>
      </c>
    </row>
    <row r="2855" ht="15.35" customHeight="1">
      <c r="A2855" t="s" s="2">
        <v>5457</v>
      </c>
      <c r="B2855" s="4">
        <v>35801</v>
      </c>
      <c r="C2855" s="5">
        <v>660</v>
      </c>
      <c r="D2855" s="5">
        <v>47</v>
      </c>
      <c r="E2855" s="5">
        <v>46</v>
      </c>
      <c r="F2855" t="s" s="2">
        <v>301</v>
      </c>
      <c r="G2855" t="s" s="2">
        <v>5270</v>
      </c>
      <c r="H2855" s="5">
        <v>550</v>
      </c>
      <c r="I2855" t="s" s="2">
        <v>526</v>
      </c>
      <c r="J2855" t="s" s="2">
        <v>22</v>
      </c>
      <c r="K2855" t="s" s="2">
        <v>5458</v>
      </c>
      <c r="L2855" s="5">
        <v>8</v>
      </c>
      <c r="M2855" s="5">
        <v>490903.57</v>
      </c>
      <c r="N2855" s="5">
        <v>6111049.19</v>
      </c>
      <c r="O2855" t="s" s="2">
        <v>305</v>
      </c>
      <c r="P2855" s="5">
        <v>32690</v>
      </c>
      <c r="Q2855" t="s" s="2">
        <v>5272</v>
      </c>
      <c r="R2855" t="s" s="2">
        <f>_xlfn.IFERROR(INDEX('model_byCAP'!$D$2:$D$377,MATCH(Q2855,'model_byCAP'!$A$2:$A$377,0)),0)</f>
        <v>4861</v>
      </c>
    </row>
    <row r="2856" ht="15.35" customHeight="1">
      <c r="A2856" t="s" s="2">
        <v>5459</v>
      </c>
      <c r="B2856" s="4">
        <v>35892</v>
      </c>
      <c r="C2856" s="5">
        <v>660</v>
      </c>
      <c r="D2856" s="5">
        <v>47</v>
      </c>
      <c r="E2856" s="5">
        <v>45</v>
      </c>
      <c r="F2856" t="s" s="2">
        <v>301</v>
      </c>
      <c r="G2856" t="s" s="2">
        <v>5270</v>
      </c>
      <c r="H2856" s="5">
        <v>550</v>
      </c>
      <c r="I2856" t="s" s="2">
        <v>526</v>
      </c>
      <c r="J2856" t="s" s="2">
        <v>22</v>
      </c>
      <c r="K2856" t="s" s="2">
        <v>5460</v>
      </c>
      <c r="L2856" s="5">
        <v>7</v>
      </c>
      <c r="M2856" s="5">
        <v>490555.38</v>
      </c>
      <c r="N2856" s="5">
        <v>6111090.33</v>
      </c>
      <c r="O2856" t="s" s="2">
        <v>305</v>
      </c>
      <c r="P2856" s="5">
        <v>32741</v>
      </c>
      <c r="Q2856" t="s" s="2">
        <v>5272</v>
      </c>
      <c r="R2856" t="s" s="2">
        <f>_xlfn.IFERROR(INDEX('model_byCAP'!$D$2:$D$377,MATCH(Q2856,'model_byCAP'!$A$2:$A$377,0)),0)</f>
        <v>4861</v>
      </c>
    </row>
    <row r="2857" ht="15.35" customHeight="1">
      <c r="A2857" t="s" s="2">
        <v>5461</v>
      </c>
      <c r="B2857" s="4">
        <v>35901</v>
      </c>
      <c r="C2857" s="5">
        <v>660</v>
      </c>
      <c r="D2857" s="5">
        <v>47</v>
      </c>
      <c r="E2857" s="5">
        <v>46</v>
      </c>
      <c r="F2857" t="s" s="2">
        <v>301</v>
      </c>
      <c r="G2857" t="s" s="2">
        <v>5270</v>
      </c>
      <c r="H2857" s="5">
        <v>550</v>
      </c>
      <c r="I2857" t="s" s="2">
        <v>526</v>
      </c>
      <c r="J2857" t="s" s="2">
        <v>22</v>
      </c>
      <c r="K2857" t="s" s="2">
        <v>4483</v>
      </c>
      <c r="L2857" s="5">
        <v>21</v>
      </c>
      <c r="M2857" s="5">
        <v>502951.47</v>
      </c>
      <c r="N2857" s="5">
        <v>6093504.25</v>
      </c>
      <c r="O2857" t="s" s="2">
        <v>305</v>
      </c>
      <c r="P2857" s="5">
        <v>32743</v>
      </c>
      <c r="Q2857" t="s" s="2">
        <v>5272</v>
      </c>
      <c r="R2857" t="s" s="2">
        <f>_xlfn.IFERROR(INDEX('model_byCAP'!$D$2:$D$377,MATCH(Q2857,'model_byCAP'!$A$2:$A$377,0)),0)</f>
        <v>4861</v>
      </c>
    </row>
    <row r="2858" ht="15.35" customHeight="1">
      <c r="A2858" t="s" s="2">
        <v>5462</v>
      </c>
      <c r="B2858" s="4">
        <v>35933</v>
      </c>
      <c r="C2858" s="5">
        <v>660</v>
      </c>
      <c r="D2858" s="5">
        <v>47</v>
      </c>
      <c r="E2858" s="5">
        <v>45</v>
      </c>
      <c r="F2858" t="s" s="2">
        <v>301</v>
      </c>
      <c r="G2858" t="s" s="2">
        <v>5270</v>
      </c>
      <c r="H2858" s="5">
        <v>550</v>
      </c>
      <c r="I2858" t="s" s="2">
        <v>526</v>
      </c>
      <c r="J2858" t="s" s="2">
        <v>22</v>
      </c>
      <c r="K2858" t="s" s="2">
        <v>3101</v>
      </c>
      <c r="L2858" s="5">
        <v>24</v>
      </c>
      <c r="M2858" s="5">
        <v>497753.32</v>
      </c>
      <c r="N2858" s="5">
        <v>6109836.31</v>
      </c>
      <c r="O2858" t="s" s="2">
        <v>305</v>
      </c>
      <c r="P2858" s="5">
        <v>90184</v>
      </c>
      <c r="Q2858" t="s" s="2">
        <v>5272</v>
      </c>
      <c r="R2858" t="s" s="2">
        <f>_xlfn.IFERROR(INDEX('model_byCAP'!$D$2:$D$377,MATCH(Q2858,'model_byCAP'!$A$2:$A$377,0)),0)</f>
        <v>4861</v>
      </c>
    </row>
    <row r="2859" ht="15.35" customHeight="1">
      <c r="A2859" t="s" s="2">
        <v>5463</v>
      </c>
      <c r="B2859" s="4">
        <v>35931</v>
      </c>
      <c r="C2859" s="5">
        <v>660</v>
      </c>
      <c r="D2859" s="5">
        <v>47</v>
      </c>
      <c r="E2859" s="5">
        <v>45</v>
      </c>
      <c r="F2859" t="s" s="2">
        <v>301</v>
      </c>
      <c r="G2859" t="s" s="2">
        <v>4858</v>
      </c>
      <c r="H2859" s="5">
        <v>550</v>
      </c>
      <c r="I2859" t="s" s="2">
        <v>526</v>
      </c>
      <c r="J2859" t="s" s="2">
        <v>22</v>
      </c>
      <c r="K2859" t="s" s="2">
        <v>4469</v>
      </c>
      <c r="L2859" s="5">
        <v>301</v>
      </c>
      <c r="M2859" s="5">
        <v>490201.74</v>
      </c>
      <c r="N2859" s="5">
        <v>6117509.91</v>
      </c>
      <c r="O2859" t="s" s="2">
        <v>305</v>
      </c>
      <c r="P2859" s="5">
        <v>90222</v>
      </c>
      <c r="Q2859" t="s" s="2">
        <v>4860</v>
      </c>
      <c r="R2859" t="s" s="2">
        <f>_xlfn.IFERROR(INDEX('model_byCAP'!$D$2:$D$377,MATCH(Q2859,'model_byCAP'!$A$2:$A$377,0)),0)</f>
        <v>4861</v>
      </c>
    </row>
    <row r="2860" ht="15.35" customHeight="1">
      <c r="A2860" t="s" s="2">
        <v>5464</v>
      </c>
      <c r="B2860" s="4">
        <v>36063</v>
      </c>
      <c r="C2860" s="5">
        <v>660</v>
      </c>
      <c r="D2860" s="5">
        <v>47</v>
      </c>
      <c r="E2860" s="5">
        <v>45</v>
      </c>
      <c r="F2860" t="s" s="2">
        <v>301</v>
      </c>
      <c r="G2860" t="s" s="2">
        <v>5270</v>
      </c>
      <c r="H2860" s="5">
        <v>550</v>
      </c>
      <c r="I2860" t="s" s="2">
        <v>526</v>
      </c>
      <c r="J2860" t="s" s="2">
        <v>22</v>
      </c>
      <c r="K2860" t="s" s="2">
        <v>3246</v>
      </c>
      <c r="L2860" s="5">
        <v>162</v>
      </c>
      <c r="M2860" s="5">
        <v>492804.45</v>
      </c>
      <c r="N2860" s="5">
        <v>6105675.62</v>
      </c>
      <c r="O2860" t="s" s="2">
        <v>305</v>
      </c>
      <c r="P2860" s="5">
        <v>90384</v>
      </c>
      <c r="Q2860" t="s" s="2">
        <v>5272</v>
      </c>
      <c r="R2860" t="s" s="2">
        <f>_xlfn.IFERROR(INDEX('model_byCAP'!$D$2:$D$377,MATCH(Q2860,'model_byCAP'!$A$2:$A$377,0)),0)</f>
        <v>4861</v>
      </c>
    </row>
    <row r="2861" ht="15.35" customHeight="1">
      <c r="A2861" t="s" s="2">
        <v>5465</v>
      </c>
      <c r="B2861" s="4">
        <v>36063</v>
      </c>
      <c r="C2861" s="5">
        <v>660</v>
      </c>
      <c r="D2861" s="5">
        <v>47</v>
      </c>
      <c r="E2861" s="5">
        <v>46</v>
      </c>
      <c r="F2861" t="s" s="2">
        <v>301</v>
      </c>
      <c r="G2861" t="s" s="2">
        <v>4858</v>
      </c>
      <c r="H2861" s="5">
        <v>550</v>
      </c>
      <c r="I2861" t="s" s="2">
        <v>526</v>
      </c>
      <c r="J2861" t="s" s="2">
        <v>22</v>
      </c>
      <c r="K2861" t="s" s="2">
        <v>5466</v>
      </c>
      <c r="L2861" s="5">
        <v>163</v>
      </c>
      <c r="M2861" s="5">
        <v>492902.58</v>
      </c>
      <c r="N2861" s="5">
        <v>6105616.78</v>
      </c>
      <c r="O2861" t="s" s="2">
        <v>305</v>
      </c>
      <c r="P2861" s="5">
        <v>90385</v>
      </c>
      <c r="Q2861" t="s" s="2">
        <v>4860</v>
      </c>
      <c r="R2861" t="s" s="2">
        <f>_xlfn.IFERROR(INDEX('model_byCAP'!$D$2:$D$377,MATCH(Q2861,'model_byCAP'!$A$2:$A$377,0)),0)</f>
        <v>4861</v>
      </c>
    </row>
    <row r="2862" ht="15.35" customHeight="1">
      <c r="A2862" t="s" s="2">
        <v>5467</v>
      </c>
      <c r="B2862" s="4">
        <v>36192</v>
      </c>
      <c r="C2862" s="5">
        <v>660</v>
      </c>
      <c r="D2862" s="5">
        <v>47</v>
      </c>
      <c r="E2862" s="5">
        <v>45</v>
      </c>
      <c r="F2862" t="s" s="2">
        <v>301</v>
      </c>
      <c r="G2862" t="s" s="2">
        <v>5270</v>
      </c>
      <c r="H2862" s="5">
        <v>550</v>
      </c>
      <c r="I2862" t="s" s="2">
        <v>526</v>
      </c>
      <c r="J2862" t="s" s="2">
        <v>22</v>
      </c>
      <c r="K2862" t="s" s="2">
        <v>3246</v>
      </c>
      <c r="L2862" s="5">
        <v>271</v>
      </c>
      <c r="M2862" s="5">
        <v>500262.24</v>
      </c>
      <c r="N2862" s="5">
        <v>6107409.24</v>
      </c>
      <c r="O2862" t="s" s="2">
        <v>25</v>
      </c>
      <c r="P2862" s="5">
        <v>90414</v>
      </c>
      <c r="Q2862" t="s" s="2">
        <v>5272</v>
      </c>
      <c r="R2862" t="s" s="2">
        <f>_xlfn.IFERROR(INDEX('model_byCAP'!$D$2:$D$377,MATCH(Q2862,'model_byCAP'!$A$2:$A$377,0)),0)</f>
        <v>4861</v>
      </c>
    </row>
    <row r="2863" ht="15.35" customHeight="1">
      <c r="A2863" t="s" s="2">
        <v>5468</v>
      </c>
      <c r="B2863" s="4">
        <v>36306</v>
      </c>
      <c r="C2863" s="5">
        <v>660</v>
      </c>
      <c r="D2863" s="5">
        <v>47</v>
      </c>
      <c r="E2863" s="5">
        <v>46</v>
      </c>
      <c r="F2863" t="s" s="2">
        <v>301</v>
      </c>
      <c r="G2863" t="s" s="2">
        <v>5270</v>
      </c>
      <c r="H2863" s="5">
        <v>550</v>
      </c>
      <c r="I2863" t="s" s="2">
        <v>526</v>
      </c>
      <c r="J2863" t="s" s="2">
        <v>22</v>
      </c>
      <c r="K2863" t="s" s="2">
        <v>3096</v>
      </c>
      <c r="L2863" s="5">
        <v>147</v>
      </c>
      <c r="M2863" s="5">
        <v>509143.47</v>
      </c>
      <c r="N2863" s="5">
        <v>6116320.87</v>
      </c>
      <c r="O2863" t="s" s="2">
        <v>305</v>
      </c>
      <c r="P2863" s="5">
        <v>90500</v>
      </c>
      <c r="Q2863" t="s" s="2">
        <v>5272</v>
      </c>
      <c r="R2863" t="s" s="2">
        <f>_xlfn.IFERROR(INDEX('model_byCAP'!$D$2:$D$377,MATCH(Q2863,'model_byCAP'!$A$2:$A$377,0)),0)</f>
        <v>4861</v>
      </c>
    </row>
    <row r="2864" ht="15.35" customHeight="1">
      <c r="A2864" t="s" s="2">
        <v>5469</v>
      </c>
      <c r="B2864" s="4">
        <v>36350</v>
      </c>
      <c r="C2864" s="5">
        <v>660</v>
      </c>
      <c r="D2864" s="5">
        <v>47</v>
      </c>
      <c r="E2864" s="5">
        <v>46</v>
      </c>
      <c r="F2864" t="s" s="2">
        <v>301</v>
      </c>
      <c r="G2864" t="s" s="2">
        <v>5270</v>
      </c>
      <c r="H2864" s="5">
        <v>550</v>
      </c>
      <c r="I2864" t="s" s="2">
        <v>526</v>
      </c>
      <c r="J2864" t="s" s="2">
        <v>22</v>
      </c>
      <c r="K2864" t="s" s="2">
        <v>5458</v>
      </c>
      <c r="L2864" s="5">
        <v>8</v>
      </c>
      <c r="M2864" s="5">
        <v>491250.46</v>
      </c>
      <c r="N2864" s="5">
        <v>6111010.03</v>
      </c>
      <c r="O2864" t="s" s="2">
        <v>305</v>
      </c>
      <c r="P2864" s="5">
        <v>90505</v>
      </c>
      <c r="Q2864" t="s" s="2">
        <v>5272</v>
      </c>
      <c r="R2864" t="s" s="2">
        <f>_xlfn.IFERROR(INDEX('model_byCAP'!$D$2:$D$377,MATCH(Q2864,'model_byCAP'!$A$2:$A$377,0)),0)</f>
        <v>4861</v>
      </c>
    </row>
    <row r="2865" ht="15.35" customHeight="1">
      <c r="A2865" t="s" s="2">
        <v>5470</v>
      </c>
      <c r="B2865" s="4">
        <v>36350</v>
      </c>
      <c r="C2865" s="5">
        <v>660</v>
      </c>
      <c r="D2865" s="5">
        <v>47</v>
      </c>
      <c r="E2865" s="5">
        <v>45</v>
      </c>
      <c r="F2865" t="s" s="2">
        <v>301</v>
      </c>
      <c r="G2865" t="s" s="2">
        <v>5270</v>
      </c>
      <c r="H2865" s="5">
        <v>550</v>
      </c>
      <c r="I2865" t="s" s="2">
        <v>526</v>
      </c>
      <c r="J2865" t="s" s="2">
        <v>22</v>
      </c>
      <c r="K2865" t="s" s="2">
        <v>5471</v>
      </c>
      <c r="L2865" s="5">
        <v>7</v>
      </c>
      <c r="M2865" s="5">
        <v>490527.71</v>
      </c>
      <c r="N2865" s="5">
        <v>6110750.77</v>
      </c>
      <c r="O2865" t="s" s="2">
        <v>305</v>
      </c>
      <c r="P2865" s="5">
        <v>90529</v>
      </c>
      <c r="Q2865" t="s" s="2">
        <v>5272</v>
      </c>
      <c r="R2865" t="s" s="2">
        <f>_xlfn.IFERROR(INDEX('model_byCAP'!$D$2:$D$377,MATCH(Q2865,'model_byCAP'!$A$2:$A$377,0)),0)</f>
        <v>4861</v>
      </c>
    </row>
    <row r="2866" ht="15.35" customHeight="1">
      <c r="A2866" t="s" s="2">
        <v>5472</v>
      </c>
      <c r="B2866" s="4">
        <v>36276</v>
      </c>
      <c r="C2866" s="5">
        <v>660</v>
      </c>
      <c r="D2866" s="5">
        <v>47</v>
      </c>
      <c r="E2866" s="5">
        <v>45</v>
      </c>
      <c r="F2866" t="s" s="2">
        <v>301</v>
      </c>
      <c r="G2866" t="s" s="2">
        <v>5270</v>
      </c>
      <c r="H2866" s="5">
        <v>550</v>
      </c>
      <c r="I2866" t="s" s="2">
        <v>526</v>
      </c>
      <c r="J2866" t="s" s="2">
        <v>22</v>
      </c>
      <c r="K2866" t="s" s="2">
        <v>3246</v>
      </c>
      <c r="L2866" s="5">
        <v>213</v>
      </c>
      <c r="M2866" s="5">
        <v>499992.98</v>
      </c>
      <c r="N2866" s="5">
        <v>6107523.13</v>
      </c>
      <c r="O2866" t="s" s="2">
        <v>305</v>
      </c>
      <c r="P2866" s="5">
        <v>90530</v>
      </c>
      <c r="Q2866" t="s" s="2">
        <v>5272</v>
      </c>
      <c r="R2866" t="s" s="2">
        <f>_xlfn.IFERROR(INDEX('model_byCAP'!$D$2:$D$377,MATCH(Q2866,'model_byCAP'!$A$2:$A$377,0)),0)</f>
        <v>4861</v>
      </c>
    </row>
    <row r="2867" ht="15.35" customHeight="1">
      <c r="A2867" t="s" s="2">
        <v>5473</v>
      </c>
      <c r="B2867" s="4">
        <v>36327</v>
      </c>
      <c r="C2867" s="5">
        <v>660</v>
      </c>
      <c r="D2867" s="5">
        <v>0.1</v>
      </c>
      <c r="E2867" s="5">
        <v>0.1</v>
      </c>
      <c r="F2867" t="s" s="2">
        <v>42</v>
      </c>
      <c r="G2867" t="s" s="2">
        <v>42</v>
      </c>
      <c r="H2867" s="5">
        <v>550</v>
      </c>
      <c r="I2867" t="s" s="2">
        <v>526</v>
      </c>
      <c r="J2867" t="s" s="2">
        <v>22</v>
      </c>
      <c r="K2867" t="s" s="2">
        <v>5474</v>
      </c>
      <c r="L2867" s="5">
        <v>223</v>
      </c>
      <c r="M2867" s="5">
        <v>484116.91</v>
      </c>
      <c r="N2867" s="5">
        <v>6103134.75</v>
      </c>
      <c r="O2867" t="s" s="2">
        <v>305</v>
      </c>
      <c r="P2867" s="5">
        <v>90577</v>
      </c>
      <c r="Q2867" t="s" s="2">
        <v>43</v>
      </c>
      <c r="R2867" s="5">
        <f>_xlfn.IFERROR(INDEX('model_byCAP'!$D$2:$D$377,MATCH(Q2867,'model_byCAP'!$A$2:$A$377,0)),0)</f>
        <v>0</v>
      </c>
    </row>
    <row r="2868" ht="15.35" customHeight="1">
      <c r="A2868" t="s" s="2">
        <v>5475</v>
      </c>
      <c r="B2868" s="4">
        <v>36269</v>
      </c>
      <c r="C2868" s="5">
        <v>660</v>
      </c>
      <c r="D2868" s="5">
        <v>47</v>
      </c>
      <c r="E2868" s="5">
        <v>45</v>
      </c>
      <c r="F2868" t="s" s="2">
        <v>301</v>
      </c>
      <c r="G2868" t="s" s="2">
        <v>5270</v>
      </c>
      <c r="H2868" s="5">
        <v>550</v>
      </c>
      <c r="I2868" t="s" s="2">
        <v>526</v>
      </c>
      <c r="J2868" t="s" s="2">
        <v>22</v>
      </c>
      <c r="K2868" t="s" s="2">
        <v>5458</v>
      </c>
      <c r="L2868" s="5">
        <v>9</v>
      </c>
      <c r="M2868" s="5">
        <v>488327.95</v>
      </c>
      <c r="N2868" s="5">
        <v>6110539.81</v>
      </c>
      <c r="O2868" t="s" s="2">
        <v>305</v>
      </c>
      <c r="P2868" s="5">
        <v>90606</v>
      </c>
      <c r="Q2868" t="s" s="2">
        <v>5272</v>
      </c>
      <c r="R2868" t="s" s="2">
        <f>_xlfn.IFERROR(INDEX('model_byCAP'!$D$2:$D$377,MATCH(Q2868,'model_byCAP'!$A$2:$A$377,0)),0)</f>
        <v>4861</v>
      </c>
    </row>
    <row r="2869" ht="15.35" customHeight="1">
      <c r="A2869" t="s" s="2">
        <v>5476</v>
      </c>
      <c r="B2869" s="4">
        <v>36524</v>
      </c>
      <c r="C2869" s="5">
        <v>660</v>
      </c>
      <c r="D2869" s="5">
        <v>47</v>
      </c>
      <c r="E2869" s="5">
        <v>43.7</v>
      </c>
      <c r="F2869" t="s" s="2">
        <v>301</v>
      </c>
      <c r="G2869" t="s" s="2">
        <v>5270</v>
      </c>
      <c r="H2869" s="5">
        <v>550</v>
      </c>
      <c r="I2869" t="s" s="2">
        <v>526</v>
      </c>
      <c r="J2869" t="s" s="2">
        <v>22</v>
      </c>
      <c r="K2869" t="s" s="2">
        <v>4455</v>
      </c>
      <c r="L2869" s="5">
        <v>126</v>
      </c>
      <c r="M2869" s="5">
        <v>490983.36</v>
      </c>
      <c r="N2869" s="5">
        <v>6105516.85</v>
      </c>
      <c r="O2869" t="s" s="2">
        <v>305</v>
      </c>
      <c r="P2869" s="5">
        <v>91105</v>
      </c>
      <c r="Q2869" t="s" s="2">
        <v>5272</v>
      </c>
      <c r="R2869" t="s" s="2">
        <f>_xlfn.IFERROR(INDEX('model_byCAP'!$D$2:$D$377,MATCH(Q2869,'model_byCAP'!$A$2:$A$377,0)),0)</f>
        <v>4861</v>
      </c>
    </row>
    <row r="2870" ht="15.35" customHeight="1">
      <c r="A2870" t="s" s="2">
        <v>5477</v>
      </c>
      <c r="B2870" s="4">
        <v>36709</v>
      </c>
      <c r="C2870" s="5">
        <v>660</v>
      </c>
      <c r="D2870" s="5">
        <v>47</v>
      </c>
      <c r="E2870" s="5">
        <v>45</v>
      </c>
      <c r="F2870" t="s" s="2">
        <v>301</v>
      </c>
      <c r="G2870" t="s" s="2">
        <v>5270</v>
      </c>
      <c r="H2870" s="5">
        <v>550</v>
      </c>
      <c r="I2870" t="s" s="2">
        <v>526</v>
      </c>
      <c r="J2870" t="s" s="2">
        <v>22</v>
      </c>
      <c r="K2870" t="s" s="2">
        <v>5478</v>
      </c>
      <c r="L2870" s="5">
        <v>150</v>
      </c>
      <c r="M2870" s="5">
        <v>491572.01</v>
      </c>
      <c r="N2870" s="5">
        <v>6110630.63</v>
      </c>
      <c r="O2870" t="s" s="2">
        <v>305</v>
      </c>
      <c r="P2870" s="5">
        <v>91164</v>
      </c>
      <c r="Q2870" t="s" s="2">
        <v>5272</v>
      </c>
      <c r="R2870" t="s" s="2">
        <f>_xlfn.IFERROR(INDEX('model_byCAP'!$D$2:$D$377,MATCH(Q2870,'model_byCAP'!$A$2:$A$377,0)),0)</f>
        <v>4861</v>
      </c>
    </row>
    <row r="2871" ht="15.35" customHeight="1">
      <c r="A2871" t="s" s="2">
        <v>5479</v>
      </c>
      <c r="B2871" s="4">
        <v>36913</v>
      </c>
      <c r="C2871" s="5">
        <v>660</v>
      </c>
      <c r="D2871" s="5">
        <v>47</v>
      </c>
      <c r="E2871" s="5">
        <v>46</v>
      </c>
      <c r="F2871" t="s" s="2">
        <v>301</v>
      </c>
      <c r="G2871" t="s" s="2">
        <v>5270</v>
      </c>
      <c r="H2871" s="5">
        <v>550</v>
      </c>
      <c r="I2871" t="s" s="2">
        <v>526</v>
      </c>
      <c r="J2871" t="s" s="2">
        <v>22</v>
      </c>
      <c r="K2871" t="s" s="2">
        <v>5458</v>
      </c>
      <c r="L2871" s="5">
        <v>8</v>
      </c>
      <c r="M2871" s="5">
        <v>491597.32</v>
      </c>
      <c r="N2871" s="5">
        <v>6110970.66</v>
      </c>
      <c r="O2871" t="s" s="2">
        <v>305</v>
      </c>
      <c r="P2871" s="5">
        <v>91447</v>
      </c>
      <c r="Q2871" t="s" s="2">
        <v>5272</v>
      </c>
      <c r="R2871" t="s" s="2">
        <f>_xlfn.IFERROR(INDEX('model_byCAP'!$D$2:$D$377,MATCH(Q2871,'model_byCAP'!$A$2:$A$377,0)),0)</f>
        <v>4861</v>
      </c>
    </row>
    <row r="2872" ht="15.35" customHeight="1">
      <c r="A2872" t="s" s="2">
        <v>5480</v>
      </c>
      <c r="B2872" s="4">
        <v>36881</v>
      </c>
      <c r="C2872" s="5">
        <v>660</v>
      </c>
      <c r="D2872" s="5">
        <v>47</v>
      </c>
      <c r="E2872" s="5">
        <v>46</v>
      </c>
      <c r="F2872" t="s" s="2">
        <v>301</v>
      </c>
      <c r="G2872" t="s" s="2">
        <v>5270</v>
      </c>
      <c r="H2872" s="5">
        <v>550</v>
      </c>
      <c r="I2872" t="s" s="2">
        <v>526</v>
      </c>
      <c r="J2872" t="s" s="2">
        <v>22</v>
      </c>
      <c r="K2872" t="s" s="2">
        <v>5458</v>
      </c>
      <c r="L2872" s="5">
        <v>7</v>
      </c>
      <c r="M2872" s="5">
        <v>490876.69</v>
      </c>
      <c r="N2872" s="5">
        <v>6110710.32</v>
      </c>
      <c r="O2872" t="s" s="2">
        <v>305</v>
      </c>
      <c r="P2872" s="5">
        <v>91448</v>
      </c>
      <c r="Q2872" t="s" s="2">
        <v>5272</v>
      </c>
      <c r="R2872" t="s" s="2">
        <f>_xlfn.IFERROR(INDEX('model_byCAP'!$D$2:$D$377,MATCH(Q2872,'model_byCAP'!$A$2:$A$377,0)),0)</f>
        <v>4861</v>
      </c>
    </row>
    <row r="2873" ht="15.35" customHeight="1">
      <c r="A2873" t="s" s="2">
        <v>5481</v>
      </c>
      <c r="B2873" s="4">
        <v>36881</v>
      </c>
      <c r="C2873" s="5">
        <v>660</v>
      </c>
      <c r="D2873" s="5">
        <v>47</v>
      </c>
      <c r="E2873" s="5">
        <v>46</v>
      </c>
      <c r="F2873" t="s" s="2">
        <v>301</v>
      </c>
      <c r="G2873" t="s" s="2">
        <v>5270</v>
      </c>
      <c r="H2873" s="5">
        <v>550</v>
      </c>
      <c r="I2873" t="s" s="2">
        <v>526</v>
      </c>
      <c r="J2873" t="s" s="2">
        <v>22</v>
      </c>
      <c r="K2873" t="s" s="2">
        <v>5458</v>
      </c>
      <c r="L2873" s="5">
        <v>7</v>
      </c>
      <c r="M2873" s="5">
        <v>491224.97</v>
      </c>
      <c r="N2873" s="5">
        <v>6110670.6</v>
      </c>
      <c r="O2873" t="s" s="2">
        <v>305</v>
      </c>
      <c r="P2873" s="5">
        <v>91449</v>
      </c>
      <c r="Q2873" t="s" s="2">
        <v>5272</v>
      </c>
      <c r="R2873" t="s" s="2">
        <f>_xlfn.IFERROR(INDEX('model_byCAP'!$D$2:$D$377,MATCH(Q2873,'model_byCAP'!$A$2:$A$377,0)),0)</f>
        <v>4861</v>
      </c>
    </row>
    <row r="2874" ht="15.35" customHeight="1">
      <c r="A2874" t="s" s="2">
        <v>5482</v>
      </c>
      <c r="B2874" s="4">
        <v>37544</v>
      </c>
      <c r="C2874" s="5">
        <v>660</v>
      </c>
      <c r="D2874" s="5">
        <v>47</v>
      </c>
      <c r="E2874" s="5">
        <v>40</v>
      </c>
      <c r="F2874" t="s" s="2">
        <v>301</v>
      </c>
      <c r="G2874" t="s" s="2">
        <v>4858</v>
      </c>
      <c r="H2874" s="5">
        <v>563</v>
      </c>
      <c r="I2874" t="s" s="2">
        <v>5483</v>
      </c>
      <c r="J2874" t="s" s="2">
        <v>22</v>
      </c>
      <c r="K2874" t="s" s="2">
        <v>5484</v>
      </c>
      <c r="L2874" t="s" s="2">
        <v>5485</v>
      </c>
      <c r="M2874" s="5">
        <v>461509.62</v>
      </c>
      <c r="N2874" s="5">
        <v>6146301.95</v>
      </c>
      <c r="O2874" t="s" s="2">
        <v>305</v>
      </c>
      <c r="P2874" t="s" s="2">
        <v>5486</v>
      </c>
      <c r="Q2874" t="s" s="2">
        <v>4860</v>
      </c>
      <c r="R2874" t="s" s="2">
        <f>_xlfn.IFERROR(INDEX('model_byCAP'!$D$2:$D$377,MATCH(Q2874,'model_byCAP'!$A$2:$A$377,0)),0)</f>
        <v>4861</v>
      </c>
    </row>
    <row r="2875" ht="15.35" customHeight="1">
      <c r="A2875" t="s" s="2">
        <v>5487</v>
      </c>
      <c r="B2875" s="4">
        <v>37544</v>
      </c>
      <c r="C2875" s="5">
        <v>660</v>
      </c>
      <c r="D2875" s="5">
        <v>47</v>
      </c>
      <c r="E2875" s="5">
        <v>40</v>
      </c>
      <c r="F2875" t="s" s="2">
        <v>301</v>
      </c>
      <c r="G2875" t="s" s="2">
        <v>4858</v>
      </c>
      <c r="H2875" s="5">
        <v>563</v>
      </c>
      <c r="I2875" t="s" s="2">
        <v>5483</v>
      </c>
      <c r="J2875" t="s" s="2">
        <v>22</v>
      </c>
      <c r="K2875" t="s" s="2">
        <v>5484</v>
      </c>
      <c r="L2875" t="s" s="2">
        <v>5488</v>
      </c>
      <c r="M2875" s="5">
        <v>461460.83</v>
      </c>
      <c r="N2875" s="5">
        <v>6146135.08</v>
      </c>
      <c r="O2875" t="s" s="2">
        <v>305</v>
      </c>
      <c r="P2875" t="s" s="2">
        <v>5489</v>
      </c>
      <c r="Q2875" t="s" s="2">
        <v>4860</v>
      </c>
      <c r="R2875" t="s" s="2">
        <f>_xlfn.IFERROR(INDEX('model_byCAP'!$D$2:$D$377,MATCH(Q2875,'model_byCAP'!$A$2:$A$377,0)),0)</f>
        <v>4861</v>
      </c>
    </row>
    <row r="2876" ht="15.35" customHeight="1">
      <c r="A2876" t="s" s="2">
        <v>5490</v>
      </c>
      <c r="B2876" s="4">
        <v>37544</v>
      </c>
      <c r="C2876" s="5">
        <v>660</v>
      </c>
      <c r="D2876" s="5">
        <v>47</v>
      </c>
      <c r="E2876" s="5">
        <v>40</v>
      </c>
      <c r="F2876" t="s" s="2">
        <v>301</v>
      </c>
      <c r="G2876" t="s" s="2">
        <v>4858</v>
      </c>
      <c r="H2876" s="5">
        <v>563</v>
      </c>
      <c r="I2876" t="s" s="2">
        <v>5483</v>
      </c>
      <c r="J2876" t="s" s="2">
        <v>22</v>
      </c>
      <c r="K2876" t="s" s="2">
        <v>5491</v>
      </c>
      <c r="L2876" t="s" s="2">
        <v>5485</v>
      </c>
      <c r="M2876" s="5">
        <v>461411.51</v>
      </c>
      <c r="N2876" s="5">
        <v>6145968.09</v>
      </c>
      <c r="O2876" t="s" s="2">
        <v>305</v>
      </c>
      <c r="P2876" t="s" s="2">
        <v>5492</v>
      </c>
      <c r="Q2876" t="s" s="2">
        <v>4860</v>
      </c>
      <c r="R2876" t="s" s="2">
        <f>_xlfn.IFERROR(INDEX('model_byCAP'!$D$2:$D$377,MATCH(Q2876,'model_byCAP'!$A$2:$A$377,0)),0)</f>
        <v>4861</v>
      </c>
    </row>
    <row r="2877" ht="15.35" customHeight="1">
      <c r="A2877" t="s" s="2">
        <v>5493</v>
      </c>
      <c r="B2877" s="4">
        <v>36193</v>
      </c>
      <c r="C2877" s="5">
        <v>660</v>
      </c>
      <c r="D2877" s="5">
        <v>47</v>
      </c>
      <c r="E2877" s="5">
        <v>45</v>
      </c>
      <c r="F2877" t="s" s="2">
        <v>301</v>
      </c>
      <c r="G2877" t="s" s="2">
        <v>5270</v>
      </c>
      <c r="H2877" s="5">
        <v>573</v>
      </c>
      <c r="I2877" t="s" s="2">
        <v>1041</v>
      </c>
      <c r="J2877" t="s" s="2">
        <v>22</v>
      </c>
      <c r="K2877" t="s" s="2">
        <v>5494</v>
      </c>
      <c r="L2877" t="s" s="2">
        <v>1258</v>
      </c>
      <c r="M2877" s="5">
        <v>471572.42</v>
      </c>
      <c r="N2877" s="5">
        <v>6186370.82</v>
      </c>
      <c r="O2877" t="s" s="2">
        <v>305</v>
      </c>
      <c r="P2877" s="5">
        <v>61794</v>
      </c>
      <c r="Q2877" t="s" s="2">
        <v>5272</v>
      </c>
      <c r="R2877" t="s" s="2">
        <f>_xlfn.IFERROR(INDEX('model_byCAP'!$D$2:$D$377,MATCH(Q2877,'model_byCAP'!$A$2:$A$377,0)),0)</f>
        <v>4861</v>
      </c>
    </row>
    <row r="2878" ht="15.35" customHeight="1">
      <c r="A2878" t="s" s="2">
        <v>5495</v>
      </c>
      <c r="B2878" s="4">
        <v>36201</v>
      </c>
      <c r="C2878" s="5">
        <v>660</v>
      </c>
      <c r="D2878" s="5">
        <v>47</v>
      </c>
      <c r="E2878" s="5">
        <v>50</v>
      </c>
      <c r="F2878" t="s" s="2">
        <v>301</v>
      </c>
      <c r="G2878" t="s" s="2">
        <v>5270</v>
      </c>
      <c r="H2878" s="5">
        <v>573</v>
      </c>
      <c r="I2878" t="s" s="2">
        <v>1041</v>
      </c>
      <c r="J2878" t="s" s="2">
        <v>22</v>
      </c>
      <c r="K2878" t="s" s="2">
        <v>5494</v>
      </c>
      <c r="L2878" t="s" s="2">
        <v>1258</v>
      </c>
      <c r="M2878" s="5">
        <v>472222.24</v>
      </c>
      <c r="N2878" s="5">
        <v>6186127.51</v>
      </c>
      <c r="O2878" t="s" s="2">
        <v>305</v>
      </c>
      <c r="P2878" s="5">
        <v>61795</v>
      </c>
      <c r="Q2878" t="s" s="2">
        <v>5272</v>
      </c>
      <c r="R2878" t="s" s="2">
        <f>_xlfn.IFERROR(INDEX('model_byCAP'!$D$2:$D$377,MATCH(Q2878,'model_byCAP'!$A$2:$A$377,0)),0)</f>
        <v>4861</v>
      </c>
    </row>
    <row r="2879" ht="15.35" customHeight="1">
      <c r="A2879" t="s" s="2">
        <v>5496</v>
      </c>
      <c r="B2879" s="4">
        <v>36147</v>
      </c>
      <c r="C2879" s="5">
        <v>660</v>
      </c>
      <c r="D2879" s="5">
        <v>47</v>
      </c>
      <c r="E2879" s="5">
        <v>45</v>
      </c>
      <c r="F2879" t="s" s="2">
        <v>301</v>
      </c>
      <c r="G2879" t="s" s="2">
        <v>5270</v>
      </c>
      <c r="H2879" s="5">
        <v>573</v>
      </c>
      <c r="I2879" t="s" s="2">
        <v>1041</v>
      </c>
      <c r="J2879" t="s" s="2">
        <v>22</v>
      </c>
      <c r="K2879" t="s" s="2">
        <v>5494</v>
      </c>
      <c r="L2879" t="s" s="2">
        <v>1422</v>
      </c>
      <c r="M2879" s="5">
        <v>471687.63</v>
      </c>
      <c r="N2879" s="5">
        <v>6186038.34</v>
      </c>
      <c r="O2879" t="s" s="2">
        <v>305</v>
      </c>
      <c r="P2879" s="5">
        <v>61796</v>
      </c>
      <c r="Q2879" t="s" s="2">
        <v>5272</v>
      </c>
      <c r="R2879" t="s" s="2">
        <f>_xlfn.IFERROR(INDEX('model_byCAP'!$D$2:$D$377,MATCH(Q2879,'model_byCAP'!$A$2:$A$377,0)),0)</f>
        <v>4861</v>
      </c>
    </row>
    <row r="2880" ht="15.35" customHeight="1">
      <c r="A2880" t="s" s="2">
        <v>5497</v>
      </c>
      <c r="B2880" s="4">
        <v>36201</v>
      </c>
      <c r="C2880" s="5">
        <v>660</v>
      </c>
      <c r="D2880" s="5">
        <v>47</v>
      </c>
      <c r="E2880" s="5">
        <v>45</v>
      </c>
      <c r="F2880" t="s" s="2">
        <v>301</v>
      </c>
      <c r="G2880" t="s" s="2">
        <v>5270</v>
      </c>
      <c r="H2880" s="5">
        <v>573</v>
      </c>
      <c r="I2880" t="s" s="2">
        <v>1041</v>
      </c>
      <c r="J2880" t="s" s="2">
        <v>22</v>
      </c>
      <c r="K2880" t="s" s="2">
        <v>5494</v>
      </c>
      <c r="L2880" t="s" s="2">
        <v>1258</v>
      </c>
      <c r="M2880" s="5">
        <v>472331.38</v>
      </c>
      <c r="N2880" s="5">
        <v>6185795.5</v>
      </c>
      <c r="O2880" t="s" s="2">
        <v>305</v>
      </c>
      <c r="P2880" s="5">
        <v>61797</v>
      </c>
      <c r="Q2880" t="s" s="2">
        <v>5272</v>
      </c>
      <c r="R2880" t="s" s="2">
        <f>_xlfn.IFERROR(INDEX('model_byCAP'!$D$2:$D$377,MATCH(Q2880,'model_byCAP'!$A$2:$A$377,0)),0)</f>
        <v>4861</v>
      </c>
    </row>
    <row r="2881" ht="15.35" customHeight="1">
      <c r="A2881" t="s" s="2">
        <v>5498</v>
      </c>
      <c r="B2881" s="4">
        <v>36147</v>
      </c>
      <c r="C2881" s="5">
        <v>660</v>
      </c>
      <c r="D2881" s="5">
        <v>47</v>
      </c>
      <c r="E2881" s="5">
        <v>50</v>
      </c>
      <c r="F2881" t="s" s="2">
        <v>301</v>
      </c>
      <c r="G2881" t="s" s="2">
        <v>5270</v>
      </c>
      <c r="H2881" s="5">
        <v>573</v>
      </c>
      <c r="I2881" t="s" s="2">
        <v>1041</v>
      </c>
      <c r="J2881" t="s" s="2">
        <v>22</v>
      </c>
      <c r="K2881" t="s" s="2">
        <v>5494</v>
      </c>
      <c r="L2881" t="s" s="2">
        <v>2296</v>
      </c>
      <c r="M2881" s="5">
        <v>471790.26</v>
      </c>
      <c r="N2881" s="5">
        <v>6185730.32</v>
      </c>
      <c r="O2881" t="s" s="2">
        <v>305</v>
      </c>
      <c r="P2881" s="5">
        <v>61798</v>
      </c>
      <c r="Q2881" t="s" s="2">
        <v>5272</v>
      </c>
      <c r="R2881" t="s" s="2">
        <f>_xlfn.IFERROR(INDEX('model_byCAP'!$D$2:$D$377,MATCH(Q2881,'model_byCAP'!$A$2:$A$377,0)),0)</f>
        <v>4861</v>
      </c>
    </row>
    <row r="2882" ht="15.35" customHeight="1">
      <c r="A2882" t="s" s="2">
        <v>5499</v>
      </c>
      <c r="B2882" s="4">
        <v>36147</v>
      </c>
      <c r="C2882" s="5">
        <v>660</v>
      </c>
      <c r="D2882" s="5">
        <v>47</v>
      </c>
      <c r="E2882" s="5">
        <v>50</v>
      </c>
      <c r="F2882" t="s" s="2">
        <v>301</v>
      </c>
      <c r="G2882" t="s" s="2">
        <v>5270</v>
      </c>
      <c r="H2882" s="5">
        <v>573</v>
      </c>
      <c r="I2882" t="s" s="2">
        <v>1041</v>
      </c>
      <c r="J2882" t="s" s="2">
        <v>22</v>
      </c>
      <c r="K2882" t="s" s="2">
        <v>5494</v>
      </c>
      <c r="L2882" t="s" s="2">
        <v>1258</v>
      </c>
      <c r="M2882" s="5">
        <v>472103.77</v>
      </c>
      <c r="N2882" s="5">
        <v>6185602.05</v>
      </c>
      <c r="O2882" t="s" s="2">
        <v>305</v>
      </c>
      <c r="P2882" s="5">
        <v>61799</v>
      </c>
      <c r="Q2882" t="s" s="2">
        <v>5272</v>
      </c>
      <c r="R2882" t="s" s="2">
        <f>_xlfn.IFERROR(INDEX('model_byCAP'!$D$2:$D$377,MATCH(Q2882,'model_byCAP'!$A$2:$A$377,0)),0)</f>
        <v>4861</v>
      </c>
    </row>
    <row r="2883" ht="15.35" customHeight="1">
      <c r="A2883" t="s" s="2">
        <v>5500</v>
      </c>
      <c r="B2883" s="4">
        <v>36147</v>
      </c>
      <c r="C2883" s="5">
        <v>660</v>
      </c>
      <c r="D2883" s="5">
        <v>47</v>
      </c>
      <c r="E2883" s="5">
        <v>45</v>
      </c>
      <c r="F2883" t="s" s="2">
        <v>301</v>
      </c>
      <c r="G2883" t="s" s="2">
        <v>5270</v>
      </c>
      <c r="H2883" s="5">
        <v>573</v>
      </c>
      <c r="I2883" t="s" s="2">
        <v>1041</v>
      </c>
      <c r="J2883" t="s" s="2">
        <v>22</v>
      </c>
      <c r="K2883" t="s" s="2">
        <v>5494</v>
      </c>
      <c r="L2883" t="s" s="2">
        <v>1258</v>
      </c>
      <c r="M2883" s="5">
        <v>472441.49</v>
      </c>
      <c r="N2883" s="5">
        <v>6185463.41</v>
      </c>
      <c r="O2883" t="s" s="2">
        <v>305</v>
      </c>
      <c r="P2883" s="5">
        <v>61800</v>
      </c>
      <c r="Q2883" t="s" s="2">
        <v>5272</v>
      </c>
      <c r="R2883" t="s" s="2">
        <f>_xlfn.IFERROR(INDEX('model_byCAP'!$D$2:$D$377,MATCH(Q2883,'model_byCAP'!$A$2:$A$377,0)),0)</f>
        <v>4861</v>
      </c>
    </row>
    <row r="2884" ht="15.35" customHeight="1">
      <c r="A2884" t="s" s="2">
        <v>5501</v>
      </c>
      <c r="B2884" s="4">
        <v>36201</v>
      </c>
      <c r="C2884" s="5">
        <v>660</v>
      </c>
      <c r="D2884" s="5">
        <v>47</v>
      </c>
      <c r="E2884" s="5">
        <v>45</v>
      </c>
      <c r="F2884" t="s" s="2">
        <v>301</v>
      </c>
      <c r="G2884" t="s" s="2">
        <v>5270</v>
      </c>
      <c r="H2884" s="5">
        <v>573</v>
      </c>
      <c r="I2884" t="s" s="2">
        <v>1041</v>
      </c>
      <c r="J2884" t="s" s="2">
        <v>22</v>
      </c>
      <c r="K2884" t="s" s="2">
        <v>5494</v>
      </c>
      <c r="L2884" t="s" s="2">
        <v>1258</v>
      </c>
      <c r="M2884" s="5">
        <v>471892.98</v>
      </c>
      <c r="N2884" s="5">
        <v>6185423.13</v>
      </c>
      <c r="O2884" t="s" s="2">
        <v>305</v>
      </c>
      <c r="P2884" s="5">
        <v>61801</v>
      </c>
      <c r="Q2884" t="s" s="2">
        <v>5272</v>
      </c>
      <c r="R2884" t="s" s="2">
        <f>_xlfn.IFERROR(INDEX('model_byCAP'!$D$2:$D$377,MATCH(Q2884,'model_byCAP'!$A$2:$A$377,0)),0)</f>
        <v>4861</v>
      </c>
    </row>
    <row r="2885" ht="15.35" customHeight="1">
      <c r="A2885" t="s" s="2">
        <v>5502</v>
      </c>
      <c r="B2885" s="4">
        <v>36193</v>
      </c>
      <c r="C2885" s="5">
        <v>660</v>
      </c>
      <c r="D2885" s="5">
        <v>0.1</v>
      </c>
      <c r="E2885" s="5">
        <v>0.1</v>
      </c>
      <c r="F2885" t="s" s="2">
        <v>42</v>
      </c>
      <c r="G2885" t="s" s="2">
        <v>42</v>
      </c>
      <c r="H2885" s="5">
        <v>573</v>
      </c>
      <c r="I2885" t="s" s="2">
        <v>1041</v>
      </c>
      <c r="J2885" t="s" s="2">
        <v>22</v>
      </c>
      <c r="K2885" t="s" s="2">
        <v>5494</v>
      </c>
      <c r="L2885" t="s" s="2">
        <v>1258</v>
      </c>
      <c r="M2885" s="5">
        <v>471883.35</v>
      </c>
      <c r="N2885" s="5">
        <v>6186254.14</v>
      </c>
      <c r="O2885" t="s" s="2">
        <v>305</v>
      </c>
      <c r="P2885" s="5">
        <v>61856</v>
      </c>
      <c r="Q2885" t="s" s="2">
        <v>43</v>
      </c>
      <c r="R2885" s="5">
        <f>_xlfn.IFERROR(INDEX('model_byCAP'!$D$2:$D$377,MATCH(Q2885,'model_byCAP'!$A$2:$A$377,0)),0)</f>
        <v>0</v>
      </c>
    </row>
    <row r="2886" ht="15.35" customHeight="1">
      <c r="A2886" t="s" s="2">
        <v>5503</v>
      </c>
      <c r="B2886" s="4">
        <v>36201</v>
      </c>
      <c r="C2886" s="5">
        <v>660</v>
      </c>
      <c r="D2886" s="5">
        <v>0.1</v>
      </c>
      <c r="E2886" s="5">
        <v>0.1</v>
      </c>
      <c r="F2886" t="s" s="2">
        <v>42</v>
      </c>
      <c r="G2886" t="s" s="2">
        <v>42</v>
      </c>
      <c r="H2886" s="5">
        <v>573</v>
      </c>
      <c r="I2886" t="s" s="2">
        <v>1041</v>
      </c>
      <c r="J2886" t="s" s="2">
        <v>22</v>
      </c>
      <c r="K2886" t="s" s="2">
        <v>5494</v>
      </c>
      <c r="L2886" t="s" s="2">
        <v>1258</v>
      </c>
      <c r="M2886" s="5">
        <v>471997.6</v>
      </c>
      <c r="N2886" s="5">
        <v>6185921.59</v>
      </c>
      <c r="O2886" t="s" s="2">
        <v>305</v>
      </c>
      <c r="P2886" s="5">
        <v>61857</v>
      </c>
      <c r="Q2886" t="s" s="2">
        <v>43</v>
      </c>
      <c r="R2886" s="5">
        <f>_xlfn.IFERROR(INDEX('model_byCAP'!$D$2:$D$377,MATCH(Q2886,'model_byCAP'!$A$2:$A$377,0)),0)</f>
        <v>0</v>
      </c>
    </row>
    <row r="2887" ht="15.35" customHeight="1">
      <c r="A2887" t="s" s="2">
        <v>5504</v>
      </c>
      <c r="B2887" s="4">
        <v>36615</v>
      </c>
      <c r="C2887" s="5">
        <v>660</v>
      </c>
      <c r="D2887" s="5">
        <v>47</v>
      </c>
      <c r="E2887" s="5">
        <v>40.5</v>
      </c>
      <c r="F2887" t="s" s="2">
        <v>301</v>
      </c>
      <c r="G2887" t="s" s="2">
        <v>5270</v>
      </c>
      <c r="H2887" s="5">
        <v>573</v>
      </c>
      <c r="I2887" t="s" s="2">
        <v>1041</v>
      </c>
      <c r="J2887" t="s" s="2">
        <v>22</v>
      </c>
      <c r="K2887" t="s" s="2">
        <v>5505</v>
      </c>
      <c r="L2887" t="s" s="2">
        <v>2923</v>
      </c>
      <c r="M2887" s="5">
        <v>457331.75</v>
      </c>
      <c r="N2887" s="5">
        <v>6166190.07</v>
      </c>
      <c r="O2887" t="s" s="2">
        <v>305</v>
      </c>
      <c r="P2887" s="5">
        <v>62243</v>
      </c>
      <c r="Q2887" t="s" s="2">
        <v>5272</v>
      </c>
      <c r="R2887" t="s" s="2">
        <f>_xlfn.IFERROR(INDEX('model_byCAP'!$D$2:$D$377,MATCH(Q2887,'model_byCAP'!$A$2:$A$377,0)),0)</f>
        <v>4861</v>
      </c>
    </row>
    <row r="2888" ht="15.35" customHeight="1">
      <c r="A2888" t="s" s="2">
        <v>5506</v>
      </c>
      <c r="B2888" s="4">
        <v>37189</v>
      </c>
      <c r="C2888" s="5">
        <v>660</v>
      </c>
      <c r="D2888" s="5">
        <v>47</v>
      </c>
      <c r="E2888" s="5">
        <v>40</v>
      </c>
      <c r="F2888" t="s" s="2">
        <v>301</v>
      </c>
      <c r="G2888" t="s" s="2">
        <v>5270</v>
      </c>
      <c r="H2888" s="5">
        <v>573</v>
      </c>
      <c r="I2888" t="s" s="2">
        <v>1041</v>
      </c>
      <c r="J2888" t="s" s="2">
        <v>22</v>
      </c>
      <c r="K2888" t="s" s="2">
        <v>5507</v>
      </c>
      <c r="L2888" t="s" s="2">
        <v>4390</v>
      </c>
      <c r="M2888" s="5">
        <v>457313.41</v>
      </c>
      <c r="N2888" s="5">
        <v>6166622.56</v>
      </c>
      <c r="O2888" t="s" s="2">
        <v>25</v>
      </c>
      <c r="P2888" t="s" s="2">
        <v>5508</v>
      </c>
      <c r="Q2888" t="s" s="2">
        <v>5272</v>
      </c>
      <c r="R2888" t="s" s="2">
        <f>_xlfn.IFERROR(INDEX('model_byCAP'!$D$2:$D$377,MATCH(Q2888,'model_byCAP'!$A$2:$A$377,0)),0)</f>
        <v>4861</v>
      </c>
    </row>
    <row r="2889" ht="15.35" customHeight="1">
      <c r="A2889" t="s" s="2">
        <v>5509</v>
      </c>
      <c r="B2889" s="4">
        <v>37189</v>
      </c>
      <c r="C2889" s="5">
        <v>660</v>
      </c>
      <c r="D2889" s="5">
        <v>47</v>
      </c>
      <c r="E2889" s="5">
        <v>40</v>
      </c>
      <c r="F2889" t="s" s="2">
        <v>301</v>
      </c>
      <c r="G2889" t="s" s="2">
        <v>5270</v>
      </c>
      <c r="H2889" s="5">
        <v>573</v>
      </c>
      <c r="I2889" t="s" s="2">
        <v>1041</v>
      </c>
      <c r="J2889" t="s" s="2">
        <v>22</v>
      </c>
      <c r="K2889" t="s" s="2">
        <v>5507</v>
      </c>
      <c r="L2889" t="s" s="2">
        <v>4164</v>
      </c>
      <c r="M2889" s="5">
        <v>457240.33</v>
      </c>
      <c r="N2889" s="5">
        <v>6166357.56</v>
      </c>
      <c r="O2889" t="s" s="2">
        <v>25</v>
      </c>
      <c r="P2889" t="s" s="2">
        <v>5510</v>
      </c>
      <c r="Q2889" t="s" s="2">
        <v>5272</v>
      </c>
      <c r="R2889" t="s" s="2">
        <f>_xlfn.IFERROR(INDEX('model_byCAP'!$D$2:$D$377,MATCH(Q2889,'model_byCAP'!$A$2:$A$377,0)),0)</f>
        <v>4861</v>
      </c>
    </row>
    <row r="2890" ht="15.35" customHeight="1">
      <c r="A2890" t="s" s="2">
        <v>5511</v>
      </c>
      <c r="B2890" s="4">
        <v>37189</v>
      </c>
      <c r="C2890" s="5">
        <v>660</v>
      </c>
      <c r="D2890" s="5">
        <v>47</v>
      </c>
      <c r="E2890" s="5">
        <v>40</v>
      </c>
      <c r="F2890" t="s" s="2">
        <v>301</v>
      </c>
      <c r="G2890" t="s" s="2">
        <v>5270</v>
      </c>
      <c r="H2890" s="5">
        <v>573</v>
      </c>
      <c r="I2890" t="s" s="2">
        <v>1041</v>
      </c>
      <c r="J2890" t="s" s="2">
        <v>22</v>
      </c>
      <c r="K2890" t="s" s="2">
        <v>5507</v>
      </c>
      <c r="L2890" t="s" s="2">
        <v>5512</v>
      </c>
      <c r="M2890" s="5">
        <v>457477.14</v>
      </c>
      <c r="N2890" s="5">
        <v>6166720.23</v>
      </c>
      <c r="O2890" t="s" s="2">
        <v>305</v>
      </c>
      <c r="P2890" t="s" s="2">
        <v>5513</v>
      </c>
      <c r="Q2890" t="s" s="2">
        <v>5272</v>
      </c>
      <c r="R2890" t="s" s="2">
        <f>_xlfn.IFERROR(INDEX('model_byCAP'!$D$2:$D$377,MATCH(Q2890,'model_byCAP'!$A$2:$A$377,0)),0)</f>
        <v>4861</v>
      </c>
    </row>
    <row r="2891" ht="15.35" customHeight="1">
      <c r="A2891" t="s" s="2">
        <v>5514</v>
      </c>
      <c r="B2891" s="4">
        <v>37189</v>
      </c>
      <c r="C2891" s="5">
        <v>660</v>
      </c>
      <c r="D2891" s="5">
        <v>47</v>
      </c>
      <c r="E2891" s="5">
        <v>40</v>
      </c>
      <c r="F2891" t="s" s="2">
        <v>301</v>
      </c>
      <c r="G2891" t="s" s="2">
        <v>5270</v>
      </c>
      <c r="H2891" s="5">
        <v>573</v>
      </c>
      <c r="I2891" t="s" s="2">
        <v>1041</v>
      </c>
      <c r="J2891" t="s" s="2">
        <v>22</v>
      </c>
      <c r="K2891" t="s" s="2">
        <v>5507</v>
      </c>
      <c r="L2891" t="s" s="2">
        <v>1598</v>
      </c>
      <c r="M2891" s="5">
        <v>457404.53</v>
      </c>
      <c r="N2891" s="5">
        <v>6166455.27</v>
      </c>
      <c r="O2891" t="s" s="2">
        <v>25</v>
      </c>
      <c r="P2891" t="s" s="2">
        <v>5515</v>
      </c>
      <c r="Q2891" t="s" s="2">
        <v>5272</v>
      </c>
      <c r="R2891" t="s" s="2">
        <f>_xlfn.IFERROR(INDEX('model_byCAP'!$D$2:$D$377,MATCH(Q2891,'model_byCAP'!$A$2:$A$377,0)),0)</f>
        <v>4861</v>
      </c>
    </row>
    <row r="2892" ht="15.35" customHeight="1">
      <c r="A2892" t="s" s="2">
        <v>5516</v>
      </c>
      <c r="B2892" s="4">
        <v>37595</v>
      </c>
      <c r="C2892" s="5">
        <v>660</v>
      </c>
      <c r="D2892" s="5">
        <v>47</v>
      </c>
      <c r="E2892" s="5">
        <v>45</v>
      </c>
      <c r="F2892" t="s" s="2">
        <v>301</v>
      </c>
      <c r="G2892" t="s" s="2">
        <v>5270</v>
      </c>
      <c r="H2892" s="5">
        <v>573</v>
      </c>
      <c r="I2892" t="s" s="2">
        <v>1041</v>
      </c>
      <c r="J2892" t="s" s="2">
        <v>22</v>
      </c>
      <c r="K2892" t="s" s="2">
        <v>5517</v>
      </c>
      <c r="L2892" t="s" s="2">
        <v>1537</v>
      </c>
      <c r="M2892" s="5">
        <v>457012.67</v>
      </c>
      <c r="N2892" s="5">
        <v>6178078.62</v>
      </c>
      <c r="O2892" t="s" s="2">
        <v>25</v>
      </c>
      <c r="P2892" s="5">
        <v>344140095</v>
      </c>
      <c r="Q2892" t="s" s="2">
        <v>5272</v>
      </c>
      <c r="R2892" t="s" s="2">
        <f>_xlfn.IFERROR(INDEX('model_byCAP'!$D$2:$D$377,MATCH(Q2892,'model_byCAP'!$A$2:$A$377,0)),0)</f>
        <v>4861</v>
      </c>
    </row>
    <row r="2893" ht="15.35" customHeight="1">
      <c r="A2893" t="s" s="2">
        <v>5518</v>
      </c>
      <c r="B2893" s="4">
        <v>35984</v>
      </c>
      <c r="C2893" s="5">
        <v>660</v>
      </c>
      <c r="D2893" s="5">
        <v>47</v>
      </c>
      <c r="E2893" s="5">
        <v>55</v>
      </c>
      <c r="F2893" t="s" s="2">
        <v>301</v>
      </c>
      <c r="G2893" t="s" s="2">
        <v>5270</v>
      </c>
      <c r="H2893" s="5">
        <v>575</v>
      </c>
      <c r="I2893" t="s" s="2">
        <v>2952</v>
      </c>
      <c r="J2893" t="s" s="2">
        <v>22</v>
      </c>
      <c r="K2893" t="s" s="2">
        <v>5519</v>
      </c>
      <c r="L2893" t="s" s="2">
        <v>850</v>
      </c>
      <c r="M2893" s="5">
        <v>517497.39</v>
      </c>
      <c r="N2893" s="5">
        <v>6149921.78</v>
      </c>
      <c r="O2893" t="s" s="2">
        <v>305</v>
      </c>
      <c r="P2893" s="5">
        <v>2202145</v>
      </c>
      <c r="Q2893" t="s" s="2">
        <v>5272</v>
      </c>
      <c r="R2893" t="s" s="2">
        <f>_xlfn.IFERROR(INDEX('model_byCAP'!$D$2:$D$377,MATCH(Q2893,'model_byCAP'!$A$2:$A$377,0)),0)</f>
        <v>4861</v>
      </c>
    </row>
    <row r="2894" ht="15.35" customHeight="1">
      <c r="A2894" t="s" s="2">
        <v>5520</v>
      </c>
      <c r="B2894" s="4">
        <v>35984</v>
      </c>
      <c r="C2894" s="5">
        <v>660</v>
      </c>
      <c r="D2894" s="5">
        <v>47</v>
      </c>
      <c r="E2894" s="5">
        <v>55</v>
      </c>
      <c r="F2894" t="s" s="2">
        <v>301</v>
      </c>
      <c r="G2894" t="s" s="2">
        <v>5270</v>
      </c>
      <c r="H2894" s="5">
        <v>575</v>
      </c>
      <c r="I2894" t="s" s="2">
        <v>2952</v>
      </c>
      <c r="J2894" t="s" s="2">
        <v>22</v>
      </c>
      <c r="K2894" t="s" s="2">
        <v>5521</v>
      </c>
      <c r="L2894" t="s" s="2">
        <v>1611</v>
      </c>
      <c r="M2894" s="5">
        <v>517576.64</v>
      </c>
      <c r="N2894" s="5">
        <v>6149738.53</v>
      </c>
      <c r="O2894" t="s" s="2">
        <v>305</v>
      </c>
      <c r="P2894" s="5">
        <v>202146</v>
      </c>
      <c r="Q2894" t="s" s="2">
        <v>5272</v>
      </c>
      <c r="R2894" t="s" s="2">
        <f>_xlfn.IFERROR(INDEX('model_byCAP'!$D$2:$D$377,MATCH(Q2894,'model_byCAP'!$A$2:$A$377,0)),0)</f>
        <v>4861</v>
      </c>
    </row>
    <row r="2895" ht="15.35" customHeight="1">
      <c r="A2895" t="s" s="2">
        <v>5522</v>
      </c>
      <c r="B2895" s="4">
        <v>35984</v>
      </c>
      <c r="C2895" s="5">
        <v>660</v>
      </c>
      <c r="D2895" s="5">
        <v>47</v>
      </c>
      <c r="E2895" s="5">
        <v>55</v>
      </c>
      <c r="F2895" t="s" s="2">
        <v>301</v>
      </c>
      <c r="G2895" t="s" s="2">
        <v>5270</v>
      </c>
      <c r="H2895" s="5">
        <v>575</v>
      </c>
      <c r="I2895" t="s" s="2">
        <v>2952</v>
      </c>
      <c r="J2895" t="s" s="2">
        <v>22</v>
      </c>
      <c r="K2895" t="s" s="2">
        <v>5521</v>
      </c>
      <c r="L2895" t="s" s="2">
        <v>850</v>
      </c>
      <c r="M2895" s="5">
        <v>517657.72</v>
      </c>
      <c r="N2895" s="5">
        <v>6149555.76</v>
      </c>
      <c r="O2895" t="s" s="2">
        <v>305</v>
      </c>
      <c r="P2895" s="5">
        <v>202147</v>
      </c>
      <c r="Q2895" t="s" s="2">
        <v>5272</v>
      </c>
      <c r="R2895" t="s" s="2">
        <f>_xlfn.IFERROR(INDEX('model_byCAP'!$D$2:$D$377,MATCH(Q2895,'model_byCAP'!$A$2:$A$377,0)),0)</f>
        <v>4861</v>
      </c>
    </row>
    <row r="2896" ht="15.35" customHeight="1">
      <c r="A2896" t="s" s="2">
        <v>5523</v>
      </c>
      <c r="B2896" s="4">
        <v>36262</v>
      </c>
      <c r="C2896" s="5">
        <v>660</v>
      </c>
      <c r="D2896" s="5">
        <v>47</v>
      </c>
      <c r="E2896" s="5">
        <v>55</v>
      </c>
      <c r="F2896" t="s" s="2">
        <v>301</v>
      </c>
      <c r="G2896" t="s" s="2">
        <v>5270</v>
      </c>
      <c r="H2896" s="5">
        <v>575</v>
      </c>
      <c r="I2896" t="s" s="2">
        <v>2952</v>
      </c>
      <c r="J2896" t="s" s="2">
        <v>22</v>
      </c>
      <c r="K2896" t="s" s="2">
        <v>5524</v>
      </c>
      <c r="L2896" t="s" s="2">
        <v>481</v>
      </c>
      <c r="M2896" s="5">
        <v>504175.41</v>
      </c>
      <c r="N2896" s="5">
        <v>6152977.41</v>
      </c>
      <c r="O2896" t="s" s="2">
        <v>305</v>
      </c>
      <c r="P2896" s="5">
        <v>2202742</v>
      </c>
      <c r="Q2896" t="s" s="2">
        <v>5272</v>
      </c>
      <c r="R2896" t="s" s="2">
        <f>_xlfn.IFERROR(INDEX('model_byCAP'!$D$2:$D$377,MATCH(Q2896,'model_byCAP'!$A$2:$A$377,0)),0)</f>
        <v>4861</v>
      </c>
    </row>
    <row r="2897" ht="15.35" customHeight="1">
      <c r="A2897" t="s" s="2">
        <v>5525</v>
      </c>
      <c r="B2897" s="4">
        <v>36283</v>
      </c>
      <c r="C2897" s="5">
        <v>660</v>
      </c>
      <c r="D2897" s="5">
        <v>47</v>
      </c>
      <c r="E2897" s="5">
        <v>55</v>
      </c>
      <c r="F2897" t="s" s="2">
        <v>301</v>
      </c>
      <c r="G2897" t="s" s="2">
        <v>5270</v>
      </c>
      <c r="H2897" s="5">
        <v>575</v>
      </c>
      <c r="I2897" t="s" s="2">
        <v>2952</v>
      </c>
      <c r="J2897" t="s" s="2">
        <v>22</v>
      </c>
      <c r="K2897" t="s" s="2">
        <v>5524</v>
      </c>
      <c r="L2897" t="s" s="2">
        <v>481</v>
      </c>
      <c r="M2897" s="5">
        <v>504154.84</v>
      </c>
      <c r="N2897" s="5">
        <v>6153176.5</v>
      </c>
      <c r="O2897" t="s" s="2">
        <v>305</v>
      </c>
      <c r="P2897" s="5">
        <v>202743</v>
      </c>
      <c r="Q2897" t="s" s="2">
        <v>5272</v>
      </c>
      <c r="R2897" t="s" s="2">
        <f>_xlfn.IFERROR(INDEX('model_byCAP'!$D$2:$D$377,MATCH(Q2897,'model_byCAP'!$A$2:$A$377,0)),0)</f>
        <v>4861</v>
      </c>
    </row>
    <row r="2898" ht="15.35" customHeight="1">
      <c r="A2898" t="s" s="2">
        <v>5526</v>
      </c>
      <c r="B2898" s="4">
        <v>36481</v>
      </c>
      <c r="C2898" s="5">
        <v>660</v>
      </c>
      <c r="D2898" s="5">
        <v>47</v>
      </c>
      <c r="E2898" s="5">
        <v>55</v>
      </c>
      <c r="F2898" t="s" s="2">
        <v>301</v>
      </c>
      <c r="G2898" t="s" s="2">
        <v>5270</v>
      </c>
      <c r="H2898" s="5">
        <v>575</v>
      </c>
      <c r="I2898" t="s" s="2">
        <v>2952</v>
      </c>
      <c r="J2898" t="s" s="2">
        <v>22</v>
      </c>
      <c r="K2898" t="s" s="2">
        <v>5524</v>
      </c>
      <c r="L2898" t="s" s="2">
        <v>481</v>
      </c>
      <c r="M2898" s="5">
        <v>504132.95</v>
      </c>
      <c r="N2898" s="5">
        <v>6153373.53</v>
      </c>
      <c r="O2898" t="s" s="2">
        <v>305</v>
      </c>
      <c r="P2898" s="5">
        <v>203283</v>
      </c>
      <c r="Q2898" t="s" s="2">
        <v>5272</v>
      </c>
      <c r="R2898" t="s" s="2">
        <f>_xlfn.IFERROR(INDEX('model_byCAP'!$D$2:$D$377,MATCH(Q2898,'model_byCAP'!$A$2:$A$377,0)),0)</f>
        <v>4861</v>
      </c>
    </row>
    <row r="2899" ht="15.35" customHeight="1">
      <c r="A2899" t="s" s="2">
        <v>5527</v>
      </c>
      <c r="B2899" s="4">
        <v>36570</v>
      </c>
      <c r="C2899" s="5">
        <v>660</v>
      </c>
      <c r="D2899" s="5">
        <v>47</v>
      </c>
      <c r="E2899" s="5">
        <v>50</v>
      </c>
      <c r="F2899" t="s" s="2">
        <v>301</v>
      </c>
      <c r="G2899" t="s" s="2">
        <v>5270</v>
      </c>
      <c r="H2899" s="5">
        <v>575</v>
      </c>
      <c r="I2899" t="s" s="2">
        <v>2952</v>
      </c>
      <c r="J2899" t="s" s="2">
        <v>22</v>
      </c>
      <c r="K2899" t="s" s="2">
        <v>5528</v>
      </c>
      <c r="L2899" t="s" s="2">
        <v>518</v>
      </c>
      <c r="M2899" s="5">
        <v>514042.08</v>
      </c>
      <c r="N2899" s="5">
        <v>6147136.47</v>
      </c>
      <c r="O2899" t="s" s="2">
        <v>305</v>
      </c>
      <c r="P2899" s="5">
        <v>203426</v>
      </c>
      <c r="Q2899" t="s" s="2">
        <v>5272</v>
      </c>
      <c r="R2899" t="s" s="2">
        <f>_xlfn.IFERROR(INDEX('model_byCAP'!$D$2:$D$377,MATCH(Q2899,'model_byCAP'!$A$2:$A$377,0)),0)</f>
        <v>4861</v>
      </c>
    </row>
    <row r="2900" ht="15.35" customHeight="1">
      <c r="A2900" t="s" s="2">
        <v>5529</v>
      </c>
      <c r="B2900" s="4">
        <v>36622</v>
      </c>
      <c r="C2900" s="5">
        <v>660</v>
      </c>
      <c r="D2900" s="5">
        <v>47</v>
      </c>
      <c r="E2900" s="5">
        <v>50</v>
      </c>
      <c r="F2900" t="s" s="2">
        <v>301</v>
      </c>
      <c r="G2900" t="s" s="2">
        <v>5270</v>
      </c>
      <c r="H2900" s="5">
        <v>575</v>
      </c>
      <c r="I2900" t="s" s="2">
        <v>2952</v>
      </c>
      <c r="J2900" t="s" s="2">
        <v>22</v>
      </c>
      <c r="K2900" t="s" s="2">
        <v>5528</v>
      </c>
      <c r="L2900" t="s" s="2">
        <v>518</v>
      </c>
      <c r="M2900" s="5">
        <v>514011.92</v>
      </c>
      <c r="N2900" s="5">
        <v>6147304.41</v>
      </c>
      <c r="O2900" t="s" s="2">
        <v>305</v>
      </c>
      <c r="P2900" s="5">
        <v>203591</v>
      </c>
      <c r="Q2900" t="s" s="2">
        <v>5272</v>
      </c>
      <c r="R2900" t="s" s="2">
        <f>_xlfn.IFERROR(INDEX('model_byCAP'!$D$2:$D$377,MATCH(Q2900,'model_byCAP'!$A$2:$A$377,0)),0)</f>
        <v>4861</v>
      </c>
    </row>
    <row r="2901" ht="15.35" customHeight="1">
      <c r="A2901" t="s" s="2">
        <v>5530</v>
      </c>
      <c r="B2901" s="4">
        <v>36823</v>
      </c>
      <c r="C2901" s="5">
        <v>660</v>
      </c>
      <c r="D2901" s="5">
        <v>47</v>
      </c>
      <c r="E2901" s="5">
        <v>50</v>
      </c>
      <c r="F2901" t="s" s="2">
        <v>301</v>
      </c>
      <c r="G2901" t="s" s="2">
        <v>5270</v>
      </c>
      <c r="H2901" s="5">
        <v>575</v>
      </c>
      <c r="I2901" t="s" s="2">
        <v>2952</v>
      </c>
      <c r="J2901" t="s" s="2">
        <v>22</v>
      </c>
      <c r="K2901" t="s" s="2">
        <v>5528</v>
      </c>
      <c r="L2901" t="s" s="2">
        <v>1359</v>
      </c>
      <c r="M2901" s="5">
        <v>513982.67</v>
      </c>
      <c r="N2901" s="5">
        <v>6147472.09</v>
      </c>
      <c r="O2901" t="s" s="2">
        <v>305</v>
      </c>
      <c r="P2901" s="5">
        <v>203869</v>
      </c>
      <c r="Q2901" t="s" s="2">
        <v>5272</v>
      </c>
      <c r="R2901" t="s" s="2">
        <f>_xlfn.IFERROR(INDEX('model_byCAP'!$D$2:$D$377,MATCH(Q2901,'model_byCAP'!$A$2:$A$377,0)),0)</f>
        <v>4861</v>
      </c>
    </row>
    <row r="2902" ht="15.35" customHeight="1">
      <c r="A2902" t="s" s="2">
        <v>5531</v>
      </c>
      <c r="B2902" s="4">
        <v>36536</v>
      </c>
      <c r="C2902" s="5">
        <v>660</v>
      </c>
      <c r="D2902" s="5">
        <v>47</v>
      </c>
      <c r="E2902" s="5">
        <v>0.1</v>
      </c>
      <c r="F2902" t="s" s="2">
        <v>301</v>
      </c>
      <c r="G2902" t="s" s="2">
        <v>5270</v>
      </c>
      <c r="H2902" s="5">
        <v>575</v>
      </c>
      <c r="I2902" t="s" s="2">
        <v>2952</v>
      </c>
      <c r="J2902" t="s" s="2">
        <v>22</v>
      </c>
      <c r="K2902" t="s" s="2">
        <v>5532</v>
      </c>
      <c r="L2902" t="s" s="2">
        <v>862</v>
      </c>
      <c r="M2902" s="5">
        <v>488819.71</v>
      </c>
      <c r="N2902" s="5">
        <v>6159707.47</v>
      </c>
      <c r="O2902" t="s" s="2">
        <v>305</v>
      </c>
      <c r="P2902" s="5">
        <v>140096</v>
      </c>
      <c r="Q2902" t="s" s="2">
        <v>5272</v>
      </c>
      <c r="R2902" t="s" s="2">
        <f>_xlfn.IFERROR(INDEX('model_byCAP'!$D$2:$D$377,MATCH(Q2902,'model_byCAP'!$A$2:$A$377,0)),0)</f>
        <v>4861</v>
      </c>
    </row>
    <row r="2903" ht="15.35" customHeight="1">
      <c r="A2903" t="s" s="2">
        <v>5533</v>
      </c>
      <c r="B2903" s="4">
        <v>36657</v>
      </c>
      <c r="C2903" s="5">
        <v>660</v>
      </c>
      <c r="D2903" s="5">
        <v>47</v>
      </c>
      <c r="E2903" s="5">
        <v>50</v>
      </c>
      <c r="F2903" t="s" s="2">
        <v>301</v>
      </c>
      <c r="G2903" t="s" s="2">
        <v>5270</v>
      </c>
      <c r="H2903" s="5">
        <v>575</v>
      </c>
      <c r="I2903" t="s" s="2">
        <v>2952</v>
      </c>
      <c r="J2903" t="s" s="2">
        <v>22</v>
      </c>
      <c r="K2903" t="s" s="2">
        <v>5534</v>
      </c>
      <c r="L2903" t="s" s="2">
        <v>518</v>
      </c>
      <c r="M2903" s="5">
        <v>499945.92</v>
      </c>
      <c r="N2903" s="5">
        <v>6151425.83</v>
      </c>
      <c r="O2903" t="s" s="2">
        <v>305</v>
      </c>
      <c r="P2903" s="8">
        <v>140561</v>
      </c>
      <c r="Q2903" t="s" s="2">
        <v>5272</v>
      </c>
      <c r="R2903" t="s" s="2">
        <f>_xlfn.IFERROR(INDEX('model_byCAP'!$D$2:$D$377,MATCH(Q2903,'model_byCAP'!$A$2:$A$377,0)),0)</f>
        <v>4861</v>
      </c>
    </row>
    <row r="2904" ht="15.35" customHeight="1">
      <c r="A2904" t="s" s="2">
        <v>5535</v>
      </c>
      <c r="B2904" s="4">
        <v>36816</v>
      </c>
      <c r="C2904" s="5">
        <v>660</v>
      </c>
      <c r="D2904" s="5">
        <v>47</v>
      </c>
      <c r="E2904" s="5">
        <v>50</v>
      </c>
      <c r="F2904" t="s" s="2">
        <v>301</v>
      </c>
      <c r="G2904" t="s" s="2">
        <v>5270</v>
      </c>
      <c r="H2904" s="5">
        <v>575</v>
      </c>
      <c r="I2904" t="s" s="2">
        <v>2952</v>
      </c>
      <c r="J2904" t="s" s="2">
        <v>22</v>
      </c>
      <c r="K2904" t="s" s="2">
        <v>5534</v>
      </c>
      <c r="L2904" t="s" s="2">
        <v>518</v>
      </c>
      <c r="M2904" s="5">
        <v>500344.25</v>
      </c>
      <c r="N2904" s="5">
        <v>6151400.51</v>
      </c>
      <c r="O2904" t="s" s="2">
        <v>305</v>
      </c>
      <c r="P2904" s="5">
        <v>141038</v>
      </c>
      <c r="Q2904" t="s" s="2">
        <v>5272</v>
      </c>
      <c r="R2904" t="s" s="2">
        <f>_xlfn.IFERROR(INDEX('model_byCAP'!$D$2:$D$377,MATCH(Q2904,'model_byCAP'!$A$2:$A$377,0)),0)</f>
        <v>4861</v>
      </c>
    </row>
    <row r="2905" ht="15.35" customHeight="1">
      <c r="A2905" t="s" s="2">
        <v>5536</v>
      </c>
      <c r="B2905" s="4">
        <v>36816</v>
      </c>
      <c r="C2905" s="5">
        <v>660</v>
      </c>
      <c r="D2905" s="5">
        <v>47</v>
      </c>
      <c r="E2905" s="5">
        <v>50</v>
      </c>
      <c r="F2905" t="s" s="2">
        <v>301</v>
      </c>
      <c r="G2905" t="s" s="2">
        <v>5270</v>
      </c>
      <c r="H2905" s="5">
        <v>575</v>
      </c>
      <c r="I2905" t="s" s="2">
        <v>2952</v>
      </c>
      <c r="J2905" t="s" s="2">
        <v>22</v>
      </c>
      <c r="K2905" t="s" s="2">
        <v>5534</v>
      </c>
      <c r="L2905" t="s" s="2">
        <v>518</v>
      </c>
      <c r="M2905" s="5">
        <v>500144.64</v>
      </c>
      <c r="N2905" s="5">
        <v>6151412.56</v>
      </c>
      <c r="O2905" t="s" s="2">
        <v>305</v>
      </c>
      <c r="P2905" s="5">
        <v>141039</v>
      </c>
      <c r="Q2905" t="s" s="2">
        <v>5272</v>
      </c>
      <c r="R2905" t="s" s="2">
        <f>_xlfn.IFERROR(INDEX('model_byCAP'!$D$2:$D$377,MATCH(Q2905,'model_byCAP'!$A$2:$A$377,0)),0)</f>
        <v>4861</v>
      </c>
    </row>
    <row r="2906" ht="15.35" customHeight="1">
      <c r="A2906" t="s" s="2">
        <v>5537</v>
      </c>
      <c r="B2906" s="4">
        <v>36853</v>
      </c>
      <c r="C2906" s="5">
        <v>660</v>
      </c>
      <c r="D2906" s="5">
        <v>47</v>
      </c>
      <c r="E2906" s="5">
        <v>50</v>
      </c>
      <c r="F2906" t="s" s="2">
        <v>301</v>
      </c>
      <c r="G2906" t="s" s="2">
        <v>5270</v>
      </c>
      <c r="H2906" s="5">
        <v>575</v>
      </c>
      <c r="I2906" t="s" s="2">
        <v>2952</v>
      </c>
      <c r="J2906" t="s" s="2">
        <v>22</v>
      </c>
      <c r="K2906" t="s" s="2">
        <v>5532</v>
      </c>
      <c r="L2906" t="s" s="2">
        <v>492</v>
      </c>
      <c r="M2906" s="5">
        <v>488756.23</v>
      </c>
      <c r="N2906" s="5">
        <v>6160303.57</v>
      </c>
      <c r="O2906" t="s" s="2">
        <v>305</v>
      </c>
      <c r="P2906" s="5">
        <v>141041</v>
      </c>
      <c r="Q2906" t="s" s="2">
        <v>5272</v>
      </c>
      <c r="R2906" t="s" s="2">
        <f>_xlfn.IFERROR(INDEX('model_byCAP'!$D$2:$D$377,MATCH(Q2906,'model_byCAP'!$A$2:$A$377,0)),0)</f>
        <v>4861</v>
      </c>
    </row>
    <row r="2907" ht="15.35" customHeight="1">
      <c r="A2907" t="s" s="2">
        <v>5538</v>
      </c>
      <c r="B2907" s="4">
        <v>36853</v>
      </c>
      <c r="C2907" s="5">
        <v>660</v>
      </c>
      <c r="D2907" s="5">
        <v>47</v>
      </c>
      <c r="E2907" s="5">
        <v>50</v>
      </c>
      <c r="F2907" t="s" s="2">
        <v>301</v>
      </c>
      <c r="G2907" t="s" s="2">
        <v>5270</v>
      </c>
      <c r="H2907" s="5">
        <v>575</v>
      </c>
      <c r="I2907" t="s" s="2">
        <v>2952</v>
      </c>
      <c r="J2907" t="s" s="2">
        <v>22</v>
      </c>
      <c r="K2907" t="s" s="2">
        <v>5532</v>
      </c>
      <c r="L2907" t="s" s="2">
        <v>492</v>
      </c>
      <c r="M2907" s="5">
        <v>488778.45</v>
      </c>
      <c r="N2907" s="5">
        <v>6160104.63</v>
      </c>
      <c r="O2907" t="s" s="2">
        <v>25</v>
      </c>
      <c r="P2907" s="5">
        <v>141042</v>
      </c>
      <c r="Q2907" t="s" s="2">
        <v>5272</v>
      </c>
      <c r="R2907" t="s" s="2">
        <f>_xlfn.IFERROR(INDEX('model_byCAP'!$D$2:$D$377,MATCH(Q2907,'model_byCAP'!$A$2:$A$377,0)),0)</f>
        <v>4861</v>
      </c>
    </row>
    <row r="2908" ht="15.35" customHeight="1">
      <c r="A2908" t="s" s="2">
        <v>5539</v>
      </c>
      <c r="B2908" s="4">
        <v>36853</v>
      </c>
      <c r="C2908" s="5">
        <v>660</v>
      </c>
      <c r="D2908" s="5">
        <v>47</v>
      </c>
      <c r="E2908" s="5">
        <v>50</v>
      </c>
      <c r="F2908" t="s" s="2">
        <v>301</v>
      </c>
      <c r="G2908" t="s" s="2">
        <v>5270</v>
      </c>
      <c r="H2908" s="5">
        <v>575</v>
      </c>
      <c r="I2908" t="s" s="2">
        <v>2952</v>
      </c>
      <c r="J2908" t="s" s="2">
        <v>22</v>
      </c>
      <c r="K2908" t="s" s="2">
        <v>5532</v>
      </c>
      <c r="L2908" t="s" s="2">
        <v>492</v>
      </c>
      <c r="M2908" s="5">
        <v>488799.1</v>
      </c>
      <c r="N2908" s="5">
        <v>6159905.69</v>
      </c>
      <c r="O2908" t="s" s="2">
        <v>25</v>
      </c>
      <c r="P2908" s="5">
        <v>141043</v>
      </c>
      <c r="Q2908" t="s" s="2">
        <v>5272</v>
      </c>
      <c r="R2908" t="s" s="2">
        <f>_xlfn.IFERROR(INDEX('model_byCAP'!$D$2:$D$377,MATCH(Q2908,'model_byCAP'!$A$2:$A$377,0)),0)</f>
        <v>4861</v>
      </c>
    </row>
    <row r="2909" ht="15.35" customHeight="1">
      <c r="A2909" t="s" s="2">
        <v>5540</v>
      </c>
      <c r="B2909" s="4">
        <v>36853</v>
      </c>
      <c r="C2909" s="5">
        <v>660</v>
      </c>
      <c r="D2909" s="5">
        <v>47</v>
      </c>
      <c r="E2909" s="5">
        <v>50</v>
      </c>
      <c r="F2909" t="s" s="2">
        <v>301</v>
      </c>
      <c r="G2909" t="s" s="2">
        <v>5270</v>
      </c>
      <c r="H2909" s="5">
        <v>575</v>
      </c>
      <c r="I2909" t="s" s="2">
        <v>2952</v>
      </c>
      <c r="J2909" t="s" s="2">
        <v>22</v>
      </c>
      <c r="K2909" t="s" s="2">
        <v>5532</v>
      </c>
      <c r="L2909" t="s" s="2">
        <v>492</v>
      </c>
      <c r="M2909" s="5">
        <v>488798.84</v>
      </c>
      <c r="N2909" s="5">
        <v>6159906.19</v>
      </c>
      <c r="O2909" t="s" s="2">
        <v>305</v>
      </c>
      <c r="P2909" s="5">
        <v>141044</v>
      </c>
      <c r="Q2909" t="s" s="2">
        <v>5272</v>
      </c>
      <c r="R2909" t="s" s="2">
        <f>_xlfn.IFERROR(INDEX('model_byCAP'!$D$2:$D$377,MATCH(Q2909,'model_byCAP'!$A$2:$A$377,0)),0)</f>
        <v>4861</v>
      </c>
    </row>
    <row r="2910" ht="15.35" customHeight="1">
      <c r="A2910" t="s" s="2">
        <v>5541</v>
      </c>
      <c r="B2910" s="4">
        <v>36131</v>
      </c>
      <c r="C2910" s="5">
        <v>660</v>
      </c>
      <c r="D2910" s="5">
        <v>47</v>
      </c>
      <c r="E2910" s="5">
        <v>50</v>
      </c>
      <c r="F2910" t="s" s="2">
        <v>301</v>
      </c>
      <c r="G2910" t="s" s="2">
        <v>5270</v>
      </c>
      <c r="H2910" s="5">
        <v>575</v>
      </c>
      <c r="I2910" t="s" s="2">
        <v>2952</v>
      </c>
      <c r="J2910" t="s" s="2">
        <v>22</v>
      </c>
      <c r="K2910" t="s" s="2">
        <v>5542</v>
      </c>
      <c r="L2910" t="s" s="2">
        <v>5543</v>
      </c>
      <c r="M2910" s="5">
        <v>497199.73</v>
      </c>
      <c r="N2910" s="5">
        <v>6148078.42</v>
      </c>
      <c r="O2910" t="s" s="2">
        <v>305</v>
      </c>
      <c r="P2910" t="s" s="2">
        <v>5544</v>
      </c>
      <c r="Q2910" t="s" s="2">
        <v>5272</v>
      </c>
      <c r="R2910" t="s" s="2">
        <f>_xlfn.IFERROR(INDEX('model_byCAP'!$D$2:$D$377,MATCH(Q2910,'model_byCAP'!$A$2:$A$377,0)),0)</f>
        <v>4861</v>
      </c>
    </row>
    <row r="2911" ht="15.35" customHeight="1">
      <c r="A2911" t="s" s="2">
        <v>5545</v>
      </c>
      <c r="B2911" s="4">
        <v>36800</v>
      </c>
      <c r="C2911" s="5">
        <v>660</v>
      </c>
      <c r="D2911" s="5">
        <v>47</v>
      </c>
      <c r="E2911" s="5">
        <v>50</v>
      </c>
      <c r="F2911" t="s" s="2">
        <v>301</v>
      </c>
      <c r="G2911" t="s" s="2">
        <v>5270</v>
      </c>
      <c r="H2911" s="5">
        <v>575</v>
      </c>
      <c r="I2911" t="s" s="2">
        <v>2952</v>
      </c>
      <c r="J2911" t="s" s="2">
        <v>22</v>
      </c>
      <c r="K2911" t="s" s="2">
        <v>5542</v>
      </c>
      <c r="L2911" t="s" s="2">
        <v>1504</v>
      </c>
      <c r="M2911" s="5">
        <v>497199.45</v>
      </c>
      <c r="N2911" s="5">
        <v>6148079.08</v>
      </c>
      <c r="O2911" t="s" s="2">
        <v>25</v>
      </c>
      <c r="P2911" s="5">
        <v>344236387</v>
      </c>
      <c r="Q2911" t="s" s="2">
        <v>5272</v>
      </c>
      <c r="R2911" t="s" s="2">
        <f>_xlfn.IFERROR(INDEX('model_byCAP'!$D$2:$D$377,MATCH(Q2911,'model_byCAP'!$A$2:$A$377,0)),0)</f>
        <v>4861</v>
      </c>
    </row>
    <row r="2912" ht="15.35" customHeight="1">
      <c r="A2912" t="s" s="2">
        <v>5546</v>
      </c>
      <c r="B2912" s="4">
        <v>35873</v>
      </c>
      <c r="C2912" s="5">
        <v>660</v>
      </c>
      <c r="D2912" s="5">
        <v>47</v>
      </c>
      <c r="E2912" s="5">
        <v>45</v>
      </c>
      <c r="F2912" t="s" s="2">
        <v>301</v>
      </c>
      <c r="G2912" t="s" s="2">
        <v>5270</v>
      </c>
      <c r="H2912" s="5">
        <v>575</v>
      </c>
      <c r="I2912" t="s" s="2">
        <v>2952</v>
      </c>
      <c r="J2912" t="s" s="2">
        <v>22</v>
      </c>
      <c r="K2912" t="s" s="2">
        <v>3254</v>
      </c>
      <c r="L2912" s="5">
        <v>1</v>
      </c>
      <c r="M2912" s="5">
        <v>497673.02</v>
      </c>
      <c r="N2912" s="5">
        <v>6139181.03</v>
      </c>
      <c r="O2912" t="s" s="2">
        <v>305</v>
      </c>
      <c r="P2912" s="5">
        <v>32742</v>
      </c>
      <c r="Q2912" t="s" s="2">
        <v>5272</v>
      </c>
      <c r="R2912" t="s" s="2">
        <f>_xlfn.IFERROR(INDEX('model_byCAP'!$D$2:$D$377,MATCH(Q2912,'model_byCAP'!$A$2:$A$377,0)),0)</f>
        <v>4861</v>
      </c>
    </row>
    <row r="2913" ht="15.35" customHeight="1">
      <c r="A2913" t="s" s="2">
        <v>5547</v>
      </c>
      <c r="B2913" s="4">
        <v>36067</v>
      </c>
      <c r="C2913" s="5">
        <v>660</v>
      </c>
      <c r="D2913" s="5">
        <v>47</v>
      </c>
      <c r="E2913" s="5">
        <v>45.7</v>
      </c>
      <c r="F2913" t="s" s="2">
        <v>301</v>
      </c>
      <c r="G2913" t="s" s="2">
        <v>4858</v>
      </c>
      <c r="H2913" s="5">
        <v>575</v>
      </c>
      <c r="I2913" t="s" s="2">
        <v>2952</v>
      </c>
      <c r="J2913" t="s" s="2">
        <v>22</v>
      </c>
      <c r="K2913" t="s" s="2">
        <v>5548</v>
      </c>
      <c r="L2913" s="5">
        <v>4</v>
      </c>
      <c r="M2913" s="5">
        <v>495588.3</v>
      </c>
      <c r="N2913" s="5">
        <v>6136005.01</v>
      </c>
      <c r="O2913" t="s" s="2">
        <v>25</v>
      </c>
      <c r="P2913" s="5">
        <v>90389</v>
      </c>
      <c r="Q2913" t="s" s="2">
        <v>4860</v>
      </c>
      <c r="R2913" t="s" s="2">
        <f>_xlfn.IFERROR(INDEX('model_byCAP'!$D$2:$D$377,MATCH(Q2913,'model_byCAP'!$A$2:$A$377,0)),0)</f>
        <v>4861</v>
      </c>
    </row>
    <row r="2914" ht="15.35" customHeight="1">
      <c r="A2914" t="s" s="2">
        <v>5549</v>
      </c>
      <c r="B2914" s="4">
        <v>36076</v>
      </c>
      <c r="C2914" s="5">
        <v>660</v>
      </c>
      <c r="D2914" s="5">
        <v>46</v>
      </c>
      <c r="E2914" s="5">
        <v>45</v>
      </c>
      <c r="F2914" t="s" s="2">
        <v>301</v>
      </c>
      <c r="G2914" t="s" s="2">
        <v>5270</v>
      </c>
      <c r="H2914" s="5">
        <v>575</v>
      </c>
      <c r="I2914" t="s" s="2">
        <v>2952</v>
      </c>
      <c r="J2914" t="s" s="2">
        <v>22</v>
      </c>
      <c r="K2914" t="s" s="2">
        <v>5550</v>
      </c>
      <c r="L2914" s="5">
        <v>13</v>
      </c>
      <c r="M2914" s="5">
        <v>500761.3</v>
      </c>
      <c r="N2914" s="5">
        <v>6134170.45</v>
      </c>
      <c r="O2914" t="s" s="2">
        <v>305</v>
      </c>
      <c r="P2914" s="5">
        <v>90402</v>
      </c>
      <c r="Q2914" t="s" s="2">
        <v>5272</v>
      </c>
      <c r="R2914" t="s" s="2">
        <f>_xlfn.IFERROR(INDEX('model_byCAP'!$D$2:$D$377,MATCH(Q2914,'model_byCAP'!$A$2:$A$377,0)),0)</f>
        <v>4861</v>
      </c>
    </row>
    <row r="2915" ht="15.35" customHeight="1">
      <c r="A2915" t="s" s="2">
        <v>5551</v>
      </c>
      <c r="B2915" s="4">
        <v>36139</v>
      </c>
      <c r="C2915" s="5">
        <v>660</v>
      </c>
      <c r="D2915" s="5">
        <v>48</v>
      </c>
      <c r="E2915" s="5">
        <v>45</v>
      </c>
      <c r="F2915" t="s" s="2">
        <v>301</v>
      </c>
      <c r="G2915" t="s" s="2">
        <v>5552</v>
      </c>
      <c r="H2915" s="5">
        <v>575</v>
      </c>
      <c r="I2915" t="s" s="2">
        <v>2952</v>
      </c>
      <c r="J2915" t="s" s="2">
        <v>22</v>
      </c>
      <c r="K2915" t="s" s="2">
        <v>5553</v>
      </c>
      <c r="L2915" s="5">
        <v>14</v>
      </c>
      <c r="M2915" s="5">
        <v>497150.64</v>
      </c>
      <c r="N2915" s="5">
        <v>6135943.19</v>
      </c>
      <c r="O2915" t="s" s="2">
        <v>25</v>
      </c>
      <c r="P2915" s="5">
        <v>90426</v>
      </c>
      <c r="Q2915" t="s" s="2">
        <v>5554</v>
      </c>
      <c r="R2915" t="s" s="2">
        <f>_xlfn.IFERROR(INDEX('model_byCAP'!$D$2:$D$377,MATCH(Q2915,'model_byCAP'!$A$2:$A$377,0)),0)</f>
        <v>4861</v>
      </c>
    </row>
    <row r="2916" ht="15.35" customHeight="1">
      <c r="A2916" t="s" s="2">
        <v>5555</v>
      </c>
      <c r="B2916" s="4">
        <v>36139</v>
      </c>
      <c r="C2916" s="5">
        <v>660</v>
      </c>
      <c r="D2916" s="5">
        <v>47</v>
      </c>
      <c r="E2916" s="5">
        <v>46</v>
      </c>
      <c r="F2916" t="s" s="2">
        <v>301</v>
      </c>
      <c r="G2916" t="s" s="2">
        <v>5270</v>
      </c>
      <c r="H2916" s="5">
        <v>575</v>
      </c>
      <c r="I2916" t="s" s="2">
        <v>2952</v>
      </c>
      <c r="J2916" t="s" s="2">
        <v>22</v>
      </c>
      <c r="K2916" t="s" s="2">
        <v>3992</v>
      </c>
      <c r="L2916" s="5">
        <v>5</v>
      </c>
      <c r="M2916" s="5">
        <v>499492.77</v>
      </c>
      <c r="N2916" s="5">
        <v>6138414.09</v>
      </c>
      <c r="O2916" t="s" s="2">
        <v>305</v>
      </c>
      <c r="P2916" s="5">
        <v>90453</v>
      </c>
      <c r="Q2916" t="s" s="2">
        <v>5272</v>
      </c>
      <c r="R2916" t="s" s="2">
        <f>_xlfn.IFERROR(INDEX('model_byCAP'!$D$2:$D$377,MATCH(Q2916,'model_byCAP'!$A$2:$A$377,0)),0)</f>
        <v>4861</v>
      </c>
    </row>
    <row r="2917" ht="15.35" customHeight="1">
      <c r="A2917" t="s" s="2">
        <v>5556</v>
      </c>
      <c r="B2917" s="4">
        <v>36423</v>
      </c>
      <c r="C2917" s="5">
        <v>660</v>
      </c>
      <c r="D2917" s="5">
        <v>47</v>
      </c>
      <c r="E2917" s="5">
        <v>40</v>
      </c>
      <c r="F2917" t="s" s="2">
        <v>301</v>
      </c>
      <c r="G2917" t="s" s="2">
        <v>5270</v>
      </c>
      <c r="H2917" s="5">
        <v>575</v>
      </c>
      <c r="I2917" t="s" s="2">
        <v>2952</v>
      </c>
      <c r="J2917" t="s" s="2">
        <v>22</v>
      </c>
      <c r="K2917" t="s" s="2">
        <v>5557</v>
      </c>
      <c r="L2917" s="5">
        <v>2</v>
      </c>
      <c r="M2917" s="5">
        <v>508771.69</v>
      </c>
      <c r="N2917" s="5">
        <v>6142438.22</v>
      </c>
      <c r="O2917" t="s" s="2">
        <v>305</v>
      </c>
      <c r="P2917" s="5">
        <v>90501</v>
      </c>
      <c r="Q2917" t="s" s="2">
        <v>5272</v>
      </c>
      <c r="R2917" t="s" s="2">
        <f>_xlfn.IFERROR(INDEX('model_byCAP'!$D$2:$D$377,MATCH(Q2917,'model_byCAP'!$A$2:$A$377,0)),0)</f>
        <v>4861</v>
      </c>
    </row>
    <row r="2918" ht="15.35" customHeight="1">
      <c r="A2918" t="s" s="2">
        <v>5558</v>
      </c>
      <c r="B2918" s="4">
        <v>36243</v>
      </c>
      <c r="C2918" s="5">
        <v>660</v>
      </c>
      <c r="D2918" s="5">
        <v>47</v>
      </c>
      <c r="E2918" s="5">
        <v>46</v>
      </c>
      <c r="F2918" t="s" s="2">
        <v>301</v>
      </c>
      <c r="G2918" t="s" s="2">
        <v>5270</v>
      </c>
      <c r="H2918" s="5">
        <v>575</v>
      </c>
      <c r="I2918" t="s" s="2">
        <v>2952</v>
      </c>
      <c r="J2918" t="s" s="2">
        <v>22</v>
      </c>
      <c r="K2918" t="s" s="2">
        <v>5559</v>
      </c>
      <c r="L2918" s="5">
        <v>332</v>
      </c>
      <c r="M2918" s="5">
        <v>504043.3</v>
      </c>
      <c r="N2918" s="5">
        <v>6132340.28</v>
      </c>
      <c r="O2918" t="s" s="2">
        <v>25</v>
      </c>
      <c r="P2918" s="5">
        <v>90568</v>
      </c>
      <c r="Q2918" t="s" s="2">
        <v>5272</v>
      </c>
      <c r="R2918" t="s" s="2">
        <f>_xlfn.IFERROR(INDEX('model_byCAP'!$D$2:$D$377,MATCH(Q2918,'model_byCAP'!$A$2:$A$377,0)),0)</f>
        <v>4861</v>
      </c>
    </row>
    <row r="2919" ht="15.35" customHeight="1">
      <c r="A2919" t="s" s="2">
        <v>5560</v>
      </c>
      <c r="B2919" s="4">
        <v>36398</v>
      </c>
      <c r="C2919" s="5">
        <v>660</v>
      </c>
      <c r="D2919" s="5">
        <v>47</v>
      </c>
      <c r="E2919" s="5">
        <v>45</v>
      </c>
      <c r="F2919" t="s" s="2">
        <v>301</v>
      </c>
      <c r="G2919" t="s" s="2">
        <v>5270</v>
      </c>
      <c r="H2919" s="5">
        <v>575</v>
      </c>
      <c r="I2919" t="s" s="2">
        <v>2952</v>
      </c>
      <c r="J2919" t="s" s="2">
        <v>22</v>
      </c>
      <c r="K2919" t="s" s="2">
        <v>3254</v>
      </c>
      <c r="L2919" s="5">
        <v>1</v>
      </c>
      <c r="M2919" s="5">
        <v>497811.33</v>
      </c>
      <c r="N2919" s="5">
        <v>6138843.34</v>
      </c>
      <c r="O2919" t="s" s="2">
        <v>305</v>
      </c>
      <c r="P2919" s="5">
        <v>90575</v>
      </c>
      <c r="Q2919" t="s" s="2">
        <v>5272</v>
      </c>
      <c r="R2919" t="s" s="2">
        <f>_xlfn.IFERROR(INDEX('model_byCAP'!$D$2:$D$377,MATCH(Q2919,'model_byCAP'!$A$2:$A$377,0)),0)</f>
        <v>4861</v>
      </c>
    </row>
    <row r="2920" ht="15.35" customHeight="1">
      <c r="A2920" t="s" s="2">
        <v>5561</v>
      </c>
      <c r="B2920" s="4">
        <v>36349</v>
      </c>
      <c r="C2920" s="5">
        <v>660</v>
      </c>
      <c r="D2920" s="5">
        <v>47</v>
      </c>
      <c r="E2920" s="5">
        <v>45</v>
      </c>
      <c r="F2920" t="s" s="2">
        <v>301</v>
      </c>
      <c r="G2920" t="s" s="2">
        <v>5270</v>
      </c>
      <c r="H2920" s="5">
        <v>575</v>
      </c>
      <c r="I2920" t="s" s="2">
        <v>2952</v>
      </c>
      <c r="J2920" t="s" s="2">
        <v>22</v>
      </c>
      <c r="K2920" t="s" s="2">
        <v>3814</v>
      </c>
      <c r="L2920" s="5">
        <v>29</v>
      </c>
      <c r="M2920" s="5">
        <v>495589.65</v>
      </c>
      <c r="N2920" s="5">
        <v>6134158.01</v>
      </c>
      <c r="O2920" t="s" s="2">
        <v>305</v>
      </c>
      <c r="P2920" s="5">
        <v>90761</v>
      </c>
      <c r="Q2920" t="s" s="2">
        <v>5272</v>
      </c>
      <c r="R2920" t="s" s="2">
        <f>_xlfn.IFERROR(INDEX('model_byCAP'!$D$2:$D$377,MATCH(Q2920,'model_byCAP'!$A$2:$A$377,0)),0)</f>
        <v>4861</v>
      </c>
    </row>
    <row r="2921" ht="15.35" customHeight="1">
      <c r="A2921" t="s" s="2">
        <v>5562</v>
      </c>
      <c r="B2921" s="4">
        <v>36349</v>
      </c>
      <c r="C2921" s="5">
        <v>660</v>
      </c>
      <c r="D2921" s="5">
        <v>47</v>
      </c>
      <c r="E2921" s="5">
        <v>46</v>
      </c>
      <c r="F2921" t="s" s="2">
        <v>301</v>
      </c>
      <c r="G2921" t="s" s="2">
        <v>5270</v>
      </c>
      <c r="H2921" s="5">
        <v>575</v>
      </c>
      <c r="I2921" t="s" s="2">
        <v>2952</v>
      </c>
      <c r="J2921" t="s" s="2">
        <v>22</v>
      </c>
      <c r="K2921" t="s" s="2">
        <v>3814</v>
      </c>
      <c r="L2921" s="5">
        <v>12</v>
      </c>
      <c r="M2921" s="5">
        <v>494730.76</v>
      </c>
      <c r="N2921" s="5">
        <v>6132544.73</v>
      </c>
      <c r="O2921" t="s" s="2">
        <v>305</v>
      </c>
      <c r="P2921" s="5">
        <v>90762</v>
      </c>
      <c r="Q2921" t="s" s="2">
        <v>5272</v>
      </c>
      <c r="R2921" t="s" s="2">
        <f>_xlfn.IFERROR(INDEX('model_byCAP'!$D$2:$D$377,MATCH(Q2921,'model_byCAP'!$A$2:$A$377,0)),0)</f>
        <v>4861</v>
      </c>
    </row>
    <row r="2922" ht="15.35" customHeight="1">
      <c r="A2922" t="s" s="2">
        <v>5563</v>
      </c>
      <c r="B2922" s="4">
        <v>36446</v>
      </c>
      <c r="C2922" s="5">
        <v>660</v>
      </c>
      <c r="D2922" s="5">
        <v>47</v>
      </c>
      <c r="E2922" s="5">
        <v>46</v>
      </c>
      <c r="F2922" t="s" s="2">
        <v>301</v>
      </c>
      <c r="G2922" t="s" s="2">
        <v>4858</v>
      </c>
      <c r="H2922" s="5">
        <v>575</v>
      </c>
      <c r="I2922" t="s" s="2">
        <v>2952</v>
      </c>
      <c r="J2922" t="s" s="2">
        <v>22</v>
      </c>
      <c r="K2922" t="s" s="2">
        <v>3814</v>
      </c>
      <c r="L2922" s="5">
        <v>34</v>
      </c>
      <c r="M2922" s="5">
        <v>494139.97</v>
      </c>
      <c r="N2922" s="5">
        <v>6132331.83</v>
      </c>
      <c r="O2922" t="s" s="2">
        <v>305</v>
      </c>
      <c r="P2922" s="5">
        <v>90906</v>
      </c>
      <c r="Q2922" t="s" s="2">
        <v>4860</v>
      </c>
      <c r="R2922" t="s" s="2">
        <f>_xlfn.IFERROR(INDEX('model_byCAP'!$D$2:$D$377,MATCH(Q2922,'model_byCAP'!$A$2:$A$377,0)),0)</f>
        <v>4861</v>
      </c>
    </row>
    <row r="2923" ht="15.35" customHeight="1">
      <c r="A2923" t="s" s="2">
        <v>5564</v>
      </c>
      <c r="B2923" s="4">
        <v>36446</v>
      </c>
      <c r="C2923" s="5">
        <v>660</v>
      </c>
      <c r="D2923" s="5">
        <v>47</v>
      </c>
      <c r="E2923" s="5">
        <v>40</v>
      </c>
      <c r="F2923" t="s" s="2">
        <v>301</v>
      </c>
      <c r="G2923" t="s" s="2">
        <v>5270</v>
      </c>
      <c r="H2923" s="5">
        <v>575</v>
      </c>
      <c r="I2923" t="s" s="2">
        <v>2952</v>
      </c>
      <c r="J2923" t="s" s="2">
        <v>22</v>
      </c>
      <c r="K2923" t="s" s="2">
        <v>5548</v>
      </c>
      <c r="L2923" s="5">
        <v>6</v>
      </c>
      <c r="M2923" s="5">
        <v>494728.6</v>
      </c>
      <c r="N2923" s="5">
        <v>6136176.32</v>
      </c>
      <c r="O2923" t="s" s="2">
        <v>305</v>
      </c>
      <c r="P2923" s="5">
        <v>90948</v>
      </c>
      <c r="Q2923" t="s" s="2">
        <v>5272</v>
      </c>
      <c r="R2923" t="s" s="2">
        <f>_xlfn.IFERROR(INDEX('model_byCAP'!$D$2:$D$377,MATCH(Q2923,'model_byCAP'!$A$2:$A$377,0)),0)</f>
        <v>4861</v>
      </c>
    </row>
    <row r="2924" ht="15.35" customHeight="1">
      <c r="A2924" t="s" s="2">
        <v>5565</v>
      </c>
      <c r="B2924" s="4">
        <v>36524</v>
      </c>
      <c r="C2924" s="5">
        <v>660</v>
      </c>
      <c r="D2924" s="5">
        <v>47</v>
      </c>
      <c r="E2924" s="5">
        <v>45</v>
      </c>
      <c r="F2924" t="s" s="2">
        <v>301</v>
      </c>
      <c r="G2924" t="s" s="2">
        <v>5270</v>
      </c>
      <c r="H2924" s="5">
        <v>580</v>
      </c>
      <c r="I2924" t="s" s="2">
        <v>1542</v>
      </c>
      <c r="J2924" t="s" s="2">
        <v>22</v>
      </c>
      <c r="K2924" t="s" s="2">
        <v>5566</v>
      </c>
      <c r="L2924" s="5">
        <v>251</v>
      </c>
      <c r="M2924" s="5">
        <v>510580.83</v>
      </c>
      <c r="N2924" s="5">
        <v>6100075.35</v>
      </c>
      <c r="O2924" t="s" s="2">
        <v>305</v>
      </c>
      <c r="P2924" s="5">
        <v>91019</v>
      </c>
      <c r="Q2924" t="s" s="2">
        <v>5272</v>
      </c>
      <c r="R2924" t="s" s="2">
        <f>_xlfn.IFERROR(INDEX('model_byCAP'!$D$2:$D$377,MATCH(Q2924,'model_byCAP'!$A$2:$A$377,0)),0)</f>
        <v>4861</v>
      </c>
    </row>
    <row r="2925" ht="15.35" customHeight="1">
      <c r="A2925" t="s" s="2">
        <v>5567</v>
      </c>
      <c r="B2925" s="4">
        <v>36521</v>
      </c>
      <c r="C2925" s="5">
        <v>660</v>
      </c>
      <c r="D2925" s="5">
        <v>47</v>
      </c>
      <c r="E2925" s="5">
        <v>45</v>
      </c>
      <c r="F2925" t="s" s="2">
        <v>301</v>
      </c>
      <c r="G2925" t="s" s="2">
        <v>5270</v>
      </c>
      <c r="H2925" s="5">
        <v>580</v>
      </c>
      <c r="I2925" t="s" s="2">
        <v>1542</v>
      </c>
      <c r="J2925" t="s" s="2">
        <v>22</v>
      </c>
      <c r="K2925" t="s" s="2">
        <v>5566</v>
      </c>
      <c r="L2925" s="5">
        <v>256</v>
      </c>
      <c r="M2925" s="5">
        <v>510731.04</v>
      </c>
      <c r="N2925" s="5">
        <v>6099856.86</v>
      </c>
      <c r="O2925" t="s" s="2">
        <v>305</v>
      </c>
      <c r="P2925" s="5">
        <v>91020</v>
      </c>
      <c r="Q2925" t="s" s="2">
        <v>5272</v>
      </c>
      <c r="R2925" t="s" s="2">
        <f>_xlfn.IFERROR(INDEX('model_byCAP'!$D$2:$D$377,MATCH(Q2925,'model_byCAP'!$A$2:$A$377,0)),0)</f>
        <v>4861</v>
      </c>
    </row>
    <row r="2926" ht="15.35" customHeight="1">
      <c r="A2926" t="s" s="2">
        <v>5568</v>
      </c>
      <c r="B2926" s="4">
        <v>36521</v>
      </c>
      <c r="C2926" s="5">
        <v>660</v>
      </c>
      <c r="D2926" s="5">
        <v>0.1</v>
      </c>
      <c r="E2926" s="5">
        <v>0.1</v>
      </c>
      <c r="F2926" t="s" s="2">
        <v>42</v>
      </c>
      <c r="G2926" t="s" s="2">
        <v>42</v>
      </c>
      <c r="H2926" s="5">
        <v>580</v>
      </c>
      <c r="I2926" t="s" s="2">
        <v>1542</v>
      </c>
      <c r="J2926" t="s" s="2">
        <v>22</v>
      </c>
      <c r="K2926" t="s" s="2">
        <v>42</v>
      </c>
      <c r="L2926" s="5">
        <v>0</v>
      </c>
      <c r="M2926" s="5">
        <v>510912.48</v>
      </c>
      <c r="N2926" s="5">
        <v>6099592.27</v>
      </c>
      <c r="O2926" t="s" s="2">
        <v>305</v>
      </c>
      <c r="P2926" s="5">
        <v>91021</v>
      </c>
      <c r="Q2926" t="s" s="2">
        <v>43</v>
      </c>
      <c r="R2926" s="5">
        <f>_xlfn.IFERROR(INDEX('model_byCAP'!$D$2:$D$377,MATCH(Q2926,'model_byCAP'!$A$2:$A$377,0)),0)</f>
        <v>0</v>
      </c>
    </row>
    <row r="2927" ht="15.35" customHeight="1">
      <c r="A2927" t="s" s="2">
        <v>5569</v>
      </c>
      <c r="B2927" s="4">
        <v>36860</v>
      </c>
      <c r="C2927" s="5">
        <v>660</v>
      </c>
      <c r="D2927" s="5">
        <v>47</v>
      </c>
      <c r="E2927" s="5">
        <v>45</v>
      </c>
      <c r="F2927" t="s" s="2">
        <v>301</v>
      </c>
      <c r="G2927" t="s" s="2">
        <v>5270</v>
      </c>
      <c r="H2927" s="5">
        <v>580</v>
      </c>
      <c r="I2927" t="s" s="2">
        <v>1542</v>
      </c>
      <c r="J2927" t="s" s="2">
        <v>22</v>
      </c>
      <c r="K2927" t="s" s="2">
        <v>3996</v>
      </c>
      <c r="L2927" t="s" s="2">
        <v>394</v>
      </c>
      <c r="M2927" s="5">
        <v>515085.94</v>
      </c>
      <c r="N2927" s="5">
        <v>6107234.31</v>
      </c>
      <c r="O2927" t="s" s="2">
        <v>25</v>
      </c>
      <c r="P2927" s="5">
        <v>91518</v>
      </c>
      <c r="Q2927" t="s" s="2">
        <v>5272</v>
      </c>
      <c r="R2927" t="s" s="2">
        <f>_xlfn.IFERROR(INDEX('model_byCAP'!$D$2:$D$377,MATCH(Q2927,'model_byCAP'!$A$2:$A$377,0)),0)</f>
        <v>4861</v>
      </c>
    </row>
    <row r="2928" ht="15.35" customHeight="1">
      <c r="A2928" t="s" s="2">
        <v>5570</v>
      </c>
      <c r="B2928" s="4">
        <v>36521</v>
      </c>
      <c r="C2928" s="5">
        <v>660</v>
      </c>
      <c r="D2928" s="5">
        <v>47</v>
      </c>
      <c r="E2928" s="5">
        <v>45</v>
      </c>
      <c r="F2928" t="s" s="2">
        <v>301</v>
      </c>
      <c r="G2928" t="s" s="2">
        <v>5270</v>
      </c>
      <c r="H2928" s="5">
        <v>580</v>
      </c>
      <c r="I2928" t="s" s="2">
        <v>1542</v>
      </c>
      <c r="J2928" t="s" s="2">
        <v>22</v>
      </c>
      <c r="K2928" t="s" s="2">
        <v>5571</v>
      </c>
      <c r="L2928" s="5">
        <v>10</v>
      </c>
      <c r="M2928" s="5">
        <v>532643.09</v>
      </c>
      <c r="N2928" s="5">
        <v>6083271.53</v>
      </c>
      <c r="O2928" t="s" s="2">
        <v>305</v>
      </c>
      <c r="P2928" s="5">
        <v>200002</v>
      </c>
      <c r="Q2928" t="s" s="2">
        <v>5272</v>
      </c>
      <c r="R2928" t="s" s="2">
        <f>_xlfn.IFERROR(INDEX('model_byCAP'!$D$2:$D$377,MATCH(Q2928,'model_byCAP'!$A$2:$A$377,0)),0)</f>
        <v>4861</v>
      </c>
    </row>
    <row r="2929" ht="15.35" customHeight="1">
      <c r="A2929" t="s" s="2">
        <v>5572</v>
      </c>
      <c r="B2929" s="4">
        <v>36796</v>
      </c>
      <c r="C2929" s="5">
        <v>660</v>
      </c>
      <c r="D2929" s="5">
        <v>47</v>
      </c>
      <c r="E2929" s="5">
        <v>45</v>
      </c>
      <c r="F2929" t="s" s="2">
        <v>301</v>
      </c>
      <c r="G2929" t="s" s="2">
        <v>5270</v>
      </c>
      <c r="H2929" s="5">
        <v>580</v>
      </c>
      <c r="I2929" t="s" s="2">
        <v>1542</v>
      </c>
      <c r="J2929" t="s" s="2">
        <v>22</v>
      </c>
      <c r="K2929" t="s" s="2">
        <v>3126</v>
      </c>
      <c r="L2929" s="5">
        <v>2</v>
      </c>
      <c r="M2929" s="5">
        <v>516466.5</v>
      </c>
      <c r="N2929" s="5">
        <v>6098172.01</v>
      </c>
      <c r="O2929" t="s" s="2">
        <v>305</v>
      </c>
      <c r="P2929" s="5">
        <v>200130</v>
      </c>
      <c r="Q2929" t="s" s="2">
        <v>5272</v>
      </c>
      <c r="R2929" t="s" s="2">
        <f>_xlfn.IFERROR(INDEX('model_byCAP'!$D$2:$D$377,MATCH(Q2929,'model_byCAP'!$A$2:$A$377,0)),0)</f>
        <v>4861</v>
      </c>
    </row>
    <row r="2930" ht="15.35" customHeight="1">
      <c r="A2930" t="s" s="2">
        <v>5573</v>
      </c>
      <c r="B2930" s="4">
        <v>36880</v>
      </c>
      <c r="C2930" s="5">
        <v>660</v>
      </c>
      <c r="D2930" s="5">
        <v>47</v>
      </c>
      <c r="E2930" s="5">
        <v>45</v>
      </c>
      <c r="F2930" t="s" s="2">
        <v>301</v>
      </c>
      <c r="G2930" t="s" s="2">
        <v>5270</v>
      </c>
      <c r="H2930" s="5">
        <v>580</v>
      </c>
      <c r="I2930" t="s" s="2">
        <v>1542</v>
      </c>
      <c r="J2930" t="s" s="2">
        <v>22</v>
      </c>
      <c r="K2930" t="s" s="2">
        <v>5574</v>
      </c>
      <c r="L2930" s="5">
        <v>1</v>
      </c>
      <c r="M2930" s="5">
        <v>522798.67</v>
      </c>
      <c r="N2930" s="5">
        <v>6083989.27</v>
      </c>
      <c r="O2930" t="s" s="2">
        <v>305</v>
      </c>
      <c r="P2930" s="5">
        <v>200134</v>
      </c>
      <c r="Q2930" t="s" s="2">
        <v>5272</v>
      </c>
      <c r="R2930" t="s" s="2">
        <f>_xlfn.IFERROR(INDEX('model_byCAP'!$D$2:$D$377,MATCH(Q2930,'model_byCAP'!$A$2:$A$377,0)),0)</f>
        <v>4861</v>
      </c>
    </row>
    <row r="2931" ht="15.35" customHeight="1">
      <c r="A2931" t="s" s="2">
        <v>5575</v>
      </c>
      <c r="B2931" s="4">
        <v>36883</v>
      </c>
      <c r="C2931" s="5">
        <v>660</v>
      </c>
      <c r="D2931" s="5">
        <v>47</v>
      </c>
      <c r="E2931" s="5">
        <v>45</v>
      </c>
      <c r="F2931" t="s" s="2">
        <v>301</v>
      </c>
      <c r="G2931" t="s" s="2">
        <v>5270</v>
      </c>
      <c r="H2931" s="5">
        <v>580</v>
      </c>
      <c r="I2931" t="s" s="2">
        <v>1542</v>
      </c>
      <c r="J2931" t="s" s="2">
        <v>22</v>
      </c>
      <c r="K2931" t="s" s="2">
        <v>5574</v>
      </c>
      <c r="L2931" s="5">
        <v>19</v>
      </c>
      <c r="M2931" s="5">
        <v>522599</v>
      </c>
      <c r="N2931" s="5">
        <v>6084583.9</v>
      </c>
      <c r="O2931" t="s" s="2">
        <v>305</v>
      </c>
      <c r="P2931" s="5">
        <v>200137</v>
      </c>
      <c r="Q2931" t="s" s="2">
        <v>5272</v>
      </c>
      <c r="R2931" t="s" s="2">
        <f>_xlfn.IFERROR(INDEX('model_byCAP'!$D$2:$D$377,MATCH(Q2931,'model_byCAP'!$A$2:$A$377,0)),0)</f>
        <v>4861</v>
      </c>
    </row>
    <row r="2932" ht="15.35" customHeight="1">
      <c r="A2932" t="s" s="2">
        <v>5576</v>
      </c>
      <c r="B2932" s="4">
        <v>36880</v>
      </c>
      <c r="C2932" s="5">
        <v>660</v>
      </c>
      <c r="D2932" s="5">
        <v>47</v>
      </c>
      <c r="E2932" s="5">
        <v>45</v>
      </c>
      <c r="F2932" t="s" s="2">
        <v>301</v>
      </c>
      <c r="G2932" t="s" s="2">
        <v>5270</v>
      </c>
      <c r="H2932" s="5">
        <v>580</v>
      </c>
      <c r="I2932" t="s" s="2">
        <v>1542</v>
      </c>
      <c r="J2932" t="s" s="2">
        <v>22</v>
      </c>
      <c r="K2932" t="s" s="2">
        <v>5577</v>
      </c>
      <c r="L2932" s="5">
        <v>1</v>
      </c>
      <c r="M2932" s="5">
        <v>522564.99</v>
      </c>
      <c r="N2932" s="5">
        <v>6084205.13</v>
      </c>
      <c r="O2932" t="s" s="2">
        <v>305</v>
      </c>
      <c r="P2932" s="5">
        <v>200139</v>
      </c>
      <c r="Q2932" t="s" s="2">
        <v>5272</v>
      </c>
      <c r="R2932" t="s" s="2">
        <f>_xlfn.IFERROR(INDEX('model_byCAP'!$D$2:$D$377,MATCH(Q2932,'model_byCAP'!$A$2:$A$377,0)),0)</f>
        <v>4861</v>
      </c>
    </row>
    <row r="2933" ht="15.35" customHeight="1">
      <c r="A2933" t="s" s="2">
        <v>5578</v>
      </c>
      <c r="B2933" s="4">
        <v>36875</v>
      </c>
      <c r="C2933" s="5">
        <v>660</v>
      </c>
      <c r="D2933" s="5">
        <v>47</v>
      </c>
      <c r="E2933" s="5">
        <v>45</v>
      </c>
      <c r="F2933" t="s" s="2">
        <v>301</v>
      </c>
      <c r="G2933" t="s" s="2">
        <v>5270</v>
      </c>
      <c r="H2933" s="5">
        <v>580</v>
      </c>
      <c r="I2933" t="s" s="2">
        <v>1542</v>
      </c>
      <c r="J2933" t="s" s="2">
        <v>22</v>
      </c>
      <c r="K2933" t="s" s="2">
        <v>5577</v>
      </c>
      <c r="L2933" s="5">
        <v>1</v>
      </c>
      <c r="M2933" s="5">
        <v>522549</v>
      </c>
      <c r="N2933" s="5">
        <v>6084015.83</v>
      </c>
      <c r="O2933" t="s" s="2">
        <v>305</v>
      </c>
      <c r="P2933" s="5">
        <v>200141</v>
      </c>
      <c r="Q2933" t="s" s="2">
        <v>5272</v>
      </c>
      <c r="R2933" t="s" s="2">
        <f>_xlfn.IFERROR(INDEX('model_byCAP'!$D$2:$D$377,MATCH(Q2933,'model_byCAP'!$A$2:$A$377,0)),0)</f>
        <v>4861</v>
      </c>
    </row>
    <row r="2934" ht="15.35" customHeight="1">
      <c r="A2934" t="s" s="2">
        <v>5579</v>
      </c>
      <c r="B2934" s="4">
        <v>36987</v>
      </c>
      <c r="C2934" s="5">
        <v>660</v>
      </c>
      <c r="D2934" s="5">
        <v>47</v>
      </c>
      <c r="E2934" s="5">
        <v>45</v>
      </c>
      <c r="F2934" t="s" s="2">
        <v>301</v>
      </c>
      <c r="G2934" t="s" s="2">
        <v>5270</v>
      </c>
      <c r="H2934" s="5">
        <v>580</v>
      </c>
      <c r="I2934" t="s" s="2">
        <v>1542</v>
      </c>
      <c r="J2934" t="s" s="2">
        <v>22</v>
      </c>
      <c r="K2934" t="s" s="2">
        <v>5580</v>
      </c>
      <c r="L2934" s="5">
        <v>19</v>
      </c>
      <c r="M2934" s="5">
        <v>522849.35</v>
      </c>
      <c r="N2934" s="5">
        <v>6084556.84</v>
      </c>
      <c r="O2934" t="s" s="2">
        <v>305</v>
      </c>
      <c r="P2934" s="5">
        <v>200144</v>
      </c>
      <c r="Q2934" t="s" s="2">
        <v>5272</v>
      </c>
      <c r="R2934" t="s" s="2">
        <f>_xlfn.IFERROR(INDEX('model_byCAP'!$D$2:$D$377,MATCH(Q2934,'model_byCAP'!$A$2:$A$377,0)),0)</f>
        <v>4861</v>
      </c>
    </row>
    <row r="2935" ht="15.35" customHeight="1">
      <c r="A2935" t="s" s="2">
        <v>5581</v>
      </c>
      <c r="B2935" s="4">
        <v>36991</v>
      </c>
      <c r="C2935" s="5">
        <v>660</v>
      </c>
      <c r="D2935" s="5">
        <v>47</v>
      </c>
      <c r="E2935" s="5">
        <v>45</v>
      </c>
      <c r="F2935" t="s" s="2">
        <v>301</v>
      </c>
      <c r="G2935" t="s" s="2">
        <v>5270</v>
      </c>
      <c r="H2935" s="5">
        <v>580</v>
      </c>
      <c r="I2935" t="s" s="2">
        <v>1542</v>
      </c>
      <c r="J2935" t="s" s="2">
        <v>22</v>
      </c>
      <c r="K2935" t="s" s="2">
        <v>5580</v>
      </c>
      <c r="L2935" s="5">
        <v>17</v>
      </c>
      <c r="M2935" s="5">
        <v>522831.94</v>
      </c>
      <c r="N2935" s="5">
        <v>6084367.98</v>
      </c>
      <c r="O2935" t="s" s="2">
        <v>305</v>
      </c>
      <c r="P2935" s="5">
        <v>200145</v>
      </c>
      <c r="Q2935" t="s" s="2">
        <v>5272</v>
      </c>
      <c r="R2935" t="s" s="2">
        <f>_xlfn.IFERROR(INDEX('model_byCAP'!$D$2:$D$377,MATCH(Q2935,'model_byCAP'!$A$2:$A$377,0)),0)</f>
        <v>4861</v>
      </c>
    </row>
    <row r="2936" ht="15.35" customHeight="1">
      <c r="A2936" t="s" s="2">
        <v>5582</v>
      </c>
      <c r="B2936" s="4">
        <v>36991</v>
      </c>
      <c r="C2936" s="5">
        <v>660</v>
      </c>
      <c r="D2936" s="5">
        <v>47</v>
      </c>
      <c r="E2936" s="5">
        <v>45</v>
      </c>
      <c r="F2936" t="s" s="2">
        <v>301</v>
      </c>
      <c r="G2936" t="s" s="2">
        <v>5270</v>
      </c>
      <c r="H2936" s="5">
        <v>580</v>
      </c>
      <c r="I2936" t="s" s="2">
        <v>1542</v>
      </c>
      <c r="J2936" t="s" s="2">
        <v>22</v>
      </c>
      <c r="K2936" t="s" s="2">
        <v>5580</v>
      </c>
      <c r="L2936" s="5">
        <v>23</v>
      </c>
      <c r="M2936" s="5">
        <v>522816.14</v>
      </c>
      <c r="N2936" s="5">
        <v>6084178.32</v>
      </c>
      <c r="O2936" t="s" s="2">
        <v>305</v>
      </c>
      <c r="P2936" s="5">
        <v>200146</v>
      </c>
      <c r="Q2936" t="s" s="2">
        <v>5272</v>
      </c>
      <c r="R2936" t="s" s="2">
        <f>_xlfn.IFERROR(INDEX('model_byCAP'!$D$2:$D$377,MATCH(Q2936,'model_byCAP'!$A$2:$A$377,0)),0)</f>
        <v>4861</v>
      </c>
    </row>
    <row r="2937" ht="15.35" customHeight="1">
      <c r="A2937" t="s" s="2">
        <v>5583</v>
      </c>
      <c r="B2937" s="4">
        <v>37006</v>
      </c>
      <c r="C2937" s="5">
        <v>660</v>
      </c>
      <c r="D2937" s="5">
        <v>47</v>
      </c>
      <c r="E2937" s="5">
        <v>45</v>
      </c>
      <c r="F2937" t="s" s="2">
        <v>301</v>
      </c>
      <c r="G2937" t="s" s="2">
        <v>5270</v>
      </c>
      <c r="H2937" s="5">
        <v>580</v>
      </c>
      <c r="I2937" t="s" s="2">
        <v>1542</v>
      </c>
      <c r="J2937" t="s" s="2">
        <v>22</v>
      </c>
      <c r="K2937" t="s" s="2">
        <v>5580</v>
      </c>
      <c r="L2937" s="5">
        <v>82</v>
      </c>
      <c r="M2937" s="5">
        <v>522580.91</v>
      </c>
      <c r="N2937" s="5">
        <v>6084395.12</v>
      </c>
      <c r="O2937" t="s" s="2">
        <v>305</v>
      </c>
      <c r="P2937" s="8">
        <v>200147</v>
      </c>
      <c r="Q2937" t="s" s="2">
        <v>5272</v>
      </c>
      <c r="R2937" t="s" s="2">
        <f>_xlfn.IFERROR(INDEX('model_byCAP'!$D$2:$D$377,MATCH(Q2937,'model_byCAP'!$A$2:$A$377,0)),0)</f>
        <v>4861</v>
      </c>
    </row>
    <row r="2938" ht="15.35" customHeight="1">
      <c r="A2938" t="s" s="2">
        <v>5584</v>
      </c>
      <c r="B2938" s="4">
        <v>36459</v>
      </c>
      <c r="C2938" s="5">
        <v>660</v>
      </c>
      <c r="D2938" s="5">
        <v>47</v>
      </c>
      <c r="E2938" s="5">
        <v>45</v>
      </c>
      <c r="F2938" t="s" s="2">
        <v>301</v>
      </c>
      <c r="G2938" t="s" s="2">
        <v>5270</v>
      </c>
      <c r="H2938" s="5">
        <v>580</v>
      </c>
      <c r="I2938" t="s" s="2">
        <v>1542</v>
      </c>
      <c r="J2938" t="s" s="2">
        <v>22</v>
      </c>
      <c r="K2938" t="s" s="2">
        <v>3126</v>
      </c>
      <c r="L2938" s="5">
        <v>17</v>
      </c>
      <c r="M2938" s="5">
        <v>515005.56</v>
      </c>
      <c r="N2938" s="5">
        <v>6097880.14</v>
      </c>
      <c r="O2938" t="s" s="2">
        <v>305</v>
      </c>
      <c r="P2938" s="5">
        <v>200204</v>
      </c>
      <c r="Q2938" t="s" s="2">
        <v>5272</v>
      </c>
      <c r="R2938" t="s" s="2">
        <f>_xlfn.IFERROR(INDEX('model_byCAP'!$D$2:$D$377,MATCH(Q2938,'model_byCAP'!$A$2:$A$377,0)),0)</f>
        <v>4861</v>
      </c>
    </row>
    <row r="2939" ht="15.35" customHeight="1">
      <c r="A2939" t="s" s="2">
        <v>5585</v>
      </c>
      <c r="B2939" s="4">
        <v>35839</v>
      </c>
      <c r="C2939" s="5">
        <v>660</v>
      </c>
      <c r="D2939" s="5">
        <v>47</v>
      </c>
      <c r="E2939" s="5">
        <v>45</v>
      </c>
      <c r="F2939" t="s" s="2">
        <v>301</v>
      </c>
      <c r="G2939" t="s" s="2">
        <v>5270</v>
      </c>
      <c r="H2939" s="5">
        <v>580</v>
      </c>
      <c r="I2939" t="s" s="2">
        <v>1542</v>
      </c>
      <c r="J2939" t="s" s="2">
        <v>22</v>
      </c>
      <c r="K2939" t="s" s="2">
        <v>3126</v>
      </c>
      <c r="L2939" s="5">
        <v>4</v>
      </c>
      <c r="M2939" s="5">
        <v>513914.98</v>
      </c>
      <c r="N2939" s="5">
        <v>6097342.73</v>
      </c>
      <c r="O2939" t="s" s="2">
        <v>305</v>
      </c>
      <c r="P2939" s="8">
        <v>200209</v>
      </c>
      <c r="Q2939" t="s" s="2">
        <v>5272</v>
      </c>
      <c r="R2939" t="s" s="2">
        <f>_xlfn.IFERROR(INDEX('model_byCAP'!$D$2:$D$377,MATCH(Q2939,'model_byCAP'!$A$2:$A$377,0)),0)</f>
        <v>4861</v>
      </c>
    </row>
    <row r="2940" ht="15.35" customHeight="1">
      <c r="A2940" t="s" s="2">
        <v>5586</v>
      </c>
      <c r="B2940" s="4">
        <v>36475</v>
      </c>
      <c r="C2940" s="5">
        <v>660</v>
      </c>
      <c r="D2940" s="5">
        <v>47</v>
      </c>
      <c r="E2940" s="5">
        <v>45</v>
      </c>
      <c r="F2940" t="s" s="2">
        <v>301</v>
      </c>
      <c r="G2940" t="s" s="2">
        <v>5270</v>
      </c>
      <c r="H2940" s="5">
        <v>580</v>
      </c>
      <c r="I2940" t="s" s="2">
        <v>1542</v>
      </c>
      <c r="J2940" t="s" s="2">
        <v>22</v>
      </c>
      <c r="K2940" t="s" s="2">
        <v>3126</v>
      </c>
      <c r="L2940" s="5">
        <v>2</v>
      </c>
      <c r="M2940" s="5">
        <v>515914.98</v>
      </c>
      <c r="N2940" s="5">
        <v>6097927</v>
      </c>
      <c r="O2940" t="s" s="2">
        <v>305</v>
      </c>
      <c r="P2940" s="5">
        <v>200289</v>
      </c>
      <c r="Q2940" t="s" s="2">
        <v>5272</v>
      </c>
      <c r="R2940" t="s" s="2">
        <f>_xlfn.IFERROR(INDEX('model_byCAP'!$D$2:$D$377,MATCH(Q2940,'model_byCAP'!$A$2:$A$377,0)),0)</f>
        <v>4861</v>
      </c>
    </row>
    <row r="2941" ht="15.35" customHeight="1">
      <c r="A2941" t="s" s="2">
        <v>5587</v>
      </c>
      <c r="B2941" s="4">
        <v>37189</v>
      </c>
      <c r="C2941" s="5">
        <v>660</v>
      </c>
      <c r="D2941" s="5">
        <v>47</v>
      </c>
      <c r="E2941" s="5">
        <v>45</v>
      </c>
      <c r="F2941" t="s" s="2">
        <v>301</v>
      </c>
      <c r="G2941" t="s" s="2">
        <v>5270</v>
      </c>
      <c r="H2941" s="5">
        <v>580</v>
      </c>
      <c r="I2941" t="s" s="2">
        <v>1542</v>
      </c>
      <c r="J2941" t="s" s="2">
        <v>22</v>
      </c>
      <c r="K2941" t="s" s="2">
        <v>5588</v>
      </c>
      <c r="L2941" s="5">
        <v>250</v>
      </c>
      <c r="M2941" s="5">
        <v>532450.6899999999</v>
      </c>
      <c r="N2941" s="5">
        <v>6083206.3</v>
      </c>
      <c r="O2941" t="s" s="2">
        <v>305</v>
      </c>
      <c r="P2941" s="5">
        <v>200153</v>
      </c>
      <c r="Q2941" t="s" s="2">
        <v>5272</v>
      </c>
      <c r="R2941" t="s" s="2">
        <f>_xlfn.IFERROR(INDEX('model_byCAP'!$D$2:$D$377,MATCH(Q2941,'model_byCAP'!$A$2:$A$377,0)),0)</f>
        <v>4861</v>
      </c>
    </row>
    <row r="2942" ht="15.35" customHeight="1">
      <c r="A2942" t="s" s="2">
        <v>5589</v>
      </c>
      <c r="B2942" s="4">
        <v>37194</v>
      </c>
      <c r="C2942" s="5">
        <v>660</v>
      </c>
      <c r="D2942" s="5">
        <v>47</v>
      </c>
      <c r="E2942" s="5">
        <v>45</v>
      </c>
      <c r="F2942" t="s" s="2">
        <v>301</v>
      </c>
      <c r="G2942" t="s" s="2">
        <v>5270</v>
      </c>
      <c r="H2942" s="5">
        <v>580</v>
      </c>
      <c r="I2942" t="s" s="2">
        <v>1542</v>
      </c>
      <c r="J2942" t="s" s="2">
        <v>22</v>
      </c>
      <c r="K2942" t="s" s="2">
        <v>5588</v>
      </c>
      <c r="L2942" s="5">
        <v>26</v>
      </c>
      <c r="M2942" s="5">
        <v>532259.3</v>
      </c>
      <c r="N2942" s="5">
        <v>6083141.64</v>
      </c>
      <c r="O2942" t="s" s="2">
        <v>305</v>
      </c>
      <c r="P2942" s="5">
        <v>200154</v>
      </c>
      <c r="Q2942" t="s" s="2">
        <v>5272</v>
      </c>
      <c r="R2942" t="s" s="2">
        <f>_xlfn.IFERROR(INDEX('model_byCAP'!$D$2:$D$377,MATCH(Q2942,'model_byCAP'!$A$2:$A$377,0)),0)</f>
        <v>4861</v>
      </c>
    </row>
    <row r="2943" ht="15.35" customHeight="1">
      <c r="A2943" t="s" s="2">
        <v>5590</v>
      </c>
      <c r="B2943" s="4">
        <v>36686</v>
      </c>
      <c r="C2943" s="5">
        <v>660</v>
      </c>
      <c r="D2943" s="5">
        <v>47</v>
      </c>
      <c r="E2943" s="5">
        <v>46</v>
      </c>
      <c r="F2943" t="s" s="2">
        <v>301</v>
      </c>
      <c r="G2943" t="s" s="2">
        <v>5270</v>
      </c>
      <c r="H2943" s="5">
        <v>621</v>
      </c>
      <c r="I2943" t="s" s="2">
        <v>2921</v>
      </c>
      <c r="J2943" t="s" s="2">
        <v>22</v>
      </c>
      <c r="K2943" t="s" s="2">
        <v>5591</v>
      </c>
      <c r="L2943" s="5">
        <v>3</v>
      </c>
      <c r="M2943" s="5">
        <v>534657.66</v>
      </c>
      <c r="N2943" s="5">
        <v>6132864.71</v>
      </c>
      <c r="O2943" t="s" s="2">
        <v>305</v>
      </c>
      <c r="P2943" s="5">
        <v>200110</v>
      </c>
      <c r="Q2943" t="s" s="2">
        <v>5272</v>
      </c>
      <c r="R2943" t="s" s="2">
        <f>_xlfn.IFERROR(INDEX('model_byCAP'!$D$2:$D$377,MATCH(Q2943,'model_byCAP'!$A$2:$A$377,0)),0)</f>
        <v>4861</v>
      </c>
    </row>
    <row r="2944" ht="15.35" customHeight="1">
      <c r="A2944" t="s" s="2">
        <v>5592</v>
      </c>
      <c r="B2944" s="4">
        <v>37347</v>
      </c>
      <c r="C2944" s="5">
        <v>660</v>
      </c>
      <c r="D2944" s="5">
        <v>47</v>
      </c>
      <c r="E2944" s="5">
        <v>45</v>
      </c>
      <c r="F2944" t="s" s="2">
        <v>301</v>
      </c>
      <c r="G2944" t="s" s="2">
        <v>5593</v>
      </c>
      <c r="H2944" s="5">
        <v>621</v>
      </c>
      <c r="I2944" t="s" s="2">
        <v>2921</v>
      </c>
      <c r="J2944" t="s" s="2">
        <v>22</v>
      </c>
      <c r="K2944" t="s" s="2">
        <v>5594</v>
      </c>
      <c r="L2944" s="5">
        <v>7</v>
      </c>
      <c r="M2944" s="5">
        <v>525697.35</v>
      </c>
      <c r="N2944" s="5">
        <v>6133581.69</v>
      </c>
      <c r="O2944" t="s" s="2">
        <v>305</v>
      </c>
      <c r="P2944" s="5">
        <v>200140</v>
      </c>
      <c r="Q2944" t="s" s="2">
        <v>5595</v>
      </c>
      <c r="R2944" t="s" s="2">
        <f>_xlfn.IFERROR(INDEX('model_byCAP'!$D$2:$D$377,MATCH(Q2944,'model_byCAP'!$A$2:$A$377,0)),0)</f>
        <v>5331</v>
      </c>
    </row>
    <row r="2945" ht="15.35" customHeight="1">
      <c r="A2945" t="s" s="2">
        <v>5596</v>
      </c>
      <c r="B2945" s="4">
        <v>36517</v>
      </c>
      <c r="C2945" s="5">
        <v>660</v>
      </c>
      <c r="D2945" s="5">
        <v>47</v>
      </c>
      <c r="E2945" s="5">
        <v>46</v>
      </c>
      <c r="F2945" t="s" s="2">
        <v>301</v>
      </c>
      <c r="G2945" t="s" s="2">
        <v>5270</v>
      </c>
      <c r="H2945" s="5">
        <v>621</v>
      </c>
      <c r="I2945" t="s" s="2">
        <v>2921</v>
      </c>
      <c r="J2945" t="s" s="2">
        <v>22</v>
      </c>
      <c r="K2945" t="s" s="2">
        <v>5594</v>
      </c>
      <c r="L2945" s="5">
        <v>7</v>
      </c>
      <c r="M2945" s="5">
        <v>524512.8</v>
      </c>
      <c r="N2945" s="5">
        <v>6133626.17</v>
      </c>
      <c r="O2945" t="s" s="2">
        <v>305</v>
      </c>
      <c r="P2945" s="5">
        <v>200277</v>
      </c>
      <c r="Q2945" t="s" s="2">
        <v>5272</v>
      </c>
      <c r="R2945" t="s" s="2">
        <f>_xlfn.IFERROR(INDEX('model_byCAP'!$D$2:$D$377,MATCH(Q2945,'model_byCAP'!$A$2:$A$377,0)),0)</f>
        <v>4861</v>
      </c>
    </row>
    <row r="2946" ht="15.35" customHeight="1">
      <c r="A2946" t="s" s="2">
        <v>5597</v>
      </c>
      <c r="B2946" s="4">
        <v>36519</v>
      </c>
      <c r="C2946" s="5">
        <v>660</v>
      </c>
      <c r="D2946" s="5">
        <v>47</v>
      </c>
      <c r="E2946" s="5">
        <v>45</v>
      </c>
      <c r="F2946" t="s" s="2">
        <v>301</v>
      </c>
      <c r="G2946" t="s" s="2">
        <v>4858</v>
      </c>
      <c r="H2946" s="5">
        <v>630</v>
      </c>
      <c r="I2946" t="s" s="2">
        <v>1268</v>
      </c>
      <c r="J2946" t="s" s="2">
        <v>22</v>
      </c>
      <c r="K2946" t="s" s="2">
        <v>5598</v>
      </c>
      <c r="L2946" t="s" s="2">
        <v>3414</v>
      </c>
      <c r="M2946" s="5">
        <v>527639.79</v>
      </c>
      <c r="N2946" s="5">
        <v>6185610.71</v>
      </c>
      <c r="O2946" t="s" s="2">
        <v>305</v>
      </c>
      <c r="P2946" s="5">
        <v>1030062</v>
      </c>
      <c r="Q2946" t="s" s="2">
        <v>4860</v>
      </c>
      <c r="R2946" t="s" s="2">
        <f>_xlfn.IFERROR(INDEX('model_byCAP'!$D$2:$D$377,MATCH(Q2946,'model_byCAP'!$A$2:$A$377,0)),0)</f>
        <v>4861</v>
      </c>
    </row>
    <row r="2947" ht="15.35" customHeight="1">
      <c r="A2947" t="s" s="2">
        <v>5599</v>
      </c>
      <c r="B2947" s="4">
        <v>36713</v>
      </c>
      <c r="C2947" s="5">
        <v>660</v>
      </c>
      <c r="D2947" s="5">
        <v>47</v>
      </c>
      <c r="E2947" s="5">
        <v>45</v>
      </c>
      <c r="F2947" t="s" s="2">
        <v>301</v>
      </c>
      <c r="G2947" t="s" s="2">
        <v>5270</v>
      </c>
      <c r="H2947" s="5">
        <v>630</v>
      </c>
      <c r="I2947" t="s" s="2">
        <v>1268</v>
      </c>
      <c r="J2947" t="s" s="2">
        <v>22</v>
      </c>
      <c r="K2947" t="s" s="2">
        <v>5598</v>
      </c>
      <c r="L2947" t="s" s="2">
        <v>409</v>
      </c>
      <c r="M2947" s="5">
        <v>528071.5600000001</v>
      </c>
      <c r="N2947" s="5">
        <v>6185512.46</v>
      </c>
      <c r="O2947" t="s" s="2">
        <v>305</v>
      </c>
      <c r="P2947" s="5">
        <v>1030078</v>
      </c>
      <c r="Q2947" t="s" s="2">
        <v>5272</v>
      </c>
      <c r="R2947" t="s" s="2">
        <f>_xlfn.IFERROR(INDEX('model_byCAP'!$D$2:$D$377,MATCH(Q2947,'model_byCAP'!$A$2:$A$377,0)),0)</f>
        <v>4861</v>
      </c>
    </row>
    <row r="2948" ht="15.35" customHeight="1">
      <c r="A2948" t="s" s="2">
        <v>5600</v>
      </c>
      <c r="B2948" s="4">
        <v>36747</v>
      </c>
      <c r="C2948" s="5">
        <v>660</v>
      </c>
      <c r="D2948" s="5">
        <v>47</v>
      </c>
      <c r="E2948" s="5">
        <v>50</v>
      </c>
      <c r="F2948" t="s" s="2">
        <v>301</v>
      </c>
      <c r="G2948" t="s" s="2">
        <v>5270</v>
      </c>
      <c r="H2948" s="5">
        <v>630</v>
      </c>
      <c r="I2948" t="s" s="2">
        <v>1268</v>
      </c>
      <c r="J2948" t="s" s="2">
        <v>22</v>
      </c>
      <c r="K2948" t="s" s="2">
        <v>5598</v>
      </c>
      <c r="L2948" t="s" s="2">
        <v>3395</v>
      </c>
      <c r="M2948" s="5">
        <v>527854.42</v>
      </c>
      <c r="N2948" s="5">
        <v>6185563.09</v>
      </c>
      <c r="O2948" t="s" s="2">
        <v>305</v>
      </c>
      <c r="P2948" s="5">
        <v>1030081</v>
      </c>
      <c r="Q2948" t="s" s="2">
        <v>5272</v>
      </c>
      <c r="R2948" t="s" s="2">
        <f>_xlfn.IFERROR(INDEX('model_byCAP'!$D$2:$D$377,MATCH(Q2948,'model_byCAP'!$A$2:$A$377,0)),0)</f>
        <v>4861</v>
      </c>
    </row>
    <row r="2949" ht="15.35" customHeight="1">
      <c r="A2949" t="s" s="2">
        <v>5601</v>
      </c>
      <c r="B2949" s="4">
        <v>36190</v>
      </c>
      <c r="C2949" s="5">
        <v>660</v>
      </c>
      <c r="D2949" s="5">
        <v>47</v>
      </c>
      <c r="E2949" s="5">
        <v>45.5</v>
      </c>
      <c r="F2949" t="s" s="2">
        <v>301</v>
      </c>
      <c r="G2949" t="s" s="2">
        <v>5270</v>
      </c>
      <c r="H2949" s="5">
        <v>630</v>
      </c>
      <c r="I2949" t="s" s="2">
        <v>1268</v>
      </c>
      <c r="J2949" t="s" s="2">
        <v>22</v>
      </c>
      <c r="K2949" t="s" s="2">
        <v>5602</v>
      </c>
      <c r="L2949" t="s" s="2">
        <v>3414</v>
      </c>
      <c r="M2949" s="5">
        <v>523417.41</v>
      </c>
      <c r="N2949" s="5">
        <v>6177150.05</v>
      </c>
      <c r="O2949" t="s" s="2">
        <v>305</v>
      </c>
      <c r="P2949" t="s" s="2">
        <v>5603</v>
      </c>
      <c r="Q2949" t="s" s="2">
        <v>5272</v>
      </c>
      <c r="R2949" t="s" s="2">
        <f>_xlfn.IFERROR(INDEX('model_byCAP'!$D$2:$D$377,MATCH(Q2949,'model_byCAP'!$A$2:$A$377,0)),0)</f>
        <v>4861</v>
      </c>
    </row>
    <row r="2950" ht="15.35" customHeight="1">
      <c r="A2950" t="s" s="2">
        <v>5604</v>
      </c>
      <c r="B2950" s="4">
        <v>36192</v>
      </c>
      <c r="C2950" s="5">
        <v>660</v>
      </c>
      <c r="D2950" s="5">
        <v>47</v>
      </c>
      <c r="E2950" s="5">
        <v>50</v>
      </c>
      <c r="F2950" t="s" s="2">
        <v>301</v>
      </c>
      <c r="G2950" t="s" s="2">
        <v>5270</v>
      </c>
      <c r="H2950" s="5">
        <v>657</v>
      </c>
      <c r="I2950" t="s" s="2">
        <v>541</v>
      </c>
      <c r="J2950" t="s" s="2">
        <v>22</v>
      </c>
      <c r="K2950" t="s" s="2">
        <v>5605</v>
      </c>
      <c r="L2950" t="s" s="2">
        <v>405</v>
      </c>
      <c r="M2950" s="5">
        <v>480851.22</v>
      </c>
      <c r="N2950" s="5">
        <v>6233362.06</v>
      </c>
      <c r="O2950" t="s" s="2">
        <v>305</v>
      </c>
      <c r="P2950" s="5">
        <v>7141857</v>
      </c>
      <c r="Q2950" t="s" s="2">
        <v>5272</v>
      </c>
      <c r="R2950" t="s" s="2">
        <f>_xlfn.IFERROR(INDEX('model_byCAP'!$D$2:$D$377,MATCH(Q2950,'model_byCAP'!$A$2:$A$377,0)),0)</f>
        <v>4861</v>
      </c>
    </row>
    <row r="2951" ht="15.35" customHeight="1">
      <c r="A2951" t="s" s="2">
        <v>5606</v>
      </c>
      <c r="B2951" s="4">
        <v>36192</v>
      </c>
      <c r="C2951" s="5">
        <v>660</v>
      </c>
      <c r="D2951" s="5">
        <v>47</v>
      </c>
      <c r="E2951" s="5">
        <v>50</v>
      </c>
      <c r="F2951" t="s" s="2">
        <v>301</v>
      </c>
      <c r="G2951" t="s" s="2">
        <v>5270</v>
      </c>
      <c r="H2951" s="5">
        <v>657</v>
      </c>
      <c r="I2951" t="s" s="2">
        <v>541</v>
      </c>
      <c r="J2951" t="s" s="2">
        <v>22</v>
      </c>
      <c r="K2951" t="s" s="2">
        <v>5607</v>
      </c>
      <c r="L2951" t="s" s="2">
        <v>198</v>
      </c>
      <c r="M2951" s="5">
        <v>480944.78</v>
      </c>
      <c r="N2951" s="5">
        <v>6233821.43</v>
      </c>
      <c r="O2951" t="s" s="2">
        <v>305</v>
      </c>
      <c r="P2951" s="5">
        <v>7141862</v>
      </c>
      <c r="Q2951" t="s" s="2">
        <v>5272</v>
      </c>
      <c r="R2951" t="s" s="2">
        <f>_xlfn.IFERROR(INDEX('model_byCAP'!$D$2:$D$377,MATCH(Q2951,'model_byCAP'!$A$2:$A$377,0)),0)</f>
        <v>4861</v>
      </c>
    </row>
    <row r="2952" ht="15.35" customHeight="1">
      <c r="A2952" t="s" s="2">
        <v>5608</v>
      </c>
      <c r="B2952" s="4">
        <v>36385</v>
      </c>
      <c r="C2952" s="5">
        <v>660</v>
      </c>
      <c r="D2952" s="5">
        <v>47</v>
      </c>
      <c r="E2952" s="5">
        <v>50</v>
      </c>
      <c r="F2952" t="s" s="2">
        <v>301</v>
      </c>
      <c r="G2952" t="s" s="2">
        <v>5270</v>
      </c>
      <c r="H2952" s="5">
        <v>657</v>
      </c>
      <c r="I2952" t="s" s="2">
        <v>541</v>
      </c>
      <c r="J2952" t="s" s="2">
        <v>22</v>
      </c>
      <c r="K2952" t="s" s="2">
        <v>5605</v>
      </c>
      <c r="L2952" t="s" s="2">
        <v>198</v>
      </c>
      <c r="M2952" s="5">
        <v>480898.88</v>
      </c>
      <c r="N2952" s="5">
        <v>6233592.38</v>
      </c>
      <c r="O2952" t="s" s="2">
        <v>305</v>
      </c>
      <c r="P2952" s="5">
        <v>7142255</v>
      </c>
      <c r="Q2952" t="s" s="2">
        <v>5272</v>
      </c>
      <c r="R2952" t="s" s="2">
        <f>_xlfn.IFERROR(INDEX('model_byCAP'!$D$2:$D$377,MATCH(Q2952,'model_byCAP'!$A$2:$A$377,0)),0)</f>
        <v>4861</v>
      </c>
    </row>
    <row r="2953" ht="15.35" customHeight="1">
      <c r="A2953" t="s" s="2">
        <v>5609</v>
      </c>
      <c r="B2953" s="4">
        <v>36433</v>
      </c>
      <c r="C2953" s="5">
        <v>660</v>
      </c>
      <c r="D2953" s="5">
        <v>47</v>
      </c>
      <c r="E2953" s="5">
        <v>45</v>
      </c>
      <c r="F2953" t="s" s="2">
        <v>301</v>
      </c>
      <c r="G2953" t="s" s="2">
        <v>5270</v>
      </c>
      <c r="H2953" s="5">
        <v>661</v>
      </c>
      <c r="I2953" t="s" s="2">
        <v>562</v>
      </c>
      <c r="J2953" t="s" s="2">
        <v>22</v>
      </c>
      <c r="K2953" t="s" s="2">
        <v>5610</v>
      </c>
      <c r="L2953" t="s" s="2">
        <v>481</v>
      </c>
      <c r="M2953" s="5">
        <v>481379.01</v>
      </c>
      <c r="N2953" s="5">
        <v>6251002.51</v>
      </c>
      <c r="O2953" t="s" s="2">
        <v>305</v>
      </c>
      <c r="P2953" s="5">
        <v>40141256</v>
      </c>
      <c r="Q2953" t="s" s="2">
        <v>5272</v>
      </c>
      <c r="R2953" t="s" s="2">
        <f>_xlfn.IFERROR(INDEX('model_byCAP'!$D$2:$D$377,MATCH(Q2953,'model_byCAP'!$A$2:$A$377,0)),0)</f>
        <v>4861</v>
      </c>
    </row>
    <row r="2954" ht="15.35" customHeight="1">
      <c r="A2954" t="s" s="2">
        <v>5611</v>
      </c>
      <c r="B2954" s="4">
        <v>36433</v>
      </c>
      <c r="C2954" s="5">
        <v>660</v>
      </c>
      <c r="D2954" s="5">
        <v>47</v>
      </c>
      <c r="E2954" s="5">
        <v>45</v>
      </c>
      <c r="F2954" t="s" s="2">
        <v>301</v>
      </c>
      <c r="G2954" t="s" s="2">
        <v>5270</v>
      </c>
      <c r="H2954" s="5">
        <v>661</v>
      </c>
      <c r="I2954" t="s" s="2">
        <v>562</v>
      </c>
      <c r="J2954" t="s" s="2">
        <v>22</v>
      </c>
      <c r="K2954" t="s" s="2">
        <v>5612</v>
      </c>
      <c r="L2954" t="s" s="2">
        <v>5613</v>
      </c>
      <c r="M2954" s="5">
        <v>481472.87</v>
      </c>
      <c r="N2954" s="5">
        <v>6250826.39</v>
      </c>
      <c r="O2954" t="s" s="2">
        <v>305</v>
      </c>
      <c r="P2954" s="5">
        <v>40141256</v>
      </c>
      <c r="Q2954" t="s" s="2">
        <v>5272</v>
      </c>
      <c r="R2954" t="s" s="2">
        <f>_xlfn.IFERROR(INDEX('model_byCAP'!$D$2:$D$377,MATCH(Q2954,'model_byCAP'!$A$2:$A$377,0)),0)</f>
        <v>4861</v>
      </c>
    </row>
    <row r="2955" ht="15.35" customHeight="1">
      <c r="A2955" t="s" s="2">
        <v>5614</v>
      </c>
      <c r="B2955" s="4">
        <v>36509</v>
      </c>
      <c r="C2955" s="5">
        <v>660</v>
      </c>
      <c r="D2955" s="5">
        <v>47</v>
      </c>
      <c r="E2955" s="5">
        <v>45</v>
      </c>
      <c r="F2955" t="s" s="2">
        <v>301</v>
      </c>
      <c r="G2955" t="s" s="2">
        <v>5270</v>
      </c>
      <c r="H2955" s="5">
        <v>661</v>
      </c>
      <c r="I2955" t="s" s="2">
        <v>562</v>
      </c>
      <c r="J2955" t="s" s="2">
        <v>22</v>
      </c>
      <c r="K2955" t="s" s="2">
        <v>5610</v>
      </c>
      <c r="L2955" t="s" s="2">
        <v>481</v>
      </c>
      <c r="M2955" s="5">
        <v>481578.31</v>
      </c>
      <c r="N2955" s="5">
        <v>6250996.3</v>
      </c>
      <c r="O2955" t="s" s="2">
        <v>305</v>
      </c>
      <c r="P2955" s="5">
        <v>40141256</v>
      </c>
      <c r="Q2955" t="s" s="2">
        <v>5272</v>
      </c>
      <c r="R2955" t="s" s="2">
        <f>_xlfn.IFERROR(INDEX('model_byCAP'!$D$2:$D$377,MATCH(Q2955,'model_byCAP'!$A$2:$A$377,0)),0)</f>
        <v>4861</v>
      </c>
    </row>
    <row r="2956" ht="15.35" customHeight="1">
      <c r="A2956" t="s" s="2">
        <v>5615</v>
      </c>
      <c r="B2956" s="4">
        <v>36571</v>
      </c>
      <c r="C2956" s="5">
        <v>660</v>
      </c>
      <c r="D2956" s="5">
        <v>47</v>
      </c>
      <c r="E2956" s="5">
        <v>45</v>
      </c>
      <c r="F2956" t="s" s="2">
        <v>301</v>
      </c>
      <c r="G2956" t="s" s="2">
        <v>5270</v>
      </c>
      <c r="H2956" s="5">
        <v>661</v>
      </c>
      <c r="I2956" t="s" s="2">
        <v>562</v>
      </c>
      <c r="J2956" t="s" s="2">
        <v>22</v>
      </c>
      <c r="K2956" t="s" s="2">
        <v>5612</v>
      </c>
      <c r="L2956" t="s" s="2">
        <v>405</v>
      </c>
      <c r="M2956" s="5">
        <v>481567.7</v>
      </c>
      <c r="N2956" s="5">
        <v>6250649.5</v>
      </c>
      <c r="O2956" t="s" s="2">
        <v>305</v>
      </c>
      <c r="P2956" s="5">
        <v>40141256</v>
      </c>
      <c r="Q2956" t="s" s="2">
        <v>5272</v>
      </c>
      <c r="R2956" t="s" s="2">
        <f>_xlfn.IFERROR(INDEX('model_byCAP'!$D$2:$D$377,MATCH(Q2956,'model_byCAP'!$A$2:$A$377,0)),0)</f>
        <v>4861</v>
      </c>
    </row>
    <row r="2957" ht="15.35" customHeight="1">
      <c r="A2957" t="s" s="2">
        <v>5616</v>
      </c>
      <c r="B2957" s="4">
        <v>36448</v>
      </c>
      <c r="C2957" s="5">
        <v>660</v>
      </c>
      <c r="D2957" s="5">
        <v>47</v>
      </c>
      <c r="E2957" s="5">
        <v>45</v>
      </c>
      <c r="F2957" t="s" s="2">
        <v>301</v>
      </c>
      <c r="G2957" t="s" s="2">
        <v>5270</v>
      </c>
      <c r="H2957" s="5">
        <v>661</v>
      </c>
      <c r="I2957" t="s" s="2">
        <v>562</v>
      </c>
      <c r="J2957" t="s" s="2">
        <v>22</v>
      </c>
      <c r="K2957" t="s" s="2">
        <v>3311</v>
      </c>
      <c r="L2957" t="s" s="2">
        <v>1787</v>
      </c>
      <c r="M2957" s="5">
        <v>481672.95</v>
      </c>
      <c r="N2957" s="5">
        <v>6250819.47</v>
      </c>
      <c r="O2957" t="s" s="2">
        <v>305</v>
      </c>
      <c r="P2957" s="5">
        <v>40141256</v>
      </c>
      <c r="Q2957" t="s" s="2">
        <v>5272</v>
      </c>
      <c r="R2957" t="s" s="2">
        <f>_xlfn.IFERROR(INDEX('model_byCAP'!$D$2:$D$377,MATCH(Q2957,'model_byCAP'!$A$2:$A$377,0)),0)</f>
        <v>4861</v>
      </c>
    </row>
    <row r="2958" ht="15.35" customHeight="1">
      <c r="A2958" t="s" s="2">
        <v>5617</v>
      </c>
      <c r="B2958" s="4">
        <v>36433</v>
      </c>
      <c r="C2958" s="5">
        <v>660</v>
      </c>
      <c r="D2958" s="5">
        <v>47</v>
      </c>
      <c r="E2958" s="5">
        <v>45</v>
      </c>
      <c r="F2958" t="s" s="2">
        <v>301</v>
      </c>
      <c r="G2958" t="s" s="2">
        <v>5270</v>
      </c>
      <c r="H2958" s="5">
        <v>661</v>
      </c>
      <c r="I2958" t="s" s="2">
        <v>562</v>
      </c>
      <c r="J2958" t="s" s="2">
        <v>22</v>
      </c>
      <c r="K2958" t="s" s="2">
        <v>5618</v>
      </c>
      <c r="L2958" t="s" s="2">
        <v>492</v>
      </c>
      <c r="M2958" s="5">
        <v>481778.25</v>
      </c>
      <c r="N2958" s="5">
        <v>6250988.9</v>
      </c>
      <c r="O2958" t="s" s="2">
        <v>305</v>
      </c>
      <c r="P2958" s="5">
        <v>40141256</v>
      </c>
      <c r="Q2958" t="s" s="2">
        <v>5272</v>
      </c>
      <c r="R2958" t="s" s="2">
        <f>_xlfn.IFERROR(INDEX('model_byCAP'!$D$2:$D$377,MATCH(Q2958,'model_byCAP'!$A$2:$A$377,0)),0)</f>
        <v>4861</v>
      </c>
    </row>
    <row r="2959" ht="15.35" customHeight="1">
      <c r="A2959" t="s" s="2">
        <v>5619</v>
      </c>
      <c r="B2959" s="4">
        <v>36577</v>
      </c>
      <c r="C2959" s="5">
        <v>660</v>
      </c>
      <c r="D2959" s="5">
        <v>47</v>
      </c>
      <c r="E2959" s="5">
        <v>50</v>
      </c>
      <c r="F2959" t="s" s="2">
        <v>301</v>
      </c>
      <c r="G2959" t="s" s="2">
        <v>5270</v>
      </c>
      <c r="H2959" s="5">
        <v>661</v>
      </c>
      <c r="I2959" t="s" s="2">
        <v>562</v>
      </c>
      <c r="J2959" t="s" s="2">
        <v>22</v>
      </c>
      <c r="K2959" t="s" s="2">
        <v>5620</v>
      </c>
      <c r="L2959" t="s" s="2">
        <v>2348</v>
      </c>
      <c r="M2959" s="5">
        <v>478733.5</v>
      </c>
      <c r="N2959" s="5">
        <v>6248918.64</v>
      </c>
      <c r="O2959" t="s" s="2">
        <v>305</v>
      </c>
      <c r="P2959" s="5">
        <v>40148298</v>
      </c>
      <c r="Q2959" t="s" s="2">
        <v>5272</v>
      </c>
      <c r="R2959" t="s" s="2">
        <f>_xlfn.IFERROR(INDEX('model_byCAP'!$D$2:$D$377,MATCH(Q2959,'model_byCAP'!$A$2:$A$377,0)),0)</f>
        <v>4861</v>
      </c>
    </row>
    <row r="2960" ht="15.35" customHeight="1">
      <c r="A2960" t="s" s="2">
        <v>5621</v>
      </c>
      <c r="B2960" s="4">
        <v>36748</v>
      </c>
      <c r="C2960" s="5">
        <v>660</v>
      </c>
      <c r="D2960" s="5">
        <v>47</v>
      </c>
      <c r="E2960" s="5">
        <v>50</v>
      </c>
      <c r="F2960" t="s" s="2">
        <v>301</v>
      </c>
      <c r="G2960" t="s" s="2">
        <v>5270</v>
      </c>
      <c r="H2960" s="5">
        <v>661</v>
      </c>
      <c r="I2960" t="s" s="2">
        <v>562</v>
      </c>
      <c r="J2960" t="s" s="2">
        <v>22</v>
      </c>
      <c r="K2960" t="s" s="2">
        <v>3311</v>
      </c>
      <c r="L2960" t="s" s="2">
        <v>447</v>
      </c>
      <c r="M2960" s="5">
        <v>479009.91</v>
      </c>
      <c r="N2960" s="5">
        <v>6248801.13</v>
      </c>
      <c r="O2960" t="s" s="2">
        <v>305</v>
      </c>
      <c r="P2960" s="5">
        <v>40149299</v>
      </c>
      <c r="Q2960" t="s" s="2">
        <v>5272</v>
      </c>
      <c r="R2960" t="s" s="2">
        <f>_xlfn.IFERROR(INDEX('model_byCAP'!$D$2:$D$377,MATCH(Q2960,'model_byCAP'!$A$2:$A$377,0)),0)</f>
        <v>4861</v>
      </c>
    </row>
    <row r="2961" ht="15.35" customHeight="1">
      <c r="A2961" t="s" s="2">
        <v>5622</v>
      </c>
      <c r="B2961" s="4">
        <v>36517</v>
      </c>
      <c r="C2961" s="5">
        <v>660</v>
      </c>
      <c r="D2961" s="5">
        <v>47</v>
      </c>
      <c r="E2961" s="5">
        <v>50</v>
      </c>
      <c r="F2961" t="s" s="2">
        <v>301</v>
      </c>
      <c r="G2961" t="s" s="2">
        <v>5270</v>
      </c>
      <c r="H2961" s="5">
        <v>661</v>
      </c>
      <c r="I2961" t="s" s="2">
        <v>562</v>
      </c>
      <c r="J2961" t="s" s="2">
        <v>22</v>
      </c>
      <c r="K2961" t="s" s="2">
        <v>5620</v>
      </c>
      <c r="L2961" t="s" s="2">
        <v>518</v>
      </c>
      <c r="M2961" s="5">
        <v>478520.59</v>
      </c>
      <c r="N2961" s="5">
        <v>6248707.33</v>
      </c>
      <c r="O2961" t="s" s="2">
        <v>305</v>
      </c>
      <c r="P2961" s="5">
        <v>40150300</v>
      </c>
      <c r="Q2961" t="s" s="2">
        <v>5272</v>
      </c>
      <c r="R2961" t="s" s="2">
        <f>_xlfn.IFERROR(INDEX('model_byCAP'!$D$2:$D$377,MATCH(Q2961,'model_byCAP'!$A$2:$A$377,0)),0)</f>
        <v>4861</v>
      </c>
    </row>
    <row r="2962" ht="15.35" customHeight="1">
      <c r="A2962" t="s" s="2">
        <v>5623</v>
      </c>
      <c r="B2962" s="4">
        <v>36517</v>
      </c>
      <c r="C2962" s="5">
        <v>660</v>
      </c>
      <c r="D2962" s="5">
        <v>47</v>
      </c>
      <c r="E2962" s="5">
        <v>50</v>
      </c>
      <c r="F2962" t="s" s="2">
        <v>301</v>
      </c>
      <c r="G2962" t="s" s="2">
        <v>5270</v>
      </c>
      <c r="H2962" s="5">
        <v>661</v>
      </c>
      <c r="I2962" t="s" s="2">
        <v>562</v>
      </c>
      <c r="J2962" t="s" s="2">
        <v>22</v>
      </c>
      <c r="K2962" t="s" s="2">
        <v>5624</v>
      </c>
      <c r="L2962" t="s" s="2">
        <v>492</v>
      </c>
      <c r="M2962" s="5">
        <v>478797.29</v>
      </c>
      <c r="N2962" s="5">
        <v>6248588.72</v>
      </c>
      <c r="O2962" t="s" s="2">
        <v>305</v>
      </c>
      <c r="P2962" s="5">
        <v>40151301</v>
      </c>
      <c r="Q2962" t="s" s="2">
        <v>5272</v>
      </c>
      <c r="R2962" t="s" s="2">
        <f>_xlfn.IFERROR(INDEX('model_byCAP'!$D$2:$D$377,MATCH(Q2962,'model_byCAP'!$A$2:$A$377,0)),0)</f>
        <v>4861</v>
      </c>
    </row>
    <row r="2963" ht="15.35" customHeight="1">
      <c r="A2963" t="s" s="2">
        <v>5625</v>
      </c>
      <c r="B2963" s="4">
        <v>36306</v>
      </c>
      <c r="C2963" s="5">
        <v>660</v>
      </c>
      <c r="D2963" s="5">
        <v>47</v>
      </c>
      <c r="E2963" s="5">
        <v>40</v>
      </c>
      <c r="F2963" t="s" s="2">
        <v>301</v>
      </c>
      <c r="G2963" t="s" s="2">
        <v>5270</v>
      </c>
      <c r="H2963" s="5">
        <v>671</v>
      </c>
      <c r="I2963" t="s" s="2">
        <v>378</v>
      </c>
      <c r="J2963" t="s" s="2">
        <v>22</v>
      </c>
      <c r="K2963" t="s" s="2">
        <v>5626</v>
      </c>
      <c r="L2963" t="s" s="2">
        <v>864</v>
      </c>
      <c r="M2963" s="5">
        <v>472697.38</v>
      </c>
      <c r="N2963" s="5">
        <v>6281175.24</v>
      </c>
      <c r="O2963" t="s" s="2">
        <v>305</v>
      </c>
      <c r="P2963" s="5">
        <v>160316</v>
      </c>
      <c r="Q2963" t="s" s="2">
        <v>5272</v>
      </c>
      <c r="R2963" t="s" s="2">
        <f>_xlfn.IFERROR(INDEX('model_byCAP'!$D$2:$D$377,MATCH(Q2963,'model_byCAP'!$A$2:$A$377,0)),0)</f>
        <v>4861</v>
      </c>
    </row>
    <row r="2964" ht="15.35" customHeight="1">
      <c r="A2964" t="s" s="2">
        <v>5627</v>
      </c>
      <c r="B2964" s="4">
        <v>36306</v>
      </c>
      <c r="C2964" s="5">
        <v>660</v>
      </c>
      <c r="D2964" s="5">
        <v>47</v>
      </c>
      <c r="E2964" s="5">
        <v>45</v>
      </c>
      <c r="F2964" t="s" s="2">
        <v>301</v>
      </c>
      <c r="G2964" t="s" s="2">
        <v>5270</v>
      </c>
      <c r="H2964" s="5">
        <v>671</v>
      </c>
      <c r="I2964" t="s" s="2">
        <v>378</v>
      </c>
      <c r="J2964" t="s" s="2">
        <v>22</v>
      </c>
      <c r="K2964" t="s" s="2">
        <v>5628</v>
      </c>
      <c r="L2964" t="s" s="2">
        <v>394</v>
      </c>
      <c r="M2964" s="5">
        <v>472894.89</v>
      </c>
      <c r="N2964" s="5">
        <v>6281155.7</v>
      </c>
      <c r="O2964" t="s" s="2">
        <v>305</v>
      </c>
      <c r="P2964" s="5">
        <v>160318</v>
      </c>
      <c r="Q2964" t="s" s="2">
        <v>5272</v>
      </c>
      <c r="R2964" t="s" s="2">
        <f>_xlfn.IFERROR(INDEX('model_byCAP'!$D$2:$D$377,MATCH(Q2964,'model_byCAP'!$A$2:$A$377,0)),0)</f>
        <v>4861</v>
      </c>
    </row>
    <row r="2965" ht="15.35" customHeight="1">
      <c r="A2965" t="s" s="2">
        <v>5629</v>
      </c>
      <c r="B2965" s="4">
        <v>36306</v>
      </c>
      <c r="C2965" s="5">
        <v>660</v>
      </c>
      <c r="D2965" s="5">
        <v>47</v>
      </c>
      <c r="E2965" s="5">
        <v>45</v>
      </c>
      <c r="F2965" t="s" s="2">
        <v>301</v>
      </c>
      <c r="G2965" t="s" s="2">
        <v>5270</v>
      </c>
      <c r="H2965" s="5">
        <v>671</v>
      </c>
      <c r="I2965" t="s" s="2">
        <v>378</v>
      </c>
      <c r="J2965" t="s" s="2">
        <v>22</v>
      </c>
      <c r="K2965" t="s" s="2">
        <v>5630</v>
      </c>
      <c r="L2965" t="s" s="2">
        <v>1055</v>
      </c>
      <c r="M2965" s="5">
        <v>473092.4</v>
      </c>
      <c r="N2965" s="5">
        <v>6281136.16</v>
      </c>
      <c r="O2965" t="s" s="2">
        <v>305</v>
      </c>
      <c r="P2965" s="5">
        <v>160320</v>
      </c>
      <c r="Q2965" t="s" s="2">
        <v>5272</v>
      </c>
      <c r="R2965" t="s" s="2">
        <f>_xlfn.IFERROR(INDEX('model_byCAP'!$D$2:$D$377,MATCH(Q2965,'model_byCAP'!$A$2:$A$377,0)),0)</f>
        <v>4861</v>
      </c>
    </row>
    <row r="2966" ht="15.35" customHeight="1">
      <c r="A2966" t="s" s="2">
        <v>5631</v>
      </c>
      <c r="B2966" s="4">
        <v>36663</v>
      </c>
      <c r="C2966" s="5">
        <v>660</v>
      </c>
      <c r="D2966" s="5">
        <v>47</v>
      </c>
      <c r="E2966" s="5">
        <v>50</v>
      </c>
      <c r="F2966" t="s" s="2">
        <v>301</v>
      </c>
      <c r="G2966" t="s" s="2">
        <v>5270</v>
      </c>
      <c r="H2966" s="5">
        <v>671</v>
      </c>
      <c r="I2966" t="s" s="2">
        <v>378</v>
      </c>
      <c r="J2966" t="s" s="2">
        <v>22</v>
      </c>
      <c r="K2966" t="s" s="2">
        <v>5632</v>
      </c>
      <c r="L2966" t="s" s="2">
        <v>2725</v>
      </c>
      <c r="M2966" s="5">
        <v>466656.83</v>
      </c>
      <c r="N2966" s="5">
        <v>6253190.96</v>
      </c>
      <c r="O2966" t="s" s="2">
        <v>305</v>
      </c>
      <c r="P2966" s="5">
        <v>40146294</v>
      </c>
      <c r="Q2966" t="s" s="2">
        <v>5272</v>
      </c>
      <c r="R2966" t="s" s="2">
        <f>_xlfn.IFERROR(INDEX('model_byCAP'!$D$2:$D$377,MATCH(Q2966,'model_byCAP'!$A$2:$A$377,0)),0)</f>
        <v>4861</v>
      </c>
    </row>
    <row r="2967" ht="15.35" customHeight="1">
      <c r="A2967" t="s" s="2">
        <v>5633</v>
      </c>
      <c r="B2967" s="4">
        <v>36524</v>
      </c>
      <c r="C2967" s="5">
        <v>660</v>
      </c>
      <c r="D2967" s="5">
        <v>47</v>
      </c>
      <c r="E2967" s="5">
        <v>50</v>
      </c>
      <c r="F2967" t="s" s="2">
        <v>301</v>
      </c>
      <c r="G2967" t="s" s="2">
        <v>5270</v>
      </c>
      <c r="H2967" s="5">
        <v>671</v>
      </c>
      <c r="I2967" t="s" s="2">
        <v>378</v>
      </c>
      <c r="J2967" t="s" s="2">
        <v>22</v>
      </c>
      <c r="K2967" t="s" s="2">
        <v>5634</v>
      </c>
      <c r="L2967" t="s" s="2">
        <v>4055</v>
      </c>
      <c r="M2967" s="5">
        <v>466801.97</v>
      </c>
      <c r="N2967" s="5">
        <v>6253492.77</v>
      </c>
      <c r="O2967" t="s" s="2">
        <v>305</v>
      </c>
      <c r="P2967" s="5">
        <v>40146294</v>
      </c>
      <c r="Q2967" t="s" s="2">
        <v>5272</v>
      </c>
      <c r="R2967" t="s" s="2">
        <f>_xlfn.IFERROR(INDEX('model_byCAP'!$D$2:$D$377,MATCH(Q2967,'model_byCAP'!$A$2:$A$377,0)),0)</f>
        <v>4861</v>
      </c>
    </row>
    <row r="2968" ht="15.35" customHeight="1">
      <c r="A2968" t="s" s="2">
        <v>5635</v>
      </c>
      <c r="B2968" s="4">
        <v>36524</v>
      </c>
      <c r="C2968" s="5">
        <v>660</v>
      </c>
      <c r="D2968" s="5">
        <v>47</v>
      </c>
      <c r="E2968" s="5">
        <v>50</v>
      </c>
      <c r="F2968" t="s" s="2">
        <v>301</v>
      </c>
      <c r="G2968" t="s" s="2">
        <v>5270</v>
      </c>
      <c r="H2968" s="5">
        <v>671</v>
      </c>
      <c r="I2968" t="s" s="2">
        <v>378</v>
      </c>
      <c r="J2968" t="s" s="2">
        <v>22</v>
      </c>
      <c r="K2968" t="s" s="2">
        <v>5634</v>
      </c>
      <c r="L2968" t="s" s="2">
        <v>1603</v>
      </c>
      <c r="M2968" s="5">
        <v>466946.59</v>
      </c>
      <c r="N2968" s="5">
        <v>6253794.96</v>
      </c>
      <c r="O2968" t="s" s="2">
        <v>305</v>
      </c>
      <c r="P2968" s="5">
        <v>40146294</v>
      </c>
      <c r="Q2968" t="s" s="2">
        <v>5272</v>
      </c>
      <c r="R2968" t="s" s="2">
        <f>_xlfn.IFERROR(INDEX('model_byCAP'!$D$2:$D$377,MATCH(Q2968,'model_byCAP'!$A$2:$A$377,0)),0)</f>
        <v>4861</v>
      </c>
    </row>
    <row r="2969" ht="15.35" customHeight="1">
      <c r="A2969" t="s" s="2">
        <v>5636</v>
      </c>
      <c r="B2969" s="4">
        <v>36677</v>
      </c>
      <c r="C2969" s="5">
        <v>660</v>
      </c>
      <c r="D2969" s="5">
        <v>47</v>
      </c>
      <c r="E2969" s="5">
        <v>50</v>
      </c>
      <c r="F2969" t="s" s="2">
        <v>301</v>
      </c>
      <c r="G2969" t="s" s="2">
        <v>5270</v>
      </c>
      <c r="H2969" s="5">
        <v>671</v>
      </c>
      <c r="I2969" t="s" s="2">
        <v>378</v>
      </c>
      <c r="J2969" t="s" s="2">
        <v>22</v>
      </c>
      <c r="K2969" t="s" s="2">
        <v>5637</v>
      </c>
      <c r="L2969" t="s" s="2">
        <v>2380</v>
      </c>
      <c r="M2969" s="5">
        <v>481069.87</v>
      </c>
      <c r="N2969" s="5">
        <v>6253882.38</v>
      </c>
      <c r="O2969" t="s" s="2">
        <v>305</v>
      </c>
      <c r="P2969" s="5">
        <v>40155318</v>
      </c>
      <c r="Q2969" t="s" s="2">
        <v>5272</v>
      </c>
      <c r="R2969" t="s" s="2">
        <f>_xlfn.IFERROR(INDEX('model_byCAP'!$D$2:$D$377,MATCH(Q2969,'model_byCAP'!$A$2:$A$377,0)),0)</f>
        <v>4861</v>
      </c>
    </row>
    <row r="2970" ht="15.35" customHeight="1">
      <c r="A2970" t="s" s="2">
        <v>5638</v>
      </c>
      <c r="B2970" s="4">
        <v>36677</v>
      </c>
      <c r="C2970" s="5">
        <v>660</v>
      </c>
      <c r="D2970" s="5">
        <v>47</v>
      </c>
      <c r="E2970" s="5">
        <v>50</v>
      </c>
      <c r="F2970" t="s" s="2">
        <v>301</v>
      </c>
      <c r="G2970" t="s" s="2">
        <v>5270</v>
      </c>
      <c r="H2970" s="5">
        <v>671</v>
      </c>
      <c r="I2970" t="s" s="2">
        <v>378</v>
      </c>
      <c r="J2970" t="s" s="2">
        <v>22</v>
      </c>
      <c r="K2970" t="s" s="2">
        <v>5637</v>
      </c>
      <c r="L2970" t="s" s="2">
        <v>2380</v>
      </c>
      <c r="M2970" s="5">
        <v>481104.32</v>
      </c>
      <c r="N2970" s="5">
        <v>6254036.04</v>
      </c>
      <c r="O2970" t="s" s="2">
        <v>305</v>
      </c>
      <c r="P2970" s="5">
        <v>40155318</v>
      </c>
      <c r="Q2970" t="s" s="2">
        <v>5272</v>
      </c>
      <c r="R2970" t="s" s="2">
        <f>_xlfn.IFERROR(INDEX('model_byCAP'!$D$2:$D$377,MATCH(Q2970,'model_byCAP'!$A$2:$A$377,0)),0)</f>
        <v>4861</v>
      </c>
    </row>
    <row r="2971" ht="15.35" customHeight="1">
      <c r="A2971" t="s" s="2">
        <v>5639</v>
      </c>
      <c r="B2971" s="4">
        <v>36677</v>
      </c>
      <c r="C2971" s="5">
        <v>660</v>
      </c>
      <c r="D2971" s="5">
        <v>47</v>
      </c>
      <c r="E2971" s="5">
        <v>50</v>
      </c>
      <c r="F2971" t="s" s="2">
        <v>301</v>
      </c>
      <c r="G2971" t="s" s="2">
        <v>5270</v>
      </c>
      <c r="H2971" s="5">
        <v>671</v>
      </c>
      <c r="I2971" t="s" s="2">
        <v>378</v>
      </c>
      <c r="J2971" t="s" s="2">
        <v>22</v>
      </c>
      <c r="K2971" t="s" s="2">
        <v>5640</v>
      </c>
      <c r="L2971" t="s" s="2">
        <v>481</v>
      </c>
      <c r="M2971" s="5">
        <v>481136.93</v>
      </c>
      <c r="N2971" s="5">
        <v>6254190.94</v>
      </c>
      <c r="O2971" t="s" s="2">
        <v>305</v>
      </c>
      <c r="P2971" s="5">
        <v>40155318</v>
      </c>
      <c r="Q2971" t="s" s="2">
        <v>5272</v>
      </c>
      <c r="R2971" t="s" s="2">
        <f>_xlfn.IFERROR(INDEX('model_byCAP'!$D$2:$D$377,MATCH(Q2971,'model_byCAP'!$A$2:$A$377,0)),0)</f>
        <v>4861</v>
      </c>
    </row>
    <row r="2972" ht="15.35" customHeight="1">
      <c r="A2972" t="s" s="2">
        <v>5641</v>
      </c>
      <c r="B2972" s="4">
        <v>36139</v>
      </c>
      <c r="C2972" s="5">
        <v>660</v>
      </c>
      <c r="D2972" s="5">
        <v>47</v>
      </c>
      <c r="E2972" s="5">
        <v>45</v>
      </c>
      <c r="F2972" t="s" s="2">
        <v>301</v>
      </c>
      <c r="G2972" t="s" s="2">
        <v>5270</v>
      </c>
      <c r="H2972" s="5">
        <v>710</v>
      </c>
      <c r="I2972" t="s" s="2">
        <v>3630</v>
      </c>
      <c r="J2972" t="s" s="2">
        <v>22</v>
      </c>
      <c r="K2972" t="s" s="2">
        <v>5642</v>
      </c>
      <c r="L2972" t="s" s="2">
        <v>481</v>
      </c>
      <c r="M2972" s="5">
        <v>557042</v>
      </c>
      <c r="N2972" s="5">
        <v>6230387.62</v>
      </c>
      <c r="O2972" t="s" s="2">
        <v>305</v>
      </c>
      <c r="P2972" s="5">
        <v>3100054</v>
      </c>
      <c r="Q2972" t="s" s="2">
        <v>5272</v>
      </c>
      <c r="R2972" t="s" s="2">
        <f>_xlfn.IFERROR(INDEX('model_byCAP'!$D$2:$D$377,MATCH(Q2972,'model_byCAP'!$A$2:$A$377,0)),0)</f>
        <v>4861</v>
      </c>
    </row>
    <row r="2973" ht="15.35" customHeight="1">
      <c r="A2973" t="s" s="2">
        <v>5643</v>
      </c>
      <c r="B2973" s="4">
        <v>36139</v>
      </c>
      <c r="C2973" s="5">
        <v>660</v>
      </c>
      <c r="D2973" s="5">
        <v>47</v>
      </c>
      <c r="E2973" s="5">
        <v>45</v>
      </c>
      <c r="F2973" t="s" s="2">
        <v>301</v>
      </c>
      <c r="G2973" t="s" s="2">
        <v>5270</v>
      </c>
      <c r="H2973" s="5">
        <v>710</v>
      </c>
      <c r="I2973" t="s" s="2">
        <v>3630</v>
      </c>
      <c r="J2973" t="s" s="2">
        <v>22</v>
      </c>
      <c r="K2973" t="s" s="2">
        <v>5642</v>
      </c>
      <c r="L2973" t="s" s="2">
        <v>405</v>
      </c>
      <c r="M2973" s="5">
        <v>557196.71</v>
      </c>
      <c r="N2973" s="5">
        <v>6230353.5</v>
      </c>
      <c r="O2973" t="s" s="2">
        <v>305</v>
      </c>
      <c r="P2973" s="5">
        <v>3100055</v>
      </c>
      <c r="Q2973" t="s" s="2">
        <v>5272</v>
      </c>
      <c r="R2973" t="s" s="2">
        <f>_xlfn.IFERROR(INDEX('model_byCAP'!$D$2:$D$377,MATCH(Q2973,'model_byCAP'!$A$2:$A$377,0)),0)</f>
        <v>4861</v>
      </c>
    </row>
    <row r="2974" ht="15.35" customHeight="1">
      <c r="A2974" t="s" s="2">
        <v>5644</v>
      </c>
      <c r="B2974" s="4">
        <v>36139</v>
      </c>
      <c r="C2974" s="5">
        <v>660</v>
      </c>
      <c r="D2974" s="5">
        <v>47</v>
      </c>
      <c r="E2974" s="5">
        <v>45</v>
      </c>
      <c r="F2974" t="s" s="2">
        <v>301</v>
      </c>
      <c r="G2974" t="s" s="2">
        <v>5270</v>
      </c>
      <c r="H2974" s="5">
        <v>710</v>
      </c>
      <c r="I2974" t="s" s="2">
        <v>3630</v>
      </c>
      <c r="J2974" t="s" s="2">
        <v>22</v>
      </c>
      <c r="K2974" t="s" s="2">
        <v>5642</v>
      </c>
      <c r="L2974" t="s" s="2">
        <v>1165</v>
      </c>
      <c r="M2974" s="5">
        <v>557351.25</v>
      </c>
      <c r="N2974" s="5">
        <v>6230319.12</v>
      </c>
      <c r="O2974" t="s" s="2">
        <v>305</v>
      </c>
      <c r="P2974" s="5">
        <v>3100056</v>
      </c>
      <c r="Q2974" t="s" s="2">
        <v>5272</v>
      </c>
      <c r="R2974" t="s" s="2">
        <f>_xlfn.IFERROR(INDEX('model_byCAP'!$D$2:$D$377,MATCH(Q2974,'model_byCAP'!$A$2:$A$377,0)),0)</f>
        <v>4861</v>
      </c>
    </row>
    <row r="2975" ht="15.35" customHeight="1">
      <c r="A2975" t="s" s="2">
        <v>5645</v>
      </c>
      <c r="B2975" s="4">
        <v>36139</v>
      </c>
      <c r="C2975" s="5">
        <v>660</v>
      </c>
      <c r="D2975" s="5">
        <v>47</v>
      </c>
      <c r="E2975" s="5">
        <v>45</v>
      </c>
      <c r="F2975" t="s" s="2">
        <v>301</v>
      </c>
      <c r="G2975" t="s" s="2">
        <v>5270</v>
      </c>
      <c r="H2975" s="5">
        <v>710</v>
      </c>
      <c r="I2975" t="s" s="2">
        <v>3630</v>
      </c>
      <c r="J2975" t="s" s="2">
        <v>22</v>
      </c>
      <c r="K2975" t="s" s="2">
        <v>5642</v>
      </c>
      <c r="L2975" t="s" s="2">
        <v>1504</v>
      </c>
      <c r="M2975" s="5">
        <v>557506.27</v>
      </c>
      <c r="N2975" s="5">
        <v>6230284.8</v>
      </c>
      <c r="O2975" t="s" s="2">
        <v>305</v>
      </c>
      <c r="P2975" s="5">
        <v>3100057</v>
      </c>
      <c r="Q2975" t="s" s="2">
        <v>5272</v>
      </c>
      <c r="R2975" t="s" s="2">
        <f>_xlfn.IFERROR(INDEX('model_byCAP'!$D$2:$D$377,MATCH(Q2975,'model_byCAP'!$A$2:$A$377,0)),0)</f>
        <v>4861</v>
      </c>
    </row>
    <row r="2976" ht="15.35" customHeight="1">
      <c r="A2976" t="s" s="2">
        <v>5646</v>
      </c>
      <c r="B2976" s="4">
        <v>37512</v>
      </c>
      <c r="C2976" s="5">
        <v>660</v>
      </c>
      <c r="D2976" s="5">
        <v>47</v>
      </c>
      <c r="E2976" s="5">
        <v>45</v>
      </c>
      <c r="F2976" t="s" s="2">
        <v>301</v>
      </c>
      <c r="G2976" t="s" s="2">
        <v>5270</v>
      </c>
      <c r="H2976" s="5">
        <v>710</v>
      </c>
      <c r="I2976" t="s" s="2">
        <v>3630</v>
      </c>
      <c r="J2976" t="s" s="2">
        <v>22</v>
      </c>
      <c r="K2976" t="s" s="2">
        <v>5647</v>
      </c>
      <c r="L2976" t="s" s="2">
        <v>5648</v>
      </c>
      <c r="M2976" s="5">
        <v>552264.23</v>
      </c>
      <c r="N2976" s="5">
        <v>6229023.62</v>
      </c>
      <c r="O2976" t="s" s="2">
        <v>305</v>
      </c>
      <c r="P2976" s="5">
        <v>3115735</v>
      </c>
      <c r="Q2976" t="s" s="2">
        <v>5272</v>
      </c>
      <c r="R2976" t="s" s="2">
        <f>_xlfn.IFERROR(INDEX('model_byCAP'!$D$2:$D$377,MATCH(Q2976,'model_byCAP'!$A$2:$A$377,0)),0)</f>
        <v>4861</v>
      </c>
    </row>
    <row r="2977" ht="15.35" customHeight="1">
      <c r="A2977" t="s" s="2">
        <v>5649</v>
      </c>
      <c r="B2977" s="4">
        <v>36599</v>
      </c>
      <c r="C2977" s="5">
        <v>660</v>
      </c>
      <c r="D2977" s="5">
        <v>47</v>
      </c>
      <c r="E2977" s="5">
        <v>45</v>
      </c>
      <c r="F2977" t="s" s="2">
        <v>301</v>
      </c>
      <c r="G2977" t="s" s="2">
        <v>5270</v>
      </c>
      <c r="H2977" s="5">
        <v>710</v>
      </c>
      <c r="I2977" t="s" s="2">
        <v>3630</v>
      </c>
      <c r="J2977" t="s" s="2">
        <v>22</v>
      </c>
      <c r="K2977" t="s" s="2">
        <v>5647</v>
      </c>
      <c r="L2977" t="s" s="2">
        <v>5650</v>
      </c>
      <c r="M2977" s="5">
        <v>552258.6899999999</v>
      </c>
      <c r="N2977" s="5">
        <v>6229226.1</v>
      </c>
      <c r="O2977" t="s" s="2">
        <v>305</v>
      </c>
      <c r="P2977" s="5">
        <v>3100064</v>
      </c>
      <c r="Q2977" t="s" s="2">
        <v>5272</v>
      </c>
      <c r="R2977" t="s" s="2">
        <f>_xlfn.IFERROR(INDEX('model_byCAP'!$D$2:$D$377,MATCH(Q2977,'model_byCAP'!$A$2:$A$377,0)),0)</f>
        <v>4861</v>
      </c>
    </row>
    <row r="2978" ht="15.35" customHeight="1">
      <c r="A2978" t="s" s="2">
        <v>5651</v>
      </c>
      <c r="B2978" s="4">
        <v>36599</v>
      </c>
      <c r="C2978" s="5">
        <v>660</v>
      </c>
      <c r="D2978" s="5">
        <v>47</v>
      </c>
      <c r="E2978" s="5">
        <v>45</v>
      </c>
      <c r="F2978" t="s" s="2">
        <v>301</v>
      </c>
      <c r="G2978" t="s" s="2">
        <v>5270</v>
      </c>
      <c r="H2978" s="5">
        <v>710</v>
      </c>
      <c r="I2978" t="s" s="2">
        <v>3630</v>
      </c>
      <c r="J2978" t="s" s="2">
        <v>22</v>
      </c>
      <c r="K2978" t="s" s="2">
        <v>5647</v>
      </c>
      <c r="L2978" t="s" s="2">
        <v>1258</v>
      </c>
      <c r="M2978" s="5">
        <v>552251.3</v>
      </c>
      <c r="N2978" s="5">
        <v>6229429.25</v>
      </c>
      <c r="O2978" t="s" s="2">
        <v>305</v>
      </c>
      <c r="P2978" s="5">
        <v>3100064</v>
      </c>
      <c r="Q2978" t="s" s="2">
        <v>5272</v>
      </c>
      <c r="R2978" t="s" s="2">
        <f>_xlfn.IFERROR(INDEX('model_byCAP'!$D$2:$D$377,MATCH(Q2978,'model_byCAP'!$A$2:$A$377,0)),0)</f>
        <v>4861</v>
      </c>
    </row>
    <row r="2979" ht="15.35" customHeight="1">
      <c r="A2979" t="s" s="2">
        <v>5652</v>
      </c>
      <c r="B2979" s="4">
        <v>36599</v>
      </c>
      <c r="C2979" s="5">
        <v>660</v>
      </c>
      <c r="D2979" s="5">
        <v>47</v>
      </c>
      <c r="E2979" s="5">
        <v>45</v>
      </c>
      <c r="F2979" t="s" s="2">
        <v>301</v>
      </c>
      <c r="G2979" t="s" s="2">
        <v>5270</v>
      </c>
      <c r="H2979" s="5">
        <v>710</v>
      </c>
      <c r="I2979" t="s" s="2">
        <v>3630</v>
      </c>
      <c r="J2979" t="s" s="2">
        <v>22</v>
      </c>
      <c r="K2979" t="s" s="2">
        <v>5647</v>
      </c>
      <c r="L2979" t="s" s="2">
        <v>1258</v>
      </c>
      <c r="M2979" s="5">
        <v>552245.0699999999</v>
      </c>
      <c r="N2979" s="5">
        <v>6229632.25</v>
      </c>
      <c r="O2979" t="s" s="2">
        <v>305</v>
      </c>
      <c r="P2979" s="5">
        <v>3100065</v>
      </c>
      <c r="Q2979" t="s" s="2">
        <v>5272</v>
      </c>
      <c r="R2979" t="s" s="2">
        <f>_xlfn.IFERROR(INDEX('model_byCAP'!$D$2:$D$377,MATCH(Q2979,'model_byCAP'!$A$2:$A$377,0)),0)</f>
        <v>4861</v>
      </c>
    </row>
    <row r="2980" ht="15.35" customHeight="1">
      <c r="A2980" t="s" s="2">
        <v>5653</v>
      </c>
      <c r="B2980" s="4">
        <v>36516</v>
      </c>
      <c r="C2980" s="5">
        <v>660</v>
      </c>
      <c r="D2980" s="5">
        <v>47</v>
      </c>
      <c r="E2980" s="5">
        <v>50</v>
      </c>
      <c r="F2980" t="s" s="2">
        <v>301</v>
      </c>
      <c r="G2980" t="s" s="2">
        <v>5270</v>
      </c>
      <c r="H2980" s="5">
        <v>727</v>
      </c>
      <c r="I2980" t="s" s="2">
        <v>2452</v>
      </c>
      <c r="J2980" t="s" s="2">
        <v>22</v>
      </c>
      <c r="K2980" t="s" s="2">
        <v>5654</v>
      </c>
      <c r="L2980" t="s" s="2">
        <v>481</v>
      </c>
      <c r="M2980" s="5">
        <v>576895.8199999999</v>
      </c>
      <c r="N2980" s="5">
        <v>6197170.61</v>
      </c>
      <c r="O2980" t="s" s="2">
        <v>305</v>
      </c>
      <c r="P2980" s="5">
        <v>90030</v>
      </c>
      <c r="Q2980" t="s" s="2">
        <v>5272</v>
      </c>
      <c r="R2980" t="s" s="2">
        <f>_xlfn.IFERROR(INDEX('model_byCAP'!$D$2:$D$377,MATCH(Q2980,'model_byCAP'!$A$2:$A$377,0)),0)</f>
        <v>4861</v>
      </c>
    </row>
    <row r="2981" ht="15.35" customHeight="1">
      <c r="A2981" t="s" s="2">
        <v>5655</v>
      </c>
      <c r="B2981" s="4">
        <v>36150</v>
      </c>
      <c r="C2981" s="5">
        <v>660</v>
      </c>
      <c r="D2981" s="5">
        <v>47</v>
      </c>
      <c r="E2981" s="5">
        <v>45</v>
      </c>
      <c r="F2981" t="s" s="2">
        <v>301</v>
      </c>
      <c r="G2981" t="s" s="2">
        <v>5270</v>
      </c>
      <c r="H2981" s="5">
        <v>730</v>
      </c>
      <c r="I2981" t="s" s="2">
        <v>843</v>
      </c>
      <c r="J2981" t="s" s="2">
        <v>22</v>
      </c>
      <c r="K2981" t="s" s="2">
        <v>5656</v>
      </c>
      <c r="L2981" t="s" s="2">
        <v>4834</v>
      </c>
      <c r="M2981" s="5">
        <v>573746.38</v>
      </c>
      <c r="N2981" s="5">
        <v>6277853.2</v>
      </c>
      <c r="O2981" t="s" s="2">
        <v>305</v>
      </c>
      <c r="P2981" s="5">
        <v>95131</v>
      </c>
      <c r="Q2981" t="s" s="2">
        <v>5272</v>
      </c>
      <c r="R2981" t="s" s="2">
        <f>_xlfn.IFERROR(INDEX('model_byCAP'!$D$2:$D$377,MATCH(Q2981,'model_byCAP'!$A$2:$A$377,0)),0)</f>
        <v>4861</v>
      </c>
    </row>
    <row r="2982" ht="15.35" customHeight="1">
      <c r="A2982" t="s" s="2">
        <v>5657</v>
      </c>
      <c r="B2982" s="4">
        <v>36150</v>
      </c>
      <c r="C2982" s="5">
        <v>660</v>
      </c>
      <c r="D2982" s="5">
        <v>47</v>
      </c>
      <c r="E2982" s="5">
        <v>45</v>
      </c>
      <c r="F2982" t="s" s="2">
        <v>301</v>
      </c>
      <c r="G2982" t="s" s="2">
        <v>5270</v>
      </c>
      <c r="H2982" s="5">
        <v>730</v>
      </c>
      <c r="I2982" t="s" s="2">
        <v>843</v>
      </c>
      <c r="J2982" t="s" s="2">
        <v>22</v>
      </c>
      <c r="K2982" t="s" s="2">
        <v>5656</v>
      </c>
      <c r="L2982" t="s" s="2">
        <v>1611</v>
      </c>
      <c r="M2982" s="5">
        <v>573672.4</v>
      </c>
      <c r="N2982" s="5">
        <v>6277670.6</v>
      </c>
      <c r="O2982" t="s" s="2">
        <v>305</v>
      </c>
      <c r="P2982" s="5">
        <v>95131</v>
      </c>
      <c r="Q2982" t="s" s="2">
        <v>5272</v>
      </c>
      <c r="R2982" t="s" s="2">
        <f>_xlfn.IFERROR(INDEX('model_byCAP'!$D$2:$D$377,MATCH(Q2982,'model_byCAP'!$A$2:$A$377,0)),0)</f>
        <v>4861</v>
      </c>
    </row>
    <row r="2983" ht="15.35" customHeight="1">
      <c r="A2983" t="s" s="2">
        <v>5658</v>
      </c>
      <c r="B2983" s="4">
        <v>36150</v>
      </c>
      <c r="C2983" s="5">
        <v>660</v>
      </c>
      <c r="D2983" s="5">
        <v>47</v>
      </c>
      <c r="E2983" s="5">
        <v>45</v>
      </c>
      <c r="F2983" t="s" s="2">
        <v>301</v>
      </c>
      <c r="G2983" t="s" s="2">
        <v>5270</v>
      </c>
      <c r="H2983" s="5">
        <v>730</v>
      </c>
      <c r="I2983" t="s" s="2">
        <v>843</v>
      </c>
      <c r="J2983" t="s" s="2">
        <v>22</v>
      </c>
      <c r="K2983" t="s" s="2">
        <v>5656</v>
      </c>
      <c r="L2983" t="s" s="2">
        <v>5659</v>
      </c>
      <c r="M2983" s="5">
        <v>573598.49</v>
      </c>
      <c r="N2983" s="5">
        <v>6277487.51</v>
      </c>
      <c r="O2983" t="s" s="2">
        <v>305</v>
      </c>
      <c r="P2983" s="5">
        <v>95131</v>
      </c>
      <c r="Q2983" t="s" s="2">
        <v>5272</v>
      </c>
      <c r="R2983" t="s" s="2">
        <f>_xlfn.IFERROR(INDEX('model_byCAP'!$D$2:$D$377,MATCH(Q2983,'model_byCAP'!$A$2:$A$377,0)),0)</f>
        <v>4861</v>
      </c>
    </row>
    <row r="2984" ht="15.35" customHeight="1">
      <c r="A2984" t="s" s="2">
        <v>5660</v>
      </c>
      <c r="B2984" s="4">
        <v>36150</v>
      </c>
      <c r="C2984" s="5">
        <v>660</v>
      </c>
      <c r="D2984" s="5">
        <v>47</v>
      </c>
      <c r="E2984" s="5">
        <v>45</v>
      </c>
      <c r="F2984" t="s" s="2">
        <v>301</v>
      </c>
      <c r="G2984" t="s" s="2">
        <v>5270</v>
      </c>
      <c r="H2984" s="5">
        <v>730</v>
      </c>
      <c r="I2984" t="s" s="2">
        <v>843</v>
      </c>
      <c r="J2984" t="s" s="2">
        <v>22</v>
      </c>
      <c r="K2984" t="s" s="2">
        <v>5656</v>
      </c>
      <c r="L2984" t="s" s="2">
        <v>5661</v>
      </c>
      <c r="M2984" s="5">
        <v>573938.92</v>
      </c>
      <c r="N2984" s="5">
        <v>6277851.19</v>
      </c>
      <c r="O2984" t="s" s="2">
        <v>305</v>
      </c>
      <c r="P2984" s="5">
        <v>95131</v>
      </c>
      <c r="Q2984" t="s" s="2">
        <v>5272</v>
      </c>
      <c r="R2984" t="s" s="2">
        <f>_xlfn.IFERROR(INDEX('model_byCAP'!$D$2:$D$377,MATCH(Q2984,'model_byCAP'!$A$2:$A$377,0)),0)</f>
        <v>4861</v>
      </c>
    </row>
    <row r="2985" ht="15.35" customHeight="1">
      <c r="A2985" t="s" s="2">
        <v>5662</v>
      </c>
      <c r="B2985" s="4">
        <v>36150</v>
      </c>
      <c r="C2985" s="5">
        <v>660</v>
      </c>
      <c r="D2985" s="5">
        <v>47</v>
      </c>
      <c r="E2985" s="5">
        <v>45</v>
      </c>
      <c r="F2985" t="s" s="2">
        <v>301</v>
      </c>
      <c r="G2985" t="s" s="2">
        <v>5270</v>
      </c>
      <c r="H2985" s="5">
        <v>730</v>
      </c>
      <c r="I2985" t="s" s="2">
        <v>843</v>
      </c>
      <c r="J2985" t="s" s="2">
        <v>22</v>
      </c>
      <c r="K2985" t="s" s="2">
        <v>5656</v>
      </c>
      <c r="L2985" t="s" s="2">
        <v>5663</v>
      </c>
      <c r="M2985" s="5">
        <v>573861.33</v>
      </c>
      <c r="N2985" s="5">
        <v>6277660.82</v>
      </c>
      <c r="O2985" t="s" s="2">
        <v>305</v>
      </c>
      <c r="P2985" s="5">
        <v>95131</v>
      </c>
      <c r="Q2985" t="s" s="2">
        <v>5272</v>
      </c>
      <c r="R2985" t="s" s="2">
        <f>_xlfn.IFERROR(INDEX('model_byCAP'!$D$2:$D$377,MATCH(Q2985,'model_byCAP'!$A$2:$A$377,0)),0)</f>
        <v>4861</v>
      </c>
    </row>
    <row r="2986" ht="15.35" customHeight="1">
      <c r="A2986" t="s" s="2">
        <v>5664</v>
      </c>
      <c r="B2986" s="4">
        <v>36700</v>
      </c>
      <c r="C2986" s="5">
        <v>660</v>
      </c>
      <c r="D2986" s="5">
        <v>45</v>
      </c>
      <c r="E2986" s="5">
        <v>0.1</v>
      </c>
      <c r="F2986" t="s" s="2">
        <v>301</v>
      </c>
      <c r="G2986" t="s" s="2">
        <v>5270</v>
      </c>
      <c r="H2986" s="5">
        <v>740</v>
      </c>
      <c r="I2986" t="s" s="2">
        <v>899</v>
      </c>
      <c r="J2986" t="s" s="2">
        <v>22</v>
      </c>
      <c r="K2986" t="s" s="2">
        <v>5665</v>
      </c>
      <c r="L2986" t="s" s="2">
        <v>481</v>
      </c>
      <c r="M2986" s="5">
        <v>539273.5600000001</v>
      </c>
      <c r="N2986" s="5">
        <v>6232270.64</v>
      </c>
      <c r="O2986" t="s" s="2">
        <v>305</v>
      </c>
      <c r="P2986" s="5">
        <v>3080295</v>
      </c>
      <c r="Q2986" t="s" s="2">
        <v>5272</v>
      </c>
      <c r="R2986" t="s" s="2">
        <f>_xlfn.IFERROR(INDEX('model_byCAP'!$D$2:$D$377,MATCH(Q2986,'model_byCAP'!$A$2:$A$377,0)),0)</f>
        <v>4861</v>
      </c>
    </row>
    <row r="2987" ht="15.35" customHeight="1">
      <c r="A2987" t="s" s="2">
        <v>5666</v>
      </c>
      <c r="B2987" s="4">
        <v>36700</v>
      </c>
      <c r="C2987" s="5">
        <v>660</v>
      </c>
      <c r="D2987" s="5">
        <v>45</v>
      </c>
      <c r="E2987" s="5">
        <v>0.1</v>
      </c>
      <c r="F2987" t="s" s="2">
        <v>301</v>
      </c>
      <c r="G2987" t="s" s="2">
        <v>5270</v>
      </c>
      <c r="H2987" s="5">
        <v>740</v>
      </c>
      <c r="I2987" t="s" s="2">
        <v>899</v>
      </c>
      <c r="J2987" t="s" s="2">
        <v>22</v>
      </c>
      <c r="K2987" t="s" s="2">
        <v>5665</v>
      </c>
      <c r="L2987" t="s" s="2">
        <v>2078</v>
      </c>
      <c r="M2987" s="5">
        <v>539228.5699999999</v>
      </c>
      <c r="N2987" s="5">
        <v>6232496.6</v>
      </c>
      <c r="O2987" t="s" s="2">
        <v>305</v>
      </c>
      <c r="P2987" s="5">
        <v>3080296</v>
      </c>
      <c r="Q2987" t="s" s="2">
        <v>5272</v>
      </c>
      <c r="R2987" t="s" s="2">
        <f>_xlfn.IFERROR(INDEX('model_byCAP'!$D$2:$D$377,MATCH(Q2987,'model_byCAP'!$A$2:$A$377,0)),0)</f>
        <v>4861</v>
      </c>
    </row>
    <row r="2988" ht="15.35" customHeight="1">
      <c r="A2988" t="s" s="2">
        <v>5667</v>
      </c>
      <c r="B2988" s="4">
        <v>36700</v>
      </c>
      <c r="C2988" s="5">
        <v>660</v>
      </c>
      <c r="D2988" s="5">
        <v>45</v>
      </c>
      <c r="E2988" s="5">
        <v>45</v>
      </c>
      <c r="F2988" t="s" s="2">
        <v>301</v>
      </c>
      <c r="G2988" t="s" s="2">
        <v>5270</v>
      </c>
      <c r="H2988" s="5">
        <v>740</v>
      </c>
      <c r="I2988" t="s" s="2">
        <v>899</v>
      </c>
      <c r="J2988" t="s" s="2">
        <v>22</v>
      </c>
      <c r="K2988" t="s" s="2">
        <v>5665</v>
      </c>
      <c r="L2988" t="s" s="2">
        <v>582</v>
      </c>
      <c r="M2988" s="5">
        <v>539183.58</v>
      </c>
      <c r="N2988" s="5">
        <v>6232721.31</v>
      </c>
      <c r="O2988" t="s" s="2">
        <v>305</v>
      </c>
      <c r="P2988" s="5">
        <v>3080297</v>
      </c>
      <c r="Q2988" t="s" s="2">
        <v>5272</v>
      </c>
      <c r="R2988" t="s" s="2">
        <f>_xlfn.IFERROR(INDEX('model_byCAP'!$D$2:$D$377,MATCH(Q2988,'model_byCAP'!$A$2:$A$377,0)),0)</f>
        <v>4861</v>
      </c>
    </row>
    <row r="2989" ht="15.35" customHeight="1">
      <c r="A2989" t="s" s="2">
        <v>5668</v>
      </c>
      <c r="B2989" s="4">
        <v>36426</v>
      </c>
      <c r="C2989" s="5">
        <v>660</v>
      </c>
      <c r="D2989" s="5">
        <v>47</v>
      </c>
      <c r="E2989" s="5">
        <v>45</v>
      </c>
      <c r="F2989" t="s" s="2">
        <v>301</v>
      </c>
      <c r="G2989" t="s" s="2">
        <v>5270</v>
      </c>
      <c r="H2989" s="5">
        <v>746</v>
      </c>
      <c r="I2989" t="s" s="2">
        <v>902</v>
      </c>
      <c r="J2989" t="s" s="2">
        <v>22</v>
      </c>
      <c r="K2989" t="s" s="2">
        <v>5669</v>
      </c>
      <c r="L2989" t="s" s="2">
        <v>1258</v>
      </c>
      <c r="M2989" s="5">
        <v>557950.28</v>
      </c>
      <c r="N2989" s="5">
        <v>6215761.74</v>
      </c>
      <c r="O2989" t="s" s="2">
        <v>305</v>
      </c>
      <c r="P2989" s="5">
        <v>90028</v>
      </c>
      <c r="Q2989" t="s" s="2">
        <v>5272</v>
      </c>
      <c r="R2989" t="s" s="2">
        <f>_xlfn.IFERROR(INDEX('model_byCAP'!$D$2:$D$377,MATCH(Q2989,'model_byCAP'!$A$2:$A$377,0)),0)</f>
        <v>4861</v>
      </c>
    </row>
    <row r="2990" ht="15.35" customHeight="1">
      <c r="A2990" t="s" s="2">
        <v>5670</v>
      </c>
      <c r="B2990" s="4">
        <v>36516</v>
      </c>
      <c r="C2990" s="5">
        <v>660</v>
      </c>
      <c r="D2990" s="5">
        <v>47</v>
      </c>
      <c r="E2990" s="5">
        <v>45</v>
      </c>
      <c r="F2990" t="s" s="2">
        <v>301</v>
      </c>
      <c r="G2990" t="s" s="2">
        <v>5270</v>
      </c>
      <c r="H2990" s="5">
        <v>746</v>
      </c>
      <c r="I2990" t="s" s="2">
        <v>902</v>
      </c>
      <c r="J2990" t="s" s="2">
        <v>22</v>
      </c>
      <c r="K2990" t="s" s="2">
        <v>5669</v>
      </c>
      <c r="L2990" t="s" s="2">
        <v>850</v>
      </c>
      <c r="M2990" s="5">
        <v>557808.33</v>
      </c>
      <c r="N2990" s="5">
        <v>6215924.34</v>
      </c>
      <c r="O2990" t="s" s="2">
        <v>305</v>
      </c>
      <c r="P2990" s="5">
        <v>90028</v>
      </c>
      <c r="Q2990" t="s" s="2">
        <v>5272</v>
      </c>
      <c r="R2990" t="s" s="2">
        <f>_xlfn.IFERROR(INDEX('model_byCAP'!$D$2:$D$377,MATCH(Q2990,'model_byCAP'!$A$2:$A$377,0)),0)</f>
        <v>4861</v>
      </c>
    </row>
    <row r="2991" ht="15.35" customHeight="1">
      <c r="A2991" t="s" s="2">
        <v>5671</v>
      </c>
      <c r="B2991" s="4">
        <v>36427</v>
      </c>
      <c r="C2991" s="5">
        <v>660</v>
      </c>
      <c r="D2991" s="5">
        <v>47</v>
      </c>
      <c r="E2991" s="5">
        <v>45</v>
      </c>
      <c r="F2991" t="s" s="2">
        <v>301</v>
      </c>
      <c r="G2991" t="s" s="2">
        <v>5270</v>
      </c>
      <c r="H2991" s="5">
        <v>746</v>
      </c>
      <c r="I2991" t="s" s="2">
        <v>902</v>
      </c>
      <c r="J2991" t="s" s="2">
        <v>22</v>
      </c>
      <c r="K2991" t="s" s="2">
        <v>5672</v>
      </c>
      <c r="L2991" t="s" s="2">
        <v>582</v>
      </c>
      <c r="M2991" s="5">
        <v>554951.46</v>
      </c>
      <c r="N2991" s="5">
        <v>6214301.42</v>
      </c>
      <c r="O2991" t="s" s="2">
        <v>305</v>
      </c>
      <c r="P2991" s="5">
        <v>90029</v>
      </c>
      <c r="Q2991" t="s" s="2">
        <v>5272</v>
      </c>
      <c r="R2991" t="s" s="2">
        <f>_xlfn.IFERROR(INDEX('model_byCAP'!$D$2:$D$377,MATCH(Q2991,'model_byCAP'!$A$2:$A$377,0)),0)</f>
        <v>4861</v>
      </c>
    </row>
    <row r="2992" ht="15.35" customHeight="1">
      <c r="A2992" t="s" s="2">
        <v>5673</v>
      </c>
      <c r="B2992" s="4">
        <v>36427</v>
      </c>
      <c r="C2992" s="5">
        <v>660</v>
      </c>
      <c r="D2992" s="5">
        <v>47</v>
      </c>
      <c r="E2992" s="5">
        <v>45</v>
      </c>
      <c r="F2992" t="s" s="2">
        <v>301</v>
      </c>
      <c r="G2992" t="s" s="2">
        <v>5270</v>
      </c>
      <c r="H2992" s="5">
        <v>746</v>
      </c>
      <c r="I2992" t="s" s="2">
        <v>902</v>
      </c>
      <c r="J2992" t="s" s="2">
        <v>22</v>
      </c>
      <c r="K2992" t="s" s="2">
        <v>5674</v>
      </c>
      <c r="L2992" t="s" s="2">
        <v>481</v>
      </c>
      <c r="M2992" s="5">
        <v>554902.3</v>
      </c>
      <c r="N2992" s="5">
        <v>6214531.27</v>
      </c>
      <c r="O2992" t="s" s="2">
        <v>305</v>
      </c>
      <c r="P2992" s="5">
        <v>90029</v>
      </c>
      <c r="Q2992" t="s" s="2">
        <v>5272</v>
      </c>
      <c r="R2992" t="s" s="2">
        <f>_xlfn.IFERROR(INDEX('model_byCAP'!$D$2:$D$377,MATCH(Q2992,'model_byCAP'!$A$2:$A$377,0)),0)</f>
        <v>4861</v>
      </c>
    </row>
    <row r="2993" ht="15.35" customHeight="1">
      <c r="A2993" t="s" s="2">
        <v>5675</v>
      </c>
      <c r="B2993" s="4">
        <v>36427</v>
      </c>
      <c r="C2993" s="5">
        <v>660</v>
      </c>
      <c r="D2993" s="5">
        <v>47</v>
      </c>
      <c r="E2993" s="5">
        <v>43.7</v>
      </c>
      <c r="F2993" t="s" s="2">
        <v>301</v>
      </c>
      <c r="G2993" t="s" s="2">
        <v>5270</v>
      </c>
      <c r="H2993" s="5">
        <v>746</v>
      </c>
      <c r="I2993" t="s" s="2">
        <v>902</v>
      </c>
      <c r="J2993" t="s" s="2">
        <v>22</v>
      </c>
      <c r="K2993" t="s" s="2">
        <v>5676</v>
      </c>
      <c r="L2993" t="s" s="2">
        <v>2994</v>
      </c>
      <c r="M2993" s="5">
        <v>554852.52</v>
      </c>
      <c r="N2993" s="5">
        <v>6214761.16</v>
      </c>
      <c r="O2993" t="s" s="2">
        <v>305</v>
      </c>
      <c r="P2993" s="5">
        <v>90029</v>
      </c>
      <c r="Q2993" t="s" s="2">
        <v>5272</v>
      </c>
      <c r="R2993" t="s" s="2">
        <f>_xlfn.IFERROR(INDEX('model_byCAP'!$D$2:$D$377,MATCH(Q2993,'model_byCAP'!$A$2:$A$377,0)),0)</f>
        <v>4861</v>
      </c>
    </row>
    <row r="2994" ht="15.35" customHeight="1">
      <c r="A2994" t="s" s="2">
        <v>5677</v>
      </c>
      <c r="B2994" s="4">
        <v>37341</v>
      </c>
      <c r="C2994" s="5">
        <v>660</v>
      </c>
      <c r="D2994" s="5">
        <v>47</v>
      </c>
      <c r="E2994" s="5">
        <v>45</v>
      </c>
      <c r="F2994" t="s" s="2">
        <v>301</v>
      </c>
      <c r="G2994" t="s" s="2">
        <v>5270</v>
      </c>
      <c r="H2994" s="5">
        <v>746</v>
      </c>
      <c r="I2994" t="s" s="2">
        <v>902</v>
      </c>
      <c r="J2994" t="s" s="2">
        <v>22</v>
      </c>
      <c r="K2994" t="s" s="2">
        <v>5669</v>
      </c>
      <c r="L2994" t="s" s="2">
        <v>3292</v>
      </c>
      <c r="M2994" s="5">
        <v>557667.87</v>
      </c>
      <c r="N2994" s="5">
        <v>6216086.52</v>
      </c>
      <c r="O2994" t="s" s="2">
        <v>305</v>
      </c>
      <c r="P2994" s="5">
        <v>90049</v>
      </c>
      <c r="Q2994" t="s" s="2">
        <v>5272</v>
      </c>
      <c r="R2994" t="s" s="2">
        <f>_xlfn.IFERROR(INDEX('model_byCAP'!$D$2:$D$377,MATCH(Q2994,'model_byCAP'!$A$2:$A$377,0)),0)</f>
        <v>4861</v>
      </c>
    </row>
    <row r="2995" ht="15.35" customHeight="1">
      <c r="A2995" t="s" s="2">
        <v>5678</v>
      </c>
      <c r="B2995" s="4">
        <v>36784</v>
      </c>
      <c r="C2995" s="5">
        <v>660</v>
      </c>
      <c r="D2995" s="5">
        <v>47</v>
      </c>
      <c r="E2995" s="5">
        <v>40</v>
      </c>
      <c r="F2995" t="s" s="2">
        <v>301</v>
      </c>
      <c r="G2995" t="s" s="2">
        <v>5270</v>
      </c>
      <c r="H2995" s="5">
        <v>751</v>
      </c>
      <c r="I2995" t="s" s="2">
        <v>4849</v>
      </c>
      <c r="J2995" t="s" s="2">
        <v>22</v>
      </c>
      <c r="K2995" t="s" s="2">
        <v>5679</v>
      </c>
      <c r="L2995" t="s" s="2">
        <v>518</v>
      </c>
      <c r="M2995" s="5">
        <v>576128.77</v>
      </c>
      <c r="N2995" s="5">
        <v>6239179.74</v>
      </c>
      <c r="O2995" t="s" s="2">
        <v>305</v>
      </c>
      <c r="P2995" s="5">
        <v>259849</v>
      </c>
      <c r="Q2995" t="s" s="2">
        <v>5272</v>
      </c>
      <c r="R2995" t="s" s="2">
        <f>_xlfn.IFERROR(INDEX('model_byCAP'!$D$2:$D$377,MATCH(Q2995,'model_byCAP'!$A$2:$A$377,0)),0)</f>
        <v>4861</v>
      </c>
    </row>
    <row r="2996" ht="15.35" customHeight="1">
      <c r="A2996" t="s" s="2">
        <v>5680</v>
      </c>
      <c r="B2996" s="4">
        <v>36784</v>
      </c>
      <c r="C2996" s="5">
        <v>660</v>
      </c>
      <c r="D2996" s="5">
        <v>47</v>
      </c>
      <c r="E2996" s="5">
        <v>40</v>
      </c>
      <c r="F2996" t="s" s="2">
        <v>301</v>
      </c>
      <c r="G2996" t="s" s="2">
        <v>5270</v>
      </c>
      <c r="H2996" s="5">
        <v>751</v>
      </c>
      <c r="I2996" t="s" s="2">
        <v>4849</v>
      </c>
      <c r="J2996" t="s" s="2">
        <v>22</v>
      </c>
      <c r="K2996" t="s" s="2">
        <v>5679</v>
      </c>
      <c r="L2996" t="s" s="2">
        <v>518</v>
      </c>
      <c r="M2996" s="5">
        <v>576067.1800000001</v>
      </c>
      <c r="N2996" s="5">
        <v>6239359.25</v>
      </c>
      <c r="O2996" t="s" s="2">
        <v>305</v>
      </c>
      <c r="P2996" s="5">
        <v>259849</v>
      </c>
      <c r="Q2996" t="s" s="2">
        <v>5272</v>
      </c>
      <c r="R2996" t="s" s="2">
        <f>_xlfn.IFERROR(INDEX('model_byCAP'!$D$2:$D$377,MATCH(Q2996,'model_byCAP'!$A$2:$A$377,0)),0)</f>
        <v>4861</v>
      </c>
    </row>
    <row r="2997" ht="15.35" customHeight="1">
      <c r="A2997" t="s" s="2">
        <v>5681</v>
      </c>
      <c r="B2997" s="4">
        <v>36873</v>
      </c>
      <c r="C2997" s="5">
        <v>660</v>
      </c>
      <c r="D2997" s="5">
        <v>47</v>
      </c>
      <c r="E2997" s="5">
        <v>40</v>
      </c>
      <c r="F2997" t="s" s="2">
        <v>301</v>
      </c>
      <c r="G2997" t="s" s="2">
        <v>5270</v>
      </c>
      <c r="H2997" s="5">
        <v>751</v>
      </c>
      <c r="I2997" t="s" s="2">
        <v>4849</v>
      </c>
      <c r="J2997" t="s" s="2">
        <v>22</v>
      </c>
      <c r="K2997" t="s" s="2">
        <v>5679</v>
      </c>
      <c r="L2997" t="s" s="2">
        <v>3393</v>
      </c>
      <c r="M2997" s="5">
        <v>576006.42</v>
      </c>
      <c r="N2997" s="5">
        <v>6239538.91</v>
      </c>
      <c r="O2997" t="s" s="2">
        <v>305</v>
      </c>
      <c r="P2997" s="5">
        <v>259849</v>
      </c>
      <c r="Q2997" t="s" s="2">
        <v>5272</v>
      </c>
      <c r="R2997" t="s" s="2">
        <f>_xlfn.IFERROR(INDEX('model_byCAP'!$D$2:$D$377,MATCH(Q2997,'model_byCAP'!$A$2:$A$377,0)),0)</f>
        <v>4861</v>
      </c>
    </row>
    <row r="2998" ht="15.35" customHeight="1">
      <c r="A2998" t="s" s="2">
        <v>5682</v>
      </c>
      <c r="B2998" s="4">
        <v>36784</v>
      </c>
      <c r="C2998" s="5">
        <v>660</v>
      </c>
      <c r="D2998" s="5">
        <v>47</v>
      </c>
      <c r="E2998" s="5">
        <v>40</v>
      </c>
      <c r="F2998" t="s" s="2">
        <v>301</v>
      </c>
      <c r="G2998" t="s" s="2">
        <v>5270</v>
      </c>
      <c r="H2998" s="5">
        <v>751</v>
      </c>
      <c r="I2998" t="s" s="2">
        <v>4849</v>
      </c>
      <c r="J2998" t="s" s="2">
        <v>22</v>
      </c>
      <c r="K2998" t="s" s="2">
        <v>5679</v>
      </c>
      <c r="L2998" t="s" s="2">
        <v>3393</v>
      </c>
      <c r="M2998" s="5">
        <v>575944.9300000001</v>
      </c>
      <c r="N2998" s="5">
        <v>6239718.68</v>
      </c>
      <c r="O2998" t="s" s="2">
        <v>305</v>
      </c>
      <c r="P2998" s="5">
        <v>259849</v>
      </c>
      <c r="Q2998" t="s" s="2">
        <v>5272</v>
      </c>
      <c r="R2998" t="s" s="2">
        <f>_xlfn.IFERROR(INDEX('model_byCAP'!$D$2:$D$377,MATCH(Q2998,'model_byCAP'!$A$2:$A$377,0)),0)</f>
        <v>4861</v>
      </c>
    </row>
    <row r="2999" ht="15.35" customHeight="1">
      <c r="A2999" t="s" s="2">
        <v>5683</v>
      </c>
      <c r="B2999" s="4">
        <v>36784</v>
      </c>
      <c r="C2999" s="5">
        <v>660</v>
      </c>
      <c r="D2999" s="5">
        <v>47</v>
      </c>
      <c r="E2999" s="5">
        <v>40</v>
      </c>
      <c r="F2999" t="s" s="2">
        <v>301</v>
      </c>
      <c r="G2999" t="s" s="2">
        <v>5270</v>
      </c>
      <c r="H2999" s="5">
        <v>751</v>
      </c>
      <c r="I2999" t="s" s="2">
        <v>4849</v>
      </c>
      <c r="J2999" t="s" s="2">
        <v>22</v>
      </c>
      <c r="K2999" t="s" s="2">
        <v>5684</v>
      </c>
      <c r="L2999" t="s" s="2">
        <v>1161</v>
      </c>
      <c r="M2999" s="5">
        <v>575885.22</v>
      </c>
      <c r="N2999" s="5">
        <v>6239898.22</v>
      </c>
      <c r="O2999" t="s" s="2">
        <v>305</v>
      </c>
      <c r="P2999" s="5">
        <v>259849</v>
      </c>
      <c r="Q2999" t="s" s="2">
        <v>5272</v>
      </c>
      <c r="R2999" t="s" s="2">
        <f>_xlfn.IFERROR(INDEX('model_byCAP'!$D$2:$D$377,MATCH(Q2999,'model_byCAP'!$A$2:$A$377,0)),0)</f>
        <v>4861</v>
      </c>
    </row>
    <row r="3000" ht="15.35" customHeight="1">
      <c r="A3000" t="s" s="2">
        <v>5685</v>
      </c>
      <c r="B3000" s="4">
        <v>35909</v>
      </c>
      <c r="C3000" s="5">
        <v>660</v>
      </c>
      <c r="D3000" s="5">
        <v>47</v>
      </c>
      <c r="E3000" s="5">
        <v>40</v>
      </c>
      <c r="F3000" t="s" s="2">
        <v>301</v>
      </c>
      <c r="G3000" t="s" s="2">
        <v>5270</v>
      </c>
      <c r="H3000" s="5">
        <v>751</v>
      </c>
      <c r="I3000" t="s" s="2">
        <v>4849</v>
      </c>
      <c r="J3000" t="s" s="2">
        <v>22</v>
      </c>
      <c r="K3000" t="s" s="2">
        <v>5686</v>
      </c>
      <c r="L3000" t="s" s="2">
        <v>1717</v>
      </c>
      <c r="M3000" s="5">
        <v>573040.48</v>
      </c>
      <c r="N3000" s="5">
        <v>6238485.16</v>
      </c>
      <c r="O3000" t="s" s="2">
        <v>305</v>
      </c>
      <c r="P3000" s="5">
        <v>257539</v>
      </c>
      <c r="Q3000" t="s" s="2">
        <v>5272</v>
      </c>
      <c r="R3000" t="s" s="2">
        <f>_xlfn.IFERROR(INDEX('model_byCAP'!$D$2:$D$377,MATCH(Q3000,'model_byCAP'!$A$2:$A$377,0)),0)</f>
        <v>4861</v>
      </c>
    </row>
    <row r="3001" ht="15.35" customHeight="1">
      <c r="A3001" t="s" s="2">
        <v>5687</v>
      </c>
      <c r="B3001" s="4">
        <v>35909</v>
      </c>
      <c r="C3001" s="5">
        <v>660</v>
      </c>
      <c r="D3001" s="5">
        <v>47</v>
      </c>
      <c r="E3001" s="5">
        <v>40</v>
      </c>
      <c r="F3001" t="s" s="2">
        <v>301</v>
      </c>
      <c r="G3001" t="s" s="2">
        <v>5270</v>
      </c>
      <c r="H3001" s="5">
        <v>751</v>
      </c>
      <c r="I3001" t="s" s="2">
        <v>4849</v>
      </c>
      <c r="J3001" t="s" s="2">
        <v>22</v>
      </c>
      <c r="K3001" t="s" s="2">
        <v>5679</v>
      </c>
      <c r="L3001" t="s" s="2">
        <v>2078</v>
      </c>
      <c r="M3001" s="5">
        <v>573237.6899999999</v>
      </c>
      <c r="N3001" s="5">
        <v>6238450.28</v>
      </c>
      <c r="O3001" t="s" s="2">
        <v>305</v>
      </c>
      <c r="P3001" s="5">
        <v>257539</v>
      </c>
      <c r="Q3001" t="s" s="2">
        <v>5272</v>
      </c>
      <c r="R3001" t="s" s="2">
        <f>_xlfn.IFERROR(INDEX('model_byCAP'!$D$2:$D$377,MATCH(Q3001,'model_byCAP'!$A$2:$A$377,0)),0)</f>
        <v>4861</v>
      </c>
    </row>
    <row r="3002" ht="15.35" customHeight="1">
      <c r="A3002" t="s" s="2">
        <v>5688</v>
      </c>
      <c r="B3002" s="4">
        <v>35909</v>
      </c>
      <c r="C3002" s="5">
        <v>660</v>
      </c>
      <c r="D3002" s="5">
        <v>47</v>
      </c>
      <c r="E3002" s="5">
        <v>40</v>
      </c>
      <c r="F3002" t="s" s="2">
        <v>301</v>
      </c>
      <c r="G3002" t="s" s="2">
        <v>5270</v>
      </c>
      <c r="H3002" s="5">
        <v>751</v>
      </c>
      <c r="I3002" t="s" s="2">
        <v>4849</v>
      </c>
      <c r="J3002" t="s" s="2">
        <v>22</v>
      </c>
      <c r="K3002" t="s" s="2">
        <v>5679</v>
      </c>
      <c r="L3002" t="s" s="2">
        <v>2078</v>
      </c>
      <c r="M3002" s="5">
        <v>573434.25</v>
      </c>
      <c r="N3002" s="5">
        <v>6238414.05</v>
      </c>
      <c r="O3002" t="s" s="2">
        <v>305</v>
      </c>
      <c r="P3002" s="5">
        <v>257539</v>
      </c>
      <c r="Q3002" t="s" s="2">
        <v>5272</v>
      </c>
      <c r="R3002" t="s" s="2">
        <f>_xlfn.IFERROR(INDEX('model_byCAP'!$D$2:$D$377,MATCH(Q3002,'model_byCAP'!$A$2:$A$377,0)),0)</f>
        <v>4861</v>
      </c>
    </row>
    <row r="3003" ht="15.35" customHeight="1">
      <c r="A3003" t="s" s="2">
        <v>5689</v>
      </c>
      <c r="B3003" s="4">
        <v>37504</v>
      </c>
      <c r="C3003" s="5">
        <v>660</v>
      </c>
      <c r="D3003" s="5">
        <v>47</v>
      </c>
      <c r="E3003" s="5">
        <v>45</v>
      </c>
      <c r="F3003" t="s" s="2">
        <v>301</v>
      </c>
      <c r="G3003" t="s" s="2">
        <v>5690</v>
      </c>
      <c r="H3003" s="5">
        <v>756</v>
      </c>
      <c r="I3003" t="s" s="2">
        <v>456</v>
      </c>
      <c r="J3003" t="s" s="2">
        <v>22</v>
      </c>
      <c r="K3003" t="s" s="2">
        <v>5691</v>
      </c>
      <c r="L3003" t="s" s="2">
        <v>594</v>
      </c>
      <c r="M3003" s="5">
        <v>520700.41</v>
      </c>
      <c r="N3003" s="5">
        <v>6207571.61</v>
      </c>
      <c r="O3003" t="s" s="2">
        <v>305</v>
      </c>
      <c r="P3003" s="5">
        <v>3050359</v>
      </c>
      <c r="Q3003" t="s" s="2">
        <v>5692</v>
      </c>
      <c r="R3003" t="s" s="2">
        <f>_xlfn.IFERROR(INDEX('model_byCAP'!$D$2:$D$377,MATCH(Q3003,'model_byCAP'!$A$2:$A$377,0)),0)</f>
        <v>1112</v>
      </c>
    </row>
    <row r="3004" ht="15.35" customHeight="1">
      <c r="A3004" t="s" s="2">
        <v>5693</v>
      </c>
      <c r="B3004" s="4">
        <v>35965</v>
      </c>
      <c r="C3004" s="5">
        <v>660</v>
      </c>
      <c r="D3004" s="5">
        <v>47</v>
      </c>
      <c r="E3004" s="5">
        <v>45</v>
      </c>
      <c r="F3004" t="s" s="2">
        <v>301</v>
      </c>
      <c r="G3004" t="s" s="2">
        <v>5270</v>
      </c>
      <c r="H3004" s="5">
        <v>760</v>
      </c>
      <c r="I3004" t="s" s="2">
        <v>331</v>
      </c>
      <c r="J3004" t="s" s="2">
        <v>22</v>
      </c>
      <c r="K3004" t="s" s="2">
        <v>5694</v>
      </c>
      <c r="L3004" t="s" s="2">
        <v>2078</v>
      </c>
      <c r="M3004" s="5">
        <v>470397.63</v>
      </c>
      <c r="N3004" s="5">
        <v>6186940.08</v>
      </c>
      <c r="O3004" t="s" s="2">
        <v>305</v>
      </c>
      <c r="P3004" s="5">
        <v>61307</v>
      </c>
      <c r="Q3004" t="s" s="2">
        <v>5272</v>
      </c>
      <c r="R3004" t="s" s="2">
        <f>_xlfn.IFERROR(INDEX('model_byCAP'!$D$2:$D$377,MATCH(Q3004,'model_byCAP'!$A$2:$A$377,0)),0)</f>
        <v>4861</v>
      </c>
    </row>
    <row r="3005" ht="15.35" customHeight="1">
      <c r="A3005" t="s" s="2">
        <v>5695</v>
      </c>
      <c r="B3005" s="4">
        <v>35965</v>
      </c>
      <c r="C3005" s="5">
        <v>660</v>
      </c>
      <c r="D3005" s="5">
        <v>47</v>
      </c>
      <c r="E3005" s="5">
        <v>45</v>
      </c>
      <c r="F3005" t="s" s="2">
        <v>301</v>
      </c>
      <c r="G3005" t="s" s="2">
        <v>5270</v>
      </c>
      <c r="H3005" s="5">
        <v>760</v>
      </c>
      <c r="I3005" t="s" s="2">
        <v>331</v>
      </c>
      <c r="J3005" t="s" s="2">
        <v>22</v>
      </c>
      <c r="K3005" t="s" s="2">
        <v>5694</v>
      </c>
      <c r="L3005" t="s" s="2">
        <v>2078</v>
      </c>
      <c r="M3005" s="5">
        <v>470296.53</v>
      </c>
      <c r="N3005" s="5">
        <v>6186678.61</v>
      </c>
      <c r="O3005" t="s" s="2">
        <v>305</v>
      </c>
      <c r="P3005" s="5">
        <v>61308</v>
      </c>
      <c r="Q3005" t="s" s="2">
        <v>5272</v>
      </c>
      <c r="R3005" t="s" s="2">
        <f>_xlfn.IFERROR(INDEX('model_byCAP'!$D$2:$D$377,MATCH(Q3005,'model_byCAP'!$A$2:$A$377,0)),0)</f>
        <v>4861</v>
      </c>
    </row>
    <row r="3006" ht="15.35" customHeight="1">
      <c r="A3006" t="s" s="2">
        <v>5696</v>
      </c>
      <c r="B3006" s="4">
        <v>35965</v>
      </c>
      <c r="C3006" s="5">
        <v>660</v>
      </c>
      <c r="D3006" s="5">
        <v>47</v>
      </c>
      <c r="E3006" s="5">
        <v>45</v>
      </c>
      <c r="F3006" t="s" s="2">
        <v>301</v>
      </c>
      <c r="G3006" t="s" s="2">
        <v>5270</v>
      </c>
      <c r="H3006" s="5">
        <v>760</v>
      </c>
      <c r="I3006" t="s" s="2">
        <v>331</v>
      </c>
      <c r="J3006" t="s" s="2">
        <v>22</v>
      </c>
      <c r="K3006" t="s" s="2">
        <v>5694</v>
      </c>
      <c r="L3006" t="s" s="2">
        <v>2078</v>
      </c>
      <c r="M3006" s="5">
        <v>470573.87</v>
      </c>
      <c r="N3006" s="5">
        <v>6186724.43</v>
      </c>
      <c r="O3006" t="s" s="2">
        <v>305</v>
      </c>
      <c r="P3006" s="5">
        <v>61309</v>
      </c>
      <c r="Q3006" t="s" s="2">
        <v>5272</v>
      </c>
      <c r="R3006" t="s" s="2">
        <f>_xlfn.IFERROR(INDEX('model_byCAP'!$D$2:$D$377,MATCH(Q3006,'model_byCAP'!$A$2:$A$377,0)),0)</f>
        <v>4861</v>
      </c>
    </row>
    <row r="3007" ht="15.35" customHeight="1">
      <c r="A3007" t="s" s="2">
        <v>5697</v>
      </c>
      <c r="B3007" s="4">
        <v>36192</v>
      </c>
      <c r="C3007" s="5">
        <v>660</v>
      </c>
      <c r="D3007" s="5">
        <v>44</v>
      </c>
      <c r="E3007" s="5">
        <v>45</v>
      </c>
      <c r="F3007" t="s" s="2">
        <v>301</v>
      </c>
      <c r="G3007" t="s" s="2">
        <v>5270</v>
      </c>
      <c r="H3007" s="5">
        <v>760</v>
      </c>
      <c r="I3007" t="s" s="2">
        <v>331</v>
      </c>
      <c r="J3007" t="s" s="2">
        <v>22</v>
      </c>
      <c r="K3007" t="s" s="2">
        <v>5698</v>
      </c>
      <c r="L3007" t="s" s="2">
        <v>1603</v>
      </c>
      <c r="M3007" s="5">
        <v>473191.92</v>
      </c>
      <c r="N3007" s="5">
        <v>6191570.94</v>
      </c>
      <c r="O3007" t="s" s="2">
        <v>305</v>
      </c>
      <c r="P3007" s="5">
        <v>61533</v>
      </c>
      <c r="Q3007" t="s" s="2">
        <v>5272</v>
      </c>
      <c r="R3007" t="s" s="2">
        <f>_xlfn.IFERROR(INDEX('model_byCAP'!$D$2:$D$377,MATCH(Q3007,'model_byCAP'!$A$2:$A$377,0)),0)</f>
        <v>4861</v>
      </c>
    </row>
    <row r="3008" ht="15.35" customHeight="1">
      <c r="A3008" t="s" s="2">
        <v>5699</v>
      </c>
      <c r="B3008" s="4">
        <v>36136</v>
      </c>
      <c r="C3008" s="5">
        <v>660</v>
      </c>
      <c r="D3008" s="5">
        <v>44</v>
      </c>
      <c r="E3008" s="5">
        <v>45</v>
      </c>
      <c r="F3008" t="s" s="2">
        <v>301</v>
      </c>
      <c r="G3008" t="s" s="2">
        <v>5700</v>
      </c>
      <c r="H3008" s="5">
        <v>760</v>
      </c>
      <c r="I3008" t="s" s="2">
        <v>331</v>
      </c>
      <c r="J3008" t="s" s="2">
        <v>22</v>
      </c>
      <c r="K3008" t="s" s="2">
        <v>5698</v>
      </c>
      <c r="L3008" t="s" s="2">
        <v>1603</v>
      </c>
      <c r="M3008" s="5">
        <v>473046.51</v>
      </c>
      <c r="N3008" s="5">
        <v>6191444.97</v>
      </c>
      <c r="O3008" t="s" s="2">
        <v>305</v>
      </c>
      <c r="P3008" s="5">
        <v>61534</v>
      </c>
      <c r="Q3008" t="s" s="2">
        <v>5701</v>
      </c>
      <c r="R3008" t="s" s="2">
        <f>_xlfn.IFERROR(INDEX('model_byCAP'!$D$2:$D$377,MATCH(Q3008,'model_byCAP'!$A$2:$A$377,0)),0)</f>
        <v>5702</v>
      </c>
    </row>
    <row r="3009" ht="15.35" customHeight="1">
      <c r="A3009" t="s" s="2">
        <v>5703</v>
      </c>
      <c r="B3009" s="4">
        <v>36136</v>
      </c>
      <c r="C3009" s="5">
        <v>660</v>
      </c>
      <c r="D3009" s="5">
        <v>44</v>
      </c>
      <c r="E3009" s="5">
        <v>45</v>
      </c>
      <c r="F3009" t="s" s="2">
        <v>301</v>
      </c>
      <c r="G3009" t="s" s="2">
        <v>5700</v>
      </c>
      <c r="H3009" s="5">
        <v>760</v>
      </c>
      <c r="I3009" t="s" s="2">
        <v>331</v>
      </c>
      <c r="J3009" t="s" s="2">
        <v>22</v>
      </c>
      <c r="K3009" t="s" s="2">
        <v>5698</v>
      </c>
      <c r="L3009" t="s" s="2">
        <v>1603</v>
      </c>
      <c r="M3009" s="5">
        <v>472900.34</v>
      </c>
      <c r="N3009" s="5">
        <v>6191318.28</v>
      </c>
      <c r="O3009" t="s" s="2">
        <v>305</v>
      </c>
      <c r="P3009" s="5">
        <v>61534</v>
      </c>
      <c r="Q3009" t="s" s="2">
        <v>5701</v>
      </c>
      <c r="R3009" t="s" s="2">
        <f>_xlfn.IFERROR(INDEX('model_byCAP'!$D$2:$D$377,MATCH(Q3009,'model_byCAP'!$A$2:$A$377,0)),0)</f>
        <v>5702</v>
      </c>
    </row>
    <row r="3010" ht="15.35" customHeight="1">
      <c r="A3010" t="s" s="2">
        <v>5704</v>
      </c>
      <c r="B3010" s="4">
        <v>35738</v>
      </c>
      <c r="C3010" s="5">
        <v>660</v>
      </c>
      <c r="D3010" s="5">
        <v>47</v>
      </c>
      <c r="E3010" s="5">
        <v>50</v>
      </c>
      <c r="F3010" t="s" s="2">
        <v>301</v>
      </c>
      <c r="G3010" t="s" s="2">
        <v>5270</v>
      </c>
      <c r="H3010" s="5">
        <v>760</v>
      </c>
      <c r="I3010" t="s" s="2">
        <v>331</v>
      </c>
      <c r="J3010" t="s" s="2">
        <v>22</v>
      </c>
      <c r="K3010" t="s" s="2">
        <v>5705</v>
      </c>
      <c r="L3010" t="s" s="2">
        <v>2396</v>
      </c>
      <c r="M3010" s="5">
        <v>467696.91</v>
      </c>
      <c r="N3010" s="5">
        <v>6221208.67</v>
      </c>
      <c r="O3010" t="s" s="2">
        <v>305</v>
      </c>
      <c r="P3010" s="5">
        <v>8505451</v>
      </c>
      <c r="Q3010" t="s" s="2">
        <v>5272</v>
      </c>
      <c r="R3010" t="s" s="2">
        <f>_xlfn.IFERROR(INDEX('model_byCAP'!$D$2:$D$377,MATCH(Q3010,'model_byCAP'!$A$2:$A$377,0)),0)</f>
        <v>4861</v>
      </c>
    </row>
    <row r="3011" ht="15.35" customHeight="1">
      <c r="A3011" t="s" s="2">
        <v>5706</v>
      </c>
      <c r="B3011" s="4">
        <v>35738</v>
      </c>
      <c r="C3011" s="5">
        <v>660</v>
      </c>
      <c r="D3011" s="5">
        <v>47</v>
      </c>
      <c r="E3011" s="5">
        <v>50</v>
      </c>
      <c r="F3011" t="s" s="2">
        <v>301</v>
      </c>
      <c r="G3011" t="s" s="2">
        <v>5270</v>
      </c>
      <c r="H3011" s="5">
        <v>760</v>
      </c>
      <c r="I3011" t="s" s="2">
        <v>331</v>
      </c>
      <c r="J3011" t="s" s="2">
        <v>22</v>
      </c>
      <c r="K3011" t="s" s="2">
        <v>5705</v>
      </c>
      <c r="L3011" t="s" s="2">
        <v>524</v>
      </c>
      <c r="M3011" s="5">
        <v>467729.17</v>
      </c>
      <c r="N3011" s="5">
        <v>6221011.3</v>
      </c>
      <c r="O3011" t="s" s="2">
        <v>305</v>
      </c>
      <c r="P3011" s="5">
        <v>8505451</v>
      </c>
      <c r="Q3011" t="s" s="2">
        <v>5272</v>
      </c>
      <c r="R3011" t="s" s="2">
        <f>_xlfn.IFERROR(INDEX('model_byCAP'!$D$2:$D$377,MATCH(Q3011,'model_byCAP'!$A$2:$A$377,0)),0)</f>
        <v>4861</v>
      </c>
    </row>
    <row r="3012" ht="15.35" customHeight="1">
      <c r="A3012" t="s" s="2">
        <v>5707</v>
      </c>
      <c r="B3012" s="4">
        <v>35738</v>
      </c>
      <c r="C3012" s="5">
        <v>660</v>
      </c>
      <c r="D3012" s="5">
        <v>47</v>
      </c>
      <c r="E3012" s="5">
        <v>50</v>
      </c>
      <c r="F3012" t="s" s="2">
        <v>301</v>
      </c>
      <c r="G3012" t="s" s="2">
        <v>5270</v>
      </c>
      <c r="H3012" s="5">
        <v>760</v>
      </c>
      <c r="I3012" t="s" s="2">
        <v>331</v>
      </c>
      <c r="J3012" t="s" s="2">
        <v>22</v>
      </c>
      <c r="K3012" t="s" s="2">
        <v>5705</v>
      </c>
      <c r="L3012" t="s" s="2">
        <v>3355</v>
      </c>
      <c r="M3012" s="5">
        <v>467883.66</v>
      </c>
      <c r="N3012" s="5">
        <v>6221138.28</v>
      </c>
      <c r="O3012" t="s" s="2">
        <v>305</v>
      </c>
      <c r="P3012" s="5">
        <v>8505451</v>
      </c>
      <c r="Q3012" t="s" s="2">
        <v>5272</v>
      </c>
      <c r="R3012" t="s" s="2">
        <f>_xlfn.IFERROR(INDEX('model_byCAP'!$D$2:$D$377,MATCH(Q3012,'model_byCAP'!$A$2:$A$377,0)),0)</f>
        <v>4861</v>
      </c>
    </row>
    <row r="3013" ht="15.35" customHeight="1">
      <c r="A3013" t="s" s="2">
        <v>5708</v>
      </c>
      <c r="B3013" s="4">
        <v>36403</v>
      </c>
      <c r="C3013" s="5">
        <v>660</v>
      </c>
      <c r="D3013" s="5">
        <v>47</v>
      </c>
      <c r="E3013" s="5">
        <v>45</v>
      </c>
      <c r="F3013" t="s" s="2">
        <v>301</v>
      </c>
      <c r="G3013" t="s" s="2">
        <v>5270</v>
      </c>
      <c r="H3013" s="5">
        <v>760</v>
      </c>
      <c r="I3013" t="s" s="2">
        <v>331</v>
      </c>
      <c r="J3013" t="s" s="2">
        <v>22</v>
      </c>
      <c r="K3013" t="s" s="2">
        <v>5709</v>
      </c>
      <c r="L3013" t="s" s="2">
        <v>1310</v>
      </c>
      <c r="M3013" s="5">
        <v>471655.46</v>
      </c>
      <c r="N3013" s="5">
        <v>6214694.13</v>
      </c>
      <c r="O3013" t="s" s="2">
        <v>305</v>
      </c>
      <c r="P3013" s="5">
        <v>8506361</v>
      </c>
      <c r="Q3013" t="s" s="2">
        <v>5272</v>
      </c>
      <c r="R3013" t="s" s="2">
        <f>_xlfn.IFERROR(INDEX('model_byCAP'!$D$2:$D$377,MATCH(Q3013,'model_byCAP'!$A$2:$A$377,0)),0)</f>
        <v>4861</v>
      </c>
    </row>
    <row r="3014" ht="15.35" customHeight="1">
      <c r="A3014" t="s" s="2">
        <v>5710</v>
      </c>
      <c r="B3014" s="4">
        <v>36524</v>
      </c>
      <c r="C3014" s="5">
        <v>660</v>
      </c>
      <c r="D3014" s="5">
        <v>47</v>
      </c>
      <c r="E3014" s="5">
        <v>45</v>
      </c>
      <c r="F3014" t="s" s="2">
        <v>301</v>
      </c>
      <c r="G3014" t="s" s="2">
        <v>5270</v>
      </c>
      <c r="H3014" s="5">
        <v>760</v>
      </c>
      <c r="I3014" t="s" s="2">
        <v>331</v>
      </c>
      <c r="J3014" t="s" s="2">
        <v>22</v>
      </c>
      <c r="K3014" t="s" s="2">
        <v>5709</v>
      </c>
      <c r="L3014" s="5">
        <v>1</v>
      </c>
      <c r="M3014" s="5">
        <v>471858.89</v>
      </c>
      <c r="N3014" s="5">
        <v>6214821.07</v>
      </c>
      <c r="O3014" t="s" s="2">
        <v>305</v>
      </c>
      <c r="P3014" s="5">
        <v>8506511</v>
      </c>
      <c r="Q3014" t="s" s="2">
        <v>5272</v>
      </c>
      <c r="R3014" t="s" s="2">
        <f>_xlfn.IFERROR(INDEX('model_byCAP'!$D$2:$D$377,MATCH(Q3014,'model_byCAP'!$A$2:$A$377,0)),0)</f>
        <v>4861</v>
      </c>
    </row>
    <row r="3015" ht="15.35" customHeight="1">
      <c r="A3015" t="s" s="2">
        <v>5711</v>
      </c>
      <c r="B3015" s="4">
        <v>36558</v>
      </c>
      <c r="C3015" s="5">
        <v>660</v>
      </c>
      <c r="D3015" s="5">
        <v>47</v>
      </c>
      <c r="E3015" s="5">
        <v>45.3</v>
      </c>
      <c r="F3015" t="s" s="2">
        <v>301</v>
      </c>
      <c r="G3015" t="s" s="2">
        <v>5270</v>
      </c>
      <c r="H3015" s="5">
        <v>760</v>
      </c>
      <c r="I3015" t="s" s="2">
        <v>331</v>
      </c>
      <c r="J3015" t="s" s="2">
        <v>22</v>
      </c>
      <c r="K3015" t="s" s="2">
        <v>5709</v>
      </c>
      <c r="L3015" t="s" s="2">
        <v>1310</v>
      </c>
      <c r="M3015" s="5">
        <v>471451.16</v>
      </c>
      <c r="N3015" s="5">
        <v>6214565.3</v>
      </c>
      <c r="O3015" t="s" s="2">
        <v>305</v>
      </c>
      <c r="P3015" s="5">
        <v>8506691</v>
      </c>
      <c r="Q3015" t="s" s="2">
        <v>5272</v>
      </c>
      <c r="R3015" t="s" s="2">
        <f>_xlfn.IFERROR(INDEX('model_byCAP'!$D$2:$D$377,MATCH(Q3015,'model_byCAP'!$A$2:$A$377,0)),0)</f>
        <v>4861</v>
      </c>
    </row>
    <row r="3016" ht="15.35" customHeight="1">
      <c r="A3016" t="s" s="2">
        <v>5712</v>
      </c>
      <c r="B3016" s="4">
        <v>36629</v>
      </c>
      <c r="C3016" s="5">
        <v>660</v>
      </c>
      <c r="D3016" s="5">
        <v>47</v>
      </c>
      <c r="E3016" s="5">
        <v>50</v>
      </c>
      <c r="F3016" t="s" s="2">
        <v>301</v>
      </c>
      <c r="G3016" t="s" s="2">
        <v>5270</v>
      </c>
      <c r="H3016" s="5">
        <v>760</v>
      </c>
      <c r="I3016" t="s" s="2">
        <v>331</v>
      </c>
      <c r="J3016" t="s" s="2">
        <v>22</v>
      </c>
      <c r="K3016" t="s" s="2">
        <v>5713</v>
      </c>
      <c r="L3016" s="5">
        <v>75</v>
      </c>
      <c r="M3016" s="5">
        <v>463737.21</v>
      </c>
      <c r="N3016" s="5">
        <v>6212786.17</v>
      </c>
      <c r="O3016" t="s" s="2">
        <v>305</v>
      </c>
      <c r="P3016" s="5">
        <v>8506771</v>
      </c>
      <c r="Q3016" t="s" s="2">
        <v>5272</v>
      </c>
      <c r="R3016" t="s" s="2">
        <f>_xlfn.IFERROR(INDEX('model_byCAP'!$D$2:$D$377,MATCH(Q3016,'model_byCAP'!$A$2:$A$377,0)),0)</f>
        <v>4861</v>
      </c>
    </row>
    <row r="3017" ht="15.35" customHeight="1">
      <c r="A3017" t="s" s="2">
        <v>5714</v>
      </c>
      <c r="B3017" s="4">
        <v>36629</v>
      </c>
      <c r="C3017" s="5">
        <v>660</v>
      </c>
      <c r="D3017" s="5">
        <v>47</v>
      </c>
      <c r="E3017" s="5">
        <v>50</v>
      </c>
      <c r="F3017" t="s" s="2">
        <v>301</v>
      </c>
      <c r="G3017" t="s" s="2">
        <v>5270</v>
      </c>
      <c r="H3017" s="5">
        <v>760</v>
      </c>
      <c r="I3017" t="s" s="2">
        <v>331</v>
      </c>
      <c r="J3017" t="s" s="2">
        <v>22</v>
      </c>
      <c r="K3017" t="s" s="2">
        <v>5713</v>
      </c>
      <c r="L3017" t="s" s="2">
        <v>5715</v>
      </c>
      <c r="M3017" s="5">
        <v>463531.49</v>
      </c>
      <c r="N3017" s="5">
        <v>6212661.04</v>
      </c>
      <c r="O3017" t="s" s="2">
        <v>305</v>
      </c>
      <c r="P3017" s="5">
        <v>8506771</v>
      </c>
      <c r="Q3017" t="s" s="2">
        <v>5272</v>
      </c>
      <c r="R3017" t="s" s="2">
        <f>_xlfn.IFERROR(INDEX('model_byCAP'!$D$2:$D$377,MATCH(Q3017,'model_byCAP'!$A$2:$A$377,0)),0)</f>
        <v>4861</v>
      </c>
    </row>
    <row r="3018" ht="15.35" customHeight="1">
      <c r="A3018" t="s" s="2">
        <v>5716</v>
      </c>
      <c r="B3018" s="4">
        <v>36629</v>
      </c>
      <c r="C3018" s="5">
        <v>660</v>
      </c>
      <c r="D3018" s="5">
        <v>47</v>
      </c>
      <c r="E3018" s="5">
        <v>50</v>
      </c>
      <c r="F3018" t="s" s="2">
        <v>301</v>
      </c>
      <c r="G3018" t="s" s="2">
        <v>5270</v>
      </c>
      <c r="H3018" s="5">
        <v>760</v>
      </c>
      <c r="I3018" t="s" s="2">
        <v>331</v>
      </c>
      <c r="J3018" t="s" s="2">
        <v>22</v>
      </c>
      <c r="K3018" t="s" s="2">
        <v>5717</v>
      </c>
      <c r="L3018" s="5">
        <v>75</v>
      </c>
      <c r="M3018" s="5">
        <v>463740.91</v>
      </c>
      <c r="N3018" s="5">
        <v>6212552.1</v>
      </c>
      <c r="O3018" t="s" s="2">
        <v>305</v>
      </c>
      <c r="P3018" s="5">
        <v>8506771</v>
      </c>
      <c r="Q3018" t="s" s="2">
        <v>5272</v>
      </c>
      <c r="R3018" t="s" s="2">
        <f>_xlfn.IFERROR(INDEX('model_byCAP'!$D$2:$D$377,MATCH(Q3018,'model_byCAP'!$A$2:$A$377,0)),0)</f>
        <v>4861</v>
      </c>
    </row>
    <row r="3019" ht="15.35" customHeight="1">
      <c r="A3019" t="s" s="2">
        <v>5718</v>
      </c>
      <c r="B3019" s="4">
        <v>35830</v>
      </c>
      <c r="C3019" s="5">
        <v>660</v>
      </c>
      <c r="D3019" s="5">
        <v>47</v>
      </c>
      <c r="E3019" s="5">
        <v>50</v>
      </c>
      <c r="F3019" t="s" s="2">
        <v>301</v>
      </c>
      <c r="G3019" t="s" s="2">
        <v>4858</v>
      </c>
      <c r="H3019" s="5">
        <v>766</v>
      </c>
      <c r="I3019" t="s" s="2">
        <v>3363</v>
      </c>
      <c r="J3019" t="s" s="2">
        <v>22</v>
      </c>
      <c r="K3019" t="s" s="2">
        <v>5719</v>
      </c>
      <c r="L3019" t="s" s="2">
        <v>937</v>
      </c>
      <c r="M3019" s="5">
        <v>558436.49</v>
      </c>
      <c r="N3019" s="5">
        <v>6176767.83</v>
      </c>
      <c r="O3019" t="s" s="2">
        <v>305</v>
      </c>
      <c r="P3019" s="5">
        <v>300131</v>
      </c>
      <c r="Q3019" t="s" s="2">
        <v>4860</v>
      </c>
      <c r="R3019" t="s" s="2">
        <f>_xlfn.IFERROR(INDEX('model_byCAP'!$D$2:$D$377,MATCH(Q3019,'model_byCAP'!$A$2:$A$377,0)),0)</f>
        <v>4861</v>
      </c>
    </row>
    <row r="3020" ht="15.35" customHeight="1">
      <c r="A3020" t="s" s="2">
        <v>5720</v>
      </c>
      <c r="B3020" s="4">
        <v>36112</v>
      </c>
      <c r="C3020" s="5">
        <v>660</v>
      </c>
      <c r="D3020" s="5">
        <v>47</v>
      </c>
      <c r="E3020" s="5">
        <v>50</v>
      </c>
      <c r="F3020" t="s" s="2">
        <v>301</v>
      </c>
      <c r="G3020" t="s" s="2">
        <v>4858</v>
      </c>
      <c r="H3020" s="5">
        <v>766</v>
      </c>
      <c r="I3020" t="s" s="2">
        <v>3363</v>
      </c>
      <c r="J3020" t="s" s="2">
        <v>22</v>
      </c>
      <c r="K3020" t="s" s="2">
        <v>4863</v>
      </c>
      <c r="L3020" t="s" s="2">
        <v>1445</v>
      </c>
      <c r="M3020" s="5">
        <v>550457.64</v>
      </c>
      <c r="N3020" s="5">
        <v>6176575.92</v>
      </c>
      <c r="O3020" t="s" s="2">
        <v>305</v>
      </c>
      <c r="P3020" s="5">
        <v>300151</v>
      </c>
      <c r="Q3020" t="s" s="2">
        <v>4860</v>
      </c>
      <c r="R3020" t="s" s="2">
        <f>_xlfn.IFERROR(INDEX('model_byCAP'!$D$2:$D$377,MATCH(Q3020,'model_byCAP'!$A$2:$A$377,0)),0)</f>
        <v>4861</v>
      </c>
    </row>
    <row r="3021" ht="15.35" customHeight="1">
      <c r="A3021" t="s" s="2">
        <v>5721</v>
      </c>
      <c r="B3021" s="4">
        <v>36112</v>
      </c>
      <c r="C3021" s="5">
        <v>660</v>
      </c>
      <c r="D3021" s="5">
        <v>47</v>
      </c>
      <c r="E3021" s="5">
        <v>50</v>
      </c>
      <c r="F3021" t="s" s="2">
        <v>301</v>
      </c>
      <c r="G3021" t="s" s="2">
        <v>4858</v>
      </c>
      <c r="H3021" s="5">
        <v>766</v>
      </c>
      <c r="I3021" t="s" s="2">
        <v>3363</v>
      </c>
      <c r="J3021" t="s" s="2">
        <v>22</v>
      </c>
      <c r="K3021" t="s" s="2">
        <v>4863</v>
      </c>
      <c r="L3021" t="s" s="2">
        <v>1445</v>
      </c>
      <c r="M3021" s="5">
        <v>550395.83</v>
      </c>
      <c r="N3021" s="5">
        <v>6176385.4</v>
      </c>
      <c r="O3021" t="s" s="2">
        <v>305</v>
      </c>
      <c r="P3021" s="5">
        <v>300161</v>
      </c>
      <c r="Q3021" t="s" s="2">
        <v>4860</v>
      </c>
      <c r="R3021" t="s" s="2">
        <f>_xlfn.IFERROR(INDEX('model_byCAP'!$D$2:$D$377,MATCH(Q3021,'model_byCAP'!$A$2:$A$377,0)),0)</f>
        <v>4861</v>
      </c>
    </row>
    <row r="3022" ht="15.35" customHeight="1">
      <c r="A3022" t="s" s="2">
        <v>5722</v>
      </c>
      <c r="B3022" s="4">
        <v>36403</v>
      </c>
      <c r="C3022" s="5">
        <v>660</v>
      </c>
      <c r="D3022" s="5">
        <v>47</v>
      </c>
      <c r="E3022" s="5">
        <v>50</v>
      </c>
      <c r="F3022" t="s" s="2">
        <v>301</v>
      </c>
      <c r="G3022" t="s" s="2">
        <v>4858</v>
      </c>
      <c r="H3022" s="5">
        <v>766</v>
      </c>
      <c r="I3022" t="s" s="2">
        <v>3363</v>
      </c>
      <c r="J3022" t="s" s="2">
        <v>22</v>
      </c>
      <c r="K3022" t="s" s="2">
        <v>5723</v>
      </c>
      <c r="L3022" t="s" s="2">
        <v>524</v>
      </c>
      <c r="M3022" s="5">
        <v>557977.88</v>
      </c>
      <c r="N3022" s="5">
        <v>6177408.24</v>
      </c>
      <c r="O3022" t="s" s="2">
        <v>305</v>
      </c>
      <c r="P3022" s="5">
        <v>300211</v>
      </c>
      <c r="Q3022" t="s" s="2">
        <v>4860</v>
      </c>
      <c r="R3022" t="s" s="2">
        <f>_xlfn.IFERROR(INDEX('model_byCAP'!$D$2:$D$377,MATCH(Q3022,'model_byCAP'!$A$2:$A$377,0)),0)</f>
        <v>4861</v>
      </c>
    </row>
    <row r="3023" ht="15.35" customHeight="1">
      <c r="A3023" t="s" s="2">
        <v>5724</v>
      </c>
      <c r="B3023" s="4">
        <v>36312</v>
      </c>
      <c r="C3023" s="5">
        <v>660</v>
      </c>
      <c r="D3023" s="5">
        <v>47</v>
      </c>
      <c r="E3023" s="5">
        <v>55</v>
      </c>
      <c r="F3023" t="s" s="2">
        <v>301</v>
      </c>
      <c r="G3023" t="s" s="2">
        <v>5270</v>
      </c>
      <c r="H3023" s="5">
        <v>766</v>
      </c>
      <c r="I3023" t="s" s="2">
        <v>3363</v>
      </c>
      <c r="J3023" t="s" s="2">
        <v>22</v>
      </c>
      <c r="K3023" t="s" s="2">
        <v>5725</v>
      </c>
      <c r="L3023" t="s" s="2">
        <v>3355</v>
      </c>
      <c r="M3023" s="5">
        <v>533156.3</v>
      </c>
      <c r="N3023" s="5">
        <v>6184302.81</v>
      </c>
      <c r="O3023" t="s" s="2">
        <v>305</v>
      </c>
      <c r="P3023" s="5">
        <v>1030058</v>
      </c>
      <c r="Q3023" t="s" s="2">
        <v>5272</v>
      </c>
      <c r="R3023" t="s" s="2">
        <f>_xlfn.IFERROR(INDEX('model_byCAP'!$D$2:$D$377,MATCH(Q3023,'model_byCAP'!$A$2:$A$377,0)),0)</f>
        <v>4861</v>
      </c>
    </row>
    <row r="3024" ht="15.35" customHeight="1">
      <c r="A3024" t="s" s="2">
        <v>5726</v>
      </c>
      <c r="B3024" s="4">
        <v>36281</v>
      </c>
      <c r="C3024" s="5">
        <v>660</v>
      </c>
      <c r="D3024" s="5">
        <v>47</v>
      </c>
      <c r="E3024" s="5">
        <v>55</v>
      </c>
      <c r="F3024" t="s" s="2">
        <v>301</v>
      </c>
      <c r="G3024" t="s" s="2">
        <v>5328</v>
      </c>
      <c r="H3024" s="5">
        <v>766</v>
      </c>
      <c r="I3024" t="s" s="2">
        <v>3363</v>
      </c>
      <c r="J3024" t="s" s="2">
        <v>22</v>
      </c>
      <c r="K3024" t="s" s="2">
        <v>5727</v>
      </c>
      <c r="L3024" t="s" s="2">
        <v>394</v>
      </c>
      <c r="M3024" s="5">
        <v>532933.66</v>
      </c>
      <c r="N3024" s="5">
        <v>6184415.28</v>
      </c>
      <c r="O3024" t="s" s="2">
        <v>305</v>
      </c>
      <c r="P3024" s="5">
        <v>1030059</v>
      </c>
      <c r="Q3024" t="s" s="2">
        <v>5330</v>
      </c>
      <c r="R3024" t="s" s="2">
        <f>_xlfn.IFERROR(INDEX('model_byCAP'!$D$2:$D$377,MATCH(Q3024,'model_byCAP'!$A$2:$A$377,0)),0)</f>
        <v>5331</v>
      </c>
    </row>
    <row r="3025" ht="15.35" customHeight="1">
      <c r="A3025" t="s" s="2">
        <v>5728</v>
      </c>
      <c r="B3025" s="4">
        <v>36662</v>
      </c>
      <c r="C3025" s="5">
        <v>660</v>
      </c>
      <c r="D3025" s="5">
        <v>47</v>
      </c>
      <c r="E3025" s="5">
        <v>55</v>
      </c>
      <c r="F3025" t="s" s="2">
        <v>301</v>
      </c>
      <c r="G3025" t="s" s="2">
        <v>5270</v>
      </c>
      <c r="H3025" s="5">
        <v>766</v>
      </c>
      <c r="I3025" t="s" s="2">
        <v>3363</v>
      </c>
      <c r="J3025" t="s" s="2">
        <v>22</v>
      </c>
      <c r="K3025" t="s" s="2">
        <v>5729</v>
      </c>
      <c r="L3025" t="s" s="2">
        <v>394</v>
      </c>
      <c r="M3025" s="5">
        <v>533144.38</v>
      </c>
      <c r="N3025" s="5">
        <v>6184551.71</v>
      </c>
      <c r="O3025" t="s" s="2">
        <v>305</v>
      </c>
      <c r="P3025" s="5">
        <v>1030063</v>
      </c>
      <c r="Q3025" t="s" s="2">
        <v>5272</v>
      </c>
      <c r="R3025" t="s" s="2">
        <f>_xlfn.IFERROR(INDEX('model_byCAP'!$D$2:$D$377,MATCH(Q3025,'model_byCAP'!$A$2:$A$377,0)),0)</f>
        <v>4861</v>
      </c>
    </row>
    <row r="3026" ht="15.35" customHeight="1">
      <c r="A3026" t="s" s="2">
        <v>5730</v>
      </c>
      <c r="B3026" s="4">
        <v>37165</v>
      </c>
      <c r="C3026" s="5">
        <v>660</v>
      </c>
      <c r="D3026" s="5">
        <v>47</v>
      </c>
      <c r="E3026" s="5">
        <v>50</v>
      </c>
      <c r="F3026" t="s" s="2">
        <v>301</v>
      </c>
      <c r="G3026" t="s" s="2">
        <v>4858</v>
      </c>
      <c r="H3026" s="5">
        <v>766</v>
      </c>
      <c r="I3026" t="s" s="2">
        <v>3363</v>
      </c>
      <c r="J3026" t="s" s="2">
        <v>22</v>
      </c>
      <c r="K3026" t="s" s="2">
        <v>5731</v>
      </c>
      <c r="L3026" t="s" s="2">
        <v>1328</v>
      </c>
      <c r="M3026" s="5">
        <v>557049.83</v>
      </c>
      <c r="N3026" s="5">
        <v>6176404.12</v>
      </c>
      <c r="O3026" t="s" s="2">
        <v>305</v>
      </c>
      <c r="P3026" s="5">
        <v>300291</v>
      </c>
      <c r="Q3026" t="s" s="2">
        <v>4860</v>
      </c>
      <c r="R3026" t="s" s="2">
        <f>_xlfn.IFERROR(INDEX('model_byCAP'!$D$2:$D$377,MATCH(Q3026,'model_byCAP'!$A$2:$A$377,0)),0)</f>
        <v>4861</v>
      </c>
    </row>
    <row r="3027" ht="15.35" customHeight="1">
      <c r="A3027" t="s" s="2">
        <v>5732</v>
      </c>
      <c r="B3027" s="4">
        <v>35983</v>
      </c>
      <c r="C3027" s="5">
        <v>660</v>
      </c>
      <c r="D3027" s="5">
        <v>47</v>
      </c>
      <c r="E3027" s="5">
        <v>50</v>
      </c>
      <c r="F3027" t="s" s="2">
        <v>301</v>
      </c>
      <c r="G3027" t="s" s="2">
        <v>5270</v>
      </c>
      <c r="H3027" s="5">
        <v>773</v>
      </c>
      <c r="I3027" t="s" s="2">
        <v>1648</v>
      </c>
      <c r="J3027" t="s" s="2">
        <v>22</v>
      </c>
      <c r="K3027" t="s" s="2">
        <v>5733</v>
      </c>
      <c r="L3027" t="s" s="2">
        <v>5734</v>
      </c>
      <c r="M3027" s="5">
        <v>478281.48</v>
      </c>
      <c r="N3027" s="5">
        <v>6293275.14</v>
      </c>
      <c r="O3027" t="s" s="2">
        <v>305</v>
      </c>
      <c r="P3027" s="5">
        <v>223595</v>
      </c>
      <c r="Q3027" t="s" s="2">
        <v>5272</v>
      </c>
      <c r="R3027" t="s" s="2">
        <f>_xlfn.IFERROR(INDEX('model_byCAP'!$D$2:$D$377,MATCH(Q3027,'model_byCAP'!$A$2:$A$377,0)),0)</f>
        <v>4861</v>
      </c>
    </row>
    <row r="3028" ht="15.35" customHeight="1">
      <c r="A3028" t="s" s="2">
        <v>5735</v>
      </c>
      <c r="B3028" s="4">
        <v>35983</v>
      </c>
      <c r="C3028" s="5">
        <v>660</v>
      </c>
      <c r="D3028" s="5">
        <v>47</v>
      </c>
      <c r="E3028" s="5">
        <v>50</v>
      </c>
      <c r="F3028" t="s" s="2">
        <v>301</v>
      </c>
      <c r="G3028" t="s" s="2">
        <v>5270</v>
      </c>
      <c r="H3028" s="5">
        <v>773</v>
      </c>
      <c r="I3028" t="s" s="2">
        <v>1648</v>
      </c>
      <c r="J3028" t="s" s="2">
        <v>22</v>
      </c>
      <c r="K3028" t="s" s="2">
        <v>5733</v>
      </c>
      <c r="L3028" t="s" s="2">
        <v>481</v>
      </c>
      <c r="M3028" s="5">
        <v>478275.73</v>
      </c>
      <c r="N3028" s="5">
        <v>6293105.43</v>
      </c>
      <c r="O3028" t="s" s="2">
        <v>305</v>
      </c>
      <c r="P3028" s="5">
        <v>235952</v>
      </c>
      <c r="Q3028" t="s" s="2">
        <v>5272</v>
      </c>
      <c r="R3028" t="s" s="2">
        <f>_xlfn.IFERROR(INDEX('model_byCAP'!$D$2:$D$377,MATCH(Q3028,'model_byCAP'!$A$2:$A$377,0)),0)</f>
        <v>4861</v>
      </c>
    </row>
    <row r="3029" ht="15.35" customHeight="1">
      <c r="A3029" t="s" s="2">
        <v>5736</v>
      </c>
      <c r="B3029" s="4">
        <v>36384</v>
      </c>
      <c r="C3029" s="5">
        <v>660</v>
      </c>
      <c r="D3029" s="5">
        <v>47</v>
      </c>
      <c r="E3029" s="5">
        <v>50</v>
      </c>
      <c r="F3029" t="s" s="2">
        <v>301</v>
      </c>
      <c r="G3029" t="s" s="2">
        <v>5270</v>
      </c>
      <c r="H3029" s="5">
        <v>773</v>
      </c>
      <c r="I3029" t="s" s="2">
        <v>1648</v>
      </c>
      <c r="J3029" t="s" s="2">
        <v>22</v>
      </c>
      <c r="K3029" t="s" s="2">
        <v>5737</v>
      </c>
      <c r="L3029" t="s" s="2">
        <v>889</v>
      </c>
      <c r="M3029" s="5">
        <v>480030.71</v>
      </c>
      <c r="N3029" s="5">
        <v>6283543.29</v>
      </c>
      <c r="O3029" t="s" s="2">
        <v>305</v>
      </c>
      <c r="P3029" s="5">
        <v>223727</v>
      </c>
      <c r="Q3029" t="s" s="2">
        <v>5272</v>
      </c>
      <c r="R3029" t="s" s="2">
        <f>_xlfn.IFERROR(INDEX('model_byCAP'!$D$2:$D$377,MATCH(Q3029,'model_byCAP'!$A$2:$A$377,0)),0)</f>
        <v>4861</v>
      </c>
    </row>
    <row r="3030" ht="15.35" customHeight="1">
      <c r="A3030" t="s" s="2">
        <v>5738</v>
      </c>
      <c r="B3030" s="4">
        <v>36382</v>
      </c>
      <c r="C3030" s="5">
        <v>660</v>
      </c>
      <c r="D3030" s="5">
        <v>47</v>
      </c>
      <c r="E3030" s="5">
        <v>50</v>
      </c>
      <c r="F3030" t="s" s="2">
        <v>301</v>
      </c>
      <c r="G3030" t="s" s="2">
        <v>5270</v>
      </c>
      <c r="H3030" s="5">
        <v>773</v>
      </c>
      <c r="I3030" t="s" s="2">
        <v>1648</v>
      </c>
      <c r="J3030" t="s" s="2">
        <v>22</v>
      </c>
      <c r="K3030" t="s" s="2">
        <v>5737</v>
      </c>
      <c r="L3030" t="s" s="2">
        <v>858</v>
      </c>
      <c r="M3030" s="5">
        <v>480163.67</v>
      </c>
      <c r="N3030" s="5">
        <v>6283919.69</v>
      </c>
      <c r="O3030" t="s" s="2">
        <v>305</v>
      </c>
      <c r="P3030" s="5">
        <v>223818</v>
      </c>
      <c r="Q3030" t="s" s="2">
        <v>5272</v>
      </c>
      <c r="R3030" t="s" s="2">
        <f>_xlfn.IFERROR(INDEX('model_byCAP'!$D$2:$D$377,MATCH(Q3030,'model_byCAP'!$A$2:$A$377,0)),0)</f>
        <v>4861</v>
      </c>
    </row>
    <row r="3031" ht="15.35" customHeight="1">
      <c r="A3031" t="s" s="2">
        <v>5739</v>
      </c>
      <c r="B3031" s="4">
        <v>36382</v>
      </c>
      <c r="C3031" s="5">
        <v>660</v>
      </c>
      <c r="D3031" s="5">
        <v>47</v>
      </c>
      <c r="E3031" s="5">
        <v>50</v>
      </c>
      <c r="F3031" t="s" s="2">
        <v>301</v>
      </c>
      <c r="G3031" t="s" s="2">
        <v>5270</v>
      </c>
      <c r="H3031" s="5">
        <v>773</v>
      </c>
      <c r="I3031" t="s" s="2">
        <v>1648</v>
      </c>
      <c r="J3031" t="s" s="2">
        <v>22</v>
      </c>
      <c r="K3031" t="s" s="2">
        <v>5737</v>
      </c>
      <c r="L3031" t="s" s="2">
        <v>910</v>
      </c>
      <c r="M3031" s="5">
        <v>480095.78</v>
      </c>
      <c r="N3031" s="5">
        <v>6283732.3</v>
      </c>
      <c r="O3031" t="s" s="2">
        <v>305</v>
      </c>
      <c r="P3031" s="5">
        <v>223818</v>
      </c>
      <c r="Q3031" t="s" s="2">
        <v>5272</v>
      </c>
      <c r="R3031" t="s" s="2">
        <f>_xlfn.IFERROR(INDEX('model_byCAP'!$D$2:$D$377,MATCH(Q3031,'model_byCAP'!$A$2:$A$377,0)),0)</f>
        <v>4861</v>
      </c>
    </row>
    <row r="3032" ht="15.35" customHeight="1">
      <c r="A3032" t="s" s="2">
        <v>5740</v>
      </c>
      <c r="B3032" s="4">
        <v>36462</v>
      </c>
      <c r="C3032" s="5">
        <v>660</v>
      </c>
      <c r="D3032" s="5">
        <v>47</v>
      </c>
      <c r="E3032" s="5">
        <v>50</v>
      </c>
      <c r="F3032" t="s" s="2">
        <v>301</v>
      </c>
      <c r="G3032" t="s" s="2">
        <v>5270</v>
      </c>
      <c r="H3032" s="5">
        <v>773</v>
      </c>
      <c r="I3032" t="s" s="2">
        <v>1648</v>
      </c>
      <c r="J3032" t="s" s="2">
        <v>22</v>
      </c>
      <c r="K3032" t="s" s="2">
        <v>4874</v>
      </c>
      <c r="L3032" t="s" s="2">
        <v>481</v>
      </c>
      <c r="M3032" s="5">
        <v>487890.36</v>
      </c>
      <c r="N3032" s="5">
        <v>6301728.09</v>
      </c>
      <c r="O3032" t="s" s="2">
        <v>305</v>
      </c>
      <c r="P3032" s="5">
        <v>223830</v>
      </c>
      <c r="Q3032" t="s" s="2">
        <v>5272</v>
      </c>
      <c r="R3032" t="s" s="2">
        <f>_xlfn.IFERROR(INDEX('model_byCAP'!$D$2:$D$377,MATCH(Q3032,'model_byCAP'!$A$2:$A$377,0)),0)</f>
        <v>4861</v>
      </c>
    </row>
    <row r="3033" ht="15.35" customHeight="1">
      <c r="A3033" t="s" s="2">
        <v>5741</v>
      </c>
      <c r="B3033" s="4">
        <v>36462</v>
      </c>
      <c r="C3033" s="5">
        <v>660</v>
      </c>
      <c r="D3033" s="5">
        <v>47</v>
      </c>
      <c r="E3033" s="5">
        <v>50</v>
      </c>
      <c r="F3033" t="s" s="2">
        <v>301</v>
      </c>
      <c r="G3033" t="s" s="2">
        <v>5270</v>
      </c>
      <c r="H3033" s="5">
        <v>773</v>
      </c>
      <c r="I3033" t="s" s="2">
        <v>1648</v>
      </c>
      <c r="J3033" t="s" s="2">
        <v>22</v>
      </c>
      <c r="K3033" t="s" s="2">
        <v>4874</v>
      </c>
      <c r="L3033" t="s" s="2">
        <v>5742</v>
      </c>
      <c r="M3033" s="5">
        <v>487958.71</v>
      </c>
      <c r="N3033" s="5">
        <v>6302121.1</v>
      </c>
      <c r="O3033" t="s" s="2">
        <v>305</v>
      </c>
      <c r="P3033" s="5">
        <v>223829</v>
      </c>
      <c r="Q3033" t="s" s="2">
        <v>5272</v>
      </c>
      <c r="R3033" t="s" s="2">
        <f>_xlfn.IFERROR(INDEX('model_byCAP'!$D$2:$D$377,MATCH(Q3033,'model_byCAP'!$A$2:$A$377,0)),0)</f>
        <v>4861</v>
      </c>
    </row>
    <row r="3034" ht="15.35" customHeight="1">
      <c r="A3034" t="s" s="2">
        <v>5743</v>
      </c>
      <c r="B3034" s="4">
        <v>36462</v>
      </c>
      <c r="C3034" s="5">
        <v>660</v>
      </c>
      <c r="D3034" s="5">
        <v>47</v>
      </c>
      <c r="E3034" s="5">
        <v>50</v>
      </c>
      <c r="F3034" t="s" s="2">
        <v>301</v>
      </c>
      <c r="G3034" t="s" s="2">
        <v>5270</v>
      </c>
      <c r="H3034" s="5">
        <v>773</v>
      </c>
      <c r="I3034" t="s" s="2">
        <v>1648</v>
      </c>
      <c r="J3034" t="s" s="2">
        <v>22</v>
      </c>
      <c r="K3034" t="s" s="2">
        <v>4874</v>
      </c>
      <c r="L3034" t="s" s="2">
        <v>2078</v>
      </c>
      <c r="M3034" s="5">
        <v>487855.63</v>
      </c>
      <c r="N3034" s="5">
        <v>6301529.07</v>
      </c>
      <c r="O3034" t="s" s="2">
        <v>305</v>
      </c>
      <c r="P3034" s="5">
        <v>223832</v>
      </c>
      <c r="Q3034" t="s" s="2">
        <v>5272</v>
      </c>
      <c r="R3034" t="s" s="2">
        <f>_xlfn.IFERROR(INDEX('model_byCAP'!$D$2:$D$377,MATCH(Q3034,'model_byCAP'!$A$2:$A$377,0)),0)</f>
        <v>4861</v>
      </c>
    </row>
    <row r="3035" ht="15.35" customHeight="1">
      <c r="A3035" t="s" s="2">
        <v>5744</v>
      </c>
      <c r="B3035" s="4">
        <v>36479</v>
      </c>
      <c r="C3035" s="5">
        <v>660</v>
      </c>
      <c r="D3035" s="5">
        <v>47</v>
      </c>
      <c r="E3035" s="5">
        <v>50</v>
      </c>
      <c r="F3035" t="s" s="2">
        <v>301</v>
      </c>
      <c r="G3035" t="s" s="2">
        <v>5270</v>
      </c>
      <c r="H3035" s="5">
        <v>773</v>
      </c>
      <c r="I3035" t="s" s="2">
        <v>1648</v>
      </c>
      <c r="J3035" t="s" s="2">
        <v>22</v>
      </c>
      <c r="K3035" t="s" s="2">
        <v>4874</v>
      </c>
      <c r="L3035" t="s" s="2">
        <v>481</v>
      </c>
      <c r="M3035" s="5">
        <v>487924.57</v>
      </c>
      <c r="N3035" s="5">
        <v>6301914.72</v>
      </c>
      <c r="O3035" t="s" s="2">
        <v>305</v>
      </c>
      <c r="P3035" s="5">
        <v>223831</v>
      </c>
      <c r="Q3035" t="s" s="2">
        <v>5272</v>
      </c>
      <c r="R3035" t="s" s="2">
        <f>_xlfn.IFERROR(INDEX('model_byCAP'!$D$2:$D$377,MATCH(Q3035,'model_byCAP'!$A$2:$A$377,0)),0)</f>
        <v>4861</v>
      </c>
    </row>
    <row r="3036" ht="15.35" customHeight="1">
      <c r="A3036" t="s" s="2">
        <v>5745</v>
      </c>
      <c r="B3036" s="4">
        <v>36686</v>
      </c>
      <c r="C3036" s="5">
        <v>660</v>
      </c>
      <c r="D3036" s="5">
        <v>47</v>
      </c>
      <c r="E3036" s="5">
        <v>45</v>
      </c>
      <c r="F3036" t="s" s="2">
        <v>301</v>
      </c>
      <c r="G3036" t="s" s="2">
        <v>5270</v>
      </c>
      <c r="H3036" s="5">
        <v>773</v>
      </c>
      <c r="I3036" t="s" s="2">
        <v>1648</v>
      </c>
      <c r="J3036" t="s" s="2">
        <v>22</v>
      </c>
      <c r="K3036" t="s" s="2">
        <v>5746</v>
      </c>
      <c r="L3036" t="s" s="2">
        <v>502</v>
      </c>
      <c r="M3036" s="5">
        <v>480043.44</v>
      </c>
      <c r="N3036" s="5">
        <v>6298874.21</v>
      </c>
      <c r="O3036" t="s" s="2">
        <v>305</v>
      </c>
      <c r="P3036" s="5">
        <v>223933</v>
      </c>
      <c r="Q3036" t="s" s="2">
        <v>5272</v>
      </c>
      <c r="R3036" t="s" s="2">
        <f>_xlfn.IFERROR(INDEX('model_byCAP'!$D$2:$D$377,MATCH(Q3036,'model_byCAP'!$A$2:$A$377,0)),0)</f>
        <v>4861</v>
      </c>
    </row>
    <row r="3037" ht="15.35" customHeight="1">
      <c r="A3037" t="s" s="2">
        <v>5747</v>
      </c>
      <c r="B3037" s="4">
        <v>36686</v>
      </c>
      <c r="C3037" s="5">
        <v>660</v>
      </c>
      <c r="D3037" s="5">
        <v>47</v>
      </c>
      <c r="E3037" s="5">
        <v>45</v>
      </c>
      <c r="F3037" t="s" s="2">
        <v>301</v>
      </c>
      <c r="G3037" t="s" s="2">
        <v>5270</v>
      </c>
      <c r="H3037" s="5">
        <v>773</v>
      </c>
      <c r="I3037" t="s" s="2">
        <v>1648</v>
      </c>
      <c r="J3037" t="s" s="2">
        <v>22</v>
      </c>
      <c r="K3037" t="s" s="2">
        <v>5746</v>
      </c>
      <c r="L3037" t="s" s="2">
        <v>394</v>
      </c>
      <c r="M3037" s="5">
        <v>480016.29</v>
      </c>
      <c r="N3037" s="5">
        <v>6298702.87</v>
      </c>
      <c r="O3037" t="s" s="2">
        <v>305</v>
      </c>
      <c r="P3037" s="5">
        <v>223934</v>
      </c>
      <c r="Q3037" t="s" s="2">
        <v>5272</v>
      </c>
      <c r="R3037" t="s" s="2">
        <f>_xlfn.IFERROR(INDEX('model_byCAP'!$D$2:$D$377,MATCH(Q3037,'model_byCAP'!$A$2:$A$377,0)),0)</f>
        <v>4861</v>
      </c>
    </row>
    <row r="3038" ht="15.35" customHeight="1">
      <c r="A3038" t="s" s="2">
        <v>5748</v>
      </c>
      <c r="B3038" s="4">
        <v>35969</v>
      </c>
      <c r="C3038" s="5">
        <v>660</v>
      </c>
      <c r="D3038" s="5">
        <v>47</v>
      </c>
      <c r="E3038" s="5">
        <v>50</v>
      </c>
      <c r="F3038" t="s" s="2">
        <v>301</v>
      </c>
      <c r="G3038" t="s" s="2">
        <v>5270</v>
      </c>
      <c r="H3038" s="5">
        <v>779</v>
      </c>
      <c r="I3038" t="s" s="2">
        <v>1308</v>
      </c>
      <c r="J3038" t="s" s="2">
        <v>22</v>
      </c>
      <c r="K3038" t="s" s="2">
        <v>5749</v>
      </c>
      <c r="L3038" t="s" s="2">
        <v>5750</v>
      </c>
      <c r="M3038" s="5">
        <v>506496.97</v>
      </c>
      <c r="N3038" s="5">
        <v>6284592.16</v>
      </c>
      <c r="O3038" t="s" s="2">
        <v>305</v>
      </c>
      <c r="P3038" s="5">
        <v>2050292</v>
      </c>
      <c r="Q3038" t="s" s="2">
        <v>5272</v>
      </c>
      <c r="R3038" t="s" s="2">
        <f>_xlfn.IFERROR(INDEX('model_byCAP'!$D$2:$D$377,MATCH(Q3038,'model_byCAP'!$A$2:$A$377,0)),0)</f>
        <v>4861</v>
      </c>
    </row>
    <row r="3039" ht="15.35" customHeight="1">
      <c r="A3039" t="s" s="2">
        <v>5751</v>
      </c>
      <c r="B3039" s="4">
        <v>35969</v>
      </c>
      <c r="C3039" s="5">
        <v>660</v>
      </c>
      <c r="D3039" s="5">
        <v>47</v>
      </c>
      <c r="E3039" s="5">
        <v>50</v>
      </c>
      <c r="F3039" t="s" s="2">
        <v>301</v>
      </c>
      <c r="G3039" t="s" s="2">
        <v>5270</v>
      </c>
      <c r="H3039" s="5">
        <v>779</v>
      </c>
      <c r="I3039" t="s" s="2">
        <v>1308</v>
      </c>
      <c r="J3039" t="s" s="2">
        <v>22</v>
      </c>
      <c r="K3039" t="s" s="2">
        <v>5749</v>
      </c>
      <c r="L3039" t="s" s="2">
        <v>5750</v>
      </c>
      <c r="M3039" s="5">
        <v>506694.53</v>
      </c>
      <c r="N3039" s="5">
        <v>6284482.08</v>
      </c>
      <c r="O3039" t="s" s="2">
        <v>305</v>
      </c>
      <c r="P3039" s="5">
        <v>2050293</v>
      </c>
      <c r="Q3039" t="s" s="2">
        <v>5272</v>
      </c>
      <c r="R3039" t="s" s="2">
        <f>_xlfn.IFERROR(INDEX('model_byCAP'!$D$2:$D$377,MATCH(Q3039,'model_byCAP'!$A$2:$A$377,0)),0)</f>
        <v>4861</v>
      </c>
    </row>
    <row r="3040" ht="15.35" customHeight="1">
      <c r="A3040" t="s" s="2">
        <v>5752</v>
      </c>
      <c r="B3040" s="4">
        <v>36094</v>
      </c>
      <c r="C3040" s="5">
        <v>660</v>
      </c>
      <c r="D3040" s="5">
        <v>47</v>
      </c>
      <c r="E3040" s="5">
        <v>50</v>
      </c>
      <c r="F3040" t="s" s="2">
        <v>301</v>
      </c>
      <c r="G3040" t="s" s="2">
        <v>5270</v>
      </c>
      <c r="H3040" s="5">
        <v>779</v>
      </c>
      <c r="I3040" t="s" s="2">
        <v>1308</v>
      </c>
      <c r="J3040" t="s" s="2">
        <v>22</v>
      </c>
      <c r="K3040" t="s" s="2">
        <v>5753</v>
      </c>
      <c r="L3040" t="s" s="2">
        <v>850</v>
      </c>
      <c r="M3040" s="5">
        <v>500078.92</v>
      </c>
      <c r="N3040" s="5">
        <v>6281860.94</v>
      </c>
      <c r="O3040" t="s" s="2">
        <v>305</v>
      </c>
      <c r="P3040" s="5">
        <v>2050300</v>
      </c>
      <c r="Q3040" t="s" s="2">
        <v>5272</v>
      </c>
      <c r="R3040" t="s" s="2">
        <f>_xlfn.IFERROR(INDEX('model_byCAP'!$D$2:$D$377,MATCH(Q3040,'model_byCAP'!$A$2:$A$377,0)),0)</f>
        <v>4861</v>
      </c>
    </row>
    <row r="3041" ht="15.35" customHeight="1">
      <c r="A3041" t="s" s="2">
        <v>5754</v>
      </c>
      <c r="B3041" s="4">
        <v>36094</v>
      </c>
      <c r="C3041" s="5">
        <v>660</v>
      </c>
      <c r="D3041" s="5">
        <v>47</v>
      </c>
      <c r="E3041" s="5">
        <v>50</v>
      </c>
      <c r="F3041" t="s" s="2">
        <v>301</v>
      </c>
      <c r="G3041" t="s" s="2">
        <v>5270</v>
      </c>
      <c r="H3041" s="5">
        <v>779</v>
      </c>
      <c r="I3041" t="s" s="2">
        <v>1308</v>
      </c>
      <c r="J3041" t="s" s="2">
        <v>22</v>
      </c>
      <c r="K3041" t="s" s="2">
        <v>5753</v>
      </c>
      <c r="L3041" t="s" s="2">
        <v>850</v>
      </c>
      <c r="M3041" s="5">
        <v>500128.41</v>
      </c>
      <c r="N3041" s="5">
        <v>6282042.51</v>
      </c>
      <c r="O3041" t="s" s="2">
        <v>305</v>
      </c>
      <c r="P3041" s="5">
        <v>2050301</v>
      </c>
      <c r="Q3041" t="s" s="2">
        <v>5272</v>
      </c>
      <c r="R3041" t="s" s="2">
        <f>_xlfn.IFERROR(INDEX('model_byCAP'!$D$2:$D$377,MATCH(Q3041,'model_byCAP'!$A$2:$A$377,0)),0)</f>
        <v>4861</v>
      </c>
    </row>
    <row r="3042" ht="15.35" customHeight="1">
      <c r="A3042" t="s" s="2">
        <v>5755</v>
      </c>
      <c r="B3042" s="4">
        <v>36270</v>
      </c>
      <c r="C3042" s="5">
        <v>660</v>
      </c>
      <c r="D3042" s="5">
        <v>47</v>
      </c>
      <c r="E3042" s="5">
        <v>50</v>
      </c>
      <c r="F3042" t="s" s="2">
        <v>301</v>
      </c>
      <c r="G3042" t="s" s="2">
        <v>5270</v>
      </c>
      <c r="H3042" s="5">
        <v>779</v>
      </c>
      <c r="I3042" t="s" s="2">
        <v>1308</v>
      </c>
      <c r="J3042" t="s" s="2">
        <v>22</v>
      </c>
      <c r="K3042" t="s" s="2">
        <v>5753</v>
      </c>
      <c r="L3042" t="s" s="2">
        <v>394</v>
      </c>
      <c r="M3042" s="5">
        <v>499331.17</v>
      </c>
      <c r="N3042" s="5">
        <v>6282405.85</v>
      </c>
      <c r="O3042" t="s" s="2">
        <v>305</v>
      </c>
      <c r="P3042" s="5">
        <v>2050302</v>
      </c>
      <c r="Q3042" t="s" s="2">
        <v>5272</v>
      </c>
      <c r="R3042" t="s" s="2">
        <f>_xlfn.IFERROR(INDEX('model_byCAP'!$D$2:$D$377,MATCH(Q3042,'model_byCAP'!$A$2:$A$377,0)),0)</f>
        <v>4861</v>
      </c>
    </row>
    <row r="3043" ht="15.35" customHeight="1">
      <c r="A3043" t="s" s="2">
        <v>5756</v>
      </c>
      <c r="B3043" s="4">
        <v>36322</v>
      </c>
      <c r="C3043" s="5">
        <v>660</v>
      </c>
      <c r="D3043" s="5">
        <v>47</v>
      </c>
      <c r="E3043" s="5">
        <v>50</v>
      </c>
      <c r="F3043" t="s" s="2">
        <v>301</v>
      </c>
      <c r="G3043" t="s" s="2">
        <v>5270</v>
      </c>
      <c r="H3043" s="5">
        <v>779</v>
      </c>
      <c r="I3043" t="s" s="2">
        <v>1308</v>
      </c>
      <c r="J3043" t="s" s="2">
        <v>22</v>
      </c>
      <c r="K3043" t="s" s="2">
        <v>5753</v>
      </c>
      <c r="L3043" t="s" s="2">
        <v>394</v>
      </c>
      <c r="M3043" s="5">
        <v>499276.93</v>
      </c>
      <c r="N3043" s="5">
        <v>6282223.25</v>
      </c>
      <c r="O3043" t="s" s="2">
        <v>305</v>
      </c>
      <c r="P3043" s="5">
        <v>2050303</v>
      </c>
      <c r="Q3043" t="s" s="2">
        <v>5272</v>
      </c>
      <c r="R3043" t="s" s="2">
        <f>_xlfn.IFERROR(INDEX('model_byCAP'!$D$2:$D$377,MATCH(Q3043,'model_byCAP'!$A$2:$A$377,0)),0)</f>
        <v>4861</v>
      </c>
    </row>
    <row r="3044" ht="15.35" customHeight="1">
      <c r="A3044" t="s" s="2">
        <v>5757</v>
      </c>
      <c r="B3044" s="4">
        <v>36434</v>
      </c>
      <c r="C3044" s="5">
        <v>660</v>
      </c>
      <c r="D3044" s="5">
        <v>47</v>
      </c>
      <c r="E3044" s="5">
        <v>50</v>
      </c>
      <c r="F3044" t="s" s="2">
        <v>301</v>
      </c>
      <c r="G3044" t="s" s="2">
        <v>5270</v>
      </c>
      <c r="H3044" s="5">
        <v>779</v>
      </c>
      <c r="I3044" t="s" s="2">
        <v>1308</v>
      </c>
      <c r="J3044" t="s" s="2">
        <v>22</v>
      </c>
      <c r="K3044" t="s" s="2">
        <v>5758</v>
      </c>
      <c r="L3044" t="s" s="2">
        <v>5759</v>
      </c>
      <c r="M3044" s="5">
        <v>497809.38</v>
      </c>
      <c r="N3044" s="5">
        <v>6276760.97</v>
      </c>
      <c r="O3044" t="s" s="2">
        <v>305</v>
      </c>
      <c r="P3044" s="5">
        <v>2050306</v>
      </c>
      <c r="Q3044" t="s" s="2">
        <v>5272</v>
      </c>
      <c r="R3044" t="s" s="2">
        <f>_xlfn.IFERROR(INDEX('model_byCAP'!$D$2:$D$377,MATCH(Q3044,'model_byCAP'!$A$2:$A$377,0)),0)</f>
        <v>4861</v>
      </c>
    </row>
    <row r="3045" ht="15.35" customHeight="1">
      <c r="A3045" t="s" s="2">
        <v>5760</v>
      </c>
      <c r="B3045" s="4">
        <v>36434</v>
      </c>
      <c r="C3045" s="5">
        <v>660</v>
      </c>
      <c r="D3045" s="5">
        <v>47</v>
      </c>
      <c r="E3045" s="5">
        <v>50</v>
      </c>
      <c r="F3045" t="s" s="2">
        <v>301</v>
      </c>
      <c r="G3045" t="s" s="2">
        <v>5270</v>
      </c>
      <c r="H3045" s="5">
        <v>779</v>
      </c>
      <c r="I3045" t="s" s="2">
        <v>1308</v>
      </c>
      <c r="J3045" t="s" s="2">
        <v>22</v>
      </c>
      <c r="K3045" t="s" s="2">
        <v>5758</v>
      </c>
      <c r="L3045" t="s" s="2">
        <v>2969</v>
      </c>
      <c r="M3045" s="5">
        <v>498001.68</v>
      </c>
      <c r="N3045" s="5">
        <v>6276780.72</v>
      </c>
      <c r="O3045" t="s" s="2">
        <v>305</v>
      </c>
      <c r="P3045" s="5">
        <v>2050307</v>
      </c>
      <c r="Q3045" t="s" s="2">
        <v>5272</v>
      </c>
      <c r="R3045" t="s" s="2">
        <f>_xlfn.IFERROR(INDEX('model_byCAP'!$D$2:$D$377,MATCH(Q3045,'model_byCAP'!$A$2:$A$377,0)),0)</f>
        <v>4861</v>
      </c>
    </row>
    <row r="3046" ht="15.35" customHeight="1">
      <c r="A3046" t="s" s="2">
        <v>5761</v>
      </c>
      <c r="B3046" s="4">
        <v>36434</v>
      </c>
      <c r="C3046" s="5">
        <v>660</v>
      </c>
      <c r="D3046" s="5">
        <v>47</v>
      </c>
      <c r="E3046" s="5">
        <v>50</v>
      </c>
      <c r="F3046" t="s" s="2">
        <v>301</v>
      </c>
      <c r="G3046" t="s" s="2">
        <v>5270</v>
      </c>
      <c r="H3046" s="5">
        <v>779</v>
      </c>
      <c r="I3046" t="s" s="2">
        <v>1308</v>
      </c>
      <c r="J3046" t="s" s="2">
        <v>22</v>
      </c>
      <c r="K3046" t="s" s="2">
        <v>4893</v>
      </c>
      <c r="L3046" t="s" s="2">
        <v>518</v>
      </c>
      <c r="M3046" s="5">
        <v>498605.15</v>
      </c>
      <c r="N3046" s="5">
        <v>6276842.6</v>
      </c>
      <c r="O3046" t="s" s="2">
        <v>305</v>
      </c>
      <c r="P3046" s="5">
        <v>2050310</v>
      </c>
      <c r="Q3046" t="s" s="2">
        <v>5272</v>
      </c>
      <c r="R3046" t="s" s="2">
        <f>_xlfn.IFERROR(INDEX('model_byCAP'!$D$2:$D$377,MATCH(Q3046,'model_byCAP'!$A$2:$A$377,0)),0)</f>
        <v>4861</v>
      </c>
    </row>
    <row r="3047" ht="15.35" customHeight="1">
      <c r="A3047" t="s" s="2">
        <v>5762</v>
      </c>
      <c r="B3047" s="4">
        <v>36448</v>
      </c>
      <c r="C3047" s="5">
        <v>660</v>
      </c>
      <c r="D3047" s="5">
        <v>47</v>
      </c>
      <c r="E3047" s="5">
        <v>50</v>
      </c>
      <c r="F3047" t="s" s="2">
        <v>301</v>
      </c>
      <c r="G3047" t="s" s="2">
        <v>5270</v>
      </c>
      <c r="H3047" s="5">
        <v>779</v>
      </c>
      <c r="I3047" t="s" s="2">
        <v>1308</v>
      </c>
      <c r="J3047" t="s" s="2">
        <v>22</v>
      </c>
      <c r="K3047" t="s" s="2">
        <v>5763</v>
      </c>
      <c r="L3047" t="s" s="2">
        <v>4092</v>
      </c>
      <c r="M3047" s="5">
        <v>497611.47</v>
      </c>
      <c r="N3047" s="5">
        <v>6276742.03</v>
      </c>
      <c r="O3047" t="s" s="2">
        <v>305</v>
      </c>
      <c r="P3047" s="5">
        <v>2050315</v>
      </c>
      <c r="Q3047" t="s" s="2">
        <v>5272</v>
      </c>
      <c r="R3047" t="s" s="2">
        <f>_xlfn.IFERROR(INDEX('model_byCAP'!$D$2:$D$377,MATCH(Q3047,'model_byCAP'!$A$2:$A$377,0)),0)</f>
        <v>4861</v>
      </c>
    </row>
    <row r="3048" ht="15.35" customHeight="1">
      <c r="A3048" t="s" s="2">
        <v>5764</v>
      </c>
      <c r="B3048" s="4">
        <v>36448</v>
      </c>
      <c r="C3048" s="5">
        <v>660</v>
      </c>
      <c r="D3048" s="5">
        <v>47</v>
      </c>
      <c r="E3048" s="5">
        <v>50</v>
      </c>
      <c r="F3048" t="s" s="2">
        <v>301</v>
      </c>
      <c r="G3048" t="s" s="2">
        <v>5270</v>
      </c>
      <c r="H3048" s="5">
        <v>779</v>
      </c>
      <c r="I3048" t="s" s="2">
        <v>1308</v>
      </c>
      <c r="J3048" t="s" s="2">
        <v>22</v>
      </c>
      <c r="K3048" t="s" s="2">
        <v>4893</v>
      </c>
      <c r="L3048" t="s" s="2">
        <v>524</v>
      </c>
      <c r="M3048" s="5">
        <v>498804.01</v>
      </c>
      <c r="N3048" s="5">
        <v>6276862.24</v>
      </c>
      <c r="O3048" t="s" s="2">
        <v>305</v>
      </c>
      <c r="P3048" s="5">
        <v>2050316</v>
      </c>
      <c r="Q3048" t="s" s="2">
        <v>5272</v>
      </c>
      <c r="R3048" t="s" s="2">
        <f>_xlfn.IFERROR(INDEX('model_byCAP'!$D$2:$D$377,MATCH(Q3048,'model_byCAP'!$A$2:$A$377,0)),0)</f>
        <v>4861</v>
      </c>
    </row>
    <row r="3049" ht="15.35" customHeight="1">
      <c r="A3049" t="s" s="2">
        <v>5765</v>
      </c>
      <c r="B3049" s="4">
        <v>36648</v>
      </c>
      <c r="C3049" s="5">
        <v>660</v>
      </c>
      <c r="D3049" s="5">
        <v>47</v>
      </c>
      <c r="E3049" s="5">
        <v>45</v>
      </c>
      <c r="F3049" t="s" s="2">
        <v>301</v>
      </c>
      <c r="G3049" t="s" s="2">
        <v>5270</v>
      </c>
      <c r="H3049" s="5">
        <v>779</v>
      </c>
      <c r="I3049" t="s" s="2">
        <v>1308</v>
      </c>
      <c r="J3049" t="s" s="2">
        <v>22</v>
      </c>
      <c r="K3049" t="s" s="2">
        <v>5766</v>
      </c>
      <c r="L3049" t="s" s="2">
        <v>2872</v>
      </c>
      <c r="M3049" s="5">
        <v>504373.88</v>
      </c>
      <c r="N3049" s="5">
        <v>6278745.98</v>
      </c>
      <c r="O3049" t="s" s="2">
        <v>305</v>
      </c>
      <c r="P3049" s="5">
        <v>2050320</v>
      </c>
      <c r="Q3049" t="s" s="2">
        <v>5272</v>
      </c>
      <c r="R3049" t="s" s="2">
        <f>_xlfn.IFERROR(INDEX('model_byCAP'!$D$2:$D$377,MATCH(Q3049,'model_byCAP'!$A$2:$A$377,0)),0)</f>
        <v>4861</v>
      </c>
    </row>
    <row r="3050" ht="15.35" customHeight="1">
      <c r="A3050" t="s" s="2">
        <v>5767</v>
      </c>
      <c r="B3050" s="4">
        <v>36766</v>
      </c>
      <c r="C3050" s="5">
        <v>660</v>
      </c>
      <c r="D3050" s="5">
        <v>47</v>
      </c>
      <c r="E3050" s="5">
        <v>50</v>
      </c>
      <c r="F3050" t="s" s="2">
        <v>301</v>
      </c>
      <c r="G3050" t="s" s="2">
        <v>5270</v>
      </c>
      <c r="H3050" s="5">
        <v>779</v>
      </c>
      <c r="I3050" t="s" s="2">
        <v>1308</v>
      </c>
      <c r="J3050" t="s" s="2">
        <v>22</v>
      </c>
      <c r="K3050" t="s" s="2">
        <v>5768</v>
      </c>
      <c r="L3050" t="s" s="2">
        <v>5769</v>
      </c>
      <c r="M3050" s="5">
        <v>506298.32</v>
      </c>
      <c r="N3050" s="5">
        <v>6284702.28</v>
      </c>
      <c r="O3050" t="s" s="2">
        <v>305</v>
      </c>
      <c r="P3050" s="5">
        <v>2050334</v>
      </c>
      <c r="Q3050" t="s" s="2">
        <v>5272</v>
      </c>
      <c r="R3050" t="s" s="2">
        <f>_xlfn.IFERROR(INDEX('model_byCAP'!$D$2:$D$377,MATCH(Q3050,'model_byCAP'!$A$2:$A$377,0)),0)</f>
        <v>4861</v>
      </c>
    </row>
    <row r="3051" ht="15.35" customHeight="1">
      <c r="A3051" t="s" s="2">
        <v>5770</v>
      </c>
      <c r="B3051" s="4">
        <v>36817</v>
      </c>
      <c r="C3051" s="5">
        <v>660</v>
      </c>
      <c r="D3051" s="5">
        <v>42</v>
      </c>
      <c r="E3051" s="5">
        <v>45</v>
      </c>
      <c r="F3051" t="s" s="2">
        <v>301</v>
      </c>
      <c r="G3051" t="s" s="2">
        <v>5270</v>
      </c>
      <c r="H3051" s="5">
        <v>779</v>
      </c>
      <c r="I3051" t="s" s="2">
        <v>1308</v>
      </c>
      <c r="J3051" t="s" s="2">
        <v>22</v>
      </c>
      <c r="K3051" t="s" s="2">
        <v>5766</v>
      </c>
      <c r="L3051" t="s" s="2">
        <v>492</v>
      </c>
      <c r="M3051" s="5">
        <v>504367.59</v>
      </c>
      <c r="N3051" s="5">
        <v>6278266.49</v>
      </c>
      <c r="O3051" t="s" s="2">
        <v>305</v>
      </c>
      <c r="P3051" s="5">
        <v>2050249</v>
      </c>
      <c r="Q3051" t="s" s="2">
        <v>5272</v>
      </c>
      <c r="R3051" t="s" s="2">
        <f>_xlfn.IFERROR(INDEX('model_byCAP'!$D$2:$D$377,MATCH(Q3051,'model_byCAP'!$A$2:$A$377,0)),0)</f>
        <v>4861</v>
      </c>
    </row>
    <row r="3052" ht="15.35" customHeight="1">
      <c r="A3052" t="s" s="2">
        <v>5771</v>
      </c>
      <c r="B3052" s="4">
        <v>36664</v>
      </c>
      <c r="C3052" s="5">
        <v>660</v>
      </c>
      <c r="D3052" s="5">
        <v>47</v>
      </c>
      <c r="E3052" s="5">
        <v>40</v>
      </c>
      <c r="F3052" t="s" s="2">
        <v>301</v>
      </c>
      <c r="G3052" t="s" s="2">
        <v>4858</v>
      </c>
      <c r="H3052" s="5">
        <v>167</v>
      </c>
      <c r="I3052" t="s" s="2">
        <v>949</v>
      </c>
      <c r="J3052" t="s" s="2">
        <v>22</v>
      </c>
      <c r="K3052" t="s" s="2">
        <v>5772</v>
      </c>
      <c r="L3052" s="5">
        <v>0</v>
      </c>
      <c r="M3052" s="5">
        <v>719969.48</v>
      </c>
      <c r="N3052" s="5">
        <v>6167336.84</v>
      </c>
      <c r="O3052" t="s" s="2">
        <v>305</v>
      </c>
      <c r="P3052" t="s" s="2">
        <v>5773</v>
      </c>
      <c r="Q3052" t="s" s="2">
        <v>4860</v>
      </c>
      <c r="R3052" t="s" s="2">
        <f>_xlfn.IFERROR(INDEX('model_byCAP'!$D$2:$D$377,MATCH(Q3052,'model_byCAP'!$A$2:$A$377,0)),0)</f>
        <v>4861</v>
      </c>
    </row>
    <row r="3053" ht="15.35" customHeight="1">
      <c r="A3053" t="s" s="2">
        <v>5774</v>
      </c>
      <c r="B3053" s="4">
        <v>36664</v>
      </c>
      <c r="C3053" s="5">
        <v>660</v>
      </c>
      <c r="D3053" s="5">
        <v>47</v>
      </c>
      <c r="E3053" s="5">
        <v>40</v>
      </c>
      <c r="F3053" t="s" s="2">
        <v>301</v>
      </c>
      <c r="G3053" t="s" s="2">
        <v>4858</v>
      </c>
      <c r="H3053" s="5">
        <v>167</v>
      </c>
      <c r="I3053" t="s" s="2">
        <v>949</v>
      </c>
      <c r="J3053" t="s" s="2">
        <v>22</v>
      </c>
      <c r="K3053" t="s" s="2">
        <v>5772</v>
      </c>
      <c r="L3053" s="5">
        <v>0</v>
      </c>
      <c r="M3053" s="5">
        <v>720030.96</v>
      </c>
      <c r="N3053" s="5">
        <v>6167484.4</v>
      </c>
      <c r="O3053" t="s" s="2">
        <v>305</v>
      </c>
      <c r="P3053" t="s" s="2">
        <v>5775</v>
      </c>
      <c r="Q3053" t="s" s="2">
        <v>4860</v>
      </c>
      <c r="R3053" t="s" s="2">
        <f>_xlfn.IFERROR(INDEX('model_byCAP'!$D$2:$D$377,MATCH(Q3053,'model_byCAP'!$A$2:$A$377,0)),0)</f>
        <v>4861</v>
      </c>
    </row>
    <row r="3054" ht="15.35" customHeight="1">
      <c r="A3054" t="s" s="2">
        <v>5776</v>
      </c>
      <c r="B3054" s="4">
        <v>36664</v>
      </c>
      <c r="C3054" s="5">
        <v>660</v>
      </c>
      <c r="D3054" s="5">
        <v>47</v>
      </c>
      <c r="E3054" s="5">
        <v>40</v>
      </c>
      <c r="F3054" t="s" s="2">
        <v>301</v>
      </c>
      <c r="G3054" t="s" s="2">
        <v>4858</v>
      </c>
      <c r="H3054" s="5">
        <v>167</v>
      </c>
      <c r="I3054" t="s" s="2">
        <v>949</v>
      </c>
      <c r="J3054" t="s" s="2">
        <v>22</v>
      </c>
      <c r="K3054" t="s" s="2">
        <v>5772</v>
      </c>
      <c r="L3054" s="5">
        <v>0</v>
      </c>
      <c r="M3054" s="5">
        <v>720092.64</v>
      </c>
      <c r="N3054" s="5">
        <v>6167632.03</v>
      </c>
      <c r="O3054" t="s" s="2">
        <v>305</v>
      </c>
      <c r="P3054" t="s" s="2">
        <v>5777</v>
      </c>
      <c r="Q3054" t="s" s="2">
        <v>4860</v>
      </c>
      <c r="R3054" t="s" s="2">
        <f>_xlfn.IFERROR(INDEX('model_byCAP'!$D$2:$D$377,MATCH(Q3054,'model_byCAP'!$A$2:$A$377,0)),0)</f>
        <v>4861</v>
      </c>
    </row>
    <row r="3055" ht="15.35" customHeight="1">
      <c r="A3055" t="s" s="2">
        <v>5778</v>
      </c>
      <c r="B3055" s="4">
        <v>37025</v>
      </c>
      <c r="C3055" s="5">
        <v>660</v>
      </c>
      <c r="D3055" s="5">
        <v>47</v>
      </c>
      <c r="E3055" s="5">
        <v>40</v>
      </c>
      <c r="F3055" t="s" s="2">
        <v>301</v>
      </c>
      <c r="G3055" t="s" s="2">
        <v>4858</v>
      </c>
      <c r="H3055" s="5">
        <v>219</v>
      </c>
      <c r="I3055" t="s" s="2">
        <v>5779</v>
      </c>
      <c r="J3055" t="s" s="2">
        <v>22</v>
      </c>
      <c r="K3055" t="s" s="2">
        <v>5780</v>
      </c>
      <c r="L3055" t="s" s="2">
        <v>2872</v>
      </c>
      <c r="M3055" s="5">
        <v>704169.61</v>
      </c>
      <c r="N3055" s="5">
        <v>6199822.89</v>
      </c>
      <c r="O3055" t="s" s="2">
        <v>305</v>
      </c>
      <c r="P3055" t="s" s="2">
        <v>5781</v>
      </c>
      <c r="Q3055" t="s" s="2">
        <v>4860</v>
      </c>
      <c r="R3055" t="s" s="2">
        <f>_xlfn.IFERROR(INDEX('model_byCAP'!$D$2:$D$377,MATCH(Q3055,'model_byCAP'!$A$2:$A$377,0)),0)</f>
        <v>4861</v>
      </c>
    </row>
    <row r="3056" ht="15.35" customHeight="1">
      <c r="A3056" t="s" s="2">
        <v>5782</v>
      </c>
      <c r="B3056" s="4">
        <v>37025</v>
      </c>
      <c r="C3056" s="5">
        <v>660</v>
      </c>
      <c r="D3056" s="5">
        <v>47</v>
      </c>
      <c r="E3056" s="5">
        <v>40</v>
      </c>
      <c r="F3056" t="s" s="2">
        <v>301</v>
      </c>
      <c r="G3056" t="s" s="2">
        <v>4858</v>
      </c>
      <c r="H3056" s="5">
        <v>219</v>
      </c>
      <c r="I3056" t="s" s="2">
        <v>5779</v>
      </c>
      <c r="J3056" t="s" s="2">
        <v>22</v>
      </c>
      <c r="K3056" t="s" s="2">
        <v>5780</v>
      </c>
      <c r="L3056" t="s" s="2">
        <v>2872</v>
      </c>
      <c r="M3056" s="5">
        <v>704220.1899999999</v>
      </c>
      <c r="N3056" s="5">
        <v>6199963.04</v>
      </c>
      <c r="O3056" t="s" s="2">
        <v>305</v>
      </c>
      <c r="P3056" t="s" s="2">
        <v>5783</v>
      </c>
      <c r="Q3056" t="s" s="2">
        <v>4860</v>
      </c>
      <c r="R3056" t="s" s="2">
        <f>_xlfn.IFERROR(INDEX('model_byCAP'!$D$2:$D$377,MATCH(Q3056,'model_byCAP'!$A$2:$A$377,0)),0)</f>
        <v>4861</v>
      </c>
    </row>
    <row r="3057" ht="15.35" customHeight="1">
      <c r="A3057" t="s" s="2">
        <v>5784</v>
      </c>
      <c r="B3057" s="4">
        <v>37025</v>
      </c>
      <c r="C3057" s="5">
        <v>660</v>
      </c>
      <c r="D3057" s="5">
        <v>47</v>
      </c>
      <c r="E3057" s="5">
        <v>40</v>
      </c>
      <c r="F3057" t="s" s="2">
        <v>301</v>
      </c>
      <c r="G3057" t="s" s="2">
        <v>4858</v>
      </c>
      <c r="H3057" s="5">
        <v>219</v>
      </c>
      <c r="I3057" t="s" s="2">
        <v>5779</v>
      </c>
      <c r="J3057" t="s" s="2">
        <v>22</v>
      </c>
      <c r="K3057" t="s" s="2">
        <v>5780</v>
      </c>
      <c r="L3057" t="s" s="2">
        <v>2872</v>
      </c>
      <c r="M3057" s="5">
        <v>704270.05</v>
      </c>
      <c r="N3057" s="5">
        <v>6200105.68</v>
      </c>
      <c r="O3057" t="s" s="2">
        <v>305</v>
      </c>
      <c r="P3057" t="s" s="2">
        <v>5785</v>
      </c>
      <c r="Q3057" t="s" s="2">
        <v>4860</v>
      </c>
      <c r="R3057" t="s" s="2">
        <f>_xlfn.IFERROR(INDEX('model_byCAP'!$D$2:$D$377,MATCH(Q3057,'model_byCAP'!$A$2:$A$377,0)),0)</f>
        <v>4861</v>
      </c>
    </row>
    <row r="3058" ht="15.35" customHeight="1">
      <c r="A3058" t="s" s="2">
        <v>5786</v>
      </c>
      <c r="B3058" s="4">
        <v>36880</v>
      </c>
      <c r="C3058" s="5">
        <v>660</v>
      </c>
      <c r="D3058" s="5">
        <v>47</v>
      </c>
      <c r="E3058" s="5">
        <v>44</v>
      </c>
      <c r="F3058" t="s" s="2">
        <v>301</v>
      </c>
      <c r="G3058" t="s" s="2">
        <v>4858</v>
      </c>
      <c r="H3058" s="5">
        <v>219</v>
      </c>
      <c r="I3058" t="s" s="2">
        <v>5779</v>
      </c>
      <c r="J3058" t="s" s="2">
        <v>22</v>
      </c>
      <c r="K3058" t="s" s="2">
        <v>5787</v>
      </c>
      <c r="L3058" t="s" s="2">
        <v>1296</v>
      </c>
      <c r="M3058" s="5">
        <v>699582.8199999999</v>
      </c>
      <c r="N3058" s="5">
        <v>6199489.24</v>
      </c>
      <c r="O3058" t="s" s="2">
        <v>305</v>
      </c>
      <c r="P3058" t="s" s="2">
        <v>5788</v>
      </c>
      <c r="Q3058" t="s" s="2">
        <v>4860</v>
      </c>
      <c r="R3058" t="s" s="2">
        <f>_xlfn.IFERROR(INDEX('model_byCAP'!$D$2:$D$377,MATCH(Q3058,'model_byCAP'!$A$2:$A$377,0)),0)</f>
        <v>4861</v>
      </c>
    </row>
    <row r="3059" ht="15.35" customHeight="1">
      <c r="A3059" t="s" s="2">
        <v>5789</v>
      </c>
      <c r="B3059" s="4">
        <v>36882</v>
      </c>
      <c r="C3059" s="5">
        <v>660</v>
      </c>
      <c r="D3059" s="5">
        <v>47</v>
      </c>
      <c r="E3059" s="5">
        <v>44</v>
      </c>
      <c r="F3059" t="s" s="2">
        <v>301</v>
      </c>
      <c r="G3059" t="s" s="2">
        <v>4858</v>
      </c>
      <c r="H3059" s="5">
        <v>219</v>
      </c>
      <c r="I3059" t="s" s="2">
        <v>5779</v>
      </c>
      <c r="J3059" t="s" s="2">
        <v>22</v>
      </c>
      <c r="K3059" t="s" s="2">
        <v>5787</v>
      </c>
      <c r="L3059" t="s" s="2">
        <v>5790</v>
      </c>
      <c r="M3059" s="5">
        <v>699609.04</v>
      </c>
      <c r="N3059" s="5">
        <v>6199331.41</v>
      </c>
      <c r="O3059" t="s" s="2">
        <v>305</v>
      </c>
      <c r="P3059" t="s" s="2">
        <v>5791</v>
      </c>
      <c r="Q3059" t="s" s="2">
        <v>4860</v>
      </c>
      <c r="R3059" t="s" s="2">
        <f>_xlfn.IFERROR(INDEX('model_byCAP'!$D$2:$D$377,MATCH(Q3059,'model_byCAP'!$A$2:$A$377,0)),0)</f>
        <v>4861</v>
      </c>
    </row>
    <row r="3060" ht="15.35" customHeight="1">
      <c r="A3060" t="s" s="2">
        <v>5792</v>
      </c>
      <c r="B3060" s="4">
        <v>36880</v>
      </c>
      <c r="C3060" s="5">
        <v>660</v>
      </c>
      <c r="D3060" s="5">
        <v>47</v>
      </c>
      <c r="E3060" s="5">
        <v>44</v>
      </c>
      <c r="F3060" t="s" s="2">
        <v>301</v>
      </c>
      <c r="G3060" t="s" s="2">
        <v>4858</v>
      </c>
      <c r="H3060" s="5">
        <v>219</v>
      </c>
      <c r="I3060" t="s" s="2">
        <v>5779</v>
      </c>
      <c r="J3060" t="s" s="2">
        <v>22</v>
      </c>
      <c r="K3060" t="s" s="2">
        <v>5787</v>
      </c>
      <c r="L3060" t="s" s="2">
        <v>5793</v>
      </c>
      <c r="M3060" s="5">
        <v>699635.27</v>
      </c>
      <c r="N3060" s="5">
        <v>6199173.67</v>
      </c>
      <c r="O3060" t="s" s="2">
        <v>305</v>
      </c>
      <c r="P3060" t="s" s="2">
        <v>5794</v>
      </c>
      <c r="Q3060" t="s" s="2">
        <v>4860</v>
      </c>
      <c r="R3060" t="s" s="2">
        <f>_xlfn.IFERROR(INDEX('model_byCAP'!$D$2:$D$377,MATCH(Q3060,'model_byCAP'!$A$2:$A$377,0)),0)</f>
        <v>4861</v>
      </c>
    </row>
    <row r="3061" ht="15.35" customHeight="1">
      <c r="A3061" t="s" s="2">
        <v>5795</v>
      </c>
      <c r="B3061" s="4">
        <v>36692</v>
      </c>
      <c r="C3061" s="5">
        <v>660</v>
      </c>
      <c r="D3061" s="5">
        <v>47</v>
      </c>
      <c r="E3061" s="5">
        <v>50</v>
      </c>
      <c r="F3061" t="s" s="2">
        <v>301</v>
      </c>
      <c r="G3061" t="s" s="2">
        <v>5270</v>
      </c>
      <c r="H3061" s="5">
        <v>787</v>
      </c>
      <c r="I3061" t="s" s="2">
        <v>21</v>
      </c>
      <c r="J3061" t="s" s="2">
        <v>22</v>
      </c>
      <c r="K3061" t="s" s="2">
        <v>5796</v>
      </c>
      <c r="L3061" t="s" s="2">
        <v>1603</v>
      </c>
      <c r="M3061" s="5">
        <v>481470.92</v>
      </c>
      <c r="N3061" s="5">
        <v>6316411.15</v>
      </c>
      <c r="O3061" t="s" s="2">
        <v>305</v>
      </c>
      <c r="P3061" s="5">
        <v>42900100</v>
      </c>
      <c r="Q3061" t="s" s="2">
        <v>5272</v>
      </c>
      <c r="R3061" t="s" s="2">
        <f>_xlfn.IFERROR(INDEX('model_byCAP'!$D$2:$D$377,MATCH(Q3061,'model_byCAP'!$A$2:$A$377,0)),0)</f>
        <v>4861</v>
      </c>
    </row>
    <row r="3062" ht="15.35" customHeight="1">
      <c r="A3062" t="s" s="2">
        <v>5797</v>
      </c>
      <c r="B3062" s="4">
        <v>36382</v>
      </c>
      <c r="C3062" s="5">
        <v>660</v>
      </c>
      <c r="D3062" s="5">
        <v>47</v>
      </c>
      <c r="E3062" s="5">
        <v>45</v>
      </c>
      <c r="F3062" t="s" s="2">
        <v>301</v>
      </c>
      <c r="G3062" t="s" s="2">
        <v>4858</v>
      </c>
      <c r="H3062" s="5">
        <v>265</v>
      </c>
      <c r="I3062" t="s" s="2">
        <v>3920</v>
      </c>
      <c r="J3062" t="s" s="2">
        <v>22</v>
      </c>
      <c r="K3062" t="s" s="2">
        <v>3921</v>
      </c>
      <c r="L3062" t="s" s="2">
        <v>1161</v>
      </c>
      <c r="M3062" s="5">
        <v>697337.7</v>
      </c>
      <c r="N3062" s="5">
        <v>6174352.35</v>
      </c>
      <c r="O3062" t="s" s="2">
        <v>305</v>
      </c>
      <c r="P3062" t="s" s="2">
        <v>5798</v>
      </c>
      <c r="Q3062" t="s" s="2">
        <v>4860</v>
      </c>
      <c r="R3062" t="s" s="2">
        <f>_xlfn.IFERROR(INDEX('model_byCAP'!$D$2:$D$377,MATCH(Q3062,'model_byCAP'!$A$2:$A$377,0)),0)</f>
        <v>4861</v>
      </c>
    </row>
    <row r="3063" ht="15.35" customHeight="1">
      <c r="A3063" t="s" s="2">
        <v>5799</v>
      </c>
      <c r="B3063" s="4">
        <v>36714</v>
      </c>
      <c r="C3063" s="5">
        <v>660</v>
      </c>
      <c r="D3063" s="5">
        <v>47</v>
      </c>
      <c r="E3063" s="5">
        <v>45</v>
      </c>
      <c r="F3063" t="s" s="2">
        <v>301</v>
      </c>
      <c r="G3063" t="s" s="2">
        <v>5270</v>
      </c>
      <c r="H3063" s="5">
        <v>306</v>
      </c>
      <c r="I3063" t="s" s="2">
        <v>5800</v>
      </c>
      <c r="J3063" t="s" s="2">
        <v>22</v>
      </c>
      <c r="K3063" t="s" s="2">
        <v>5801</v>
      </c>
      <c r="L3063" t="s" s="2">
        <v>518</v>
      </c>
      <c r="M3063" s="5">
        <v>665261.23</v>
      </c>
      <c r="N3063" s="5">
        <v>6191713.17</v>
      </c>
      <c r="O3063" t="s" s="2">
        <v>305</v>
      </c>
      <c r="P3063" s="5">
        <v>40134170</v>
      </c>
      <c r="Q3063" t="s" s="2">
        <v>5272</v>
      </c>
      <c r="R3063" t="s" s="2">
        <f>_xlfn.IFERROR(INDEX('model_byCAP'!$D$2:$D$377,MATCH(Q3063,'model_byCAP'!$A$2:$A$377,0)),0)</f>
        <v>4861</v>
      </c>
    </row>
    <row r="3064" ht="15.35" customHeight="1">
      <c r="A3064" t="s" s="2">
        <v>5802</v>
      </c>
      <c r="B3064" s="4">
        <v>36747</v>
      </c>
      <c r="C3064" s="5">
        <v>660</v>
      </c>
      <c r="D3064" s="5">
        <v>47</v>
      </c>
      <c r="E3064" s="5">
        <v>45</v>
      </c>
      <c r="F3064" t="s" s="2">
        <v>301</v>
      </c>
      <c r="G3064" t="s" s="2">
        <v>5270</v>
      </c>
      <c r="H3064" s="5">
        <v>306</v>
      </c>
      <c r="I3064" t="s" s="2">
        <v>5800</v>
      </c>
      <c r="J3064" t="s" s="2">
        <v>22</v>
      </c>
      <c r="K3064" t="s" s="2">
        <v>5803</v>
      </c>
      <c r="L3064" t="s" s="2">
        <v>2931</v>
      </c>
      <c r="M3064" s="5">
        <v>665433.0600000001</v>
      </c>
      <c r="N3064" s="5">
        <v>6191763.05</v>
      </c>
      <c r="O3064" t="s" s="2">
        <v>305</v>
      </c>
      <c r="P3064" s="5">
        <v>40134177</v>
      </c>
      <c r="Q3064" t="s" s="2">
        <v>5272</v>
      </c>
      <c r="R3064" t="s" s="2">
        <f>_xlfn.IFERROR(INDEX('model_byCAP'!$D$2:$D$377,MATCH(Q3064,'model_byCAP'!$A$2:$A$377,0)),0)</f>
        <v>4861</v>
      </c>
    </row>
    <row r="3065" ht="15.35" customHeight="1">
      <c r="A3065" t="s" s="2">
        <v>5804</v>
      </c>
      <c r="B3065" s="4">
        <v>36714</v>
      </c>
      <c r="C3065" s="5">
        <v>660</v>
      </c>
      <c r="D3065" s="5">
        <v>47</v>
      </c>
      <c r="E3065" s="5">
        <v>45</v>
      </c>
      <c r="F3065" t="s" s="2">
        <v>301</v>
      </c>
      <c r="G3065" t="s" s="2">
        <v>5270</v>
      </c>
      <c r="H3065" s="5">
        <v>306</v>
      </c>
      <c r="I3065" t="s" s="2">
        <v>5800</v>
      </c>
      <c r="J3065" t="s" s="2">
        <v>22</v>
      </c>
      <c r="K3065" t="s" s="2">
        <v>5801</v>
      </c>
      <c r="L3065" t="s" s="2">
        <v>2931</v>
      </c>
      <c r="M3065" s="5">
        <v>665608.16</v>
      </c>
      <c r="N3065" s="5">
        <v>6191814.81</v>
      </c>
      <c r="O3065" t="s" s="2">
        <v>305</v>
      </c>
      <c r="P3065" s="5">
        <v>40134184</v>
      </c>
      <c r="Q3065" t="s" s="2">
        <v>5272</v>
      </c>
      <c r="R3065" t="s" s="2">
        <f>_xlfn.IFERROR(INDEX('model_byCAP'!$D$2:$D$377,MATCH(Q3065,'model_byCAP'!$A$2:$A$377,0)),0)</f>
        <v>4861</v>
      </c>
    </row>
    <row r="3066" ht="15.35" customHeight="1">
      <c r="A3066" t="s" s="2">
        <v>5805</v>
      </c>
      <c r="B3066" s="4">
        <v>36766</v>
      </c>
      <c r="C3066" s="5">
        <v>660</v>
      </c>
      <c r="D3066" s="5">
        <v>47</v>
      </c>
      <c r="E3066" s="5">
        <v>50</v>
      </c>
      <c r="F3066" t="s" s="2">
        <v>301</v>
      </c>
      <c r="G3066" t="s" s="2">
        <v>5270</v>
      </c>
      <c r="H3066" s="5">
        <v>791</v>
      </c>
      <c r="I3066" t="s" s="2">
        <v>1447</v>
      </c>
      <c r="J3066" t="s" s="2">
        <v>22</v>
      </c>
      <c r="K3066" t="s" s="2">
        <v>5806</v>
      </c>
      <c r="L3066" t="s" s="2">
        <v>4803</v>
      </c>
      <c r="M3066" s="5">
        <v>532985.3199999999</v>
      </c>
      <c r="N3066" s="5">
        <v>6252177.33</v>
      </c>
      <c r="O3066" t="s" s="2">
        <v>305</v>
      </c>
      <c r="P3066" s="5">
        <v>3153882</v>
      </c>
      <c r="Q3066" t="s" s="2">
        <v>5272</v>
      </c>
      <c r="R3066" t="s" s="2">
        <f>_xlfn.IFERROR(INDEX('model_byCAP'!$D$2:$D$377,MATCH(Q3066,'model_byCAP'!$A$2:$A$377,0)),0)</f>
        <v>4861</v>
      </c>
    </row>
    <row r="3067" ht="15.35" customHeight="1">
      <c r="A3067" t="s" s="2">
        <v>5807</v>
      </c>
      <c r="B3067" s="4">
        <v>36766</v>
      </c>
      <c r="C3067" s="5">
        <v>660</v>
      </c>
      <c r="D3067" s="5">
        <v>47</v>
      </c>
      <c r="E3067" s="5">
        <v>50</v>
      </c>
      <c r="F3067" t="s" s="2">
        <v>301</v>
      </c>
      <c r="G3067" t="s" s="2">
        <v>5270</v>
      </c>
      <c r="H3067" s="5">
        <v>791</v>
      </c>
      <c r="I3067" t="s" s="2">
        <v>1447</v>
      </c>
      <c r="J3067" t="s" s="2">
        <v>22</v>
      </c>
      <c r="K3067" t="s" s="2">
        <v>5806</v>
      </c>
      <c r="L3067" t="s" s="2">
        <v>500</v>
      </c>
      <c r="M3067" s="5">
        <v>532835.74</v>
      </c>
      <c r="N3067" s="5">
        <v>6252311.55</v>
      </c>
      <c r="O3067" t="s" s="2">
        <v>305</v>
      </c>
      <c r="P3067" s="5">
        <v>3153883</v>
      </c>
      <c r="Q3067" t="s" s="2">
        <v>5272</v>
      </c>
      <c r="R3067" t="s" s="2">
        <f>_xlfn.IFERROR(INDEX('model_byCAP'!$D$2:$D$377,MATCH(Q3067,'model_byCAP'!$A$2:$A$377,0)),0)</f>
        <v>4861</v>
      </c>
    </row>
    <row r="3068" ht="15.35" customHeight="1">
      <c r="A3068" t="s" s="2">
        <v>5808</v>
      </c>
      <c r="B3068" s="4">
        <v>36766</v>
      </c>
      <c r="C3068" s="5">
        <v>660</v>
      </c>
      <c r="D3068" s="5">
        <v>47</v>
      </c>
      <c r="E3068" s="5">
        <v>50</v>
      </c>
      <c r="F3068" t="s" s="2">
        <v>301</v>
      </c>
      <c r="G3068" t="s" s="2">
        <v>5270</v>
      </c>
      <c r="H3068" s="5">
        <v>791</v>
      </c>
      <c r="I3068" t="s" s="2">
        <v>1447</v>
      </c>
      <c r="J3068" t="s" s="2">
        <v>22</v>
      </c>
      <c r="K3068" t="s" s="2">
        <v>5806</v>
      </c>
      <c r="L3068" t="s" s="2">
        <v>1359</v>
      </c>
      <c r="M3068" s="5">
        <v>532680.36</v>
      </c>
      <c r="N3068" s="5">
        <v>6252451.57</v>
      </c>
      <c r="O3068" t="s" s="2">
        <v>305</v>
      </c>
      <c r="P3068" s="5">
        <v>3153884</v>
      </c>
      <c r="Q3068" t="s" s="2">
        <v>5272</v>
      </c>
      <c r="R3068" t="s" s="2">
        <f>_xlfn.IFERROR(INDEX('model_byCAP'!$D$2:$D$377,MATCH(Q3068,'model_byCAP'!$A$2:$A$377,0)),0)</f>
        <v>4861</v>
      </c>
    </row>
    <row r="3069" ht="15.35" customHeight="1">
      <c r="A3069" t="s" s="2">
        <v>5809</v>
      </c>
      <c r="B3069" s="4">
        <v>36787</v>
      </c>
      <c r="C3069" s="5">
        <v>660</v>
      </c>
      <c r="D3069" s="5">
        <v>47</v>
      </c>
      <c r="E3069" s="5">
        <v>50</v>
      </c>
      <c r="F3069" t="s" s="2">
        <v>301</v>
      </c>
      <c r="G3069" t="s" s="2">
        <v>5270</v>
      </c>
      <c r="H3069" s="5">
        <v>791</v>
      </c>
      <c r="I3069" t="s" s="2">
        <v>1447</v>
      </c>
      <c r="J3069" t="s" s="2">
        <v>22</v>
      </c>
      <c r="K3069" t="s" s="2">
        <v>5806</v>
      </c>
      <c r="L3069" t="s" s="2">
        <v>594</v>
      </c>
      <c r="M3069" s="5">
        <v>532527.45</v>
      </c>
      <c r="N3069" s="5">
        <v>6252588.03</v>
      </c>
      <c r="O3069" t="s" s="2">
        <v>305</v>
      </c>
      <c r="P3069" s="5">
        <v>3153885</v>
      </c>
      <c r="Q3069" t="s" s="2">
        <v>5272</v>
      </c>
      <c r="R3069" t="s" s="2">
        <f>_xlfn.IFERROR(INDEX('model_byCAP'!$D$2:$D$377,MATCH(Q3069,'model_byCAP'!$A$2:$A$377,0)),0)</f>
        <v>4861</v>
      </c>
    </row>
    <row r="3070" ht="15.35" customHeight="1">
      <c r="A3070" t="s" s="2">
        <v>5810</v>
      </c>
      <c r="B3070" s="4">
        <v>35872</v>
      </c>
      <c r="C3070" s="5">
        <v>660</v>
      </c>
      <c r="D3070" s="5">
        <v>47</v>
      </c>
      <c r="E3070" s="5">
        <v>50</v>
      </c>
      <c r="F3070" t="s" s="2">
        <v>301</v>
      </c>
      <c r="G3070" t="s" s="2">
        <v>5270</v>
      </c>
      <c r="H3070" s="5">
        <v>791</v>
      </c>
      <c r="I3070" t="s" s="2">
        <v>1447</v>
      </c>
      <c r="J3070" t="s" s="2">
        <v>22</v>
      </c>
      <c r="K3070" t="s" s="2">
        <v>4927</v>
      </c>
      <c r="L3070" t="s" s="2">
        <v>5811</v>
      </c>
      <c r="M3070" s="5">
        <v>501362.61</v>
      </c>
      <c r="N3070" s="5">
        <v>6252992.97</v>
      </c>
      <c r="O3070" t="s" s="2">
        <v>305</v>
      </c>
      <c r="P3070" s="5">
        <v>2050290</v>
      </c>
      <c r="Q3070" t="s" s="2">
        <v>5272</v>
      </c>
      <c r="R3070" t="s" s="2">
        <f>_xlfn.IFERROR(INDEX('model_byCAP'!$D$2:$D$377,MATCH(Q3070,'model_byCAP'!$A$2:$A$377,0)),0)</f>
        <v>4861</v>
      </c>
    </row>
    <row r="3071" ht="15.35" customHeight="1">
      <c r="A3071" t="s" s="2">
        <v>5812</v>
      </c>
      <c r="B3071" s="4">
        <v>35872</v>
      </c>
      <c r="C3071" s="5">
        <v>660</v>
      </c>
      <c r="D3071" s="5">
        <v>47</v>
      </c>
      <c r="E3071" s="5">
        <v>50</v>
      </c>
      <c r="F3071" t="s" s="2">
        <v>301</v>
      </c>
      <c r="G3071" t="s" s="2">
        <v>5270</v>
      </c>
      <c r="H3071" s="5">
        <v>791</v>
      </c>
      <c r="I3071" t="s" s="2">
        <v>1447</v>
      </c>
      <c r="J3071" t="s" s="2">
        <v>22</v>
      </c>
      <c r="K3071" t="s" s="2">
        <v>4927</v>
      </c>
      <c r="L3071" t="s" s="2">
        <v>5811</v>
      </c>
      <c r="M3071" s="5">
        <v>501196.93</v>
      </c>
      <c r="N3071" s="5">
        <v>6253650.96</v>
      </c>
      <c r="O3071" t="s" s="2">
        <v>305</v>
      </c>
      <c r="P3071" s="5">
        <v>2050291</v>
      </c>
      <c r="Q3071" t="s" s="2">
        <v>5272</v>
      </c>
      <c r="R3071" t="s" s="2">
        <f>_xlfn.IFERROR(INDEX('model_byCAP'!$D$2:$D$377,MATCH(Q3071,'model_byCAP'!$A$2:$A$377,0)),0)</f>
        <v>4861</v>
      </c>
    </row>
    <row r="3072" ht="15.35" customHeight="1">
      <c r="A3072" t="s" s="2">
        <v>5813</v>
      </c>
      <c r="B3072" s="4">
        <v>36157</v>
      </c>
      <c r="C3072" s="5">
        <v>660</v>
      </c>
      <c r="D3072" s="5">
        <v>47</v>
      </c>
      <c r="E3072" s="5">
        <v>45</v>
      </c>
      <c r="F3072" t="s" s="2">
        <v>301</v>
      </c>
      <c r="G3072" t="s" s="2">
        <v>5270</v>
      </c>
      <c r="H3072" s="5">
        <v>813</v>
      </c>
      <c r="I3072" t="s" s="2">
        <v>1708</v>
      </c>
      <c r="J3072" t="s" s="2">
        <v>22</v>
      </c>
      <c r="K3072" t="s" s="2">
        <v>2829</v>
      </c>
      <c r="L3072" t="s" s="2">
        <v>4607</v>
      </c>
      <c r="M3072" s="5">
        <v>589171.8100000001</v>
      </c>
      <c r="N3072" s="5">
        <v>6351796.03</v>
      </c>
      <c r="O3072" t="s" s="2">
        <v>305</v>
      </c>
      <c r="P3072" t="s" s="2">
        <v>5814</v>
      </c>
      <c r="Q3072" t="s" s="2">
        <v>5272</v>
      </c>
      <c r="R3072" t="s" s="2">
        <f>_xlfn.IFERROR(INDEX('model_byCAP'!$D$2:$D$377,MATCH(Q3072,'model_byCAP'!$A$2:$A$377,0)),0)</f>
        <v>4861</v>
      </c>
    </row>
    <row r="3073" ht="15.35" customHeight="1">
      <c r="A3073" t="s" s="2">
        <v>5815</v>
      </c>
      <c r="B3073" s="4">
        <v>36157</v>
      </c>
      <c r="C3073" s="5">
        <v>660</v>
      </c>
      <c r="D3073" s="5">
        <v>47</v>
      </c>
      <c r="E3073" s="5">
        <v>45</v>
      </c>
      <c r="F3073" t="s" s="2">
        <v>301</v>
      </c>
      <c r="G3073" t="s" s="2">
        <v>5270</v>
      </c>
      <c r="H3073" s="5">
        <v>813</v>
      </c>
      <c r="I3073" t="s" s="2">
        <v>1708</v>
      </c>
      <c r="J3073" t="s" s="2">
        <v>22</v>
      </c>
      <c r="K3073" t="s" s="2">
        <v>2829</v>
      </c>
      <c r="L3073" t="s" s="2">
        <v>518</v>
      </c>
      <c r="M3073" s="5">
        <v>588924.3199999999</v>
      </c>
      <c r="N3073" s="5">
        <v>6351964.01</v>
      </c>
      <c r="O3073" t="s" s="2">
        <v>305</v>
      </c>
      <c r="P3073" t="s" s="2">
        <v>5814</v>
      </c>
      <c r="Q3073" t="s" s="2">
        <v>5272</v>
      </c>
      <c r="R3073" t="s" s="2">
        <f>_xlfn.IFERROR(INDEX('model_byCAP'!$D$2:$D$377,MATCH(Q3073,'model_byCAP'!$A$2:$A$377,0)),0)</f>
        <v>4861</v>
      </c>
    </row>
    <row r="3074" ht="15.35" customHeight="1">
      <c r="A3074" t="s" s="2">
        <v>5816</v>
      </c>
      <c r="B3074" s="4">
        <v>36499</v>
      </c>
      <c r="C3074" s="5">
        <v>660</v>
      </c>
      <c r="D3074" s="5">
        <v>47</v>
      </c>
      <c r="E3074" s="5">
        <v>45</v>
      </c>
      <c r="F3074" t="s" s="2">
        <v>301</v>
      </c>
      <c r="G3074" t="s" s="2">
        <v>5270</v>
      </c>
      <c r="H3074" s="5">
        <v>813</v>
      </c>
      <c r="I3074" t="s" s="2">
        <v>1708</v>
      </c>
      <c r="J3074" t="s" s="2">
        <v>22</v>
      </c>
      <c r="K3074" t="s" s="2">
        <v>2829</v>
      </c>
      <c r="L3074" t="s" s="2">
        <v>518</v>
      </c>
      <c r="M3074" s="5">
        <v>588676.2</v>
      </c>
      <c r="N3074" s="5">
        <v>6352133.54</v>
      </c>
      <c r="O3074" t="s" s="2">
        <v>305</v>
      </c>
      <c r="P3074" t="s" s="2">
        <v>5814</v>
      </c>
      <c r="Q3074" t="s" s="2">
        <v>5272</v>
      </c>
      <c r="R3074" t="s" s="2">
        <f>_xlfn.IFERROR(INDEX('model_byCAP'!$D$2:$D$377,MATCH(Q3074,'model_byCAP'!$A$2:$A$377,0)),0)</f>
        <v>4861</v>
      </c>
    </row>
    <row r="3075" ht="15.35" customHeight="1">
      <c r="A3075" t="s" s="2">
        <v>5817</v>
      </c>
      <c r="B3075" s="4">
        <v>37523</v>
      </c>
      <c r="C3075" s="5">
        <v>660</v>
      </c>
      <c r="D3075" s="5">
        <v>47</v>
      </c>
      <c r="E3075" s="5">
        <v>45</v>
      </c>
      <c r="F3075" t="s" s="2">
        <v>301</v>
      </c>
      <c r="G3075" t="s" s="2">
        <v>5270</v>
      </c>
      <c r="H3075" s="5">
        <v>813</v>
      </c>
      <c r="I3075" t="s" s="2">
        <v>1708</v>
      </c>
      <c r="J3075" t="s" s="2">
        <v>22</v>
      </c>
      <c r="K3075" t="s" s="2">
        <v>5818</v>
      </c>
      <c r="L3075" s="5">
        <v>19</v>
      </c>
      <c r="M3075" s="5">
        <v>589178.1800000001</v>
      </c>
      <c r="N3075" s="5">
        <v>6352086.33</v>
      </c>
      <c r="O3075" t="s" s="2">
        <v>305</v>
      </c>
      <c r="P3075" t="s" s="2">
        <v>5819</v>
      </c>
      <c r="Q3075" t="s" s="2">
        <v>5272</v>
      </c>
      <c r="R3075" t="s" s="2">
        <f>_xlfn.IFERROR(INDEX('model_byCAP'!$D$2:$D$377,MATCH(Q3075,'model_byCAP'!$A$2:$A$377,0)),0)</f>
        <v>4861</v>
      </c>
    </row>
    <row r="3076" ht="15.35" customHeight="1">
      <c r="A3076" t="s" s="2">
        <v>5820</v>
      </c>
      <c r="B3076" s="4">
        <v>37523</v>
      </c>
      <c r="C3076" s="5">
        <v>660</v>
      </c>
      <c r="D3076" s="5">
        <v>47</v>
      </c>
      <c r="E3076" s="5">
        <v>45</v>
      </c>
      <c r="F3076" t="s" s="2">
        <v>301</v>
      </c>
      <c r="G3076" t="s" s="2">
        <v>5270</v>
      </c>
      <c r="H3076" s="5">
        <v>813</v>
      </c>
      <c r="I3076" t="s" s="2">
        <v>1708</v>
      </c>
      <c r="J3076" t="s" s="2">
        <v>22</v>
      </c>
      <c r="K3076" t="s" s="2">
        <v>5818</v>
      </c>
      <c r="L3076" s="5">
        <v>19</v>
      </c>
      <c r="M3076" s="5">
        <v>588930.45</v>
      </c>
      <c r="N3076" s="5">
        <v>6352257.1</v>
      </c>
      <c r="O3076" t="s" s="2">
        <v>305</v>
      </c>
      <c r="P3076" t="s" s="2">
        <v>5821</v>
      </c>
      <c r="Q3076" t="s" s="2">
        <v>5272</v>
      </c>
      <c r="R3076" t="s" s="2">
        <f>_xlfn.IFERROR(INDEX('model_byCAP'!$D$2:$D$377,MATCH(Q3076,'model_byCAP'!$A$2:$A$377,0)),0)</f>
        <v>4861</v>
      </c>
    </row>
    <row r="3077" ht="15.35" customHeight="1">
      <c r="A3077" t="s" s="2">
        <v>5822</v>
      </c>
      <c r="B3077" s="4">
        <v>37523</v>
      </c>
      <c r="C3077" s="5">
        <v>660</v>
      </c>
      <c r="D3077" s="5">
        <v>47</v>
      </c>
      <c r="E3077" s="5">
        <v>45</v>
      </c>
      <c r="F3077" t="s" s="2">
        <v>301</v>
      </c>
      <c r="G3077" t="s" s="2">
        <v>5270</v>
      </c>
      <c r="H3077" s="5">
        <v>813</v>
      </c>
      <c r="I3077" t="s" s="2">
        <v>1708</v>
      </c>
      <c r="J3077" t="s" s="2">
        <v>22</v>
      </c>
      <c r="K3077" t="s" s="2">
        <v>5818</v>
      </c>
      <c r="L3077" s="5">
        <v>19</v>
      </c>
      <c r="M3077" s="5">
        <v>588683.63</v>
      </c>
      <c r="N3077" s="5">
        <v>6352427.75</v>
      </c>
      <c r="O3077" t="s" s="2">
        <v>305</v>
      </c>
      <c r="P3077" t="s" s="2">
        <v>5823</v>
      </c>
      <c r="Q3077" t="s" s="2">
        <v>5272</v>
      </c>
      <c r="R3077" t="s" s="2">
        <f>_xlfn.IFERROR(INDEX('model_byCAP'!$D$2:$D$377,MATCH(Q3077,'model_byCAP'!$A$2:$A$377,0)),0)</f>
        <v>4861</v>
      </c>
    </row>
    <row r="3078" ht="15.35" customHeight="1">
      <c r="A3078" t="s" s="2">
        <v>5824</v>
      </c>
      <c r="B3078" s="4">
        <v>36125</v>
      </c>
      <c r="C3078" s="5">
        <v>660</v>
      </c>
      <c r="D3078" s="5">
        <v>47</v>
      </c>
      <c r="E3078" s="5">
        <v>50</v>
      </c>
      <c r="F3078" t="s" s="2">
        <v>301</v>
      </c>
      <c r="G3078" t="s" s="2">
        <v>5270</v>
      </c>
      <c r="H3078" s="5">
        <v>820</v>
      </c>
      <c r="I3078" t="s" s="2">
        <v>388</v>
      </c>
      <c r="J3078" t="s" s="2">
        <v>22</v>
      </c>
      <c r="K3078" t="s" s="2">
        <v>5825</v>
      </c>
      <c r="L3078" t="s" s="2">
        <v>5826</v>
      </c>
      <c r="M3078" s="5">
        <v>518933.05</v>
      </c>
      <c r="N3078" s="5">
        <v>6286940.15</v>
      </c>
      <c r="O3078" t="s" s="2">
        <v>305</v>
      </c>
      <c r="P3078" s="5">
        <v>398</v>
      </c>
      <c r="Q3078" t="s" s="2">
        <v>5272</v>
      </c>
      <c r="R3078" t="s" s="2">
        <f>_xlfn.IFERROR(INDEX('model_byCAP'!$D$2:$D$377,MATCH(Q3078,'model_byCAP'!$A$2:$A$377,0)),0)</f>
        <v>4861</v>
      </c>
    </row>
    <row r="3079" ht="15.35" customHeight="1">
      <c r="A3079" t="s" s="2">
        <v>5827</v>
      </c>
      <c r="B3079" s="4">
        <v>36118</v>
      </c>
      <c r="C3079" s="5">
        <v>660</v>
      </c>
      <c r="D3079" s="5">
        <v>47</v>
      </c>
      <c r="E3079" s="5">
        <v>50</v>
      </c>
      <c r="F3079" t="s" s="2">
        <v>301</v>
      </c>
      <c r="G3079" t="s" s="2">
        <v>5270</v>
      </c>
      <c r="H3079" s="5">
        <v>820</v>
      </c>
      <c r="I3079" t="s" s="2">
        <v>388</v>
      </c>
      <c r="J3079" t="s" s="2">
        <v>22</v>
      </c>
      <c r="K3079" t="s" s="2">
        <v>5825</v>
      </c>
      <c r="L3079" t="s" s="2">
        <v>2931</v>
      </c>
      <c r="M3079" s="5">
        <v>518933.11</v>
      </c>
      <c r="N3079" s="5">
        <v>6286715.73</v>
      </c>
      <c r="O3079" t="s" s="2">
        <v>305</v>
      </c>
      <c r="P3079" s="5">
        <v>399</v>
      </c>
      <c r="Q3079" t="s" s="2">
        <v>5272</v>
      </c>
      <c r="R3079" t="s" s="2">
        <f>_xlfn.IFERROR(INDEX('model_byCAP'!$D$2:$D$377,MATCH(Q3079,'model_byCAP'!$A$2:$A$377,0)),0)</f>
        <v>4861</v>
      </c>
    </row>
    <row r="3080" ht="15.35" customHeight="1">
      <c r="A3080" t="s" s="2">
        <v>5828</v>
      </c>
      <c r="B3080" s="4">
        <v>36118</v>
      </c>
      <c r="C3080" s="5">
        <v>660</v>
      </c>
      <c r="D3080" s="5">
        <v>47</v>
      </c>
      <c r="E3080" s="5">
        <v>50</v>
      </c>
      <c r="F3080" t="s" s="2">
        <v>301</v>
      </c>
      <c r="G3080" t="s" s="2">
        <v>5270</v>
      </c>
      <c r="H3080" s="5">
        <v>820</v>
      </c>
      <c r="I3080" t="s" s="2">
        <v>388</v>
      </c>
      <c r="J3080" t="s" s="2">
        <v>22</v>
      </c>
      <c r="K3080" t="s" s="2">
        <v>5825</v>
      </c>
      <c r="L3080" t="s" s="2">
        <v>2931</v>
      </c>
      <c r="M3080" s="5">
        <v>518932.66</v>
      </c>
      <c r="N3080" s="5">
        <v>6286490.81</v>
      </c>
      <c r="O3080" t="s" s="2">
        <v>305</v>
      </c>
      <c r="P3080" s="5">
        <v>400</v>
      </c>
      <c r="Q3080" t="s" s="2">
        <v>5272</v>
      </c>
      <c r="R3080" t="s" s="2">
        <f>_xlfn.IFERROR(INDEX('model_byCAP'!$D$2:$D$377,MATCH(Q3080,'model_byCAP'!$A$2:$A$377,0)),0)</f>
        <v>4861</v>
      </c>
    </row>
    <row r="3081" ht="15.35" customHeight="1">
      <c r="A3081" t="s" s="2">
        <v>5829</v>
      </c>
      <c r="B3081" s="4">
        <v>36819</v>
      </c>
      <c r="C3081" s="5">
        <v>660</v>
      </c>
      <c r="D3081" s="5">
        <v>47</v>
      </c>
      <c r="E3081" s="5">
        <v>50</v>
      </c>
      <c r="F3081" t="s" s="2">
        <v>301</v>
      </c>
      <c r="G3081" t="s" s="2">
        <v>5270</v>
      </c>
      <c r="H3081" s="5">
        <v>820</v>
      </c>
      <c r="I3081" t="s" s="2">
        <v>388</v>
      </c>
      <c r="J3081" t="s" s="2">
        <v>22</v>
      </c>
      <c r="K3081" t="s" s="2">
        <v>5830</v>
      </c>
      <c r="L3081" t="s" s="2">
        <v>1296</v>
      </c>
      <c r="M3081" s="5">
        <v>524460.95</v>
      </c>
      <c r="N3081" s="5">
        <v>6282233.73</v>
      </c>
      <c r="O3081" t="s" s="2">
        <v>305</v>
      </c>
      <c r="P3081" s="5">
        <v>429</v>
      </c>
      <c r="Q3081" t="s" s="2">
        <v>5272</v>
      </c>
      <c r="R3081" t="s" s="2">
        <f>_xlfn.IFERROR(INDEX('model_byCAP'!$D$2:$D$377,MATCH(Q3081,'model_byCAP'!$A$2:$A$377,0)),0)</f>
        <v>4861</v>
      </c>
    </row>
    <row r="3082" ht="15.35" customHeight="1">
      <c r="A3082" t="s" s="2">
        <v>5831</v>
      </c>
      <c r="B3082" s="4">
        <v>36819</v>
      </c>
      <c r="C3082" s="5">
        <v>660</v>
      </c>
      <c r="D3082" s="5">
        <v>47</v>
      </c>
      <c r="E3082" s="5">
        <v>50</v>
      </c>
      <c r="F3082" t="s" s="2">
        <v>301</v>
      </c>
      <c r="G3082" t="s" s="2">
        <v>5270</v>
      </c>
      <c r="H3082" s="5">
        <v>820</v>
      </c>
      <c r="I3082" t="s" s="2">
        <v>388</v>
      </c>
      <c r="J3082" t="s" s="2">
        <v>22</v>
      </c>
      <c r="K3082" t="s" s="2">
        <v>5830</v>
      </c>
      <c r="L3082" t="s" s="2">
        <v>904</v>
      </c>
      <c r="M3082" s="5">
        <v>524247.84</v>
      </c>
      <c r="N3082" s="5">
        <v>6282363.29</v>
      </c>
      <c r="O3082" t="s" s="2">
        <v>305</v>
      </c>
      <c r="P3082" s="5">
        <v>430</v>
      </c>
      <c r="Q3082" t="s" s="2">
        <v>5272</v>
      </c>
      <c r="R3082" t="s" s="2">
        <f>_xlfn.IFERROR(INDEX('model_byCAP'!$D$2:$D$377,MATCH(Q3082,'model_byCAP'!$A$2:$A$377,0)),0)</f>
        <v>4861</v>
      </c>
    </row>
    <row r="3083" ht="15.35" customHeight="1">
      <c r="A3083" t="s" s="2">
        <v>5832</v>
      </c>
      <c r="B3083" s="4">
        <v>36819</v>
      </c>
      <c r="C3083" s="5">
        <v>660</v>
      </c>
      <c r="D3083" s="5">
        <v>47</v>
      </c>
      <c r="E3083" s="5">
        <v>50</v>
      </c>
      <c r="F3083" t="s" s="2">
        <v>301</v>
      </c>
      <c r="G3083" t="s" s="2">
        <v>5270</v>
      </c>
      <c r="H3083" s="5">
        <v>820</v>
      </c>
      <c r="I3083" t="s" s="2">
        <v>388</v>
      </c>
      <c r="J3083" t="s" s="2">
        <v>22</v>
      </c>
      <c r="K3083" t="s" s="2">
        <v>5830</v>
      </c>
      <c r="L3083" t="s" s="2">
        <v>1363</v>
      </c>
      <c r="M3083" s="5">
        <v>524034.15</v>
      </c>
      <c r="N3083" s="5">
        <v>6282493.87</v>
      </c>
      <c r="O3083" t="s" s="2">
        <v>305</v>
      </c>
      <c r="P3083" s="5">
        <v>431</v>
      </c>
      <c r="Q3083" t="s" s="2">
        <v>5272</v>
      </c>
      <c r="R3083" t="s" s="2">
        <f>_xlfn.IFERROR(INDEX('model_byCAP'!$D$2:$D$377,MATCH(Q3083,'model_byCAP'!$A$2:$A$377,0)),0)</f>
        <v>4861</v>
      </c>
    </row>
    <row r="3084" ht="15.35" customHeight="1">
      <c r="A3084" t="s" s="2">
        <v>5833</v>
      </c>
      <c r="B3084" s="4">
        <v>36819</v>
      </c>
      <c r="C3084" s="5">
        <v>660</v>
      </c>
      <c r="D3084" s="5">
        <v>47</v>
      </c>
      <c r="E3084" s="5">
        <v>50</v>
      </c>
      <c r="F3084" t="s" s="2">
        <v>301</v>
      </c>
      <c r="G3084" t="s" s="2">
        <v>5270</v>
      </c>
      <c r="H3084" s="5">
        <v>820</v>
      </c>
      <c r="I3084" t="s" s="2">
        <v>388</v>
      </c>
      <c r="J3084" t="s" s="2">
        <v>22</v>
      </c>
      <c r="K3084" t="s" s="2">
        <v>5830</v>
      </c>
      <c r="L3084" t="s" s="2">
        <v>2078</v>
      </c>
      <c r="M3084" s="5">
        <v>523820.37</v>
      </c>
      <c r="N3084" s="5">
        <v>6282624.65</v>
      </c>
      <c r="O3084" t="s" s="2">
        <v>305</v>
      </c>
      <c r="P3084" s="5">
        <v>432</v>
      </c>
      <c r="Q3084" t="s" s="2">
        <v>5272</v>
      </c>
      <c r="R3084" t="s" s="2">
        <f>_xlfn.IFERROR(INDEX('model_byCAP'!$D$2:$D$377,MATCH(Q3084,'model_byCAP'!$A$2:$A$377,0)),0)</f>
        <v>4861</v>
      </c>
    </row>
    <row r="3085" ht="15.35" customHeight="1">
      <c r="A3085" t="s" s="2">
        <v>5834</v>
      </c>
      <c r="B3085" s="4">
        <v>37591</v>
      </c>
      <c r="C3085" s="5">
        <v>660</v>
      </c>
      <c r="D3085" s="5">
        <v>47</v>
      </c>
      <c r="E3085" s="5">
        <v>45</v>
      </c>
      <c r="F3085" t="s" s="2">
        <v>301</v>
      </c>
      <c r="G3085" t="s" s="2">
        <v>5270</v>
      </c>
      <c r="H3085" s="5">
        <v>820</v>
      </c>
      <c r="I3085" t="s" s="2">
        <v>388</v>
      </c>
      <c r="J3085" t="s" s="2">
        <v>22</v>
      </c>
      <c r="K3085" t="s" s="2">
        <v>5835</v>
      </c>
      <c r="L3085" t="s" s="2">
        <v>4831</v>
      </c>
      <c r="M3085" s="5">
        <v>517973.83</v>
      </c>
      <c r="N3085" s="5">
        <v>6312574.01</v>
      </c>
      <c r="O3085" t="s" s="2">
        <v>305</v>
      </c>
      <c r="P3085" t="s" s="2">
        <v>5836</v>
      </c>
      <c r="Q3085" t="s" s="2">
        <v>5272</v>
      </c>
      <c r="R3085" t="s" s="2">
        <f>_xlfn.IFERROR(INDEX('model_byCAP'!$D$2:$D$377,MATCH(Q3085,'model_byCAP'!$A$2:$A$377,0)),0)</f>
        <v>4861</v>
      </c>
    </row>
    <row r="3086" ht="15.35" customHeight="1">
      <c r="A3086" t="s" s="2">
        <v>5837</v>
      </c>
      <c r="B3086" s="4">
        <v>37565</v>
      </c>
      <c r="C3086" s="5">
        <v>660</v>
      </c>
      <c r="D3086" s="5">
        <v>47</v>
      </c>
      <c r="E3086" s="5">
        <v>45</v>
      </c>
      <c r="F3086" t="s" s="2">
        <v>301</v>
      </c>
      <c r="G3086" t="s" s="2">
        <v>5270</v>
      </c>
      <c r="H3086" s="5">
        <v>820</v>
      </c>
      <c r="I3086" t="s" s="2">
        <v>388</v>
      </c>
      <c r="J3086" t="s" s="2">
        <v>22</v>
      </c>
      <c r="K3086" t="s" s="2">
        <v>5835</v>
      </c>
      <c r="L3086" t="s" s="2">
        <v>4831</v>
      </c>
      <c r="M3086" s="5">
        <v>517994.19</v>
      </c>
      <c r="N3086" s="5">
        <v>6312403.86</v>
      </c>
      <c r="O3086" t="s" s="2">
        <v>305</v>
      </c>
      <c r="P3086" t="s" s="2">
        <v>5838</v>
      </c>
      <c r="Q3086" t="s" s="2">
        <v>5272</v>
      </c>
      <c r="R3086" t="s" s="2">
        <f>_xlfn.IFERROR(INDEX('model_byCAP'!$D$2:$D$377,MATCH(Q3086,'model_byCAP'!$A$2:$A$377,0)),0)</f>
        <v>4861</v>
      </c>
    </row>
    <row r="3087" ht="15.35" customHeight="1">
      <c r="A3087" t="s" s="2">
        <v>5839</v>
      </c>
      <c r="B3087" s="4">
        <v>37604</v>
      </c>
      <c r="C3087" s="5">
        <v>660</v>
      </c>
      <c r="D3087" s="5">
        <v>47</v>
      </c>
      <c r="E3087" s="5">
        <v>45</v>
      </c>
      <c r="F3087" t="s" s="2">
        <v>301</v>
      </c>
      <c r="G3087" t="s" s="2">
        <v>5270</v>
      </c>
      <c r="H3087" s="5">
        <v>820</v>
      </c>
      <c r="I3087" t="s" s="2">
        <v>388</v>
      </c>
      <c r="J3087" t="s" s="2">
        <v>22</v>
      </c>
      <c r="K3087" t="s" s="2">
        <v>5840</v>
      </c>
      <c r="L3087" t="s" s="2">
        <v>4250</v>
      </c>
      <c r="M3087" s="5">
        <v>518159.45</v>
      </c>
      <c r="N3087" s="5">
        <v>6306121.72</v>
      </c>
      <c r="O3087" t="s" s="2">
        <v>305</v>
      </c>
      <c r="P3087" t="s" s="2">
        <v>5841</v>
      </c>
      <c r="Q3087" t="s" s="2">
        <v>5272</v>
      </c>
      <c r="R3087" t="s" s="2">
        <f>_xlfn.IFERROR(INDEX('model_byCAP'!$D$2:$D$377,MATCH(Q3087,'model_byCAP'!$A$2:$A$377,0)),0)</f>
        <v>4861</v>
      </c>
    </row>
    <row r="3088" ht="15.35" customHeight="1">
      <c r="A3088" t="s" s="2">
        <v>5842</v>
      </c>
      <c r="B3088" s="4">
        <v>37607</v>
      </c>
      <c r="C3088" s="5">
        <v>660</v>
      </c>
      <c r="D3088" s="5">
        <v>47</v>
      </c>
      <c r="E3088" s="5">
        <v>45</v>
      </c>
      <c r="F3088" t="s" s="2">
        <v>301</v>
      </c>
      <c r="G3088" t="s" s="2">
        <v>5270</v>
      </c>
      <c r="H3088" s="5">
        <v>820</v>
      </c>
      <c r="I3088" t="s" s="2">
        <v>388</v>
      </c>
      <c r="J3088" t="s" s="2">
        <v>22</v>
      </c>
      <c r="K3088" t="s" s="2">
        <v>5840</v>
      </c>
      <c r="L3088" t="s" s="2">
        <v>4250</v>
      </c>
      <c r="M3088" s="5">
        <v>518158</v>
      </c>
      <c r="N3088" s="5">
        <v>6305939.13</v>
      </c>
      <c r="O3088" t="s" s="2">
        <v>305</v>
      </c>
      <c r="P3088" t="s" s="2">
        <v>5843</v>
      </c>
      <c r="Q3088" t="s" s="2">
        <v>5272</v>
      </c>
      <c r="R3088" t="s" s="2">
        <f>_xlfn.IFERROR(INDEX('model_byCAP'!$D$2:$D$377,MATCH(Q3088,'model_byCAP'!$A$2:$A$377,0)),0)</f>
        <v>4861</v>
      </c>
    </row>
    <row r="3089" ht="15.35" customHeight="1">
      <c r="A3089" t="s" s="2">
        <v>5844</v>
      </c>
      <c r="B3089" s="4">
        <v>36710</v>
      </c>
      <c r="C3089" s="5">
        <v>660</v>
      </c>
      <c r="D3089" s="5">
        <v>47</v>
      </c>
      <c r="E3089" s="5">
        <v>45</v>
      </c>
      <c r="F3089" t="s" s="2">
        <v>301</v>
      </c>
      <c r="G3089" t="s" s="2">
        <v>5270</v>
      </c>
      <c r="H3089" s="5">
        <v>846</v>
      </c>
      <c r="I3089" t="s" s="2">
        <v>429</v>
      </c>
      <c r="J3089" t="s" s="2">
        <v>22</v>
      </c>
      <c r="K3089" t="s" s="2">
        <v>5845</v>
      </c>
      <c r="L3089" t="s" s="2">
        <v>1196</v>
      </c>
      <c r="M3089" s="5">
        <v>549501.36</v>
      </c>
      <c r="N3089" s="5">
        <v>6269757.25</v>
      </c>
      <c r="O3089" t="s" s="2">
        <v>305</v>
      </c>
      <c r="P3089" s="5">
        <v>95149</v>
      </c>
      <c r="Q3089" t="s" s="2">
        <v>5272</v>
      </c>
      <c r="R3089" t="s" s="2">
        <f>_xlfn.IFERROR(INDEX('model_byCAP'!$D$2:$D$377,MATCH(Q3089,'model_byCAP'!$A$2:$A$377,0)),0)</f>
        <v>4861</v>
      </c>
    </row>
    <row r="3090" ht="15.35" customHeight="1">
      <c r="A3090" t="s" s="2">
        <v>5846</v>
      </c>
      <c r="B3090" s="4">
        <v>36710</v>
      </c>
      <c r="C3090" s="5">
        <v>660</v>
      </c>
      <c r="D3090" s="5">
        <v>47</v>
      </c>
      <c r="E3090" s="5">
        <v>45</v>
      </c>
      <c r="F3090" t="s" s="2">
        <v>301</v>
      </c>
      <c r="G3090" t="s" s="2">
        <v>5270</v>
      </c>
      <c r="H3090" s="5">
        <v>846</v>
      </c>
      <c r="I3090" t="s" s="2">
        <v>429</v>
      </c>
      <c r="J3090" t="s" s="2">
        <v>22</v>
      </c>
      <c r="K3090" t="s" s="2">
        <v>5845</v>
      </c>
      <c r="L3090" t="s" s="2">
        <v>1196</v>
      </c>
      <c r="M3090" s="5">
        <v>549296.65</v>
      </c>
      <c r="N3090" s="5">
        <v>6269734.03</v>
      </c>
      <c r="O3090" t="s" s="2">
        <v>305</v>
      </c>
      <c r="P3090" s="5">
        <v>95150</v>
      </c>
      <c r="Q3090" t="s" s="2">
        <v>5272</v>
      </c>
      <c r="R3090" t="s" s="2">
        <f>_xlfn.IFERROR(INDEX('model_byCAP'!$D$2:$D$377,MATCH(Q3090,'model_byCAP'!$A$2:$A$377,0)),0)</f>
        <v>4861</v>
      </c>
    </row>
    <row r="3091" ht="15.35" customHeight="1">
      <c r="A3091" t="s" s="2">
        <v>5847</v>
      </c>
      <c r="B3091" s="4">
        <v>36710</v>
      </c>
      <c r="C3091" s="5">
        <v>660</v>
      </c>
      <c r="D3091" s="5">
        <v>47</v>
      </c>
      <c r="E3091" s="5">
        <v>65</v>
      </c>
      <c r="F3091" t="s" s="2">
        <v>301</v>
      </c>
      <c r="G3091" t="s" s="2">
        <v>5270</v>
      </c>
      <c r="H3091" s="5">
        <v>846</v>
      </c>
      <c r="I3091" t="s" s="2">
        <v>429</v>
      </c>
      <c r="J3091" t="s" s="2">
        <v>22</v>
      </c>
      <c r="K3091" t="s" s="2">
        <v>5845</v>
      </c>
      <c r="L3091" t="s" s="2">
        <v>1161</v>
      </c>
      <c r="M3091" s="5">
        <v>549091.3100000001</v>
      </c>
      <c r="N3091" s="5">
        <v>6269710.21</v>
      </c>
      <c r="O3091" t="s" s="2">
        <v>305</v>
      </c>
      <c r="P3091" s="5">
        <v>95151</v>
      </c>
      <c r="Q3091" t="s" s="2">
        <v>5272</v>
      </c>
      <c r="R3091" t="s" s="2">
        <f>_xlfn.IFERROR(INDEX('model_byCAP'!$D$2:$D$377,MATCH(Q3091,'model_byCAP'!$A$2:$A$377,0)),0)</f>
        <v>4861</v>
      </c>
    </row>
    <row r="3092" ht="15.35" customHeight="1">
      <c r="A3092" t="s" s="2">
        <v>5848</v>
      </c>
      <c r="B3092" s="4">
        <v>36710</v>
      </c>
      <c r="C3092" s="5">
        <v>660</v>
      </c>
      <c r="D3092" s="5">
        <v>47</v>
      </c>
      <c r="E3092" s="5">
        <v>45</v>
      </c>
      <c r="F3092" t="s" s="2">
        <v>301</v>
      </c>
      <c r="G3092" t="s" s="2">
        <v>5270</v>
      </c>
      <c r="H3092" s="5">
        <v>846</v>
      </c>
      <c r="I3092" t="s" s="2">
        <v>429</v>
      </c>
      <c r="J3092" t="s" s="2">
        <v>22</v>
      </c>
      <c r="K3092" t="s" s="2">
        <v>5845</v>
      </c>
      <c r="L3092" t="s" s="2">
        <v>1161</v>
      </c>
      <c r="M3092" s="5">
        <v>548888.3100000001</v>
      </c>
      <c r="N3092" s="5">
        <v>6269686.68</v>
      </c>
      <c r="O3092" t="s" s="2">
        <v>305</v>
      </c>
      <c r="P3092" s="5">
        <v>95152</v>
      </c>
      <c r="Q3092" t="s" s="2">
        <v>5272</v>
      </c>
      <c r="R3092" t="s" s="2">
        <f>_xlfn.IFERROR(INDEX('model_byCAP'!$D$2:$D$377,MATCH(Q3092,'model_byCAP'!$A$2:$A$377,0)),0)</f>
        <v>4861</v>
      </c>
    </row>
    <row r="3093" ht="15.35" customHeight="1">
      <c r="A3093" t="s" s="2">
        <v>5849</v>
      </c>
      <c r="B3093" s="4">
        <v>36238</v>
      </c>
      <c r="C3093" s="5">
        <v>660</v>
      </c>
      <c r="D3093" s="5">
        <v>47</v>
      </c>
      <c r="E3093" s="5">
        <v>43.7</v>
      </c>
      <c r="F3093" t="s" s="2">
        <v>301</v>
      </c>
      <c r="G3093" t="s" s="2">
        <v>5270</v>
      </c>
      <c r="H3093" s="5">
        <v>849</v>
      </c>
      <c r="I3093" t="s" s="2">
        <v>411</v>
      </c>
      <c r="J3093" t="s" s="2">
        <v>22</v>
      </c>
      <c r="K3093" t="s" s="2">
        <v>5850</v>
      </c>
      <c r="L3093" t="s" s="2">
        <v>518</v>
      </c>
      <c r="M3093" s="5">
        <v>539970.26</v>
      </c>
      <c r="N3093" s="5">
        <v>6331233.46</v>
      </c>
      <c r="O3093" t="s" s="2">
        <v>305</v>
      </c>
      <c r="P3093" t="s" s="2">
        <v>5851</v>
      </c>
      <c r="Q3093" t="s" s="2">
        <v>5272</v>
      </c>
      <c r="R3093" t="s" s="2">
        <f>_xlfn.IFERROR(INDEX('model_byCAP'!$D$2:$D$377,MATCH(Q3093,'model_byCAP'!$A$2:$A$377,0)),0)</f>
        <v>4861</v>
      </c>
    </row>
    <row r="3094" ht="15.35" customHeight="1">
      <c r="A3094" t="s" s="2">
        <v>5852</v>
      </c>
      <c r="B3094" s="4">
        <v>36714</v>
      </c>
      <c r="C3094" s="5">
        <v>660</v>
      </c>
      <c r="D3094" s="5">
        <v>47</v>
      </c>
      <c r="E3094" s="5">
        <v>45</v>
      </c>
      <c r="F3094" t="s" s="2">
        <v>301</v>
      </c>
      <c r="G3094" t="s" s="2">
        <v>5270</v>
      </c>
      <c r="H3094" s="5">
        <v>860</v>
      </c>
      <c r="I3094" t="s" s="2">
        <v>449</v>
      </c>
      <c r="J3094" t="s" s="2">
        <v>22</v>
      </c>
      <c r="K3094" t="s" s="2">
        <v>5853</v>
      </c>
      <c r="L3094" t="s" s="2">
        <v>1161</v>
      </c>
      <c r="M3094" s="5">
        <v>562900.33</v>
      </c>
      <c r="N3094" s="5">
        <v>6365585.51</v>
      </c>
      <c r="O3094" t="s" s="2">
        <v>305</v>
      </c>
      <c r="P3094" t="s" s="2">
        <v>5854</v>
      </c>
      <c r="Q3094" t="s" s="2">
        <v>5272</v>
      </c>
      <c r="R3094" t="s" s="2">
        <f>_xlfn.IFERROR(INDEX('model_byCAP'!$D$2:$D$377,MATCH(Q3094,'model_byCAP'!$A$2:$A$377,0)),0)</f>
        <v>4861</v>
      </c>
    </row>
    <row r="3095" ht="15.35" customHeight="1">
      <c r="A3095" t="s" s="2">
        <v>5855</v>
      </c>
      <c r="B3095" s="4">
        <v>36714</v>
      </c>
      <c r="C3095" s="5">
        <v>660</v>
      </c>
      <c r="D3095" s="5">
        <v>47</v>
      </c>
      <c r="E3095" s="5">
        <v>45</v>
      </c>
      <c r="F3095" t="s" s="2">
        <v>301</v>
      </c>
      <c r="G3095" t="s" s="2">
        <v>5270</v>
      </c>
      <c r="H3095" s="5">
        <v>860</v>
      </c>
      <c r="I3095" t="s" s="2">
        <v>449</v>
      </c>
      <c r="J3095" t="s" s="2">
        <v>22</v>
      </c>
      <c r="K3095" t="s" s="2">
        <v>5853</v>
      </c>
      <c r="L3095" t="s" s="2">
        <v>850</v>
      </c>
      <c r="M3095" s="5">
        <v>563113.89</v>
      </c>
      <c r="N3095" s="5">
        <v>6365715.76</v>
      </c>
      <c r="O3095" t="s" s="2">
        <v>305</v>
      </c>
      <c r="P3095" t="s" s="2">
        <v>5856</v>
      </c>
      <c r="Q3095" t="s" s="2">
        <v>5272</v>
      </c>
      <c r="R3095" t="s" s="2">
        <f>_xlfn.IFERROR(INDEX('model_byCAP'!$D$2:$D$377,MATCH(Q3095,'model_byCAP'!$A$2:$A$377,0)),0)</f>
        <v>4861</v>
      </c>
    </row>
    <row r="3096" ht="15.35" customHeight="1">
      <c r="A3096" t="s" s="2">
        <v>5857</v>
      </c>
      <c r="B3096" s="4">
        <v>36159</v>
      </c>
      <c r="C3096" s="5">
        <v>660</v>
      </c>
      <c r="D3096" s="5">
        <v>47</v>
      </c>
      <c r="E3096" s="5">
        <v>45</v>
      </c>
      <c r="F3096" t="s" s="2">
        <v>301</v>
      </c>
      <c r="G3096" t="s" s="2">
        <v>5270</v>
      </c>
      <c r="H3096" s="5">
        <v>860</v>
      </c>
      <c r="I3096" t="s" s="2">
        <v>449</v>
      </c>
      <c r="J3096" t="s" s="2">
        <v>22</v>
      </c>
      <c r="K3096" t="s" s="2">
        <v>5858</v>
      </c>
      <c r="L3096" t="s" s="2">
        <v>518</v>
      </c>
      <c r="M3096" s="5">
        <v>564277.7</v>
      </c>
      <c r="N3096" s="5">
        <v>6365861.92</v>
      </c>
      <c r="O3096" t="s" s="2">
        <v>305</v>
      </c>
      <c r="P3096" t="s" s="2">
        <v>5859</v>
      </c>
      <c r="Q3096" t="s" s="2">
        <v>5272</v>
      </c>
      <c r="R3096" t="s" s="2">
        <f>_xlfn.IFERROR(INDEX('model_byCAP'!$D$2:$D$377,MATCH(Q3096,'model_byCAP'!$A$2:$A$377,0)),0)</f>
        <v>4861</v>
      </c>
    </row>
    <row r="3097" ht="15.35" customHeight="1">
      <c r="A3097" t="s" s="2">
        <v>5860</v>
      </c>
      <c r="B3097" s="4">
        <v>36181</v>
      </c>
      <c r="C3097" s="5">
        <v>660</v>
      </c>
      <c r="D3097" s="5">
        <v>47</v>
      </c>
      <c r="E3097" s="5">
        <v>45</v>
      </c>
      <c r="F3097" t="s" s="2">
        <v>301</v>
      </c>
      <c r="G3097" t="s" s="2">
        <v>5270</v>
      </c>
      <c r="H3097" s="5">
        <v>860</v>
      </c>
      <c r="I3097" t="s" s="2">
        <v>449</v>
      </c>
      <c r="J3097" t="s" s="2">
        <v>22</v>
      </c>
      <c r="K3097" t="s" s="2">
        <v>5858</v>
      </c>
      <c r="L3097" t="s" s="2">
        <v>5543</v>
      </c>
      <c r="M3097" s="5">
        <v>564466.3</v>
      </c>
      <c r="N3097" s="5">
        <v>6365977.73</v>
      </c>
      <c r="O3097" t="s" s="2">
        <v>305</v>
      </c>
      <c r="P3097" t="s" s="2">
        <v>5861</v>
      </c>
      <c r="Q3097" t="s" s="2">
        <v>5272</v>
      </c>
      <c r="R3097" t="s" s="2">
        <f>_xlfn.IFERROR(INDEX('model_byCAP'!$D$2:$D$377,MATCH(Q3097,'model_byCAP'!$A$2:$A$377,0)),0)</f>
        <v>4861</v>
      </c>
    </row>
    <row r="3098" ht="15.35" customHeight="1">
      <c r="A3098" t="s" s="2">
        <v>5862</v>
      </c>
      <c r="B3098" s="4">
        <v>36181</v>
      </c>
      <c r="C3098" s="5">
        <v>660</v>
      </c>
      <c r="D3098" s="5">
        <v>47</v>
      </c>
      <c r="E3098" s="5">
        <v>45</v>
      </c>
      <c r="F3098" t="s" s="2">
        <v>301</v>
      </c>
      <c r="G3098" t="s" s="2">
        <v>5270</v>
      </c>
      <c r="H3098" s="5">
        <v>860</v>
      </c>
      <c r="I3098" t="s" s="2">
        <v>449</v>
      </c>
      <c r="J3098" t="s" s="2">
        <v>22</v>
      </c>
      <c r="K3098" t="s" s="2">
        <v>5858</v>
      </c>
      <c r="L3098" t="s" s="2">
        <v>5863</v>
      </c>
      <c r="M3098" s="5">
        <v>564655.41</v>
      </c>
      <c r="N3098" s="5">
        <v>6366090.23</v>
      </c>
      <c r="O3098" t="s" s="2">
        <v>305</v>
      </c>
      <c r="P3098" t="s" s="2">
        <v>5864</v>
      </c>
      <c r="Q3098" t="s" s="2">
        <v>5272</v>
      </c>
      <c r="R3098" t="s" s="2">
        <f>_xlfn.IFERROR(INDEX('model_byCAP'!$D$2:$D$377,MATCH(Q3098,'model_byCAP'!$A$2:$A$377,0)),0)</f>
        <v>4861</v>
      </c>
    </row>
    <row r="3099" ht="15.35" customHeight="1">
      <c r="A3099" t="s" s="2">
        <v>5865</v>
      </c>
      <c r="B3099" s="4">
        <v>36816</v>
      </c>
      <c r="C3099" s="5">
        <v>660</v>
      </c>
      <c r="D3099" s="5">
        <v>47</v>
      </c>
      <c r="E3099" s="5">
        <v>45</v>
      </c>
      <c r="F3099" t="s" s="2">
        <v>301</v>
      </c>
      <c r="G3099" t="s" s="2">
        <v>5270</v>
      </c>
      <c r="H3099" s="5">
        <v>860</v>
      </c>
      <c r="I3099" t="s" s="2">
        <v>449</v>
      </c>
      <c r="J3099" t="s" s="2">
        <v>22</v>
      </c>
      <c r="K3099" t="s" s="2">
        <v>5866</v>
      </c>
      <c r="L3099" t="s" s="2">
        <v>5867</v>
      </c>
      <c r="M3099" s="5">
        <v>568341.1899999999</v>
      </c>
      <c r="N3099" s="5">
        <v>6377776.99</v>
      </c>
      <c r="O3099" t="s" s="2">
        <v>305</v>
      </c>
      <c r="P3099" t="s" s="2">
        <v>5868</v>
      </c>
      <c r="Q3099" t="s" s="2">
        <v>5272</v>
      </c>
      <c r="R3099" t="s" s="2">
        <f>_xlfn.IFERROR(INDEX('model_byCAP'!$D$2:$D$377,MATCH(Q3099,'model_byCAP'!$A$2:$A$377,0)),0)</f>
        <v>4861</v>
      </c>
    </row>
    <row r="3100" ht="15.35" customHeight="1">
      <c r="A3100" t="s" s="2">
        <v>5869</v>
      </c>
      <c r="B3100" s="4">
        <v>36605</v>
      </c>
      <c r="C3100" s="5">
        <v>660</v>
      </c>
      <c r="D3100" s="5">
        <v>47</v>
      </c>
      <c r="E3100" s="5">
        <v>45</v>
      </c>
      <c r="F3100" t="s" s="2">
        <v>301</v>
      </c>
      <c r="G3100" t="s" s="2">
        <v>5270</v>
      </c>
      <c r="H3100" s="5">
        <v>860</v>
      </c>
      <c r="I3100" t="s" s="2">
        <v>449</v>
      </c>
      <c r="J3100" t="s" s="2">
        <v>22</v>
      </c>
      <c r="K3100" t="s" s="2">
        <v>5866</v>
      </c>
      <c r="L3100" t="s" s="2">
        <v>5870</v>
      </c>
      <c r="M3100" s="5">
        <v>568209.98</v>
      </c>
      <c r="N3100" s="5">
        <v>6377971.42</v>
      </c>
      <c r="O3100" t="s" s="2">
        <v>305</v>
      </c>
      <c r="P3100" t="s" s="2">
        <v>5871</v>
      </c>
      <c r="Q3100" t="s" s="2">
        <v>5272</v>
      </c>
      <c r="R3100" t="s" s="2">
        <f>_xlfn.IFERROR(INDEX('model_byCAP'!$D$2:$D$377,MATCH(Q3100,'model_byCAP'!$A$2:$A$377,0)),0)</f>
        <v>4861</v>
      </c>
    </row>
    <row r="3101" ht="15.35" customHeight="1">
      <c r="A3101" t="s" s="2">
        <v>5872</v>
      </c>
      <c r="B3101" s="4">
        <v>36605</v>
      </c>
      <c r="C3101" s="5">
        <v>660</v>
      </c>
      <c r="D3101" s="5">
        <v>47</v>
      </c>
      <c r="E3101" s="5">
        <v>45</v>
      </c>
      <c r="F3101" t="s" s="2">
        <v>301</v>
      </c>
      <c r="G3101" t="s" s="2">
        <v>5270</v>
      </c>
      <c r="H3101" s="5">
        <v>860</v>
      </c>
      <c r="I3101" t="s" s="2">
        <v>449</v>
      </c>
      <c r="J3101" t="s" s="2">
        <v>22</v>
      </c>
      <c r="K3101" t="s" s="2">
        <v>5866</v>
      </c>
      <c r="L3101" t="s" s="2">
        <v>5870</v>
      </c>
      <c r="M3101" s="5">
        <v>568077.9</v>
      </c>
      <c r="N3101" s="5">
        <v>6378165.78</v>
      </c>
      <c r="O3101" t="s" s="2">
        <v>305</v>
      </c>
      <c r="P3101" t="s" s="2">
        <v>5873</v>
      </c>
      <c r="Q3101" t="s" s="2">
        <v>5272</v>
      </c>
      <c r="R3101" t="s" s="2">
        <f>_xlfn.IFERROR(INDEX('model_byCAP'!$D$2:$D$377,MATCH(Q3101,'model_byCAP'!$A$2:$A$377,0)),0)</f>
        <v>4861</v>
      </c>
    </row>
    <row r="3102" ht="15.35" customHeight="1">
      <c r="A3102" t="s" s="2">
        <v>5874</v>
      </c>
      <c r="B3102" s="4">
        <v>36605</v>
      </c>
      <c r="C3102" s="5">
        <v>660</v>
      </c>
      <c r="D3102" s="5">
        <v>47</v>
      </c>
      <c r="E3102" s="5">
        <v>45</v>
      </c>
      <c r="F3102" t="s" s="2">
        <v>301</v>
      </c>
      <c r="G3102" t="s" s="2">
        <v>5270</v>
      </c>
      <c r="H3102" s="5">
        <v>860</v>
      </c>
      <c r="I3102" t="s" s="2">
        <v>449</v>
      </c>
      <c r="J3102" t="s" s="2">
        <v>22</v>
      </c>
      <c r="K3102" t="s" s="2">
        <v>5866</v>
      </c>
      <c r="L3102" t="s" s="2">
        <v>5875</v>
      </c>
      <c r="M3102" s="5">
        <v>568137.54</v>
      </c>
      <c r="N3102" s="5">
        <v>6377660.05</v>
      </c>
      <c r="O3102" t="s" s="2">
        <v>305</v>
      </c>
      <c r="P3102" t="s" s="2">
        <v>5876</v>
      </c>
      <c r="Q3102" t="s" s="2">
        <v>5272</v>
      </c>
      <c r="R3102" t="s" s="2">
        <f>_xlfn.IFERROR(INDEX('model_byCAP'!$D$2:$D$377,MATCH(Q3102,'model_byCAP'!$A$2:$A$377,0)),0)</f>
        <v>4861</v>
      </c>
    </row>
    <row r="3103" ht="15.35" customHeight="1">
      <c r="A3103" t="s" s="2">
        <v>5877</v>
      </c>
      <c r="B3103" s="4">
        <v>36600</v>
      </c>
      <c r="C3103" s="5">
        <v>660</v>
      </c>
      <c r="D3103" s="5">
        <v>47</v>
      </c>
      <c r="E3103" s="5">
        <v>45</v>
      </c>
      <c r="F3103" t="s" s="2">
        <v>301</v>
      </c>
      <c r="G3103" t="s" s="2">
        <v>5270</v>
      </c>
      <c r="H3103" s="5">
        <v>860</v>
      </c>
      <c r="I3103" t="s" s="2">
        <v>449</v>
      </c>
      <c r="J3103" t="s" s="2">
        <v>22</v>
      </c>
      <c r="K3103" t="s" s="2">
        <v>5866</v>
      </c>
      <c r="L3103" t="s" s="2">
        <v>1198</v>
      </c>
      <c r="M3103" s="5">
        <v>568005.16</v>
      </c>
      <c r="N3103" s="5">
        <v>6377854.64</v>
      </c>
      <c r="O3103" t="s" s="2">
        <v>305</v>
      </c>
      <c r="P3103" t="s" s="2">
        <v>5878</v>
      </c>
      <c r="Q3103" t="s" s="2">
        <v>5272</v>
      </c>
      <c r="R3103" t="s" s="2">
        <f>_xlfn.IFERROR(INDEX('model_byCAP'!$D$2:$D$377,MATCH(Q3103,'model_byCAP'!$A$2:$A$377,0)),0)</f>
        <v>4861</v>
      </c>
    </row>
    <row r="3104" ht="15.35" customHeight="1">
      <c r="A3104" t="s" s="2">
        <v>5879</v>
      </c>
      <c r="B3104" s="4">
        <v>36600</v>
      </c>
      <c r="C3104" s="5">
        <v>660</v>
      </c>
      <c r="D3104" s="5">
        <v>47</v>
      </c>
      <c r="E3104" s="5">
        <v>45</v>
      </c>
      <c r="F3104" t="s" s="2">
        <v>301</v>
      </c>
      <c r="G3104" t="s" s="2">
        <v>5270</v>
      </c>
      <c r="H3104" s="5">
        <v>860</v>
      </c>
      <c r="I3104" t="s" s="2">
        <v>449</v>
      </c>
      <c r="J3104" t="s" s="2">
        <v>22</v>
      </c>
      <c r="K3104" t="s" s="2">
        <v>5866</v>
      </c>
      <c r="L3104" t="s" s="2">
        <v>5880</v>
      </c>
      <c r="M3104" s="5">
        <v>567873.22</v>
      </c>
      <c r="N3104" s="5">
        <v>6378049.32</v>
      </c>
      <c r="O3104" t="s" s="2">
        <v>305</v>
      </c>
      <c r="P3104" t="s" s="2">
        <v>5881</v>
      </c>
      <c r="Q3104" t="s" s="2">
        <v>5272</v>
      </c>
      <c r="R3104" t="s" s="2">
        <f>_xlfn.IFERROR(INDEX('model_byCAP'!$D$2:$D$377,MATCH(Q3104,'model_byCAP'!$A$2:$A$377,0)),0)</f>
        <v>4861</v>
      </c>
    </row>
    <row r="3105" ht="15.35" customHeight="1">
      <c r="A3105" t="s" s="2">
        <v>5882</v>
      </c>
      <c r="B3105" s="4">
        <v>36348</v>
      </c>
      <c r="C3105" s="5">
        <v>660</v>
      </c>
      <c r="D3105" s="5">
        <v>47</v>
      </c>
      <c r="E3105" s="5">
        <v>45</v>
      </c>
      <c r="F3105" t="s" s="2">
        <v>301</v>
      </c>
      <c r="G3105" t="s" s="2">
        <v>5270</v>
      </c>
      <c r="H3105" s="5">
        <v>860</v>
      </c>
      <c r="I3105" t="s" s="2">
        <v>449</v>
      </c>
      <c r="J3105" t="s" s="2">
        <v>22</v>
      </c>
      <c r="K3105" t="s" s="2">
        <v>5883</v>
      </c>
      <c r="L3105" t="s" s="2">
        <v>481</v>
      </c>
      <c r="M3105" s="5">
        <v>573045.17</v>
      </c>
      <c r="N3105" s="5">
        <v>6368942.08</v>
      </c>
      <c r="O3105" t="s" s="2">
        <v>305</v>
      </c>
      <c r="P3105" t="s" s="2">
        <v>5884</v>
      </c>
      <c r="Q3105" t="s" s="2">
        <v>5272</v>
      </c>
      <c r="R3105" t="s" s="2">
        <f>_xlfn.IFERROR(INDEX('model_byCAP'!$D$2:$D$377,MATCH(Q3105,'model_byCAP'!$A$2:$A$377,0)),0)</f>
        <v>4861</v>
      </c>
    </row>
    <row r="3106" ht="15.35" customHeight="1">
      <c r="A3106" t="s" s="2">
        <v>5885</v>
      </c>
      <c r="B3106" s="4">
        <v>36028</v>
      </c>
      <c r="C3106" s="5">
        <v>660</v>
      </c>
      <c r="D3106" s="5">
        <v>47</v>
      </c>
      <c r="E3106" s="5">
        <v>45</v>
      </c>
      <c r="F3106" t="s" s="2">
        <v>301</v>
      </c>
      <c r="G3106" t="s" s="2">
        <v>5270</v>
      </c>
      <c r="H3106" s="5">
        <v>860</v>
      </c>
      <c r="I3106" t="s" s="2">
        <v>449</v>
      </c>
      <c r="J3106" t="s" s="2">
        <v>22</v>
      </c>
      <c r="K3106" t="s" s="2">
        <v>5883</v>
      </c>
      <c r="L3106" t="s" s="2">
        <v>481</v>
      </c>
      <c r="M3106" s="5">
        <v>572998.72</v>
      </c>
      <c r="N3106" s="5">
        <v>6368747.21</v>
      </c>
      <c r="O3106" t="s" s="2">
        <v>305</v>
      </c>
      <c r="P3106" t="s" s="2">
        <v>5886</v>
      </c>
      <c r="Q3106" t="s" s="2">
        <v>5272</v>
      </c>
      <c r="R3106" t="s" s="2">
        <f>_xlfn.IFERROR(INDEX('model_byCAP'!$D$2:$D$377,MATCH(Q3106,'model_byCAP'!$A$2:$A$377,0)),0)</f>
        <v>4861</v>
      </c>
    </row>
    <row r="3107" ht="15.35" customHeight="1">
      <c r="A3107" t="s" s="2">
        <v>5887</v>
      </c>
      <c r="B3107" s="4">
        <v>36028</v>
      </c>
      <c r="C3107" s="5">
        <v>660</v>
      </c>
      <c r="D3107" s="5">
        <v>47</v>
      </c>
      <c r="E3107" s="5">
        <v>45</v>
      </c>
      <c r="F3107" t="s" s="2">
        <v>301</v>
      </c>
      <c r="G3107" t="s" s="2">
        <v>5270</v>
      </c>
      <c r="H3107" s="5">
        <v>860</v>
      </c>
      <c r="I3107" t="s" s="2">
        <v>449</v>
      </c>
      <c r="J3107" t="s" s="2">
        <v>22</v>
      </c>
      <c r="K3107" t="s" s="2">
        <v>5883</v>
      </c>
      <c r="L3107" t="s" s="2">
        <v>481</v>
      </c>
      <c r="M3107" s="5">
        <v>572950.83</v>
      </c>
      <c r="N3107" s="5">
        <v>6368553.55</v>
      </c>
      <c r="O3107" t="s" s="2">
        <v>305</v>
      </c>
      <c r="P3107" t="s" s="2">
        <v>5888</v>
      </c>
      <c r="Q3107" t="s" s="2">
        <v>5272</v>
      </c>
      <c r="R3107" t="s" s="2">
        <f>_xlfn.IFERROR(INDEX('model_byCAP'!$D$2:$D$377,MATCH(Q3107,'model_byCAP'!$A$2:$A$377,0)),0)</f>
        <v>4861</v>
      </c>
    </row>
    <row r="3108" ht="15.35" customHeight="1">
      <c r="A3108" t="s" s="2">
        <v>5889</v>
      </c>
      <c r="B3108" s="4">
        <v>36070</v>
      </c>
      <c r="C3108" s="5">
        <v>660</v>
      </c>
      <c r="D3108" s="5">
        <v>47</v>
      </c>
      <c r="E3108" s="5">
        <v>45</v>
      </c>
      <c r="F3108" t="s" s="2">
        <v>301</v>
      </c>
      <c r="G3108" t="s" s="2">
        <v>5270</v>
      </c>
      <c r="H3108" s="5">
        <v>860</v>
      </c>
      <c r="I3108" t="s" s="2">
        <v>449</v>
      </c>
      <c r="J3108" t="s" s="2">
        <v>22</v>
      </c>
      <c r="K3108" t="s" s="2">
        <v>5883</v>
      </c>
      <c r="L3108" t="s" s="2">
        <v>481</v>
      </c>
      <c r="M3108" s="5">
        <v>572903.25</v>
      </c>
      <c r="N3108" s="5">
        <v>6368359.24</v>
      </c>
      <c r="O3108" t="s" s="2">
        <v>305</v>
      </c>
      <c r="P3108" t="s" s="2">
        <v>5890</v>
      </c>
      <c r="Q3108" t="s" s="2">
        <v>5272</v>
      </c>
      <c r="R3108" t="s" s="2">
        <f>_xlfn.IFERROR(INDEX('model_byCAP'!$D$2:$D$377,MATCH(Q3108,'model_byCAP'!$A$2:$A$377,0)),0)</f>
        <v>4861</v>
      </c>
    </row>
    <row r="3109" ht="15.35" customHeight="1">
      <c r="A3109" t="s" s="2">
        <v>5891</v>
      </c>
      <c r="B3109" s="4">
        <v>36348</v>
      </c>
      <c r="C3109" s="5">
        <v>660</v>
      </c>
      <c r="D3109" s="5">
        <v>47</v>
      </c>
      <c r="E3109" s="5">
        <v>45</v>
      </c>
      <c r="F3109" t="s" s="2">
        <v>301</v>
      </c>
      <c r="G3109" t="s" s="2">
        <v>5270</v>
      </c>
      <c r="H3109" s="5">
        <v>860</v>
      </c>
      <c r="I3109" t="s" s="2">
        <v>449</v>
      </c>
      <c r="J3109" t="s" s="2">
        <v>22</v>
      </c>
      <c r="K3109" t="s" s="2">
        <v>5883</v>
      </c>
      <c r="L3109" t="s" s="2">
        <v>5892</v>
      </c>
      <c r="M3109" s="5">
        <v>572856.0600000001</v>
      </c>
      <c r="N3109" s="5">
        <v>6368165.28</v>
      </c>
      <c r="O3109" t="s" s="2">
        <v>305</v>
      </c>
      <c r="P3109" t="s" s="2">
        <v>5893</v>
      </c>
      <c r="Q3109" t="s" s="2">
        <v>5272</v>
      </c>
      <c r="R3109" t="s" s="2">
        <f>_xlfn.IFERROR(INDEX('model_byCAP'!$D$2:$D$377,MATCH(Q3109,'model_byCAP'!$A$2:$A$377,0)),0)</f>
        <v>4861</v>
      </c>
    </row>
    <row r="3110" ht="15.35" customHeight="1">
      <c r="A3110" t="s" s="2">
        <v>5894</v>
      </c>
      <c r="B3110" s="4">
        <v>36321</v>
      </c>
      <c r="C3110" s="5">
        <v>660</v>
      </c>
      <c r="D3110" s="5">
        <v>47</v>
      </c>
      <c r="E3110" s="5">
        <v>45</v>
      </c>
      <c r="F3110" t="s" s="2">
        <v>301</v>
      </c>
      <c r="G3110" t="s" s="2">
        <v>5270</v>
      </c>
      <c r="H3110" s="5">
        <v>860</v>
      </c>
      <c r="I3110" t="s" s="2">
        <v>449</v>
      </c>
      <c r="J3110" t="s" s="2">
        <v>22</v>
      </c>
      <c r="K3110" t="s" s="2">
        <v>5895</v>
      </c>
      <c r="L3110" t="s" s="2">
        <v>1780</v>
      </c>
      <c r="M3110" s="5">
        <v>575329.04</v>
      </c>
      <c r="N3110" s="5">
        <v>6361225.13</v>
      </c>
      <c r="O3110" t="s" s="2">
        <v>305</v>
      </c>
      <c r="P3110" t="s" s="2">
        <v>5896</v>
      </c>
      <c r="Q3110" t="s" s="2">
        <v>5272</v>
      </c>
      <c r="R3110" t="s" s="2">
        <f>_xlfn.IFERROR(INDEX('model_byCAP'!$D$2:$D$377,MATCH(Q3110,'model_byCAP'!$A$2:$A$377,0)),0)</f>
        <v>4861</v>
      </c>
    </row>
    <row r="3111" ht="15.35" customHeight="1">
      <c r="A3111" t="s" s="2">
        <v>5897</v>
      </c>
      <c r="B3111" s="4">
        <v>36321</v>
      </c>
      <c r="C3111" s="5">
        <v>660</v>
      </c>
      <c r="D3111" s="5">
        <v>47</v>
      </c>
      <c r="E3111" s="5">
        <v>45</v>
      </c>
      <c r="F3111" t="s" s="2">
        <v>301</v>
      </c>
      <c r="G3111" t="s" s="2">
        <v>5270</v>
      </c>
      <c r="H3111" s="5">
        <v>860</v>
      </c>
      <c r="I3111" t="s" s="2">
        <v>449</v>
      </c>
      <c r="J3111" t="s" s="2">
        <v>22</v>
      </c>
      <c r="K3111" t="s" s="2">
        <v>5895</v>
      </c>
      <c r="L3111" t="s" s="2">
        <v>1600</v>
      </c>
      <c r="M3111" s="5">
        <v>575542.46</v>
      </c>
      <c r="N3111" s="5">
        <v>6361415.7</v>
      </c>
      <c r="O3111" t="s" s="2">
        <v>305</v>
      </c>
      <c r="P3111" t="s" s="2">
        <v>5898</v>
      </c>
      <c r="Q3111" t="s" s="2">
        <v>5272</v>
      </c>
      <c r="R3111" t="s" s="2">
        <f>_xlfn.IFERROR(INDEX('model_byCAP'!$D$2:$D$377,MATCH(Q3111,'model_byCAP'!$A$2:$A$377,0)),0)</f>
        <v>4861</v>
      </c>
    </row>
    <row r="3112" ht="15.35" customHeight="1">
      <c r="A3112" t="s" s="2">
        <v>5899</v>
      </c>
      <c r="B3112" s="4">
        <v>36321</v>
      </c>
      <c r="C3112" s="5">
        <v>660</v>
      </c>
      <c r="D3112" s="5">
        <v>47</v>
      </c>
      <c r="E3112" s="5">
        <v>45</v>
      </c>
      <c r="F3112" t="s" s="2">
        <v>301</v>
      </c>
      <c r="G3112" t="s" s="2">
        <v>5270</v>
      </c>
      <c r="H3112" s="5">
        <v>860</v>
      </c>
      <c r="I3112" t="s" s="2">
        <v>449</v>
      </c>
      <c r="J3112" t="s" s="2">
        <v>22</v>
      </c>
      <c r="K3112" t="s" s="2">
        <v>5895</v>
      </c>
      <c r="L3112" t="s" s="2">
        <v>1600</v>
      </c>
      <c r="M3112" s="5">
        <v>575756.08</v>
      </c>
      <c r="N3112" s="5">
        <v>6361604.25</v>
      </c>
      <c r="O3112" t="s" s="2">
        <v>305</v>
      </c>
      <c r="P3112" t="s" s="2">
        <v>5900</v>
      </c>
      <c r="Q3112" t="s" s="2">
        <v>5272</v>
      </c>
      <c r="R3112" t="s" s="2">
        <f>_xlfn.IFERROR(INDEX('model_byCAP'!$D$2:$D$377,MATCH(Q3112,'model_byCAP'!$A$2:$A$377,0)),0)</f>
        <v>4861</v>
      </c>
    </row>
    <row r="3113" ht="15.35" customHeight="1">
      <c r="A3113" t="s" s="2">
        <v>5901</v>
      </c>
      <c r="B3113" s="4">
        <v>36342</v>
      </c>
      <c r="C3113" s="5">
        <v>660</v>
      </c>
      <c r="D3113" s="5">
        <v>47</v>
      </c>
      <c r="E3113" s="5">
        <v>45</v>
      </c>
      <c r="F3113" t="s" s="2">
        <v>301</v>
      </c>
      <c r="G3113" t="s" s="2">
        <v>5270</v>
      </c>
      <c r="H3113" s="5">
        <v>860</v>
      </c>
      <c r="I3113" t="s" s="2">
        <v>449</v>
      </c>
      <c r="J3113" t="s" s="2">
        <v>22</v>
      </c>
      <c r="K3113" t="s" s="2">
        <v>5895</v>
      </c>
      <c r="L3113" t="s" s="2">
        <v>3026</v>
      </c>
      <c r="M3113" s="5">
        <v>575968.22</v>
      </c>
      <c r="N3113" s="5">
        <v>6361792.68</v>
      </c>
      <c r="O3113" t="s" s="2">
        <v>305</v>
      </c>
      <c r="P3113" t="s" s="2">
        <v>5902</v>
      </c>
      <c r="Q3113" t="s" s="2">
        <v>5272</v>
      </c>
      <c r="R3113" t="s" s="2">
        <f>_xlfn.IFERROR(INDEX('model_byCAP'!$D$2:$D$377,MATCH(Q3113,'model_byCAP'!$A$2:$A$377,0)),0)</f>
        <v>4861</v>
      </c>
    </row>
    <row r="3114" ht="15.35" customHeight="1">
      <c r="A3114" t="s" s="2">
        <v>5903</v>
      </c>
      <c r="B3114" s="4">
        <v>36342</v>
      </c>
      <c r="C3114" s="5">
        <v>660</v>
      </c>
      <c r="D3114" s="5">
        <v>47</v>
      </c>
      <c r="E3114" s="5">
        <v>45</v>
      </c>
      <c r="F3114" t="s" s="2">
        <v>301</v>
      </c>
      <c r="G3114" t="s" s="2">
        <v>5270</v>
      </c>
      <c r="H3114" s="5">
        <v>860</v>
      </c>
      <c r="I3114" t="s" s="2">
        <v>449</v>
      </c>
      <c r="J3114" t="s" s="2">
        <v>22</v>
      </c>
      <c r="K3114" t="s" s="2">
        <v>5895</v>
      </c>
      <c r="L3114" t="s" s="2">
        <v>3026</v>
      </c>
      <c r="M3114" s="5">
        <v>576180.46</v>
      </c>
      <c r="N3114" s="5">
        <v>6361981.74</v>
      </c>
      <c r="O3114" t="s" s="2">
        <v>305</v>
      </c>
      <c r="P3114" t="s" s="2">
        <v>5904</v>
      </c>
      <c r="Q3114" t="s" s="2">
        <v>5272</v>
      </c>
      <c r="R3114" t="s" s="2">
        <f>_xlfn.IFERROR(INDEX('model_byCAP'!$D$2:$D$377,MATCH(Q3114,'model_byCAP'!$A$2:$A$377,0)),0)</f>
        <v>4861</v>
      </c>
    </row>
    <row r="3115" ht="15.35" customHeight="1">
      <c r="A3115" t="s" s="2">
        <v>5905</v>
      </c>
      <c r="B3115" s="4">
        <v>35887</v>
      </c>
      <c r="C3115" s="5">
        <v>660</v>
      </c>
      <c r="D3115" s="5">
        <v>47</v>
      </c>
      <c r="E3115" s="5">
        <v>45</v>
      </c>
      <c r="F3115" t="s" s="2">
        <v>301</v>
      </c>
      <c r="G3115" t="s" s="2">
        <v>5270</v>
      </c>
      <c r="H3115" s="5">
        <v>860</v>
      </c>
      <c r="I3115" t="s" s="2">
        <v>449</v>
      </c>
      <c r="J3115" t="s" s="2">
        <v>22</v>
      </c>
      <c r="K3115" t="s" s="2">
        <v>5906</v>
      </c>
      <c r="L3115" t="s" s="2">
        <v>5907</v>
      </c>
      <c r="M3115" s="5">
        <v>565806.58</v>
      </c>
      <c r="N3115" s="5">
        <v>6362526.77</v>
      </c>
      <c r="O3115" t="s" s="2">
        <v>305</v>
      </c>
      <c r="P3115" t="s" s="2">
        <v>5908</v>
      </c>
      <c r="Q3115" t="s" s="2">
        <v>5272</v>
      </c>
      <c r="R3115" t="s" s="2">
        <f>_xlfn.IFERROR(INDEX('model_byCAP'!$D$2:$D$377,MATCH(Q3115,'model_byCAP'!$A$2:$A$377,0)),0)</f>
        <v>4861</v>
      </c>
    </row>
    <row r="3116" ht="15.35" customHeight="1">
      <c r="A3116" t="s" s="2">
        <v>5909</v>
      </c>
      <c r="B3116" s="4">
        <v>35927</v>
      </c>
      <c r="C3116" s="5">
        <v>660</v>
      </c>
      <c r="D3116" s="5">
        <v>47</v>
      </c>
      <c r="E3116" s="5">
        <v>45</v>
      </c>
      <c r="F3116" t="s" s="2">
        <v>301</v>
      </c>
      <c r="G3116" t="s" s="2">
        <v>5270</v>
      </c>
      <c r="H3116" s="5">
        <v>860</v>
      </c>
      <c r="I3116" t="s" s="2">
        <v>449</v>
      </c>
      <c r="J3116" t="s" s="2">
        <v>22</v>
      </c>
      <c r="K3116" t="s" s="2">
        <v>5906</v>
      </c>
      <c r="L3116" t="s" s="2">
        <v>5910</v>
      </c>
      <c r="M3116" s="5">
        <v>565986.7</v>
      </c>
      <c r="N3116" s="5">
        <v>6362438.52</v>
      </c>
      <c r="O3116" t="s" s="2">
        <v>305</v>
      </c>
      <c r="P3116" t="s" s="2">
        <v>5911</v>
      </c>
      <c r="Q3116" t="s" s="2">
        <v>5272</v>
      </c>
      <c r="R3116" t="s" s="2">
        <f>_xlfn.IFERROR(INDEX('model_byCAP'!$D$2:$D$377,MATCH(Q3116,'model_byCAP'!$A$2:$A$377,0)),0)</f>
        <v>4861</v>
      </c>
    </row>
    <row r="3117" ht="15.35" customHeight="1">
      <c r="A3117" t="s" s="2">
        <v>5912</v>
      </c>
      <c r="B3117" s="4">
        <v>35884</v>
      </c>
      <c r="C3117" s="5">
        <v>660</v>
      </c>
      <c r="D3117" s="5">
        <v>47</v>
      </c>
      <c r="E3117" s="5">
        <v>45</v>
      </c>
      <c r="F3117" t="s" s="2">
        <v>301</v>
      </c>
      <c r="G3117" t="s" s="2">
        <v>5270</v>
      </c>
      <c r="H3117" s="5">
        <v>860</v>
      </c>
      <c r="I3117" t="s" s="2">
        <v>449</v>
      </c>
      <c r="J3117" t="s" s="2">
        <v>22</v>
      </c>
      <c r="K3117" t="s" s="2">
        <v>5906</v>
      </c>
      <c r="L3117" t="s" s="2">
        <v>5913</v>
      </c>
      <c r="M3117" s="5">
        <v>566166.24</v>
      </c>
      <c r="N3117" s="5">
        <v>6362350.28</v>
      </c>
      <c r="O3117" t="s" s="2">
        <v>305</v>
      </c>
      <c r="P3117" t="s" s="2">
        <v>5914</v>
      </c>
      <c r="Q3117" t="s" s="2">
        <v>5272</v>
      </c>
      <c r="R3117" t="s" s="2">
        <f>_xlfn.IFERROR(INDEX('model_byCAP'!$D$2:$D$377,MATCH(Q3117,'model_byCAP'!$A$2:$A$377,0)),0)</f>
        <v>4861</v>
      </c>
    </row>
    <row r="3118" ht="15.35" customHeight="1">
      <c r="A3118" t="s" s="2">
        <v>5915</v>
      </c>
      <c r="B3118" s="4">
        <v>35874</v>
      </c>
      <c r="C3118" s="5">
        <v>660</v>
      </c>
      <c r="D3118" s="5">
        <v>47</v>
      </c>
      <c r="E3118" s="5">
        <v>45</v>
      </c>
      <c r="F3118" t="s" s="2">
        <v>301</v>
      </c>
      <c r="G3118" t="s" s="2">
        <v>5270</v>
      </c>
      <c r="H3118" s="5">
        <v>860</v>
      </c>
      <c r="I3118" t="s" s="2">
        <v>449</v>
      </c>
      <c r="J3118" t="s" s="2">
        <v>22</v>
      </c>
      <c r="K3118" t="s" s="2">
        <v>5906</v>
      </c>
      <c r="L3118" t="s" s="2">
        <v>5916</v>
      </c>
      <c r="M3118" s="5">
        <v>566345.54</v>
      </c>
      <c r="N3118" s="5">
        <v>6362262.92</v>
      </c>
      <c r="O3118" t="s" s="2">
        <v>305</v>
      </c>
      <c r="P3118" t="s" s="2">
        <v>5917</v>
      </c>
      <c r="Q3118" t="s" s="2">
        <v>5272</v>
      </c>
      <c r="R3118" t="s" s="2">
        <f>_xlfn.IFERROR(INDEX('model_byCAP'!$D$2:$D$377,MATCH(Q3118,'model_byCAP'!$A$2:$A$377,0)),0)</f>
        <v>4861</v>
      </c>
    </row>
    <row r="3119" ht="15.35" customHeight="1">
      <c r="A3119" t="s" s="2">
        <v>5918</v>
      </c>
      <c r="B3119" s="4">
        <v>35874</v>
      </c>
      <c r="C3119" s="5">
        <v>660</v>
      </c>
      <c r="D3119" s="5">
        <v>47</v>
      </c>
      <c r="E3119" s="5">
        <v>45</v>
      </c>
      <c r="F3119" t="s" s="2">
        <v>301</v>
      </c>
      <c r="G3119" t="s" s="2">
        <v>5270</v>
      </c>
      <c r="H3119" s="5">
        <v>860</v>
      </c>
      <c r="I3119" t="s" s="2">
        <v>449</v>
      </c>
      <c r="J3119" t="s" s="2">
        <v>22</v>
      </c>
      <c r="K3119" t="s" s="2">
        <v>5906</v>
      </c>
      <c r="L3119" t="s" s="2">
        <v>5919</v>
      </c>
      <c r="M3119" s="5">
        <v>566525.59</v>
      </c>
      <c r="N3119" s="5">
        <v>6362174.73</v>
      </c>
      <c r="O3119" t="s" s="2">
        <v>305</v>
      </c>
      <c r="P3119" t="s" s="2">
        <v>5920</v>
      </c>
      <c r="Q3119" t="s" s="2">
        <v>5272</v>
      </c>
      <c r="R3119" t="s" s="2">
        <f>_xlfn.IFERROR(INDEX('model_byCAP'!$D$2:$D$377,MATCH(Q3119,'model_byCAP'!$A$2:$A$377,0)),0)</f>
        <v>4861</v>
      </c>
    </row>
    <row r="3120" ht="15.35" customHeight="1">
      <c r="A3120" t="s" s="2">
        <v>5921</v>
      </c>
      <c r="B3120" s="4">
        <v>35886</v>
      </c>
      <c r="C3120" s="5">
        <v>660</v>
      </c>
      <c r="D3120" s="5">
        <v>47</v>
      </c>
      <c r="E3120" s="5">
        <v>45</v>
      </c>
      <c r="F3120" t="s" s="2">
        <v>301</v>
      </c>
      <c r="G3120" t="s" s="2">
        <v>5270</v>
      </c>
      <c r="H3120" s="5">
        <v>860</v>
      </c>
      <c r="I3120" t="s" s="2">
        <v>449</v>
      </c>
      <c r="J3120" t="s" s="2">
        <v>22</v>
      </c>
      <c r="K3120" t="s" s="2">
        <v>5906</v>
      </c>
      <c r="L3120" t="s" s="2">
        <v>5922</v>
      </c>
      <c r="M3120" s="5">
        <v>565821.16</v>
      </c>
      <c r="N3120" s="5">
        <v>6362327.51</v>
      </c>
      <c r="O3120" t="s" s="2">
        <v>305</v>
      </c>
      <c r="P3120" t="s" s="2">
        <v>5923</v>
      </c>
      <c r="Q3120" t="s" s="2">
        <v>5272</v>
      </c>
      <c r="R3120" t="s" s="2">
        <f>_xlfn.IFERROR(INDEX('model_byCAP'!$D$2:$D$377,MATCH(Q3120,'model_byCAP'!$A$2:$A$377,0)),0)</f>
        <v>4861</v>
      </c>
    </row>
    <row r="3121" ht="15.35" customHeight="1">
      <c r="A3121" t="s" s="2">
        <v>5924</v>
      </c>
      <c r="B3121" s="4">
        <v>35893</v>
      </c>
      <c r="C3121" s="5">
        <v>660</v>
      </c>
      <c r="D3121" s="5">
        <v>47</v>
      </c>
      <c r="E3121" s="5">
        <v>45</v>
      </c>
      <c r="F3121" t="s" s="2">
        <v>301</v>
      </c>
      <c r="G3121" t="s" s="2">
        <v>5270</v>
      </c>
      <c r="H3121" s="5">
        <v>860</v>
      </c>
      <c r="I3121" t="s" s="2">
        <v>449</v>
      </c>
      <c r="J3121" t="s" s="2">
        <v>22</v>
      </c>
      <c r="K3121" t="s" s="2">
        <v>5906</v>
      </c>
      <c r="L3121" t="s" s="2">
        <v>5925</v>
      </c>
      <c r="M3121" s="5">
        <v>566000.13</v>
      </c>
      <c r="N3121" s="5">
        <v>6362239.13</v>
      </c>
      <c r="O3121" t="s" s="2">
        <v>305</v>
      </c>
      <c r="P3121" t="s" s="2">
        <v>5926</v>
      </c>
      <c r="Q3121" t="s" s="2">
        <v>5272</v>
      </c>
      <c r="R3121" t="s" s="2">
        <f>_xlfn.IFERROR(INDEX('model_byCAP'!$D$2:$D$377,MATCH(Q3121,'model_byCAP'!$A$2:$A$377,0)),0)</f>
        <v>4861</v>
      </c>
    </row>
    <row r="3122" ht="15.35" customHeight="1">
      <c r="A3122" t="s" s="2">
        <v>5927</v>
      </c>
      <c r="B3122" s="4">
        <v>35891</v>
      </c>
      <c r="C3122" s="5">
        <v>660</v>
      </c>
      <c r="D3122" s="5">
        <v>47</v>
      </c>
      <c r="E3122" s="5">
        <v>45</v>
      </c>
      <c r="F3122" t="s" s="2">
        <v>301</v>
      </c>
      <c r="G3122" t="s" s="2">
        <v>5270</v>
      </c>
      <c r="H3122" s="5">
        <v>860</v>
      </c>
      <c r="I3122" t="s" s="2">
        <v>449</v>
      </c>
      <c r="J3122" t="s" s="2">
        <v>22</v>
      </c>
      <c r="K3122" t="s" s="2">
        <v>5906</v>
      </c>
      <c r="L3122" t="s" s="2">
        <v>5928</v>
      </c>
      <c r="M3122" s="5">
        <v>566179.64</v>
      </c>
      <c r="N3122" s="5">
        <v>6362151.11</v>
      </c>
      <c r="O3122" t="s" s="2">
        <v>305</v>
      </c>
      <c r="P3122" t="s" s="2">
        <v>5929</v>
      </c>
      <c r="Q3122" t="s" s="2">
        <v>5272</v>
      </c>
      <c r="R3122" t="s" s="2">
        <f>_xlfn.IFERROR(INDEX('model_byCAP'!$D$2:$D$377,MATCH(Q3122,'model_byCAP'!$A$2:$A$377,0)),0)</f>
        <v>4861</v>
      </c>
    </row>
    <row r="3123" ht="15.35" customHeight="1">
      <c r="A3123" t="s" s="2">
        <v>5930</v>
      </c>
      <c r="B3123" s="4">
        <v>35887</v>
      </c>
      <c r="C3123" s="5">
        <v>660</v>
      </c>
      <c r="D3123" s="5">
        <v>47</v>
      </c>
      <c r="E3123" s="5">
        <v>45</v>
      </c>
      <c r="F3123" t="s" s="2">
        <v>301</v>
      </c>
      <c r="G3123" t="s" s="2">
        <v>5270</v>
      </c>
      <c r="H3123" s="5">
        <v>860</v>
      </c>
      <c r="I3123" t="s" s="2">
        <v>449</v>
      </c>
      <c r="J3123" t="s" s="2">
        <v>22</v>
      </c>
      <c r="K3123" t="s" s="2">
        <v>5906</v>
      </c>
      <c r="L3123" t="s" s="2">
        <v>5931</v>
      </c>
      <c r="M3123" s="5">
        <v>566359.58</v>
      </c>
      <c r="N3123" s="5">
        <v>6362062.92</v>
      </c>
      <c r="O3123" t="s" s="2">
        <v>305</v>
      </c>
      <c r="P3123" t="s" s="2">
        <v>5932</v>
      </c>
      <c r="Q3123" t="s" s="2">
        <v>5272</v>
      </c>
      <c r="R3123" t="s" s="2">
        <f>_xlfn.IFERROR(INDEX('model_byCAP'!$D$2:$D$377,MATCH(Q3123,'model_byCAP'!$A$2:$A$377,0)),0)</f>
        <v>4861</v>
      </c>
    </row>
    <row r="3124" ht="15.35" customHeight="1">
      <c r="A3124" t="s" s="2">
        <v>5933</v>
      </c>
      <c r="B3124" s="4">
        <v>36066</v>
      </c>
      <c r="C3124" s="5">
        <v>660</v>
      </c>
      <c r="D3124" s="5">
        <v>47</v>
      </c>
      <c r="E3124" s="5">
        <v>45</v>
      </c>
      <c r="F3124" t="s" s="2">
        <v>301</v>
      </c>
      <c r="G3124" t="s" s="2">
        <v>5270</v>
      </c>
      <c r="H3124" s="5">
        <v>860</v>
      </c>
      <c r="I3124" t="s" s="2">
        <v>449</v>
      </c>
      <c r="J3124" t="s" s="2">
        <v>22</v>
      </c>
      <c r="K3124" t="s" s="2">
        <v>5906</v>
      </c>
      <c r="L3124" t="s" s="2">
        <v>5934</v>
      </c>
      <c r="M3124" s="5">
        <v>566538.71</v>
      </c>
      <c r="N3124" s="5">
        <v>6361975.17</v>
      </c>
      <c r="O3124" t="s" s="2">
        <v>305</v>
      </c>
      <c r="P3124" t="s" s="2">
        <v>5935</v>
      </c>
      <c r="Q3124" t="s" s="2">
        <v>5272</v>
      </c>
      <c r="R3124" t="s" s="2">
        <f>_xlfn.IFERROR(INDEX('model_byCAP'!$D$2:$D$377,MATCH(Q3124,'model_byCAP'!$A$2:$A$377,0)),0)</f>
        <v>4861</v>
      </c>
    </row>
    <row r="3125" ht="15.35" customHeight="1">
      <c r="A3125" t="s" s="2">
        <v>5936</v>
      </c>
      <c r="B3125" s="4">
        <v>36483</v>
      </c>
      <c r="C3125" s="5">
        <v>660</v>
      </c>
      <c r="D3125" s="5">
        <v>47</v>
      </c>
      <c r="E3125" s="5">
        <v>45</v>
      </c>
      <c r="F3125" t="s" s="2">
        <v>301</v>
      </c>
      <c r="G3125" t="s" s="2">
        <v>5270</v>
      </c>
      <c r="H3125" s="5">
        <v>860</v>
      </c>
      <c r="I3125" t="s" s="2">
        <v>449</v>
      </c>
      <c r="J3125" t="s" s="2">
        <v>22</v>
      </c>
      <c r="K3125" t="s" s="2">
        <v>5937</v>
      </c>
      <c r="L3125" t="s" s="2">
        <v>481</v>
      </c>
      <c r="M3125" s="5">
        <v>570570.13</v>
      </c>
      <c r="N3125" s="5">
        <v>6358178.36</v>
      </c>
      <c r="O3125" t="s" s="2">
        <v>305</v>
      </c>
      <c r="P3125" t="s" s="2">
        <v>5938</v>
      </c>
      <c r="Q3125" t="s" s="2">
        <v>5272</v>
      </c>
      <c r="R3125" t="s" s="2">
        <f>_xlfn.IFERROR(INDEX('model_byCAP'!$D$2:$D$377,MATCH(Q3125,'model_byCAP'!$A$2:$A$377,0)),0)</f>
        <v>4861</v>
      </c>
    </row>
    <row r="3126" ht="15.35" customHeight="1">
      <c r="A3126" t="s" s="2">
        <v>5939</v>
      </c>
      <c r="B3126" s="4">
        <v>36488</v>
      </c>
      <c r="C3126" s="5">
        <v>660</v>
      </c>
      <c r="D3126" s="5">
        <v>47</v>
      </c>
      <c r="E3126" s="5">
        <v>45</v>
      </c>
      <c r="F3126" t="s" s="2">
        <v>301</v>
      </c>
      <c r="G3126" t="s" s="2">
        <v>5270</v>
      </c>
      <c r="H3126" s="5">
        <v>860</v>
      </c>
      <c r="I3126" t="s" s="2">
        <v>449</v>
      </c>
      <c r="J3126" t="s" s="2">
        <v>22</v>
      </c>
      <c r="K3126" t="s" s="2">
        <v>5937</v>
      </c>
      <c r="L3126" t="s" s="2">
        <v>481</v>
      </c>
      <c r="M3126" s="5">
        <v>570837.51</v>
      </c>
      <c r="N3126" s="5">
        <v>6358107.16</v>
      </c>
      <c r="O3126" t="s" s="2">
        <v>305</v>
      </c>
      <c r="P3126" t="s" s="2">
        <v>5940</v>
      </c>
      <c r="Q3126" t="s" s="2">
        <v>5272</v>
      </c>
      <c r="R3126" t="s" s="2">
        <f>_xlfn.IFERROR(INDEX('model_byCAP'!$D$2:$D$377,MATCH(Q3126,'model_byCAP'!$A$2:$A$377,0)),0)</f>
        <v>4861</v>
      </c>
    </row>
    <row r="3127" ht="15.35" customHeight="1">
      <c r="A3127" t="s" s="2">
        <v>5941</v>
      </c>
      <c r="B3127" s="4">
        <v>36483</v>
      </c>
      <c r="C3127" s="5">
        <v>660</v>
      </c>
      <c r="D3127" s="5">
        <v>47</v>
      </c>
      <c r="E3127" s="5">
        <v>45</v>
      </c>
      <c r="F3127" t="s" s="2">
        <v>301</v>
      </c>
      <c r="G3127" t="s" s="2">
        <v>5270</v>
      </c>
      <c r="H3127" s="5">
        <v>860</v>
      </c>
      <c r="I3127" t="s" s="2">
        <v>449</v>
      </c>
      <c r="J3127" t="s" s="2">
        <v>22</v>
      </c>
      <c r="K3127" t="s" s="2">
        <v>5937</v>
      </c>
      <c r="L3127" t="s" s="2">
        <v>481</v>
      </c>
      <c r="M3127" s="5">
        <v>570642.2</v>
      </c>
      <c r="N3127" s="5">
        <v>6357911.21</v>
      </c>
      <c r="O3127" t="s" s="2">
        <v>305</v>
      </c>
      <c r="P3127" t="s" s="2">
        <v>5942</v>
      </c>
      <c r="Q3127" t="s" s="2">
        <v>5272</v>
      </c>
      <c r="R3127" t="s" s="2">
        <f>_xlfn.IFERROR(INDEX('model_byCAP'!$D$2:$D$377,MATCH(Q3127,'model_byCAP'!$A$2:$A$377,0)),0)</f>
        <v>4861</v>
      </c>
    </row>
    <row r="3128" ht="15.35" customHeight="1">
      <c r="A3128" t="s" s="2">
        <v>5943</v>
      </c>
      <c r="B3128" s="4">
        <v>36488</v>
      </c>
      <c r="C3128" s="5">
        <v>660</v>
      </c>
      <c r="D3128" s="5">
        <v>47</v>
      </c>
      <c r="E3128" s="5">
        <v>45</v>
      </c>
      <c r="F3128" t="s" s="2">
        <v>301</v>
      </c>
      <c r="G3128" t="s" s="2">
        <v>5270</v>
      </c>
      <c r="H3128" s="5">
        <v>860</v>
      </c>
      <c r="I3128" t="s" s="2">
        <v>449</v>
      </c>
      <c r="J3128" t="s" s="2">
        <v>22</v>
      </c>
      <c r="K3128" t="s" s="2">
        <v>5937</v>
      </c>
      <c r="L3128" t="s" s="2">
        <v>2078</v>
      </c>
      <c r="M3128" s="5">
        <v>570909.83</v>
      </c>
      <c r="N3128" s="5">
        <v>6357840.56</v>
      </c>
      <c r="O3128" t="s" s="2">
        <v>305</v>
      </c>
      <c r="P3128" t="s" s="2">
        <v>5944</v>
      </c>
      <c r="Q3128" t="s" s="2">
        <v>5272</v>
      </c>
      <c r="R3128" t="s" s="2">
        <f>_xlfn.IFERROR(INDEX('model_byCAP'!$D$2:$D$377,MATCH(Q3128,'model_byCAP'!$A$2:$A$377,0)),0)</f>
        <v>4861</v>
      </c>
    </row>
    <row r="3129" ht="15.35" customHeight="1">
      <c r="A3129" t="s" s="2">
        <v>5945</v>
      </c>
      <c r="B3129" s="4">
        <v>36488</v>
      </c>
      <c r="C3129" s="5">
        <v>660</v>
      </c>
      <c r="D3129" s="5">
        <v>47</v>
      </c>
      <c r="E3129" s="5">
        <v>45</v>
      </c>
      <c r="F3129" t="s" s="2">
        <v>301</v>
      </c>
      <c r="G3129" t="s" s="2">
        <v>5270</v>
      </c>
      <c r="H3129" s="5">
        <v>860</v>
      </c>
      <c r="I3129" t="s" s="2">
        <v>449</v>
      </c>
      <c r="J3129" t="s" s="2">
        <v>22</v>
      </c>
      <c r="K3129" t="s" s="2">
        <v>5946</v>
      </c>
      <c r="L3129" s="5">
        <v>1</v>
      </c>
      <c r="M3129" s="5">
        <v>570714.52</v>
      </c>
      <c r="N3129" s="5">
        <v>6357643.89</v>
      </c>
      <c r="O3129" t="s" s="2">
        <v>305</v>
      </c>
      <c r="P3129" t="s" s="2">
        <v>5947</v>
      </c>
      <c r="Q3129" t="s" s="2">
        <v>5272</v>
      </c>
      <c r="R3129" t="s" s="2">
        <f>_xlfn.IFERROR(INDEX('model_byCAP'!$D$2:$D$377,MATCH(Q3129,'model_byCAP'!$A$2:$A$377,0)),0)</f>
        <v>4861</v>
      </c>
    </row>
    <row r="3130" ht="15.35" customHeight="1">
      <c r="A3130" t="s" s="2">
        <v>5948</v>
      </c>
      <c r="B3130" s="4">
        <v>36483</v>
      </c>
      <c r="C3130" s="5">
        <v>660</v>
      </c>
      <c r="D3130" s="5">
        <v>47</v>
      </c>
      <c r="E3130" s="5">
        <v>45</v>
      </c>
      <c r="F3130" t="s" s="2">
        <v>301</v>
      </c>
      <c r="G3130" t="s" s="2">
        <v>5270</v>
      </c>
      <c r="H3130" s="5">
        <v>860</v>
      </c>
      <c r="I3130" t="s" s="2">
        <v>449</v>
      </c>
      <c r="J3130" t="s" s="2">
        <v>22</v>
      </c>
      <c r="K3130" t="s" s="2">
        <v>5946</v>
      </c>
      <c r="L3130" s="5">
        <v>1</v>
      </c>
      <c r="M3130" s="5">
        <v>570982.76</v>
      </c>
      <c r="N3130" s="5">
        <v>6357573.75</v>
      </c>
      <c r="O3130" t="s" s="2">
        <v>305</v>
      </c>
      <c r="P3130" t="s" s="2">
        <v>5949</v>
      </c>
      <c r="Q3130" t="s" s="2">
        <v>5272</v>
      </c>
      <c r="R3130" t="s" s="2">
        <f>_xlfn.IFERROR(INDEX('model_byCAP'!$D$2:$D$377,MATCH(Q3130,'model_byCAP'!$A$2:$A$377,0)),0)</f>
        <v>4861</v>
      </c>
    </row>
    <row r="3131" ht="15.35" customHeight="1">
      <c r="A3131" t="s" s="2">
        <v>5950</v>
      </c>
      <c r="B3131" s="4">
        <v>36447</v>
      </c>
      <c r="C3131" s="5">
        <v>600</v>
      </c>
      <c r="D3131" s="5">
        <v>44</v>
      </c>
      <c r="E3131" s="5">
        <v>35</v>
      </c>
      <c r="F3131" t="s" s="2">
        <v>1989</v>
      </c>
      <c r="G3131" t="s" s="2">
        <v>5951</v>
      </c>
      <c r="H3131" s="5">
        <v>316</v>
      </c>
      <c r="I3131" t="s" s="2">
        <v>1769</v>
      </c>
      <c r="J3131" t="s" s="2">
        <v>22</v>
      </c>
      <c r="K3131" t="s" s="2">
        <v>5952</v>
      </c>
      <c r="L3131" t="s" s="2">
        <v>4164</v>
      </c>
      <c r="M3131" s="5">
        <v>658115.3100000001</v>
      </c>
      <c r="N3131" s="5">
        <v>6179003.61</v>
      </c>
      <c r="O3131" t="s" s="2">
        <v>305</v>
      </c>
      <c r="P3131" t="s" s="2">
        <v>5953</v>
      </c>
      <c r="Q3131" t="s" s="2">
        <v>5954</v>
      </c>
      <c r="R3131" t="s" s="2">
        <f>_xlfn.IFERROR(INDEX('model_byCAP'!$D$2:$D$377,MATCH(Q3131,'model_byCAP'!$A$2:$A$377,0)),0)</f>
        <v>5955</v>
      </c>
    </row>
    <row r="3132" ht="15.35" customHeight="1">
      <c r="A3132" t="s" s="2">
        <v>5956</v>
      </c>
      <c r="B3132" s="4">
        <v>36447</v>
      </c>
      <c r="C3132" s="5">
        <v>600</v>
      </c>
      <c r="D3132" s="5">
        <v>44</v>
      </c>
      <c r="E3132" s="5">
        <v>35</v>
      </c>
      <c r="F3132" t="s" s="2">
        <v>1989</v>
      </c>
      <c r="G3132" t="s" s="2">
        <v>5951</v>
      </c>
      <c r="H3132" s="5">
        <v>316</v>
      </c>
      <c r="I3132" t="s" s="2">
        <v>1769</v>
      </c>
      <c r="J3132" t="s" s="2">
        <v>22</v>
      </c>
      <c r="K3132" t="s" s="2">
        <v>5952</v>
      </c>
      <c r="L3132" t="s" s="2">
        <v>4162</v>
      </c>
      <c r="M3132" s="5">
        <v>658262.76</v>
      </c>
      <c r="N3132" s="5">
        <v>6178883.07</v>
      </c>
      <c r="O3132" t="s" s="2">
        <v>305</v>
      </c>
      <c r="P3132" t="s" s="2">
        <v>5953</v>
      </c>
      <c r="Q3132" t="s" s="2">
        <v>5954</v>
      </c>
      <c r="R3132" t="s" s="2">
        <f>_xlfn.IFERROR(INDEX('model_byCAP'!$D$2:$D$377,MATCH(Q3132,'model_byCAP'!$A$2:$A$377,0)),0)</f>
        <v>5955</v>
      </c>
    </row>
    <row r="3133" ht="15.35" customHeight="1">
      <c r="A3133" t="s" s="2">
        <v>5957</v>
      </c>
      <c r="B3133" s="4">
        <v>36424</v>
      </c>
      <c r="C3133" s="5">
        <v>600</v>
      </c>
      <c r="D3133" s="5">
        <v>44</v>
      </c>
      <c r="E3133" s="5">
        <v>35</v>
      </c>
      <c r="F3133" t="s" s="2">
        <v>1989</v>
      </c>
      <c r="G3133" t="s" s="2">
        <v>5951</v>
      </c>
      <c r="H3133" s="5">
        <v>316</v>
      </c>
      <c r="I3133" t="s" s="2">
        <v>1769</v>
      </c>
      <c r="J3133" t="s" s="2">
        <v>22</v>
      </c>
      <c r="K3133" t="s" s="2">
        <v>5952</v>
      </c>
      <c r="L3133" t="s" s="2">
        <v>2356</v>
      </c>
      <c r="M3133" s="5">
        <v>657967.7</v>
      </c>
      <c r="N3133" s="5">
        <v>6179119.77</v>
      </c>
      <c r="O3133" t="s" s="2">
        <v>305</v>
      </c>
      <c r="P3133" s="5">
        <v>40032527</v>
      </c>
      <c r="Q3133" t="s" s="2">
        <v>5954</v>
      </c>
      <c r="R3133" t="s" s="2">
        <f>_xlfn.IFERROR(INDEX('model_byCAP'!$D$2:$D$377,MATCH(Q3133,'model_byCAP'!$A$2:$A$377,0)),0)</f>
        <v>5955</v>
      </c>
    </row>
    <row r="3134" ht="15.35" customHeight="1">
      <c r="A3134" t="s" s="2">
        <v>5958</v>
      </c>
      <c r="B3134" s="4">
        <v>35947</v>
      </c>
      <c r="C3134" s="5">
        <v>600</v>
      </c>
      <c r="D3134" s="5">
        <v>44</v>
      </c>
      <c r="E3134" s="5">
        <v>45</v>
      </c>
      <c r="F3134" t="s" s="2">
        <v>301</v>
      </c>
      <c r="G3134" t="s" s="2">
        <v>5959</v>
      </c>
      <c r="H3134" s="5">
        <v>320</v>
      </c>
      <c r="I3134" t="s" s="2">
        <v>1006</v>
      </c>
      <c r="J3134" t="s" s="2">
        <v>22</v>
      </c>
      <c r="K3134" t="s" s="2">
        <v>1992</v>
      </c>
      <c r="L3134" t="s" s="2">
        <v>4099</v>
      </c>
      <c r="M3134" s="5">
        <v>683343.71</v>
      </c>
      <c r="N3134" s="5">
        <v>6136725.93</v>
      </c>
      <c r="O3134" t="s" s="2">
        <v>305</v>
      </c>
      <c r="P3134" s="5">
        <v>191111</v>
      </c>
      <c r="Q3134" t="s" s="2">
        <v>5960</v>
      </c>
      <c r="R3134" t="s" s="2">
        <f>_xlfn.IFERROR(INDEX('model_byCAP'!$D$2:$D$377,MATCH(Q3134,'model_byCAP'!$A$2:$A$377,0)),0)</f>
        <v>5702</v>
      </c>
    </row>
    <row r="3135" ht="15.35" customHeight="1">
      <c r="A3135" t="s" s="2">
        <v>5961</v>
      </c>
      <c r="B3135" s="4">
        <v>35751</v>
      </c>
      <c r="C3135" s="5">
        <v>600</v>
      </c>
      <c r="D3135" s="5">
        <v>44</v>
      </c>
      <c r="E3135" s="5">
        <v>35</v>
      </c>
      <c r="F3135" t="s" s="2">
        <v>1989</v>
      </c>
      <c r="G3135" t="s" s="2">
        <v>5962</v>
      </c>
      <c r="H3135" s="5">
        <v>320</v>
      </c>
      <c r="I3135" t="s" s="2">
        <v>1006</v>
      </c>
      <c r="J3135" t="s" s="2">
        <v>22</v>
      </c>
      <c r="K3135" t="s" s="2">
        <v>5963</v>
      </c>
      <c r="L3135" t="s" s="2">
        <v>481</v>
      </c>
      <c r="M3135" s="5">
        <v>695424.05</v>
      </c>
      <c r="N3135" s="5">
        <v>6125388.83</v>
      </c>
      <c r="O3135" t="s" s="2">
        <v>305</v>
      </c>
      <c r="P3135" s="5">
        <v>190259</v>
      </c>
      <c r="Q3135" t="s" s="2">
        <v>5964</v>
      </c>
      <c r="R3135" t="s" s="2">
        <f>_xlfn.IFERROR(INDEX('model_byCAP'!$D$2:$D$377,MATCH(Q3135,'model_byCAP'!$A$2:$A$377,0)),0)</f>
        <v>5955</v>
      </c>
    </row>
    <row r="3136" ht="15.35" customHeight="1">
      <c r="A3136" t="s" s="2">
        <v>5965</v>
      </c>
      <c r="B3136" s="4">
        <v>35913</v>
      </c>
      <c r="C3136" s="5">
        <v>600</v>
      </c>
      <c r="D3136" s="5">
        <v>44</v>
      </c>
      <c r="E3136" s="5">
        <v>45</v>
      </c>
      <c r="F3136" t="s" s="2">
        <v>301</v>
      </c>
      <c r="G3136" t="s" s="2">
        <v>5700</v>
      </c>
      <c r="H3136" s="5">
        <v>320</v>
      </c>
      <c r="I3136" t="s" s="2">
        <v>1006</v>
      </c>
      <c r="J3136" t="s" s="2">
        <v>22</v>
      </c>
      <c r="K3136" t="s" s="2">
        <v>5966</v>
      </c>
      <c r="L3136" t="s" s="2">
        <v>5967</v>
      </c>
      <c r="M3136" s="5">
        <v>683437.92</v>
      </c>
      <c r="N3136" s="5">
        <v>6136561.19</v>
      </c>
      <c r="O3136" t="s" s="2">
        <v>305</v>
      </c>
      <c r="P3136" s="5">
        <v>191070</v>
      </c>
      <c r="Q3136" t="s" s="2">
        <v>5701</v>
      </c>
      <c r="R3136" t="s" s="2">
        <f>_xlfn.IFERROR(INDEX('model_byCAP'!$D$2:$D$377,MATCH(Q3136,'model_byCAP'!$A$2:$A$377,0)),0)</f>
        <v>5702</v>
      </c>
    </row>
    <row r="3137" ht="15.35" customHeight="1">
      <c r="A3137" t="s" s="2">
        <v>5968</v>
      </c>
      <c r="B3137" s="4">
        <v>35913</v>
      </c>
      <c r="C3137" s="5">
        <v>600</v>
      </c>
      <c r="D3137" s="5">
        <v>44</v>
      </c>
      <c r="E3137" s="5">
        <v>40</v>
      </c>
      <c r="F3137" t="s" s="2">
        <v>301</v>
      </c>
      <c r="G3137" t="s" s="2">
        <v>5700</v>
      </c>
      <c r="H3137" s="5">
        <v>320</v>
      </c>
      <c r="I3137" t="s" s="2">
        <v>1006</v>
      </c>
      <c r="J3137" t="s" s="2">
        <v>22</v>
      </c>
      <c r="K3137" t="s" s="2">
        <v>5969</v>
      </c>
      <c r="L3137" t="s" s="2">
        <v>5970</v>
      </c>
      <c r="M3137" s="5">
        <v>683247.89</v>
      </c>
      <c r="N3137" s="5">
        <v>6136890.15</v>
      </c>
      <c r="O3137" t="s" s="2">
        <v>305</v>
      </c>
      <c r="P3137" s="5">
        <v>191069</v>
      </c>
      <c r="Q3137" t="s" s="2">
        <v>5701</v>
      </c>
      <c r="R3137" t="s" s="2">
        <f>_xlfn.IFERROR(INDEX('model_byCAP'!$D$2:$D$377,MATCH(Q3137,'model_byCAP'!$A$2:$A$377,0)),0)</f>
        <v>5702</v>
      </c>
    </row>
    <row r="3138" ht="15.35" customHeight="1">
      <c r="A3138" t="s" s="2">
        <v>5971</v>
      </c>
      <c r="B3138" s="4">
        <v>36126</v>
      </c>
      <c r="C3138" s="5">
        <v>600</v>
      </c>
      <c r="D3138" s="5">
        <v>43</v>
      </c>
      <c r="E3138" s="5">
        <v>44.5</v>
      </c>
      <c r="F3138" t="s" s="2">
        <v>42</v>
      </c>
      <c r="G3138" t="s" s="2">
        <v>42</v>
      </c>
      <c r="H3138" s="5">
        <v>320</v>
      </c>
      <c r="I3138" t="s" s="2">
        <v>1006</v>
      </c>
      <c r="J3138" t="s" s="2">
        <v>22</v>
      </c>
      <c r="K3138" t="s" s="2">
        <v>5972</v>
      </c>
      <c r="L3138" t="s" s="2">
        <v>2809</v>
      </c>
      <c r="M3138" s="5">
        <v>683532.25</v>
      </c>
      <c r="N3138" s="5">
        <v>6136396.56</v>
      </c>
      <c r="O3138" t="s" s="2">
        <v>305</v>
      </c>
      <c r="P3138" s="5">
        <v>192152</v>
      </c>
      <c r="Q3138" t="s" s="2">
        <v>43</v>
      </c>
      <c r="R3138" s="5">
        <f>_xlfn.IFERROR(INDEX('model_byCAP'!$D$2:$D$377,MATCH(Q3138,'model_byCAP'!$A$2:$A$377,0)),0)</f>
        <v>0</v>
      </c>
    </row>
    <row r="3139" ht="15.35" customHeight="1">
      <c r="A3139" t="s" s="2">
        <v>5973</v>
      </c>
      <c r="B3139" s="4">
        <v>36126</v>
      </c>
      <c r="C3139" s="5">
        <v>600</v>
      </c>
      <c r="D3139" s="5">
        <v>43</v>
      </c>
      <c r="E3139" s="5">
        <v>44.5</v>
      </c>
      <c r="F3139" t="s" s="2">
        <v>42</v>
      </c>
      <c r="G3139" t="s" s="2">
        <v>42</v>
      </c>
      <c r="H3139" s="5">
        <v>320</v>
      </c>
      <c r="I3139" t="s" s="2">
        <v>1006</v>
      </c>
      <c r="J3139" t="s" s="2">
        <v>22</v>
      </c>
      <c r="K3139" t="s" s="2">
        <v>5972</v>
      </c>
      <c r="L3139" t="s" s="2">
        <v>3414</v>
      </c>
      <c r="M3139" s="5">
        <v>683627.48</v>
      </c>
      <c r="N3139" s="5">
        <v>6136231.61</v>
      </c>
      <c r="O3139" t="s" s="2">
        <v>305</v>
      </c>
      <c r="P3139" s="5">
        <v>192153</v>
      </c>
      <c r="Q3139" t="s" s="2">
        <v>43</v>
      </c>
      <c r="R3139" s="5">
        <f>_xlfn.IFERROR(INDEX('model_byCAP'!$D$2:$D$377,MATCH(Q3139,'model_byCAP'!$A$2:$A$377,0)),0)</f>
        <v>0</v>
      </c>
    </row>
    <row r="3140" ht="15.35" customHeight="1">
      <c r="A3140" t="s" s="2">
        <v>5974</v>
      </c>
      <c r="B3140" s="4">
        <v>36126</v>
      </c>
      <c r="C3140" s="5">
        <v>600</v>
      </c>
      <c r="D3140" s="5">
        <v>43</v>
      </c>
      <c r="E3140" s="5">
        <v>44.5</v>
      </c>
      <c r="F3140" t="s" s="2">
        <v>42</v>
      </c>
      <c r="G3140" t="s" s="2">
        <v>42</v>
      </c>
      <c r="H3140" s="5">
        <v>320</v>
      </c>
      <c r="I3140" t="s" s="2">
        <v>1006</v>
      </c>
      <c r="J3140" t="s" s="2">
        <v>22</v>
      </c>
      <c r="K3140" t="s" s="2">
        <v>5972</v>
      </c>
      <c r="L3140" t="s" s="2">
        <v>2872</v>
      </c>
      <c r="M3140" s="5">
        <v>683721.54</v>
      </c>
      <c r="N3140" s="5">
        <v>6136067.15</v>
      </c>
      <c r="O3140" t="s" s="2">
        <v>305</v>
      </c>
      <c r="P3140" s="5">
        <v>192154</v>
      </c>
      <c r="Q3140" t="s" s="2">
        <v>43</v>
      </c>
      <c r="R3140" s="5">
        <f>_xlfn.IFERROR(INDEX('model_byCAP'!$D$2:$D$377,MATCH(Q3140,'model_byCAP'!$A$2:$A$377,0)),0)</f>
        <v>0</v>
      </c>
    </row>
    <row r="3141" ht="15.35" customHeight="1">
      <c r="A3141" t="s" s="2">
        <v>5975</v>
      </c>
      <c r="B3141" s="4">
        <v>35087</v>
      </c>
      <c r="C3141" s="5">
        <v>600</v>
      </c>
      <c r="D3141" s="5">
        <v>41</v>
      </c>
      <c r="E3141" s="5">
        <v>35</v>
      </c>
      <c r="F3141" t="s" s="2">
        <v>1989</v>
      </c>
      <c r="G3141" t="s" s="2">
        <v>5976</v>
      </c>
      <c r="H3141" s="5">
        <v>326</v>
      </c>
      <c r="I3141" t="s" s="2">
        <v>1263</v>
      </c>
      <c r="J3141" t="s" s="2">
        <v>22</v>
      </c>
      <c r="K3141" t="s" s="2">
        <v>5977</v>
      </c>
      <c r="L3141" t="s" s="2">
        <v>394</v>
      </c>
      <c r="M3141" s="5">
        <v>647543.35</v>
      </c>
      <c r="N3141" s="5">
        <v>6153632.45</v>
      </c>
      <c r="O3141" t="s" s="2">
        <v>305</v>
      </c>
      <c r="P3141" s="5">
        <v>60421127</v>
      </c>
      <c r="Q3141" t="s" s="2">
        <v>5978</v>
      </c>
      <c r="R3141" t="s" s="2">
        <f>_xlfn.IFERROR(INDEX('model_byCAP'!$D$2:$D$377,MATCH(Q3141,'model_byCAP'!$A$2:$A$377,0)),0)</f>
        <v>5955</v>
      </c>
    </row>
    <row r="3142" ht="15.35" customHeight="1">
      <c r="A3142" t="s" s="2">
        <v>5979</v>
      </c>
      <c r="B3142" s="4">
        <v>35087</v>
      </c>
      <c r="C3142" s="5">
        <v>600</v>
      </c>
      <c r="D3142" s="5">
        <v>41</v>
      </c>
      <c r="E3142" s="5">
        <v>35</v>
      </c>
      <c r="F3142" t="s" s="2">
        <v>1989</v>
      </c>
      <c r="G3142" t="s" s="2">
        <v>5976</v>
      </c>
      <c r="H3142" s="5">
        <v>326</v>
      </c>
      <c r="I3142" t="s" s="2">
        <v>1263</v>
      </c>
      <c r="J3142" t="s" s="2">
        <v>22</v>
      </c>
      <c r="K3142" t="s" s="2">
        <v>5977</v>
      </c>
      <c r="L3142" t="s" s="2">
        <v>394</v>
      </c>
      <c r="M3142" s="5">
        <v>647547.71</v>
      </c>
      <c r="N3142" s="5">
        <v>6153523.16</v>
      </c>
      <c r="O3142" t="s" s="2">
        <v>305</v>
      </c>
      <c r="P3142" s="5">
        <v>60421127</v>
      </c>
      <c r="Q3142" t="s" s="2">
        <v>5978</v>
      </c>
      <c r="R3142" t="s" s="2">
        <f>_xlfn.IFERROR(INDEX('model_byCAP'!$D$2:$D$377,MATCH(Q3142,'model_byCAP'!$A$2:$A$377,0)),0)</f>
        <v>5955</v>
      </c>
    </row>
    <row r="3143" ht="15.35" customHeight="1">
      <c r="A3143" t="s" s="2">
        <v>5980</v>
      </c>
      <c r="B3143" s="4">
        <v>35087</v>
      </c>
      <c r="C3143" s="5">
        <v>600</v>
      </c>
      <c r="D3143" s="5">
        <v>41</v>
      </c>
      <c r="E3143" s="5">
        <v>35</v>
      </c>
      <c r="F3143" t="s" s="2">
        <v>1989</v>
      </c>
      <c r="G3143" t="s" s="2">
        <v>5976</v>
      </c>
      <c r="H3143" s="5">
        <v>326</v>
      </c>
      <c r="I3143" t="s" s="2">
        <v>1263</v>
      </c>
      <c r="J3143" t="s" s="2">
        <v>22</v>
      </c>
      <c r="K3143" t="s" s="2">
        <v>5977</v>
      </c>
      <c r="L3143" t="s" s="2">
        <v>394</v>
      </c>
      <c r="M3143" s="5">
        <v>647552.34</v>
      </c>
      <c r="N3143" s="5">
        <v>6153412.61</v>
      </c>
      <c r="O3143" t="s" s="2">
        <v>305</v>
      </c>
      <c r="P3143" s="5">
        <v>60421127</v>
      </c>
      <c r="Q3143" t="s" s="2">
        <v>5978</v>
      </c>
      <c r="R3143" t="s" s="2">
        <f>_xlfn.IFERROR(INDEX('model_byCAP'!$D$2:$D$377,MATCH(Q3143,'model_byCAP'!$A$2:$A$377,0)),0)</f>
        <v>5955</v>
      </c>
    </row>
    <row r="3144" ht="15.35" customHeight="1">
      <c r="A3144" t="s" s="2">
        <v>5981</v>
      </c>
      <c r="B3144" s="4">
        <v>36271</v>
      </c>
      <c r="C3144" s="5">
        <v>600</v>
      </c>
      <c r="D3144" s="5">
        <v>43</v>
      </c>
      <c r="E3144" s="5">
        <v>44.5</v>
      </c>
      <c r="F3144" t="s" s="2">
        <v>42</v>
      </c>
      <c r="G3144" t="s" s="2">
        <v>42</v>
      </c>
      <c r="H3144" s="5">
        <v>326</v>
      </c>
      <c r="I3144" t="s" s="2">
        <v>1263</v>
      </c>
      <c r="J3144" t="s" s="2">
        <v>22</v>
      </c>
      <c r="K3144" t="s" s="2">
        <v>5982</v>
      </c>
      <c r="L3144" t="s" s="2">
        <v>4752</v>
      </c>
      <c r="M3144" s="5">
        <v>649549.1800000001</v>
      </c>
      <c r="N3144" s="5">
        <v>6178558.6</v>
      </c>
      <c r="O3144" t="s" s="2">
        <v>305</v>
      </c>
      <c r="P3144" t="s" s="2">
        <v>5983</v>
      </c>
      <c r="Q3144" t="s" s="2">
        <v>43</v>
      </c>
      <c r="R3144" s="5">
        <f>_xlfn.IFERROR(INDEX('model_byCAP'!$D$2:$D$377,MATCH(Q3144,'model_byCAP'!$A$2:$A$377,0)),0)</f>
        <v>0</v>
      </c>
    </row>
    <row r="3145" ht="15.35" customHeight="1">
      <c r="A3145" t="s" s="2">
        <v>5984</v>
      </c>
      <c r="B3145" s="4">
        <v>36271</v>
      </c>
      <c r="C3145" s="5">
        <v>600</v>
      </c>
      <c r="D3145" s="5">
        <v>43</v>
      </c>
      <c r="E3145" s="5">
        <v>44.5</v>
      </c>
      <c r="F3145" t="s" s="2">
        <v>42</v>
      </c>
      <c r="G3145" t="s" s="2">
        <v>42</v>
      </c>
      <c r="H3145" s="5">
        <v>326</v>
      </c>
      <c r="I3145" t="s" s="2">
        <v>1263</v>
      </c>
      <c r="J3145" t="s" s="2">
        <v>22</v>
      </c>
      <c r="K3145" t="s" s="2">
        <v>5982</v>
      </c>
      <c r="L3145" t="s" s="2">
        <v>4812</v>
      </c>
      <c r="M3145" s="5">
        <v>649560.6800000001</v>
      </c>
      <c r="N3145" s="5">
        <v>6178423.65</v>
      </c>
      <c r="O3145" t="s" s="2">
        <v>305</v>
      </c>
      <c r="P3145" t="s" s="2">
        <v>5985</v>
      </c>
      <c r="Q3145" t="s" s="2">
        <v>43</v>
      </c>
      <c r="R3145" s="5">
        <f>_xlfn.IFERROR(INDEX('model_byCAP'!$D$2:$D$377,MATCH(Q3145,'model_byCAP'!$A$2:$A$377,0)),0)</f>
        <v>0</v>
      </c>
    </row>
    <row r="3146" ht="15.35" customHeight="1">
      <c r="A3146" t="s" s="2">
        <v>5986</v>
      </c>
      <c r="B3146" s="4">
        <v>36271</v>
      </c>
      <c r="C3146" s="5">
        <v>600</v>
      </c>
      <c r="D3146" s="5">
        <v>43</v>
      </c>
      <c r="E3146" s="5">
        <v>44.5</v>
      </c>
      <c r="F3146" t="s" s="2">
        <v>42</v>
      </c>
      <c r="G3146" t="s" s="2">
        <v>42</v>
      </c>
      <c r="H3146" s="5">
        <v>326</v>
      </c>
      <c r="I3146" t="s" s="2">
        <v>1263</v>
      </c>
      <c r="J3146" t="s" s="2">
        <v>22</v>
      </c>
      <c r="K3146" t="s" s="2">
        <v>5982</v>
      </c>
      <c r="L3146" t="s" s="2">
        <v>1184</v>
      </c>
      <c r="M3146" s="5">
        <v>649572.5600000001</v>
      </c>
      <c r="N3146" s="5">
        <v>6178289.47</v>
      </c>
      <c r="O3146" t="s" s="2">
        <v>305</v>
      </c>
      <c r="P3146" t="s" s="2">
        <v>5985</v>
      </c>
      <c r="Q3146" t="s" s="2">
        <v>43</v>
      </c>
      <c r="R3146" s="5">
        <f>_xlfn.IFERROR(INDEX('model_byCAP'!$D$2:$D$377,MATCH(Q3146,'model_byCAP'!$A$2:$A$377,0)),0)</f>
        <v>0</v>
      </c>
    </row>
    <row r="3147" ht="15.35" customHeight="1">
      <c r="A3147" t="s" s="2">
        <v>5987</v>
      </c>
      <c r="B3147" s="4">
        <v>35577</v>
      </c>
      <c r="C3147" s="5">
        <v>600</v>
      </c>
      <c r="D3147" s="5">
        <v>44</v>
      </c>
      <c r="E3147" s="5">
        <v>40</v>
      </c>
      <c r="F3147" t="s" s="2">
        <v>1746</v>
      </c>
      <c r="G3147" t="s" s="2">
        <v>5988</v>
      </c>
      <c r="H3147" s="5">
        <v>326</v>
      </c>
      <c r="I3147" t="s" s="2">
        <v>1263</v>
      </c>
      <c r="J3147" t="s" s="2">
        <v>22</v>
      </c>
      <c r="K3147" t="s" s="2">
        <v>5317</v>
      </c>
      <c r="L3147" t="s" s="2">
        <v>1306</v>
      </c>
      <c r="M3147" s="5">
        <v>647925.47</v>
      </c>
      <c r="N3147" s="5">
        <v>6155310.16</v>
      </c>
      <c r="O3147" t="s" s="2">
        <v>305</v>
      </c>
      <c r="P3147" s="5">
        <v>60145384</v>
      </c>
      <c r="Q3147" t="s" s="2">
        <v>5989</v>
      </c>
      <c r="R3147" t="s" s="2">
        <f>_xlfn.IFERROR(INDEX('model_byCAP'!$D$2:$D$377,MATCH(Q3147,'model_byCAP'!$A$2:$A$377,0)),0)</f>
        <v>2955</v>
      </c>
    </row>
    <row r="3148" ht="15.35" customHeight="1">
      <c r="A3148" t="s" s="2">
        <v>5990</v>
      </c>
      <c r="B3148" s="4">
        <v>35577</v>
      </c>
      <c r="C3148" s="5">
        <v>600</v>
      </c>
      <c r="D3148" s="5">
        <v>44</v>
      </c>
      <c r="E3148" s="5">
        <v>40</v>
      </c>
      <c r="F3148" t="s" s="2">
        <v>1746</v>
      </c>
      <c r="G3148" t="s" s="2">
        <v>5988</v>
      </c>
      <c r="H3148" s="5">
        <v>326</v>
      </c>
      <c r="I3148" t="s" s="2">
        <v>1263</v>
      </c>
      <c r="J3148" t="s" s="2">
        <v>22</v>
      </c>
      <c r="K3148" t="s" s="2">
        <v>5317</v>
      </c>
      <c r="L3148" t="s" s="2">
        <v>1271</v>
      </c>
      <c r="M3148" s="5">
        <v>648072.1899999999</v>
      </c>
      <c r="N3148" s="5">
        <v>6155031.88</v>
      </c>
      <c r="O3148" t="s" s="2">
        <v>305</v>
      </c>
      <c r="P3148" s="5">
        <v>60145407</v>
      </c>
      <c r="Q3148" t="s" s="2">
        <v>5989</v>
      </c>
      <c r="R3148" t="s" s="2">
        <f>_xlfn.IFERROR(INDEX('model_byCAP'!$D$2:$D$377,MATCH(Q3148,'model_byCAP'!$A$2:$A$377,0)),0)</f>
        <v>2955</v>
      </c>
    </row>
    <row r="3149" ht="15.35" customHeight="1">
      <c r="A3149" t="s" s="2">
        <v>5991</v>
      </c>
      <c r="B3149" s="4">
        <v>35577</v>
      </c>
      <c r="C3149" s="5">
        <v>600</v>
      </c>
      <c r="D3149" s="5">
        <v>44</v>
      </c>
      <c r="E3149" s="5">
        <v>40</v>
      </c>
      <c r="F3149" t="s" s="2">
        <v>1746</v>
      </c>
      <c r="G3149" t="s" s="2">
        <v>5988</v>
      </c>
      <c r="H3149" s="5">
        <v>326</v>
      </c>
      <c r="I3149" t="s" s="2">
        <v>1263</v>
      </c>
      <c r="J3149" t="s" s="2">
        <v>22</v>
      </c>
      <c r="K3149" t="s" s="2">
        <v>5317</v>
      </c>
      <c r="L3149" t="s" s="2">
        <v>511</v>
      </c>
      <c r="M3149" s="5">
        <v>647997.65</v>
      </c>
      <c r="N3149" s="5">
        <v>6155170.87</v>
      </c>
      <c r="O3149" t="s" s="2">
        <v>305</v>
      </c>
      <c r="P3149" s="5">
        <v>60145397</v>
      </c>
      <c r="Q3149" t="s" s="2">
        <v>5989</v>
      </c>
      <c r="R3149" t="s" s="2">
        <f>_xlfn.IFERROR(INDEX('model_byCAP'!$D$2:$D$377,MATCH(Q3149,'model_byCAP'!$A$2:$A$377,0)),0)</f>
        <v>2955</v>
      </c>
    </row>
    <row r="3150" ht="15.35" customHeight="1">
      <c r="A3150" t="s" s="2">
        <v>5992</v>
      </c>
      <c r="B3150" s="4">
        <v>35816</v>
      </c>
      <c r="C3150" s="5">
        <v>600</v>
      </c>
      <c r="D3150" s="5">
        <v>43</v>
      </c>
      <c r="E3150" s="5">
        <v>44.5</v>
      </c>
      <c r="F3150" t="s" s="2">
        <v>42</v>
      </c>
      <c r="G3150" t="s" s="2">
        <v>42</v>
      </c>
      <c r="H3150" s="5">
        <v>326</v>
      </c>
      <c r="I3150" t="s" s="2">
        <v>1263</v>
      </c>
      <c r="J3150" t="s" s="2">
        <v>22</v>
      </c>
      <c r="K3150" t="s" s="2">
        <v>5982</v>
      </c>
      <c r="L3150" t="s" s="2">
        <v>2809</v>
      </c>
      <c r="M3150" s="5">
        <v>649537.46</v>
      </c>
      <c r="N3150" s="5">
        <v>6178692.8</v>
      </c>
      <c r="O3150" t="s" s="2">
        <v>305</v>
      </c>
      <c r="P3150" s="5">
        <v>40033742</v>
      </c>
      <c r="Q3150" t="s" s="2">
        <v>43</v>
      </c>
      <c r="R3150" s="5">
        <f>_xlfn.IFERROR(INDEX('model_byCAP'!$D$2:$D$377,MATCH(Q3150,'model_byCAP'!$A$2:$A$377,0)),0)</f>
        <v>0</v>
      </c>
    </row>
    <row r="3151" ht="15.35" customHeight="1">
      <c r="A3151" t="s" s="2">
        <v>5993</v>
      </c>
      <c r="B3151" s="4">
        <v>35816</v>
      </c>
      <c r="C3151" s="5">
        <v>600</v>
      </c>
      <c r="D3151" s="5">
        <v>43</v>
      </c>
      <c r="E3151" s="5">
        <v>44.5</v>
      </c>
      <c r="F3151" t="s" s="2">
        <v>42</v>
      </c>
      <c r="G3151" t="s" s="2">
        <v>42</v>
      </c>
      <c r="H3151" s="5">
        <v>326</v>
      </c>
      <c r="I3151" t="s" s="2">
        <v>1263</v>
      </c>
      <c r="J3151" t="s" s="2">
        <v>22</v>
      </c>
      <c r="K3151" t="s" s="2">
        <v>5982</v>
      </c>
      <c r="L3151" t="s" s="2">
        <v>2809</v>
      </c>
      <c r="M3151" s="5">
        <v>649584.24</v>
      </c>
      <c r="N3151" s="5">
        <v>6178156.95</v>
      </c>
      <c r="O3151" t="s" s="2">
        <v>305</v>
      </c>
      <c r="P3151" s="5">
        <v>40033751</v>
      </c>
      <c r="Q3151" t="s" s="2">
        <v>43</v>
      </c>
      <c r="R3151" s="5">
        <f>_xlfn.IFERROR(INDEX('model_byCAP'!$D$2:$D$377,MATCH(Q3151,'model_byCAP'!$A$2:$A$377,0)),0)</f>
        <v>0</v>
      </c>
    </row>
    <row r="3152" ht="15.35" customHeight="1">
      <c r="A3152" t="s" s="2">
        <v>5994</v>
      </c>
      <c r="B3152" s="4">
        <v>36388</v>
      </c>
      <c r="C3152" s="5">
        <v>600</v>
      </c>
      <c r="D3152" s="5">
        <v>44</v>
      </c>
      <c r="E3152" s="5">
        <v>45</v>
      </c>
      <c r="F3152" t="s" s="2">
        <v>1989</v>
      </c>
      <c r="G3152" t="s" s="2">
        <v>5962</v>
      </c>
      <c r="H3152" s="5">
        <v>329</v>
      </c>
      <c r="I3152" t="s" s="2">
        <v>2902</v>
      </c>
      <c r="J3152" t="s" s="2">
        <v>22</v>
      </c>
      <c r="K3152" t="s" s="2">
        <v>5995</v>
      </c>
      <c r="L3152" t="s" s="2">
        <v>5996</v>
      </c>
      <c r="M3152" s="5">
        <v>671090.3</v>
      </c>
      <c r="N3152" s="5">
        <v>6145682.24</v>
      </c>
      <c r="O3152" t="s" s="2">
        <v>305</v>
      </c>
      <c r="P3152" s="5">
        <v>193715</v>
      </c>
      <c r="Q3152" t="s" s="2">
        <v>5964</v>
      </c>
      <c r="R3152" t="s" s="2">
        <f>_xlfn.IFERROR(INDEX('model_byCAP'!$D$2:$D$377,MATCH(Q3152,'model_byCAP'!$A$2:$A$377,0)),0)</f>
        <v>5955</v>
      </c>
    </row>
    <row r="3153" ht="15.35" customHeight="1">
      <c r="A3153" t="s" s="2">
        <v>5997</v>
      </c>
      <c r="B3153" s="4">
        <v>36388</v>
      </c>
      <c r="C3153" s="5">
        <v>600</v>
      </c>
      <c r="D3153" s="5">
        <v>44</v>
      </c>
      <c r="E3153" s="5">
        <v>45</v>
      </c>
      <c r="F3153" t="s" s="2">
        <v>1989</v>
      </c>
      <c r="G3153" t="s" s="2">
        <v>5962</v>
      </c>
      <c r="H3153" s="5">
        <v>329</v>
      </c>
      <c r="I3153" t="s" s="2">
        <v>2902</v>
      </c>
      <c r="J3153" t="s" s="2">
        <v>22</v>
      </c>
      <c r="K3153" t="s" s="2">
        <v>5995</v>
      </c>
      <c r="L3153" t="s" s="2">
        <v>5998</v>
      </c>
      <c r="M3153" s="5">
        <v>670981.37</v>
      </c>
      <c r="N3153" s="5">
        <v>6145538.74</v>
      </c>
      <c r="O3153" t="s" s="2">
        <v>305</v>
      </c>
      <c r="P3153" s="5">
        <v>193714</v>
      </c>
      <c r="Q3153" t="s" s="2">
        <v>5964</v>
      </c>
      <c r="R3153" t="s" s="2">
        <f>_xlfn.IFERROR(INDEX('model_byCAP'!$D$2:$D$377,MATCH(Q3153,'model_byCAP'!$A$2:$A$377,0)),0)</f>
        <v>5955</v>
      </c>
    </row>
    <row r="3154" ht="15.35" customHeight="1">
      <c r="A3154" t="s" s="2">
        <v>5999</v>
      </c>
      <c r="B3154" s="4">
        <v>36388</v>
      </c>
      <c r="C3154" s="5">
        <v>600</v>
      </c>
      <c r="D3154" s="5">
        <v>44</v>
      </c>
      <c r="E3154" s="5">
        <v>45</v>
      </c>
      <c r="F3154" t="s" s="2">
        <v>1989</v>
      </c>
      <c r="G3154" t="s" s="2">
        <v>5962</v>
      </c>
      <c r="H3154" s="5">
        <v>329</v>
      </c>
      <c r="I3154" t="s" s="2">
        <v>2902</v>
      </c>
      <c r="J3154" t="s" s="2">
        <v>22</v>
      </c>
      <c r="K3154" t="s" s="2">
        <v>6000</v>
      </c>
      <c r="L3154" t="s" s="2">
        <v>5998</v>
      </c>
      <c r="M3154" s="5">
        <v>671198.61</v>
      </c>
      <c r="N3154" s="5">
        <v>6145825.75</v>
      </c>
      <c r="O3154" t="s" s="2">
        <v>305</v>
      </c>
      <c r="P3154" s="5">
        <v>193713</v>
      </c>
      <c r="Q3154" t="s" s="2">
        <v>5964</v>
      </c>
      <c r="R3154" t="s" s="2">
        <f>_xlfn.IFERROR(INDEX('model_byCAP'!$D$2:$D$377,MATCH(Q3154,'model_byCAP'!$A$2:$A$377,0)),0)</f>
        <v>5955</v>
      </c>
    </row>
    <row r="3155" ht="15.35" customHeight="1">
      <c r="A3155" t="s" s="2">
        <v>6001</v>
      </c>
      <c r="B3155" s="4">
        <v>35024</v>
      </c>
      <c r="C3155" s="5">
        <v>600</v>
      </c>
      <c r="D3155" s="5">
        <v>41</v>
      </c>
      <c r="E3155" s="5">
        <v>35</v>
      </c>
      <c r="F3155" t="s" s="2">
        <v>42</v>
      </c>
      <c r="G3155" t="s" s="2">
        <v>42</v>
      </c>
      <c r="H3155" s="5">
        <v>330</v>
      </c>
      <c r="I3155" t="s" s="2">
        <v>1491</v>
      </c>
      <c r="J3155" t="s" s="2">
        <v>22</v>
      </c>
      <c r="K3155" t="s" s="2">
        <v>6002</v>
      </c>
      <c r="L3155" s="5">
        <v>5</v>
      </c>
      <c r="M3155" s="5">
        <v>651734.12</v>
      </c>
      <c r="N3155" s="5">
        <v>6146506.04</v>
      </c>
      <c r="O3155" t="s" s="2">
        <v>305</v>
      </c>
      <c r="P3155" t="s" s="2">
        <v>6003</v>
      </c>
      <c r="Q3155" t="s" s="2">
        <v>43</v>
      </c>
      <c r="R3155" s="5">
        <f>_xlfn.IFERROR(INDEX('model_byCAP'!$D$2:$D$377,MATCH(Q3155,'model_byCAP'!$A$2:$A$377,0)),0)</f>
        <v>0</v>
      </c>
    </row>
    <row r="3156" ht="15.35" customHeight="1">
      <c r="A3156" t="s" s="2">
        <v>6004</v>
      </c>
      <c r="B3156" s="4">
        <v>35024</v>
      </c>
      <c r="C3156" s="5">
        <v>600</v>
      </c>
      <c r="D3156" s="5">
        <v>41</v>
      </c>
      <c r="E3156" s="5">
        <v>35</v>
      </c>
      <c r="F3156" t="s" s="2">
        <v>42</v>
      </c>
      <c r="G3156" t="s" s="2">
        <v>42</v>
      </c>
      <c r="H3156" s="5">
        <v>330</v>
      </c>
      <c r="I3156" t="s" s="2">
        <v>1491</v>
      </c>
      <c r="J3156" t="s" s="2">
        <v>22</v>
      </c>
      <c r="K3156" t="s" s="2">
        <v>6002</v>
      </c>
      <c r="L3156" s="5">
        <v>5</v>
      </c>
      <c r="M3156" s="5">
        <v>651745.85</v>
      </c>
      <c r="N3156" s="5">
        <v>6146381.79</v>
      </c>
      <c r="O3156" t="s" s="2">
        <v>305</v>
      </c>
      <c r="P3156" t="s" s="2">
        <v>6003</v>
      </c>
      <c r="Q3156" t="s" s="2">
        <v>43</v>
      </c>
      <c r="R3156" s="5">
        <f>_xlfn.IFERROR(INDEX('model_byCAP'!$D$2:$D$377,MATCH(Q3156,'model_byCAP'!$A$2:$A$377,0)),0)</f>
        <v>0</v>
      </c>
    </row>
    <row r="3157" ht="15.35" customHeight="1">
      <c r="A3157" t="s" s="2">
        <v>6005</v>
      </c>
      <c r="B3157" s="4">
        <v>35024</v>
      </c>
      <c r="C3157" s="5">
        <v>600</v>
      </c>
      <c r="D3157" s="5">
        <v>41</v>
      </c>
      <c r="E3157" s="5">
        <v>35</v>
      </c>
      <c r="F3157" t="s" s="2">
        <v>42</v>
      </c>
      <c r="G3157" t="s" s="2">
        <v>42</v>
      </c>
      <c r="H3157" s="5">
        <v>330</v>
      </c>
      <c r="I3157" t="s" s="2">
        <v>1491</v>
      </c>
      <c r="J3157" t="s" s="2">
        <v>22</v>
      </c>
      <c r="K3157" t="s" s="2">
        <v>6002</v>
      </c>
      <c r="L3157" s="5">
        <v>5</v>
      </c>
      <c r="M3157" s="5">
        <v>651756.54</v>
      </c>
      <c r="N3157" s="5">
        <v>6146256.16</v>
      </c>
      <c r="O3157" t="s" s="2">
        <v>305</v>
      </c>
      <c r="P3157" t="s" s="2">
        <v>6003</v>
      </c>
      <c r="Q3157" t="s" s="2">
        <v>43</v>
      </c>
      <c r="R3157" s="5">
        <f>_xlfn.IFERROR(INDEX('model_byCAP'!$D$2:$D$377,MATCH(Q3157,'model_byCAP'!$A$2:$A$377,0)),0)</f>
        <v>0</v>
      </c>
    </row>
    <row r="3158" ht="15.35" customHeight="1">
      <c r="A3158" t="s" s="2">
        <v>6006</v>
      </c>
      <c r="B3158" s="4">
        <v>35362</v>
      </c>
      <c r="C3158" s="5">
        <v>600</v>
      </c>
      <c r="D3158" s="5">
        <v>44</v>
      </c>
      <c r="E3158" s="5">
        <v>40</v>
      </c>
      <c r="F3158" t="s" s="2">
        <v>1989</v>
      </c>
      <c r="G3158" t="s" s="2">
        <v>5962</v>
      </c>
      <c r="H3158" s="5">
        <v>330</v>
      </c>
      <c r="I3158" t="s" s="2">
        <v>1491</v>
      </c>
      <c r="J3158" t="s" s="2">
        <v>22</v>
      </c>
      <c r="K3158" t="s" s="2">
        <v>6007</v>
      </c>
      <c r="L3158" t="s" s="2">
        <v>394</v>
      </c>
      <c r="M3158" s="5">
        <v>654078.5699999999</v>
      </c>
      <c r="N3158" s="5">
        <v>6149636.95</v>
      </c>
      <c r="O3158" t="s" s="2">
        <v>305</v>
      </c>
      <c r="P3158" s="5">
        <v>60421145</v>
      </c>
      <c r="Q3158" t="s" s="2">
        <v>5964</v>
      </c>
      <c r="R3158" t="s" s="2">
        <f>_xlfn.IFERROR(INDEX('model_byCAP'!$D$2:$D$377,MATCH(Q3158,'model_byCAP'!$A$2:$A$377,0)),0)</f>
        <v>5955</v>
      </c>
    </row>
    <row r="3159" ht="15.35" customHeight="1">
      <c r="A3159" t="s" s="2">
        <v>6008</v>
      </c>
      <c r="B3159" s="4">
        <v>35362</v>
      </c>
      <c r="C3159" s="5">
        <v>600</v>
      </c>
      <c r="D3159" s="5">
        <v>44</v>
      </c>
      <c r="E3159" s="5">
        <v>40</v>
      </c>
      <c r="F3159" t="s" s="2">
        <v>1989</v>
      </c>
      <c r="G3159" t="s" s="2">
        <v>5962</v>
      </c>
      <c r="H3159" s="5">
        <v>330</v>
      </c>
      <c r="I3159" t="s" s="2">
        <v>1491</v>
      </c>
      <c r="J3159" t="s" s="2">
        <v>22</v>
      </c>
      <c r="K3159" t="s" s="2">
        <v>6007</v>
      </c>
      <c r="L3159" t="s" s="2">
        <v>394</v>
      </c>
      <c r="M3159" s="5">
        <v>654142.87</v>
      </c>
      <c r="N3159" s="5">
        <v>6149530.25</v>
      </c>
      <c r="O3159" t="s" s="2">
        <v>305</v>
      </c>
      <c r="P3159" s="5">
        <v>60421145</v>
      </c>
      <c r="Q3159" t="s" s="2">
        <v>5964</v>
      </c>
      <c r="R3159" t="s" s="2">
        <f>_xlfn.IFERROR(INDEX('model_byCAP'!$D$2:$D$377,MATCH(Q3159,'model_byCAP'!$A$2:$A$377,0)),0)</f>
        <v>5955</v>
      </c>
    </row>
    <row r="3160" ht="15.35" customHeight="1">
      <c r="A3160" t="s" s="2">
        <v>6009</v>
      </c>
      <c r="B3160" s="4">
        <v>35735</v>
      </c>
      <c r="C3160" s="5">
        <v>600</v>
      </c>
      <c r="D3160" s="5">
        <v>43</v>
      </c>
      <c r="E3160" s="5">
        <v>45</v>
      </c>
      <c r="F3160" t="s" s="2">
        <v>3604</v>
      </c>
      <c r="G3160" t="s" s="2">
        <v>4113</v>
      </c>
      <c r="H3160" s="5">
        <v>330</v>
      </c>
      <c r="I3160" t="s" s="2">
        <v>1491</v>
      </c>
      <c r="J3160" t="s" s="2">
        <v>22</v>
      </c>
      <c r="K3160" t="s" s="2">
        <v>1992</v>
      </c>
      <c r="L3160" t="s" s="2">
        <v>4420</v>
      </c>
      <c r="M3160" s="5">
        <v>655175.99</v>
      </c>
      <c r="N3160" s="5">
        <v>6131640.31</v>
      </c>
      <c r="O3160" t="s" s="2">
        <v>305</v>
      </c>
      <c r="P3160" s="5">
        <v>190258</v>
      </c>
      <c r="Q3160" t="s" s="2">
        <v>4114</v>
      </c>
      <c r="R3160" t="s" s="2">
        <f>_xlfn.IFERROR(INDEX('model_byCAP'!$D$2:$D$377,MATCH(Q3160,'model_byCAP'!$A$2:$A$377,0)),0)</f>
        <v>4115</v>
      </c>
    </row>
    <row r="3161" ht="15.35" customHeight="1">
      <c r="A3161" t="s" s="2">
        <v>6010</v>
      </c>
      <c r="B3161" s="4">
        <v>35735</v>
      </c>
      <c r="C3161" s="5">
        <v>600</v>
      </c>
      <c r="D3161" s="5">
        <v>43</v>
      </c>
      <c r="E3161" s="5">
        <v>45</v>
      </c>
      <c r="F3161" t="s" s="2">
        <v>3604</v>
      </c>
      <c r="G3161" t="s" s="2">
        <v>4113</v>
      </c>
      <c r="H3161" s="5">
        <v>330</v>
      </c>
      <c r="I3161" t="s" s="2">
        <v>1491</v>
      </c>
      <c r="J3161" t="s" s="2">
        <v>22</v>
      </c>
      <c r="K3161" t="s" s="2">
        <v>1992</v>
      </c>
      <c r="L3161" t="s" s="2">
        <v>4420</v>
      </c>
      <c r="M3161" s="5">
        <v>654975.16</v>
      </c>
      <c r="N3161" s="5">
        <v>6131643.28</v>
      </c>
      <c r="O3161" t="s" s="2">
        <v>305</v>
      </c>
      <c r="P3161" s="5">
        <v>190256</v>
      </c>
      <c r="Q3161" t="s" s="2">
        <v>4114</v>
      </c>
      <c r="R3161" t="s" s="2">
        <f>_xlfn.IFERROR(INDEX('model_byCAP'!$D$2:$D$377,MATCH(Q3161,'model_byCAP'!$A$2:$A$377,0)),0)</f>
        <v>4115</v>
      </c>
    </row>
    <row r="3162" ht="15.35" customHeight="1">
      <c r="A3162" t="s" s="2">
        <v>6011</v>
      </c>
      <c r="B3162" s="4">
        <v>35735</v>
      </c>
      <c r="C3162" s="5">
        <v>600</v>
      </c>
      <c r="D3162" s="5">
        <v>43</v>
      </c>
      <c r="E3162" s="5">
        <v>45</v>
      </c>
      <c r="F3162" t="s" s="2">
        <v>3604</v>
      </c>
      <c r="G3162" t="s" s="2">
        <v>4113</v>
      </c>
      <c r="H3162" s="5">
        <v>330</v>
      </c>
      <c r="I3162" t="s" s="2">
        <v>1491</v>
      </c>
      <c r="J3162" t="s" s="2">
        <v>22</v>
      </c>
      <c r="K3162" t="s" s="2">
        <v>1992</v>
      </c>
      <c r="L3162" t="s" s="2">
        <v>4420</v>
      </c>
      <c r="M3162" s="5">
        <v>655373.9</v>
      </c>
      <c r="N3162" s="5">
        <v>6131640</v>
      </c>
      <c r="O3162" t="s" s="2">
        <v>305</v>
      </c>
      <c r="P3162" s="5">
        <v>190257</v>
      </c>
      <c r="Q3162" t="s" s="2">
        <v>4114</v>
      </c>
      <c r="R3162" t="s" s="2">
        <f>_xlfn.IFERROR(INDEX('model_byCAP'!$D$2:$D$377,MATCH(Q3162,'model_byCAP'!$A$2:$A$377,0)),0)</f>
        <v>4115</v>
      </c>
    </row>
    <row r="3163" ht="15.35" customHeight="1">
      <c r="A3163" t="s" s="2">
        <v>6012</v>
      </c>
      <c r="B3163" s="4">
        <v>35916</v>
      </c>
      <c r="C3163" s="5">
        <v>600</v>
      </c>
      <c r="D3163" s="5">
        <v>42</v>
      </c>
      <c r="E3163" s="5">
        <v>35</v>
      </c>
      <c r="F3163" t="s" s="2">
        <v>4716</v>
      </c>
      <c r="G3163" t="s" s="2">
        <v>6013</v>
      </c>
      <c r="H3163" s="5">
        <v>330</v>
      </c>
      <c r="I3163" t="s" s="2">
        <v>1491</v>
      </c>
      <c r="J3163" t="s" s="2">
        <v>22</v>
      </c>
      <c r="K3163" t="s" s="2">
        <v>1992</v>
      </c>
      <c r="L3163" t="s" s="2">
        <v>304</v>
      </c>
      <c r="M3163" s="5">
        <v>649060.89</v>
      </c>
      <c r="N3163" s="5">
        <v>6132004.04</v>
      </c>
      <c r="O3163" t="s" s="2">
        <v>305</v>
      </c>
      <c r="P3163" s="5">
        <v>192612</v>
      </c>
      <c r="Q3163" t="s" s="2">
        <v>6014</v>
      </c>
      <c r="R3163" t="s" s="2">
        <f>_xlfn.IFERROR(INDEX('model_byCAP'!$D$2:$D$377,MATCH(Q3163,'model_byCAP'!$A$2:$A$377,0)),0)</f>
        <v>4720</v>
      </c>
    </row>
    <row r="3164" ht="15.35" customHeight="1">
      <c r="A3164" t="s" s="2">
        <v>6015</v>
      </c>
      <c r="B3164" s="4">
        <v>35916</v>
      </c>
      <c r="C3164" s="5">
        <v>600</v>
      </c>
      <c r="D3164" s="5">
        <v>42</v>
      </c>
      <c r="E3164" s="5">
        <v>35</v>
      </c>
      <c r="F3164" t="s" s="2">
        <v>4716</v>
      </c>
      <c r="G3164" t="s" s="2">
        <v>6013</v>
      </c>
      <c r="H3164" s="5">
        <v>330</v>
      </c>
      <c r="I3164" t="s" s="2">
        <v>1491</v>
      </c>
      <c r="J3164" t="s" s="2">
        <v>22</v>
      </c>
      <c r="K3164" t="s" s="2">
        <v>1992</v>
      </c>
      <c r="L3164" t="s" s="2">
        <v>1119</v>
      </c>
      <c r="M3164" s="5">
        <v>649018.88</v>
      </c>
      <c r="N3164" s="5">
        <v>6132148.95</v>
      </c>
      <c r="O3164" t="s" s="2">
        <v>305</v>
      </c>
      <c r="P3164" s="5">
        <v>192612</v>
      </c>
      <c r="Q3164" t="s" s="2">
        <v>6014</v>
      </c>
      <c r="R3164" t="s" s="2">
        <f>_xlfn.IFERROR(INDEX('model_byCAP'!$D$2:$D$377,MATCH(Q3164,'model_byCAP'!$A$2:$A$377,0)),0)</f>
        <v>4720</v>
      </c>
    </row>
    <row r="3165" ht="15.35" customHeight="1">
      <c r="A3165" t="s" s="2">
        <v>6016</v>
      </c>
      <c r="B3165" s="4">
        <v>35192</v>
      </c>
      <c r="C3165" s="5">
        <v>600</v>
      </c>
      <c r="D3165" s="5">
        <v>43</v>
      </c>
      <c r="E3165" s="5">
        <v>46.4</v>
      </c>
      <c r="F3165" t="s" s="2">
        <v>1746</v>
      </c>
      <c r="G3165" t="s" s="2">
        <v>6017</v>
      </c>
      <c r="H3165" s="5">
        <v>330</v>
      </c>
      <c r="I3165" t="s" s="2">
        <v>1491</v>
      </c>
      <c r="J3165" t="s" s="2">
        <v>22</v>
      </c>
      <c r="K3165" t="s" s="2">
        <v>6018</v>
      </c>
      <c r="L3165" t="s" s="2">
        <v>543</v>
      </c>
      <c r="M3165" s="5">
        <v>641820.99</v>
      </c>
      <c r="N3165" s="5">
        <v>6144292.43</v>
      </c>
      <c r="O3165" t="s" s="2">
        <v>305</v>
      </c>
      <c r="P3165" s="5">
        <v>40070967</v>
      </c>
      <c r="Q3165" t="s" s="2">
        <v>6019</v>
      </c>
      <c r="R3165" t="s" s="2">
        <f>_xlfn.IFERROR(INDEX('model_byCAP'!$D$2:$D$377,MATCH(Q3165,'model_byCAP'!$A$2:$A$377,0)),0)</f>
        <v>2955</v>
      </c>
    </row>
    <row r="3166" ht="15.35" customHeight="1">
      <c r="A3166" t="s" s="2">
        <v>6020</v>
      </c>
      <c r="B3166" s="4">
        <v>35192</v>
      </c>
      <c r="C3166" s="5">
        <v>600</v>
      </c>
      <c r="D3166" s="5">
        <v>43</v>
      </c>
      <c r="E3166" s="5">
        <v>46.4</v>
      </c>
      <c r="F3166" t="s" s="2">
        <v>1746</v>
      </c>
      <c r="G3166" t="s" s="2">
        <v>6017</v>
      </c>
      <c r="H3166" s="5">
        <v>330</v>
      </c>
      <c r="I3166" t="s" s="2">
        <v>1491</v>
      </c>
      <c r="J3166" t="s" s="2">
        <v>22</v>
      </c>
      <c r="K3166" t="s" s="2">
        <v>6018</v>
      </c>
      <c r="L3166" t="s" s="2">
        <v>2389</v>
      </c>
      <c r="M3166" s="5">
        <v>641949.53</v>
      </c>
      <c r="N3166" s="5">
        <v>6144251.36</v>
      </c>
      <c r="O3166" t="s" s="2">
        <v>305</v>
      </c>
      <c r="P3166" s="5">
        <v>40070975</v>
      </c>
      <c r="Q3166" t="s" s="2">
        <v>6019</v>
      </c>
      <c r="R3166" t="s" s="2">
        <f>_xlfn.IFERROR(INDEX('model_byCAP'!$D$2:$D$377,MATCH(Q3166,'model_byCAP'!$A$2:$A$377,0)),0)</f>
        <v>2955</v>
      </c>
    </row>
    <row r="3167" ht="15.35" customHeight="1">
      <c r="A3167" t="s" s="2">
        <v>6021</v>
      </c>
      <c r="B3167" s="4">
        <v>35192</v>
      </c>
      <c r="C3167" s="5">
        <v>600</v>
      </c>
      <c r="D3167" s="5">
        <v>43</v>
      </c>
      <c r="E3167" s="5">
        <v>46.4</v>
      </c>
      <c r="F3167" t="s" s="2">
        <v>1746</v>
      </c>
      <c r="G3167" t="s" s="2">
        <v>6017</v>
      </c>
      <c r="H3167" s="5">
        <v>330</v>
      </c>
      <c r="I3167" t="s" s="2">
        <v>1491</v>
      </c>
      <c r="J3167" t="s" s="2">
        <v>22</v>
      </c>
      <c r="K3167" t="s" s="2">
        <v>6022</v>
      </c>
      <c r="L3167" t="s" s="2">
        <v>2725</v>
      </c>
      <c r="M3167" s="5">
        <v>642079.64</v>
      </c>
      <c r="N3167" s="5">
        <v>6144210.9</v>
      </c>
      <c r="O3167" t="s" s="2">
        <v>305</v>
      </c>
      <c r="P3167" s="5">
        <v>40070985</v>
      </c>
      <c r="Q3167" t="s" s="2">
        <v>6019</v>
      </c>
      <c r="R3167" t="s" s="2">
        <f>_xlfn.IFERROR(INDEX('model_byCAP'!$D$2:$D$377,MATCH(Q3167,'model_byCAP'!$A$2:$A$377,0)),0)</f>
        <v>2955</v>
      </c>
    </row>
    <row r="3168" ht="15.35" customHeight="1">
      <c r="A3168" t="s" s="2">
        <v>6023</v>
      </c>
      <c r="B3168" s="4">
        <v>35459</v>
      </c>
      <c r="C3168" s="5">
        <v>600</v>
      </c>
      <c r="D3168" s="5">
        <v>48</v>
      </c>
      <c r="E3168" s="5">
        <v>46</v>
      </c>
      <c r="F3168" t="s" s="2">
        <v>1746</v>
      </c>
      <c r="G3168" t="s" s="2">
        <v>6024</v>
      </c>
      <c r="H3168" s="5">
        <v>330</v>
      </c>
      <c r="I3168" t="s" s="2">
        <v>1491</v>
      </c>
      <c r="J3168" t="s" s="2">
        <v>22</v>
      </c>
      <c r="K3168" t="s" s="2">
        <v>6002</v>
      </c>
      <c r="L3168" t="s" s="2">
        <v>585</v>
      </c>
      <c r="M3168" s="5">
        <v>649618.99</v>
      </c>
      <c r="N3168" s="5">
        <v>6146614.47</v>
      </c>
      <c r="O3168" t="s" s="2">
        <v>305</v>
      </c>
      <c r="P3168" s="5">
        <v>40030824</v>
      </c>
      <c r="Q3168" t="s" s="2">
        <v>6025</v>
      </c>
      <c r="R3168" t="s" s="2">
        <f>_xlfn.IFERROR(INDEX('model_byCAP'!$D$2:$D$377,MATCH(Q3168,'model_byCAP'!$A$2:$A$377,0)),0)</f>
        <v>2955</v>
      </c>
    </row>
    <row r="3169" ht="15.35" customHeight="1">
      <c r="A3169" t="s" s="2">
        <v>6026</v>
      </c>
      <c r="B3169" s="4">
        <v>35459</v>
      </c>
      <c r="C3169" s="5">
        <v>600</v>
      </c>
      <c r="D3169" s="5">
        <v>48</v>
      </c>
      <c r="E3169" s="5">
        <v>46</v>
      </c>
      <c r="F3169" t="s" s="2">
        <v>1746</v>
      </c>
      <c r="G3169" t="s" s="2">
        <v>6024</v>
      </c>
      <c r="H3169" s="5">
        <v>330</v>
      </c>
      <c r="I3169" t="s" s="2">
        <v>1491</v>
      </c>
      <c r="J3169" t="s" s="2">
        <v>22</v>
      </c>
      <c r="K3169" t="s" s="2">
        <v>6002</v>
      </c>
      <c r="L3169" t="s" s="2">
        <v>396</v>
      </c>
      <c r="M3169" s="5">
        <v>649748.9399999999</v>
      </c>
      <c r="N3169" s="5">
        <v>6146683.28</v>
      </c>
      <c r="O3169" t="s" s="2">
        <v>305</v>
      </c>
      <c r="P3169" s="5">
        <v>40030815</v>
      </c>
      <c r="Q3169" t="s" s="2">
        <v>6025</v>
      </c>
      <c r="R3169" t="s" s="2">
        <f>_xlfn.IFERROR(INDEX('model_byCAP'!$D$2:$D$377,MATCH(Q3169,'model_byCAP'!$A$2:$A$377,0)),0)</f>
        <v>2955</v>
      </c>
    </row>
    <row r="3170" ht="15.35" customHeight="1">
      <c r="A3170" t="s" s="2">
        <v>6027</v>
      </c>
      <c r="B3170" s="4">
        <v>35629</v>
      </c>
      <c r="C3170" s="5">
        <v>600</v>
      </c>
      <c r="D3170" s="5">
        <v>43</v>
      </c>
      <c r="E3170" s="5">
        <v>40</v>
      </c>
      <c r="F3170" t="s" s="2">
        <v>3604</v>
      </c>
      <c r="G3170" t="s" s="2">
        <v>6028</v>
      </c>
      <c r="H3170" s="5">
        <v>330</v>
      </c>
      <c r="I3170" t="s" s="2">
        <v>1491</v>
      </c>
      <c r="J3170" t="s" s="2">
        <v>22</v>
      </c>
      <c r="K3170" t="s" s="2">
        <v>6029</v>
      </c>
      <c r="L3170" t="s" s="2">
        <v>4988</v>
      </c>
      <c r="M3170" s="5">
        <v>654775.1800000001</v>
      </c>
      <c r="N3170" s="5">
        <v>6131645.73</v>
      </c>
      <c r="O3170" t="s" s="2">
        <v>305</v>
      </c>
      <c r="P3170" s="5">
        <v>190199</v>
      </c>
      <c r="Q3170" t="s" s="2">
        <v>6030</v>
      </c>
      <c r="R3170" t="s" s="2">
        <f>_xlfn.IFERROR(INDEX('model_byCAP'!$D$2:$D$377,MATCH(Q3170,'model_byCAP'!$A$2:$A$377,0)),0)</f>
        <v>4115</v>
      </c>
    </row>
    <row r="3171" ht="15.35" customHeight="1">
      <c r="A3171" t="s" s="2">
        <v>6031</v>
      </c>
      <c r="B3171" s="4">
        <v>35629</v>
      </c>
      <c r="C3171" s="5">
        <v>600</v>
      </c>
      <c r="D3171" s="5">
        <v>43</v>
      </c>
      <c r="E3171" s="5">
        <v>45</v>
      </c>
      <c r="F3171" t="s" s="2">
        <v>3604</v>
      </c>
      <c r="G3171" t="s" s="2">
        <v>6028</v>
      </c>
      <c r="H3171" s="5">
        <v>330</v>
      </c>
      <c r="I3171" t="s" s="2">
        <v>1491</v>
      </c>
      <c r="J3171" t="s" s="2">
        <v>22</v>
      </c>
      <c r="K3171" t="s" s="2">
        <v>6032</v>
      </c>
      <c r="L3171" t="s" s="2">
        <v>1194</v>
      </c>
      <c r="M3171" s="5">
        <v>654575.98</v>
      </c>
      <c r="N3171" s="5">
        <v>6131648.76</v>
      </c>
      <c r="O3171" t="s" s="2">
        <v>305</v>
      </c>
      <c r="P3171" s="5">
        <v>190200</v>
      </c>
      <c r="Q3171" t="s" s="2">
        <v>6030</v>
      </c>
      <c r="R3171" t="s" s="2">
        <f>_xlfn.IFERROR(INDEX('model_byCAP'!$D$2:$D$377,MATCH(Q3171,'model_byCAP'!$A$2:$A$377,0)),0)</f>
        <v>4115</v>
      </c>
    </row>
    <row r="3172" ht="15.35" customHeight="1">
      <c r="A3172" t="s" s="2">
        <v>6033</v>
      </c>
      <c r="B3172" s="4">
        <v>35629</v>
      </c>
      <c r="C3172" s="5">
        <v>600</v>
      </c>
      <c r="D3172" s="5">
        <v>43</v>
      </c>
      <c r="E3172" s="5">
        <v>45</v>
      </c>
      <c r="F3172" t="s" s="2">
        <v>3604</v>
      </c>
      <c r="G3172" t="s" s="2">
        <v>6028</v>
      </c>
      <c r="H3172" s="5">
        <v>330</v>
      </c>
      <c r="I3172" t="s" s="2">
        <v>1491</v>
      </c>
      <c r="J3172" t="s" s="2">
        <v>22</v>
      </c>
      <c r="K3172" t="s" s="2">
        <v>6029</v>
      </c>
      <c r="L3172" t="s" s="2">
        <v>2296</v>
      </c>
      <c r="M3172" s="5">
        <v>654374.79</v>
      </c>
      <c r="N3172" s="5">
        <v>6131651.46</v>
      </c>
      <c r="O3172" t="s" s="2">
        <v>305</v>
      </c>
      <c r="P3172" s="5">
        <v>190201</v>
      </c>
      <c r="Q3172" t="s" s="2">
        <v>6030</v>
      </c>
      <c r="R3172" t="s" s="2">
        <f>_xlfn.IFERROR(INDEX('model_byCAP'!$D$2:$D$377,MATCH(Q3172,'model_byCAP'!$A$2:$A$377,0)),0)</f>
        <v>4115</v>
      </c>
    </row>
    <row r="3173" ht="15.35" customHeight="1">
      <c r="A3173" t="s" s="2">
        <v>6034</v>
      </c>
      <c r="B3173" s="4">
        <v>36438</v>
      </c>
      <c r="C3173" s="5">
        <v>600</v>
      </c>
      <c r="D3173" s="5">
        <v>44</v>
      </c>
      <c r="E3173" s="5">
        <v>40</v>
      </c>
      <c r="F3173" t="s" s="2">
        <v>1989</v>
      </c>
      <c r="G3173" t="s" s="2">
        <v>6035</v>
      </c>
      <c r="H3173" s="5">
        <v>330</v>
      </c>
      <c r="I3173" t="s" s="2">
        <v>1491</v>
      </c>
      <c r="J3173" t="s" s="2">
        <v>22</v>
      </c>
      <c r="K3173" t="s" s="2">
        <v>6036</v>
      </c>
      <c r="L3173" t="s" s="2">
        <v>394</v>
      </c>
      <c r="M3173" s="5">
        <v>654207.23</v>
      </c>
      <c r="N3173" s="5">
        <v>6149423.62</v>
      </c>
      <c r="O3173" t="s" s="2">
        <v>305</v>
      </c>
      <c r="P3173" s="5">
        <v>40032381</v>
      </c>
      <c r="Q3173" t="s" s="2">
        <v>6037</v>
      </c>
      <c r="R3173" t="s" s="2">
        <f>_xlfn.IFERROR(INDEX('model_byCAP'!$D$2:$D$377,MATCH(Q3173,'model_byCAP'!$A$2:$A$377,0)),0)</f>
        <v>5955</v>
      </c>
    </row>
    <row r="3174" ht="15.35" customHeight="1">
      <c r="A3174" t="s" s="2">
        <v>6038</v>
      </c>
      <c r="B3174" s="4">
        <v>36553</v>
      </c>
      <c r="C3174" s="5">
        <v>600</v>
      </c>
      <c r="D3174" s="5">
        <v>44</v>
      </c>
      <c r="E3174" s="5">
        <v>40</v>
      </c>
      <c r="F3174" t="s" s="2">
        <v>1989</v>
      </c>
      <c r="G3174" t="s" s="2">
        <v>6035</v>
      </c>
      <c r="H3174" s="5">
        <v>330</v>
      </c>
      <c r="I3174" t="s" s="2">
        <v>1491</v>
      </c>
      <c r="J3174" t="s" s="2">
        <v>22</v>
      </c>
      <c r="K3174" t="s" s="2">
        <v>4126</v>
      </c>
      <c r="L3174" t="s" s="2">
        <v>2348</v>
      </c>
      <c r="M3174" s="5">
        <v>653241.67</v>
      </c>
      <c r="N3174" s="5">
        <v>6147661.83</v>
      </c>
      <c r="O3174" t="s" s="2">
        <v>305</v>
      </c>
      <c r="P3174" s="5">
        <v>40032389</v>
      </c>
      <c r="Q3174" t="s" s="2">
        <v>6037</v>
      </c>
      <c r="R3174" t="s" s="2">
        <f>_xlfn.IFERROR(INDEX('model_byCAP'!$D$2:$D$377,MATCH(Q3174,'model_byCAP'!$A$2:$A$377,0)),0)</f>
        <v>5955</v>
      </c>
    </row>
    <row r="3175" ht="15.35" customHeight="1">
      <c r="A3175" t="s" s="2">
        <v>6039</v>
      </c>
      <c r="B3175" s="4">
        <v>36698</v>
      </c>
      <c r="C3175" s="5">
        <v>600</v>
      </c>
      <c r="D3175" s="5">
        <v>44</v>
      </c>
      <c r="E3175" s="5">
        <v>40</v>
      </c>
      <c r="F3175" t="s" s="2">
        <v>301</v>
      </c>
      <c r="G3175" t="s" s="2">
        <v>5700</v>
      </c>
      <c r="H3175" s="5">
        <v>330</v>
      </c>
      <c r="I3175" t="s" s="2">
        <v>1491</v>
      </c>
      <c r="J3175" t="s" s="2">
        <v>22</v>
      </c>
      <c r="K3175" t="s" s="2">
        <v>6040</v>
      </c>
      <c r="L3175" t="s" s="2">
        <v>518</v>
      </c>
      <c r="M3175" s="5">
        <v>640792.0600000001</v>
      </c>
      <c r="N3175" s="5">
        <v>6136125.89</v>
      </c>
      <c r="O3175" t="s" s="2">
        <v>305</v>
      </c>
      <c r="P3175" s="5">
        <v>40067447</v>
      </c>
      <c r="Q3175" t="s" s="2">
        <v>5701</v>
      </c>
      <c r="R3175" t="s" s="2">
        <f>_xlfn.IFERROR(INDEX('model_byCAP'!$D$2:$D$377,MATCH(Q3175,'model_byCAP'!$A$2:$A$377,0)),0)</f>
        <v>5702</v>
      </c>
    </row>
    <row r="3176" ht="15.35" customHeight="1">
      <c r="A3176" t="s" s="2">
        <v>6041</v>
      </c>
      <c r="B3176" s="4">
        <v>36698</v>
      </c>
      <c r="C3176" s="5">
        <v>600</v>
      </c>
      <c r="D3176" s="5">
        <v>44</v>
      </c>
      <c r="E3176" s="5">
        <v>40</v>
      </c>
      <c r="F3176" t="s" s="2">
        <v>301</v>
      </c>
      <c r="G3176" t="s" s="2">
        <v>5700</v>
      </c>
      <c r="H3176" s="5">
        <v>330</v>
      </c>
      <c r="I3176" t="s" s="2">
        <v>1491</v>
      </c>
      <c r="J3176" t="s" s="2">
        <v>22</v>
      </c>
      <c r="K3176" t="s" s="2">
        <v>6042</v>
      </c>
      <c r="L3176" t="s" s="2">
        <v>2909</v>
      </c>
      <c r="M3176" s="5">
        <v>641022.41</v>
      </c>
      <c r="N3176" s="5">
        <v>6136170.74</v>
      </c>
      <c r="O3176" t="s" s="2">
        <v>305</v>
      </c>
      <c r="P3176" s="5">
        <v>40067457</v>
      </c>
      <c r="Q3176" t="s" s="2">
        <v>5701</v>
      </c>
      <c r="R3176" t="s" s="2">
        <f>_xlfn.IFERROR(INDEX('model_byCAP'!$D$2:$D$377,MATCH(Q3176,'model_byCAP'!$A$2:$A$377,0)),0)</f>
        <v>5702</v>
      </c>
    </row>
    <row r="3177" ht="15.35" customHeight="1">
      <c r="A3177" t="s" s="2">
        <v>6043</v>
      </c>
      <c r="B3177" s="4">
        <v>37242</v>
      </c>
      <c r="C3177" s="5">
        <v>600</v>
      </c>
      <c r="D3177" s="5">
        <v>44</v>
      </c>
      <c r="E3177" s="5">
        <v>35</v>
      </c>
      <c r="F3177" t="s" s="2">
        <v>1989</v>
      </c>
      <c r="G3177" t="s" s="2">
        <v>6044</v>
      </c>
      <c r="H3177" s="5">
        <v>330</v>
      </c>
      <c r="I3177" t="s" s="2">
        <v>1491</v>
      </c>
      <c r="J3177" t="s" s="2">
        <v>22</v>
      </c>
      <c r="K3177" t="s" s="2">
        <v>6045</v>
      </c>
      <c r="L3177" t="s" s="2">
        <v>2348</v>
      </c>
      <c r="M3177" s="5">
        <v>653292.13</v>
      </c>
      <c r="N3177" s="5">
        <v>6137398.18</v>
      </c>
      <c r="O3177" t="s" s="2">
        <v>305</v>
      </c>
      <c r="P3177" s="5">
        <v>40107286</v>
      </c>
      <c r="Q3177" t="s" s="2">
        <v>6046</v>
      </c>
      <c r="R3177" t="s" s="2">
        <f>_xlfn.IFERROR(INDEX('model_byCAP'!$D$2:$D$377,MATCH(Q3177,'model_byCAP'!$A$2:$A$377,0)),0)</f>
        <v>3178</v>
      </c>
    </row>
    <row r="3178" ht="15.35" customHeight="1">
      <c r="A3178" t="s" s="2">
        <v>6047</v>
      </c>
      <c r="B3178" s="4">
        <v>35827</v>
      </c>
      <c r="C3178" s="5">
        <v>600</v>
      </c>
      <c r="D3178" s="5">
        <v>48</v>
      </c>
      <c r="E3178" s="5">
        <v>46</v>
      </c>
      <c r="F3178" t="s" s="2">
        <v>3604</v>
      </c>
      <c r="G3178" t="s" s="2">
        <v>6048</v>
      </c>
      <c r="H3178" s="5">
        <v>336</v>
      </c>
      <c r="I3178" t="s" s="2">
        <v>4152</v>
      </c>
      <c r="J3178" t="s" s="2">
        <v>22</v>
      </c>
      <c r="K3178" t="s" s="2">
        <v>1992</v>
      </c>
      <c r="L3178" t="s" s="2">
        <v>3953</v>
      </c>
      <c r="M3178" s="5">
        <v>702666.95</v>
      </c>
      <c r="N3178" s="5">
        <v>6137539.88</v>
      </c>
      <c r="O3178" t="s" s="2">
        <v>305</v>
      </c>
      <c r="P3178" t="s" s="2">
        <v>6049</v>
      </c>
      <c r="Q3178" t="s" s="2">
        <v>6050</v>
      </c>
      <c r="R3178" t="s" s="2">
        <f>_xlfn.IFERROR(INDEX('model_byCAP'!$D$2:$D$377,MATCH(Q3178,'model_byCAP'!$A$2:$A$377,0)),0)</f>
        <v>2955</v>
      </c>
    </row>
    <row r="3179" ht="15.35" customHeight="1">
      <c r="A3179" t="s" s="2">
        <v>6051</v>
      </c>
      <c r="B3179" s="4">
        <v>35827</v>
      </c>
      <c r="C3179" s="5">
        <v>600</v>
      </c>
      <c r="D3179" s="5">
        <v>48</v>
      </c>
      <c r="E3179" s="5">
        <v>46</v>
      </c>
      <c r="F3179" t="s" s="2">
        <v>3604</v>
      </c>
      <c r="G3179" t="s" s="2">
        <v>6048</v>
      </c>
      <c r="H3179" s="5">
        <v>336</v>
      </c>
      <c r="I3179" t="s" s="2">
        <v>4152</v>
      </c>
      <c r="J3179" t="s" s="2">
        <v>22</v>
      </c>
      <c r="K3179" t="s" s="2">
        <v>1992</v>
      </c>
      <c r="L3179" t="s" s="2">
        <v>3953</v>
      </c>
      <c r="M3179" s="5">
        <v>702679.3</v>
      </c>
      <c r="N3179" s="5">
        <v>6137390.26</v>
      </c>
      <c r="O3179" t="s" s="2">
        <v>305</v>
      </c>
      <c r="P3179" s="5">
        <v>190786</v>
      </c>
      <c r="Q3179" t="s" s="2">
        <v>6050</v>
      </c>
      <c r="R3179" t="s" s="2">
        <f>_xlfn.IFERROR(INDEX('model_byCAP'!$D$2:$D$377,MATCH(Q3179,'model_byCAP'!$A$2:$A$377,0)),0)</f>
        <v>2955</v>
      </c>
    </row>
    <row r="3180" ht="15.35" customHeight="1">
      <c r="A3180" t="s" s="2">
        <v>6052</v>
      </c>
      <c r="B3180" s="4">
        <v>36373</v>
      </c>
      <c r="C3180" s="5">
        <v>600</v>
      </c>
      <c r="D3180" s="5">
        <v>44</v>
      </c>
      <c r="E3180" s="5">
        <v>50</v>
      </c>
      <c r="F3180" t="s" s="2">
        <v>1989</v>
      </c>
      <c r="G3180" t="s" s="2">
        <v>6053</v>
      </c>
      <c r="H3180" s="5">
        <v>336</v>
      </c>
      <c r="I3180" t="s" s="2">
        <v>4152</v>
      </c>
      <c r="J3180" t="s" s="2">
        <v>22</v>
      </c>
      <c r="K3180" t="s" s="2">
        <v>1992</v>
      </c>
      <c r="L3180" t="s" s="2">
        <v>500</v>
      </c>
      <c r="M3180" s="5">
        <v>706240.77</v>
      </c>
      <c r="N3180" s="5">
        <v>6139728.2</v>
      </c>
      <c r="O3180" t="s" s="2">
        <v>305</v>
      </c>
      <c r="P3180" s="5">
        <v>193279</v>
      </c>
      <c r="Q3180" t="s" s="2">
        <v>6054</v>
      </c>
      <c r="R3180" t="s" s="2">
        <f>_xlfn.IFERROR(INDEX('model_byCAP'!$D$2:$D$377,MATCH(Q3180,'model_byCAP'!$A$2:$A$377,0)),0)</f>
        <v>3178</v>
      </c>
    </row>
    <row r="3181" ht="15.35" customHeight="1">
      <c r="A3181" t="s" s="2">
        <v>6055</v>
      </c>
      <c r="B3181" s="4">
        <v>35509</v>
      </c>
      <c r="C3181" s="5">
        <v>600</v>
      </c>
      <c r="D3181" s="5">
        <v>44</v>
      </c>
      <c r="E3181" s="5">
        <v>40</v>
      </c>
      <c r="F3181" t="s" s="2">
        <v>301</v>
      </c>
      <c r="G3181" t="s" s="2">
        <v>5700</v>
      </c>
      <c r="H3181" s="5">
        <v>336</v>
      </c>
      <c r="I3181" t="s" s="2">
        <v>4152</v>
      </c>
      <c r="J3181" t="s" s="2">
        <v>22</v>
      </c>
      <c r="K3181" t="s" s="2">
        <v>6056</v>
      </c>
      <c r="L3181" t="s" s="2">
        <v>6057</v>
      </c>
      <c r="M3181" s="5">
        <v>708698.97</v>
      </c>
      <c r="N3181" s="5">
        <v>6143339.18</v>
      </c>
      <c r="O3181" t="s" s="2">
        <v>305</v>
      </c>
      <c r="P3181" s="5">
        <v>184699</v>
      </c>
      <c r="Q3181" t="s" s="2">
        <v>5701</v>
      </c>
      <c r="R3181" t="s" s="2">
        <f>_xlfn.IFERROR(INDEX('model_byCAP'!$D$2:$D$377,MATCH(Q3181,'model_byCAP'!$A$2:$A$377,0)),0)</f>
        <v>5702</v>
      </c>
    </row>
    <row r="3182" ht="15.35" customHeight="1">
      <c r="A3182" t="s" s="2">
        <v>6058</v>
      </c>
      <c r="B3182" s="4">
        <v>35786</v>
      </c>
      <c r="C3182" s="5">
        <v>600</v>
      </c>
      <c r="D3182" s="5">
        <v>48</v>
      </c>
      <c r="E3182" s="5">
        <v>46</v>
      </c>
      <c r="F3182" t="s" s="2">
        <v>3604</v>
      </c>
      <c r="G3182" t="s" s="2">
        <v>6059</v>
      </c>
      <c r="H3182" s="5">
        <v>336</v>
      </c>
      <c r="I3182" t="s" s="2">
        <v>4152</v>
      </c>
      <c r="J3182" t="s" s="2">
        <v>22</v>
      </c>
      <c r="K3182" t="s" s="2">
        <v>6060</v>
      </c>
      <c r="L3182" t="s" s="2">
        <v>6061</v>
      </c>
      <c r="M3182" s="5">
        <v>702691.16</v>
      </c>
      <c r="N3182" s="5">
        <v>6137239.31</v>
      </c>
      <c r="O3182" t="s" s="2">
        <v>305</v>
      </c>
      <c r="P3182" s="5">
        <v>190786</v>
      </c>
      <c r="Q3182" t="s" s="2">
        <v>6062</v>
      </c>
      <c r="R3182" t="s" s="2">
        <f>_xlfn.IFERROR(INDEX('model_byCAP'!$D$2:$D$377,MATCH(Q3182,'model_byCAP'!$A$2:$A$377,0)),0)</f>
        <v>2955</v>
      </c>
    </row>
    <row r="3183" ht="15.35" customHeight="1">
      <c r="A3183" t="s" s="2">
        <v>6063</v>
      </c>
      <c r="B3183" s="4">
        <v>36390</v>
      </c>
      <c r="C3183" s="5">
        <v>600</v>
      </c>
      <c r="D3183" s="5">
        <v>44</v>
      </c>
      <c r="E3183" s="5">
        <v>50</v>
      </c>
      <c r="F3183" t="s" s="2">
        <v>1989</v>
      </c>
      <c r="G3183" t="s" s="2">
        <v>5962</v>
      </c>
      <c r="H3183" s="5">
        <v>336</v>
      </c>
      <c r="I3183" t="s" s="2">
        <v>4152</v>
      </c>
      <c r="J3183" t="s" s="2">
        <v>22</v>
      </c>
      <c r="K3183" t="s" s="2">
        <v>6064</v>
      </c>
      <c r="L3183" t="s" s="2">
        <v>524</v>
      </c>
      <c r="M3183" s="5">
        <v>706227.7</v>
      </c>
      <c r="N3183" s="5">
        <v>6139548.85</v>
      </c>
      <c r="O3183" t="s" s="2">
        <v>305</v>
      </c>
      <c r="P3183" s="5">
        <v>193277</v>
      </c>
      <c r="Q3183" t="s" s="2">
        <v>5964</v>
      </c>
      <c r="R3183" t="s" s="2">
        <f>_xlfn.IFERROR(INDEX('model_byCAP'!$D$2:$D$377,MATCH(Q3183,'model_byCAP'!$A$2:$A$377,0)),0)</f>
        <v>5955</v>
      </c>
    </row>
    <row r="3184" ht="15.35" customHeight="1">
      <c r="A3184" t="s" s="2">
        <v>6065</v>
      </c>
      <c r="B3184" s="4">
        <v>36390</v>
      </c>
      <c r="C3184" s="5">
        <v>600</v>
      </c>
      <c r="D3184" s="5">
        <v>44</v>
      </c>
      <c r="E3184" s="5">
        <v>50</v>
      </c>
      <c r="F3184" t="s" s="2">
        <v>1989</v>
      </c>
      <c r="G3184" t="s" s="2">
        <v>5951</v>
      </c>
      <c r="H3184" s="5">
        <v>336</v>
      </c>
      <c r="I3184" t="s" s="2">
        <v>4152</v>
      </c>
      <c r="J3184" t="s" s="2">
        <v>22</v>
      </c>
      <c r="K3184" t="s" s="2">
        <v>6064</v>
      </c>
      <c r="L3184" t="s" s="2">
        <v>500</v>
      </c>
      <c r="M3184" s="5">
        <v>706214.16</v>
      </c>
      <c r="N3184" s="5">
        <v>6139369.24</v>
      </c>
      <c r="O3184" t="s" s="2">
        <v>305</v>
      </c>
      <c r="P3184" s="5">
        <v>193278</v>
      </c>
      <c r="Q3184" t="s" s="2">
        <v>5954</v>
      </c>
      <c r="R3184" t="s" s="2">
        <f>_xlfn.IFERROR(INDEX('model_byCAP'!$D$2:$D$377,MATCH(Q3184,'model_byCAP'!$A$2:$A$377,0)),0)</f>
        <v>5955</v>
      </c>
    </row>
    <row r="3185" ht="15.35" customHeight="1">
      <c r="A3185" t="s" s="2">
        <v>6066</v>
      </c>
      <c r="B3185" s="4">
        <v>36578</v>
      </c>
      <c r="C3185" s="5">
        <v>600</v>
      </c>
      <c r="D3185" s="5">
        <v>44</v>
      </c>
      <c r="E3185" s="5">
        <v>35</v>
      </c>
      <c r="F3185" t="s" s="2">
        <v>1989</v>
      </c>
      <c r="G3185" t="s" s="2">
        <v>5951</v>
      </c>
      <c r="H3185" s="5">
        <v>336</v>
      </c>
      <c r="I3185" t="s" s="2">
        <v>4152</v>
      </c>
      <c r="J3185" t="s" s="2">
        <v>22</v>
      </c>
      <c r="K3185" t="s" s="2">
        <v>6067</v>
      </c>
      <c r="L3185" t="s" s="2">
        <v>4092</v>
      </c>
      <c r="M3185" s="5">
        <v>717022.02</v>
      </c>
      <c r="N3185" s="5">
        <v>6131069.33</v>
      </c>
      <c r="O3185" t="s" s="2">
        <v>305</v>
      </c>
      <c r="P3185" s="5">
        <v>194534</v>
      </c>
      <c r="Q3185" t="s" s="2">
        <v>5954</v>
      </c>
      <c r="R3185" t="s" s="2">
        <f>_xlfn.IFERROR(INDEX('model_byCAP'!$D$2:$D$377,MATCH(Q3185,'model_byCAP'!$A$2:$A$377,0)),0)</f>
        <v>5955</v>
      </c>
    </row>
    <row r="3186" ht="15.35" customHeight="1">
      <c r="A3186" t="s" s="2">
        <v>6068</v>
      </c>
      <c r="B3186" s="4">
        <v>36578</v>
      </c>
      <c r="C3186" s="5">
        <v>600</v>
      </c>
      <c r="D3186" s="5">
        <v>44</v>
      </c>
      <c r="E3186" s="5">
        <v>35</v>
      </c>
      <c r="F3186" t="s" s="2">
        <v>1989</v>
      </c>
      <c r="G3186" t="s" s="2">
        <v>5962</v>
      </c>
      <c r="H3186" s="5">
        <v>336</v>
      </c>
      <c r="I3186" t="s" s="2">
        <v>4152</v>
      </c>
      <c r="J3186" t="s" s="2">
        <v>22</v>
      </c>
      <c r="K3186" t="s" s="2">
        <v>6067</v>
      </c>
      <c r="L3186" t="s" s="2">
        <v>910</v>
      </c>
      <c r="M3186" s="5">
        <v>717056.92</v>
      </c>
      <c r="N3186" s="5">
        <v>6131266.52</v>
      </c>
      <c r="O3186" t="s" s="2">
        <v>305</v>
      </c>
      <c r="P3186" s="5">
        <v>194535</v>
      </c>
      <c r="Q3186" t="s" s="2">
        <v>5964</v>
      </c>
      <c r="R3186" t="s" s="2">
        <f>_xlfn.IFERROR(INDEX('model_byCAP'!$D$2:$D$377,MATCH(Q3186,'model_byCAP'!$A$2:$A$377,0)),0)</f>
        <v>5955</v>
      </c>
    </row>
    <row r="3187" ht="15.35" customHeight="1">
      <c r="A3187" t="s" s="2">
        <v>6069</v>
      </c>
      <c r="B3187" s="4">
        <v>35891</v>
      </c>
      <c r="C3187" s="5">
        <v>600</v>
      </c>
      <c r="D3187" s="5">
        <v>48</v>
      </c>
      <c r="E3187" s="5">
        <v>46</v>
      </c>
      <c r="F3187" t="s" s="2">
        <v>3604</v>
      </c>
      <c r="G3187" t="s" s="2">
        <v>6070</v>
      </c>
      <c r="H3187" s="5">
        <v>350</v>
      </c>
      <c r="I3187" t="s" s="2">
        <v>3451</v>
      </c>
      <c r="J3187" t="s" s="2">
        <v>22</v>
      </c>
      <c r="K3187" t="s" s="2">
        <v>6071</v>
      </c>
      <c r="L3187" t="s" s="2">
        <v>582</v>
      </c>
      <c r="M3187" s="5">
        <v>682218.8199999999</v>
      </c>
      <c r="N3187" s="5">
        <v>6169977.67</v>
      </c>
      <c r="O3187" t="s" s="2">
        <v>305</v>
      </c>
      <c r="P3187" t="s" s="2">
        <v>6072</v>
      </c>
      <c r="Q3187" t="s" s="2">
        <v>6073</v>
      </c>
      <c r="R3187" t="s" s="2">
        <f>_xlfn.IFERROR(INDEX('model_byCAP'!$D$2:$D$377,MATCH(Q3187,'model_byCAP'!$A$2:$A$377,0)),0)</f>
        <v>4042</v>
      </c>
    </row>
    <row r="3188" ht="15.35" customHeight="1">
      <c r="A3188" t="s" s="2">
        <v>6074</v>
      </c>
      <c r="B3188" s="4">
        <v>35891</v>
      </c>
      <c r="C3188" s="5">
        <v>600</v>
      </c>
      <c r="D3188" s="5">
        <v>48</v>
      </c>
      <c r="E3188" s="5">
        <v>46</v>
      </c>
      <c r="F3188" t="s" s="2">
        <v>3604</v>
      </c>
      <c r="G3188" t="s" s="2">
        <v>6070</v>
      </c>
      <c r="H3188" s="5">
        <v>350</v>
      </c>
      <c r="I3188" t="s" s="2">
        <v>3451</v>
      </c>
      <c r="J3188" t="s" s="2">
        <v>22</v>
      </c>
      <c r="K3188" t="s" s="2">
        <v>6071</v>
      </c>
      <c r="L3188" t="s" s="2">
        <v>500</v>
      </c>
      <c r="M3188" s="5">
        <v>682187.25</v>
      </c>
      <c r="N3188" s="5">
        <v>6169780.25</v>
      </c>
      <c r="O3188" t="s" s="2">
        <v>305</v>
      </c>
      <c r="P3188" t="s" s="2">
        <v>6075</v>
      </c>
      <c r="Q3188" t="s" s="2">
        <v>6073</v>
      </c>
      <c r="R3188" t="s" s="2">
        <f>_xlfn.IFERROR(INDEX('model_byCAP'!$D$2:$D$377,MATCH(Q3188,'model_byCAP'!$A$2:$A$377,0)),0)</f>
        <v>4042</v>
      </c>
    </row>
    <row r="3189" ht="15.35" customHeight="1">
      <c r="A3189" t="s" s="2">
        <v>6076</v>
      </c>
      <c r="B3189" s="4">
        <v>35891</v>
      </c>
      <c r="C3189" s="5">
        <v>600</v>
      </c>
      <c r="D3189" s="5">
        <v>48</v>
      </c>
      <c r="E3189" s="5">
        <v>46</v>
      </c>
      <c r="F3189" t="s" s="2">
        <v>3604</v>
      </c>
      <c r="G3189" t="s" s="2">
        <v>6070</v>
      </c>
      <c r="H3189" s="5">
        <v>350</v>
      </c>
      <c r="I3189" t="s" s="2">
        <v>3451</v>
      </c>
      <c r="J3189" t="s" s="2">
        <v>22</v>
      </c>
      <c r="K3189" t="s" s="2">
        <v>6077</v>
      </c>
      <c r="L3189" t="s" s="2">
        <v>6078</v>
      </c>
      <c r="M3189" s="5">
        <v>682156.78</v>
      </c>
      <c r="N3189" s="5">
        <v>6169582.42</v>
      </c>
      <c r="O3189" t="s" s="2">
        <v>305</v>
      </c>
      <c r="P3189" t="s" s="2">
        <v>6079</v>
      </c>
      <c r="Q3189" t="s" s="2">
        <v>6073</v>
      </c>
      <c r="R3189" t="s" s="2">
        <f>_xlfn.IFERROR(INDEX('model_byCAP'!$D$2:$D$377,MATCH(Q3189,'model_byCAP'!$A$2:$A$377,0)),0)</f>
        <v>4042</v>
      </c>
    </row>
    <row r="3190" ht="15.35" customHeight="1">
      <c r="A3190" t="s" s="2">
        <v>6080</v>
      </c>
      <c r="B3190" s="4">
        <v>35950</v>
      </c>
      <c r="C3190" s="5">
        <v>600</v>
      </c>
      <c r="D3190" s="5">
        <v>44</v>
      </c>
      <c r="E3190" s="5">
        <v>40</v>
      </c>
      <c r="F3190" t="s" s="2">
        <v>1989</v>
      </c>
      <c r="G3190" t="s" s="2">
        <v>6081</v>
      </c>
      <c r="H3190" s="5">
        <v>360</v>
      </c>
      <c r="I3190" t="s" s="2">
        <v>463</v>
      </c>
      <c r="J3190" t="s" s="2">
        <v>22</v>
      </c>
      <c r="K3190" t="s" s="2">
        <v>6082</v>
      </c>
      <c r="L3190" s="5">
        <v>6</v>
      </c>
      <c r="M3190" s="5">
        <v>659307.89</v>
      </c>
      <c r="N3190" s="5">
        <v>6058693.84</v>
      </c>
      <c r="O3190" t="s" s="2">
        <v>305</v>
      </c>
      <c r="P3190" s="5">
        <v>2061090</v>
      </c>
      <c r="Q3190" t="s" s="2">
        <v>6083</v>
      </c>
      <c r="R3190" t="s" s="2">
        <f>_xlfn.IFERROR(INDEX('model_byCAP'!$D$2:$D$377,MATCH(Q3190,'model_byCAP'!$A$2:$A$377,0)),0)</f>
        <v>5955</v>
      </c>
    </row>
    <row r="3191" ht="15.35" customHeight="1">
      <c r="A3191" t="s" s="2">
        <v>6084</v>
      </c>
      <c r="B3191" s="4">
        <v>35220</v>
      </c>
      <c r="C3191" s="5">
        <v>600</v>
      </c>
      <c r="D3191" s="5">
        <v>44</v>
      </c>
      <c r="E3191" s="5">
        <v>35</v>
      </c>
      <c r="F3191" t="s" s="2">
        <v>1989</v>
      </c>
      <c r="G3191" t="s" s="2">
        <v>6085</v>
      </c>
      <c r="H3191" s="5">
        <v>360</v>
      </c>
      <c r="I3191" t="s" s="2">
        <v>463</v>
      </c>
      <c r="J3191" t="s" s="2">
        <v>22</v>
      </c>
      <c r="K3191" t="s" s="2">
        <v>6086</v>
      </c>
      <c r="L3191" t="s" s="2">
        <v>524</v>
      </c>
      <c r="M3191" s="5">
        <v>642140.74</v>
      </c>
      <c r="N3191" s="5">
        <v>6072737.02</v>
      </c>
      <c r="O3191" t="s" s="2">
        <v>305</v>
      </c>
      <c r="P3191" s="5">
        <v>183367</v>
      </c>
      <c r="Q3191" t="s" s="2">
        <v>6087</v>
      </c>
      <c r="R3191" t="s" s="2">
        <f>_xlfn.IFERROR(INDEX('model_byCAP'!$D$2:$D$377,MATCH(Q3191,'model_byCAP'!$A$2:$A$377,0)),0)</f>
        <v>5955</v>
      </c>
    </row>
    <row r="3192" ht="15.35" customHeight="1">
      <c r="A3192" t="s" s="2">
        <v>6088</v>
      </c>
      <c r="B3192" s="4">
        <v>35220</v>
      </c>
      <c r="C3192" s="5">
        <v>600</v>
      </c>
      <c r="D3192" s="5">
        <v>44</v>
      </c>
      <c r="E3192" s="5">
        <v>35</v>
      </c>
      <c r="F3192" t="s" s="2">
        <v>1989</v>
      </c>
      <c r="G3192" t="s" s="2">
        <v>6089</v>
      </c>
      <c r="H3192" s="5">
        <v>360</v>
      </c>
      <c r="I3192" t="s" s="2">
        <v>463</v>
      </c>
      <c r="J3192" t="s" s="2">
        <v>22</v>
      </c>
      <c r="K3192" t="s" s="2">
        <v>6086</v>
      </c>
      <c r="L3192" t="s" s="2">
        <v>524</v>
      </c>
      <c r="M3192" s="5">
        <v>642083.87</v>
      </c>
      <c r="N3192" s="5">
        <v>6073132.99</v>
      </c>
      <c r="O3192" t="s" s="2">
        <v>305</v>
      </c>
      <c r="P3192" s="5">
        <v>183368</v>
      </c>
      <c r="Q3192" t="s" s="2">
        <v>6090</v>
      </c>
      <c r="R3192" t="s" s="2">
        <f>_xlfn.IFERROR(INDEX('model_byCAP'!$D$2:$D$377,MATCH(Q3192,'model_byCAP'!$A$2:$A$377,0)),0)</f>
        <v>5955</v>
      </c>
    </row>
    <row r="3193" ht="15.35" customHeight="1">
      <c r="A3193" t="s" s="2">
        <v>6091</v>
      </c>
      <c r="B3193" s="4">
        <v>35217</v>
      </c>
      <c r="C3193" s="5">
        <v>600</v>
      </c>
      <c r="D3193" s="5">
        <v>44</v>
      </c>
      <c r="E3193" s="5">
        <v>35</v>
      </c>
      <c r="F3193" t="s" s="2">
        <v>1989</v>
      </c>
      <c r="G3193" t="s" s="2">
        <v>6081</v>
      </c>
      <c r="H3193" s="5">
        <v>360</v>
      </c>
      <c r="I3193" t="s" s="2">
        <v>463</v>
      </c>
      <c r="J3193" t="s" s="2">
        <v>22</v>
      </c>
      <c r="K3193" t="s" s="2">
        <v>6086</v>
      </c>
      <c r="L3193" t="s" s="2">
        <v>394</v>
      </c>
      <c r="M3193" s="5">
        <v>642338.74</v>
      </c>
      <c r="N3193" s="5">
        <v>6073429.04</v>
      </c>
      <c r="O3193" t="s" s="2">
        <v>305</v>
      </c>
      <c r="P3193" s="5">
        <v>183369</v>
      </c>
      <c r="Q3193" t="s" s="2">
        <v>6083</v>
      </c>
      <c r="R3193" t="s" s="2">
        <f>_xlfn.IFERROR(INDEX('model_byCAP'!$D$2:$D$377,MATCH(Q3193,'model_byCAP'!$A$2:$A$377,0)),0)</f>
        <v>5955</v>
      </c>
    </row>
    <row r="3194" ht="15.35" customHeight="1">
      <c r="A3194" t="s" s="2">
        <v>6092</v>
      </c>
      <c r="B3194" s="4">
        <v>35328</v>
      </c>
      <c r="C3194" s="5">
        <v>600</v>
      </c>
      <c r="D3194" s="5">
        <v>44</v>
      </c>
      <c r="E3194" s="5">
        <v>35</v>
      </c>
      <c r="F3194" t="s" s="2">
        <v>1989</v>
      </c>
      <c r="G3194" t="s" s="2">
        <v>5962</v>
      </c>
      <c r="H3194" s="5">
        <v>360</v>
      </c>
      <c r="I3194" t="s" s="2">
        <v>463</v>
      </c>
      <c r="J3194" t="s" s="2">
        <v>22</v>
      </c>
      <c r="K3194" t="s" s="2">
        <v>6093</v>
      </c>
      <c r="L3194" t="s" s="2">
        <v>492</v>
      </c>
      <c r="M3194" s="5">
        <v>641650.7</v>
      </c>
      <c r="N3194" s="5">
        <v>6071196.49</v>
      </c>
      <c r="O3194" t="s" s="2">
        <v>305</v>
      </c>
      <c r="P3194" s="5">
        <v>183624</v>
      </c>
      <c r="Q3194" t="s" s="2">
        <v>5964</v>
      </c>
      <c r="R3194" t="s" s="2">
        <f>_xlfn.IFERROR(INDEX('model_byCAP'!$D$2:$D$377,MATCH(Q3194,'model_byCAP'!$A$2:$A$377,0)),0)</f>
        <v>5955</v>
      </c>
    </row>
    <row r="3195" ht="15.35" customHeight="1">
      <c r="A3195" t="s" s="2">
        <v>6094</v>
      </c>
      <c r="B3195" s="4">
        <v>35313</v>
      </c>
      <c r="C3195" s="5">
        <v>600</v>
      </c>
      <c r="D3195" s="5">
        <v>44</v>
      </c>
      <c r="E3195" s="5">
        <v>35</v>
      </c>
      <c r="F3195" t="s" s="2">
        <v>1989</v>
      </c>
      <c r="G3195" t="s" s="2">
        <v>5962</v>
      </c>
      <c r="H3195" s="5">
        <v>360</v>
      </c>
      <c r="I3195" t="s" s="2">
        <v>463</v>
      </c>
      <c r="J3195" t="s" s="2">
        <v>22</v>
      </c>
      <c r="K3195" t="s" s="2">
        <v>6095</v>
      </c>
      <c r="L3195" s="5">
        <v>103</v>
      </c>
      <c r="M3195" s="5">
        <v>641839.28</v>
      </c>
      <c r="N3195" s="5">
        <v>6066332.65</v>
      </c>
      <c r="O3195" t="s" s="2">
        <v>305</v>
      </c>
      <c r="P3195" s="5">
        <v>183666</v>
      </c>
      <c r="Q3195" t="s" s="2">
        <v>5964</v>
      </c>
      <c r="R3195" t="s" s="2">
        <f>_xlfn.IFERROR(INDEX('model_byCAP'!$D$2:$D$377,MATCH(Q3195,'model_byCAP'!$A$2:$A$377,0)),0)</f>
        <v>5955</v>
      </c>
    </row>
    <row r="3196" ht="15.35" customHeight="1">
      <c r="A3196" t="s" s="2">
        <v>6096</v>
      </c>
      <c r="B3196" s="4">
        <v>35328</v>
      </c>
      <c r="C3196" s="5">
        <v>600</v>
      </c>
      <c r="D3196" s="5">
        <v>44</v>
      </c>
      <c r="E3196" s="5">
        <v>35</v>
      </c>
      <c r="F3196" t="s" s="2">
        <v>1989</v>
      </c>
      <c r="G3196" t="s" s="2">
        <v>5951</v>
      </c>
      <c r="H3196" s="5">
        <v>360</v>
      </c>
      <c r="I3196" t="s" s="2">
        <v>463</v>
      </c>
      <c r="J3196" t="s" s="2">
        <v>22</v>
      </c>
      <c r="K3196" t="s" s="2">
        <v>6097</v>
      </c>
      <c r="L3196" t="s" s="2">
        <v>6098</v>
      </c>
      <c r="M3196" s="5">
        <v>644562.3199999999</v>
      </c>
      <c r="N3196" s="5">
        <v>6070631.71</v>
      </c>
      <c r="O3196" t="s" s="2">
        <v>305</v>
      </c>
      <c r="P3196" s="5">
        <v>183753</v>
      </c>
      <c r="Q3196" t="s" s="2">
        <v>5954</v>
      </c>
      <c r="R3196" t="s" s="2">
        <f>_xlfn.IFERROR(INDEX('model_byCAP'!$D$2:$D$377,MATCH(Q3196,'model_byCAP'!$A$2:$A$377,0)),0)</f>
        <v>5955</v>
      </c>
    </row>
    <row r="3197" ht="15.35" customHeight="1">
      <c r="A3197" t="s" s="2">
        <v>6099</v>
      </c>
      <c r="B3197" s="4">
        <v>35356</v>
      </c>
      <c r="C3197" s="5">
        <v>600</v>
      </c>
      <c r="D3197" s="5">
        <v>42</v>
      </c>
      <c r="E3197" s="5">
        <v>35</v>
      </c>
      <c r="F3197" t="s" s="2">
        <v>301</v>
      </c>
      <c r="G3197" t="s" s="2">
        <v>6100</v>
      </c>
      <c r="H3197" s="5">
        <v>360</v>
      </c>
      <c r="I3197" t="s" s="2">
        <v>463</v>
      </c>
      <c r="J3197" t="s" s="2">
        <v>22</v>
      </c>
      <c r="K3197" t="s" s="2">
        <v>6101</v>
      </c>
      <c r="L3197" t="s" s="2">
        <v>524</v>
      </c>
      <c r="M3197" s="5">
        <v>632114.88</v>
      </c>
      <c r="N3197" s="5">
        <v>6087860.96</v>
      </c>
      <c r="O3197" t="s" s="2">
        <v>305</v>
      </c>
      <c r="P3197" s="5">
        <v>183899</v>
      </c>
      <c r="Q3197" t="s" s="2">
        <v>6102</v>
      </c>
      <c r="R3197" t="s" s="2">
        <f>_xlfn.IFERROR(INDEX('model_byCAP'!$D$2:$D$377,MATCH(Q3197,'model_byCAP'!$A$2:$A$377,0)),0)</f>
        <v>6103</v>
      </c>
    </row>
    <row r="3198" ht="15.35" customHeight="1">
      <c r="A3198" t="s" s="2">
        <v>6104</v>
      </c>
      <c r="B3198" s="4">
        <v>35466</v>
      </c>
      <c r="C3198" s="5">
        <v>600</v>
      </c>
      <c r="D3198" s="5">
        <v>44</v>
      </c>
      <c r="E3198" s="5">
        <v>35</v>
      </c>
      <c r="F3198" t="s" s="2">
        <v>1989</v>
      </c>
      <c r="G3198" t="s" s="2">
        <v>5962</v>
      </c>
      <c r="H3198" s="5">
        <v>360</v>
      </c>
      <c r="I3198" t="s" s="2">
        <v>463</v>
      </c>
      <c r="J3198" t="s" s="2">
        <v>22</v>
      </c>
      <c r="K3198" t="s" s="2">
        <v>6105</v>
      </c>
      <c r="L3198" s="5">
        <v>80</v>
      </c>
      <c r="M3198" s="5">
        <v>642570.3</v>
      </c>
      <c r="N3198" s="5">
        <v>6067043.42</v>
      </c>
      <c r="O3198" t="s" s="2">
        <v>305</v>
      </c>
      <c r="P3198" s="5">
        <v>184149</v>
      </c>
      <c r="Q3198" t="s" s="2">
        <v>5964</v>
      </c>
      <c r="R3198" t="s" s="2">
        <f>_xlfn.IFERROR(INDEX('model_byCAP'!$D$2:$D$377,MATCH(Q3198,'model_byCAP'!$A$2:$A$377,0)),0)</f>
        <v>5955</v>
      </c>
    </row>
    <row r="3199" ht="15.35" customHeight="1">
      <c r="A3199" t="s" s="2">
        <v>6106</v>
      </c>
      <c r="B3199" s="4">
        <v>35394</v>
      </c>
      <c r="C3199" s="5">
        <v>600</v>
      </c>
      <c r="D3199" s="5">
        <v>44</v>
      </c>
      <c r="E3199" s="5">
        <v>35</v>
      </c>
      <c r="F3199" t="s" s="2">
        <v>301</v>
      </c>
      <c r="G3199" t="s" s="2">
        <v>5700</v>
      </c>
      <c r="H3199" s="5">
        <v>360</v>
      </c>
      <c r="I3199" t="s" s="2">
        <v>463</v>
      </c>
      <c r="J3199" t="s" s="2">
        <v>22</v>
      </c>
      <c r="K3199" t="s" s="2">
        <v>6107</v>
      </c>
      <c r="L3199" t="s" s="2">
        <v>518</v>
      </c>
      <c r="M3199" s="5">
        <v>642310.17</v>
      </c>
      <c r="N3199" s="5">
        <v>6090408.75</v>
      </c>
      <c r="O3199" t="s" s="2">
        <v>305</v>
      </c>
      <c r="P3199" s="5">
        <v>184229</v>
      </c>
      <c r="Q3199" t="s" s="2">
        <v>5701</v>
      </c>
      <c r="R3199" t="s" s="2">
        <f>_xlfn.IFERROR(INDEX('model_byCAP'!$D$2:$D$377,MATCH(Q3199,'model_byCAP'!$A$2:$A$377,0)),0)</f>
        <v>5702</v>
      </c>
    </row>
    <row r="3200" ht="15.35" customHeight="1">
      <c r="A3200" t="s" s="2">
        <v>6108</v>
      </c>
      <c r="B3200" s="4">
        <v>35422</v>
      </c>
      <c r="C3200" s="5">
        <v>600</v>
      </c>
      <c r="D3200" s="5">
        <v>44</v>
      </c>
      <c r="E3200" s="5">
        <v>35</v>
      </c>
      <c r="F3200" t="s" s="2">
        <v>1989</v>
      </c>
      <c r="G3200" t="s" s="2">
        <v>5962</v>
      </c>
      <c r="H3200" s="5">
        <v>360</v>
      </c>
      <c r="I3200" t="s" s="2">
        <v>463</v>
      </c>
      <c r="J3200" t="s" s="2">
        <v>22</v>
      </c>
      <c r="K3200" t="s" s="2">
        <v>6109</v>
      </c>
      <c r="L3200" t="s" s="2">
        <v>1717</v>
      </c>
      <c r="M3200" s="5">
        <v>643323.45</v>
      </c>
      <c r="N3200" s="5">
        <v>6086870.26</v>
      </c>
      <c r="O3200" t="s" s="2">
        <v>305</v>
      </c>
      <c r="P3200" s="5">
        <v>184307</v>
      </c>
      <c r="Q3200" t="s" s="2">
        <v>5964</v>
      </c>
      <c r="R3200" t="s" s="2">
        <f>_xlfn.IFERROR(INDEX('model_byCAP'!$D$2:$D$377,MATCH(Q3200,'model_byCAP'!$A$2:$A$377,0)),0)</f>
        <v>5955</v>
      </c>
    </row>
    <row r="3201" ht="15.35" customHeight="1">
      <c r="A3201" t="s" s="2">
        <v>6110</v>
      </c>
      <c r="B3201" s="4">
        <v>35438</v>
      </c>
      <c r="C3201" s="5">
        <v>600</v>
      </c>
      <c r="D3201" s="5">
        <v>48</v>
      </c>
      <c r="E3201" s="5">
        <v>45</v>
      </c>
      <c r="F3201" t="s" s="2">
        <v>3604</v>
      </c>
      <c r="G3201" t="s" s="2">
        <v>6059</v>
      </c>
      <c r="H3201" s="5">
        <v>360</v>
      </c>
      <c r="I3201" t="s" s="2">
        <v>463</v>
      </c>
      <c r="J3201" t="s" s="2">
        <v>22</v>
      </c>
      <c r="K3201" t="s" s="2">
        <v>6111</v>
      </c>
      <c r="L3201" t="s" s="2">
        <v>6112</v>
      </c>
      <c r="M3201" s="5">
        <v>657482.3</v>
      </c>
      <c r="N3201" s="5">
        <v>6068630.1</v>
      </c>
      <c r="O3201" t="s" s="2">
        <v>305</v>
      </c>
      <c r="P3201" s="5">
        <v>184321</v>
      </c>
      <c r="Q3201" t="s" s="2">
        <v>6062</v>
      </c>
      <c r="R3201" t="s" s="2">
        <f>_xlfn.IFERROR(INDEX('model_byCAP'!$D$2:$D$377,MATCH(Q3201,'model_byCAP'!$A$2:$A$377,0)),0)</f>
        <v>2955</v>
      </c>
    </row>
    <row r="3202" ht="15.35" customHeight="1">
      <c r="A3202" t="s" s="2">
        <v>6113</v>
      </c>
      <c r="B3202" s="4">
        <v>35438</v>
      </c>
      <c r="C3202" s="5">
        <v>600</v>
      </c>
      <c r="D3202" s="5">
        <v>48</v>
      </c>
      <c r="E3202" s="5">
        <v>45</v>
      </c>
      <c r="F3202" t="s" s="2">
        <v>3604</v>
      </c>
      <c r="G3202" t="s" s="2">
        <v>6059</v>
      </c>
      <c r="H3202" s="5">
        <v>360</v>
      </c>
      <c r="I3202" t="s" s="2">
        <v>463</v>
      </c>
      <c r="J3202" t="s" s="2">
        <v>22</v>
      </c>
      <c r="K3202" t="s" s="2">
        <v>6114</v>
      </c>
      <c r="L3202" t="s" s="2">
        <v>6115</v>
      </c>
      <c r="M3202" s="5">
        <v>657595.54</v>
      </c>
      <c r="N3202" s="5">
        <v>6068465.14</v>
      </c>
      <c r="O3202" t="s" s="2">
        <v>305</v>
      </c>
      <c r="P3202" s="5">
        <v>184322</v>
      </c>
      <c r="Q3202" t="s" s="2">
        <v>6062</v>
      </c>
      <c r="R3202" t="s" s="2">
        <f>_xlfn.IFERROR(INDEX('model_byCAP'!$D$2:$D$377,MATCH(Q3202,'model_byCAP'!$A$2:$A$377,0)),0)</f>
        <v>2955</v>
      </c>
    </row>
    <row r="3203" ht="15.35" customHeight="1">
      <c r="A3203" t="s" s="2">
        <v>6116</v>
      </c>
      <c r="B3203" s="4">
        <v>35438</v>
      </c>
      <c r="C3203" s="5">
        <v>600</v>
      </c>
      <c r="D3203" s="5">
        <v>48</v>
      </c>
      <c r="E3203" s="5">
        <v>46.4</v>
      </c>
      <c r="F3203" t="s" s="2">
        <v>3604</v>
      </c>
      <c r="G3203" t="s" s="2">
        <v>6059</v>
      </c>
      <c r="H3203" s="5">
        <v>360</v>
      </c>
      <c r="I3203" t="s" s="2">
        <v>463</v>
      </c>
      <c r="J3203" t="s" s="2">
        <v>22</v>
      </c>
      <c r="K3203" t="s" s="2">
        <v>6111</v>
      </c>
      <c r="L3203" t="s" s="2">
        <v>6117</v>
      </c>
      <c r="M3203" s="5">
        <v>657707.5699999999</v>
      </c>
      <c r="N3203" s="5">
        <v>6068300.91</v>
      </c>
      <c r="O3203" t="s" s="2">
        <v>305</v>
      </c>
      <c r="P3203" s="5">
        <v>184323</v>
      </c>
      <c r="Q3203" t="s" s="2">
        <v>6062</v>
      </c>
      <c r="R3203" t="s" s="2">
        <f>_xlfn.IFERROR(INDEX('model_byCAP'!$D$2:$D$377,MATCH(Q3203,'model_byCAP'!$A$2:$A$377,0)),0)</f>
        <v>2955</v>
      </c>
    </row>
    <row r="3204" ht="15.35" customHeight="1">
      <c r="A3204" t="s" s="2">
        <v>6118</v>
      </c>
      <c r="B3204" s="4">
        <v>35438</v>
      </c>
      <c r="C3204" s="5">
        <v>600</v>
      </c>
      <c r="D3204" s="5">
        <v>48</v>
      </c>
      <c r="E3204" s="5">
        <v>46</v>
      </c>
      <c r="F3204" t="s" s="2">
        <v>3604</v>
      </c>
      <c r="G3204" t="s" s="2">
        <v>6059</v>
      </c>
      <c r="H3204" s="5">
        <v>360</v>
      </c>
      <c r="I3204" t="s" s="2">
        <v>463</v>
      </c>
      <c r="J3204" t="s" s="2">
        <v>22</v>
      </c>
      <c r="K3204" t="s" s="2">
        <v>6119</v>
      </c>
      <c r="L3204" t="s" s="2">
        <v>6120</v>
      </c>
      <c r="M3204" s="5">
        <v>657373.77</v>
      </c>
      <c r="N3204" s="5">
        <v>6068435.15</v>
      </c>
      <c r="O3204" t="s" s="2">
        <v>305</v>
      </c>
      <c r="P3204" s="5">
        <v>184324</v>
      </c>
      <c r="Q3204" t="s" s="2">
        <v>6062</v>
      </c>
      <c r="R3204" t="s" s="2">
        <f>_xlfn.IFERROR(INDEX('model_byCAP'!$D$2:$D$377,MATCH(Q3204,'model_byCAP'!$A$2:$A$377,0)),0)</f>
        <v>2955</v>
      </c>
    </row>
    <row r="3205" ht="15.35" customHeight="1">
      <c r="A3205" t="s" s="2">
        <v>6121</v>
      </c>
      <c r="B3205" s="4">
        <v>35438</v>
      </c>
      <c r="C3205" s="5">
        <v>600</v>
      </c>
      <c r="D3205" s="5">
        <v>48</v>
      </c>
      <c r="E3205" s="5">
        <v>46.4</v>
      </c>
      <c r="F3205" t="s" s="2">
        <v>3604</v>
      </c>
      <c r="G3205" t="s" s="2">
        <v>6059</v>
      </c>
      <c r="H3205" s="5">
        <v>360</v>
      </c>
      <c r="I3205" t="s" s="2">
        <v>463</v>
      </c>
      <c r="J3205" t="s" s="2">
        <v>22</v>
      </c>
      <c r="K3205" t="s" s="2">
        <v>6122</v>
      </c>
      <c r="L3205" t="s" s="2">
        <v>6123</v>
      </c>
      <c r="M3205" s="5">
        <v>657487</v>
      </c>
      <c r="N3205" s="5">
        <v>6068270.1</v>
      </c>
      <c r="O3205" t="s" s="2">
        <v>305</v>
      </c>
      <c r="P3205" s="5">
        <v>184325</v>
      </c>
      <c r="Q3205" t="s" s="2">
        <v>6062</v>
      </c>
      <c r="R3205" t="s" s="2">
        <f>_xlfn.IFERROR(INDEX('model_byCAP'!$D$2:$D$377,MATCH(Q3205,'model_byCAP'!$A$2:$A$377,0)),0)</f>
        <v>2955</v>
      </c>
    </row>
    <row r="3206" ht="15.35" customHeight="1">
      <c r="A3206" t="s" s="2">
        <v>6124</v>
      </c>
      <c r="B3206" s="4">
        <v>35438</v>
      </c>
      <c r="C3206" s="5">
        <v>600</v>
      </c>
      <c r="D3206" s="5">
        <v>43</v>
      </c>
      <c r="E3206" s="5">
        <v>40</v>
      </c>
      <c r="F3206" t="s" s="2">
        <v>3604</v>
      </c>
      <c r="G3206" t="s" s="2">
        <v>6028</v>
      </c>
      <c r="H3206" s="5">
        <v>360</v>
      </c>
      <c r="I3206" t="s" s="2">
        <v>463</v>
      </c>
      <c r="J3206" t="s" s="2">
        <v>22</v>
      </c>
      <c r="K3206" t="s" s="2">
        <v>6111</v>
      </c>
      <c r="L3206" t="s" s="2">
        <v>6125</v>
      </c>
      <c r="M3206" s="5">
        <v>657599.47</v>
      </c>
      <c r="N3206" s="5">
        <v>6068104.5</v>
      </c>
      <c r="O3206" t="s" s="2">
        <v>305</v>
      </c>
      <c r="P3206" s="5">
        <v>184326</v>
      </c>
      <c r="Q3206" t="s" s="2">
        <v>6030</v>
      </c>
      <c r="R3206" t="s" s="2">
        <f>_xlfn.IFERROR(INDEX('model_byCAP'!$D$2:$D$377,MATCH(Q3206,'model_byCAP'!$A$2:$A$377,0)),0)</f>
        <v>4115</v>
      </c>
    </row>
    <row r="3207" ht="15.35" customHeight="1">
      <c r="A3207" t="s" s="2">
        <v>6126</v>
      </c>
      <c r="B3207" s="4">
        <v>35418</v>
      </c>
      <c r="C3207" s="5">
        <v>600</v>
      </c>
      <c r="D3207" s="5">
        <v>44</v>
      </c>
      <c r="E3207" s="5">
        <v>45</v>
      </c>
      <c r="F3207" t="s" s="2">
        <v>301</v>
      </c>
      <c r="G3207" t="s" s="2">
        <v>5700</v>
      </c>
      <c r="H3207" s="5">
        <v>360</v>
      </c>
      <c r="I3207" t="s" s="2">
        <v>463</v>
      </c>
      <c r="J3207" t="s" s="2">
        <v>22</v>
      </c>
      <c r="K3207" t="s" s="2">
        <v>6127</v>
      </c>
      <c r="L3207" t="s" s="2">
        <v>3292</v>
      </c>
      <c r="M3207" s="5">
        <v>642679.15</v>
      </c>
      <c r="N3207" s="5">
        <v>6092059.49</v>
      </c>
      <c r="O3207" t="s" s="2">
        <v>305</v>
      </c>
      <c r="P3207" s="5">
        <v>184558</v>
      </c>
      <c r="Q3207" t="s" s="2">
        <v>5701</v>
      </c>
      <c r="R3207" t="s" s="2">
        <f>_xlfn.IFERROR(INDEX('model_byCAP'!$D$2:$D$377,MATCH(Q3207,'model_byCAP'!$A$2:$A$377,0)),0)</f>
        <v>5702</v>
      </c>
    </row>
    <row r="3208" ht="15.35" customHeight="1">
      <c r="A3208" t="s" s="2">
        <v>6128</v>
      </c>
      <c r="B3208" s="4">
        <v>35467</v>
      </c>
      <c r="C3208" s="5">
        <v>600</v>
      </c>
      <c r="D3208" s="5">
        <v>48</v>
      </c>
      <c r="E3208" s="5">
        <v>46</v>
      </c>
      <c r="F3208" t="s" s="2">
        <v>3604</v>
      </c>
      <c r="G3208" t="s" s="2">
        <v>6059</v>
      </c>
      <c r="H3208" s="5">
        <v>360</v>
      </c>
      <c r="I3208" t="s" s="2">
        <v>463</v>
      </c>
      <c r="J3208" t="s" s="2">
        <v>22</v>
      </c>
      <c r="K3208" t="s" s="2">
        <v>6114</v>
      </c>
      <c r="L3208" t="s" s="2">
        <v>6129</v>
      </c>
      <c r="M3208" s="5">
        <v>657368.87</v>
      </c>
      <c r="N3208" s="5">
        <v>6068795.46</v>
      </c>
      <c r="O3208" t="s" s="2">
        <v>305</v>
      </c>
      <c r="P3208" s="5">
        <v>184676</v>
      </c>
      <c r="Q3208" t="s" s="2">
        <v>6062</v>
      </c>
      <c r="R3208" t="s" s="2">
        <f>_xlfn.IFERROR(INDEX('model_byCAP'!$D$2:$D$377,MATCH(Q3208,'model_byCAP'!$A$2:$A$377,0)),0)</f>
        <v>2955</v>
      </c>
    </row>
    <row r="3209" ht="15.35" customHeight="1">
      <c r="A3209" t="s" s="2">
        <v>6130</v>
      </c>
      <c r="B3209" s="4">
        <v>35467</v>
      </c>
      <c r="C3209" s="5">
        <v>600</v>
      </c>
      <c r="D3209" s="5">
        <v>40</v>
      </c>
      <c r="E3209" s="5">
        <v>46</v>
      </c>
      <c r="F3209" t="s" s="2">
        <v>3604</v>
      </c>
      <c r="G3209" t="s" s="2">
        <v>6059</v>
      </c>
      <c r="H3209" s="5">
        <v>360</v>
      </c>
      <c r="I3209" t="s" s="2">
        <v>463</v>
      </c>
      <c r="J3209" t="s" s="2">
        <v>22</v>
      </c>
      <c r="K3209" t="s" s="2">
        <v>6114</v>
      </c>
      <c r="L3209" t="s" s="2">
        <v>431</v>
      </c>
      <c r="M3209" s="5">
        <v>657269.34</v>
      </c>
      <c r="N3209" s="5">
        <v>6068587.52</v>
      </c>
      <c r="O3209" t="s" s="2">
        <v>305</v>
      </c>
      <c r="P3209" s="5">
        <v>184677</v>
      </c>
      <c r="Q3209" t="s" s="2">
        <v>6062</v>
      </c>
      <c r="R3209" t="s" s="2">
        <f>_xlfn.IFERROR(INDEX('model_byCAP'!$D$2:$D$377,MATCH(Q3209,'model_byCAP'!$A$2:$A$377,0)),0)</f>
        <v>2955</v>
      </c>
    </row>
    <row r="3210" ht="15.35" customHeight="1">
      <c r="A3210" t="s" s="2">
        <v>6131</v>
      </c>
      <c r="B3210" s="4">
        <v>35496</v>
      </c>
      <c r="C3210" s="5">
        <v>600</v>
      </c>
      <c r="D3210" s="5">
        <v>48</v>
      </c>
      <c r="E3210" s="5">
        <v>40.3</v>
      </c>
      <c r="F3210" t="s" s="2">
        <v>3604</v>
      </c>
      <c r="G3210" t="s" s="2">
        <v>6059</v>
      </c>
      <c r="H3210" s="5">
        <v>360</v>
      </c>
      <c r="I3210" t="s" s="2">
        <v>463</v>
      </c>
      <c r="J3210" t="s" s="2">
        <v>22</v>
      </c>
      <c r="K3210" t="s" s="2">
        <v>4192</v>
      </c>
      <c r="L3210" t="s" s="2">
        <v>6132</v>
      </c>
      <c r="M3210" s="5">
        <v>651906.64</v>
      </c>
      <c r="N3210" s="5">
        <v>6077886.3</v>
      </c>
      <c r="O3210" t="s" s="2">
        <v>305</v>
      </c>
      <c r="P3210" s="5">
        <v>184678</v>
      </c>
      <c r="Q3210" t="s" s="2">
        <v>6062</v>
      </c>
      <c r="R3210" t="s" s="2">
        <f>_xlfn.IFERROR(INDEX('model_byCAP'!$D$2:$D$377,MATCH(Q3210,'model_byCAP'!$A$2:$A$377,0)),0)</f>
        <v>2955</v>
      </c>
    </row>
    <row r="3211" ht="15.35" customHeight="1">
      <c r="A3211" t="s" s="2">
        <v>6133</v>
      </c>
      <c r="B3211" s="4">
        <v>35509</v>
      </c>
      <c r="C3211" s="5">
        <v>600</v>
      </c>
      <c r="D3211" s="5">
        <v>48</v>
      </c>
      <c r="E3211" s="5">
        <v>46</v>
      </c>
      <c r="F3211" t="s" s="2">
        <v>3604</v>
      </c>
      <c r="G3211" t="s" s="2">
        <v>6059</v>
      </c>
      <c r="H3211" s="5">
        <v>360</v>
      </c>
      <c r="I3211" t="s" s="2">
        <v>463</v>
      </c>
      <c r="J3211" t="s" s="2">
        <v>22</v>
      </c>
      <c r="K3211" t="s" s="2">
        <v>4192</v>
      </c>
      <c r="L3211" t="s" s="2">
        <v>608</v>
      </c>
      <c r="M3211" s="5">
        <v>651829.46</v>
      </c>
      <c r="N3211" s="5">
        <v>6078135.18</v>
      </c>
      <c r="O3211" t="s" s="2">
        <v>305</v>
      </c>
      <c r="P3211" s="5">
        <v>184679</v>
      </c>
      <c r="Q3211" t="s" s="2">
        <v>6062</v>
      </c>
      <c r="R3211" t="s" s="2">
        <f>_xlfn.IFERROR(INDEX('model_byCAP'!$D$2:$D$377,MATCH(Q3211,'model_byCAP'!$A$2:$A$377,0)),0)</f>
        <v>2955</v>
      </c>
    </row>
    <row r="3212" ht="15.35" customHeight="1">
      <c r="A3212" t="s" s="2">
        <v>6134</v>
      </c>
      <c r="B3212" s="4">
        <v>35509</v>
      </c>
      <c r="C3212" s="5">
        <v>600</v>
      </c>
      <c r="D3212" s="5">
        <v>48</v>
      </c>
      <c r="E3212" s="5">
        <v>46</v>
      </c>
      <c r="F3212" t="s" s="2">
        <v>3604</v>
      </c>
      <c r="G3212" t="s" s="2">
        <v>6059</v>
      </c>
      <c r="H3212" s="5">
        <v>360</v>
      </c>
      <c r="I3212" t="s" s="2">
        <v>463</v>
      </c>
      <c r="J3212" t="s" s="2">
        <v>22</v>
      </c>
      <c r="K3212" t="s" s="2">
        <v>4192</v>
      </c>
      <c r="L3212" t="s" s="2">
        <v>4399</v>
      </c>
      <c r="M3212" s="5">
        <v>651983.54</v>
      </c>
      <c r="N3212" s="5">
        <v>6077637.77</v>
      </c>
      <c r="O3212" t="s" s="2">
        <v>305</v>
      </c>
      <c r="P3212" s="5">
        <v>184680</v>
      </c>
      <c r="Q3212" t="s" s="2">
        <v>6062</v>
      </c>
      <c r="R3212" t="s" s="2">
        <f>_xlfn.IFERROR(INDEX('model_byCAP'!$D$2:$D$377,MATCH(Q3212,'model_byCAP'!$A$2:$A$377,0)),0)</f>
        <v>2955</v>
      </c>
    </row>
    <row r="3213" ht="15.35" customHeight="1">
      <c r="A3213" t="s" s="2">
        <v>6135</v>
      </c>
      <c r="B3213" s="4">
        <v>35557</v>
      </c>
      <c r="C3213" s="5">
        <v>600</v>
      </c>
      <c r="D3213" s="5">
        <v>48</v>
      </c>
      <c r="E3213" s="5">
        <v>46</v>
      </c>
      <c r="F3213" t="s" s="2">
        <v>3604</v>
      </c>
      <c r="G3213" t="s" s="2">
        <v>6059</v>
      </c>
      <c r="H3213" s="5">
        <v>360</v>
      </c>
      <c r="I3213" t="s" s="2">
        <v>463</v>
      </c>
      <c r="J3213" t="s" s="2">
        <v>22</v>
      </c>
      <c r="K3213" t="s" s="2">
        <v>6136</v>
      </c>
      <c r="L3213" t="s" s="2">
        <v>394</v>
      </c>
      <c r="M3213" s="5">
        <v>656961.77</v>
      </c>
      <c r="N3213" s="5">
        <v>6076811.59</v>
      </c>
      <c r="O3213" t="s" s="2">
        <v>305</v>
      </c>
      <c r="P3213" s="5">
        <v>184681</v>
      </c>
      <c r="Q3213" t="s" s="2">
        <v>6062</v>
      </c>
      <c r="R3213" t="s" s="2">
        <f>_xlfn.IFERROR(INDEX('model_byCAP'!$D$2:$D$377,MATCH(Q3213,'model_byCAP'!$A$2:$A$377,0)),0)</f>
        <v>2955</v>
      </c>
    </row>
    <row r="3214" ht="15.35" customHeight="1">
      <c r="A3214" t="s" s="2">
        <v>6137</v>
      </c>
      <c r="B3214" s="4">
        <v>35557</v>
      </c>
      <c r="C3214" s="5">
        <v>600</v>
      </c>
      <c r="D3214" s="5">
        <v>48</v>
      </c>
      <c r="E3214" s="5">
        <v>46</v>
      </c>
      <c r="F3214" t="s" s="2">
        <v>3604</v>
      </c>
      <c r="G3214" t="s" s="2">
        <v>6059</v>
      </c>
      <c r="H3214" s="5">
        <v>360</v>
      </c>
      <c r="I3214" t="s" s="2">
        <v>463</v>
      </c>
      <c r="J3214" t="s" s="2">
        <v>22</v>
      </c>
      <c r="K3214" t="s" s="2">
        <v>6138</v>
      </c>
      <c r="L3214" t="s" s="2">
        <v>394</v>
      </c>
      <c r="M3214" s="5">
        <v>657103.02</v>
      </c>
      <c r="N3214" s="5">
        <v>6076949.96</v>
      </c>
      <c r="O3214" t="s" s="2">
        <v>305</v>
      </c>
      <c r="P3214" s="5">
        <v>184682</v>
      </c>
      <c r="Q3214" t="s" s="2">
        <v>6062</v>
      </c>
      <c r="R3214" t="s" s="2">
        <f>_xlfn.IFERROR(INDEX('model_byCAP'!$D$2:$D$377,MATCH(Q3214,'model_byCAP'!$A$2:$A$377,0)),0)</f>
        <v>2955</v>
      </c>
    </row>
    <row r="3215" ht="15.35" customHeight="1">
      <c r="A3215" t="s" s="2">
        <v>6139</v>
      </c>
      <c r="B3215" s="4">
        <v>35557</v>
      </c>
      <c r="C3215" s="5">
        <v>600</v>
      </c>
      <c r="D3215" s="5">
        <v>48</v>
      </c>
      <c r="E3215" s="5">
        <v>46</v>
      </c>
      <c r="F3215" t="s" s="2">
        <v>3604</v>
      </c>
      <c r="G3215" t="s" s="2">
        <v>6059</v>
      </c>
      <c r="H3215" s="5">
        <v>360</v>
      </c>
      <c r="I3215" t="s" s="2">
        <v>463</v>
      </c>
      <c r="J3215" t="s" s="2">
        <v>22</v>
      </c>
      <c r="K3215" t="s" s="2">
        <v>6140</v>
      </c>
      <c r="L3215" t="s" s="2">
        <v>1560</v>
      </c>
      <c r="M3215" s="5">
        <v>657243.92</v>
      </c>
      <c r="N3215" s="5">
        <v>6077088.28</v>
      </c>
      <c r="O3215" t="s" s="2">
        <v>305</v>
      </c>
      <c r="P3215" s="5">
        <v>184683</v>
      </c>
      <c r="Q3215" t="s" s="2">
        <v>6062</v>
      </c>
      <c r="R3215" t="s" s="2">
        <f>_xlfn.IFERROR(INDEX('model_byCAP'!$D$2:$D$377,MATCH(Q3215,'model_byCAP'!$A$2:$A$377,0)),0)</f>
        <v>2955</v>
      </c>
    </row>
    <row r="3216" ht="15.35" customHeight="1">
      <c r="A3216" t="s" s="2">
        <v>6141</v>
      </c>
      <c r="B3216" s="4">
        <v>35557</v>
      </c>
      <c r="C3216" s="5">
        <v>600</v>
      </c>
      <c r="D3216" s="5">
        <v>48</v>
      </c>
      <c r="E3216" s="5">
        <v>46</v>
      </c>
      <c r="F3216" t="s" s="2">
        <v>3604</v>
      </c>
      <c r="G3216" t="s" s="2">
        <v>6059</v>
      </c>
      <c r="H3216" s="5">
        <v>360</v>
      </c>
      <c r="I3216" t="s" s="2">
        <v>463</v>
      </c>
      <c r="J3216" t="s" s="2">
        <v>22</v>
      </c>
      <c r="K3216" t="s" s="2">
        <v>6140</v>
      </c>
      <c r="L3216" t="s" s="2">
        <v>6142</v>
      </c>
      <c r="M3216" s="5">
        <v>657384.98</v>
      </c>
      <c r="N3216" s="5">
        <v>6077226.65</v>
      </c>
      <c r="O3216" t="s" s="2">
        <v>305</v>
      </c>
      <c r="P3216" s="5">
        <v>184684</v>
      </c>
      <c r="Q3216" t="s" s="2">
        <v>6062</v>
      </c>
      <c r="R3216" t="s" s="2">
        <f>_xlfn.IFERROR(INDEX('model_byCAP'!$D$2:$D$377,MATCH(Q3216,'model_byCAP'!$A$2:$A$377,0)),0)</f>
        <v>2955</v>
      </c>
    </row>
    <row r="3217" ht="15.35" customHeight="1">
      <c r="A3217" t="s" s="2">
        <v>6143</v>
      </c>
      <c r="B3217" s="4">
        <v>35557</v>
      </c>
      <c r="C3217" s="5">
        <v>600</v>
      </c>
      <c r="D3217" s="5">
        <v>48</v>
      </c>
      <c r="E3217" s="5">
        <v>48</v>
      </c>
      <c r="F3217" t="s" s="2">
        <v>3604</v>
      </c>
      <c r="G3217" t="s" s="2">
        <v>6059</v>
      </c>
      <c r="H3217" s="5">
        <v>360</v>
      </c>
      <c r="I3217" t="s" s="2">
        <v>463</v>
      </c>
      <c r="J3217" t="s" s="2">
        <v>22</v>
      </c>
      <c r="K3217" t="s" s="2">
        <v>6140</v>
      </c>
      <c r="L3217" t="s" s="2">
        <v>492</v>
      </c>
      <c r="M3217" s="5">
        <v>657153.97</v>
      </c>
      <c r="N3217" s="5">
        <v>6076765.57</v>
      </c>
      <c r="O3217" t="s" s="2">
        <v>305</v>
      </c>
      <c r="P3217" s="5">
        <v>184685</v>
      </c>
      <c r="Q3217" t="s" s="2">
        <v>6062</v>
      </c>
      <c r="R3217" t="s" s="2">
        <f>_xlfn.IFERROR(INDEX('model_byCAP'!$D$2:$D$377,MATCH(Q3217,'model_byCAP'!$A$2:$A$377,0)),0)</f>
        <v>2955</v>
      </c>
    </row>
    <row r="3218" ht="15.35" customHeight="1">
      <c r="A3218" t="s" s="2">
        <v>6144</v>
      </c>
      <c r="B3218" s="4">
        <v>35557</v>
      </c>
      <c r="C3218" s="5">
        <v>600</v>
      </c>
      <c r="D3218" s="5">
        <v>43</v>
      </c>
      <c r="E3218" s="5">
        <v>46</v>
      </c>
      <c r="F3218" t="s" s="2">
        <v>3604</v>
      </c>
      <c r="G3218" t="s" s="2">
        <v>6059</v>
      </c>
      <c r="H3218" s="5">
        <v>360</v>
      </c>
      <c r="I3218" t="s" s="2">
        <v>463</v>
      </c>
      <c r="J3218" t="s" s="2">
        <v>22</v>
      </c>
      <c r="K3218" t="s" s="2">
        <v>6145</v>
      </c>
      <c r="L3218" t="s" s="2">
        <v>2351</v>
      </c>
      <c r="M3218" s="5">
        <v>657295.83</v>
      </c>
      <c r="N3218" s="5">
        <v>6076903.85</v>
      </c>
      <c r="O3218" t="s" s="2">
        <v>305</v>
      </c>
      <c r="P3218" s="5">
        <v>184686</v>
      </c>
      <c r="Q3218" t="s" s="2">
        <v>6062</v>
      </c>
      <c r="R3218" t="s" s="2">
        <f>_xlfn.IFERROR(INDEX('model_byCAP'!$D$2:$D$377,MATCH(Q3218,'model_byCAP'!$A$2:$A$377,0)),0)</f>
        <v>2955</v>
      </c>
    </row>
    <row r="3219" ht="15.35" customHeight="1">
      <c r="A3219" t="s" s="2">
        <v>6146</v>
      </c>
      <c r="B3219" s="4">
        <v>35557</v>
      </c>
      <c r="C3219" s="5">
        <v>600</v>
      </c>
      <c r="D3219" s="5">
        <v>48</v>
      </c>
      <c r="E3219" s="5">
        <v>45</v>
      </c>
      <c r="F3219" t="s" s="2">
        <v>3604</v>
      </c>
      <c r="G3219" t="s" s="2">
        <v>6059</v>
      </c>
      <c r="H3219" s="5">
        <v>360</v>
      </c>
      <c r="I3219" t="s" s="2">
        <v>463</v>
      </c>
      <c r="J3219" t="s" s="2">
        <v>22</v>
      </c>
      <c r="K3219" t="s" s="2">
        <v>6140</v>
      </c>
      <c r="L3219" t="s" s="2">
        <v>6147</v>
      </c>
      <c r="M3219" s="5">
        <v>657436.4300000001</v>
      </c>
      <c r="N3219" s="5">
        <v>6077042.07</v>
      </c>
      <c r="O3219" t="s" s="2">
        <v>305</v>
      </c>
      <c r="P3219" s="5">
        <v>184687</v>
      </c>
      <c r="Q3219" t="s" s="2">
        <v>6062</v>
      </c>
      <c r="R3219" t="s" s="2">
        <f>_xlfn.IFERROR(INDEX('model_byCAP'!$D$2:$D$377,MATCH(Q3219,'model_byCAP'!$A$2:$A$377,0)),0)</f>
        <v>2955</v>
      </c>
    </row>
    <row r="3220" ht="15.35" customHeight="1">
      <c r="A3220" t="s" s="2">
        <v>6148</v>
      </c>
      <c r="B3220" s="4">
        <v>35692</v>
      </c>
      <c r="C3220" s="5">
        <v>600</v>
      </c>
      <c r="D3220" s="5">
        <v>44</v>
      </c>
      <c r="E3220" s="5">
        <v>35</v>
      </c>
      <c r="F3220" t="s" s="2">
        <v>1989</v>
      </c>
      <c r="G3220" t="s" s="2">
        <v>6085</v>
      </c>
      <c r="H3220" s="5">
        <v>360</v>
      </c>
      <c r="I3220" t="s" s="2">
        <v>463</v>
      </c>
      <c r="J3220" t="s" s="2">
        <v>22</v>
      </c>
      <c r="K3220" t="s" s="2">
        <v>6149</v>
      </c>
      <c r="L3220" t="s" s="2">
        <v>518</v>
      </c>
      <c r="M3220" s="5">
        <v>637189.09</v>
      </c>
      <c r="N3220" s="5">
        <v>6086249.89</v>
      </c>
      <c r="O3220" t="s" s="2">
        <v>305</v>
      </c>
      <c r="P3220" s="5">
        <v>184945</v>
      </c>
      <c r="Q3220" t="s" s="2">
        <v>6087</v>
      </c>
      <c r="R3220" t="s" s="2">
        <f>_xlfn.IFERROR(INDEX('model_byCAP'!$D$2:$D$377,MATCH(Q3220,'model_byCAP'!$A$2:$A$377,0)),0)</f>
        <v>5955</v>
      </c>
    </row>
    <row r="3221" ht="15.35" customHeight="1">
      <c r="A3221" t="s" s="2">
        <v>6150</v>
      </c>
      <c r="B3221" s="4">
        <v>35688</v>
      </c>
      <c r="C3221" s="5">
        <v>600</v>
      </c>
      <c r="D3221" s="5">
        <v>44</v>
      </c>
      <c r="E3221" s="5">
        <v>35</v>
      </c>
      <c r="F3221" t="s" s="2">
        <v>1989</v>
      </c>
      <c r="G3221" t="s" s="2">
        <v>6085</v>
      </c>
      <c r="H3221" s="5">
        <v>360</v>
      </c>
      <c r="I3221" t="s" s="2">
        <v>463</v>
      </c>
      <c r="J3221" t="s" s="2">
        <v>22</v>
      </c>
      <c r="K3221" t="s" s="2">
        <v>6151</v>
      </c>
      <c r="L3221" t="s" s="2">
        <v>2293</v>
      </c>
      <c r="M3221" s="5">
        <v>637751.25</v>
      </c>
      <c r="N3221" s="5">
        <v>6084147.6</v>
      </c>
      <c r="O3221" t="s" s="2">
        <v>305</v>
      </c>
      <c r="P3221" s="5">
        <v>184946</v>
      </c>
      <c r="Q3221" t="s" s="2">
        <v>6087</v>
      </c>
      <c r="R3221" t="s" s="2">
        <f>_xlfn.IFERROR(INDEX('model_byCAP'!$D$2:$D$377,MATCH(Q3221,'model_byCAP'!$A$2:$A$377,0)),0)</f>
        <v>5955</v>
      </c>
    </row>
    <row r="3222" ht="15.35" customHeight="1">
      <c r="A3222" t="s" s="2">
        <v>6152</v>
      </c>
      <c r="B3222" s="4">
        <v>35689</v>
      </c>
      <c r="C3222" s="5">
        <v>600</v>
      </c>
      <c r="D3222" s="5">
        <v>44</v>
      </c>
      <c r="E3222" s="5">
        <v>35</v>
      </c>
      <c r="F3222" t="s" s="2">
        <v>1989</v>
      </c>
      <c r="G3222" t="s" s="2">
        <v>6085</v>
      </c>
      <c r="H3222" s="5">
        <v>360</v>
      </c>
      <c r="I3222" t="s" s="2">
        <v>463</v>
      </c>
      <c r="J3222" t="s" s="2">
        <v>22</v>
      </c>
      <c r="K3222" t="s" s="2">
        <v>6153</v>
      </c>
      <c r="L3222" t="s" s="2">
        <v>481</v>
      </c>
      <c r="M3222" s="5">
        <v>637494.22</v>
      </c>
      <c r="N3222" s="5">
        <v>6086518.79</v>
      </c>
      <c r="O3222" t="s" s="2">
        <v>305</v>
      </c>
      <c r="P3222" s="5">
        <v>184947</v>
      </c>
      <c r="Q3222" t="s" s="2">
        <v>6087</v>
      </c>
      <c r="R3222" t="s" s="2">
        <f>_xlfn.IFERROR(INDEX('model_byCAP'!$D$2:$D$377,MATCH(Q3222,'model_byCAP'!$A$2:$A$377,0)),0)</f>
        <v>5955</v>
      </c>
    </row>
    <row r="3223" ht="15.35" customHeight="1">
      <c r="A3223" t="s" s="2">
        <v>6154</v>
      </c>
      <c r="B3223" s="4">
        <v>35689</v>
      </c>
      <c r="C3223" s="5">
        <v>600</v>
      </c>
      <c r="D3223" s="5">
        <v>44</v>
      </c>
      <c r="E3223" s="5">
        <v>35</v>
      </c>
      <c r="F3223" t="s" s="2">
        <v>1989</v>
      </c>
      <c r="G3223" t="s" s="2">
        <v>6085</v>
      </c>
      <c r="H3223" s="5">
        <v>360</v>
      </c>
      <c r="I3223" t="s" s="2">
        <v>463</v>
      </c>
      <c r="J3223" t="s" s="2">
        <v>22</v>
      </c>
      <c r="K3223" t="s" s="2">
        <v>6155</v>
      </c>
      <c r="L3223" t="s" s="2">
        <v>1626</v>
      </c>
      <c r="M3223" s="5">
        <v>636825.49</v>
      </c>
      <c r="N3223" s="5">
        <v>6088901.76</v>
      </c>
      <c r="O3223" t="s" s="2">
        <v>305</v>
      </c>
      <c r="P3223" s="5">
        <v>184948</v>
      </c>
      <c r="Q3223" t="s" s="2">
        <v>6087</v>
      </c>
      <c r="R3223" t="s" s="2">
        <f>_xlfn.IFERROR(INDEX('model_byCAP'!$D$2:$D$377,MATCH(Q3223,'model_byCAP'!$A$2:$A$377,0)),0)</f>
        <v>5955</v>
      </c>
    </row>
    <row r="3224" ht="15.35" customHeight="1">
      <c r="A3224" t="s" s="2">
        <v>6156</v>
      </c>
      <c r="B3224" s="4">
        <v>35689</v>
      </c>
      <c r="C3224" s="5">
        <v>600</v>
      </c>
      <c r="D3224" s="5">
        <v>44</v>
      </c>
      <c r="E3224" s="5">
        <v>35</v>
      </c>
      <c r="F3224" t="s" s="2">
        <v>1989</v>
      </c>
      <c r="G3224" t="s" s="2">
        <v>6085</v>
      </c>
      <c r="H3224" s="5">
        <v>360</v>
      </c>
      <c r="I3224" t="s" s="2">
        <v>463</v>
      </c>
      <c r="J3224" t="s" s="2">
        <v>22</v>
      </c>
      <c r="K3224" t="s" s="2">
        <v>6157</v>
      </c>
      <c r="L3224" t="s" s="2">
        <v>2809</v>
      </c>
      <c r="M3224" s="5">
        <v>636730.4300000001</v>
      </c>
      <c r="N3224" s="5">
        <v>6089081.93</v>
      </c>
      <c r="O3224" t="s" s="2">
        <v>305</v>
      </c>
      <c r="P3224" s="5">
        <v>184949</v>
      </c>
      <c r="Q3224" t="s" s="2">
        <v>6087</v>
      </c>
      <c r="R3224" t="s" s="2">
        <f>_xlfn.IFERROR(INDEX('model_byCAP'!$D$2:$D$377,MATCH(Q3224,'model_byCAP'!$A$2:$A$377,0)),0)</f>
        <v>5955</v>
      </c>
    </row>
    <row r="3225" ht="15.35" customHeight="1">
      <c r="A3225" t="s" s="2">
        <v>6158</v>
      </c>
      <c r="B3225" s="4">
        <v>35688</v>
      </c>
      <c r="C3225" s="5">
        <v>600</v>
      </c>
      <c r="D3225" s="5">
        <v>44</v>
      </c>
      <c r="E3225" s="5">
        <v>35</v>
      </c>
      <c r="F3225" t="s" s="2">
        <v>1989</v>
      </c>
      <c r="G3225" t="s" s="2">
        <v>6085</v>
      </c>
      <c r="H3225" s="5">
        <v>360</v>
      </c>
      <c r="I3225" t="s" s="2">
        <v>463</v>
      </c>
      <c r="J3225" t="s" s="2">
        <v>22</v>
      </c>
      <c r="K3225" t="s" s="2">
        <v>6159</v>
      </c>
      <c r="L3225" t="s" s="2">
        <v>1105</v>
      </c>
      <c r="M3225" s="5">
        <v>637412.73</v>
      </c>
      <c r="N3225" s="5">
        <v>6083917.47</v>
      </c>
      <c r="O3225" t="s" s="2">
        <v>305</v>
      </c>
      <c r="P3225" s="5">
        <v>190195</v>
      </c>
      <c r="Q3225" t="s" s="2">
        <v>6087</v>
      </c>
      <c r="R3225" t="s" s="2">
        <f>_xlfn.IFERROR(INDEX('model_byCAP'!$D$2:$D$377,MATCH(Q3225,'model_byCAP'!$A$2:$A$377,0)),0)</f>
        <v>5955</v>
      </c>
    </row>
    <row r="3226" ht="15.35" customHeight="1">
      <c r="A3226" t="s" s="2">
        <v>6160</v>
      </c>
      <c r="B3226" s="4">
        <v>35450</v>
      </c>
      <c r="C3226" s="5">
        <v>600</v>
      </c>
      <c r="D3226" s="5">
        <v>44</v>
      </c>
      <c r="E3226" s="5">
        <v>35</v>
      </c>
      <c r="F3226" t="s" s="2">
        <v>301</v>
      </c>
      <c r="G3226" t="s" s="2">
        <v>5700</v>
      </c>
      <c r="H3226" s="5">
        <v>360</v>
      </c>
      <c r="I3226" t="s" s="2">
        <v>463</v>
      </c>
      <c r="J3226" t="s" s="2">
        <v>22</v>
      </c>
      <c r="K3226" t="s" s="2">
        <v>6155</v>
      </c>
      <c r="L3226" t="s" s="2">
        <v>6057</v>
      </c>
      <c r="M3226" s="5">
        <v>637538.26</v>
      </c>
      <c r="N3226" s="5">
        <v>6090351.39</v>
      </c>
      <c r="O3226" t="s" s="2">
        <v>305</v>
      </c>
      <c r="P3226" s="5">
        <v>184226</v>
      </c>
      <c r="Q3226" t="s" s="2">
        <v>5701</v>
      </c>
      <c r="R3226" t="s" s="2">
        <f>_xlfn.IFERROR(INDEX('model_byCAP'!$D$2:$D$377,MATCH(Q3226,'model_byCAP'!$A$2:$A$377,0)),0)</f>
        <v>5702</v>
      </c>
    </row>
    <row r="3227" ht="15.35" customHeight="1">
      <c r="A3227" t="s" s="2">
        <v>6161</v>
      </c>
      <c r="B3227" s="4">
        <v>35801</v>
      </c>
      <c r="C3227" s="5">
        <v>600</v>
      </c>
      <c r="D3227" s="5">
        <v>44</v>
      </c>
      <c r="E3227" s="5">
        <v>35</v>
      </c>
      <c r="F3227" t="s" s="2">
        <v>1989</v>
      </c>
      <c r="G3227" t="s" s="2">
        <v>5962</v>
      </c>
      <c r="H3227" s="5">
        <v>360</v>
      </c>
      <c r="I3227" t="s" s="2">
        <v>463</v>
      </c>
      <c r="J3227" t="s" s="2">
        <v>22</v>
      </c>
      <c r="K3227" t="s" s="2">
        <v>6101</v>
      </c>
      <c r="L3227" t="s" s="2">
        <v>6162</v>
      </c>
      <c r="M3227" s="5">
        <v>633678.62</v>
      </c>
      <c r="N3227" s="5">
        <v>6087070.92</v>
      </c>
      <c r="O3227" t="s" s="2">
        <v>305</v>
      </c>
      <c r="P3227" s="5">
        <v>190453</v>
      </c>
      <c r="Q3227" t="s" s="2">
        <v>5964</v>
      </c>
      <c r="R3227" t="s" s="2">
        <f>_xlfn.IFERROR(INDEX('model_byCAP'!$D$2:$D$377,MATCH(Q3227,'model_byCAP'!$A$2:$A$377,0)),0)</f>
        <v>5955</v>
      </c>
    </row>
    <row r="3228" ht="15.35" customHeight="1">
      <c r="A3228" t="s" s="2">
        <v>6163</v>
      </c>
      <c r="B3228" s="4">
        <v>35816</v>
      </c>
      <c r="C3228" s="5">
        <v>600</v>
      </c>
      <c r="D3228" s="5">
        <v>44</v>
      </c>
      <c r="E3228" s="5">
        <v>45</v>
      </c>
      <c r="F3228" t="s" s="2">
        <v>301</v>
      </c>
      <c r="G3228" t="s" s="2">
        <v>5700</v>
      </c>
      <c r="H3228" s="5">
        <v>360</v>
      </c>
      <c r="I3228" t="s" s="2">
        <v>463</v>
      </c>
      <c r="J3228" t="s" s="2">
        <v>22</v>
      </c>
      <c r="K3228" t="s" s="2">
        <v>6101</v>
      </c>
      <c r="L3228" t="s" s="2">
        <v>551</v>
      </c>
      <c r="M3228" s="5">
        <v>632606.99</v>
      </c>
      <c r="N3228" s="5">
        <v>6086512.31</v>
      </c>
      <c r="O3228" t="s" s="2">
        <v>305</v>
      </c>
      <c r="P3228" s="5">
        <v>190668</v>
      </c>
      <c r="Q3228" t="s" s="2">
        <v>5701</v>
      </c>
      <c r="R3228" t="s" s="2">
        <f>_xlfn.IFERROR(INDEX('model_byCAP'!$D$2:$D$377,MATCH(Q3228,'model_byCAP'!$A$2:$A$377,0)),0)</f>
        <v>5702</v>
      </c>
    </row>
    <row r="3229" ht="15.35" customHeight="1">
      <c r="A3229" t="s" s="2">
        <v>6164</v>
      </c>
      <c r="B3229" s="4">
        <v>35824</v>
      </c>
      <c r="C3229" s="5">
        <v>600</v>
      </c>
      <c r="D3229" s="5">
        <v>44</v>
      </c>
      <c r="E3229" s="5">
        <v>45</v>
      </c>
      <c r="F3229" t="s" s="2">
        <v>301</v>
      </c>
      <c r="G3229" t="s" s="2">
        <v>5700</v>
      </c>
      <c r="H3229" s="5">
        <v>360</v>
      </c>
      <c r="I3229" t="s" s="2">
        <v>463</v>
      </c>
      <c r="J3229" t="s" s="2">
        <v>22</v>
      </c>
      <c r="K3229" t="s" s="2">
        <v>6165</v>
      </c>
      <c r="L3229" t="s" s="2">
        <v>518</v>
      </c>
      <c r="M3229" s="5">
        <v>632683.76</v>
      </c>
      <c r="N3229" s="5">
        <v>6086674.73</v>
      </c>
      <c r="O3229" t="s" s="2">
        <v>305</v>
      </c>
      <c r="P3229" s="5">
        <v>190669</v>
      </c>
      <c r="Q3229" t="s" s="2">
        <v>5701</v>
      </c>
      <c r="R3229" t="s" s="2">
        <f>_xlfn.IFERROR(INDEX('model_byCAP'!$D$2:$D$377,MATCH(Q3229,'model_byCAP'!$A$2:$A$377,0)),0)</f>
        <v>5702</v>
      </c>
    </row>
    <row r="3230" ht="15.35" customHeight="1">
      <c r="A3230" t="s" s="2">
        <v>6166</v>
      </c>
      <c r="B3230" s="4">
        <v>35816</v>
      </c>
      <c r="C3230" s="5">
        <v>600</v>
      </c>
      <c r="D3230" s="5">
        <v>44</v>
      </c>
      <c r="E3230" s="5">
        <v>45</v>
      </c>
      <c r="F3230" t="s" s="2">
        <v>301</v>
      </c>
      <c r="G3230" t="s" s="2">
        <v>5700</v>
      </c>
      <c r="H3230" s="5">
        <v>360</v>
      </c>
      <c r="I3230" t="s" s="2">
        <v>463</v>
      </c>
      <c r="J3230" t="s" s="2">
        <v>22</v>
      </c>
      <c r="K3230" t="s" s="2">
        <v>6167</v>
      </c>
      <c r="L3230" t="s" s="2">
        <v>6168</v>
      </c>
      <c r="M3230" s="5">
        <v>632434.02</v>
      </c>
      <c r="N3230" s="5">
        <v>6086692.8</v>
      </c>
      <c r="O3230" t="s" s="2">
        <v>305</v>
      </c>
      <c r="P3230" s="5">
        <v>190670</v>
      </c>
      <c r="Q3230" t="s" s="2">
        <v>5701</v>
      </c>
      <c r="R3230" t="s" s="2">
        <f>_xlfn.IFERROR(INDEX('model_byCAP'!$D$2:$D$377,MATCH(Q3230,'model_byCAP'!$A$2:$A$377,0)),0)</f>
        <v>5702</v>
      </c>
    </row>
    <row r="3231" ht="15.35" customHeight="1">
      <c r="A3231" t="s" s="2">
        <v>6169</v>
      </c>
      <c r="B3231" s="4">
        <v>35824</v>
      </c>
      <c r="C3231" s="5">
        <v>600</v>
      </c>
      <c r="D3231" s="5">
        <v>44</v>
      </c>
      <c r="E3231" s="5">
        <v>45</v>
      </c>
      <c r="F3231" t="s" s="2">
        <v>301</v>
      </c>
      <c r="G3231" t="s" s="2">
        <v>5700</v>
      </c>
      <c r="H3231" s="5">
        <v>360</v>
      </c>
      <c r="I3231" t="s" s="2">
        <v>463</v>
      </c>
      <c r="J3231" t="s" s="2">
        <v>22</v>
      </c>
      <c r="K3231" t="s" s="2">
        <v>6101</v>
      </c>
      <c r="L3231" s="5">
        <v>2</v>
      </c>
      <c r="M3231" s="5">
        <v>632510.3</v>
      </c>
      <c r="N3231" s="5">
        <v>6086855.88</v>
      </c>
      <c r="O3231" t="s" s="2">
        <v>305</v>
      </c>
      <c r="P3231" s="5">
        <v>190671</v>
      </c>
      <c r="Q3231" t="s" s="2">
        <v>5701</v>
      </c>
      <c r="R3231" t="s" s="2">
        <f>_xlfn.IFERROR(INDEX('model_byCAP'!$D$2:$D$377,MATCH(Q3231,'model_byCAP'!$A$2:$A$377,0)),0)</f>
        <v>5702</v>
      </c>
    </row>
    <row r="3232" ht="15.35" customHeight="1">
      <c r="A3232" t="s" s="2">
        <v>6170</v>
      </c>
      <c r="B3232" s="4">
        <v>35824</v>
      </c>
      <c r="C3232" s="5">
        <v>600</v>
      </c>
      <c r="D3232" s="5">
        <v>44</v>
      </c>
      <c r="E3232" s="5">
        <v>45</v>
      </c>
      <c r="F3232" t="s" s="2">
        <v>301</v>
      </c>
      <c r="G3232" t="s" s="2">
        <v>5700</v>
      </c>
      <c r="H3232" s="5">
        <v>360</v>
      </c>
      <c r="I3232" t="s" s="2">
        <v>463</v>
      </c>
      <c r="J3232" t="s" s="2">
        <v>22</v>
      </c>
      <c r="K3232" t="s" s="2">
        <v>6101</v>
      </c>
      <c r="L3232" s="5">
        <v>2</v>
      </c>
      <c r="M3232" s="5">
        <v>632261.42</v>
      </c>
      <c r="N3232" s="5">
        <v>6086873.46</v>
      </c>
      <c r="O3232" t="s" s="2">
        <v>305</v>
      </c>
      <c r="P3232" s="5">
        <v>190672</v>
      </c>
      <c r="Q3232" t="s" s="2">
        <v>5701</v>
      </c>
      <c r="R3232" t="s" s="2">
        <f>_xlfn.IFERROR(INDEX('model_byCAP'!$D$2:$D$377,MATCH(Q3232,'model_byCAP'!$A$2:$A$377,0)),0)</f>
        <v>5702</v>
      </c>
    </row>
    <row r="3233" ht="15.35" customHeight="1">
      <c r="A3233" t="s" s="2">
        <v>6171</v>
      </c>
      <c r="B3233" s="4">
        <v>35845</v>
      </c>
      <c r="C3233" s="5">
        <v>600</v>
      </c>
      <c r="D3233" s="5">
        <v>42</v>
      </c>
      <c r="E3233" s="5">
        <v>35</v>
      </c>
      <c r="F3233" t="s" s="2">
        <v>1989</v>
      </c>
      <c r="G3233" t="s" s="2">
        <v>6172</v>
      </c>
      <c r="H3233" s="5">
        <v>360</v>
      </c>
      <c r="I3233" t="s" s="2">
        <v>463</v>
      </c>
      <c r="J3233" t="s" s="2">
        <v>22</v>
      </c>
      <c r="K3233" t="s" s="2">
        <v>6165</v>
      </c>
      <c r="L3233" t="s" s="2">
        <v>850</v>
      </c>
      <c r="M3233" s="5">
        <v>633496.4399999999</v>
      </c>
      <c r="N3233" s="5">
        <v>6085424.32</v>
      </c>
      <c r="O3233" t="s" s="2">
        <v>305</v>
      </c>
      <c r="P3233" s="5">
        <v>190690</v>
      </c>
      <c r="Q3233" t="s" s="2">
        <v>6173</v>
      </c>
      <c r="R3233" t="s" s="2">
        <f>_xlfn.IFERROR(INDEX('model_byCAP'!$D$2:$D$377,MATCH(Q3233,'model_byCAP'!$A$2:$A$377,0)),0)</f>
        <v>6174</v>
      </c>
    </row>
    <row r="3234" ht="15.35" customHeight="1">
      <c r="A3234" t="s" s="2">
        <v>6175</v>
      </c>
      <c r="B3234" s="4">
        <v>35829</v>
      </c>
      <c r="C3234" s="5">
        <v>600</v>
      </c>
      <c r="D3234" s="5">
        <v>44</v>
      </c>
      <c r="E3234" s="5">
        <v>35</v>
      </c>
      <c r="F3234" t="s" s="2">
        <v>301</v>
      </c>
      <c r="G3234" t="s" s="2">
        <v>5700</v>
      </c>
      <c r="H3234" s="5">
        <v>360</v>
      </c>
      <c r="I3234" t="s" s="2">
        <v>463</v>
      </c>
      <c r="J3234" t="s" s="2">
        <v>22</v>
      </c>
      <c r="K3234" t="s" s="2">
        <v>6165</v>
      </c>
      <c r="L3234" t="s" s="2">
        <v>2809</v>
      </c>
      <c r="M3234" s="5">
        <v>634425.64</v>
      </c>
      <c r="N3234" s="5">
        <v>6085087.48</v>
      </c>
      <c r="O3234" t="s" s="2">
        <v>305</v>
      </c>
      <c r="P3234" s="5">
        <v>190710</v>
      </c>
      <c r="Q3234" t="s" s="2">
        <v>5701</v>
      </c>
      <c r="R3234" t="s" s="2">
        <f>_xlfn.IFERROR(INDEX('model_byCAP'!$D$2:$D$377,MATCH(Q3234,'model_byCAP'!$A$2:$A$377,0)),0)</f>
        <v>5702</v>
      </c>
    </row>
    <row r="3235" ht="15.35" customHeight="1">
      <c r="A3235" t="s" s="2">
        <v>6176</v>
      </c>
      <c r="B3235" s="4">
        <v>36571</v>
      </c>
      <c r="C3235" s="5">
        <v>600</v>
      </c>
      <c r="D3235" s="5">
        <v>44</v>
      </c>
      <c r="E3235" s="5">
        <v>36</v>
      </c>
      <c r="F3235" t="s" s="2">
        <v>1989</v>
      </c>
      <c r="G3235" t="s" s="2">
        <v>6085</v>
      </c>
      <c r="H3235" s="5">
        <v>360</v>
      </c>
      <c r="I3235" t="s" s="2">
        <v>463</v>
      </c>
      <c r="J3235" t="s" s="2">
        <v>22</v>
      </c>
      <c r="K3235" t="s" s="2">
        <v>6177</v>
      </c>
      <c r="L3235" t="s" s="2">
        <v>394</v>
      </c>
      <c r="M3235" s="5">
        <v>637080.9399999999</v>
      </c>
      <c r="N3235" s="5">
        <v>6073708.78</v>
      </c>
      <c r="O3235" t="s" s="2">
        <v>305</v>
      </c>
      <c r="P3235" s="5">
        <v>194364</v>
      </c>
      <c r="Q3235" t="s" s="2">
        <v>6087</v>
      </c>
      <c r="R3235" t="s" s="2">
        <f>_xlfn.IFERROR(INDEX('model_byCAP'!$D$2:$D$377,MATCH(Q3235,'model_byCAP'!$A$2:$A$377,0)),0)</f>
        <v>5955</v>
      </c>
    </row>
    <row r="3236" ht="15.35" customHeight="1">
      <c r="A3236" t="s" s="2">
        <v>6178</v>
      </c>
      <c r="B3236" s="4">
        <v>36564</v>
      </c>
      <c r="C3236" s="5">
        <v>600</v>
      </c>
      <c r="D3236" s="5">
        <v>44</v>
      </c>
      <c r="E3236" s="5">
        <v>35</v>
      </c>
      <c r="F3236" t="s" s="2">
        <v>1989</v>
      </c>
      <c r="G3236" t="s" s="2">
        <v>6085</v>
      </c>
      <c r="H3236" s="5">
        <v>360</v>
      </c>
      <c r="I3236" t="s" s="2">
        <v>463</v>
      </c>
      <c r="J3236" t="s" s="2">
        <v>22</v>
      </c>
      <c r="K3236" t="s" s="2">
        <v>6095</v>
      </c>
      <c r="L3236" t="s" s="2">
        <v>6112</v>
      </c>
      <c r="M3236" s="5">
        <v>641764.12</v>
      </c>
      <c r="N3236" s="5">
        <v>6066695.81</v>
      </c>
      <c r="O3236" t="s" s="2">
        <v>305</v>
      </c>
      <c r="P3236" s="5">
        <v>194399</v>
      </c>
      <c r="Q3236" t="s" s="2">
        <v>6087</v>
      </c>
      <c r="R3236" t="s" s="2">
        <f>_xlfn.IFERROR(INDEX('model_byCAP'!$D$2:$D$377,MATCH(Q3236,'model_byCAP'!$A$2:$A$377,0)),0)</f>
        <v>5955</v>
      </c>
    </row>
    <row r="3237" ht="15.35" customHeight="1">
      <c r="A3237" t="s" s="2">
        <v>6179</v>
      </c>
      <c r="B3237" s="4">
        <v>36804</v>
      </c>
      <c r="C3237" s="5">
        <v>600</v>
      </c>
      <c r="D3237" s="5">
        <v>44</v>
      </c>
      <c r="E3237" s="5">
        <v>35</v>
      </c>
      <c r="F3237" t="s" s="2">
        <v>301</v>
      </c>
      <c r="G3237" t="s" s="2">
        <v>5959</v>
      </c>
      <c r="H3237" s="5">
        <v>360</v>
      </c>
      <c r="I3237" t="s" s="2">
        <v>463</v>
      </c>
      <c r="J3237" t="s" s="2">
        <v>22</v>
      </c>
      <c r="K3237" t="s" s="2">
        <v>6180</v>
      </c>
      <c r="L3237" s="5">
        <v>14</v>
      </c>
      <c r="M3237" s="5">
        <v>642877.65</v>
      </c>
      <c r="N3237" s="5">
        <v>6092062.21</v>
      </c>
      <c r="O3237" t="s" s="2">
        <v>305</v>
      </c>
      <c r="P3237" s="5">
        <v>195306</v>
      </c>
      <c r="Q3237" t="s" s="2">
        <v>5960</v>
      </c>
      <c r="R3237" t="s" s="2">
        <f>_xlfn.IFERROR(INDEX('model_byCAP'!$D$2:$D$377,MATCH(Q3237,'model_byCAP'!$A$2:$A$377,0)),0)</f>
        <v>5702</v>
      </c>
    </row>
    <row r="3238" ht="15.35" customHeight="1">
      <c r="A3238" t="s" s="2">
        <v>6181</v>
      </c>
      <c r="B3238" s="4">
        <v>36804</v>
      </c>
      <c r="C3238" s="5">
        <v>600</v>
      </c>
      <c r="D3238" s="5">
        <v>44</v>
      </c>
      <c r="E3238" s="5">
        <v>35</v>
      </c>
      <c r="F3238" t="s" s="2">
        <v>301</v>
      </c>
      <c r="G3238" t="s" s="2">
        <v>5700</v>
      </c>
      <c r="H3238" s="5">
        <v>360</v>
      </c>
      <c r="I3238" t="s" s="2">
        <v>463</v>
      </c>
      <c r="J3238" t="s" s="2">
        <v>22</v>
      </c>
      <c r="K3238" t="s" s="2">
        <v>6182</v>
      </c>
      <c r="L3238" t="s" s="2">
        <v>887</v>
      </c>
      <c r="M3238" s="5">
        <v>642484.01</v>
      </c>
      <c r="N3238" s="5">
        <v>6092057.56</v>
      </c>
      <c r="O3238" t="s" s="2">
        <v>305</v>
      </c>
      <c r="P3238" s="5">
        <v>195305</v>
      </c>
      <c r="Q3238" t="s" s="2">
        <v>5701</v>
      </c>
      <c r="R3238" t="s" s="2">
        <f>_xlfn.IFERROR(INDEX('model_byCAP'!$D$2:$D$377,MATCH(Q3238,'model_byCAP'!$A$2:$A$377,0)),0)</f>
        <v>5702</v>
      </c>
    </row>
    <row r="3239" ht="15.35" customHeight="1">
      <c r="A3239" t="s" s="2">
        <v>6183</v>
      </c>
      <c r="B3239" s="4">
        <v>37073</v>
      </c>
      <c r="C3239" s="5">
        <v>600</v>
      </c>
      <c r="D3239" s="5">
        <v>44</v>
      </c>
      <c r="E3239" s="5">
        <v>35</v>
      </c>
      <c r="F3239" t="s" s="2">
        <v>1989</v>
      </c>
      <c r="G3239" t="s" s="2">
        <v>6184</v>
      </c>
      <c r="H3239" s="5">
        <v>360</v>
      </c>
      <c r="I3239" t="s" s="2">
        <v>463</v>
      </c>
      <c r="J3239" t="s" s="2">
        <v>22</v>
      </c>
      <c r="K3239" t="s" s="2">
        <v>6185</v>
      </c>
      <c r="L3239" t="s" s="2">
        <v>6186</v>
      </c>
      <c r="M3239" s="5">
        <v>632282.01</v>
      </c>
      <c r="N3239" s="5">
        <v>6084365.06</v>
      </c>
      <c r="O3239" t="s" s="2">
        <v>305</v>
      </c>
      <c r="P3239" s="5">
        <v>196123</v>
      </c>
      <c r="Q3239" t="s" s="2">
        <v>6187</v>
      </c>
      <c r="R3239" t="s" s="2">
        <f>_xlfn.IFERROR(INDEX('model_byCAP'!$D$2:$D$377,MATCH(Q3239,'model_byCAP'!$A$2:$A$377,0)),0)</f>
        <v>6188</v>
      </c>
    </row>
    <row r="3240" ht="15.35" customHeight="1">
      <c r="A3240" t="s" s="2">
        <v>6189</v>
      </c>
      <c r="B3240" s="4">
        <v>35473</v>
      </c>
      <c r="C3240" s="5">
        <v>600</v>
      </c>
      <c r="D3240" s="5">
        <v>43</v>
      </c>
      <c r="E3240" s="5">
        <v>42.7</v>
      </c>
      <c r="F3240" t="s" s="2">
        <v>3604</v>
      </c>
      <c r="G3240" t="s" s="2">
        <v>6190</v>
      </c>
      <c r="H3240" s="5">
        <v>370</v>
      </c>
      <c r="I3240" t="s" s="2">
        <v>520</v>
      </c>
      <c r="J3240" t="s" s="2">
        <v>22</v>
      </c>
      <c r="K3240" t="s" s="2">
        <v>6191</v>
      </c>
      <c r="L3240" t="s" s="2">
        <v>1586</v>
      </c>
      <c r="M3240" s="5">
        <v>661160.96</v>
      </c>
      <c r="N3240" s="5">
        <v>6124152.92</v>
      </c>
      <c r="O3240" t="s" s="2">
        <v>305</v>
      </c>
      <c r="P3240" s="5">
        <v>184707</v>
      </c>
      <c r="Q3240" t="s" s="2">
        <v>6192</v>
      </c>
      <c r="R3240" t="s" s="2">
        <f>_xlfn.IFERROR(INDEX('model_byCAP'!$D$2:$D$377,MATCH(Q3240,'model_byCAP'!$A$2:$A$377,0)),0)</f>
        <v>4115</v>
      </c>
    </row>
    <row r="3241" ht="15.35" customHeight="1">
      <c r="A3241" t="s" s="2">
        <v>6193</v>
      </c>
      <c r="B3241" s="4">
        <v>35473</v>
      </c>
      <c r="C3241" s="5">
        <v>600</v>
      </c>
      <c r="D3241" s="5">
        <v>43</v>
      </c>
      <c r="E3241" s="5">
        <v>42.7</v>
      </c>
      <c r="F3241" t="s" s="2">
        <v>3604</v>
      </c>
      <c r="G3241" t="s" s="2">
        <v>6028</v>
      </c>
      <c r="H3241" s="5">
        <v>370</v>
      </c>
      <c r="I3241" t="s" s="2">
        <v>520</v>
      </c>
      <c r="J3241" t="s" s="2">
        <v>22</v>
      </c>
      <c r="K3241" t="s" s="2">
        <v>6194</v>
      </c>
      <c r="L3241" t="s" s="2">
        <v>6195</v>
      </c>
      <c r="M3241" s="5">
        <v>661261.63</v>
      </c>
      <c r="N3241" s="5">
        <v>6124032.7</v>
      </c>
      <c r="O3241" t="s" s="2">
        <v>305</v>
      </c>
      <c r="P3241" s="5">
        <v>184708</v>
      </c>
      <c r="Q3241" t="s" s="2">
        <v>6030</v>
      </c>
      <c r="R3241" t="s" s="2">
        <f>_xlfn.IFERROR(INDEX('model_byCAP'!$D$2:$D$377,MATCH(Q3241,'model_byCAP'!$A$2:$A$377,0)),0)</f>
        <v>4115</v>
      </c>
    </row>
    <row r="3242" ht="15.35" customHeight="1">
      <c r="A3242" t="s" s="2">
        <v>6196</v>
      </c>
      <c r="B3242" s="4">
        <v>35489</v>
      </c>
      <c r="C3242" s="5">
        <v>600</v>
      </c>
      <c r="D3242" s="5">
        <v>43</v>
      </c>
      <c r="E3242" s="5">
        <v>42.5</v>
      </c>
      <c r="F3242" t="s" s="2">
        <v>3604</v>
      </c>
      <c r="G3242" t="s" s="2">
        <v>6028</v>
      </c>
      <c r="H3242" s="5">
        <v>370</v>
      </c>
      <c r="I3242" t="s" s="2">
        <v>520</v>
      </c>
      <c r="J3242" t="s" s="2">
        <v>22</v>
      </c>
      <c r="K3242" t="s" s="2">
        <v>6194</v>
      </c>
      <c r="L3242" t="s" s="2">
        <v>1740</v>
      </c>
      <c r="M3242" s="5">
        <v>661361.5</v>
      </c>
      <c r="N3242" s="5">
        <v>6123913.3</v>
      </c>
      <c r="O3242" t="s" s="2">
        <v>305</v>
      </c>
      <c r="P3242" s="5">
        <v>184709</v>
      </c>
      <c r="Q3242" t="s" s="2">
        <v>6030</v>
      </c>
      <c r="R3242" t="s" s="2">
        <f>_xlfn.IFERROR(INDEX('model_byCAP'!$D$2:$D$377,MATCH(Q3242,'model_byCAP'!$A$2:$A$377,0)),0)</f>
        <v>4115</v>
      </c>
    </row>
    <row r="3243" ht="15.35" customHeight="1">
      <c r="A3243" t="s" s="2">
        <v>6197</v>
      </c>
      <c r="B3243" s="4">
        <v>35468</v>
      </c>
      <c r="C3243" s="5">
        <v>600</v>
      </c>
      <c r="D3243" s="5">
        <v>43</v>
      </c>
      <c r="E3243" s="5">
        <v>44.5</v>
      </c>
      <c r="F3243" t="s" s="2">
        <v>42</v>
      </c>
      <c r="G3243" t="s" s="2">
        <v>42</v>
      </c>
      <c r="H3243" s="5">
        <v>370</v>
      </c>
      <c r="I3243" t="s" s="2">
        <v>520</v>
      </c>
      <c r="J3243" t="s" s="2">
        <v>22</v>
      </c>
      <c r="K3243" t="s" s="2">
        <v>6194</v>
      </c>
      <c r="L3243" t="s" s="2">
        <v>3830</v>
      </c>
      <c r="M3243" s="5">
        <v>661535.3</v>
      </c>
      <c r="N3243" s="5">
        <v>6124184.98</v>
      </c>
      <c r="O3243" t="s" s="2">
        <v>305</v>
      </c>
      <c r="P3243" s="5">
        <v>184710</v>
      </c>
      <c r="Q3243" t="s" s="2">
        <v>43</v>
      </c>
      <c r="R3243" s="5">
        <f>_xlfn.IFERROR(INDEX('model_byCAP'!$D$2:$D$377,MATCH(Q3243,'model_byCAP'!$A$2:$A$377,0)),0)</f>
        <v>0</v>
      </c>
    </row>
    <row r="3244" ht="15.35" customHeight="1">
      <c r="A3244" t="s" s="2">
        <v>6198</v>
      </c>
      <c r="B3244" s="4">
        <v>35502</v>
      </c>
      <c r="C3244" s="5">
        <v>600</v>
      </c>
      <c r="D3244" s="5">
        <v>43</v>
      </c>
      <c r="E3244" s="5">
        <v>45</v>
      </c>
      <c r="F3244" t="s" s="2">
        <v>42</v>
      </c>
      <c r="G3244" t="s" s="2">
        <v>42</v>
      </c>
      <c r="H3244" s="5">
        <v>370</v>
      </c>
      <c r="I3244" t="s" s="2">
        <v>520</v>
      </c>
      <c r="J3244" t="s" s="2">
        <v>22</v>
      </c>
      <c r="K3244" t="s" s="2">
        <v>6191</v>
      </c>
      <c r="L3244" t="s" s="2">
        <v>6112</v>
      </c>
      <c r="M3244" s="5">
        <v>661664.8199999999</v>
      </c>
      <c r="N3244" s="5">
        <v>6124030.75</v>
      </c>
      <c r="O3244" t="s" s="2">
        <v>305</v>
      </c>
      <c r="P3244" s="5">
        <v>184711</v>
      </c>
      <c r="Q3244" t="s" s="2">
        <v>43</v>
      </c>
      <c r="R3244" s="5">
        <f>_xlfn.IFERROR(INDEX('model_byCAP'!$D$2:$D$377,MATCH(Q3244,'model_byCAP'!$A$2:$A$377,0)),0)</f>
        <v>0</v>
      </c>
    </row>
    <row r="3245" ht="15.35" customHeight="1">
      <c r="A3245" t="s" s="2">
        <v>6199</v>
      </c>
      <c r="B3245" s="4">
        <v>35811</v>
      </c>
      <c r="C3245" s="5">
        <v>600</v>
      </c>
      <c r="D3245" s="5">
        <v>43</v>
      </c>
      <c r="E3245" s="5">
        <v>44.5</v>
      </c>
      <c r="F3245" t="s" s="2">
        <v>42</v>
      </c>
      <c r="G3245" t="s" s="2">
        <v>42</v>
      </c>
      <c r="H3245" s="5">
        <v>370</v>
      </c>
      <c r="I3245" t="s" s="2">
        <v>520</v>
      </c>
      <c r="J3245" t="s" s="2">
        <v>22</v>
      </c>
      <c r="K3245" t="s" s="2">
        <v>6200</v>
      </c>
      <c r="L3245" s="5">
        <v>3</v>
      </c>
      <c r="M3245" s="5">
        <v>667943.9</v>
      </c>
      <c r="N3245" s="5">
        <v>6124200.29</v>
      </c>
      <c r="O3245" t="s" s="2">
        <v>305</v>
      </c>
      <c r="P3245" s="5">
        <v>190839</v>
      </c>
      <c r="Q3245" t="s" s="2">
        <v>43</v>
      </c>
      <c r="R3245" s="5">
        <f>_xlfn.IFERROR(INDEX('model_byCAP'!$D$2:$D$377,MATCH(Q3245,'model_byCAP'!$A$2:$A$377,0)),0)</f>
        <v>0</v>
      </c>
    </row>
    <row r="3246" ht="15.35" customHeight="1">
      <c r="A3246" t="s" s="2">
        <v>6201</v>
      </c>
      <c r="B3246" s="4">
        <v>35902</v>
      </c>
      <c r="C3246" s="5">
        <v>600</v>
      </c>
      <c r="D3246" s="5">
        <v>44</v>
      </c>
      <c r="E3246" s="5">
        <v>45</v>
      </c>
      <c r="F3246" t="s" s="2">
        <v>1989</v>
      </c>
      <c r="G3246" t="s" s="2">
        <v>5962</v>
      </c>
      <c r="H3246" s="5">
        <v>370</v>
      </c>
      <c r="I3246" t="s" s="2">
        <v>520</v>
      </c>
      <c r="J3246" t="s" s="2">
        <v>22</v>
      </c>
      <c r="K3246" t="s" s="2">
        <v>6202</v>
      </c>
      <c r="L3246" s="5">
        <v>5</v>
      </c>
      <c r="M3246" s="5">
        <v>667858.5600000001</v>
      </c>
      <c r="N3246" s="5">
        <v>6125560.87</v>
      </c>
      <c r="O3246" t="s" s="2">
        <v>305</v>
      </c>
      <c r="P3246" s="5">
        <v>191117</v>
      </c>
      <c r="Q3246" t="s" s="2">
        <v>5964</v>
      </c>
      <c r="R3246" t="s" s="2">
        <f>_xlfn.IFERROR(INDEX('model_byCAP'!$D$2:$D$377,MATCH(Q3246,'model_byCAP'!$A$2:$A$377,0)),0)</f>
        <v>5955</v>
      </c>
    </row>
    <row r="3247" ht="15.35" customHeight="1">
      <c r="A3247" t="s" s="2">
        <v>6203</v>
      </c>
      <c r="B3247" s="4">
        <v>35902</v>
      </c>
      <c r="C3247" s="5">
        <v>600</v>
      </c>
      <c r="D3247" s="5">
        <v>44</v>
      </c>
      <c r="E3247" s="5">
        <v>45</v>
      </c>
      <c r="F3247" t="s" s="2">
        <v>1989</v>
      </c>
      <c r="G3247" t="s" s="2">
        <v>5962</v>
      </c>
      <c r="H3247" s="5">
        <v>370</v>
      </c>
      <c r="I3247" t="s" s="2">
        <v>520</v>
      </c>
      <c r="J3247" t="s" s="2">
        <v>22</v>
      </c>
      <c r="K3247" t="s" s="2">
        <v>6202</v>
      </c>
      <c r="L3247" s="5">
        <v>5</v>
      </c>
      <c r="M3247" s="5">
        <v>668053.79</v>
      </c>
      <c r="N3247" s="5">
        <v>6125516.88</v>
      </c>
      <c r="O3247" t="s" s="2">
        <v>305</v>
      </c>
      <c r="P3247" s="5">
        <v>191114</v>
      </c>
      <c r="Q3247" t="s" s="2">
        <v>5964</v>
      </c>
      <c r="R3247" t="s" s="2">
        <f>_xlfn.IFERROR(INDEX('model_byCAP'!$D$2:$D$377,MATCH(Q3247,'model_byCAP'!$A$2:$A$377,0)),0)</f>
        <v>5955</v>
      </c>
    </row>
    <row r="3248" ht="15.35" customHeight="1">
      <c r="A3248" t="s" s="2">
        <v>6204</v>
      </c>
      <c r="B3248" s="4">
        <v>35902</v>
      </c>
      <c r="C3248" s="5">
        <v>600</v>
      </c>
      <c r="D3248" s="5">
        <v>44</v>
      </c>
      <c r="E3248" s="5">
        <v>45</v>
      </c>
      <c r="F3248" t="s" s="2">
        <v>1989</v>
      </c>
      <c r="G3248" t="s" s="2">
        <v>5951</v>
      </c>
      <c r="H3248" s="5">
        <v>370</v>
      </c>
      <c r="I3248" t="s" s="2">
        <v>520</v>
      </c>
      <c r="J3248" t="s" s="2">
        <v>22</v>
      </c>
      <c r="K3248" t="s" s="2">
        <v>6202</v>
      </c>
      <c r="L3248" s="5">
        <v>5</v>
      </c>
      <c r="M3248" s="5">
        <v>667664.03</v>
      </c>
      <c r="N3248" s="5">
        <v>6125605.64</v>
      </c>
      <c r="O3248" t="s" s="2">
        <v>305</v>
      </c>
      <c r="P3248" s="5">
        <v>191118</v>
      </c>
      <c r="Q3248" t="s" s="2">
        <v>5954</v>
      </c>
      <c r="R3248" t="s" s="2">
        <f>_xlfn.IFERROR(INDEX('model_byCAP'!$D$2:$D$377,MATCH(Q3248,'model_byCAP'!$A$2:$A$377,0)),0)</f>
        <v>5955</v>
      </c>
    </row>
    <row r="3249" ht="15.35" customHeight="1">
      <c r="A3249" t="s" s="2">
        <v>6205</v>
      </c>
      <c r="B3249" s="4">
        <v>36091</v>
      </c>
      <c r="C3249" s="5">
        <v>600</v>
      </c>
      <c r="D3249" s="5">
        <v>44</v>
      </c>
      <c r="E3249" s="5">
        <v>40</v>
      </c>
      <c r="F3249" t="s" s="2">
        <v>1989</v>
      </c>
      <c r="G3249" t="s" s="2">
        <v>6044</v>
      </c>
      <c r="H3249" s="5">
        <v>370</v>
      </c>
      <c r="I3249" t="s" s="2">
        <v>520</v>
      </c>
      <c r="J3249" t="s" s="2">
        <v>22</v>
      </c>
      <c r="K3249" t="s" s="2">
        <v>6206</v>
      </c>
      <c r="L3249" t="s" s="2">
        <v>1717</v>
      </c>
      <c r="M3249" s="5">
        <v>660725.24</v>
      </c>
      <c r="N3249" s="5">
        <v>6122812.55</v>
      </c>
      <c r="O3249" t="s" s="2">
        <v>305</v>
      </c>
      <c r="P3249" s="5">
        <v>192591</v>
      </c>
      <c r="Q3249" t="s" s="2">
        <v>6046</v>
      </c>
      <c r="R3249" t="s" s="2">
        <f>_xlfn.IFERROR(INDEX('model_byCAP'!$D$2:$D$377,MATCH(Q3249,'model_byCAP'!$A$2:$A$377,0)),0)</f>
        <v>3178</v>
      </c>
    </row>
    <row r="3250" ht="15.35" customHeight="1">
      <c r="A3250" t="s" s="2">
        <v>6207</v>
      </c>
      <c r="B3250" s="4">
        <v>35902</v>
      </c>
      <c r="C3250" s="5">
        <v>600</v>
      </c>
      <c r="D3250" s="5">
        <v>43</v>
      </c>
      <c r="E3250" s="5">
        <v>44.5</v>
      </c>
      <c r="F3250" t="s" s="2">
        <v>42</v>
      </c>
      <c r="G3250" t="s" s="2">
        <v>42</v>
      </c>
      <c r="H3250" s="5">
        <v>370</v>
      </c>
      <c r="I3250" t="s" s="2">
        <v>520</v>
      </c>
      <c r="J3250" t="s" s="2">
        <v>22</v>
      </c>
      <c r="K3250" t="s" s="2">
        <v>6200</v>
      </c>
      <c r="L3250" s="5">
        <v>3</v>
      </c>
      <c r="M3250" s="5">
        <v>668134.16</v>
      </c>
      <c r="N3250" s="5">
        <v>6124138.82</v>
      </c>
      <c r="O3250" t="s" s="2">
        <v>305</v>
      </c>
      <c r="P3250" s="5">
        <v>190902</v>
      </c>
      <c r="Q3250" t="s" s="2">
        <v>43</v>
      </c>
      <c r="R3250" s="5">
        <f>_xlfn.IFERROR(INDEX('model_byCAP'!$D$2:$D$377,MATCH(Q3250,'model_byCAP'!$A$2:$A$377,0)),0)</f>
        <v>0</v>
      </c>
    </row>
    <row r="3251" ht="15.35" customHeight="1">
      <c r="A3251" t="s" s="2">
        <v>6208</v>
      </c>
      <c r="B3251" s="4">
        <v>35332</v>
      </c>
      <c r="C3251" s="5">
        <v>600</v>
      </c>
      <c r="D3251" s="5">
        <v>44</v>
      </c>
      <c r="E3251" s="5">
        <v>35</v>
      </c>
      <c r="F3251" t="s" s="2">
        <v>1989</v>
      </c>
      <c r="G3251" t="s" s="2">
        <v>5962</v>
      </c>
      <c r="H3251" s="5">
        <v>376</v>
      </c>
      <c r="I3251" t="s" s="2">
        <v>1991</v>
      </c>
      <c r="J3251" t="s" s="2">
        <v>22</v>
      </c>
      <c r="K3251" t="s" s="2">
        <v>6209</v>
      </c>
      <c r="L3251" t="s" s="2">
        <v>6210</v>
      </c>
      <c r="M3251" s="5">
        <v>682510.55</v>
      </c>
      <c r="N3251" s="5">
        <v>6083778.32</v>
      </c>
      <c r="O3251" t="s" s="2">
        <v>305</v>
      </c>
      <c r="P3251" s="5">
        <v>183915</v>
      </c>
      <c r="Q3251" t="s" s="2">
        <v>5964</v>
      </c>
      <c r="R3251" t="s" s="2">
        <f>_xlfn.IFERROR(INDEX('model_byCAP'!$D$2:$D$377,MATCH(Q3251,'model_byCAP'!$A$2:$A$377,0)),0)</f>
        <v>5955</v>
      </c>
    </row>
    <row r="3252" ht="15.35" customHeight="1">
      <c r="A3252" t="s" s="2">
        <v>6211</v>
      </c>
      <c r="B3252" s="4">
        <v>35332</v>
      </c>
      <c r="C3252" s="5">
        <v>600</v>
      </c>
      <c r="D3252" s="5">
        <v>44</v>
      </c>
      <c r="E3252" s="5">
        <v>40</v>
      </c>
      <c r="F3252" t="s" s="2">
        <v>1989</v>
      </c>
      <c r="G3252" t="s" s="2">
        <v>6053</v>
      </c>
      <c r="H3252" s="5">
        <v>376</v>
      </c>
      <c r="I3252" t="s" s="2">
        <v>1991</v>
      </c>
      <c r="J3252" t="s" s="2">
        <v>22</v>
      </c>
      <c r="K3252" t="s" s="2">
        <v>6212</v>
      </c>
      <c r="L3252" t="s" s="2">
        <v>2348</v>
      </c>
      <c r="M3252" s="5">
        <v>682225.91</v>
      </c>
      <c r="N3252" s="5">
        <v>6083892.13</v>
      </c>
      <c r="O3252" t="s" s="2">
        <v>305</v>
      </c>
      <c r="P3252" s="5">
        <v>183916</v>
      </c>
      <c r="Q3252" t="s" s="2">
        <v>6054</v>
      </c>
      <c r="R3252" t="s" s="2">
        <f>_xlfn.IFERROR(INDEX('model_byCAP'!$D$2:$D$377,MATCH(Q3252,'model_byCAP'!$A$2:$A$377,0)),0)</f>
        <v>3178</v>
      </c>
    </row>
    <row r="3253" ht="15.35" customHeight="1">
      <c r="A3253" t="s" s="2">
        <v>6213</v>
      </c>
      <c r="B3253" s="4">
        <v>35369</v>
      </c>
      <c r="C3253" s="5">
        <v>600</v>
      </c>
      <c r="D3253" s="5">
        <v>44</v>
      </c>
      <c r="E3253" s="5">
        <v>40</v>
      </c>
      <c r="F3253" t="s" s="2">
        <v>301</v>
      </c>
      <c r="G3253" t="s" s="2">
        <v>5700</v>
      </c>
      <c r="H3253" s="5">
        <v>376</v>
      </c>
      <c r="I3253" t="s" s="2">
        <v>1991</v>
      </c>
      <c r="J3253" t="s" s="2">
        <v>22</v>
      </c>
      <c r="K3253" t="s" s="2">
        <v>6214</v>
      </c>
      <c r="L3253" t="s" s="2">
        <v>3830</v>
      </c>
      <c r="M3253" s="5">
        <v>677840.6800000001</v>
      </c>
      <c r="N3253" s="5">
        <v>6086852.79</v>
      </c>
      <c r="O3253" t="s" s="2">
        <v>305</v>
      </c>
      <c r="P3253" s="5">
        <v>184250</v>
      </c>
      <c r="Q3253" t="s" s="2">
        <v>5701</v>
      </c>
      <c r="R3253" t="s" s="2">
        <f>_xlfn.IFERROR(INDEX('model_byCAP'!$D$2:$D$377,MATCH(Q3253,'model_byCAP'!$A$2:$A$377,0)),0)</f>
        <v>5702</v>
      </c>
    </row>
    <row r="3254" ht="15.35" customHeight="1">
      <c r="A3254" t="s" s="2">
        <v>6215</v>
      </c>
      <c r="B3254" s="4">
        <v>35383</v>
      </c>
      <c r="C3254" s="5">
        <v>600</v>
      </c>
      <c r="D3254" s="5">
        <v>44</v>
      </c>
      <c r="E3254" s="5">
        <v>40</v>
      </c>
      <c r="F3254" t="s" s="2">
        <v>301</v>
      </c>
      <c r="G3254" t="s" s="2">
        <v>5700</v>
      </c>
      <c r="H3254" s="5">
        <v>376</v>
      </c>
      <c r="I3254" t="s" s="2">
        <v>1991</v>
      </c>
      <c r="J3254" t="s" s="2">
        <v>22</v>
      </c>
      <c r="K3254" t="s" s="2">
        <v>6216</v>
      </c>
      <c r="L3254" t="s" s="2">
        <v>6217</v>
      </c>
      <c r="M3254" s="5">
        <v>677845.76</v>
      </c>
      <c r="N3254" s="5">
        <v>6086700.58</v>
      </c>
      <c r="O3254" t="s" s="2">
        <v>305</v>
      </c>
      <c r="P3254" s="5">
        <v>184256</v>
      </c>
      <c r="Q3254" t="s" s="2">
        <v>5701</v>
      </c>
      <c r="R3254" t="s" s="2">
        <f>_xlfn.IFERROR(INDEX('model_byCAP'!$D$2:$D$377,MATCH(Q3254,'model_byCAP'!$A$2:$A$377,0)),0)</f>
        <v>5702</v>
      </c>
    </row>
    <row r="3255" ht="15.35" customHeight="1">
      <c r="A3255" t="s" s="2">
        <v>6218</v>
      </c>
      <c r="B3255" s="4">
        <v>35444</v>
      </c>
      <c r="C3255" s="5">
        <v>600</v>
      </c>
      <c r="D3255" s="5">
        <v>44</v>
      </c>
      <c r="E3255" s="5">
        <v>45</v>
      </c>
      <c r="F3255" t="s" s="2">
        <v>301</v>
      </c>
      <c r="G3255" t="s" s="2">
        <v>5700</v>
      </c>
      <c r="H3255" s="5">
        <v>376</v>
      </c>
      <c r="I3255" t="s" s="2">
        <v>1991</v>
      </c>
      <c r="J3255" t="s" s="2">
        <v>22</v>
      </c>
      <c r="K3255" t="s" s="2">
        <v>6219</v>
      </c>
      <c r="L3255" t="s" s="2">
        <v>1611</v>
      </c>
      <c r="M3255" s="5">
        <v>696808.4399999999</v>
      </c>
      <c r="N3255" s="5">
        <v>6077316.69</v>
      </c>
      <c r="O3255" t="s" s="2">
        <v>305</v>
      </c>
      <c r="P3255" s="5">
        <v>184403</v>
      </c>
      <c r="Q3255" t="s" s="2">
        <v>5701</v>
      </c>
      <c r="R3255" t="s" s="2">
        <f>_xlfn.IFERROR(INDEX('model_byCAP'!$D$2:$D$377,MATCH(Q3255,'model_byCAP'!$A$2:$A$377,0)),0)</f>
        <v>5702</v>
      </c>
    </row>
    <row r="3256" ht="15.35" customHeight="1">
      <c r="A3256" t="s" s="2">
        <v>6220</v>
      </c>
      <c r="B3256" s="4">
        <v>35444</v>
      </c>
      <c r="C3256" s="5">
        <v>600</v>
      </c>
      <c r="D3256" s="5">
        <v>44</v>
      </c>
      <c r="E3256" s="5">
        <v>45</v>
      </c>
      <c r="F3256" t="s" s="2">
        <v>301</v>
      </c>
      <c r="G3256" t="s" s="2">
        <v>5700</v>
      </c>
      <c r="H3256" s="5">
        <v>376</v>
      </c>
      <c r="I3256" t="s" s="2">
        <v>1991</v>
      </c>
      <c r="J3256" t="s" s="2">
        <v>22</v>
      </c>
      <c r="K3256" t="s" s="2">
        <v>6221</v>
      </c>
      <c r="L3256" t="s" s="2">
        <v>2931</v>
      </c>
      <c r="M3256" s="5">
        <v>696812.64</v>
      </c>
      <c r="N3256" s="5">
        <v>6077116.62</v>
      </c>
      <c r="O3256" t="s" s="2">
        <v>305</v>
      </c>
      <c r="P3256" s="5">
        <v>184404</v>
      </c>
      <c r="Q3256" t="s" s="2">
        <v>5701</v>
      </c>
      <c r="R3256" t="s" s="2">
        <f>_xlfn.IFERROR(INDEX('model_byCAP'!$D$2:$D$377,MATCH(Q3256,'model_byCAP'!$A$2:$A$377,0)),0)</f>
        <v>5702</v>
      </c>
    </row>
    <row r="3257" ht="15.35" customHeight="1">
      <c r="A3257" t="s" s="2">
        <v>6222</v>
      </c>
      <c r="B3257" s="4">
        <v>35439</v>
      </c>
      <c r="C3257" s="5">
        <v>600</v>
      </c>
      <c r="D3257" s="5">
        <v>44</v>
      </c>
      <c r="E3257" s="5">
        <v>42</v>
      </c>
      <c r="F3257" t="s" s="2">
        <v>1989</v>
      </c>
      <c r="G3257" t="s" s="2">
        <v>5962</v>
      </c>
      <c r="H3257" s="5">
        <v>376</v>
      </c>
      <c r="I3257" t="s" s="2">
        <v>1991</v>
      </c>
      <c r="J3257" t="s" s="2">
        <v>22</v>
      </c>
      <c r="K3257" t="s" s="2">
        <v>6223</v>
      </c>
      <c r="L3257" t="s" s="2">
        <v>6224</v>
      </c>
      <c r="M3257" s="5">
        <v>678099.89</v>
      </c>
      <c r="N3257" s="5">
        <v>6084656.16</v>
      </c>
      <c r="O3257" t="s" s="2">
        <v>305</v>
      </c>
      <c r="P3257" s="5">
        <v>184633</v>
      </c>
      <c r="Q3257" t="s" s="2">
        <v>5964</v>
      </c>
      <c r="R3257" t="s" s="2">
        <f>_xlfn.IFERROR(INDEX('model_byCAP'!$D$2:$D$377,MATCH(Q3257,'model_byCAP'!$A$2:$A$377,0)),0)</f>
        <v>5955</v>
      </c>
    </row>
    <row r="3258" ht="15.35" customHeight="1">
      <c r="A3258" t="s" s="2">
        <v>6225</v>
      </c>
      <c r="B3258" s="4">
        <v>35439</v>
      </c>
      <c r="C3258" s="5">
        <v>600</v>
      </c>
      <c r="D3258" s="5">
        <v>44</v>
      </c>
      <c r="E3258" s="5">
        <v>42</v>
      </c>
      <c r="F3258" t="s" s="2">
        <v>1989</v>
      </c>
      <c r="G3258" t="s" s="2">
        <v>5962</v>
      </c>
      <c r="H3258" s="5">
        <v>376</v>
      </c>
      <c r="I3258" t="s" s="2">
        <v>1991</v>
      </c>
      <c r="J3258" t="s" s="2">
        <v>22</v>
      </c>
      <c r="K3258" t="s" s="2">
        <v>6226</v>
      </c>
      <c r="L3258" t="s" s="2">
        <v>6227</v>
      </c>
      <c r="M3258" s="5">
        <v>678586.6</v>
      </c>
      <c r="N3258" s="5">
        <v>6084599.79</v>
      </c>
      <c r="O3258" t="s" s="2">
        <v>305</v>
      </c>
      <c r="P3258" s="5">
        <v>184634</v>
      </c>
      <c r="Q3258" t="s" s="2">
        <v>5964</v>
      </c>
      <c r="R3258" t="s" s="2">
        <f>_xlfn.IFERROR(INDEX('model_byCAP'!$D$2:$D$377,MATCH(Q3258,'model_byCAP'!$A$2:$A$377,0)),0)</f>
        <v>5955</v>
      </c>
    </row>
    <row r="3259" ht="15.35" customHeight="1">
      <c r="A3259" t="s" s="2">
        <v>6228</v>
      </c>
      <c r="B3259" s="4">
        <v>35439</v>
      </c>
      <c r="C3259" s="5">
        <v>600</v>
      </c>
      <c r="D3259" s="5">
        <v>44</v>
      </c>
      <c r="E3259" s="5">
        <v>42</v>
      </c>
      <c r="F3259" t="s" s="2">
        <v>1989</v>
      </c>
      <c r="G3259" t="s" s="2">
        <v>5962</v>
      </c>
      <c r="H3259" s="5">
        <v>376</v>
      </c>
      <c r="I3259" t="s" s="2">
        <v>1991</v>
      </c>
      <c r="J3259" t="s" s="2">
        <v>22</v>
      </c>
      <c r="K3259" t="s" s="2">
        <v>6226</v>
      </c>
      <c r="L3259" t="s" s="2">
        <v>1717</v>
      </c>
      <c r="M3259" s="5">
        <v>679074.04</v>
      </c>
      <c r="N3259" s="5">
        <v>6084544.82</v>
      </c>
      <c r="O3259" t="s" s="2">
        <v>305</v>
      </c>
      <c r="P3259" s="5">
        <v>184635</v>
      </c>
      <c r="Q3259" t="s" s="2">
        <v>5964</v>
      </c>
      <c r="R3259" t="s" s="2">
        <f>_xlfn.IFERROR(INDEX('model_byCAP'!$D$2:$D$377,MATCH(Q3259,'model_byCAP'!$A$2:$A$377,0)),0)</f>
        <v>5955</v>
      </c>
    </row>
    <row r="3260" ht="15.35" customHeight="1">
      <c r="A3260" t="s" s="2">
        <v>6229</v>
      </c>
      <c r="B3260" s="4">
        <v>35439</v>
      </c>
      <c r="C3260" s="5">
        <v>600</v>
      </c>
      <c r="D3260" s="5">
        <v>44</v>
      </c>
      <c r="E3260" s="5">
        <v>42</v>
      </c>
      <c r="F3260" t="s" s="2">
        <v>1989</v>
      </c>
      <c r="G3260" t="s" s="2">
        <v>5962</v>
      </c>
      <c r="H3260" s="5">
        <v>376</v>
      </c>
      <c r="I3260" t="s" s="2">
        <v>1991</v>
      </c>
      <c r="J3260" t="s" s="2">
        <v>22</v>
      </c>
      <c r="K3260" t="s" s="2">
        <v>6216</v>
      </c>
      <c r="L3260" t="s" s="2">
        <v>4420</v>
      </c>
      <c r="M3260" s="5">
        <v>679560.86</v>
      </c>
      <c r="N3260" s="5">
        <v>6084489.21</v>
      </c>
      <c r="O3260" t="s" s="2">
        <v>305</v>
      </c>
      <c r="P3260" s="5">
        <v>184636</v>
      </c>
      <c r="Q3260" t="s" s="2">
        <v>5964</v>
      </c>
      <c r="R3260" t="s" s="2">
        <f>_xlfn.IFERROR(INDEX('model_byCAP'!$D$2:$D$377,MATCH(Q3260,'model_byCAP'!$A$2:$A$377,0)),0)</f>
        <v>5955</v>
      </c>
    </row>
    <row r="3261" ht="15.35" customHeight="1">
      <c r="A3261" t="s" s="2">
        <v>6230</v>
      </c>
      <c r="B3261" s="4">
        <v>35565</v>
      </c>
      <c r="C3261" s="5">
        <v>600</v>
      </c>
      <c r="D3261" s="5">
        <v>38</v>
      </c>
      <c r="E3261" s="5">
        <v>40</v>
      </c>
      <c r="F3261" t="s" s="2">
        <v>1989</v>
      </c>
      <c r="G3261" t="s" s="2">
        <v>6231</v>
      </c>
      <c r="H3261" s="5">
        <v>376</v>
      </c>
      <c r="I3261" t="s" s="2">
        <v>1991</v>
      </c>
      <c r="J3261" t="s" s="2">
        <v>22</v>
      </c>
      <c r="K3261" t="s" s="2">
        <v>6232</v>
      </c>
      <c r="L3261" s="5">
        <v>5</v>
      </c>
      <c r="M3261" s="5">
        <v>695981.5600000001</v>
      </c>
      <c r="N3261" s="5">
        <v>6082200.36</v>
      </c>
      <c r="O3261" t="s" s="2">
        <v>305</v>
      </c>
      <c r="P3261" s="5">
        <v>184735</v>
      </c>
      <c r="Q3261" t="s" s="2">
        <v>6233</v>
      </c>
      <c r="R3261" t="s" s="2">
        <f>_xlfn.IFERROR(INDEX('model_byCAP'!$D$2:$D$377,MATCH(Q3261,'model_byCAP'!$A$2:$A$377,0)),0)</f>
        <v>5955</v>
      </c>
    </row>
    <row r="3262" ht="15.35" customHeight="1">
      <c r="A3262" t="s" s="2">
        <v>6234</v>
      </c>
      <c r="B3262" s="4">
        <v>35580</v>
      </c>
      <c r="C3262" s="5">
        <v>600</v>
      </c>
      <c r="D3262" s="5">
        <v>48</v>
      </c>
      <c r="E3262" s="5">
        <v>46</v>
      </c>
      <c r="F3262" t="s" s="2">
        <v>1746</v>
      </c>
      <c r="G3262" t="s" s="2">
        <v>4302</v>
      </c>
      <c r="H3262" s="5">
        <v>376</v>
      </c>
      <c r="I3262" t="s" s="2">
        <v>1991</v>
      </c>
      <c r="J3262" t="s" s="2">
        <v>22</v>
      </c>
      <c r="K3262" t="s" s="2">
        <v>6235</v>
      </c>
      <c r="L3262" t="s" s="2">
        <v>1165</v>
      </c>
      <c r="M3262" s="5">
        <v>666275.89</v>
      </c>
      <c r="N3262" s="5">
        <v>6073217.89</v>
      </c>
      <c r="O3262" t="s" s="2">
        <v>305</v>
      </c>
      <c r="P3262" s="5">
        <v>184905</v>
      </c>
      <c r="Q3262" t="s" s="2">
        <v>4304</v>
      </c>
      <c r="R3262" t="s" s="2">
        <f>_xlfn.IFERROR(INDEX('model_byCAP'!$D$2:$D$377,MATCH(Q3262,'model_byCAP'!$A$2:$A$377,0)),0)</f>
        <v>2955</v>
      </c>
    </row>
    <row r="3263" ht="15.35" customHeight="1">
      <c r="A3263" t="s" s="2">
        <v>6236</v>
      </c>
      <c r="B3263" s="4">
        <v>35580</v>
      </c>
      <c r="C3263" s="5">
        <v>600</v>
      </c>
      <c r="D3263" s="5">
        <v>44</v>
      </c>
      <c r="E3263" s="5">
        <v>46</v>
      </c>
      <c r="F3263" t="s" s="2">
        <v>1746</v>
      </c>
      <c r="G3263" t="s" s="2">
        <v>4302</v>
      </c>
      <c r="H3263" s="5">
        <v>376</v>
      </c>
      <c r="I3263" t="s" s="2">
        <v>1991</v>
      </c>
      <c r="J3263" t="s" s="2">
        <v>22</v>
      </c>
      <c r="K3263" t="s" s="2">
        <v>6237</v>
      </c>
      <c r="L3263" t="s" s="2">
        <v>2465</v>
      </c>
      <c r="M3263" s="5">
        <v>666246.6800000001</v>
      </c>
      <c r="N3263" s="5">
        <v>6073405.28</v>
      </c>
      <c r="O3263" t="s" s="2">
        <v>305</v>
      </c>
      <c r="P3263" s="5">
        <v>184906</v>
      </c>
      <c r="Q3263" t="s" s="2">
        <v>4304</v>
      </c>
      <c r="R3263" t="s" s="2">
        <f>_xlfn.IFERROR(INDEX('model_byCAP'!$D$2:$D$377,MATCH(Q3263,'model_byCAP'!$A$2:$A$377,0)),0)</f>
        <v>2955</v>
      </c>
    </row>
    <row r="3264" ht="15.35" customHeight="1">
      <c r="A3264" t="s" s="2">
        <v>6238</v>
      </c>
      <c r="B3264" s="4">
        <v>35580</v>
      </c>
      <c r="C3264" s="5">
        <v>600</v>
      </c>
      <c r="D3264" s="5">
        <v>44</v>
      </c>
      <c r="E3264" s="5">
        <v>44</v>
      </c>
      <c r="F3264" t="s" s="2">
        <v>1746</v>
      </c>
      <c r="G3264" t="s" s="2">
        <v>4302</v>
      </c>
      <c r="H3264" s="5">
        <v>376</v>
      </c>
      <c r="I3264" t="s" s="2">
        <v>1991</v>
      </c>
      <c r="J3264" t="s" s="2">
        <v>22</v>
      </c>
      <c r="K3264" t="s" s="2">
        <v>6239</v>
      </c>
      <c r="L3264" t="s" s="2">
        <v>481</v>
      </c>
      <c r="M3264" s="5">
        <v>666218.8</v>
      </c>
      <c r="N3264" s="5">
        <v>6073592.12</v>
      </c>
      <c r="O3264" t="s" s="2">
        <v>305</v>
      </c>
      <c r="P3264" s="5">
        <v>184907</v>
      </c>
      <c r="Q3264" t="s" s="2">
        <v>4304</v>
      </c>
      <c r="R3264" t="s" s="2">
        <f>_xlfn.IFERROR(INDEX('model_byCAP'!$D$2:$D$377,MATCH(Q3264,'model_byCAP'!$A$2:$A$377,0)),0)</f>
        <v>2955</v>
      </c>
    </row>
    <row r="3265" ht="15.35" customHeight="1">
      <c r="A3265" t="s" s="2">
        <v>6240</v>
      </c>
      <c r="B3265" s="4">
        <v>35580</v>
      </c>
      <c r="C3265" s="5">
        <v>600</v>
      </c>
      <c r="D3265" s="5">
        <v>48</v>
      </c>
      <c r="E3265" s="5">
        <v>46</v>
      </c>
      <c r="F3265" t="s" s="2">
        <v>1746</v>
      </c>
      <c r="G3265" t="s" s="2">
        <v>4302</v>
      </c>
      <c r="H3265" s="5">
        <v>376</v>
      </c>
      <c r="I3265" t="s" s="2">
        <v>1991</v>
      </c>
      <c r="J3265" t="s" s="2">
        <v>22</v>
      </c>
      <c r="K3265" t="s" s="2">
        <v>6235</v>
      </c>
      <c r="L3265" t="s" s="2">
        <v>6241</v>
      </c>
      <c r="M3265" s="5">
        <v>666189.08</v>
      </c>
      <c r="N3265" s="5">
        <v>6073781.26</v>
      </c>
      <c r="O3265" t="s" s="2">
        <v>305</v>
      </c>
      <c r="P3265" s="5">
        <v>184908</v>
      </c>
      <c r="Q3265" t="s" s="2">
        <v>4304</v>
      </c>
      <c r="R3265" t="s" s="2">
        <f>_xlfn.IFERROR(INDEX('model_byCAP'!$D$2:$D$377,MATCH(Q3265,'model_byCAP'!$A$2:$A$377,0)),0)</f>
        <v>2955</v>
      </c>
    </row>
    <row r="3266" ht="15.35" customHeight="1">
      <c r="A3266" t="s" s="2">
        <v>6242</v>
      </c>
      <c r="B3266" s="4">
        <v>35646</v>
      </c>
      <c r="C3266" s="5">
        <v>600</v>
      </c>
      <c r="D3266" s="5">
        <v>44</v>
      </c>
      <c r="E3266" s="5">
        <v>35</v>
      </c>
      <c r="F3266" t="s" s="2">
        <v>1989</v>
      </c>
      <c r="G3266" t="s" s="2">
        <v>5962</v>
      </c>
      <c r="H3266" s="5">
        <v>376</v>
      </c>
      <c r="I3266" t="s" s="2">
        <v>1991</v>
      </c>
      <c r="J3266" t="s" s="2">
        <v>22</v>
      </c>
      <c r="K3266" t="s" s="2">
        <v>6243</v>
      </c>
      <c r="L3266" s="5">
        <v>2</v>
      </c>
      <c r="M3266" s="5">
        <v>693254.3199999999</v>
      </c>
      <c r="N3266" s="5">
        <v>6068640.2</v>
      </c>
      <c r="O3266" t="s" s="2">
        <v>305</v>
      </c>
      <c r="P3266" s="5">
        <v>190230</v>
      </c>
      <c r="Q3266" t="s" s="2">
        <v>5964</v>
      </c>
      <c r="R3266" t="s" s="2">
        <f>_xlfn.IFERROR(INDEX('model_byCAP'!$D$2:$D$377,MATCH(Q3266,'model_byCAP'!$A$2:$A$377,0)),0)</f>
        <v>5955</v>
      </c>
    </row>
    <row r="3267" ht="15.35" customHeight="1">
      <c r="A3267" t="s" s="2">
        <v>6244</v>
      </c>
      <c r="B3267" s="4">
        <v>35646</v>
      </c>
      <c r="C3267" s="5">
        <v>600</v>
      </c>
      <c r="D3267" s="5">
        <v>44</v>
      </c>
      <c r="E3267" s="5">
        <v>35</v>
      </c>
      <c r="F3267" t="s" s="2">
        <v>1989</v>
      </c>
      <c r="G3267" t="s" s="2">
        <v>5962</v>
      </c>
      <c r="H3267" s="5">
        <v>376</v>
      </c>
      <c r="I3267" t="s" s="2">
        <v>1991</v>
      </c>
      <c r="J3267" t="s" s="2">
        <v>22</v>
      </c>
      <c r="K3267" t="s" s="2">
        <v>6245</v>
      </c>
      <c r="L3267" t="s" s="2">
        <v>524</v>
      </c>
      <c r="M3267" s="5">
        <v>693518.22</v>
      </c>
      <c r="N3267" s="5">
        <v>6068700.75</v>
      </c>
      <c r="O3267" t="s" s="2">
        <v>305</v>
      </c>
      <c r="P3267" s="5">
        <v>190231</v>
      </c>
      <c r="Q3267" t="s" s="2">
        <v>5964</v>
      </c>
      <c r="R3267" t="s" s="2">
        <f>_xlfn.IFERROR(INDEX('model_byCAP'!$D$2:$D$377,MATCH(Q3267,'model_byCAP'!$A$2:$A$377,0)),0)</f>
        <v>5955</v>
      </c>
    </row>
    <row r="3268" ht="15.35" customHeight="1">
      <c r="A3268" t="s" s="2">
        <v>6246</v>
      </c>
      <c r="B3268" s="4">
        <v>35646</v>
      </c>
      <c r="C3268" s="5">
        <v>600</v>
      </c>
      <c r="D3268" s="5">
        <v>44</v>
      </c>
      <c r="E3268" s="5">
        <v>35</v>
      </c>
      <c r="F3268" t="s" s="2">
        <v>1989</v>
      </c>
      <c r="G3268" t="s" s="2">
        <v>5962</v>
      </c>
      <c r="H3268" s="5">
        <v>376</v>
      </c>
      <c r="I3268" t="s" s="2">
        <v>1991</v>
      </c>
      <c r="J3268" t="s" s="2">
        <v>22</v>
      </c>
      <c r="K3268" t="s" s="2">
        <v>6245</v>
      </c>
      <c r="L3268" t="s" s="2">
        <v>6247</v>
      </c>
      <c r="M3268" s="5">
        <v>693781.16</v>
      </c>
      <c r="N3268" s="5">
        <v>6068760.88</v>
      </c>
      <c r="O3268" t="s" s="2">
        <v>305</v>
      </c>
      <c r="P3268" s="5">
        <v>190232</v>
      </c>
      <c r="Q3268" t="s" s="2">
        <v>5964</v>
      </c>
      <c r="R3268" t="s" s="2">
        <f>_xlfn.IFERROR(INDEX('model_byCAP'!$D$2:$D$377,MATCH(Q3268,'model_byCAP'!$A$2:$A$377,0)),0)</f>
        <v>5955</v>
      </c>
    </row>
    <row r="3269" ht="15.35" customHeight="1">
      <c r="A3269" t="s" s="2">
        <v>6248</v>
      </c>
      <c r="B3269" s="4">
        <v>35671</v>
      </c>
      <c r="C3269" s="5">
        <v>600</v>
      </c>
      <c r="D3269" s="5">
        <v>44</v>
      </c>
      <c r="E3269" s="5">
        <v>35</v>
      </c>
      <c r="F3269" t="s" s="2">
        <v>1989</v>
      </c>
      <c r="G3269" t="s" s="2">
        <v>6053</v>
      </c>
      <c r="H3269" s="5">
        <v>376</v>
      </c>
      <c r="I3269" t="s" s="2">
        <v>1991</v>
      </c>
      <c r="J3269" t="s" s="2">
        <v>22</v>
      </c>
      <c r="K3269" t="s" s="2">
        <v>6249</v>
      </c>
      <c r="L3269" t="s" s="2">
        <v>6250</v>
      </c>
      <c r="M3269" s="5">
        <v>686649.89</v>
      </c>
      <c r="N3269" s="5">
        <v>6063014.77</v>
      </c>
      <c r="O3269" t="s" s="2">
        <v>305</v>
      </c>
      <c r="P3269" s="5">
        <v>190321</v>
      </c>
      <c r="Q3269" t="s" s="2">
        <v>6054</v>
      </c>
      <c r="R3269" t="s" s="2">
        <f>_xlfn.IFERROR(INDEX('model_byCAP'!$D$2:$D$377,MATCH(Q3269,'model_byCAP'!$A$2:$A$377,0)),0)</f>
        <v>3178</v>
      </c>
    </row>
    <row r="3270" ht="15.35" customHeight="1">
      <c r="A3270" t="s" s="2">
        <v>6251</v>
      </c>
      <c r="B3270" s="4">
        <v>35727</v>
      </c>
      <c r="C3270" s="5">
        <v>600</v>
      </c>
      <c r="D3270" s="5">
        <v>44</v>
      </c>
      <c r="E3270" s="5">
        <v>35</v>
      </c>
      <c r="F3270" t="s" s="2">
        <v>301</v>
      </c>
      <c r="G3270" t="s" s="2">
        <v>5959</v>
      </c>
      <c r="H3270" s="5">
        <v>376</v>
      </c>
      <c r="I3270" t="s" s="2">
        <v>1991</v>
      </c>
      <c r="J3270" t="s" s="2">
        <v>22</v>
      </c>
      <c r="K3270" t="s" s="2">
        <v>6252</v>
      </c>
      <c r="L3270" t="s" s="2">
        <v>4147</v>
      </c>
      <c r="M3270" s="5">
        <v>684376.37</v>
      </c>
      <c r="N3270" s="5">
        <v>6081791.73</v>
      </c>
      <c r="O3270" t="s" s="2">
        <v>305</v>
      </c>
      <c r="P3270" s="5">
        <v>190340</v>
      </c>
      <c r="Q3270" t="s" s="2">
        <v>5960</v>
      </c>
      <c r="R3270" t="s" s="2">
        <f>_xlfn.IFERROR(INDEX('model_byCAP'!$D$2:$D$377,MATCH(Q3270,'model_byCAP'!$A$2:$A$377,0)),0)</f>
        <v>5702</v>
      </c>
    </row>
    <row r="3271" ht="15.35" customHeight="1">
      <c r="A3271" t="s" s="2">
        <v>6253</v>
      </c>
      <c r="B3271" s="4">
        <v>35858</v>
      </c>
      <c r="C3271" s="5">
        <v>600</v>
      </c>
      <c r="D3271" s="5">
        <v>42</v>
      </c>
      <c r="E3271" s="5">
        <v>35</v>
      </c>
      <c r="F3271" t="s" s="2">
        <v>1989</v>
      </c>
      <c r="G3271" t="s" s="2">
        <v>6172</v>
      </c>
      <c r="H3271" s="5">
        <v>376</v>
      </c>
      <c r="I3271" t="s" s="2">
        <v>1991</v>
      </c>
      <c r="J3271" t="s" s="2">
        <v>22</v>
      </c>
      <c r="K3271" t="s" s="2">
        <v>6249</v>
      </c>
      <c r="L3271" t="s" s="2">
        <v>1196</v>
      </c>
      <c r="M3271" s="5">
        <v>687122.17</v>
      </c>
      <c r="N3271" s="5">
        <v>6066162.57</v>
      </c>
      <c r="O3271" t="s" s="2">
        <v>305</v>
      </c>
      <c r="P3271" s="5">
        <v>190689</v>
      </c>
      <c r="Q3271" t="s" s="2">
        <v>6173</v>
      </c>
      <c r="R3271" t="s" s="2">
        <f>_xlfn.IFERROR(INDEX('model_byCAP'!$D$2:$D$377,MATCH(Q3271,'model_byCAP'!$A$2:$A$377,0)),0)</f>
        <v>6174</v>
      </c>
    </row>
    <row r="3272" ht="15.35" customHeight="1">
      <c r="A3272" t="s" s="2">
        <v>6254</v>
      </c>
      <c r="B3272" s="4">
        <v>36143</v>
      </c>
      <c r="C3272" s="5">
        <v>600</v>
      </c>
      <c r="D3272" s="5">
        <v>44</v>
      </c>
      <c r="E3272" s="5">
        <v>35</v>
      </c>
      <c r="F3272" t="s" s="2">
        <v>301</v>
      </c>
      <c r="G3272" t="s" s="2">
        <v>5700</v>
      </c>
      <c r="H3272" s="5">
        <v>376</v>
      </c>
      <c r="I3272" t="s" s="2">
        <v>1991</v>
      </c>
      <c r="J3272" t="s" s="2">
        <v>22</v>
      </c>
      <c r="K3272" t="s" s="2">
        <v>6219</v>
      </c>
      <c r="L3272" t="s" s="2">
        <v>2356</v>
      </c>
      <c r="M3272" s="5">
        <v>697777.38</v>
      </c>
      <c r="N3272" s="5">
        <v>6079256.35</v>
      </c>
      <c r="O3272" t="s" s="2">
        <v>305</v>
      </c>
      <c r="P3272" s="5">
        <v>192094</v>
      </c>
      <c r="Q3272" t="s" s="2">
        <v>5701</v>
      </c>
      <c r="R3272" t="s" s="2">
        <f>_xlfn.IFERROR(INDEX('model_byCAP'!$D$2:$D$377,MATCH(Q3272,'model_byCAP'!$A$2:$A$377,0)),0)</f>
        <v>5702</v>
      </c>
    </row>
    <row r="3273" ht="15.35" customHeight="1">
      <c r="A3273" t="s" s="2">
        <v>6255</v>
      </c>
      <c r="B3273" s="4">
        <v>36272</v>
      </c>
      <c r="C3273" s="5">
        <v>600</v>
      </c>
      <c r="D3273" s="5">
        <v>44</v>
      </c>
      <c r="E3273" s="5">
        <v>35</v>
      </c>
      <c r="F3273" t="s" s="2">
        <v>1989</v>
      </c>
      <c r="G3273" t="s" s="2">
        <v>6035</v>
      </c>
      <c r="H3273" s="5">
        <v>376</v>
      </c>
      <c r="I3273" t="s" s="2">
        <v>1991</v>
      </c>
      <c r="J3273" t="s" s="2">
        <v>22</v>
      </c>
      <c r="K3273" t="s" s="2">
        <v>6249</v>
      </c>
      <c r="L3273" t="s" s="2">
        <v>394</v>
      </c>
      <c r="M3273" s="5">
        <v>685713.46</v>
      </c>
      <c r="N3273" s="5">
        <v>6062355.65</v>
      </c>
      <c r="O3273" t="s" s="2">
        <v>305</v>
      </c>
      <c r="P3273" s="5">
        <v>192929</v>
      </c>
      <c r="Q3273" t="s" s="2">
        <v>6037</v>
      </c>
      <c r="R3273" t="s" s="2">
        <f>_xlfn.IFERROR(INDEX('model_byCAP'!$D$2:$D$377,MATCH(Q3273,'model_byCAP'!$A$2:$A$377,0)),0)</f>
        <v>5955</v>
      </c>
    </row>
    <row r="3274" ht="15.35" customHeight="1">
      <c r="A3274" t="s" s="2">
        <v>6256</v>
      </c>
      <c r="B3274" s="4">
        <v>36272</v>
      </c>
      <c r="C3274" s="5">
        <v>600</v>
      </c>
      <c r="D3274" s="5">
        <v>44</v>
      </c>
      <c r="E3274" s="5">
        <v>35</v>
      </c>
      <c r="F3274" t="s" s="2">
        <v>1989</v>
      </c>
      <c r="G3274" t="s" s="2">
        <v>6035</v>
      </c>
      <c r="H3274" s="5">
        <v>376</v>
      </c>
      <c r="I3274" t="s" s="2">
        <v>1991</v>
      </c>
      <c r="J3274" t="s" s="2">
        <v>22</v>
      </c>
      <c r="K3274" t="s" s="2">
        <v>6257</v>
      </c>
      <c r="L3274" t="s" s="2">
        <v>2931</v>
      </c>
      <c r="M3274" s="5">
        <v>686163.84</v>
      </c>
      <c r="N3274" s="5">
        <v>6061011.79</v>
      </c>
      <c r="O3274" t="s" s="2">
        <v>305</v>
      </c>
      <c r="P3274" s="5">
        <v>192931</v>
      </c>
      <c r="Q3274" t="s" s="2">
        <v>6037</v>
      </c>
      <c r="R3274" t="s" s="2">
        <f>_xlfn.IFERROR(INDEX('model_byCAP'!$D$2:$D$377,MATCH(Q3274,'model_byCAP'!$A$2:$A$377,0)),0)</f>
        <v>5955</v>
      </c>
    </row>
    <row r="3275" ht="15.35" customHeight="1">
      <c r="A3275" t="s" s="2">
        <v>6258</v>
      </c>
      <c r="B3275" s="4">
        <v>36272</v>
      </c>
      <c r="C3275" s="5">
        <v>600</v>
      </c>
      <c r="D3275" s="5">
        <v>44</v>
      </c>
      <c r="E3275" s="5">
        <v>35</v>
      </c>
      <c r="F3275" t="s" s="2">
        <v>1989</v>
      </c>
      <c r="G3275" t="s" s="2">
        <v>6035</v>
      </c>
      <c r="H3275" s="5">
        <v>376</v>
      </c>
      <c r="I3275" t="s" s="2">
        <v>1991</v>
      </c>
      <c r="J3275" t="s" s="2">
        <v>22</v>
      </c>
      <c r="K3275" t="s" s="2">
        <v>6249</v>
      </c>
      <c r="L3275" t="s" s="2">
        <v>2348</v>
      </c>
      <c r="M3275" s="5">
        <v>685229.5699999999</v>
      </c>
      <c r="N3275" s="5">
        <v>6061411.34</v>
      </c>
      <c r="O3275" t="s" s="2">
        <v>305</v>
      </c>
      <c r="P3275" s="5">
        <v>192932</v>
      </c>
      <c r="Q3275" t="s" s="2">
        <v>6037</v>
      </c>
      <c r="R3275" t="s" s="2">
        <f>_xlfn.IFERROR(INDEX('model_byCAP'!$D$2:$D$377,MATCH(Q3275,'model_byCAP'!$A$2:$A$377,0)),0)</f>
        <v>5955</v>
      </c>
    </row>
    <row r="3276" ht="15.35" customHeight="1">
      <c r="A3276" t="s" s="2">
        <v>6259</v>
      </c>
      <c r="B3276" s="4">
        <v>36535</v>
      </c>
      <c r="C3276" s="5">
        <v>600</v>
      </c>
      <c r="D3276" s="5">
        <v>44</v>
      </c>
      <c r="E3276" s="5">
        <v>35</v>
      </c>
      <c r="F3276" t="s" s="2">
        <v>1989</v>
      </c>
      <c r="G3276" t="s" s="2">
        <v>5962</v>
      </c>
      <c r="H3276" s="5">
        <v>376</v>
      </c>
      <c r="I3276" t="s" s="2">
        <v>1991</v>
      </c>
      <c r="J3276" t="s" s="2">
        <v>22</v>
      </c>
      <c r="K3276" t="s" s="2">
        <v>6260</v>
      </c>
      <c r="L3276" t="s" s="2">
        <v>518</v>
      </c>
      <c r="M3276" s="5">
        <v>686541.73</v>
      </c>
      <c r="N3276" s="5">
        <v>6062008.97</v>
      </c>
      <c r="O3276" t="s" s="2">
        <v>305</v>
      </c>
      <c r="P3276" s="5">
        <v>193853</v>
      </c>
      <c r="Q3276" t="s" s="2">
        <v>5964</v>
      </c>
      <c r="R3276" t="s" s="2">
        <f>_xlfn.IFERROR(INDEX('model_byCAP'!$D$2:$D$377,MATCH(Q3276,'model_byCAP'!$A$2:$A$377,0)),0)</f>
        <v>5955</v>
      </c>
    </row>
    <row r="3277" ht="15.35" customHeight="1">
      <c r="A3277" t="s" s="2">
        <v>6261</v>
      </c>
      <c r="B3277" s="4">
        <v>36865</v>
      </c>
      <c r="C3277" s="5">
        <v>600</v>
      </c>
      <c r="D3277" s="5">
        <v>44</v>
      </c>
      <c r="E3277" s="5">
        <v>35</v>
      </c>
      <c r="F3277" t="s" s="2">
        <v>1989</v>
      </c>
      <c r="G3277" t="s" s="2">
        <v>6085</v>
      </c>
      <c r="H3277" s="5">
        <v>376</v>
      </c>
      <c r="I3277" t="s" s="2">
        <v>1991</v>
      </c>
      <c r="J3277" t="s" s="2">
        <v>22</v>
      </c>
      <c r="K3277" t="s" s="2">
        <v>6249</v>
      </c>
      <c r="L3277" t="s" s="2">
        <v>524</v>
      </c>
      <c r="M3277" s="5">
        <v>685747.13</v>
      </c>
      <c r="N3277" s="5">
        <v>6062564.04</v>
      </c>
      <c r="O3277" t="s" s="2">
        <v>305</v>
      </c>
      <c r="P3277" s="5">
        <v>195509</v>
      </c>
      <c r="Q3277" t="s" s="2">
        <v>6087</v>
      </c>
      <c r="R3277" t="s" s="2">
        <f>_xlfn.IFERROR(INDEX('model_byCAP'!$D$2:$D$377,MATCH(Q3277,'model_byCAP'!$A$2:$A$377,0)),0)</f>
        <v>5955</v>
      </c>
    </row>
    <row r="3278" ht="15.35" customHeight="1">
      <c r="A3278" t="s" s="2">
        <v>6262</v>
      </c>
      <c r="B3278" s="4">
        <v>36865</v>
      </c>
      <c r="C3278" s="5">
        <v>600</v>
      </c>
      <c r="D3278" s="5">
        <v>44</v>
      </c>
      <c r="E3278" s="5">
        <v>35</v>
      </c>
      <c r="F3278" t="s" s="2">
        <v>1989</v>
      </c>
      <c r="G3278" t="s" s="2">
        <v>6184</v>
      </c>
      <c r="H3278" s="5">
        <v>376</v>
      </c>
      <c r="I3278" t="s" s="2">
        <v>1991</v>
      </c>
      <c r="J3278" t="s" s="2">
        <v>22</v>
      </c>
      <c r="K3278" t="s" s="2">
        <v>6263</v>
      </c>
      <c r="L3278" t="s" s="2">
        <v>524</v>
      </c>
      <c r="M3278" s="5">
        <v>685783.8199999999</v>
      </c>
      <c r="N3278" s="5">
        <v>6062791.81</v>
      </c>
      <c r="O3278" t="s" s="2">
        <v>305</v>
      </c>
      <c r="P3278" s="5">
        <v>195510</v>
      </c>
      <c r="Q3278" t="s" s="2">
        <v>6187</v>
      </c>
      <c r="R3278" t="s" s="2">
        <f>_xlfn.IFERROR(INDEX('model_byCAP'!$D$2:$D$377,MATCH(Q3278,'model_byCAP'!$A$2:$A$377,0)),0)</f>
        <v>6188</v>
      </c>
    </row>
    <row r="3279" ht="15.35" customHeight="1">
      <c r="A3279" t="s" s="2">
        <v>6264</v>
      </c>
      <c r="B3279" s="4">
        <v>36865</v>
      </c>
      <c r="C3279" s="5">
        <v>600</v>
      </c>
      <c r="D3279" s="5">
        <v>44</v>
      </c>
      <c r="E3279" s="5">
        <v>35</v>
      </c>
      <c r="F3279" t="s" s="2">
        <v>1989</v>
      </c>
      <c r="G3279" t="s" s="2">
        <v>6085</v>
      </c>
      <c r="H3279" s="5">
        <v>376</v>
      </c>
      <c r="I3279" t="s" s="2">
        <v>1991</v>
      </c>
      <c r="J3279" t="s" s="2">
        <v>22</v>
      </c>
      <c r="K3279" t="s" s="2">
        <v>3459</v>
      </c>
      <c r="L3279" t="s" s="2">
        <v>394</v>
      </c>
      <c r="M3279" s="5">
        <v>685679.55</v>
      </c>
      <c r="N3279" s="5">
        <v>6062147.31</v>
      </c>
      <c r="O3279" t="s" s="2">
        <v>305</v>
      </c>
      <c r="P3279" s="5">
        <v>195508</v>
      </c>
      <c r="Q3279" t="s" s="2">
        <v>6087</v>
      </c>
      <c r="R3279" t="s" s="2">
        <f>_xlfn.IFERROR(INDEX('model_byCAP'!$D$2:$D$377,MATCH(Q3279,'model_byCAP'!$A$2:$A$377,0)),0)</f>
        <v>5955</v>
      </c>
    </row>
    <row r="3280" ht="15.35" customHeight="1">
      <c r="A3280" t="s" s="2">
        <v>6265</v>
      </c>
      <c r="B3280" s="4">
        <v>35690</v>
      </c>
      <c r="C3280" s="5">
        <v>600</v>
      </c>
      <c r="D3280" s="5">
        <v>42</v>
      </c>
      <c r="E3280" s="5">
        <v>35</v>
      </c>
      <c r="F3280" t="s" s="2">
        <v>301</v>
      </c>
      <c r="G3280" t="s" s="2">
        <v>6100</v>
      </c>
      <c r="H3280" s="5">
        <v>376</v>
      </c>
      <c r="I3280" t="s" s="2">
        <v>1991</v>
      </c>
      <c r="J3280" t="s" s="2">
        <v>22</v>
      </c>
      <c r="K3280" t="s" s="2">
        <v>6266</v>
      </c>
      <c r="L3280" t="s" s="2">
        <v>394</v>
      </c>
      <c r="M3280" s="5">
        <v>682782.59</v>
      </c>
      <c r="N3280" s="5">
        <v>6083669.11</v>
      </c>
      <c r="O3280" t="s" s="2">
        <v>305</v>
      </c>
      <c r="P3280" s="5">
        <v>2120913</v>
      </c>
      <c r="Q3280" t="s" s="2">
        <v>6102</v>
      </c>
      <c r="R3280" t="s" s="2">
        <f>_xlfn.IFERROR(INDEX('model_byCAP'!$D$2:$D$377,MATCH(Q3280,'model_byCAP'!$A$2:$A$377,0)),0)</f>
        <v>6103</v>
      </c>
    </row>
    <row r="3281" ht="15.35" customHeight="1">
      <c r="A3281" t="s" s="2">
        <v>6267</v>
      </c>
      <c r="B3281" s="4">
        <v>35947</v>
      </c>
      <c r="C3281" s="5">
        <v>600</v>
      </c>
      <c r="D3281" s="5">
        <v>42</v>
      </c>
      <c r="E3281" s="5">
        <v>41.5</v>
      </c>
      <c r="F3281" t="s" s="2">
        <v>4716</v>
      </c>
      <c r="G3281" t="s" s="2">
        <v>6268</v>
      </c>
      <c r="H3281" s="5">
        <v>390</v>
      </c>
      <c r="I3281" t="s" s="2">
        <v>46</v>
      </c>
      <c r="J3281" t="s" s="2">
        <v>22</v>
      </c>
      <c r="K3281" t="s" s="2">
        <v>1992</v>
      </c>
      <c r="L3281" t="s" s="2">
        <v>374</v>
      </c>
      <c r="M3281" s="5">
        <v>710852.12</v>
      </c>
      <c r="N3281" s="5">
        <v>6095067.34</v>
      </c>
      <c r="O3281" t="s" s="2">
        <v>305</v>
      </c>
      <c r="P3281" t="s" s="2">
        <v>42</v>
      </c>
      <c r="Q3281" t="s" s="2">
        <v>6269</v>
      </c>
      <c r="R3281" t="s" s="2">
        <f>_xlfn.IFERROR(INDEX('model_byCAP'!$D$2:$D$377,MATCH(Q3281,'model_byCAP'!$A$2:$A$377,0)),0)</f>
        <v>6270</v>
      </c>
    </row>
    <row r="3282" ht="15.35" customHeight="1">
      <c r="A3282" t="s" s="2">
        <v>6271</v>
      </c>
      <c r="B3282" s="4">
        <v>35628</v>
      </c>
      <c r="C3282" s="5">
        <v>600</v>
      </c>
      <c r="D3282" s="5">
        <v>43</v>
      </c>
      <c r="E3282" s="5">
        <v>44.5</v>
      </c>
      <c r="F3282" t="s" s="2">
        <v>42</v>
      </c>
      <c r="G3282" t="s" s="2">
        <v>42</v>
      </c>
      <c r="H3282" s="5">
        <v>390</v>
      </c>
      <c r="I3282" t="s" s="2">
        <v>46</v>
      </c>
      <c r="J3282" t="s" s="2">
        <v>22</v>
      </c>
      <c r="K3282" t="s" s="2">
        <v>6272</v>
      </c>
      <c r="L3282" t="s" s="2">
        <v>396</v>
      </c>
      <c r="M3282" s="5">
        <v>711659.12</v>
      </c>
      <c r="N3282" s="5">
        <v>6101627.87</v>
      </c>
      <c r="O3282" t="s" s="2">
        <v>305</v>
      </c>
      <c r="P3282" s="5">
        <v>190143</v>
      </c>
      <c r="Q3282" t="s" s="2">
        <v>43</v>
      </c>
      <c r="R3282" s="5">
        <f>_xlfn.IFERROR(INDEX('model_byCAP'!$D$2:$D$377,MATCH(Q3282,'model_byCAP'!$A$2:$A$377,0)),0)</f>
        <v>0</v>
      </c>
    </row>
    <row r="3283" ht="15.35" customHeight="1">
      <c r="A3283" t="s" s="2">
        <v>6273</v>
      </c>
      <c r="B3283" s="4">
        <v>35628</v>
      </c>
      <c r="C3283" s="5">
        <v>600</v>
      </c>
      <c r="D3283" s="5">
        <v>43</v>
      </c>
      <c r="E3283" s="5">
        <v>45</v>
      </c>
      <c r="F3283" t="s" s="2">
        <v>42</v>
      </c>
      <c r="G3283" t="s" s="2">
        <v>42</v>
      </c>
      <c r="H3283" s="5">
        <v>390</v>
      </c>
      <c r="I3283" t="s" s="2">
        <v>46</v>
      </c>
      <c r="J3283" t="s" s="2">
        <v>22</v>
      </c>
      <c r="K3283" t="s" s="2">
        <v>6274</v>
      </c>
      <c r="L3283" t="s" s="2">
        <v>518</v>
      </c>
      <c r="M3283" s="5">
        <v>711469</v>
      </c>
      <c r="N3283" s="5">
        <v>6101626.74</v>
      </c>
      <c r="O3283" t="s" s="2">
        <v>305</v>
      </c>
      <c r="P3283" s="5">
        <v>190144</v>
      </c>
      <c r="Q3283" t="s" s="2">
        <v>43</v>
      </c>
      <c r="R3283" s="5">
        <f>_xlfn.IFERROR(INDEX('model_byCAP'!$D$2:$D$377,MATCH(Q3283,'model_byCAP'!$A$2:$A$377,0)),0)</f>
        <v>0</v>
      </c>
    </row>
    <row r="3284" ht="15.35" customHeight="1">
      <c r="A3284" t="s" s="2">
        <v>6275</v>
      </c>
      <c r="B3284" s="4">
        <v>35628</v>
      </c>
      <c r="C3284" s="5">
        <v>600</v>
      </c>
      <c r="D3284" s="5">
        <v>43</v>
      </c>
      <c r="E3284" s="5">
        <v>44.5</v>
      </c>
      <c r="F3284" t="s" s="2">
        <v>42</v>
      </c>
      <c r="G3284" t="s" s="2">
        <v>42</v>
      </c>
      <c r="H3284" s="5">
        <v>390</v>
      </c>
      <c r="I3284" t="s" s="2">
        <v>46</v>
      </c>
      <c r="J3284" t="s" s="2">
        <v>22</v>
      </c>
      <c r="K3284" t="s" s="2">
        <v>6276</v>
      </c>
      <c r="L3284" t="s" s="2">
        <v>2356</v>
      </c>
      <c r="M3284" s="5">
        <v>711279.09</v>
      </c>
      <c r="N3284" s="5">
        <v>6101626.41</v>
      </c>
      <c r="O3284" t="s" s="2">
        <v>305</v>
      </c>
      <c r="P3284" s="5">
        <v>190145</v>
      </c>
      <c r="Q3284" t="s" s="2">
        <v>43</v>
      </c>
      <c r="R3284" s="5">
        <f>_xlfn.IFERROR(INDEX('model_byCAP'!$D$2:$D$377,MATCH(Q3284,'model_byCAP'!$A$2:$A$377,0)),0)</f>
        <v>0</v>
      </c>
    </row>
    <row r="3285" ht="15.35" customHeight="1">
      <c r="A3285" t="s" s="2">
        <v>6277</v>
      </c>
      <c r="B3285" s="4">
        <v>35958</v>
      </c>
      <c r="C3285" s="5">
        <v>600</v>
      </c>
      <c r="D3285" s="5">
        <v>42</v>
      </c>
      <c r="E3285" s="5">
        <v>41.5</v>
      </c>
      <c r="F3285" t="s" s="2">
        <v>301</v>
      </c>
      <c r="G3285" t="s" s="2">
        <v>6278</v>
      </c>
      <c r="H3285" s="5">
        <v>390</v>
      </c>
      <c r="I3285" t="s" s="2">
        <v>46</v>
      </c>
      <c r="J3285" t="s" s="2">
        <v>22</v>
      </c>
      <c r="K3285" t="s" s="2">
        <v>6279</v>
      </c>
      <c r="L3285" t="s" s="2">
        <v>2926</v>
      </c>
      <c r="M3285" s="5">
        <v>710688.1899999999</v>
      </c>
      <c r="N3285" s="5">
        <v>6095082.9</v>
      </c>
      <c r="O3285" t="s" s="2">
        <v>305</v>
      </c>
      <c r="P3285" s="5">
        <v>191620</v>
      </c>
      <c r="Q3285" t="s" s="2">
        <v>6280</v>
      </c>
      <c r="R3285" t="s" s="2">
        <f>_xlfn.IFERROR(INDEX('model_byCAP'!$D$2:$D$377,MATCH(Q3285,'model_byCAP'!$A$2:$A$377,0)),0)</f>
        <v>6103</v>
      </c>
    </row>
    <row r="3286" ht="15.35" customHeight="1">
      <c r="A3286" t="s" s="2">
        <v>6281</v>
      </c>
      <c r="B3286" s="4">
        <v>35950</v>
      </c>
      <c r="C3286" s="5">
        <v>600</v>
      </c>
      <c r="D3286" s="5">
        <v>42</v>
      </c>
      <c r="E3286" s="5">
        <v>45</v>
      </c>
      <c r="F3286" t="s" s="2">
        <v>4716</v>
      </c>
      <c r="G3286" t="s" s="2">
        <v>6282</v>
      </c>
      <c r="H3286" s="5">
        <v>390</v>
      </c>
      <c r="I3286" t="s" s="2">
        <v>46</v>
      </c>
      <c r="J3286" t="s" s="2">
        <v>22</v>
      </c>
      <c r="K3286" t="s" s="2">
        <v>6283</v>
      </c>
      <c r="L3286" t="s" s="2">
        <v>2078</v>
      </c>
      <c r="M3286" s="5">
        <v>711016.6</v>
      </c>
      <c r="N3286" s="5">
        <v>6095052.83</v>
      </c>
      <c r="O3286" t="s" s="2">
        <v>305</v>
      </c>
      <c r="P3286" s="5">
        <v>191621</v>
      </c>
      <c r="Q3286" t="s" s="2">
        <v>6284</v>
      </c>
      <c r="R3286" t="s" s="2">
        <f>_xlfn.IFERROR(INDEX('model_byCAP'!$D$2:$D$377,MATCH(Q3286,'model_byCAP'!$A$2:$A$377,0)),0)</f>
        <v>6270</v>
      </c>
    </row>
    <row r="3287" ht="15.35" customHeight="1">
      <c r="A3287" t="s" s="2">
        <v>6285</v>
      </c>
      <c r="B3287" s="4">
        <v>34973</v>
      </c>
      <c r="C3287" s="5">
        <v>600</v>
      </c>
      <c r="D3287" s="5">
        <v>43</v>
      </c>
      <c r="E3287" s="5">
        <v>46</v>
      </c>
      <c r="F3287" t="s" s="2">
        <v>1746</v>
      </c>
      <c r="G3287" t="s" s="2">
        <v>6286</v>
      </c>
      <c r="H3287" s="5">
        <v>410</v>
      </c>
      <c r="I3287" t="s" s="2">
        <v>4278</v>
      </c>
      <c r="J3287" t="s" s="2">
        <v>22</v>
      </c>
      <c r="K3287" t="s" s="2">
        <v>6287</v>
      </c>
      <c r="L3287" t="s" s="2">
        <v>524</v>
      </c>
      <c r="M3287" s="5">
        <v>559139.01</v>
      </c>
      <c r="N3287" s="5">
        <v>6146765.67</v>
      </c>
      <c r="O3287" t="s" s="2">
        <v>305</v>
      </c>
      <c r="P3287" s="5">
        <v>99087</v>
      </c>
      <c r="Q3287" t="s" s="2">
        <v>6288</v>
      </c>
      <c r="R3287" t="s" s="2">
        <f>_xlfn.IFERROR(INDEX('model_byCAP'!$D$2:$D$377,MATCH(Q3287,'model_byCAP'!$A$2:$A$377,0)),0)</f>
        <v>2955</v>
      </c>
    </row>
    <row r="3288" ht="15.35" customHeight="1">
      <c r="A3288" t="s" s="2">
        <v>6289</v>
      </c>
      <c r="B3288" s="4">
        <v>35063</v>
      </c>
      <c r="C3288" s="5">
        <v>600</v>
      </c>
      <c r="D3288" s="5">
        <v>43</v>
      </c>
      <c r="E3288" s="5">
        <v>46</v>
      </c>
      <c r="F3288" t="s" s="2">
        <v>1746</v>
      </c>
      <c r="G3288" t="s" s="2">
        <v>6286</v>
      </c>
      <c r="H3288" s="5">
        <v>410</v>
      </c>
      <c r="I3288" t="s" s="2">
        <v>4278</v>
      </c>
      <c r="J3288" t="s" s="2">
        <v>22</v>
      </c>
      <c r="K3288" t="s" s="2">
        <v>6290</v>
      </c>
      <c r="L3288" t="s" s="2">
        <v>524</v>
      </c>
      <c r="M3288" s="5">
        <v>557464.34</v>
      </c>
      <c r="N3288" s="5">
        <v>6146317.66</v>
      </c>
      <c r="O3288" t="s" s="2">
        <v>305</v>
      </c>
      <c r="P3288" s="5">
        <v>99090</v>
      </c>
      <c r="Q3288" t="s" s="2">
        <v>6288</v>
      </c>
      <c r="R3288" t="s" s="2">
        <f>_xlfn.IFERROR(INDEX('model_byCAP'!$D$2:$D$377,MATCH(Q3288,'model_byCAP'!$A$2:$A$377,0)),0)</f>
        <v>2955</v>
      </c>
    </row>
    <row r="3289" ht="15.35" customHeight="1">
      <c r="A3289" t="s" s="2">
        <v>6291</v>
      </c>
      <c r="B3289" s="4">
        <v>35832</v>
      </c>
      <c r="C3289" s="5">
        <v>600</v>
      </c>
      <c r="D3289" s="5">
        <v>48</v>
      </c>
      <c r="E3289" s="5">
        <v>46</v>
      </c>
      <c r="F3289" t="s" s="2">
        <v>1746</v>
      </c>
      <c r="G3289" t="s" s="2">
        <v>4302</v>
      </c>
      <c r="H3289" s="5">
        <v>410</v>
      </c>
      <c r="I3289" t="s" s="2">
        <v>4278</v>
      </c>
      <c r="J3289" t="s" s="2">
        <v>22</v>
      </c>
      <c r="K3289" t="s" s="2">
        <v>6292</v>
      </c>
      <c r="L3289" t="s" s="2">
        <v>390</v>
      </c>
      <c r="M3289" s="5">
        <v>560679.91</v>
      </c>
      <c r="N3289" s="5">
        <v>6146146.22</v>
      </c>
      <c r="O3289" t="s" s="2">
        <v>305</v>
      </c>
      <c r="P3289" s="5">
        <v>99122</v>
      </c>
      <c r="Q3289" t="s" s="2">
        <v>4304</v>
      </c>
      <c r="R3289" t="s" s="2">
        <f>_xlfn.IFERROR(INDEX('model_byCAP'!$D$2:$D$377,MATCH(Q3289,'model_byCAP'!$A$2:$A$377,0)),0)</f>
        <v>2955</v>
      </c>
    </row>
    <row r="3290" ht="15.35" customHeight="1">
      <c r="A3290" t="s" s="2">
        <v>6293</v>
      </c>
      <c r="B3290" s="4">
        <v>36087</v>
      </c>
      <c r="C3290" s="5">
        <v>600</v>
      </c>
      <c r="D3290" s="5">
        <v>48</v>
      </c>
      <c r="E3290" s="5">
        <v>50</v>
      </c>
      <c r="F3290" t="s" s="2">
        <v>1746</v>
      </c>
      <c r="G3290" t="s" s="2">
        <v>4302</v>
      </c>
      <c r="H3290" s="5">
        <v>410</v>
      </c>
      <c r="I3290" t="s" s="2">
        <v>4278</v>
      </c>
      <c r="J3290" t="s" s="2">
        <v>22</v>
      </c>
      <c r="K3290" t="s" s="2">
        <v>6294</v>
      </c>
      <c r="L3290" t="s" s="2">
        <v>2348</v>
      </c>
      <c r="M3290" s="5">
        <v>560820.92</v>
      </c>
      <c r="N3290" s="5">
        <v>6145801.09</v>
      </c>
      <c r="O3290" t="s" s="2">
        <v>305</v>
      </c>
      <c r="P3290" s="5">
        <v>99127</v>
      </c>
      <c r="Q3290" t="s" s="2">
        <v>4304</v>
      </c>
      <c r="R3290" t="s" s="2">
        <f>_xlfn.IFERROR(INDEX('model_byCAP'!$D$2:$D$377,MATCH(Q3290,'model_byCAP'!$A$2:$A$377,0)),0)</f>
        <v>2955</v>
      </c>
    </row>
    <row r="3291" ht="15.35" customHeight="1">
      <c r="A3291" t="s" s="2">
        <v>6295</v>
      </c>
      <c r="B3291" s="4">
        <v>36083</v>
      </c>
      <c r="C3291" s="5">
        <v>600</v>
      </c>
      <c r="D3291" s="5">
        <v>48</v>
      </c>
      <c r="E3291" s="5">
        <v>50</v>
      </c>
      <c r="F3291" t="s" s="2">
        <v>1746</v>
      </c>
      <c r="G3291" t="s" s="2">
        <v>4302</v>
      </c>
      <c r="H3291" s="5">
        <v>410</v>
      </c>
      <c r="I3291" t="s" s="2">
        <v>4278</v>
      </c>
      <c r="J3291" t="s" s="2">
        <v>22</v>
      </c>
      <c r="K3291" t="s" s="2">
        <v>6294</v>
      </c>
      <c r="L3291" t="s" s="2">
        <v>518</v>
      </c>
      <c r="M3291" s="5">
        <v>560267.87</v>
      </c>
      <c r="N3291" s="5">
        <v>6146049.61</v>
      </c>
      <c r="O3291" t="s" s="2">
        <v>305</v>
      </c>
      <c r="P3291" s="5">
        <v>99128</v>
      </c>
      <c r="Q3291" t="s" s="2">
        <v>4304</v>
      </c>
      <c r="R3291" t="s" s="2">
        <f>_xlfn.IFERROR(INDEX('model_byCAP'!$D$2:$D$377,MATCH(Q3291,'model_byCAP'!$A$2:$A$377,0)),0)</f>
        <v>2955</v>
      </c>
    </row>
    <row r="3292" ht="15.35" customHeight="1">
      <c r="A3292" t="s" s="2">
        <v>6296</v>
      </c>
      <c r="B3292" s="4">
        <v>35746</v>
      </c>
      <c r="C3292" s="5">
        <v>600</v>
      </c>
      <c r="D3292" s="5">
        <v>48</v>
      </c>
      <c r="E3292" s="5">
        <v>46</v>
      </c>
      <c r="F3292" t="s" s="2">
        <v>1746</v>
      </c>
      <c r="G3292" t="s" s="2">
        <v>4302</v>
      </c>
      <c r="H3292" s="5">
        <v>410</v>
      </c>
      <c r="I3292" t="s" s="2">
        <v>4278</v>
      </c>
      <c r="J3292" t="s" s="2">
        <v>22</v>
      </c>
      <c r="K3292" t="s" s="2">
        <v>6297</v>
      </c>
      <c r="L3292" t="s" s="2">
        <v>4990</v>
      </c>
      <c r="M3292" s="5">
        <v>555358.5699999999</v>
      </c>
      <c r="N3292" s="5">
        <v>6136883.37</v>
      </c>
      <c r="O3292" t="s" s="2">
        <v>305</v>
      </c>
      <c r="P3292" s="5">
        <v>99171</v>
      </c>
      <c r="Q3292" t="s" s="2">
        <v>4304</v>
      </c>
      <c r="R3292" t="s" s="2">
        <f>_xlfn.IFERROR(INDEX('model_byCAP'!$D$2:$D$377,MATCH(Q3292,'model_byCAP'!$A$2:$A$377,0)),0)</f>
        <v>2955</v>
      </c>
    </row>
    <row r="3293" ht="15.35" customHeight="1">
      <c r="A3293" t="s" s="2">
        <v>6298</v>
      </c>
      <c r="B3293" s="4">
        <v>35982</v>
      </c>
      <c r="C3293" s="5">
        <v>600</v>
      </c>
      <c r="D3293" s="5">
        <v>43</v>
      </c>
      <c r="E3293" s="5">
        <v>46</v>
      </c>
      <c r="F3293" t="s" s="2">
        <v>1746</v>
      </c>
      <c r="G3293" t="s" s="2">
        <v>6286</v>
      </c>
      <c r="H3293" s="5">
        <v>410</v>
      </c>
      <c r="I3293" t="s" s="2">
        <v>4278</v>
      </c>
      <c r="J3293" t="s" s="2">
        <v>22</v>
      </c>
      <c r="K3293" t="s" s="2">
        <v>6299</v>
      </c>
      <c r="L3293" t="s" s="2">
        <v>1227</v>
      </c>
      <c r="M3293" s="5">
        <v>557189.99</v>
      </c>
      <c r="N3293" s="5">
        <v>6141814.18</v>
      </c>
      <c r="O3293" t="s" s="2">
        <v>305</v>
      </c>
      <c r="P3293" s="5">
        <v>99173</v>
      </c>
      <c r="Q3293" t="s" s="2">
        <v>6288</v>
      </c>
      <c r="R3293" t="s" s="2">
        <f>_xlfn.IFERROR(INDEX('model_byCAP'!$D$2:$D$377,MATCH(Q3293,'model_byCAP'!$A$2:$A$377,0)),0)</f>
        <v>2955</v>
      </c>
    </row>
    <row r="3294" ht="15.35" customHeight="1">
      <c r="A3294" t="s" s="2">
        <v>6300</v>
      </c>
      <c r="B3294" s="4">
        <v>35353</v>
      </c>
      <c r="C3294" s="5">
        <v>600</v>
      </c>
      <c r="D3294" s="5">
        <v>43.4</v>
      </c>
      <c r="E3294" s="5">
        <v>46</v>
      </c>
      <c r="F3294" t="s" s="2">
        <v>1746</v>
      </c>
      <c r="G3294" t="s" s="2">
        <v>6286</v>
      </c>
      <c r="H3294" s="5">
        <v>420</v>
      </c>
      <c r="I3294" t="s" s="2">
        <v>3043</v>
      </c>
      <c r="J3294" t="s" s="2">
        <v>22</v>
      </c>
      <c r="K3294" t="s" s="2">
        <v>4335</v>
      </c>
      <c r="L3294" t="s" s="2">
        <v>1258</v>
      </c>
      <c r="M3294" s="5">
        <v>578620.83</v>
      </c>
      <c r="N3294" s="5">
        <v>6130561.9</v>
      </c>
      <c r="O3294" t="s" s="2">
        <v>305</v>
      </c>
      <c r="P3294" s="5">
        <v>99101</v>
      </c>
      <c r="Q3294" t="s" s="2">
        <v>6288</v>
      </c>
      <c r="R3294" t="s" s="2">
        <f>_xlfn.IFERROR(INDEX('model_byCAP'!$D$2:$D$377,MATCH(Q3294,'model_byCAP'!$A$2:$A$377,0)),0)</f>
        <v>2955</v>
      </c>
    </row>
    <row r="3295" ht="15.35" customHeight="1">
      <c r="A3295" t="s" s="2">
        <v>6301</v>
      </c>
      <c r="B3295" s="4">
        <v>35893</v>
      </c>
      <c r="C3295" s="5">
        <v>600</v>
      </c>
      <c r="D3295" s="5">
        <v>48</v>
      </c>
      <c r="E3295" s="5">
        <v>46</v>
      </c>
      <c r="F3295" t="s" s="2">
        <v>1746</v>
      </c>
      <c r="G3295" t="s" s="2">
        <v>4302</v>
      </c>
      <c r="H3295" s="5">
        <v>420</v>
      </c>
      <c r="I3295" t="s" s="2">
        <v>3043</v>
      </c>
      <c r="J3295" t="s" s="2">
        <v>22</v>
      </c>
      <c r="K3295" t="s" s="2">
        <v>4303</v>
      </c>
      <c r="L3295" t="s" s="2">
        <v>2348</v>
      </c>
      <c r="M3295" s="5">
        <v>571027.29</v>
      </c>
      <c r="N3295" s="5">
        <v>6121480.88</v>
      </c>
      <c r="O3295" t="s" s="2">
        <v>305</v>
      </c>
      <c r="P3295" s="5">
        <v>99172</v>
      </c>
      <c r="Q3295" t="s" s="2">
        <v>4304</v>
      </c>
      <c r="R3295" t="s" s="2">
        <f>_xlfn.IFERROR(INDEX('model_byCAP'!$D$2:$D$377,MATCH(Q3295,'model_byCAP'!$A$2:$A$377,0)),0)</f>
        <v>2955</v>
      </c>
    </row>
    <row r="3296" ht="15.35" customHeight="1">
      <c r="A3296" t="s" s="2">
        <v>6302</v>
      </c>
      <c r="B3296" s="4">
        <v>35263</v>
      </c>
      <c r="C3296" s="5">
        <v>600</v>
      </c>
      <c r="D3296" s="5">
        <v>44</v>
      </c>
      <c r="E3296" s="5">
        <v>45</v>
      </c>
      <c r="F3296" t="s" s="2">
        <v>301</v>
      </c>
      <c r="G3296" t="s" s="2">
        <v>5700</v>
      </c>
      <c r="H3296" s="5">
        <v>430</v>
      </c>
      <c r="I3296" t="s" s="2">
        <v>3470</v>
      </c>
      <c r="J3296" t="s" s="2">
        <v>22</v>
      </c>
      <c r="K3296" t="s" s="2">
        <v>5395</v>
      </c>
      <c r="L3296" t="s" s="2">
        <v>394</v>
      </c>
      <c r="M3296" s="5">
        <v>582602.61</v>
      </c>
      <c r="N3296" s="5">
        <v>6124197.86</v>
      </c>
      <c r="O3296" t="s" s="2">
        <v>305</v>
      </c>
      <c r="P3296" s="5">
        <v>99091</v>
      </c>
      <c r="Q3296" t="s" s="2">
        <v>5701</v>
      </c>
      <c r="R3296" t="s" s="2">
        <f>_xlfn.IFERROR(INDEX('model_byCAP'!$D$2:$D$377,MATCH(Q3296,'model_byCAP'!$A$2:$A$377,0)),0)</f>
        <v>5702</v>
      </c>
    </row>
    <row r="3297" ht="15.35" customHeight="1">
      <c r="A3297" t="s" s="2">
        <v>6303</v>
      </c>
      <c r="B3297" s="4">
        <v>35775</v>
      </c>
      <c r="C3297" s="5">
        <v>600</v>
      </c>
      <c r="D3297" s="5">
        <v>48</v>
      </c>
      <c r="E3297" s="5">
        <v>46</v>
      </c>
      <c r="F3297" t="s" s="2">
        <v>1746</v>
      </c>
      <c r="G3297" t="s" s="2">
        <v>4302</v>
      </c>
      <c r="H3297" s="5">
        <v>430</v>
      </c>
      <c r="I3297" t="s" s="2">
        <v>3470</v>
      </c>
      <c r="J3297" t="s" s="2">
        <v>22</v>
      </c>
      <c r="K3297" t="s" s="2">
        <v>6304</v>
      </c>
      <c r="L3297" t="s" s="2">
        <v>1105</v>
      </c>
      <c r="M3297" s="5">
        <v>588979.63</v>
      </c>
      <c r="N3297" s="5">
        <v>6127571.78</v>
      </c>
      <c r="O3297" t="s" s="2">
        <v>305</v>
      </c>
      <c r="P3297" s="5">
        <v>99114</v>
      </c>
      <c r="Q3297" t="s" s="2">
        <v>4304</v>
      </c>
      <c r="R3297" t="s" s="2">
        <f>_xlfn.IFERROR(INDEX('model_byCAP'!$D$2:$D$377,MATCH(Q3297,'model_byCAP'!$A$2:$A$377,0)),0)</f>
        <v>2955</v>
      </c>
    </row>
    <row r="3298" ht="15.35" customHeight="1">
      <c r="A3298" t="s" s="2">
        <v>6305</v>
      </c>
      <c r="B3298" s="4">
        <v>35816</v>
      </c>
      <c r="C3298" s="5">
        <v>600</v>
      </c>
      <c r="D3298" s="5">
        <v>44</v>
      </c>
      <c r="E3298" s="5">
        <v>50</v>
      </c>
      <c r="F3298" t="s" s="2">
        <v>301</v>
      </c>
      <c r="G3298" t="s" s="2">
        <v>6100</v>
      </c>
      <c r="H3298" s="5">
        <v>430</v>
      </c>
      <c r="I3298" t="s" s="2">
        <v>3470</v>
      </c>
      <c r="J3298" t="s" s="2">
        <v>22</v>
      </c>
      <c r="K3298" t="s" s="2">
        <v>6306</v>
      </c>
      <c r="L3298" t="s" s="2">
        <v>2872</v>
      </c>
      <c r="M3298" s="5">
        <v>582591.95</v>
      </c>
      <c r="N3298" s="5">
        <v>6124717.02</v>
      </c>
      <c r="O3298" t="s" s="2">
        <v>305</v>
      </c>
      <c r="P3298" s="5">
        <v>99118</v>
      </c>
      <c r="Q3298" t="s" s="2">
        <v>6102</v>
      </c>
      <c r="R3298" t="s" s="2">
        <f>_xlfn.IFERROR(INDEX('model_byCAP'!$D$2:$D$377,MATCH(Q3298,'model_byCAP'!$A$2:$A$377,0)),0)</f>
        <v>6103</v>
      </c>
    </row>
    <row r="3299" ht="15.35" customHeight="1">
      <c r="A3299" t="s" s="2">
        <v>6307</v>
      </c>
      <c r="B3299" s="4">
        <v>35704</v>
      </c>
      <c r="C3299" s="5">
        <v>600</v>
      </c>
      <c r="D3299" s="5">
        <v>48</v>
      </c>
      <c r="E3299" s="5">
        <v>46</v>
      </c>
      <c r="F3299" t="s" s="2">
        <v>1746</v>
      </c>
      <c r="G3299" t="s" s="2">
        <v>6024</v>
      </c>
      <c r="H3299" s="5">
        <v>430</v>
      </c>
      <c r="I3299" t="s" s="2">
        <v>3470</v>
      </c>
      <c r="J3299" t="s" s="2">
        <v>22</v>
      </c>
      <c r="K3299" t="s" s="2">
        <v>4353</v>
      </c>
      <c r="L3299" t="s" s="2">
        <v>4354</v>
      </c>
      <c r="M3299" s="5">
        <v>585797.46</v>
      </c>
      <c r="N3299" s="5">
        <v>6119845.43</v>
      </c>
      <c r="O3299" t="s" s="2">
        <v>305</v>
      </c>
      <c r="P3299" s="5">
        <v>7380</v>
      </c>
      <c r="Q3299" t="s" s="2">
        <v>6025</v>
      </c>
      <c r="R3299" t="s" s="2">
        <f>_xlfn.IFERROR(INDEX('model_byCAP'!$D$2:$D$377,MATCH(Q3299,'model_byCAP'!$A$2:$A$377,0)),0)</f>
        <v>2955</v>
      </c>
    </row>
    <row r="3300" ht="15.35" customHeight="1">
      <c r="A3300" t="s" s="2">
        <v>6308</v>
      </c>
      <c r="B3300" s="4">
        <v>36082</v>
      </c>
      <c r="C3300" s="5">
        <v>600</v>
      </c>
      <c r="D3300" s="5">
        <v>48</v>
      </c>
      <c r="E3300" s="5">
        <v>46</v>
      </c>
      <c r="F3300" t="s" s="2">
        <v>1746</v>
      </c>
      <c r="G3300" t="s" s="2">
        <v>6024</v>
      </c>
      <c r="H3300" s="5">
        <v>430</v>
      </c>
      <c r="I3300" t="s" s="2">
        <v>3470</v>
      </c>
      <c r="J3300" t="s" s="2">
        <v>22</v>
      </c>
      <c r="K3300" t="s" s="2">
        <v>4353</v>
      </c>
      <c r="L3300" t="s" s="2">
        <v>6309</v>
      </c>
      <c r="M3300" s="5">
        <v>586002.38</v>
      </c>
      <c r="N3300" s="5">
        <v>6119972.87</v>
      </c>
      <c r="O3300" t="s" s="2">
        <v>305</v>
      </c>
      <c r="P3300" s="5">
        <v>13224</v>
      </c>
      <c r="Q3300" t="s" s="2">
        <v>6025</v>
      </c>
      <c r="R3300" t="s" s="2">
        <f>_xlfn.IFERROR(INDEX('model_byCAP'!$D$2:$D$377,MATCH(Q3300,'model_byCAP'!$A$2:$A$377,0)),0)</f>
        <v>2955</v>
      </c>
    </row>
    <row r="3301" ht="15.35" customHeight="1">
      <c r="A3301" t="s" s="2">
        <v>6310</v>
      </c>
      <c r="B3301" s="4">
        <v>35776</v>
      </c>
      <c r="C3301" s="5">
        <v>600</v>
      </c>
      <c r="D3301" s="5">
        <v>43</v>
      </c>
      <c r="E3301" s="5">
        <v>39</v>
      </c>
      <c r="F3301" t="s" s="2">
        <v>1746</v>
      </c>
      <c r="G3301" t="s" s="2">
        <v>6286</v>
      </c>
      <c r="H3301" s="5">
        <v>440</v>
      </c>
      <c r="I3301" t="s" s="2">
        <v>1038</v>
      </c>
      <c r="J3301" t="s" s="2">
        <v>22</v>
      </c>
      <c r="K3301" t="s" s="2">
        <v>6311</v>
      </c>
      <c r="L3301" t="s" s="2">
        <v>4273</v>
      </c>
      <c r="M3301" s="5">
        <v>602836.88</v>
      </c>
      <c r="N3301" s="5">
        <v>6149963.09</v>
      </c>
      <c r="O3301" t="s" s="2">
        <v>305</v>
      </c>
      <c r="P3301" s="5">
        <v>15600</v>
      </c>
      <c r="Q3301" t="s" s="2">
        <v>6288</v>
      </c>
      <c r="R3301" t="s" s="2">
        <f>_xlfn.IFERROR(INDEX('model_byCAP'!$D$2:$D$377,MATCH(Q3301,'model_byCAP'!$A$2:$A$377,0)),0)</f>
        <v>2955</v>
      </c>
    </row>
    <row r="3302" ht="15.35" customHeight="1">
      <c r="A3302" t="s" s="2">
        <v>6312</v>
      </c>
      <c r="B3302" s="4">
        <v>35776</v>
      </c>
      <c r="C3302" s="5">
        <v>600</v>
      </c>
      <c r="D3302" s="5">
        <v>43</v>
      </c>
      <c r="E3302" s="5">
        <v>39</v>
      </c>
      <c r="F3302" t="s" s="2">
        <v>1746</v>
      </c>
      <c r="G3302" t="s" s="2">
        <v>6286</v>
      </c>
      <c r="H3302" s="5">
        <v>440</v>
      </c>
      <c r="I3302" t="s" s="2">
        <v>1038</v>
      </c>
      <c r="J3302" t="s" s="2">
        <v>22</v>
      </c>
      <c r="K3302" t="s" s="2">
        <v>6311</v>
      </c>
      <c r="L3302" t="s" s="2">
        <v>4273</v>
      </c>
      <c r="M3302" s="5">
        <v>602799.24</v>
      </c>
      <c r="N3302" s="5">
        <v>6149827.41</v>
      </c>
      <c r="O3302" t="s" s="2">
        <v>305</v>
      </c>
      <c r="P3302" s="5">
        <v>15600</v>
      </c>
      <c r="Q3302" t="s" s="2">
        <v>6288</v>
      </c>
      <c r="R3302" t="s" s="2">
        <f>_xlfn.IFERROR(INDEX('model_byCAP'!$D$2:$D$377,MATCH(Q3302,'model_byCAP'!$A$2:$A$377,0)),0)</f>
        <v>2955</v>
      </c>
    </row>
    <row r="3303" ht="15.35" customHeight="1">
      <c r="A3303" t="s" s="2">
        <v>6313</v>
      </c>
      <c r="B3303" s="4">
        <v>36054</v>
      </c>
      <c r="C3303" s="5">
        <v>600</v>
      </c>
      <c r="D3303" s="5">
        <v>44</v>
      </c>
      <c r="E3303" s="5">
        <v>40</v>
      </c>
      <c r="F3303" t="s" s="2">
        <v>301</v>
      </c>
      <c r="G3303" t="s" s="2">
        <v>5959</v>
      </c>
      <c r="H3303" s="5">
        <v>440</v>
      </c>
      <c r="I3303" t="s" s="2">
        <v>1038</v>
      </c>
      <c r="J3303" t="s" s="2">
        <v>22</v>
      </c>
      <c r="K3303" t="s" s="2">
        <v>6314</v>
      </c>
      <c r="L3303" t="s" s="2">
        <v>4681</v>
      </c>
      <c r="M3303" s="5">
        <v>604215.34</v>
      </c>
      <c r="N3303" s="5">
        <v>6150457.68</v>
      </c>
      <c r="O3303" t="s" s="2">
        <v>305</v>
      </c>
      <c r="P3303" s="5">
        <v>15718</v>
      </c>
      <c r="Q3303" t="s" s="2">
        <v>5960</v>
      </c>
      <c r="R3303" t="s" s="2">
        <f>_xlfn.IFERROR(INDEX('model_byCAP'!$D$2:$D$377,MATCH(Q3303,'model_byCAP'!$A$2:$A$377,0)),0)</f>
        <v>5702</v>
      </c>
    </row>
    <row r="3304" ht="15.35" customHeight="1">
      <c r="A3304" t="s" s="2">
        <v>6315</v>
      </c>
      <c r="B3304" s="4">
        <v>36054</v>
      </c>
      <c r="C3304" s="5">
        <v>600</v>
      </c>
      <c r="D3304" s="5">
        <v>44</v>
      </c>
      <c r="E3304" s="5">
        <v>40</v>
      </c>
      <c r="F3304" t="s" s="2">
        <v>301</v>
      </c>
      <c r="G3304" t="s" s="2">
        <v>5700</v>
      </c>
      <c r="H3304" s="5">
        <v>440</v>
      </c>
      <c r="I3304" t="s" s="2">
        <v>1038</v>
      </c>
      <c r="J3304" t="s" s="2">
        <v>22</v>
      </c>
      <c r="K3304" t="s" s="2">
        <v>6316</v>
      </c>
      <c r="L3304" t="s" s="2">
        <v>2348</v>
      </c>
      <c r="M3304" s="5">
        <v>604187.12</v>
      </c>
      <c r="N3304" s="5">
        <v>6150246.52</v>
      </c>
      <c r="O3304" t="s" s="2">
        <v>305</v>
      </c>
      <c r="P3304" s="5">
        <v>15719</v>
      </c>
      <c r="Q3304" t="s" s="2">
        <v>5701</v>
      </c>
      <c r="R3304" t="s" s="2">
        <f>_xlfn.IFERROR(INDEX('model_byCAP'!$D$2:$D$377,MATCH(Q3304,'model_byCAP'!$A$2:$A$377,0)),0)</f>
        <v>5702</v>
      </c>
    </row>
    <row r="3305" ht="15.35" customHeight="1">
      <c r="A3305" t="s" s="2">
        <v>6317</v>
      </c>
      <c r="B3305" s="4">
        <v>36054</v>
      </c>
      <c r="C3305" s="5">
        <v>600</v>
      </c>
      <c r="D3305" s="5">
        <v>44</v>
      </c>
      <c r="E3305" s="5">
        <v>40</v>
      </c>
      <c r="F3305" t="s" s="2">
        <v>301</v>
      </c>
      <c r="G3305" t="s" s="2">
        <v>5700</v>
      </c>
      <c r="H3305" s="5">
        <v>440</v>
      </c>
      <c r="I3305" t="s" s="2">
        <v>1038</v>
      </c>
      <c r="J3305" t="s" s="2">
        <v>22</v>
      </c>
      <c r="K3305" t="s" s="2">
        <v>6314</v>
      </c>
      <c r="L3305" t="s" s="2">
        <v>1055</v>
      </c>
      <c r="M3305" s="5">
        <v>604158.84</v>
      </c>
      <c r="N3305" s="5">
        <v>6150035.08</v>
      </c>
      <c r="O3305" t="s" s="2">
        <v>305</v>
      </c>
      <c r="P3305" s="5">
        <v>15720</v>
      </c>
      <c r="Q3305" t="s" s="2">
        <v>5701</v>
      </c>
      <c r="R3305" t="s" s="2">
        <f>_xlfn.IFERROR(INDEX('model_byCAP'!$D$2:$D$377,MATCH(Q3305,'model_byCAP'!$A$2:$A$377,0)),0)</f>
        <v>5702</v>
      </c>
    </row>
    <row r="3306" ht="15.35" customHeight="1">
      <c r="A3306" t="s" s="2">
        <v>6318</v>
      </c>
      <c r="B3306" s="4">
        <v>36066</v>
      </c>
      <c r="C3306" s="5">
        <v>600</v>
      </c>
      <c r="D3306" s="5">
        <v>44</v>
      </c>
      <c r="E3306" s="5">
        <v>50</v>
      </c>
      <c r="F3306" t="s" s="2">
        <v>1989</v>
      </c>
      <c r="G3306" t="s" s="2">
        <v>5962</v>
      </c>
      <c r="H3306" s="5">
        <v>440</v>
      </c>
      <c r="I3306" t="s" s="2">
        <v>1038</v>
      </c>
      <c r="J3306" t="s" s="2">
        <v>22</v>
      </c>
      <c r="K3306" t="s" s="2">
        <v>4356</v>
      </c>
      <c r="L3306" t="s" s="2">
        <v>979</v>
      </c>
      <c r="M3306" s="5">
        <v>597028.88</v>
      </c>
      <c r="N3306" s="5">
        <v>6139881.83</v>
      </c>
      <c r="O3306" t="s" s="2">
        <v>305</v>
      </c>
      <c r="P3306" s="5">
        <v>15724</v>
      </c>
      <c r="Q3306" t="s" s="2">
        <v>5964</v>
      </c>
      <c r="R3306" t="s" s="2">
        <f>_xlfn.IFERROR(INDEX('model_byCAP'!$D$2:$D$377,MATCH(Q3306,'model_byCAP'!$A$2:$A$377,0)),0)</f>
        <v>5955</v>
      </c>
    </row>
    <row r="3307" ht="15.35" customHeight="1">
      <c r="A3307" t="s" s="2">
        <v>6319</v>
      </c>
      <c r="B3307" s="4">
        <v>36066</v>
      </c>
      <c r="C3307" s="5">
        <v>600</v>
      </c>
      <c r="D3307" s="5">
        <v>38</v>
      </c>
      <c r="E3307" s="5">
        <v>50</v>
      </c>
      <c r="F3307" t="s" s="2">
        <v>1989</v>
      </c>
      <c r="G3307" t="s" s="2">
        <v>5962</v>
      </c>
      <c r="H3307" s="5">
        <v>440</v>
      </c>
      <c r="I3307" t="s" s="2">
        <v>1038</v>
      </c>
      <c r="J3307" t="s" s="2">
        <v>22</v>
      </c>
      <c r="K3307" t="s" s="2">
        <v>4356</v>
      </c>
      <c r="L3307" t="s" s="2">
        <v>1422</v>
      </c>
      <c r="M3307" s="5">
        <v>597279.04</v>
      </c>
      <c r="N3307" s="5">
        <v>6140410.79</v>
      </c>
      <c r="O3307" t="s" s="2">
        <v>305</v>
      </c>
      <c r="P3307" s="5">
        <v>15725</v>
      </c>
      <c r="Q3307" t="s" s="2">
        <v>5964</v>
      </c>
      <c r="R3307" t="s" s="2">
        <f>_xlfn.IFERROR(INDEX('model_byCAP'!$D$2:$D$377,MATCH(Q3307,'model_byCAP'!$A$2:$A$377,0)),0)</f>
        <v>5955</v>
      </c>
    </row>
    <row r="3308" ht="15.35" customHeight="1">
      <c r="A3308" t="s" s="2">
        <v>6320</v>
      </c>
      <c r="B3308" s="4">
        <v>35221</v>
      </c>
      <c r="C3308" s="5">
        <v>600</v>
      </c>
      <c r="D3308" s="5">
        <v>44</v>
      </c>
      <c r="E3308" s="5">
        <v>45</v>
      </c>
      <c r="F3308" t="s" s="2">
        <v>301</v>
      </c>
      <c r="G3308" t="s" s="2">
        <v>5700</v>
      </c>
      <c r="H3308" s="5">
        <v>450</v>
      </c>
      <c r="I3308" t="s" s="2">
        <v>2870</v>
      </c>
      <c r="J3308" t="s" s="2">
        <v>22</v>
      </c>
      <c r="K3308" t="s" s="2">
        <v>6321</v>
      </c>
      <c r="L3308" t="s" s="2">
        <v>6322</v>
      </c>
      <c r="M3308" s="5">
        <v>602071.02</v>
      </c>
      <c r="N3308" s="5">
        <v>6130963.97</v>
      </c>
      <c r="O3308" t="s" s="2">
        <v>305</v>
      </c>
      <c r="P3308" s="5">
        <v>99092</v>
      </c>
      <c r="Q3308" t="s" s="2">
        <v>5701</v>
      </c>
      <c r="R3308" t="s" s="2">
        <f>_xlfn.IFERROR(INDEX('model_byCAP'!$D$2:$D$377,MATCH(Q3308,'model_byCAP'!$A$2:$A$377,0)),0)</f>
        <v>5702</v>
      </c>
    </row>
    <row r="3309" ht="15.35" customHeight="1">
      <c r="A3309" t="s" s="2">
        <v>6323</v>
      </c>
      <c r="B3309" s="4">
        <v>35761</v>
      </c>
      <c r="C3309" s="5">
        <v>600</v>
      </c>
      <c r="D3309" s="5">
        <v>43</v>
      </c>
      <c r="E3309" s="5">
        <v>50</v>
      </c>
      <c r="F3309" t="s" s="2">
        <v>42</v>
      </c>
      <c r="G3309" t="s" s="2">
        <v>42</v>
      </c>
      <c r="H3309" s="5">
        <v>450</v>
      </c>
      <c r="I3309" t="s" s="2">
        <v>2870</v>
      </c>
      <c r="J3309" t="s" s="2">
        <v>22</v>
      </c>
      <c r="K3309" t="s" s="2">
        <v>6324</v>
      </c>
      <c r="L3309" t="s" s="2">
        <v>4420</v>
      </c>
      <c r="M3309" s="5">
        <v>606894.7</v>
      </c>
      <c r="N3309" s="5">
        <v>6123963.95</v>
      </c>
      <c r="O3309" t="s" s="2">
        <v>305</v>
      </c>
      <c r="P3309" s="5">
        <v>99113</v>
      </c>
      <c r="Q3309" t="s" s="2">
        <v>43</v>
      </c>
      <c r="R3309" s="5">
        <f>_xlfn.IFERROR(INDEX('model_byCAP'!$D$2:$D$377,MATCH(Q3309,'model_byCAP'!$A$2:$A$377,0)),0)</f>
        <v>0</v>
      </c>
    </row>
    <row r="3310" ht="15.35" customHeight="1">
      <c r="A3310" t="s" s="2">
        <v>6325</v>
      </c>
      <c r="B3310" s="4">
        <v>35986</v>
      </c>
      <c r="C3310" s="5">
        <v>600</v>
      </c>
      <c r="D3310" s="5">
        <v>43</v>
      </c>
      <c r="E3310" s="5">
        <v>46</v>
      </c>
      <c r="F3310" t="s" s="2">
        <v>1746</v>
      </c>
      <c r="G3310" t="s" s="2">
        <v>6326</v>
      </c>
      <c r="H3310" s="5">
        <v>450</v>
      </c>
      <c r="I3310" t="s" s="2">
        <v>2870</v>
      </c>
      <c r="J3310" t="s" s="2">
        <v>22</v>
      </c>
      <c r="K3310" t="s" s="2">
        <v>6327</v>
      </c>
      <c r="L3310" t="s" s="2">
        <v>1258</v>
      </c>
      <c r="M3310" s="5">
        <v>607597.04</v>
      </c>
      <c r="N3310" s="5">
        <v>6121445.73</v>
      </c>
      <c r="O3310" t="s" s="2">
        <v>305</v>
      </c>
      <c r="P3310" s="5">
        <v>99126</v>
      </c>
      <c r="Q3310" t="s" s="2">
        <v>6328</v>
      </c>
      <c r="R3310" t="s" s="2">
        <f>_xlfn.IFERROR(INDEX('model_byCAP'!$D$2:$D$377,MATCH(Q3310,'model_byCAP'!$A$2:$A$377,0)),0)</f>
        <v>4042</v>
      </c>
    </row>
    <row r="3311" ht="15.35" customHeight="1">
      <c r="A3311" t="s" s="2">
        <v>6329</v>
      </c>
      <c r="B3311" s="4">
        <v>35615</v>
      </c>
      <c r="C3311" s="5">
        <v>600</v>
      </c>
      <c r="D3311" s="5">
        <v>44</v>
      </c>
      <c r="E3311" s="5">
        <v>40</v>
      </c>
      <c r="F3311" t="s" s="2">
        <v>1989</v>
      </c>
      <c r="G3311" t="s" s="2">
        <v>5962</v>
      </c>
      <c r="H3311" s="5">
        <v>461</v>
      </c>
      <c r="I3311" t="s" s="2">
        <v>3475</v>
      </c>
      <c r="J3311" t="s" s="2">
        <v>22</v>
      </c>
      <c r="K3311" t="s" s="2">
        <v>6330</v>
      </c>
      <c r="L3311" t="s" s="2">
        <v>585</v>
      </c>
      <c r="M3311" s="5">
        <v>593534.77</v>
      </c>
      <c r="N3311" s="5">
        <v>6132837.23</v>
      </c>
      <c r="O3311" t="s" s="2">
        <v>305</v>
      </c>
      <c r="P3311" s="5">
        <v>99106</v>
      </c>
      <c r="Q3311" t="s" s="2">
        <v>5964</v>
      </c>
      <c r="R3311" t="s" s="2">
        <f>_xlfn.IFERROR(INDEX('model_byCAP'!$D$2:$D$377,MATCH(Q3311,'model_byCAP'!$A$2:$A$377,0)),0)</f>
        <v>5955</v>
      </c>
    </row>
    <row r="3312" ht="15.35" customHeight="1">
      <c r="A3312" t="s" s="2">
        <v>6331</v>
      </c>
      <c r="B3312" s="4">
        <v>35746</v>
      </c>
      <c r="C3312" s="5">
        <v>600</v>
      </c>
      <c r="D3312" s="5">
        <v>48</v>
      </c>
      <c r="E3312" s="5">
        <v>46</v>
      </c>
      <c r="F3312" t="s" s="2">
        <v>1746</v>
      </c>
      <c r="G3312" t="s" s="2">
        <v>4302</v>
      </c>
      <c r="H3312" s="5">
        <v>461</v>
      </c>
      <c r="I3312" t="s" s="2">
        <v>3475</v>
      </c>
      <c r="J3312" t="s" s="2">
        <v>22</v>
      </c>
      <c r="K3312" t="s" s="2">
        <v>6332</v>
      </c>
      <c r="L3312" t="s" s="2">
        <v>518</v>
      </c>
      <c r="M3312" s="5">
        <v>587539.5600000001</v>
      </c>
      <c r="N3312" s="5">
        <v>6132159.35</v>
      </c>
      <c r="O3312" t="s" s="2">
        <v>305</v>
      </c>
      <c r="P3312" s="5">
        <v>99111</v>
      </c>
      <c r="Q3312" t="s" s="2">
        <v>4304</v>
      </c>
      <c r="R3312" t="s" s="2">
        <f>_xlfn.IFERROR(INDEX('model_byCAP'!$D$2:$D$377,MATCH(Q3312,'model_byCAP'!$A$2:$A$377,0)),0)</f>
        <v>2955</v>
      </c>
    </row>
    <row r="3313" ht="15.35" customHeight="1">
      <c r="A3313" t="s" s="2">
        <v>6333</v>
      </c>
      <c r="B3313" s="4">
        <v>35746</v>
      </c>
      <c r="C3313" s="5">
        <v>600</v>
      </c>
      <c r="D3313" s="5">
        <v>48</v>
      </c>
      <c r="E3313" s="5">
        <v>46</v>
      </c>
      <c r="F3313" t="s" s="2">
        <v>1746</v>
      </c>
      <c r="G3313" t="s" s="2">
        <v>4302</v>
      </c>
      <c r="H3313" s="5">
        <v>461</v>
      </c>
      <c r="I3313" t="s" s="2">
        <v>3475</v>
      </c>
      <c r="J3313" t="s" s="2">
        <v>22</v>
      </c>
      <c r="K3313" t="s" s="2">
        <v>6332</v>
      </c>
      <c r="L3313" t="s" s="2">
        <v>198</v>
      </c>
      <c r="M3313" s="5">
        <v>587600.96</v>
      </c>
      <c r="N3313" s="5">
        <v>6132025.45</v>
      </c>
      <c r="O3313" t="s" s="2">
        <v>305</v>
      </c>
      <c r="P3313" s="5">
        <v>99112</v>
      </c>
      <c r="Q3313" t="s" s="2">
        <v>4304</v>
      </c>
      <c r="R3313" t="s" s="2">
        <f>_xlfn.IFERROR(INDEX('model_byCAP'!$D$2:$D$377,MATCH(Q3313,'model_byCAP'!$A$2:$A$377,0)),0)</f>
        <v>2955</v>
      </c>
    </row>
    <row r="3314" ht="15.35" customHeight="1">
      <c r="A3314" t="s" s="2">
        <v>6334</v>
      </c>
      <c r="B3314" s="4">
        <v>36119</v>
      </c>
      <c r="C3314" s="5">
        <v>600</v>
      </c>
      <c r="D3314" s="5">
        <v>44</v>
      </c>
      <c r="E3314" s="5">
        <v>40</v>
      </c>
      <c r="F3314" t="s" s="2">
        <v>1989</v>
      </c>
      <c r="G3314" t="s" s="2">
        <v>5962</v>
      </c>
      <c r="H3314" s="5">
        <v>461</v>
      </c>
      <c r="I3314" t="s" s="2">
        <v>3475</v>
      </c>
      <c r="J3314" t="s" s="2">
        <v>22</v>
      </c>
      <c r="K3314" t="s" s="2">
        <v>6330</v>
      </c>
      <c r="L3314" t="s" s="2">
        <v>585</v>
      </c>
      <c r="M3314" s="5">
        <v>593669.61</v>
      </c>
      <c r="N3314" s="5">
        <v>6132991.62</v>
      </c>
      <c r="O3314" t="s" s="2">
        <v>305</v>
      </c>
      <c r="P3314" s="5">
        <v>99142</v>
      </c>
      <c r="Q3314" t="s" s="2">
        <v>5964</v>
      </c>
      <c r="R3314" t="s" s="2">
        <f>_xlfn.IFERROR(INDEX('model_byCAP'!$D$2:$D$377,MATCH(Q3314,'model_byCAP'!$A$2:$A$377,0)),0)</f>
        <v>5955</v>
      </c>
    </row>
    <row r="3315" ht="15.35" customHeight="1">
      <c r="A3315" t="s" s="2">
        <v>6335</v>
      </c>
      <c r="B3315" s="4">
        <v>35544</v>
      </c>
      <c r="C3315" s="5">
        <v>600</v>
      </c>
      <c r="D3315" s="5">
        <v>43</v>
      </c>
      <c r="E3315" s="5">
        <v>44.5</v>
      </c>
      <c r="F3315" t="s" s="2">
        <v>42</v>
      </c>
      <c r="G3315" t="s" s="2">
        <v>42</v>
      </c>
      <c r="H3315" s="5">
        <v>479</v>
      </c>
      <c r="I3315" t="s" s="2">
        <v>2082</v>
      </c>
      <c r="J3315" t="s" s="2">
        <v>22</v>
      </c>
      <c r="K3315" t="s" s="2">
        <v>6336</v>
      </c>
      <c r="L3315" t="s" s="2">
        <v>1717</v>
      </c>
      <c r="M3315" s="5">
        <v>596008.27</v>
      </c>
      <c r="N3315" s="5">
        <v>6100775.44</v>
      </c>
      <c r="O3315" t="s" s="2">
        <v>305</v>
      </c>
      <c r="P3315" s="5">
        <v>50734</v>
      </c>
      <c r="Q3315" t="s" s="2">
        <v>43</v>
      </c>
      <c r="R3315" s="5">
        <f>_xlfn.IFERROR(INDEX('model_byCAP'!$D$2:$D$377,MATCH(Q3315,'model_byCAP'!$A$2:$A$377,0)),0)</f>
        <v>0</v>
      </c>
    </row>
    <row r="3316" ht="15.35" customHeight="1">
      <c r="A3316" t="s" s="2">
        <v>6337</v>
      </c>
      <c r="B3316" s="4">
        <v>35544</v>
      </c>
      <c r="C3316" s="5">
        <v>600</v>
      </c>
      <c r="D3316" s="5">
        <v>43</v>
      </c>
      <c r="E3316" s="5">
        <v>44.5</v>
      </c>
      <c r="F3316" t="s" s="2">
        <v>42</v>
      </c>
      <c r="G3316" t="s" s="2">
        <v>42</v>
      </c>
      <c r="H3316" s="5">
        <v>479</v>
      </c>
      <c r="I3316" t="s" s="2">
        <v>2082</v>
      </c>
      <c r="J3316" t="s" s="2">
        <v>22</v>
      </c>
      <c r="K3316" t="s" s="2">
        <v>6336</v>
      </c>
      <c r="L3316" t="s" s="2">
        <v>1717</v>
      </c>
      <c r="M3316" s="5">
        <v>595999.47</v>
      </c>
      <c r="N3316" s="5">
        <v>6100669.37</v>
      </c>
      <c r="O3316" t="s" s="2">
        <v>305</v>
      </c>
      <c r="P3316" s="5">
        <v>50735</v>
      </c>
      <c r="Q3316" t="s" s="2">
        <v>43</v>
      </c>
      <c r="R3316" s="5">
        <f>_xlfn.IFERROR(INDEX('model_byCAP'!$D$2:$D$377,MATCH(Q3316,'model_byCAP'!$A$2:$A$377,0)),0)</f>
        <v>0</v>
      </c>
    </row>
    <row r="3317" ht="15.35" customHeight="1">
      <c r="A3317" t="s" s="2">
        <v>6338</v>
      </c>
      <c r="B3317" s="4">
        <v>35544</v>
      </c>
      <c r="C3317" s="5">
        <v>600</v>
      </c>
      <c r="D3317" s="5">
        <v>43</v>
      </c>
      <c r="E3317" s="5">
        <v>44.5</v>
      </c>
      <c r="F3317" t="s" s="2">
        <v>42</v>
      </c>
      <c r="G3317" t="s" s="2">
        <v>42</v>
      </c>
      <c r="H3317" s="5">
        <v>479</v>
      </c>
      <c r="I3317" t="s" s="2">
        <v>2082</v>
      </c>
      <c r="J3317" t="s" s="2">
        <v>22</v>
      </c>
      <c r="K3317" t="s" s="2">
        <v>6336</v>
      </c>
      <c r="L3317" t="s" s="2">
        <v>1717</v>
      </c>
      <c r="M3317" s="5">
        <v>595990.59</v>
      </c>
      <c r="N3317" s="5">
        <v>6100564.06</v>
      </c>
      <c r="O3317" t="s" s="2">
        <v>305</v>
      </c>
      <c r="P3317" s="5">
        <v>50736</v>
      </c>
      <c r="Q3317" t="s" s="2">
        <v>43</v>
      </c>
      <c r="R3317" s="5">
        <f>_xlfn.IFERROR(INDEX('model_byCAP'!$D$2:$D$377,MATCH(Q3317,'model_byCAP'!$A$2:$A$377,0)),0)</f>
        <v>0</v>
      </c>
    </row>
    <row r="3318" ht="15.35" customHeight="1">
      <c r="A3318" t="s" s="2">
        <v>6339</v>
      </c>
      <c r="B3318" s="4">
        <v>36391</v>
      </c>
      <c r="C3318" s="5">
        <v>600</v>
      </c>
      <c r="D3318" s="5">
        <v>44</v>
      </c>
      <c r="E3318" s="5">
        <v>45</v>
      </c>
      <c r="F3318" t="s" s="2">
        <v>42</v>
      </c>
      <c r="G3318" t="s" s="2">
        <v>42</v>
      </c>
      <c r="H3318" s="5">
        <v>479</v>
      </c>
      <c r="I3318" t="s" s="2">
        <v>2082</v>
      </c>
      <c r="J3318" t="s" s="2">
        <v>22</v>
      </c>
      <c r="K3318" t="s" s="2">
        <v>6336</v>
      </c>
      <c r="L3318" t="s" s="2">
        <v>1611</v>
      </c>
      <c r="M3318" s="5">
        <v>596821.5600000001</v>
      </c>
      <c r="N3318" s="5">
        <v>6101956.39</v>
      </c>
      <c r="O3318" t="s" s="2">
        <v>305</v>
      </c>
      <c r="P3318" s="5">
        <v>50737</v>
      </c>
      <c r="Q3318" t="s" s="2">
        <v>43</v>
      </c>
      <c r="R3318" s="5">
        <f>_xlfn.IFERROR(INDEX('model_byCAP'!$D$2:$D$377,MATCH(Q3318,'model_byCAP'!$A$2:$A$377,0)),0)</f>
        <v>0</v>
      </c>
    </row>
    <row r="3319" ht="15.35" customHeight="1">
      <c r="A3319" t="s" s="2">
        <v>6340</v>
      </c>
      <c r="B3319" s="4">
        <v>36845</v>
      </c>
      <c r="C3319" s="5">
        <v>600</v>
      </c>
      <c r="D3319" s="5">
        <v>44</v>
      </c>
      <c r="E3319" s="5">
        <v>45</v>
      </c>
      <c r="F3319" t="s" s="2">
        <v>1989</v>
      </c>
      <c r="G3319" t="s" s="2">
        <v>6085</v>
      </c>
      <c r="H3319" s="5">
        <v>479</v>
      </c>
      <c r="I3319" t="s" s="2">
        <v>2082</v>
      </c>
      <c r="J3319" t="s" s="2">
        <v>22</v>
      </c>
      <c r="K3319" t="s" s="2">
        <v>6336</v>
      </c>
      <c r="L3319" t="s" s="2">
        <v>869</v>
      </c>
      <c r="M3319" s="5">
        <v>596872.24</v>
      </c>
      <c r="N3319" s="5">
        <v>6101789.45</v>
      </c>
      <c r="O3319" t="s" s="2">
        <v>305</v>
      </c>
      <c r="P3319" s="5">
        <v>50740</v>
      </c>
      <c r="Q3319" t="s" s="2">
        <v>6087</v>
      </c>
      <c r="R3319" t="s" s="2">
        <f>_xlfn.IFERROR(INDEX('model_byCAP'!$D$2:$D$377,MATCH(Q3319,'model_byCAP'!$A$2:$A$377,0)),0)</f>
        <v>5955</v>
      </c>
    </row>
    <row r="3320" ht="15.35" customHeight="1">
      <c r="A3320" t="s" s="2">
        <v>6341</v>
      </c>
      <c r="B3320" s="4">
        <v>36845</v>
      </c>
      <c r="C3320" s="5">
        <v>600</v>
      </c>
      <c r="D3320" s="5">
        <v>44</v>
      </c>
      <c r="E3320" s="5">
        <v>45</v>
      </c>
      <c r="F3320" t="s" s="2">
        <v>1989</v>
      </c>
      <c r="G3320" t="s" s="2">
        <v>6085</v>
      </c>
      <c r="H3320" s="5">
        <v>479</v>
      </c>
      <c r="I3320" t="s" s="2">
        <v>2082</v>
      </c>
      <c r="J3320" t="s" s="2">
        <v>22</v>
      </c>
      <c r="K3320" t="s" s="2">
        <v>6336</v>
      </c>
      <c r="L3320" t="s" s="2">
        <v>1611</v>
      </c>
      <c r="M3320" s="5">
        <v>596773.5</v>
      </c>
      <c r="N3320" s="5">
        <v>6102119.68</v>
      </c>
      <c r="O3320" t="s" s="2">
        <v>305</v>
      </c>
      <c r="P3320" s="5">
        <v>50740</v>
      </c>
      <c r="Q3320" t="s" s="2">
        <v>6087</v>
      </c>
      <c r="R3320" t="s" s="2">
        <f>_xlfn.IFERROR(INDEX('model_byCAP'!$D$2:$D$377,MATCH(Q3320,'model_byCAP'!$A$2:$A$377,0)),0)</f>
        <v>5955</v>
      </c>
    </row>
    <row r="3321" ht="15.35" customHeight="1">
      <c r="A3321" t="s" s="2">
        <v>6342</v>
      </c>
      <c r="B3321" s="4">
        <v>35370</v>
      </c>
      <c r="C3321" s="5">
        <v>600</v>
      </c>
      <c r="D3321" s="5">
        <v>44</v>
      </c>
      <c r="E3321" s="5">
        <v>50</v>
      </c>
      <c r="F3321" t="s" s="2">
        <v>1989</v>
      </c>
      <c r="G3321" t="s" s="2">
        <v>5962</v>
      </c>
      <c r="H3321" s="5">
        <v>479</v>
      </c>
      <c r="I3321" t="s" s="2">
        <v>2082</v>
      </c>
      <c r="J3321" t="s" s="2">
        <v>22</v>
      </c>
      <c r="K3321" t="s" s="2">
        <v>6343</v>
      </c>
      <c r="L3321" t="s" s="2">
        <v>394</v>
      </c>
      <c r="M3321" s="5">
        <v>589756.05</v>
      </c>
      <c r="N3321" s="5">
        <v>6106588.22</v>
      </c>
      <c r="O3321" t="s" s="2">
        <v>305</v>
      </c>
      <c r="P3321" s="5">
        <v>13087</v>
      </c>
      <c r="Q3321" t="s" s="2">
        <v>5964</v>
      </c>
      <c r="R3321" t="s" s="2">
        <f>_xlfn.IFERROR(INDEX('model_byCAP'!$D$2:$D$377,MATCH(Q3321,'model_byCAP'!$A$2:$A$377,0)),0)</f>
        <v>5955</v>
      </c>
    </row>
    <row r="3322" ht="15.35" customHeight="1">
      <c r="A3322" t="s" s="2">
        <v>6344</v>
      </c>
      <c r="B3322" s="4">
        <v>35370</v>
      </c>
      <c r="C3322" s="5">
        <v>600</v>
      </c>
      <c r="D3322" s="5">
        <v>44</v>
      </c>
      <c r="E3322" s="5">
        <v>50</v>
      </c>
      <c r="F3322" t="s" s="2">
        <v>1989</v>
      </c>
      <c r="G3322" t="s" s="2">
        <v>5962</v>
      </c>
      <c r="H3322" s="5">
        <v>479</v>
      </c>
      <c r="I3322" t="s" s="2">
        <v>2082</v>
      </c>
      <c r="J3322" t="s" s="2">
        <v>22</v>
      </c>
      <c r="K3322" t="s" s="2">
        <v>6343</v>
      </c>
      <c r="L3322" t="s" s="2">
        <v>551</v>
      </c>
      <c r="M3322" s="5">
        <v>589479.8</v>
      </c>
      <c r="N3322" s="5">
        <v>6106631.42</v>
      </c>
      <c r="O3322" t="s" s="2">
        <v>305</v>
      </c>
      <c r="P3322" s="5">
        <v>13086</v>
      </c>
      <c r="Q3322" t="s" s="2">
        <v>5964</v>
      </c>
      <c r="R3322" t="s" s="2">
        <f>_xlfn.IFERROR(INDEX('model_byCAP'!$D$2:$D$377,MATCH(Q3322,'model_byCAP'!$A$2:$A$377,0)),0)</f>
        <v>5955</v>
      </c>
    </row>
    <row r="3323" ht="15.35" customHeight="1">
      <c r="A3323" t="s" s="2">
        <v>6345</v>
      </c>
      <c r="B3323" s="4">
        <v>35370</v>
      </c>
      <c r="C3323" s="5">
        <v>600</v>
      </c>
      <c r="D3323" s="5">
        <v>44</v>
      </c>
      <c r="E3323" s="5">
        <v>50</v>
      </c>
      <c r="F3323" t="s" s="2">
        <v>301</v>
      </c>
      <c r="G3323" t="s" s="2">
        <v>5959</v>
      </c>
      <c r="H3323" s="5">
        <v>479</v>
      </c>
      <c r="I3323" t="s" s="2">
        <v>2082</v>
      </c>
      <c r="J3323" t="s" s="2">
        <v>22</v>
      </c>
      <c r="K3323" t="s" s="2">
        <v>6343</v>
      </c>
      <c r="L3323" t="s" s="2">
        <v>524</v>
      </c>
      <c r="M3323" s="5">
        <v>590533.92</v>
      </c>
      <c r="N3323" s="5">
        <v>6106067.83</v>
      </c>
      <c r="O3323" t="s" s="2">
        <v>305</v>
      </c>
      <c r="P3323" s="5">
        <v>13088</v>
      </c>
      <c r="Q3323" t="s" s="2">
        <v>5960</v>
      </c>
      <c r="R3323" t="s" s="2">
        <f>_xlfn.IFERROR(INDEX('model_byCAP'!$D$2:$D$377,MATCH(Q3323,'model_byCAP'!$A$2:$A$377,0)),0)</f>
        <v>5702</v>
      </c>
    </row>
    <row r="3324" ht="15.35" customHeight="1">
      <c r="A3324" t="s" s="2">
        <v>6346</v>
      </c>
      <c r="B3324" s="4">
        <v>35415</v>
      </c>
      <c r="C3324" s="5">
        <v>600</v>
      </c>
      <c r="D3324" s="5">
        <v>44</v>
      </c>
      <c r="E3324" s="5">
        <v>50</v>
      </c>
      <c r="F3324" t="s" s="2">
        <v>301</v>
      </c>
      <c r="G3324" t="s" s="2">
        <v>5959</v>
      </c>
      <c r="H3324" s="5">
        <v>479</v>
      </c>
      <c r="I3324" t="s" s="2">
        <v>2082</v>
      </c>
      <c r="J3324" t="s" s="2">
        <v>22</v>
      </c>
      <c r="K3324" t="s" s="2">
        <v>6343</v>
      </c>
      <c r="L3324" t="s" s="2">
        <v>1603</v>
      </c>
      <c r="M3324" s="5">
        <v>590533.91</v>
      </c>
      <c r="N3324" s="5">
        <v>6106253.64</v>
      </c>
      <c r="O3324" t="s" s="2">
        <v>305</v>
      </c>
      <c r="P3324" s="5">
        <v>1945</v>
      </c>
      <c r="Q3324" t="s" s="2">
        <v>5960</v>
      </c>
      <c r="R3324" t="s" s="2">
        <f>_xlfn.IFERROR(INDEX('model_byCAP'!$D$2:$D$377,MATCH(Q3324,'model_byCAP'!$A$2:$A$377,0)),0)</f>
        <v>5702</v>
      </c>
    </row>
    <row r="3325" ht="15.35" customHeight="1">
      <c r="A3325" t="s" s="2">
        <v>6347</v>
      </c>
      <c r="B3325" s="4">
        <v>36025</v>
      </c>
      <c r="C3325" s="5">
        <v>600</v>
      </c>
      <c r="D3325" s="5">
        <v>44</v>
      </c>
      <c r="E3325" s="5">
        <v>50</v>
      </c>
      <c r="F3325" t="s" s="2">
        <v>1989</v>
      </c>
      <c r="G3325" t="s" s="2">
        <v>5962</v>
      </c>
      <c r="H3325" s="5">
        <v>479</v>
      </c>
      <c r="I3325" t="s" s="2">
        <v>2082</v>
      </c>
      <c r="J3325" t="s" s="2">
        <v>22</v>
      </c>
      <c r="K3325" t="s" s="2">
        <v>6343</v>
      </c>
      <c r="L3325" s="5">
        <v>3</v>
      </c>
      <c r="M3325" s="5">
        <v>589581.21</v>
      </c>
      <c r="N3325" s="5">
        <v>6106370.86</v>
      </c>
      <c r="O3325" t="s" s="2">
        <v>305</v>
      </c>
      <c r="P3325" s="5">
        <v>13205</v>
      </c>
      <c r="Q3325" t="s" s="2">
        <v>5964</v>
      </c>
      <c r="R3325" t="s" s="2">
        <f>_xlfn.IFERROR(INDEX('model_byCAP'!$D$2:$D$377,MATCH(Q3325,'model_byCAP'!$A$2:$A$377,0)),0)</f>
        <v>5955</v>
      </c>
    </row>
    <row r="3326" ht="15.35" customHeight="1">
      <c r="A3326" t="s" s="2">
        <v>6348</v>
      </c>
      <c r="B3326" s="4">
        <v>37382</v>
      </c>
      <c r="C3326" s="5">
        <v>600</v>
      </c>
      <c r="D3326" s="5">
        <v>43</v>
      </c>
      <c r="E3326" s="5">
        <v>45</v>
      </c>
      <c r="F3326" t="s" s="2">
        <v>2328</v>
      </c>
      <c r="G3326" t="s" s="2">
        <v>6349</v>
      </c>
      <c r="H3326" s="5">
        <v>479</v>
      </c>
      <c r="I3326" t="s" s="2">
        <v>2082</v>
      </c>
      <c r="J3326" t="s" s="2">
        <v>22</v>
      </c>
      <c r="K3326" t="s" s="2">
        <v>6350</v>
      </c>
      <c r="L3326" t="s" s="2">
        <v>2872</v>
      </c>
      <c r="M3326" s="5">
        <v>603678.76</v>
      </c>
      <c r="N3326" s="5">
        <v>6107013.5</v>
      </c>
      <c r="O3326" t="s" s="2">
        <v>305</v>
      </c>
      <c r="P3326" s="5">
        <v>50741</v>
      </c>
      <c r="Q3326" t="s" s="2">
        <v>6351</v>
      </c>
      <c r="R3326" t="s" s="2">
        <f>_xlfn.IFERROR(INDEX('model_byCAP'!$D$2:$D$377,MATCH(Q3326,'model_byCAP'!$A$2:$A$377,0)),0)</f>
        <v>6352</v>
      </c>
    </row>
    <row r="3327" ht="15.35" customHeight="1">
      <c r="A3327" t="s" s="2">
        <v>6353</v>
      </c>
      <c r="B3327" s="4">
        <v>37382</v>
      </c>
      <c r="C3327" s="5">
        <v>600</v>
      </c>
      <c r="D3327" s="5">
        <v>43</v>
      </c>
      <c r="E3327" s="5">
        <v>45</v>
      </c>
      <c r="F3327" t="s" s="2">
        <v>2328</v>
      </c>
      <c r="G3327" t="s" s="2">
        <v>6349</v>
      </c>
      <c r="H3327" s="5">
        <v>479</v>
      </c>
      <c r="I3327" t="s" s="2">
        <v>2082</v>
      </c>
      <c r="J3327" t="s" s="2">
        <v>22</v>
      </c>
      <c r="K3327" t="s" s="2">
        <v>6350</v>
      </c>
      <c r="L3327" t="s" s="2">
        <v>2872</v>
      </c>
      <c r="M3327" s="5">
        <v>603626.59</v>
      </c>
      <c r="N3327" s="5">
        <v>6107191.93</v>
      </c>
      <c r="O3327" t="s" s="2">
        <v>305</v>
      </c>
      <c r="P3327" s="5">
        <v>50741</v>
      </c>
      <c r="Q3327" t="s" s="2">
        <v>6351</v>
      </c>
      <c r="R3327" t="s" s="2">
        <f>_xlfn.IFERROR(INDEX('model_byCAP'!$D$2:$D$377,MATCH(Q3327,'model_byCAP'!$A$2:$A$377,0)),0)</f>
        <v>6352</v>
      </c>
    </row>
    <row r="3328" ht="15.35" customHeight="1">
      <c r="A3328" t="s" s="2">
        <v>6354</v>
      </c>
      <c r="B3328" s="4">
        <v>37605</v>
      </c>
      <c r="C3328" s="5">
        <v>600</v>
      </c>
      <c r="D3328" s="5">
        <v>43</v>
      </c>
      <c r="E3328" s="5">
        <v>45</v>
      </c>
      <c r="F3328" t="s" s="2">
        <v>2328</v>
      </c>
      <c r="G3328" t="s" s="2">
        <v>6349</v>
      </c>
      <c r="H3328" s="5">
        <v>479</v>
      </c>
      <c r="I3328" t="s" s="2">
        <v>2082</v>
      </c>
      <c r="J3328" t="s" s="2">
        <v>22</v>
      </c>
      <c r="K3328" t="s" s="2">
        <v>6350</v>
      </c>
      <c r="L3328" t="s" s="2">
        <v>3395</v>
      </c>
      <c r="M3328" s="5">
        <v>603576.28</v>
      </c>
      <c r="N3328" s="5">
        <v>6107366.4</v>
      </c>
      <c r="O3328" t="s" s="2">
        <v>305</v>
      </c>
      <c r="P3328" s="5">
        <v>50741</v>
      </c>
      <c r="Q3328" t="s" s="2">
        <v>6351</v>
      </c>
      <c r="R3328" t="s" s="2">
        <f>_xlfn.IFERROR(INDEX('model_byCAP'!$D$2:$D$377,MATCH(Q3328,'model_byCAP'!$A$2:$A$377,0)),0)</f>
        <v>6352</v>
      </c>
    </row>
    <row r="3329" ht="15.35" customHeight="1">
      <c r="A3329" t="s" s="2">
        <v>6355</v>
      </c>
      <c r="B3329" s="4">
        <v>37607</v>
      </c>
      <c r="C3329" s="5">
        <v>600</v>
      </c>
      <c r="D3329" s="5">
        <v>43</v>
      </c>
      <c r="E3329" s="5">
        <v>45</v>
      </c>
      <c r="F3329" t="s" s="2">
        <v>2328</v>
      </c>
      <c r="G3329" t="s" s="2">
        <v>6356</v>
      </c>
      <c r="H3329" s="5">
        <v>479</v>
      </c>
      <c r="I3329" t="s" s="2">
        <v>2082</v>
      </c>
      <c r="J3329" t="s" s="2">
        <v>22</v>
      </c>
      <c r="K3329" t="s" s="2">
        <v>6357</v>
      </c>
      <c r="L3329" t="s" s="2">
        <v>349</v>
      </c>
      <c r="M3329" s="5">
        <v>603347.45</v>
      </c>
      <c r="N3329" s="5">
        <v>6094588.22</v>
      </c>
      <c r="O3329" t="s" s="2">
        <v>305</v>
      </c>
      <c r="P3329" s="5">
        <v>50751</v>
      </c>
      <c r="Q3329" t="s" s="2">
        <v>6358</v>
      </c>
      <c r="R3329" t="s" s="2">
        <f>_xlfn.IFERROR(INDEX('model_byCAP'!$D$2:$D$377,MATCH(Q3329,'model_byCAP'!$A$2:$A$377,0)),0)</f>
        <v>6352</v>
      </c>
    </row>
    <row r="3330" ht="15.35" customHeight="1">
      <c r="A3330" t="s" s="2">
        <v>6359</v>
      </c>
      <c r="B3330" s="4">
        <v>35549</v>
      </c>
      <c r="C3330" s="5">
        <v>600</v>
      </c>
      <c r="D3330" s="5">
        <v>44</v>
      </c>
      <c r="E3330" s="5">
        <v>50</v>
      </c>
      <c r="F3330" t="s" s="2">
        <v>301</v>
      </c>
      <c r="G3330" t="s" s="2">
        <v>5700</v>
      </c>
      <c r="H3330" s="5">
        <v>480</v>
      </c>
      <c r="I3330" t="s" s="2">
        <v>3957</v>
      </c>
      <c r="J3330" t="s" s="2">
        <v>22</v>
      </c>
      <c r="K3330" t="s" s="2">
        <v>6360</v>
      </c>
      <c r="L3330" t="s" s="2">
        <v>1656</v>
      </c>
      <c r="M3330" s="5">
        <v>585177.01</v>
      </c>
      <c r="N3330" s="5">
        <v>6160678.13</v>
      </c>
      <c r="O3330" t="s" s="2">
        <v>305</v>
      </c>
      <c r="P3330" s="5">
        <v>99104</v>
      </c>
      <c r="Q3330" t="s" s="2">
        <v>5701</v>
      </c>
      <c r="R3330" t="s" s="2">
        <f>_xlfn.IFERROR(INDEX('model_byCAP'!$D$2:$D$377,MATCH(Q3330,'model_byCAP'!$A$2:$A$377,0)),0)</f>
        <v>5702</v>
      </c>
    </row>
    <row r="3331" ht="15.35" customHeight="1">
      <c r="A3331" t="s" s="2">
        <v>6361</v>
      </c>
      <c r="B3331" s="4">
        <v>35618</v>
      </c>
      <c r="C3331" s="5">
        <v>600</v>
      </c>
      <c r="D3331" s="5">
        <v>44</v>
      </c>
      <c r="E3331" s="5">
        <v>45</v>
      </c>
      <c r="F3331" t="s" s="2">
        <v>1989</v>
      </c>
      <c r="G3331" t="s" s="2">
        <v>5962</v>
      </c>
      <c r="H3331" s="5">
        <v>480</v>
      </c>
      <c r="I3331" t="s" s="2">
        <v>3957</v>
      </c>
      <c r="J3331" t="s" s="2">
        <v>22</v>
      </c>
      <c r="K3331" t="s" s="2">
        <v>6362</v>
      </c>
      <c r="L3331" t="s" s="2">
        <v>1256</v>
      </c>
      <c r="M3331" s="5">
        <v>573686.3</v>
      </c>
      <c r="N3331" s="5">
        <v>6150873.2</v>
      </c>
      <c r="O3331" t="s" s="2">
        <v>305</v>
      </c>
      <c r="P3331" s="5">
        <v>99105</v>
      </c>
      <c r="Q3331" t="s" s="2">
        <v>5964</v>
      </c>
      <c r="R3331" t="s" s="2">
        <f>_xlfn.IFERROR(INDEX('model_byCAP'!$D$2:$D$377,MATCH(Q3331,'model_byCAP'!$A$2:$A$377,0)),0)</f>
        <v>5955</v>
      </c>
    </row>
    <row r="3332" ht="15.35" customHeight="1">
      <c r="A3332" t="s" s="2">
        <v>6363</v>
      </c>
      <c r="B3332" s="4">
        <v>35704</v>
      </c>
      <c r="C3332" s="5">
        <v>600</v>
      </c>
      <c r="D3332" s="5">
        <v>43</v>
      </c>
      <c r="E3332" s="5">
        <v>50</v>
      </c>
      <c r="F3332" t="s" s="2">
        <v>42</v>
      </c>
      <c r="G3332" t="s" s="2">
        <v>42</v>
      </c>
      <c r="H3332" s="5">
        <v>480</v>
      </c>
      <c r="I3332" t="s" s="2">
        <v>3957</v>
      </c>
      <c r="J3332" t="s" s="2">
        <v>22</v>
      </c>
      <c r="K3332" t="s" s="2">
        <v>6364</v>
      </c>
      <c r="L3332" t="s" s="2">
        <v>498</v>
      </c>
      <c r="M3332" s="5">
        <v>577942.3100000001</v>
      </c>
      <c r="N3332" s="5">
        <v>6152104.14</v>
      </c>
      <c r="O3332" t="s" s="2">
        <v>305</v>
      </c>
      <c r="P3332" s="5">
        <v>99108</v>
      </c>
      <c r="Q3332" t="s" s="2">
        <v>43</v>
      </c>
      <c r="R3332" s="5">
        <f>_xlfn.IFERROR(INDEX('model_byCAP'!$D$2:$D$377,MATCH(Q3332,'model_byCAP'!$A$2:$A$377,0)),0)</f>
        <v>0</v>
      </c>
    </row>
    <row r="3333" ht="15.35" customHeight="1">
      <c r="A3333" t="s" s="2">
        <v>6365</v>
      </c>
      <c r="B3333" s="4">
        <v>35704</v>
      </c>
      <c r="C3333" s="5">
        <v>600</v>
      </c>
      <c r="D3333" s="5">
        <v>43</v>
      </c>
      <c r="E3333" s="5">
        <v>50</v>
      </c>
      <c r="F3333" t="s" s="2">
        <v>42</v>
      </c>
      <c r="G3333" t="s" s="2">
        <v>42</v>
      </c>
      <c r="H3333" s="5">
        <v>480</v>
      </c>
      <c r="I3333" t="s" s="2">
        <v>3957</v>
      </c>
      <c r="J3333" t="s" s="2">
        <v>22</v>
      </c>
      <c r="K3333" t="s" s="2">
        <v>6364</v>
      </c>
      <c r="L3333" t="s" s="2">
        <v>1608</v>
      </c>
      <c r="M3333" s="5">
        <v>577961.37</v>
      </c>
      <c r="N3333" s="5">
        <v>6151680</v>
      </c>
      <c r="O3333" t="s" s="2">
        <v>305</v>
      </c>
      <c r="P3333" s="5">
        <v>99108</v>
      </c>
      <c r="Q3333" t="s" s="2">
        <v>43</v>
      </c>
      <c r="R3333" s="5">
        <f>_xlfn.IFERROR(INDEX('model_byCAP'!$D$2:$D$377,MATCH(Q3333,'model_byCAP'!$A$2:$A$377,0)),0)</f>
        <v>0</v>
      </c>
    </row>
    <row r="3334" ht="15.35" customHeight="1">
      <c r="A3334" t="s" s="2">
        <v>6366</v>
      </c>
      <c r="B3334" s="4">
        <v>35709</v>
      </c>
      <c r="C3334" s="5">
        <v>600</v>
      </c>
      <c r="D3334" s="5">
        <v>43</v>
      </c>
      <c r="E3334" s="5">
        <v>50</v>
      </c>
      <c r="F3334" t="s" s="2">
        <v>42</v>
      </c>
      <c r="G3334" t="s" s="2">
        <v>42</v>
      </c>
      <c r="H3334" s="5">
        <v>480</v>
      </c>
      <c r="I3334" t="s" s="2">
        <v>3957</v>
      </c>
      <c r="J3334" t="s" s="2">
        <v>22</v>
      </c>
      <c r="K3334" t="s" s="2">
        <v>6364</v>
      </c>
      <c r="L3334" t="s" s="2">
        <v>498</v>
      </c>
      <c r="M3334" s="5">
        <v>578151.25</v>
      </c>
      <c r="N3334" s="5">
        <v>6152146.15</v>
      </c>
      <c r="O3334" t="s" s="2">
        <v>305</v>
      </c>
      <c r="P3334" s="5">
        <v>99108</v>
      </c>
      <c r="Q3334" t="s" s="2">
        <v>43</v>
      </c>
      <c r="R3334" s="5">
        <f>_xlfn.IFERROR(INDEX('model_byCAP'!$D$2:$D$377,MATCH(Q3334,'model_byCAP'!$A$2:$A$377,0)),0)</f>
        <v>0</v>
      </c>
    </row>
    <row r="3335" ht="15.35" customHeight="1">
      <c r="A3335" t="s" s="2">
        <v>6367</v>
      </c>
      <c r="B3335" s="4">
        <v>35706</v>
      </c>
      <c r="C3335" s="5">
        <v>600</v>
      </c>
      <c r="D3335" s="5">
        <v>43</v>
      </c>
      <c r="E3335" s="5">
        <v>50</v>
      </c>
      <c r="F3335" t="s" s="2">
        <v>42</v>
      </c>
      <c r="G3335" t="s" s="2">
        <v>42</v>
      </c>
      <c r="H3335" s="5">
        <v>480</v>
      </c>
      <c r="I3335" t="s" s="2">
        <v>3957</v>
      </c>
      <c r="J3335" t="s" s="2">
        <v>22</v>
      </c>
      <c r="K3335" t="s" s="2">
        <v>6364</v>
      </c>
      <c r="L3335" t="s" s="2">
        <v>3706</v>
      </c>
      <c r="M3335" s="5">
        <v>578159.98</v>
      </c>
      <c r="N3335" s="5">
        <v>6151934.55</v>
      </c>
      <c r="O3335" t="s" s="2">
        <v>305</v>
      </c>
      <c r="P3335" s="5">
        <v>99109</v>
      </c>
      <c r="Q3335" t="s" s="2">
        <v>43</v>
      </c>
      <c r="R3335" s="5">
        <f>_xlfn.IFERROR(INDEX('model_byCAP'!$D$2:$D$377,MATCH(Q3335,'model_byCAP'!$A$2:$A$377,0)),0)</f>
        <v>0</v>
      </c>
    </row>
    <row r="3336" ht="15.35" customHeight="1">
      <c r="A3336" t="s" s="2">
        <v>6368</v>
      </c>
      <c r="B3336" s="4">
        <v>35706</v>
      </c>
      <c r="C3336" s="5">
        <v>600</v>
      </c>
      <c r="D3336" s="5">
        <v>43</v>
      </c>
      <c r="E3336" s="5">
        <v>50</v>
      </c>
      <c r="F3336" t="s" s="2">
        <v>42</v>
      </c>
      <c r="G3336" t="s" s="2">
        <v>42</v>
      </c>
      <c r="H3336" s="5">
        <v>480</v>
      </c>
      <c r="I3336" t="s" s="2">
        <v>3957</v>
      </c>
      <c r="J3336" t="s" s="2">
        <v>22</v>
      </c>
      <c r="K3336" t="s" s="2">
        <v>6364</v>
      </c>
      <c r="L3336" t="s" s="2">
        <v>1537</v>
      </c>
      <c r="M3336" s="5">
        <v>577951.67</v>
      </c>
      <c r="N3336" s="5">
        <v>6151892.38</v>
      </c>
      <c r="O3336" t="s" s="2">
        <v>305</v>
      </c>
      <c r="P3336" s="5">
        <v>99109</v>
      </c>
      <c r="Q3336" t="s" s="2">
        <v>43</v>
      </c>
      <c r="R3336" s="5">
        <f>_xlfn.IFERROR(INDEX('model_byCAP'!$D$2:$D$377,MATCH(Q3336,'model_byCAP'!$A$2:$A$377,0)),0)</f>
        <v>0</v>
      </c>
    </row>
    <row r="3337" ht="15.35" customHeight="1">
      <c r="A3337" t="s" s="2">
        <v>6369</v>
      </c>
      <c r="B3337" s="4">
        <v>35845</v>
      </c>
      <c r="C3337" s="5">
        <v>600</v>
      </c>
      <c r="D3337" s="5">
        <v>44</v>
      </c>
      <c r="E3337" s="5">
        <v>45</v>
      </c>
      <c r="F3337" t="s" s="2">
        <v>1989</v>
      </c>
      <c r="G3337" t="s" s="2">
        <v>6085</v>
      </c>
      <c r="H3337" s="5">
        <v>480</v>
      </c>
      <c r="I3337" t="s" s="2">
        <v>3957</v>
      </c>
      <c r="J3337" t="s" s="2">
        <v>22</v>
      </c>
      <c r="K3337" t="s" s="2">
        <v>6370</v>
      </c>
      <c r="L3337" t="s" s="2">
        <v>2931</v>
      </c>
      <c r="M3337" s="5">
        <v>573833.5600000001</v>
      </c>
      <c r="N3337" s="5">
        <v>6150684.91</v>
      </c>
      <c r="O3337" t="s" s="2">
        <v>305</v>
      </c>
      <c r="P3337" s="5">
        <v>99120</v>
      </c>
      <c r="Q3337" t="s" s="2">
        <v>6087</v>
      </c>
      <c r="R3337" t="s" s="2">
        <f>_xlfn.IFERROR(INDEX('model_byCAP'!$D$2:$D$377,MATCH(Q3337,'model_byCAP'!$A$2:$A$377,0)),0)</f>
        <v>5955</v>
      </c>
    </row>
    <row r="3338" ht="15.35" customHeight="1">
      <c r="A3338" t="s" s="2">
        <v>6371</v>
      </c>
      <c r="B3338" s="4">
        <v>35845</v>
      </c>
      <c r="C3338" s="5">
        <v>600</v>
      </c>
      <c r="D3338" s="5">
        <v>44</v>
      </c>
      <c r="E3338" s="5">
        <v>50</v>
      </c>
      <c r="F3338" t="s" s="2">
        <v>1989</v>
      </c>
      <c r="G3338" t="s" s="2">
        <v>6085</v>
      </c>
      <c r="H3338" s="5">
        <v>480</v>
      </c>
      <c r="I3338" t="s" s="2">
        <v>3957</v>
      </c>
      <c r="J3338" t="s" s="2">
        <v>22</v>
      </c>
      <c r="K3338" t="s" s="2">
        <v>6372</v>
      </c>
      <c r="L3338" t="s" s="2">
        <v>1153</v>
      </c>
      <c r="M3338" s="5">
        <v>573821.02</v>
      </c>
      <c r="N3338" s="5">
        <v>6150985.55</v>
      </c>
      <c r="O3338" t="s" s="2">
        <v>305</v>
      </c>
      <c r="P3338" s="5">
        <v>99121</v>
      </c>
      <c r="Q3338" t="s" s="2">
        <v>6087</v>
      </c>
      <c r="R3338" t="s" s="2">
        <f>_xlfn.IFERROR(INDEX('model_byCAP'!$D$2:$D$377,MATCH(Q3338,'model_byCAP'!$A$2:$A$377,0)),0)</f>
        <v>5955</v>
      </c>
    </row>
    <row r="3339" ht="15.35" customHeight="1">
      <c r="A3339" t="s" s="2">
        <v>6373</v>
      </c>
      <c r="B3339" s="4">
        <v>35954</v>
      </c>
      <c r="C3339" s="5">
        <v>600</v>
      </c>
      <c r="D3339" s="5">
        <v>44</v>
      </c>
      <c r="E3339" s="5">
        <v>55</v>
      </c>
      <c r="F3339" t="s" s="2">
        <v>301</v>
      </c>
      <c r="G3339" t="s" s="2">
        <v>5700</v>
      </c>
      <c r="H3339" s="5">
        <v>480</v>
      </c>
      <c r="I3339" t="s" s="2">
        <v>3957</v>
      </c>
      <c r="J3339" t="s" s="2">
        <v>22</v>
      </c>
      <c r="K3339" t="s" s="2">
        <v>6374</v>
      </c>
      <c r="L3339" t="s" s="2">
        <v>6375</v>
      </c>
      <c r="M3339" s="5">
        <v>585138.9300000001</v>
      </c>
      <c r="N3339" s="5">
        <v>6160482.59</v>
      </c>
      <c r="O3339" t="s" s="2">
        <v>305</v>
      </c>
      <c r="P3339" s="5">
        <v>99124</v>
      </c>
      <c r="Q3339" t="s" s="2">
        <v>5701</v>
      </c>
      <c r="R3339" t="s" s="2">
        <f>_xlfn.IFERROR(INDEX('model_byCAP'!$D$2:$D$377,MATCH(Q3339,'model_byCAP'!$A$2:$A$377,0)),0)</f>
        <v>5702</v>
      </c>
    </row>
    <row r="3340" ht="15.35" customHeight="1">
      <c r="A3340" t="s" s="2">
        <v>6376</v>
      </c>
      <c r="B3340" s="4">
        <v>35769</v>
      </c>
      <c r="C3340" s="5">
        <v>600</v>
      </c>
      <c r="D3340" s="5">
        <v>44</v>
      </c>
      <c r="E3340" s="5">
        <v>50</v>
      </c>
      <c r="F3340" t="s" s="2">
        <v>301</v>
      </c>
      <c r="G3340" t="s" s="2">
        <v>5700</v>
      </c>
      <c r="H3340" s="5">
        <v>482</v>
      </c>
      <c r="I3340" t="s" s="2">
        <v>1523</v>
      </c>
      <c r="J3340" t="s" s="2">
        <v>22</v>
      </c>
      <c r="K3340" t="s" s="2">
        <v>4429</v>
      </c>
      <c r="L3340" t="s" s="2">
        <v>492</v>
      </c>
      <c r="M3340" s="5">
        <v>612870.3199999999</v>
      </c>
      <c r="N3340" s="5">
        <v>6087811.92</v>
      </c>
      <c r="O3340" t="s" s="2">
        <v>305</v>
      </c>
      <c r="P3340" s="5">
        <v>1716101</v>
      </c>
      <c r="Q3340" t="s" s="2">
        <v>5701</v>
      </c>
      <c r="R3340" t="s" s="2">
        <f>_xlfn.IFERROR(INDEX('model_byCAP'!$D$2:$D$377,MATCH(Q3340,'model_byCAP'!$A$2:$A$377,0)),0)</f>
        <v>5702</v>
      </c>
    </row>
    <row r="3341" ht="15.35" customHeight="1">
      <c r="A3341" t="s" s="2">
        <v>6377</v>
      </c>
      <c r="B3341" s="4">
        <v>35747</v>
      </c>
      <c r="C3341" s="5">
        <v>600</v>
      </c>
      <c r="D3341" s="5">
        <v>43</v>
      </c>
      <c r="E3341" s="5">
        <v>50</v>
      </c>
      <c r="F3341" t="s" s="2">
        <v>42</v>
      </c>
      <c r="G3341" t="s" s="2">
        <v>42</v>
      </c>
      <c r="H3341" s="5">
        <v>482</v>
      </c>
      <c r="I3341" t="s" s="2">
        <v>1523</v>
      </c>
      <c r="J3341" t="s" s="2">
        <v>22</v>
      </c>
      <c r="K3341" t="s" s="2">
        <v>4429</v>
      </c>
      <c r="L3341" t="s" s="2">
        <v>862</v>
      </c>
      <c r="M3341" s="5">
        <v>612901.59</v>
      </c>
      <c r="N3341" s="5">
        <v>6087674.14</v>
      </c>
      <c r="O3341" t="s" s="2">
        <v>305</v>
      </c>
      <c r="P3341" s="5">
        <v>1716207</v>
      </c>
      <c r="Q3341" t="s" s="2">
        <v>43</v>
      </c>
      <c r="R3341" s="5">
        <f>_xlfn.IFERROR(INDEX('model_byCAP'!$D$2:$D$377,MATCH(Q3341,'model_byCAP'!$A$2:$A$377,0)),0)</f>
        <v>0</v>
      </c>
    </row>
    <row r="3342" ht="15.35" customHeight="1">
      <c r="A3342" t="s" s="2">
        <v>6378</v>
      </c>
      <c r="B3342" s="4">
        <v>35759</v>
      </c>
      <c r="C3342" s="5">
        <v>600</v>
      </c>
      <c r="D3342" s="5">
        <v>43</v>
      </c>
      <c r="E3342" s="5">
        <v>50</v>
      </c>
      <c r="F3342" t="s" s="2">
        <v>42</v>
      </c>
      <c r="G3342" t="s" s="2">
        <v>42</v>
      </c>
      <c r="H3342" s="5">
        <v>482</v>
      </c>
      <c r="I3342" t="s" s="2">
        <v>1523</v>
      </c>
      <c r="J3342" t="s" s="2">
        <v>22</v>
      </c>
      <c r="K3342" t="s" s="2">
        <v>4429</v>
      </c>
      <c r="L3342" t="s" s="2">
        <v>2872</v>
      </c>
      <c r="M3342" s="5">
        <v>612979.47</v>
      </c>
      <c r="N3342" s="5">
        <v>6088970.08</v>
      </c>
      <c r="O3342" t="s" s="2">
        <v>305</v>
      </c>
      <c r="P3342" s="5">
        <v>1756289</v>
      </c>
      <c r="Q3342" t="s" s="2">
        <v>43</v>
      </c>
      <c r="R3342" s="5">
        <f>_xlfn.IFERROR(INDEX('model_byCAP'!$D$2:$D$377,MATCH(Q3342,'model_byCAP'!$A$2:$A$377,0)),0)</f>
        <v>0</v>
      </c>
    </row>
    <row r="3343" ht="15.35" customHeight="1">
      <c r="A3343" t="s" s="2">
        <v>6379</v>
      </c>
      <c r="B3343" s="4">
        <v>35759</v>
      </c>
      <c r="C3343" s="5">
        <v>600</v>
      </c>
      <c r="D3343" s="5">
        <v>43</v>
      </c>
      <c r="E3343" s="5">
        <v>50</v>
      </c>
      <c r="F3343" t="s" s="2">
        <v>42</v>
      </c>
      <c r="G3343" t="s" s="2">
        <v>42</v>
      </c>
      <c r="H3343" s="5">
        <v>482</v>
      </c>
      <c r="I3343" t="s" s="2">
        <v>1523</v>
      </c>
      <c r="J3343" t="s" s="2">
        <v>22</v>
      </c>
      <c r="K3343" t="s" s="2">
        <v>4429</v>
      </c>
      <c r="L3343" t="s" s="2">
        <v>2872</v>
      </c>
      <c r="M3343" s="5">
        <v>612894.58</v>
      </c>
      <c r="N3343" s="5">
        <v>6089172.7</v>
      </c>
      <c r="O3343" t="s" s="2">
        <v>305</v>
      </c>
      <c r="P3343" s="5">
        <v>1756489</v>
      </c>
      <c r="Q3343" t="s" s="2">
        <v>43</v>
      </c>
      <c r="R3343" s="5">
        <f>_xlfn.IFERROR(INDEX('model_byCAP'!$D$2:$D$377,MATCH(Q3343,'model_byCAP'!$A$2:$A$377,0)),0)</f>
        <v>0</v>
      </c>
    </row>
    <row r="3344" ht="15.35" customHeight="1">
      <c r="A3344" t="s" s="2">
        <v>6380</v>
      </c>
      <c r="B3344" s="4">
        <v>35762</v>
      </c>
      <c r="C3344" s="5">
        <v>600</v>
      </c>
      <c r="D3344" s="5">
        <v>43</v>
      </c>
      <c r="E3344" s="5">
        <v>50</v>
      </c>
      <c r="F3344" t="s" s="2">
        <v>42</v>
      </c>
      <c r="G3344" t="s" s="2">
        <v>42</v>
      </c>
      <c r="H3344" s="5">
        <v>482</v>
      </c>
      <c r="I3344" t="s" s="2">
        <v>1523</v>
      </c>
      <c r="J3344" t="s" s="2">
        <v>22</v>
      </c>
      <c r="K3344" t="s" s="2">
        <v>4434</v>
      </c>
      <c r="L3344" t="s" s="2">
        <v>3205</v>
      </c>
      <c r="M3344" s="5">
        <v>612933.27</v>
      </c>
      <c r="N3344" s="5">
        <v>6087533.54</v>
      </c>
      <c r="O3344" t="s" s="2">
        <v>305</v>
      </c>
      <c r="P3344" s="5">
        <v>5844101</v>
      </c>
      <c r="Q3344" t="s" s="2">
        <v>43</v>
      </c>
      <c r="R3344" s="5">
        <f>_xlfn.IFERROR(INDEX('model_byCAP'!$D$2:$D$377,MATCH(Q3344,'model_byCAP'!$A$2:$A$377,0)),0)</f>
        <v>0</v>
      </c>
    </row>
    <row r="3345" ht="15.35" customHeight="1">
      <c r="A3345" t="s" s="2">
        <v>6381</v>
      </c>
      <c r="B3345" s="4">
        <v>35835</v>
      </c>
      <c r="C3345" s="5">
        <v>600</v>
      </c>
      <c r="D3345" s="5">
        <v>44</v>
      </c>
      <c r="E3345" s="5">
        <v>50</v>
      </c>
      <c r="F3345" t="s" s="2">
        <v>301</v>
      </c>
      <c r="G3345" t="s" s="2">
        <v>5700</v>
      </c>
      <c r="H3345" s="5">
        <v>482</v>
      </c>
      <c r="I3345" t="s" s="2">
        <v>1523</v>
      </c>
      <c r="J3345" t="s" s="2">
        <v>22</v>
      </c>
      <c r="K3345" t="s" s="2">
        <v>4434</v>
      </c>
      <c r="L3345" t="s" s="2">
        <v>5875</v>
      </c>
      <c r="M3345" s="5">
        <v>612964.5699999999</v>
      </c>
      <c r="N3345" s="5">
        <v>6087398.82</v>
      </c>
      <c r="O3345" t="s" s="2">
        <v>305</v>
      </c>
      <c r="P3345" s="5">
        <v>5844301</v>
      </c>
      <c r="Q3345" t="s" s="2">
        <v>5701</v>
      </c>
      <c r="R3345" t="s" s="2">
        <f>_xlfn.IFERROR(INDEX('model_byCAP'!$D$2:$D$377,MATCH(Q3345,'model_byCAP'!$A$2:$A$377,0)),0)</f>
        <v>5702</v>
      </c>
    </row>
    <row r="3346" ht="15.35" customHeight="1">
      <c r="A3346" t="s" s="2">
        <v>6382</v>
      </c>
      <c r="B3346" s="4">
        <v>35759</v>
      </c>
      <c r="C3346" s="5">
        <v>600</v>
      </c>
      <c r="D3346" s="5">
        <v>43</v>
      </c>
      <c r="E3346" s="5">
        <v>50</v>
      </c>
      <c r="F3346" t="s" s="2">
        <v>42</v>
      </c>
      <c r="G3346" t="s" s="2">
        <v>42</v>
      </c>
      <c r="H3346" s="5">
        <v>482</v>
      </c>
      <c r="I3346" t="s" s="2">
        <v>1523</v>
      </c>
      <c r="J3346" t="s" s="2">
        <v>22</v>
      </c>
      <c r="K3346" t="s" s="2">
        <v>4434</v>
      </c>
      <c r="L3346" t="s" s="2">
        <v>1258</v>
      </c>
      <c r="M3346" s="5">
        <v>611978.6</v>
      </c>
      <c r="N3346" s="5">
        <v>6086927.81</v>
      </c>
      <c r="O3346" t="s" s="2">
        <v>305</v>
      </c>
      <c r="P3346" s="5">
        <v>5852303</v>
      </c>
      <c r="Q3346" t="s" s="2">
        <v>43</v>
      </c>
      <c r="R3346" s="5">
        <f>_xlfn.IFERROR(INDEX('model_byCAP'!$D$2:$D$377,MATCH(Q3346,'model_byCAP'!$A$2:$A$377,0)),0)</f>
        <v>0</v>
      </c>
    </row>
    <row r="3347" ht="15.35" customHeight="1">
      <c r="A3347" t="s" s="2">
        <v>6383</v>
      </c>
      <c r="B3347" s="4">
        <v>35674</v>
      </c>
      <c r="C3347" s="5">
        <v>600</v>
      </c>
      <c r="D3347" s="5">
        <v>43</v>
      </c>
      <c r="E3347" s="5">
        <v>44.6</v>
      </c>
      <c r="F3347" t="s" s="2">
        <v>42</v>
      </c>
      <c r="G3347" t="s" s="2">
        <v>42</v>
      </c>
      <c r="H3347" s="5">
        <v>482</v>
      </c>
      <c r="I3347" t="s" s="2">
        <v>1523</v>
      </c>
      <c r="J3347" t="s" s="2">
        <v>22</v>
      </c>
      <c r="K3347" t="s" s="2">
        <v>6384</v>
      </c>
      <c r="L3347" t="s" s="2">
        <v>524</v>
      </c>
      <c r="M3347" s="5">
        <v>609360.49</v>
      </c>
      <c r="N3347" s="5">
        <v>6080813.19</v>
      </c>
      <c r="O3347" t="s" s="2">
        <v>305</v>
      </c>
      <c r="P3347" s="5">
        <v>12292214</v>
      </c>
      <c r="Q3347" t="s" s="2">
        <v>43</v>
      </c>
      <c r="R3347" s="5">
        <f>_xlfn.IFERROR(INDEX('model_byCAP'!$D$2:$D$377,MATCH(Q3347,'model_byCAP'!$A$2:$A$377,0)),0)</f>
        <v>0</v>
      </c>
    </row>
    <row r="3348" ht="15.35" customHeight="1">
      <c r="A3348" t="s" s="2">
        <v>6385</v>
      </c>
      <c r="B3348" s="4">
        <v>35452</v>
      </c>
      <c r="C3348" s="5">
        <v>600</v>
      </c>
      <c r="D3348" s="5">
        <v>44</v>
      </c>
      <c r="E3348" s="5">
        <v>40</v>
      </c>
      <c r="F3348" t="s" s="2">
        <v>301</v>
      </c>
      <c r="G3348" t="s" s="2">
        <v>5700</v>
      </c>
      <c r="H3348" s="5">
        <v>482</v>
      </c>
      <c r="I3348" t="s" s="2">
        <v>1523</v>
      </c>
      <c r="J3348" t="s" s="2">
        <v>22</v>
      </c>
      <c r="K3348" t="s" s="2">
        <v>3201</v>
      </c>
      <c r="L3348" t="s" s="2">
        <v>1565</v>
      </c>
      <c r="M3348" s="5">
        <v>609338.72</v>
      </c>
      <c r="N3348" s="5">
        <v>6068571.57</v>
      </c>
      <c r="O3348" t="s" s="2">
        <v>305</v>
      </c>
      <c r="P3348" s="5">
        <v>22136103</v>
      </c>
      <c r="Q3348" t="s" s="2">
        <v>5701</v>
      </c>
      <c r="R3348" t="s" s="2">
        <f>_xlfn.IFERROR(INDEX('model_byCAP'!$D$2:$D$377,MATCH(Q3348,'model_byCAP'!$A$2:$A$377,0)),0)</f>
        <v>5702</v>
      </c>
    </row>
    <row r="3349" ht="15.35" customHeight="1">
      <c r="A3349" t="s" s="2">
        <v>6386</v>
      </c>
      <c r="B3349" s="4">
        <v>35417</v>
      </c>
      <c r="C3349" s="5">
        <v>600</v>
      </c>
      <c r="D3349" s="5">
        <v>42</v>
      </c>
      <c r="E3349" s="5">
        <v>45</v>
      </c>
      <c r="F3349" t="s" s="2">
        <v>301</v>
      </c>
      <c r="G3349" t="s" s="2">
        <v>6100</v>
      </c>
      <c r="H3349" s="5">
        <v>482</v>
      </c>
      <c r="I3349" t="s" s="2">
        <v>1523</v>
      </c>
      <c r="J3349" t="s" s="2">
        <v>22</v>
      </c>
      <c r="K3349" t="s" s="2">
        <v>6387</v>
      </c>
      <c r="L3349" t="s" s="2">
        <v>1422</v>
      </c>
      <c r="M3349" s="5">
        <v>607925.27</v>
      </c>
      <c r="N3349" s="5">
        <v>6067198.01</v>
      </c>
      <c r="O3349" t="s" s="2">
        <v>305</v>
      </c>
      <c r="P3349" s="5">
        <v>22288103</v>
      </c>
      <c r="Q3349" t="s" s="2">
        <v>6102</v>
      </c>
      <c r="R3349" t="s" s="2">
        <f>_xlfn.IFERROR(INDEX('model_byCAP'!$D$2:$D$377,MATCH(Q3349,'model_byCAP'!$A$2:$A$377,0)),0)</f>
        <v>6103</v>
      </c>
    </row>
    <row r="3350" ht="15.35" customHeight="1">
      <c r="A3350" t="s" s="2">
        <v>6388</v>
      </c>
      <c r="B3350" s="4">
        <v>35874</v>
      </c>
      <c r="C3350" s="5">
        <v>600</v>
      </c>
      <c r="D3350" s="5">
        <v>42</v>
      </c>
      <c r="E3350" s="5">
        <v>45</v>
      </c>
      <c r="F3350" t="s" s="2">
        <v>301</v>
      </c>
      <c r="G3350" t="s" s="2">
        <v>6100</v>
      </c>
      <c r="H3350" s="5">
        <v>482</v>
      </c>
      <c r="I3350" t="s" s="2">
        <v>1523</v>
      </c>
      <c r="J3350" t="s" s="2">
        <v>22</v>
      </c>
      <c r="K3350" t="s" s="2">
        <v>3201</v>
      </c>
      <c r="L3350" t="s" s="2">
        <v>1717</v>
      </c>
      <c r="M3350" s="5">
        <v>609955.9300000001</v>
      </c>
      <c r="N3350" s="5">
        <v>6066958.63</v>
      </c>
      <c r="O3350" t="s" s="2">
        <v>305</v>
      </c>
      <c r="P3350" s="5">
        <v>23372101</v>
      </c>
      <c r="Q3350" t="s" s="2">
        <v>6102</v>
      </c>
      <c r="R3350" t="s" s="2">
        <f>_xlfn.IFERROR(INDEX('model_byCAP'!$D$2:$D$377,MATCH(Q3350,'model_byCAP'!$A$2:$A$377,0)),0)</f>
        <v>6103</v>
      </c>
    </row>
    <row r="3351" ht="15.35" customHeight="1">
      <c r="A3351" t="s" s="2">
        <v>6389</v>
      </c>
      <c r="B3351" s="4">
        <v>35769</v>
      </c>
      <c r="C3351" s="5">
        <v>600</v>
      </c>
      <c r="D3351" s="5">
        <v>44</v>
      </c>
      <c r="E3351" s="5">
        <v>50</v>
      </c>
      <c r="F3351" t="s" s="2">
        <v>301</v>
      </c>
      <c r="G3351" t="s" s="2">
        <v>5700</v>
      </c>
      <c r="H3351" s="5">
        <v>482</v>
      </c>
      <c r="I3351" t="s" s="2">
        <v>1523</v>
      </c>
      <c r="J3351" t="s" s="2">
        <v>22</v>
      </c>
      <c r="K3351" t="s" s="2">
        <v>6390</v>
      </c>
      <c r="L3351" t="s" s="2">
        <v>2931</v>
      </c>
      <c r="M3351" s="5">
        <v>612809.96</v>
      </c>
      <c r="N3351" s="5">
        <v>6089375.5</v>
      </c>
      <c r="O3351" t="s" s="2">
        <v>305</v>
      </c>
      <c r="P3351" s="5">
        <v>24284102</v>
      </c>
      <c r="Q3351" t="s" s="2">
        <v>5701</v>
      </c>
      <c r="R3351" t="s" s="2">
        <f>_xlfn.IFERROR(INDEX('model_byCAP'!$D$2:$D$377,MATCH(Q3351,'model_byCAP'!$A$2:$A$377,0)),0)</f>
        <v>5702</v>
      </c>
    </row>
    <row r="3352" ht="15.35" customHeight="1">
      <c r="A3352" t="s" s="2">
        <v>6391</v>
      </c>
      <c r="B3352" s="4">
        <v>35695</v>
      </c>
      <c r="C3352" s="5">
        <v>600</v>
      </c>
      <c r="D3352" s="5">
        <v>43</v>
      </c>
      <c r="E3352" s="5">
        <v>56.5</v>
      </c>
      <c r="F3352" t="s" s="2">
        <v>1746</v>
      </c>
      <c r="G3352" t="s" s="2">
        <v>6286</v>
      </c>
      <c r="H3352" s="5">
        <v>482</v>
      </c>
      <c r="I3352" t="s" s="2">
        <v>1523</v>
      </c>
      <c r="J3352" t="s" s="2">
        <v>22</v>
      </c>
      <c r="K3352" t="s" s="2">
        <v>6392</v>
      </c>
      <c r="L3352" t="s" s="2">
        <v>6393</v>
      </c>
      <c r="M3352" s="5">
        <v>611213.34</v>
      </c>
      <c r="N3352" s="5">
        <v>6089159.94</v>
      </c>
      <c r="O3352" t="s" s="2">
        <v>305</v>
      </c>
      <c r="P3352" s="5">
        <v>87186044</v>
      </c>
      <c r="Q3352" t="s" s="2">
        <v>6288</v>
      </c>
      <c r="R3352" t="s" s="2">
        <f>_xlfn.IFERROR(INDEX('model_byCAP'!$D$2:$D$377,MATCH(Q3352,'model_byCAP'!$A$2:$A$377,0)),0)</f>
        <v>2955</v>
      </c>
    </row>
    <row r="3353" ht="15.35" customHeight="1">
      <c r="A3353" t="s" s="2">
        <v>6394</v>
      </c>
      <c r="B3353" s="4">
        <v>35628</v>
      </c>
      <c r="C3353" s="5">
        <v>600</v>
      </c>
      <c r="D3353" s="5">
        <v>0.1</v>
      </c>
      <c r="E3353" s="5">
        <v>0.1</v>
      </c>
      <c r="F3353" t="s" s="2">
        <v>42</v>
      </c>
      <c r="G3353" t="s" s="2">
        <v>42</v>
      </c>
      <c r="H3353" s="5">
        <v>510</v>
      </c>
      <c r="I3353" t="s" s="2">
        <v>3049</v>
      </c>
      <c r="J3353" t="s" s="2">
        <v>22</v>
      </c>
      <c r="K3353" t="s" s="2">
        <v>6395</v>
      </c>
      <c r="L3353" s="5">
        <v>510</v>
      </c>
      <c r="M3353" s="5">
        <v>504262.76</v>
      </c>
      <c r="N3353" s="5">
        <v>6122819.37</v>
      </c>
      <c r="O3353" t="s" s="2">
        <v>305</v>
      </c>
      <c r="P3353" s="5">
        <v>22996</v>
      </c>
      <c r="Q3353" t="s" s="2">
        <v>43</v>
      </c>
      <c r="R3353" s="5">
        <f>_xlfn.IFERROR(INDEX('model_byCAP'!$D$2:$D$377,MATCH(Q3353,'model_byCAP'!$A$2:$A$377,0)),0)</f>
        <v>0</v>
      </c>
    </row>
    <row r="3354" ht="15.35" customHeight="1">
      <c r="A3354" t="s" s="2">
        <v>6396</v>
      </c>
      <c r="B3354" s="4">
        <v>35628</v>
      </c>
      <c r="C3354" s="5">
        <v>600</v>
      </c>
      <c r="D3354" s="5">
        <v>48</v>
      </c>
      <c r="E3354" s="5">
        <v>46</v>
      </c>
      <c r="F3354" t="s" s="2">
        <v>1746</v>
      </c>
      <c r="G3354" t="s" s="2">
        <v>4302</v>
      </c>
      <c r="H3354" s="5">
        <v>510</v>
      </c>
      <c r="I3354" t="s" s="2">
        <v>3049</v>
      </c>
      <c r="J3354" t="s" s="2">
        <v>22</v>
      </c>
      <c r="K3354" t="s" s="2">
        <v>6395</v>
      </c>
      <c r="L3354" s="5">
        <v>372</v>
      </c>
      <c r="M3354" s="5">
        <v>504107.78</v>
      </c>
      <c r="N3354" s="5">
        <v>6122435.53</v>
      </c>
      <c r="O3354" t="s" s="2">
        <v>305</v>
      </c>
      <c r="P3354" s="5">
        <v>22997</v>
      </c>
      <c r="Q3354" t="s" s="2">
        <v>4304</v>
      </c>
      <c r="R3354" t="s" s="2">
        <f>_xlfn.IFERROR(INDEX('model_byCAP'!$D$2:$D$377,MATCH(Q3354,'model_byCAP'!$A$2:$A$377,0)),0)</f>
        <v>2955</v>
      </c>
    </row>
    <row r="3355" ht="15.35" customHeight="1">
      <c r="A3355" t="s" s="2">
        <v>6397</v>
      </c>
      <c r="B3355" s="4">
        <v>35628</v>
      </c>
      <c r="C3355" s="5">
        <v>600</v>
      </c>
      <c r="D3355" s="5">
        <v>48</v>
      </c>
      <c r="E3355" s="5">
        <v>46</v>
      </c>
      <c r="F3355" t="s" s="2">
        <v>1746</v>
      </c>
      <c r="G3355" t="s" s="2">
        <v>4302</v>
      </c>
      <c r="H3355" s="5">
        <v>510</v>
      </c>
      <c r="I3355" t="s" s="2">
        <v>3049</v>
      </c>
      <c r="J3355" t="s" s="2">
        <v>22</v>
      </c>
      <c r="K3355" t="s" s="2">
        <v>6398</v>
      </c>
      <c r="L3355" s="5">
        <v>9</v>
      </c>
      <c r="M3355" s="5">
        <v>504030.19</v>
      </c>
      <c r="N3355" s="5">
        <v>6122243.8</v>
      </c>
      <c r="O3355" t="s" s="2">
        <v>305</v>
      </c>
      <c r="P3355" s="5">
        <v>22998</v>
      </c>
      <c r="Q3355" t="s" s="2">
        <v>4304</v>
      </c>
      <c r="R3355" t="s" s="2">
        <f>_xlfn.IFERROR(INDEX('model_byCAP'!$D$2:$D$377,MATCH(Q3355,'model_byCAP'!$A$2:$A$377,0)),0)</f>
        <v>2955</v>
      </c>
    </row>
    <row r="3356" ht="15.35" customHeight="1">
      <c r="A3356" t="s" s="2">
        <v>6399</v>
      </c>
      <c r="B3356" s="4">
        <v>35628</v>
      </c>
      <c r="C3356" s="5">
        <v>600</v>
      </c>
      <c r="D3356" s="5">
        <v>48</v>
      </c>
      <c r="E3356" s="5">
        <v>46</v>
      </c>
      <c r="F3356" t="s" s="2">
        <v>1746</v>
      </c>
      <c r="G3356" t="s" s="2">
        <v>4546</v>
      </c>
      <c r="H3356" s="5">
        <v>510</v>
      </c>
      <c r="I3356" t="s" s="2">
        <v>3049</v>
      </c>
      <c r="J3356" t="s" s="2">
        <v>22</v>
      </c>
      <c r="K3356" t="s" s="2">
        <v>6395</v>
      </c>
      <c r="L3356" s="5">
        <v>34</v>
      </c>
      <c r="M3356" s="5">
        <v>504220.86</v>
      </c>
      <c r="N3356" s="5">
        <v>6122160.03</v>
      </c>
      <c r="O3356" t="s" s="2">
        <v>305</v>
      </c>
      <c r="P3356" s="5">
        <v>22999</v>
      </c>
      <c r="Q3356" t="s" s="2">
        <v>4548</v>
      </c>
      <c r="R3356" t="s" s="2">
        <f>_xlfn.IFERROR(INDEX('model_byCAP'!$D$2:$D$377,MATCH(Q3356,'model_byCAP'!$A$2:$A$377,0)),0)</f>
        <v>2955</v>
      </c>
    </row>
    <row r="3357" ht="15.35" customHeight="1">
      <c r="A3357" t="s" s="2">
        <v>6400</v>
      </c>
      <c r="B3357" s="4">
        <v>35628</v>
      </c>
      <c r="C3357" s="5">
        <v>600</v>
      </c>
      <c r="D3357" s="5">
        <v>48</v>
      </c>
      <c r="E3357" s="5">
        <v>46</v>
      </c>
      <c r="F3357" t="s" s="2">
        <v>1746</v>
      </c>
      <c r="G3357" t="s" s="2">
        <v>4302</v>
      </c>
      <c r="H3357" s="5">
        <v>510</v>
      </c>
      <c r="I3357" t="s" s="2">
        <v>3049</v>
      </c>
      <c r="J3357" t="s" s="2">
        <v>22</v>
      </c>
      <c r="K3357" t="s" s="2">
        <v>6395</v>
      </c>
      <c r="L3357" s="5">
        <v>480</v>
      </c>
      <c r="M3357" s="5">
        <v>504300.46</v>
      </c>
      <c r="N3357" s="5">
        <v>6122357.56</v>
      </c>
      <c r="O3357" t="s" s="2">
        <v>305</v>
      </c>
      <c r="P3357" s="5">
        <v>23038</v>
      </c>
      <c r="Q3357" t="s" s="2">
        <v>4304</v>
      </c>
      <c r="R3357" t="s" s="2">
        <f>_xlfn.IFERROR(INDEX('model_byCAP'!$D$2:$D$377,MATCH(Q3357,'model_byCAP'!$A$2:$A$377,0)),0)</f>
        <v>2955</v>
      </c>
    </row>
    <row r="3358" ht="15.35" customHeight="1">
      <c r="A3358" t="s" s="2">
        <v>6401</v>
      </c>
      <c r="B3358" s="4">
        <v>35782</v>
      </c>
      <c r="C3358" s="5">
        <v>600</v>
      </c>
      <c r="D3358" s="5">
        <v>48</v>
      </c>
      <c r="E3358" s="5">
        <v>46</v>
      </c>
      <c r="F3358" t="s" s="2">
        <v>1746</v>
      </c>
      <c r="G3358" t="s" s="2">
        <v>4302</v>
      </c>
      <c r="H3358" s="5">
        <v>510</v>
      </c>
      <c r="I3358" t="s" s="2">
        <v>3049</v>
      </c>
      <c r="J3358" t="s" s="2">
        <v>22</v>
      </c>
      <c r="K3358" t="s" s="2">
        <v>6395</v>
      </c>
      <c r="L3358" s="5">
        <v>450</v>
      </c>
      <c r="M3358" s="5">
        <v>504378.04</v>
      </c>
      <c r="N3358" s="5">
        <v>6122549.49</v>
      </c>
      <c r="O3358" t="s" s="2">
        <v>305</v>
      </c>
      <c r="P3358" s="5">
        <v>23067</v>
      </c>
      <c r="Q3358" t="s" s="2">
        <v>4304</v>
      </c>
      <c r="R3358" t="s" s="2">
        <f>_xlfn.IFERROR(INDEX('model_byCAP'!$D$2:$D$377,MATCH(Q3358,'model_byCAP'!$A$2:$A$377,0)),0)</f>
        <v>2955</v>
      </c>
    </row>
    <row r="3359" ht="15.35" customHeight="1">
      <c r="A3359" t="s" s="2">
        <v>6402</v>
      </c>
      <c r="B3359" s="4">
        <v>35759</v>
      </c>
      <c r="C3359" s="5">
        <v>600</v>
      </c>
      <c r="D3359" s="5">
        <v>48</v>
      </c>
      <c r="E3359" s="5">
        <v>46</v>
      </c>
      <c r="F3359" t="s" s="2">
        <v>1746</v>
      </c>
      <c r="G3359" t="s" s="2">
        <v>4302</v>
      </c>
      <c r="H3359" s="5">
        <v>510</v>
      </c>
      <c r="I3359" t="s" s="2">
        <v>3049</v>
      </c>
      <c r="J3359" t="s" s="2">
        <v>22</v>
      </c>
      <c r="K3359" t="s" s="2">
        <v>6395</v>
      </c>
      <c r="L3359" s="5">
        <v>493</v>
      </c>
      <c r="M3359" s="5">
        <v>504455.25</v>
      </c>
      <c r="N3359" s="5">
        <v>6122741.15</v>
      </c>
      <c r="O3359" t="s" s="2">
        <v>305</v>
      </c>
      <c r="P3359" s="5">
        <v>23068</v>
      </c>
      <c r="Q3359" t="s" s="2">
        <v>4304</v>
      </c>
      <c r="R3359" t="s" s="2">
        <f>_xlfn.IFERROR(INDEX('model_byCAP'!$D$2:$D$377,MATCH(Q3359,'model_byCAP'!$A$2:$A$377,0)),0)</f>
        <v>2955</v>
      </c>
    </row>
    <row r="3360" ht="15.35" customHeight="1">
      <c r="A3360" t="s" s="2">
        <v>6403</v>
      </c>
      <c r="B3360" s="4">
        <v>35842</v>
      </c>
      <c r="C3360" s="5">
        <v>600</v>
      </c>
      <c r="D3360" s="5">
        <v>48</v>
      </c>
      <c r="E3360" s="5">
        <v>46</v>
      </c>
      <c r="F3360" t="s" s="2">
        <v>1746</v>
      </c>
      <c r="G3360" t="s" s="2">
        <v>6404</v>
      </c>
      <c r="H3360" s="5">
        <v>510</v>
      </c>
      <c r="I3360" t="s" s="2">
        <v>3049</v>
      </c>
      <c r="J3360" t="s" s="2">
        <v>22</v>
      </c>
      <c r="K3360" t="s" s="2">
        <v>6398</v>
      </c>
      <c r="L3360" s="5">
        <v>14</v>
      </c>
      <c r="M3360" s="5">
        <v>505938.61</v>
      </c>
      <c r="N3360" s="5">
        <v>6124189.88</v>
      </c>
      <c r="O3360" t="s" s="2">
        <v>305</v>
      </c>
      <c r="P3360" s="5">
        <v>23143</v>
      </c>
      <c r="Q3360" t="s" s="2">
        <v>6405</v>
      </c>
      <c r="R3360" t="s" s="2">
        <f>_xlfn.IFERROR(INDEX('model_byCAP'!$D$2:$D$377,MATCH(Q3360,'model_byCAP'!$A$2:$A$377,0)),0)</f>
        <v>4042</v>
      </c>
    </row>
    <row r="3361" ht="15.35" customHeight="1">
      <c r="A3361" t="s" s="2">
        <v>6406</v>
      </c>
      <c r="B3361" s="4">
        <v>35842</v>
      </c>
      <c r="C3361" s="5">
        <v>600</v>
      </c>
      <c r="D3361" s="5">
        <v>48</v>
      </c>
      <c r="E3361" s="5">
        <v>46</v>
      </c>
      <c r="F3361" t="s" s="2">
        <v>1746</v>
      </c>
      <c r="G3361" t="s" s="2">
        <v>6404</v>
      </c>
      <c r="H3361" s="5">
        <v>510</v>
      </c>
      <c r="I3361" t="s" s="2">
        <v>3049</v>
      </c>
      <c r="J3361" t="s" s="2">
        <v>22</v>
      </c>
      <c r="K3361" t="s" s="2">
        <v>6398</v>
      </c>
      <c r="L3361" s="5">
        <v>14</v>
      </c>
      <c r="M3361" s="5">
        <v>505913.9</v>
      </c>
      <c r="N3361" s="5">
        <v>6124374.06</v>
      </c>
      <c r="O3361" t="s" s="2">
        <v>305</v>
      </c>
      <c r="P3361" s="5">
        <v>23143</v>
      </c>
      <c r="Q3361" t="s" s="2">
        <v>6405</v>
      </c>
      <c r="R3361" t="s" s="2">
        <f>_xlfn.IFERROR(INDEX('model_byCAP'!$D$2:$D$377,MATCH(Q3361,'model_byCAP'!$A$2:$A$377,0)),0)</f>
        <v>4042</v>
      </c>
    </row>
    <row r="3362" ht="15.35" customHeight="1">
      <c r="A3362" t="s" s="2">
        <v>6407</v>
      </c>
      <c r="B3362" s="4">
        <v>35969</v>
      </c>
      <c r="C3362" s="5">
        <v>600</v>
      </c>
      <c r="D3362" s="5">
        <v>48</v>
      </c>
      <c r="E3362" s="5">
        <v>46</v>
      </c>
      <c r="F3362" t="s" s="2">
        <v>1746</v>
      </c>
      <c r="G3362" t="s" s="2">
        <v>4302</v>
      </c>
      <c r="H3362" s="5">
        <v>510</v>
      </c>
      <c r="I3362" t="s" s="2">
        <v>3049</v>
      </c>
      <c r="J3362" t="s" s="2">
        <v>22</v>
      </c>
      <c r="K3362" t="s" s="2">
        <v>6395</v>
      </c>
      <c r="L3362" s="5">
        <v>9</v>
      </c>
      <c r="M3362" s="5">
        <v>504185.03</v>
      </c>
      <c r="N3362" s="5">
        <v>6122627.05</v>
      </c>
      <c r="O3362" t="s" s="2">
        <v>305</v>
      </c>
      <c r="P3362" s="5">
        <v>90221</v>
      </c>
      <c r="Q3362" t="s" s="2">
        <v>4304</v>
      </c>
      <c r="R3362" t="s" s="2">
        <f>_xlfn.IFERROR(INDEX('model_byCAP'!$D$2:$D$377,MATCH(Q3362,'model_byCAP'!$A$2:$A$377,0)),0)</f>
        <v>2955</v>
      </c>
    </row>
    <row r="3363" ht="15.35" customHeight="1">
      <c r="A3363" t="s" s="2">
        <v>6408</v>
      </c>
      <c r="B3363" s="4">
        <v>36678</v>
      </c>
      <c r="C3363" s="5">
        <v>600</v>
      </c>
      <c r="D3363" s="5">
        <v>48</v>
      </c>
      <c r="E3363" s="5">
        <v>46</v>
      </c>
      <c r="F3363" t="s" s="2">
        <v>1746</v>
      </c>
      <c r="G3363" t="s" s="2">
        <v>6326</v>
      </c>
      <c r="H3363" s="5">
        <v>510</v>
      </c>
      <c r="I3363" t="s" s="2">
        <v>3049</v>
      </c>
      <c r="J3363" t="s" s="2">
        <v>22</v>
      </c>
      <c r="K3363" t="s" s="2">
        <v>6395</v>
      </c>
      <c r="L3363" s="5">
        <v>523</v>
      </c>
      <c r="M3363" s="5">
        <v>505778.08</v>
      </c>
      <c r="N3363" s="5">
        <v>6124252.16</v>
      </c>
      <c r="O3363" t="s" s="2">
        <v>305</v>
      </c>
      <c r="P3363" s="5">
        <v>91170</v>
      </c>
      <c r="Q3363" t="s" s="2">
        <v>6328</v>
      </c>
      <c r="R3363" t="s" s="2">
        <f>_xlfn.IFERROR(INDEX('model_byCAP'!$D$2:$D$377,MATCH(Q3363,'model_byCAP'!$A$2:$A$377,0)),0)</f>
        <v>4042</v>
      </c>
    </row>
    <row r="3364" ht="15.35" customHeight="1">
      <c r="A3364" t="s" s="2">
        <v>6409</v>
      </c>
      <c r="B3364" s="4">
        <v>35320</v>
      </c>
      <c r="C3364" s="5">
        <v>600</v>
      </c>
      <c r="D3364" s="5">
        <v>44</v>
      </c>
      <c r="E3364" s="5">
        <v>45</v>
      </c>
      <c r="F3364" t="s" s="2">
        <v>301</v>
      </c>
      <c r="G3364" t="s" s="2">
        <v>5700</v>
      </c>
      <c r="H3364" s="5">
        <v>510</v>
      </c>
      <c r="I3364" t="s" s="2">
        <v>3049</v>
      </c>
      <c r="J3364" t="s" s="2">
        <v>22</v>
      </c>
      <c r="K3364" t="s" s="2">
        <v>6410</v>
      </c>
      <c r="L3364" s="5">
        <v>268</v>
      </c>
      <c r="M3364" s="5">
        <v>524636.3</v>
      </c>
      <c r="N3364" s="5">
        <v>6130295.07</v>
      </c>
      <c r="O3364" t="s" s="2">
        <v>305</v>
      </c>
      <c r="P3364" s="5">
        <v>200250</v>
      </c>
      <c r="Q3364" t="s" s="2">
        <v>5701</v>
      </c>
      <c r="R3364" t="s" s="2">
        <f>_xlfn.IFERROR(INDEX('model_byCAP'!$D$2:$D$377,MATCH(Q3364,'model_byCAP'!$A$2:$A$377,0)),0)</f>
        <v>5702</v>
      </c>
    </row>
    <row r="3365" ht="15.35" customHeight="1">
      <c r="A3365" t="s" s="2">
        <v>6411</v>
      </c>
      <c r="B3365" s="4">
        <v>35705</v>
      </c>
      <c r="C3365" s="5">
        <v>600</v>
      </c>
      <c r="D3365" s="5">
        <v>48</v>
      </c>
      <c r="E3365" s="5">
        <v>46</v>
      </c>
      <c r="F3365" t="s" s="2">
        <v>3604</v>
      </c>
      <c r="G3365" t="s" s="2">
        <v>6048</v>
      </c>
      <c r="H3365" s="5">
        <v>510</v>
      </c>
      <c r="I3365" t="s" s="2">
        <v>3049</v>
      </c>
      <c r="J3365" t="s" s="2">
        <v>22</v>
      </c>
      <c r="K3365" t="s" s="2">
        <v>6412</v>
      </c>
      <c r="L3365" s="5">
        <v>325</v>
      </c>
      <c r="M3365" s="5">
        <v>522423.56</v>
      </c>
      <c r="N3365" s="5">
        <v>6124981.34</v>
      </c>
      <c r="O3365" t="s" s="2">
        <v>305</v>
      </c>
      <c r="P3365" s="5">
        <v>200252</v>
      </c>
      <c r="Q3365" t="s" s="2">
        <v>6050</v>
      </c>
      <c r="R3365" t="s" s="2">
        <f>_xlfn.IFERROR(INDEX('model_byCAP'!$D$2:$D$377,MATCH(Q3365,'model_byCAP'!$A$2:$A$377,0)),0)</f>
        <v>2955</v>
      </c>
    </row>
    <row r="3366" ht="15.35" customHeight="1">
      <c r="A3366" t="s" s="2">
        <v>6413</v>
      </c>
      <c r="B3366" s="4">
        <v>35705</v>
      </c>
      <c r="C3366" s="5">
        <v>600</v>
      </c>
      <c r="D3366" s="5">
        <v>43</v>
      </c>
      <c r="E3366" s="5">
        <v>44.5</v>
      </c>
      <c r="F3366" t="s" s="2">
        <v>42</v>
      </c>
      <c r="G3366" t="s" s="2">
        <v>42</v>
      </c>
      <c r="H3366" s="5">
        <v>510</v>
      </c>
      <c r="I3366" t="s" s="2">
        <v>3049</v>
      </c>
      <c r="J3366" t="s" s="2">
        <v>22</v>
      </c>
      <c r="K3366" t="s" s="2">
        <v>6412</v>
      </c>
      <c r="L3366" s="5">
        <v>326</v>
      </c>
      <c r="M3366" s="5">
        <v>522389.76</v>
      </c>
      <c r="N3366" s="5">
        <v>6125226.51</v>
      </c>
      <c r="O3366" t="s" s="2">
        <v>305</v>
      </c>
      <c r="P3366" s="5">
        <v>200282</v>
      </c>
      <c r="Q3366" t="s" s="2">
        <v>43</v>
      </c>
      <c r="R3366" s="5">
        <f>_xlfn.IFERROR(INDEX('model_byCAP'!$D$2:$D$377,MATCH(Q3366,'model_byCAP'!$A$2:$A$377,0)),0)</f>
        <v>0</v>
      </c>
    </row>
    <row r="3367" ht="15.35" customHeight="1">
      <c r="A3367" t="s" s="2">
        <v>6414</v>
      </c>
      <c r="B3367" s="4">
        <v>36530</v>
      </c>
      <c r="C3367" s="5">
        <v>600</v>
      </c>
      <c r="D3367" s="5">
        <v>45</v>
      </c>
      <c r="E3367" s="5">
        <v>45</v>
      </c>
      <c r="F3367" t="s" s="2">
        <v>4038</v>
      </c>
      <c r="G3367" t="s" s="2">
        <v>6415</v>
      </c>
      <c r="H3367" s="5">
        <v>510</v>
      </c>
      <c r="I3367" t="s" s="2">
        <v>3049</v>
      </c>
      <c r="J3367" t="s" s="2">
        <v>22</v>
      </c>
      <c r="K3367" t="s" s="2">
        <v>6412</v>
      </c>
      <c r="L3367" s="5">
        <v>22</v>
      </c>
      <c r="M3367" s="5">
        <v>522458.74</v>
      </c>
      <c r="N3367" s="5">
        <v>6124736.12</v>
      </c>
      <c r="O3367" t="s" s="2">
        <v>305</v>
      </c>
      <c r="P3367" s="5">
        <v>200300</v>
      </c>
      <c r="Q3367" t="s" s="2">
        <v>6416</v>
      </c>
      <c r="R3367" t="s" s="2">
        <f>_xlfn.IFERROR(INDEX('model_byCAP'!$D$2:$D$377,MATCH(Q3367,'model_byCAP'!$A$2:$A$377,0)),0)</f>
        <v>6417</v>
      </c>
    </row>
    <row r="3368" ht="15.35" customHeight="1">
      <c r="A3368" t="s" s="2">
        <v>6418</v>
      </c>
      <c r="B3368" s="4">
        <v>35597</v>
      </c>
      <c r="C3368" s="5">
        <v>600</v>
      </c>
      <c r="D3368" s="5">
        <v>44</v>
      </c>
      <c r="E3368" s="5">
        <v>45</v>
      </c>
      <c r="F3368" t="s" s="2">
        <v>301</v>
      </c>
      <c r="G3368" t="s" s="2">
        <v>5700</v>
      </c>
      <c r="H3368" s="5">
        <v>540</v>
      </c>
      <c r="I3368" t="s" s="2">
        <v>2092</v>
      </c>
      <c r="J3368" t="s" s="2">
        <v>22</v>
      </c>
      <c r="K3368" t="s" s="2">
        <v>6419</v>
      </c>
      <c r="L3368" s="5">
        <v>9</v>
      </c>
      <c r="M3368" s="5">
        <v>543796.02</v>
      </c>
      <c r="N3368" s="5">
        <v>6088200.93</v>
      </c>
      <c r="O3368" t="s" s="2">
        <v>305</v>
      </c>
      <c r="P3368" s="5">
        <v>200210</v>
      </c>
      <c r="Q3368" t="s" s="2">
        <v>5701</v>
      </c>
      <c r="R3368" t="s" s="2">
        <f>_xlfn.IFERROR(INDEX('model_byCAP'!$D$2:$D$377,MATCH(Q3368,'model_byCAP'!$A$2:$A$377,0)),0)</f>
        <v>5702</v>
      </c>
    </row>
    <row r="3369" ht="15.35" customHeight="1">
      <c r="A3369" t="s" s="2">
        <v>6420</v>
      </c>
      <c r="B3369" s="4">
        <v>35597</v>
      </c>
      <c r="C3369" s="5">
        <v>600</v>
      </c>
      <c r="D3369" s="5">
        <v>44</v>
      </c>
      <c r="E3369" s="5">
        <v>45</v>
      </c>
      <c r="F3369" t="s" s="2">
        <v>301</v>
      </c>
      <c r="G3369" t="s" s="2">
        <v>5700</v>
      </c>
      <c r="H3369" s="5">
        <v>540</v>
      </c>
      <c r="I3369" t="s" s="2">
        <v>2092</v>
      </c>
      <c r="J3369" t="s" s="2">
        <v>22</v>
      </c>
      <c r="K3369" t="s" s="2">
        <v>6419</v>
      </c>
      <c r="L3369" s="5">
        <v>176</v>
      </c>
      <c r="M3369" s="5">
        <v>543834.03</v>
      </c>
      <c r="N3369" s="5">
        <v>6088029.91</v>
      </c>
      <c r="O3369" t="s" s="2">
        <v>305</v>
      </c>
      <c r="P3369" s="5">
        <v>200211</v>
      </c>
      <c r="Q3369" t="s" s="2">
        <v>5701</v>
      </c>
      <c r="R3369" t="s" s="2">
        <f>_xlfn.IFERROR(INDEX('model_byCAP'!$D$2:$D$377,MATCH(Q3369,'model_byCAP'!$A$2:$A$377,0)),0)</f>
        <v>5702</v>
      </c>
    </row>
    <row r="3370" ht="15.35" customHeight="1">
      <c r="A3370" t="s" s="2">
        <v>6421</v>
      </c>
      <c r="B3370" s="4">
        <v>35196</v>
      </c>
      <c r="C3370" s="5">
        <v>600</v>
      </c>
      <c r="D3370" s="5">
        <v>44</v>
      </c>
      <c r="E3370" s="5">
        <v>50</v>
      </c>
      <c r="F3370" t="s" s="2">
        <v>1989</v>
      </c>
      <c r="G3370" t="s" s="2">
        <v>6035</v>
      </c>
      <c r="H3370" s="5">
        <v>540</v>
      </c>
      <c r="I3370" t="s" s="2">
        <v>2092</v>
      </c>
      <c r="J3370" t="s" s="2">
        <v>22</v>
      </c>
      <c r="K3370" t="s" s="2">
        <v>6422</v>
      </c>
      <c r="L3370" s="5">
        <v>10</v>
      </c>
      <c r="M3370" s="5">
        <v>567022.74</v>
      </c>
      <c r="N3370" s="5">
        <v>6081708.2</v>
      </c>
      <c r="O3370" t="s" s="2">
        <v>305</v>
      </c>
      <c r="P3370" s="5">
        <v>200215</v>
      </c>
      <c r="Q3370" t="s" s="2">
        <v>6037</v>
      </c>
      <c r="R3370" t="s" s="2">
        <f>_xlfn.IFERROR(INDEX('model_byCAP'!$D$2:$D$377,MATCH(Q3370,'model_byCAP'!$A$2:$A$377,0)),0)</f>
        <v>5955</v>
      </c>
    </row>
    <row r="3371" ht="15.35" customHeight="1">
      <c r="A3371" t="s" s="2">
        <v>6423</v>
      </c>
      <c r="B3371" s="4">
        <v>35196</v>
      </c>
      <c r="C3371" s="5">
        <v>600</v>
      </c>
      <c r="D3371" s="5">
        <v>44</v>
      </c>
      <c r="E3371" s="5">
        <v>50</v>
      </c>
      <c r="F3371" t="s" s="2">
        <v>1989</v>
      </c>
      <c r="G3371" t="s" s="2">
        <v>6035</v>
      </c>
      <c r="H3371" s="5">
        <v>540</v>
      </c>
      <c r="I3371" t="s" s="2">
        <v>2092</v>
      </c>
      <c r="J3371" t="s" s="2">
        <v>22</v>
      </c>
      <c r="K3371" t="s" s="2">
        <v>6422</v>
      </c>
      <c r="L3371" s="5">
        <v>10</v>
      </c>
      <c r="M3371" s="5">
        <v>567084.3100000001</v>
      </c>
      <c r="N3371" s="5">
        <v>6081505.09</v>
      </c>
      <c r="O3371" t="s" s="2">
        <v>305</v>
      </c>
      <c r="P3371" s="5">
        <v>200215</v>
      </c>
      <c r="Q3371" t="s" s="2">
        <v>6037</v>
      </c>
      <c r="R3371" t="s" s="2">
        <f>_xlfn.IFERROR(INDEX('model_byCAP'!$D$2:$D$377,MATCH(Q3371,'model_byCAP'!$A$2:$A$377,0)),0)</f>
        <v>5955</v>
      </c>
    </row>
    <row r="3372" ht="15.35" customHeight="1">
      <c r="A3372" t="s" s="2">
        <v>6424</v>
      </c>
      <c r="B3372" s="4">
        <v>35196</v>
      </c>
      <c r="C3372" s="5">
        <v>600</v>
      </c>
      <c r="D3372" s="5">
        <v>44</v>
      </c>
      <c r="E3372" s="5">
        <v>50</v>
      </c>
      <c r="F3372" t="s" s="2">
        <v>1989</v>
      </c>
      <c r="G3372" t="s" s="2">
        <v>6035</v>
      </c>
      <c r="H3372" s="5">
        <v>540</v>
      </c>
      <c r="I3372" t="s" s="2">
        <v>2092</v>
      </c>
      <c r="J3372" t="s" s="2">
        <v>22</v>
      </c>
      <c r="K3372" t="s" s="2">
        <v>6422</v>
      </c>
      <c r="L3372" s="5">
        <v>10</v>
      </c>
      <c r="M3372" s="5">
        <v>567257.7</v>
      </c>
      <c r="N3372" s="5">
        <v>6081693.64</v>
      </c>
      <c r="O3372" t="s" s="2">
        <v>305</v>
      </c>
      <c r="P3372" s="5">
        <v>200215</v>
      </c>
      <c r="Q3372" t="s" s="2">
        <v>6037</v>
      </c>
      <c r="R3372" t="s" s="2">
        <f>_xlfn.IFERROR(INDEX('model_byCAP'!$D$2:$D$377,MATCH(Q3372,'model_byCAP'!$A$2:$A$377,0)),0)</f>
        <v>5955</v>
      </c>
    </row>
    <row r="3373" ht="15.35" customHeight="1">
      <c r="A3373" t="s" s="2">
        <v>6425</v>
      </c>
      <c r="B3373" s="4">
        <v>35196</v>
      </c>
      <c r="C3373" s="5">
        <v>600</v>
      </c>
      <c r="D3373" s="5">
        <v>44</v>
      </c>
      <c r="E3373" s="5">
        <v>50</v>
      </c>
      <c r="F3373" t="s" s="2">
        <v>1989</v>
      </c>
      <c r="G3373" t="s" s="2">
        <v>6035</v>
      </c>
      <c r="H3373" s="5">
        <v>540</v>
      </c>
      <c r="I3373" t="s" s="2">
        <v>2092</v>
      </c>
      <c r="J3373" t="s" s="2">
        <v>22</v>
      </c>
      <c r="K3373" t="s" s="2">
        <v>6422</v>
      </c>
      <c r="L3373" s="5">
        <v>10</v>
      </c>
      <c r="M3373" s="5">
        <v>567319.0600000001</v>
      </c>
      <c r="N3373" s="5">
        <v>6081490.32</v>
      </c>
      <c r="O3373" t="s" s="2">
        <v>305</v>
      </c>
      <c r="P3373" s="5">
        <v>200215</v>
      </c>
      <c r="Q3373" t="s" s="2">
        <v>6037</v>
      </c>
      <c r="R3373" t="s" s="2">
        <f>_xlfn.IFERROR(INDEX('model_byCAP'!$D$2:$D$377,MATCH(Q3373,'model_byCAP'!$A$2:$A$377,0)),0)</f>
        <v>5955</v>
      </c>
    </row>
    <row r="3374" ht="15.35" customHeight="1">
      <c r="A3374" t="s" s="2">
        <v>6426</v>
      </c>
      <c r="B3374" s="4">
        <v>35196</v>
      </c>
      <c r="C3374" s="5">
        <v>600</v>
      </c>
      <c r="D3374" s="5">
        <v>44</v>
      </c>
      <c r="E3374" s="5">
        <v>50</v>
      </c>
      <c r="F3374" t="s" s="2">
        <v>1989</v>
      </c>
      <c r="G3374" t="s" s="2">
        <v>6035</v>
      </c>
      <c r="H3374" s="5">
        <v>540</v>
      </c>
      <c r="I3374" t="s" s="2">
        <v>2092</v>
      </c>
      <c r="J3374" t="s" s="2">
        <v>22</v>
      </c>
      <c r="K3374" t="s" s="2">
        <v>6422</v>
      </c>
      <c r="L3374" s="5">
        <v>10</v>
      </c>
      <c r="M3374" s="5">
        <v>567492.98</v>
      </c>
      <c r="N3374" s="5">
        <v>6081678.55</v>
      </c>
      <c r="O3374" t="s" s="2">
        <v>305</v>
      </c>
      <c r="P3374" s="5">
        <v>200215</v>
      </c>
      <c r="Q3374" t="s" s="2">
        <v>6037</v>
      </c>
      <c r="R3374" t="s" s="2">
        <f>_xlfn.IFERROR(INDEX('model_byCAP'!$D$2:$D$377,MATCH(Q3374,'model_byCAP'!$A$2:$A$377,0)),0)</f>
        <v>5955</v>
      </c>
    </row>
    <row r="3375" ht="15.35" customHeight="1">
      <c r="A3375" t="s" s="2">
        <v>6427</v>
      </c>
      <c r="B3375" s="4">
        <v>35196</v>
      </c>
      <c r="C3375" s="5">
        <v>600</v>
      </c>
      <c r="D3375" s="5">
        <v>44</v>
      </c>
      <c r="E3375" s="5">
        <v>50</v>
      </c>
      <c r="F3375" t="s" s="2">
        <v>1989</v>
      </c>
      <c r="G3375" t="s" s="2">
        <v>6035</v>
      </c>
      <c r="H3375" s="5">
        <v>540</v>
      </c>
      <c r="I3375" t="s" s="2">
        <v>2092</v>
      </c>
      <c r="J3375" t="s" s="2">
        <v>22</v>
      </c>
      <c r="K3375" t="s" s="2">
        <v>6422</v>
      </c>
      <c r="L3375" s="5">
        <v>10</v>
      </c>
      <c r="M3375" s="5">
        <v>567553.95</v>
      </c>
      <c r="N3375" s="5">
        <v>6081475.45</v>
      </c>
      <c r="O3375" t="s" s="2">
        <v>305</v>
      </c>
      <c r="P3375" s="5">
        <v>200215</v>
      </c>
      <c r="Q3375" t="s" s="2">
        <v>6037</v>
      </c>
      <c r="R3375" t="s" s="2">
        <f>_xlfn.IFERROR(INDEX('model_byCAP'!$D$2:$D$377,MATCH(Q3375,'model_byCAP'!$A$2:$A$377,0)),0)</f>
        <v>5955</v>
      </c>
    </row>
    <row r="3376" ht="15.35" customHeight="1">
      <c r="A3376" t="s" s="2">
        <v>6428</v>
      </c>
      <c r="B3376" s="4">
        <v>35196</v>
      </c>
      <c r="C3376" s="5">
        <v>600</v>
      </c>
      <c r="D3376" s="5">
        <v>44</v>
      </c>
      <c r="E3376" s="5">
        <v>50</v>
      </c>
      <c r="F3376" t="s" s="2">
        <v>1989</v>
      </c>
      <c r="G3376" t="s" s="2">
        <v>6035</v>
      </c>
      <c r="H3376" s="5">
        <v>540</v>
      </c>
      <c r="I3376" t="s" s="2">
        <v>2092</v>
      </c>
      <c r="J3376" t="s" s="2">
        <v>22</v>
      </c>
      <c r="K3376" t="s" s="2">
        <v>6422</v>
      </c>
      <c r="L3376" s="5">
        <v>10</v>
      </c>
      <c r="M3376" s="5">
        <v>567727.9</v>
      </c>
      <c r="N3376" s="5">
        <v>6081664.21</v>
      </c>
      <c r="O3376" t="s" s="2">
        <v>305</v>
      </c>
      <c r="P3376" s="5">
        <v>200215</v>
      </c>
      <c r="Q3376" t="s" s="2">
        <v>6037</v>
      </c>
      <c r="R3376" t="s" s="2">
        <f>_xlfn.IFERROR(INDEX('model_byCAP'!$D$2:$D$377,MATCH(Q3376,'model_byCAP'!$A$2:$A$377,0)),0)</f>
        <v>5955</v>
      </c>
    </row>
    <row r="3377" ht="15.35" customHeight="1">
      <c r="A3377" t="s" s="2">
        <v>6429</v>
      </c>
      <c r="B3377" s="4">
        <v>35324</v>
      </c>
      <c r="C3377" s="5">
        <v>600</v>
      </c>
      <c r="D3377" s="5">
        <v>43</v>
      </c>
      <c r="E3377" s="5">
        <v>45</v>
      </c>
      <c r="F3377" t="s" s="2">
        <v>1746</v>
      </c>
      <c r="G3377" t="s" s="2">
        <v>6286</v>
      </c>
      <c r="H3377" s="5">
        <v>550</v>
      </c>
      <c r="I3377" t="s" s="2">
        <v>526</v>
      </c>
      <c r="J3377" t="s" s="2">
        <v>22</v>
      </c>
      <c r="K3377" t="s" s="2">
        <v>3101</v>
      </c>
      <c r="L3377" s="5">
        <v>943</v>
      </c>
      <c r="M3377" s="5">
        <v>497252.11</v>
      </c>
      <c r="N3377" s="5">
        <v>6110627.83</v>
      </c>
      <c r="O3377" t="s" s="2">
        <v>305</v>
      </c>
      <c r="P3377" s="5">
        <v>22723</v>
      </c>
      <c r="Q3377" t="s" s="2">
        <v>6288</v>
      </c>
      <c r="R3377" t="s" s="2">
        <f>_xlfn.IFERROR(INDEX('model_byCAP'!$D$2:$D$377,MATCH(Q3377,'model_byCAP'!$A$2:$A$377,0)),0)</f>
        <v>2955</v>
      </c>
    </row>
    <row r="3378" ht="15.35" customHeight="1">
      <c r="A3378" t="s" s="2">
        <v>6430</v>
      </c>
      <c r="B3378" s="4">
        <v>35324</v>
      </c>
      <c r="C3378" s="5">
        <v>600</v>
      </c>
      <c r="D3378" s="5">
        <v>43</v>
      </c>
      <c r="E3378" s="5">
        <v>45</v>
      </c>
      <c r="F3378" t="s" s="2">
        <v>1746</v>
      </c>
      <c r="G3378" t="s" s="2">
        <v>6286</v>
      </c>
      <c r="H3378" s="5">
        <v>550</v>
      </c>
      <c r="I3378" t="s" s="2">
        <v>526</v>
      </c>
      <c r="J3378" t="s" s="2">
        <v>22</v>
      </c>
      <c r="K3378" t="s" s="2">
        <v>3101</v>
      </c>
      <c r="L3378" s="5">
        <v>946</v>
      </c>
      <c r="M3378" s="5">
        <v>497271.63</v>
      </c>
      <c r="N3378" s="5">
        <v>6110487.17</v>
      </c>
      <c r="O3378" t="s" s="2">
        <v>305</v>
      </c>
      <c r="P3378" s="5">
        <v>22723</v>
      </c>
      <c r="Q3378" t="s" s="2">
        <v>6288</v>
      </c>
      <c r="R3378" t="s" s="2">
        <f>_xlfn.IFERROR(INDEX('model_byCAP'!$D$2:$D$377,MATCH(Q3378,'model_byCAP'!$A$2:$A$377,0)),0)</f>
        <v>2955</v>
      </c>
    </row>
    <row r="3379" ht="15.35" customHeight="1">
      <c r="A3379" t="s" s="2">
        <v>6431</v>
      </c>
      <c r="B3379" s="4">
        <v>35324</v>
      </c>
      <c r="C3379" s="5">
        <v>600</v>
      </c>
      <c r="D3379" s="5">
        <v>43</v>
      </c>
      <c r="E3379" s="5">
        <v>45</v>
      </c>
      <c r="F3379" t="s" s="2">
        <v>1746</v>
      </c>
      <c r="G3379" t="s" s="2">
        <v>6286</v>
      </c>
      <c r="H3379" s="5">
        <v>550</v>
      </c>
      <c r="I3379" t="s" s="2">
        <v>526</v>
      </c>
      <c r="J3379" t="s" s="2">
        <v>22</v>
      </c>
      <c r="K3379" t="s" s="2">
        <v>3101</v>
      </c>
      <c r="L3379" s="5">
        <v>947</v>
      </c>
      <c r="M3379" s="5">
        <v>497290.84</v>
      </c>
      <c r="N3379" s="5">
        <v>6110345.62</v>
      </c>
      <c r="O3379" t="s" s="2">
        <v>305</v>
      </c>
      <c r="P3379" s="5">
        <v>22723</v>
      </c>
      <c r="Q3379" t="s" s="2">
        <v>6288</v>
      </c>
      <c r="R3379" t="s" s="2">
        <f>_xlfn.IFERROR(INDEX('model_byCAP'!$D$2:$D$377,MATCH(Q3379,'model_byCAP'!$A$2:$A$377,0)),0)</f>
        <v>2955</v>
      </c>
    </row>
    <row r="3380" ht="15.35" customHeight="1">
      <c r="A3380" t="s" s="2">
        <v>6432</v>
      </c>
      <c r="B3380" s="4">
        <v>35431</v>
      </c>
      <c r="C3380" s="5">
        <v>600</v>
      </c>
      <c r="D3380" s="5">
        <v>43</v>
      </c>
      <c r="E3380" s="5">
        <v>46</v>
      </c>
      <c r="F3380" t="s" s="2">
        <v>2328</v>
      </c>
      <c r="G3380" t="s" s="2">
        <v>6433</v>
      </c>
      <c r="H3380" s="5">
        <v>550</v>
      </c>
      <c r="I3380" t="s" s="2">
        <v>526</v>
      </c>
      <c r="J3380" t="s" s="2">
        <v>22</v>
      </c>
      <c r="K3380" t="s" s="2">
        <v>6434</v>
      </c>
      <c r="L3380" s="5">
        <v>151</v>
      </c>
      <c r="M3380" s="5">
        <v>512818.84</v>
      </c>
      <c r="N3380" s="5">
        <v>6105707.61</v>
      </c>
      <c r="O3380" t="s" s="2">
        <v>305</v>
      </c>
      <c r="P3380" s="5">
        <v>22861</v>
      </c>
      <c r="Q3380" t="s" s="2">
        <v>6435</v>
      </c>
      <c r="R3380" t="s" s="2">
        <f>_xlfn.IFERROR(INDEX('model_byCAP'!$D$2:$D$377,MATCH(Q3380,'model_byCAP'!$A$2:$A$377,0)),0)</f>
        <v>6352</v>
      </c>
    </row>
    <row r="3381" ht="15.35" customHeight="1">
      <c r="A3381" t="s" s="2">
        <v>6436</v>
      </c>
      <c r="B3381" s="4">
        <v>35483</v>
      </c>
      <c r="C3381" s="5">
        <v>600</v>
      </c>
      <c r="D3381" s="5">
        <v>43</v>
      </c>
      <c r="E3381" s="5">
        <v>46</v>
      </c>
      <c r="F3381" t="s" s="2">
        <v>2328</v>
      </c>
      <c r="G3381" t="s" s="2">
        <v>6433</v>
      </c>
      <c r="H3381" s="5">
        <v>550</v>
      </c>
      <c r="I3381" t="s" s="2">
        <v>526</v>
      </c>
      <c r="J3381" t="s" s="2">
        <v>22</v>
      </c>
      <c r="K3381" t="s" s="2">
        <v>6434</v>
      </c>
      <c r="L3381" s="5">
        <v>155</v>
      </c>
      <c r="M3381" s="5">
        <v>512783.54</v>
      </c>
      <c r="N3381" s="5">
        <v>6105937.74</v>
      </c>
      <c r="O3381" t="s" s="2">
        <v>305</v>
      </c>
      <c r="P3381" s="5">
        <v>22862</v>
      </c>
      <c r="Q3381" t="s" s="2">
        <v>6435</v>
      </c>
      <c r="R3381" t="s" s="2">
        <f>_xlfn.IFERROR(INDEX('model_byCAP'!$D$2:$D$377,MATCH(Q3381,'model_byCAP'!$A$2:$A$377,0)),0)</f>
        <v>6352</v>
      </c>
    </row>
    <row r="3382" ht="15.35" customHeight="1">
      <c r="A3382" t="s" s="2">
        <v>6437</v>
      </c>
      <c r="B3382" s="4">
        <v>35457</v>
      </c>
      <c r="C3382" s="5">
        <v>600</v>
      </c>
      <c r="D3382" s="5">
        <v>43</v>
      </c>
      <c r="E3382" s="5">
        <v>46</v>
      </c>
      <c r="F3382" t="s" s="2">
        <v>2328</v>
      </c>
      <c r="G3382" t="s" s="2">
        <v>6438</v>
      </c>
      <c r="H3382" s="5">
        <v>550</v>
      </c>
      <c r="I3382" t="s" s="2">
        <v>526</v>
      </c>
      <c r="J3382" t="s" s="2">
        <v>22</v>
      </c>
      <c r="K3382" t="s" s="2">
        <v>6434</v>
      </c>
      <c r="L3382" s="5">
        <v>154</v>
      </c>
      <c r="M3382" s="5">
        <v>512753.28</v>
      </c>
      <c r="N3382" s="5">
        <v>6106166.39</v>
      </c>
      <c r="O3382" t="s" s="2">
        <v>305</v>
      </c>
      <c r="P3382" s="5">
        <v>22863</v>
      </c>
      <c r="Q3382" t="s" s="2">
        <v>6439</v>
      </c>
      <c r="R3382" t="s" s="2">
        <f>_xlfn.IFERROR(INDEX('model_byCAP'!$D$2:$D$377,MATCH(Q3382,'model_byCAP'!$A$2:$A$377,0)),0)</f>
        <v>6352</v>
      </c>
    </row>
    <row r="3383" ht="15.35" customHeight="1">
      <c r="A3383" t="s" s="2">
        <v>6440</v>
      </c>
      <c r="B3383" s="4">
        <v>35453</v>
      </c>
      <c r="C3383" s="5">
        <v>600</v>
      </c>
      <c r="D3383" s="5">
        <v>43</v>
      </c>
      <c r="E3383" s="5">
        <v>46</v>
      </c>
      <c r="F3383" t="s" s="2">
        <v>2328</v>
      </c>
      <c r="G3383" t="s" s="2">
        <v>6433</v>
      </c>
      <c r="H3383" s="5">
        <v>550</v>
      </c>
      <c r="I3383" t="s" s="2">
        <v>526</v>
      </c>
      <c r="J3383" t="s" s="2">
        <v>22</v>
      </c>
      <c r="K3383" t="s" s="2">
        <v>6441</v>
      </c>
      <c r="L3383" s="5">
        <v>346</v>
      </c>
      <c r="M3383" s="5">
        <v>512720.46</v>
      </c>
      <c r="N3383" s="5">
        <v>6106396.72</v>
      </c>
      <c r="O3383" t="s" s="2">
        <v>305</v>
      </c>
      <c r="P3383" s="5">
        <v>22864</v>
      </c>
      <c r="Q3383" t="s" s="2">
        <v>6435</v>
      </c>
      <c r="R3383" t="s" s="2">
        <f>_xlfn.IFERROR(INDEX('model_byCAP'!$D$2:$D$377,MATCH(Q3383,'model_byCAP'!$A$2:$A$377,0)),0)</f>
        <v>6352</v>
      </c>
    </row>
    <row r="3384" ht="15.35" customHeight="1">
      <c r="A3384" t="s" s="2">
        <v>6442</v>
      </c>
      <c r="B3384" s="4">
        <v>35431</v>
      </c>
      <c r="C3384" s="5">
        <v>600</v>
      </c>
      <c r="D3384" s="5">
        <v>43</v>
      </c>
      <c r="E3384" s="5">
        <v>46</v>
      </c>
      <c r="F3384" t="s" s="2">
        <v>2328</v>
      </c>
      <c r="G3384" t="s" s="2">
        <v>6433</v>
      </c>
      <c r="H3384" s="5">
        <v>550</v>
      </c>
      <c r="I3384" t="s" s="2">
        <v>526</v>
      </c>
      <c r="J3384" t="s" s="2">
        <v>22</v>
      </c>
      <c r="K3384" t="s" s="2">
        <v>6434</v>
      </c>
      <c r="L3384" s="5">
        <v>143</v>
      </c>
      <c r="M3384" s="5">
        <v>512683.8</v>
      </c>
      <c r="N3384" s="5">
        <v>6106626.47</v>
      </c>
      <c r="O3384" t="s" s="2">
        <v>305</v>
      </c>
      <c r="P3384" s="5">
        <v>22865</v>
      </c>
      <c r="Q3384" t="s" s="2">
        <v>6435</v>
      </c>
      <c r="R3384" t="s" s="2">
        <f>_xlfn.IFERROR(INDEX('model_byCAP'!$D$2:$D$377,MATCH(Q3384,'model_byCAP'!$A$2:$A$377,0)),0)</f>
        <v>6352</v>
      </c>
    </row>
    <row r="3385" ht="15.35" customHeight="1">
      <c r="A3385" t="s" s="2">
        <v>6443</v>
      </c>
      <c r="B3385" s="4">
        <v>35422</v>
      </c>
      <c r="C3385" s="5">
        <v>600</v>
      </c>
      <c r="D3385" s="5">
        <v>43</v>
      </c>
      <c r="E3385" s="5">
        <v>46</v>
      </c>
      <c r="F3385" t="s" s="2">
        <v>2328</v>
      </c>
      <c r="G3385" t="s" s="2">
        <v>6433</v>
      </c>
      <c r="H3385" s="5">
        <v>550</v>
      </c>
      <c r="I3385" t="s" s="2">
        <v>526</v>
      </c>
      <c r="J3385" t="s" s="2">
        <v>22</v>
      </c>
      <c r="K3385" t="s" s="2">
        <v>6434</v>
      </c>
      <c r="L3385" s="5">
        <v>156</v>
      </c>
      <c r="M3385" s="5">
        <v>513058.08</v>
      </c>
      <c r="N3385" s="5">
        <v>6106151.56</v>
      </c>
      <c r="O3385" t="s" s="2">
        <v>305</v>
      </c>
      <c r="P3385" s="5">
        <v>22866</v>
      </c>
      <c r="Q3385" t="s" s="2">
        <v>6435</v>
      </c>
      <c r="R3385" t="s" s="2">
        <f>_xlfn.IFERROR(INDEX('model_byCAP'!$D$2:$D$377,MATCH(Q3385,'model_byCAP'!$A$2:$A$377,0)),0)</f>
        <v>6352</v>
      </c>
    </row>
    <row r="3386" ht="15.35" customHeight="1">
      <c r="A3386" t="s" s="2">
        <v>6444</v>
      </c>
      <c r="B3386" s="4">
        <v>35422</v>
      </c>
      <c r="C3386" s="5">
        <v>600</v>
      </c>
      <c r="D3386" s="5">
        <v>43</v>
      </c>
      <c r="E3386" s="5">
        <v>46</v>
      </c>
      <c r="F3386" t="s" s="2">
        <v>2328</v>
      </c>
      <c r="G3386" t="s" s="2">
        <v>6433</v>
      </c>
      <c r="H3386" s="5">
        <v>550</v>
      </c>
      <c r="I3386" t="s" s="2">
        <v>526</v>
      </c>
      <c r="J3386" t="s" s="2">
        <v>22</v>
      </c>
      <c r="K3386" t="s" s="2">
        <v>6434</v>
      </c>
      <c r="L3386" s="5">
        <v>153</v>
      </c>
      <c r="M3386" s="5">
        <v>513024.47</v>
      </c>
      <c r="N3386" s="5">
        <v>6106381.13</v>
      </c>
      <c r="O3386" t="s" s="2">
        <v>305</v>
      </c>
      <c r="P3386" s="5">
        <v>22867</v>
      </c>
      <c r="Q3386" t="s" s="2">
        <v>6435</v>
      </c>
      <c r="R3386" t="s" s="2">
        <f>_xlfn.IFERROR(INDEX('model_byCAP'!$D$2:$D$377,MATCH(Q3386,'model_byCAP'!$A$2:$A$377,0)),0)</f>
        <v>6352</v>
      </c>
    </row>
    <row r="3387" ht="15.35" customHeight="1">
      <c r="A3387" t="s" s="2">
        <v>6445</v>
      </c>
      <c r="B3387" s="4">
        <v>35461</v>
      </c>
      <c r="C3387" s="5">
        <v>600</v>
      </c>
      <c r="D3387" s="5">
        <v>43</v>
      </c>
      <c r="E3387" s="5">
        <v>46</v>
      </c>
      <c r="F3387" t="s" s="2">
        <v>2328</v>
      </c>
      <c r="G3387" t="s" s="2">
        <v>6433</v>
      </c>
      <c r="H3387" s="5">
        <v>550</v>
      </c>
      <c r="I3387" t="s" s="2">
        <v>526</v>
      </c>
      <c r="J3387" t="s" s="2">
        <v>22</v>
      </c>
      <c r="K3387" t="s" s="2">
        <v>6434</v>
      </c>
      <c r="L3387" s="5">
        <v>157</v>
      </c>
      <c r="M3387" s="5">
        <v>512991.03</v>
      </c>
      <c r="N3387" s="5">
        <v>6106611.6</v>
      </c>
      <c r="O3387" t="s" s="2">
        <v>305</v>
      </c>
      <c r="P3387" s="5">
        <v>22868</v>
      </c>
      <c r="Q3387" t="s" s="2">
        <v>6435</v>
      </c>
      <c r="R3387" t="s" s="2">
        <f>_xlfn.IFERROR(INDEX('model_byCAP'!$D$2:$D$377,MATCH(Q3387,'model_byCAP'!$A$2:$A$377,0)),0)</f>
        <v>6352</v>
      </c>
    </row>
    <row r="3388" ht="15.35" customHeight="1">
      <c r="A3388" t="s" s="2">
        <v>6446</v>
      </c>
      <c r="B3388" s="4">
        <v>35481</v>
      </c>
      <c r="C3388" s="5">
        <v>600</v>
      </c>
      <c r="D3388" s="5">
        <v>43</v>
      </c>
      <c r="E3388" s="5">
        <v>42</v>
      </c>
      <c r="F3388" t="s" s="2">
        <v>2328</v>
      </c>
      <c r="G3388" t="s" s="2">
        <v>6433</v>
      </c>
      <c r="H3388" s="5">
        <v>550</v>
      </c>
      <c r="I3388" t="s" s="2">
        <v>526</v>
      </c>
      <c r="J3388" t="s" s="2">
        <v>22</v>
      </c>
      <c r="K3388" t="s" s="2">
        <v>6447</v>
      </c>
      <c r="L3388" s="5">
        <v>136</v>
      </c>
      <c r="M3388" s="5">
        <v>504837.82</v>
      </c>
      <c r="N3388" s="5">
        <v>6121491.15</v>
      </c>
      <c r="O3388" t="s" s="2">
        <v>305</v>
      </c>
      <c r="P3388" s="5">
        <v>22902</v>
      </c>
      <c r="Q3388" t="s" s="2">
        <v>6435</v>
      </c>
      <c r="R3388" t="s" s="2">
        <f>_xlfn.IFERROR(INDEX('model_byCAP'!$D$2:$D$377,MATCH(Q3388,'model_byCAP'!$A$2:$A$377,0)),0)</f>
        <v>6352</v>
      </c>
    </row>
    <row r="3389" ht="15.35" customHeight="1">
      <c r="A3389" t="s" s="2">
        <v>6448</v>
      </c>
      <c r="B3389" s="4">
        <v>35422</v>
      </c>
      <c r="C3389" s="5">
        <v>600</v>
      </c>
      <c r="D3389" s="5">
        <v>43</v>
      </c>
      <c r="E3389" s="5">
        <v>40</v>
      </c>
      <c r="F3389" t="s" s="2">
        <v>1746</v>
      </c>
      <c r="G3389" t="s" s="2">
        <v>6286</v>
      </c>
      <c r="H3389" s="5">
        <v>550</v>
      </c>
      <c r="I3389" t="s" s="2">
        <v>526</v>
      </c>
      <c r="J3389" t="s" s="2">
        <v>22</v>
      </c>
      <c r="K3389" t="s" s="2">
        <v>3101</v>
      </c>
      <c r="L3389" s="5">
        <v>617</v>
      </c>
      <c r="M3389" s="5">
        <v>511275.32</v>
      </c>
      <c r="N3389" s="5">
        <v>6106923.22</v>
      </c>
      <c r="O3389" t="s" s="2">
        <v>305</v>
      </c>
      <c r="P3389" s="5">
        <v>22923</v>
      </c>
      <c r="Q3389" t="s" s="2">
        <v>6288</v>
      </c>
      <c r="R3389" t="s" s="2">
        <f>_xlfn.IFERROR(INDEX('model_byCAP'!$D$2:$D$377,MATCH(Q3389,'model_byCAP'!$A$2:$A$377,0)),0)</f>
        <v>2955</v>
      </c>
    </row>
    <row r="3390" ht="15.35" customHeight="1">
      <c r="A3390" t="s" s="2">
        <v>6449</v>
      </c>
      <c r="B3390" s="4">
        <v>35675</v>
      </c>
      <c r="C3390" s="5">
        <v>600</v>
      </c>
      <c r="D3390" s="5">
        <v>0.1</v>
      </c>
      <c r="E3390" s="5">
        <v>0.1</v>
      </c>
      <c r="F3390" t="s" s="2">
        <v>42</v>
      </c>
      <c r="G3390" t="s" s="2">
        <v>42</v>
      </c>
      <c r="H3390" s="5">
        <v>550</v>
      </c>
      <c r="I3390" t="s" s="2">
        <v>526</v>
      </c>
      <c r="J3390" t="s" s="2">
        <v>22</v>
      </c>
      <c r="K3390" t="s" s="2">
        <v>6450</v>
      </c>
      <c r="L3390" s="5">
        <v>350</v>
      </c>
      <c r="M3390" s="5">
        <v>502697.32</v>
      </c>
      <c r="N3390" s="5">
        <v>6104765.38</v>
      </c>
      <c r="O3390" t="s" s="2">
        <v>305</v>
      </c>
      <c r="P3390" s="5">
        <v>44195772</v>
      </c>
      <c r="Q3390" t="s" s="2">
        <v>43</v>
      </c>
      <c r="R3390" s="5">
        <f>_xlfn.IFERROR(INDEX('model_byCAP'!$D$2:$D$377,MATCH(Q3390,'model_byCAP'!$A$2:$A$377,0)),0)</f>
        <v>0</v>
      </c>
    </row>
    <row r="3391" ht="15.35" customHeight="1">
      <c r="A3391" t="s" s="2">
        <v>6451</v>
      </c>
      <c r="B3391" s="4">
        <v>35675</v>
      </c>
      <c r="C3391" s="5">
        <v>600</v>
      </c>
      <c r="D3391" s="5">
        <v>43</v>
      </c>
      <c r="E3391" s="5">
        <v>46</v>
      </c>
      <c r="F3391" t="s" s="2">
        <v>2328</v>
      </c>
      <c r="G3391" t="s" s="2">
        <v>6433</v>
      </c>
      <c r="H3391" s="5">
        <v>550</v>
      </c>
      <c r="I3391" t="s" s="2">
        <v>526</v>
      </c>
      <c r="J3391" t="s" s="2">
        <v>22</v>
      </c>
      <c r="K3391" t="s" s="2">
        <v>6450</v>
      </c>
      <c r="L3391" s="5">
        <v>359</v>
      </c>
      <c r="M3391" s="5">
        <v>502638.38</v>
      </c>
      <c r="N3391" s="5">
        <v>6105377.58</v>
      </c>
      <c r="O3391" t="s" s="2">
        <v>305</v>
      </c>
      <c r="P3391" s="5">
        <v>44195773</v>
      </c>
      <c r="Q3391" t="s" s="2">
        <v>6435</v>
      </c>
      <c r="R3391" t="s" s="2">
        <f>_xlfn.IFERROR(INDEX('model_byCAP'!$D$2:$D$377,MATCH(Q3391,'model_byCAP'!$A$2:$A$377,0)),0)</f>
        <v>6352</v>
      </c>
    </row>
    <row r="3392" ht="15.35" customHeight="1">
      <c r="A3392" t="s" s="2">
        <v>6452</v>
      </c>
      <c r="B3392" s="4">
        <v>35678</v>
      </c>
      <c r="C3392" s="5">
        <v>600</v>
      </c>
      <c r="D3392" s="5">
        <v>43</v>
      </c>
      <c r="E3392" s="5">
        <v>46</v>
      </c>
      <c r="F3392" t="s" s="2">
        <v>2328</v>
      </c>
      <c r="G3392" t="s" s="2">
        <v>6433</v>
      </c>
      <c r="H3392" s="5">
        <v>550</v>
      </c>
      <c r="I3392" t="s" s="2">
        <v>526</v>
      </c>
      <c r="J3392" t="s" s="2">
        <v>22</v>
      </c>
      <c r="K3392" t="s" s="2">
        <v>6450</v>
      </c>
      <c r="L3392" s="5">
        <v>358</v>
      </c>
      <c r="M3392" s="5">
        <v>502667.8</v>
      </c>
      <c r="N3392" s="5">
        <v>6105071.36</v>
      </c>
      <c r="O3392" t="s" s="2">
        <v>305</v>
      </c>
      <c r="P3392" s="5">
        <v>44195774</v>
      </c>
      <c r="Q3392" t="s" s="2">
        <v>6435</v>
      </c>
      <c r="R3392" t="s" s="2">
        <f>_xlfn.IFERROR(INDEX('model_byCAP'!$D$2:$D$377,MATCH(Q3392,'model_byCAP'!$A$2:$A$377,0)),0)</f>
        <v>6352</v>
      </c>
    </row>
    <row r="3393" ht="15.35" customHeight="1">
      <c r="A3393" t="s" s="2">
        <v>6453</v>
      </c>
      <c r="B3393" s="4">
        <v>36395</v>
      </c>
      <c r="C3393" s="5">
        <v>600</v>
      </c>
      <c r="D3393" s="5">
        <v>43</v>
      </c>
      <c r="E3393" s="5">
        <v>46</v>
      </c>
      <c r="F3393" t="s" s="2">
        <v>2328</v>
      </c>
      <c r="G3393" t="s" s="2">
        <v>6433</v>
      </c>
      <c r="H3393" s="5">
        <v>550</v>
      </c>
      <c r="I3393" t="s" s="2">
        <v>526</v>
      </c>
      <c r="J3393" t="s" s="2">
        <v>22</v>
      </c>
      <c r="K3393" t="s" s="2">
        <v>6450</v>
      </c>
      <c r="L3393" s="5">
        <v>57</v>
      </c>
      <c r="M3393" s="5">
        <v>502726.8</v>
      </c>
      <c r="N3393" s="5">
        <v>6104459</v>
      </c>
      <c r="O3393" t="s" s="2">
        <v>305</v>
      </c>
      <c r="P3393" s="5">
        <v>44195774</v>
      </c>
      <c r="Q3393" t="s" s="2">
        <v>6435</v>
      </c>
      <c r="R3393" t="s" s="2">
        <f>_xlfn.IFERROR(INDEX('model_byCAP'!$D$2:$D$377,MATCH(Q3393,'model_byCAP'!$A$2:$A$377,0)),0)</f>
        <v>6352</v>
      </c>
    </row>
    <row r="3394" ht="15.35" customHeight="1">
      <c r="A3394" t="s" s="2">
        <v>6454</v>
      </c>
      <c r="B3394" s="4">
        <v>36195</v>
      </c>
      <c r="C3394" s="5">
        <v>600</v>
      </c>
      <c r="D3394" s="5">
        <v>43</v>
      </c>
      <c r="E3394" s="5">
        <v>46</v>
      </c>
      <c r="F3394" t="s" s="2">
        <v>2328</v>
      </c>
      <c r="G3394" t="s" s="2">
        <v>6433</v>
      </c>
      <c r="H3394" s="5">
        <v>550</v>
      </c>
      <c r="I3394" t="s" s="2">
        <v>526</v>
      </c>
      <c r="J3394" t="s" s="2">
        <v>22</v>
      </c>
      <c r="K3394" t="s" s="2">
        <v>6455</v>
      </c>
      <c r="L3394" s="5">
        <v>88</v>
      </c>
      <c r="M3394" s="5">
        <v>503120.18</v>
      </c>
      <c r="N3394" s="5">
        <v>6104636.53</v>
      </c>
      <c r="O3394" t="s" s="2">
        <v>305</v>
      </c>
      <c r="P3394" s="5">
        <v>44195776</v>
      </c>
      <c r="Q3394" t="s" s="2">
        <v>6435</v>
      </c>
      <c r="R3394" t="s" s="2">
        <f>_xlfn.IFERROR(INDEX('model_byCAP'!$D$2:$D$377,MATCH(Q3394,'model_byCAP'!$A$2:$A$377,0)),0)</f>
        <v>6352</v>
      </c>
    </row>
    <row r="3395" ht="15.35" customHeight="1">
      <c r="A3395" t="s" s="2">
        <v>6456</v>
      </c>
      <c r="B3395" s="4">
        <v>36206</v>
      </c>
      <c r="C3395" s="5">
        <v>600</v>
      </c>
      <c r="D3395" s="5">
        <v>43</v>
      </c>
      <c r="E3395" s="5">
        <v>46</v>
      </c>
      <c r="F3395" t="s" s="2">
        <v>2328</v>
      </c>
      <c r="G3395" t="s" s="2">
        <v>6433</v>
      </c>
      <c r="H3395" s="5">
        <v>550</v>
      </c>
      <c r="I3395" t="s" s="2">
        <v>526</v>
      </c>
      <c r="J3395" t="s" s="2">
        <v>22</v>
      </c>
      <c r="K3395" t="s" s="2">
        <v>6450</v>
      </c>
      <c r="L3395" s="5">
        <v>248</v>
      </c>
      <c r="M3395" s="5">
        <v>503090.54</v>
      </c>
      <c r="N3395" s="5">
        <v>6104942.85</v>
      </c>
      <c r="O3395" t="s" s="2">
        <v>305</v>
      </c>
      <c r="P3395" s="5">
        <v>44195777</v>
      </c>
      <c r="Q3395" t="s" s="2">
        <v>6435</v>
      </c>
      <c r="R3395" t="s" s="2">
        <f>_xlfn.IFERROR(INDEX('model_byCAP'!$D$2:$D$377,MATCH(Q3395,'model_byCAP'!$A$2:$A$377,0)),0)</f>
        <v>6352</v>
      </c>
    </row>
    <row r="3396" ht="15.35" customHeight="1">
      <c r="A3396" t="s" s="2">
        <v>6457</v>
      </c>
      <c r="B3396" s="4">
        <v>36385</v>
      </c>
      <c r="C3396" s="5">
        <v>600</v>
      </c>
      <c r="D3396" s="5">
        <v>43</v>
      </c>
      <c r="E3396" s="5">
        <v>46</v>
      </c>
      <c r="F3396" t="s" s="2">
        <v>2328</v>
      </c>
      <c r="G3396" t="s" s="2">
        <v>6433</v>
      </c>
      <c r="H3396" s="5">
        <v>550</v>
      </c>
      <c r="I3396" t="s" s="2">
        <v>526</v>
      </c>
      <c r="J3396" t="s" s="2">
        <v>22</v>
      </c>
      <c r="K3396" t="s" s="2">
        <v>6458</v>
      </c>
      <c r="L3396" s="5">
        <v>309</v>
      </c>
      <c r="M3396" s="5">
        <v>503061.11</v>
      </c>
      <c r="N3396" s="5">
        <v>6105248.93</v>
      </c>
      <c r="O3396" t="s" s="2">
        <v>305</v>
      </c>
      <c r="P3396" s="5">
        <v>44195778</v>
      </c>
      <c r="Q3396" t="s" s="2">
        <v>6435</v>
      </c>
      <c r="R3396" t="s" s="2">
        <f>_xlfn.IFERROR(INDEX('model_byCAP'!$D$2:$D$377,MATCH(Q3396,'model_byCAP'!$A$2:$A$377,0)),0)</f>
        <v>6352</v>
      </c>
    </row>
    <row r="3397" ht="15.35" customHeight="1">
      <c r="A3397" t="s" s="2">
        <v>6459</v>
      </c>
      <c r="B3397" s="4">
        <v>35751</v>
      </c>
      <c r="C3397" s="5">
        <v>600</v>
      </c>
      <c r="D3397" s="5">
        <v>44</v>
      </c>
      <c r="E3397" s="5">
        <v>45</v>
      </c>
      <c r="F3397" t="s" s="2">
        <v>301</v>
      </c>
      <c r="G3397" t="s" s="2">
        <v>6460</v>
      </c>
      <c r="H3397" s="5">
        <v>550</v>
      </c>
      <c r="I3397" t="s" s="2">
        <v>526</v>
      </c>
      <c r="J3397" t="s" s="2">
        <v>22</v>
      </c>
      <c r="K3397" t="s" s="2">
        <v>3246</v>
      </c>
      <c r="L3397" s="5">
        <v>43</v>
      </c>
      <c r="M3397" s="5">
        <v>496533.51</v>
      </c>
      <c r="N3397" s="5">
        <v>6108786.13</v>
      </c>
      <c r="O3397" t="s" s="2">
        <v>25</v>
      </c>
      <c r="P3397" s="5">
        <v>23043</v>
      </c>
      <c r="Q3397" t="s" s="2">
        <v>6461</v>
      </c>
      <c r="R3397" t="s" s="2">
        <f>_xlfn.IFERROR(INDEX('model_byCAP'!$D$2:$D$377,MATCH(Q3397,'model_byCAP'!$A$2:$A$377,0)),0)</f>
        <v>6103</v>
      </c>
    </row>
    <row r="3398" ht="15.35" customHeight="1">
      <c r="A3398" t="s" s="2">
        <v>6462</v>
      </c>
      <c r="B3398" s="4">
        <v>35751</v>
      </c>
      <c r="C3398" s="5">
        <v>600</v>
      </c>
      <c r="D3398" s="5">
        <v>44</v>
      </c>
      <c r="E3398" s="5">
        <v>45</v>
      </c>
      <c r="F3398" t="s" s="2">
        <v>301</v>
      </c>
      <c r="G3398" t="s" s="2">
        <v>5700</v>
      </c>
      <c r="H3398" s="5">
        <v>550</v>
      </c>
      <c r="I3398" t="s" s="2">
        <v>526</v>
      </c>
      <c r="J3398" t="s" s="2">
        <v>22</v>
      </c>
      <c r="K3398" t="s" s="2">
        <v>3246</v>
      </c>
      <c r="L3398" s="5">
        <v>285</v>
      </c>
      <c r="M3398" s="5">
        <v>495913.04</v>
      </c>
      <c r="N3398" s="5">
        <v>6108032.14</v>
      </c>
      <c r="O3398" t="s" s="2">
        <v>25</v>
      </c>
      <c r="P3398" s="5">
        <v>23043</v>
      </c>
      <c r="Q3398" t="s" s="2">
        <v>5701</v>
      </c>
      <c r="R3398" t="s" s="2">
        <f>_xlfn.IFERROR(INDEX('model_byCAP'!$D$2:$D$377,MATCH(Q3398,'model_byCAP'!$A$2:$A$377,0)),0)</f>
        <v>5702</v>
      </c>
    </row>
    <row r="3399" ht="15.35" customHeight="1">
      <c r="A3399" t="s" s="2">
        <v>6463</v>
      </c>
      <c r="B3399" s="4">
        <v>35751</v>
      </c>
      <c r="C3399" s="5">
        <v>600</v>
      </c>
      <c r="D3399" s="5">
        <v>0.1</v>
      </c>
      <c r="E3399" s="5">
        <v>0.1</v>
      </c>
      <c r="F3399" t="s" s="2">
        <v>42</v>
      </c>
      <c r="G3399" t="s" s="2">
        <v>42</v>
      </c>
      <c r="H3399" s="5">
        <v>550</v>
      </c>
      <c r="I3399" t="s" s="2">
        <v>526</v>
      </c>
      <c r="J3399" t="s" s="2">
        <v>22</v>
      </c>
      <c r="K3399" t="s" s="2">
        <v>6464</v>
      </c>
      <c r="L3399" s="5">
        <v>127</v>
      </c>
      <c r="M3399" s="5">
        <v>495889.08</v>
      </c>
      <c r="N3399" s="5">
        <v>6107849.55</v>
      </c>
      <c r="O3399" t="s" s="2">
        <v>25</v>
      </c>
      <c r="P3399" s="5">
        <v>23043</v>
      </c>
      <c r="Q3399" t="s" s="2">
        <v>43</v>
      </c>
      <c r="R3399" s="5">
        <f>_xlfn.IFERROR(INDEX('model_byCAP'!$D$2:$D$377,MATCH(Q3399,'model_byCAP'!$A$2:$A$377,0)),0)</f>
        <v>0</v>
      </c>
    </row>
    <row r="3400" ht="15.35" customHeight="1">
      <c r="A3400" t="s" s="2">
        <v>6465</v>
      </c>
      <c r="B3400" s="4">
        <v>35751</v>
      </c>
      <c r="C3400" s="5">
        <v>600</v>
      </c>
      <c r="D3400" s="5">
        <v>43</v>
      </c>
      <c r="E3400" s="5">
        <v>44.5</v>
      </c>
      <c r="F3400" t="s" s="2">
        <v>42</v>
      </c>
      <c r="G3400" t="s" s="2">
        <v>42</v>
      </c>
      <c r="H3400" s="5">
        <v>550</v>
      </c>
      <c r="I3400" t="s" s="2">
        <v>526</v>
      </c>
      <c r="J3400" t="s" s="2">
        <v>22</v>
      </c>
      <c r="K3400" t="s" s="2">
        <v>3246</v>
      </c>
      <c r="L3400" s="5">
        <v>27</v>
      </c>
      <c r="M3400" s="5">
        <v>496862.46</v>
      </c>
      <c r="N3400" s="5">
        <v>6109312.76</v>
      </c>
      <c r="O3400" t="s" s="2">
        <v>305</v>
      </c>
      <c r="P3400" s="5">
        <v>23090</v>
      </c>
      <c r="Q3400" t="s" s="2">
        <v>43</v>
      </c>
      <c r="R3400" s="5">
        <f>_xlfn.IFERROR(INDEX('model_byCAP'!$D$2:$D$377,MATCH(Q3400,'model_byCAP'!$A$2:$A$377,0)),0)</f>
        <v>0</v>
      </c>
    </row>
    <row r="3401" ht="15.35" customHeight="1">
      <c r="A3401" t="s" s="2">
        <v>6466</v>
      </c>
      <c r="B3401" s="4">
        <v>35906</v>
      </c>
      <c r="C3401" s="5">
        <v>600</v>
      </c>
      <c r="D3401" s="5">
        <v>43</v>
      </c>
      <c r="E3401" s="5">
        <v>44.5</v>
      </c>
      <c r="F3401" t="s" s="2">
        <v>1746</v>
      </c>
      <c r="G3401" t="s" s="2">
        <v>6467</v>
      </c>
      <c r="H3401" s="5">
        <v>550</v>
      </c>
      <c r="I3401" t="s" s="2">
        <v>526</v>
      </c>
      <c r="J3401" t="s" s="2">
        <v>22</v>
      </c>
      <c r="K3401" t="s" s="2">
        <v>3246</v>
      </c>
      <c r="L3401" s="5">
        <v>27</v>
      </c>
      <c r="M3401" s="5">
        <v>496555.8</v>
      </c>
      <c r="N3401" s="5">
        <v>6109264.28</v>
      </c>
      <c r="O3401" t="s" s="2">
        <v>305</v>
      </c>
      <c r="P3401" s="5">
        <v>23144</v>
      </c>
      <c r="Q3401" t="s" s="2">
        <v>6468</v>
      </c>
      <c r="R3401" t="s" s="2">
        <f>_xlfn.IFERROR(INDEX('model_byCAP'!$D$2:$D$377,MATCH(Q3401,'model_byCAP'!$A$2:$A$377,0)),0)</f>
        <v>4042</v>
      </c>
    </row>
    <row r="3402" ht="15.35" customHeight="1">
      <c r="A3402" t="s" s="2">
        <v>6469</v>
      </c>
      <c r="B3402" s="4">
        <v>34880</v>
      </c>
      <c r="C3402" s="5">
        <v>600</v>
      </c>
      <c r="D3402" s="5">
        <v>42</v>
      </c>
      <c r="E3402" s="5">
        <v>39</v>
      </c>
      <c r="F3402" t="s" s="2">
        <v>301</v>
      </c>
      <c r="G3402" t="s" s="2">
        <v>6100</v>
      </c>
      <c r="H3402" s="5">
        <v>550</v>
      </c>
      <c r="I3402" t="s" s="2">
        <v>526</v>
      </c>
      <c r="J3402" t="s" s="2">
        <v>22</v>
      </c>
      <c r="K3402" t="s" s="2">
        <v>4505</v>
      </c>
      <c r="L3402" s="5">
        <v>369</v>
      </c>
      <c r="M3402" s="5">
        <v>493227.01</v>
      </c>
      <c r="N3402" s="5">
        <v>6098739.9</v>
      </c>
      <c r="O3402" t="s" s="2">
        <v>305</v>
      </c>
      <c r="P3402" s="5">
        <v>31954</v>
      </c>
      <c r="Q3402" t="s" s="2">
        <v>6102</v>
      </c>
      <c r="R3402" t="s" s="2">
        <f>_xlfn.IFERROR(INDEX('model_byCAP'!$D$2:$D$377,MATCH(Q3402,'model_byCAP'!$A$2:$A$377,0)),0)</f>
        <v>6103</v>
      </c>
    </row>
    <row r="3403" ht="15.35" customHeight="1">
      <c r="A3403" t="s" s="2">
        <v>6470</v>
      </c>
      <c r="B3403" s="4">
        <v>34958</v>
      </c>
      <c r="C3403" s="5">
        <v>600</v>
      </c>
      <c r="D3403" s="5">
        <v>44</v>
      </c>
      <c r="E3403" s="5">
        <v>46</v>
      </c>
      <c r="F3403" t="s" s="2">
        <v>1746</v>
      </c>
      <c r="G3403" t="s" s="2">
        <v>6286</v>
      </c>
      <c r="H3403" s="5">
        <v>550</v>
      </c>
      <c r="I3403" t="s" s="2">
        <v>526</v>
      </c>
      <c r="J3403" t="s" s="2">
        <v>22</v>
      </c>
      <c r="K3403" t="s" s="2">
        <v>4461</v>
      </c>
      <c r="L3403" s="5">
        <v>19</v>
      </c>
      <c r="M3403" s="5">
        <v>485623.95</v>
      </c>
      <c r="N3403" s="5">
        <v>6119683.19</v>
      </c>
      <c r="O3403" t="s" s="2">
        <v>305</v>
      </c>
      <c r="P3403" s="5">
        <v>31964</v>
      </c>
      <c r="Q3403" t="s" s="2">
        <v>6288</v>
      </c>
      <c r="R3403" t="s" s="2">
        <f>_xlfn.IFERROR(INDEX('model_byCAP'!$D$2:$D$377,MATCH(Q3403,'model_byCAP'!$A$2:$A$377,0)),0)</f>
        <v>2955</v>
      </c>
    </row>
    <row r="3404" ht="15.35" customHeight="1">
      <c r="A3404" t="s" s="2">
        <v>6471</v>
      </c>
      <c r="B3404" s="4">
        <v>35046</v>
      </c>
      <c r="C3404" s="5">
        <v>600</v>
      </c>
      <c r="D3404" s="5">
        <v>47</v>
      </c>
      <c r="E3404" s="5">
        <v>40</v>
      </c>
      <c r="F3404" t="s" s="2">
        <v>301</v>
      </c>
      <c r="G3404" t="s" s="2">
        <v>4858</v>
      </c>
      <c r="H3404" s="5">
        <v>550</v>
      </c>
      <c r="I3404" t="s" s="2">
        <v>526</v>
      </c>
      <c r="J3404" t="s" s="2">
        <v>22</v>
      </c>
      <c r="K3404" t="s" s="2">
        <v>6472</v>
      </c>
      <c r="L3404" s="5">
        <v>39</v>
      </c>
      <c r="M3404" s="5">
        <v>487506.5</v>
      </c>
      <c r="N3404" s="5">
        <v>6094169.98</v>
      </c>
      <c r="O3404" t="s" s="2">
        <v>305</v>
      </c>
      <c r="P3404" s="5">
        <v>31967</v>
      </c>
      <c r="Q3404" t="s" s="2">
        <v>4860</v>
      </c>
      <c r="R3404" t="s" s="2">
        <f>_xlfn.IFERROR(INDEX('model_byCAP'!$D$2:$D$377,MATCH(Q3404,'model_byCAP'!$A$2:$A$377,0)),0)</f>
        <v>4861</v>
      </c>
    </row>
    <row r="3405" ht="15.35" customHeight="1">
      <c r="A3405" t="s" s="2">
        <v>6473</v>
      </c>
      <c r="B3405" s="4">
        <v>35054</v>
      </c>
      <c r="C3405" s="5">
        <v>600</v>
      </c>
      <c r="D3405" s="5">
        <v>44</v>
      </c>
      <c r="E3405" s="5">
        <v>46</v>
      </c>
      <c r="F3405" t="s" s="2">
        <v>301</v>
      </c>
      <c r="G3405" t="s" s="2">
        <v>5700</v>
      </c>
      <c r="H3405" s="5">
        <v>550</v>
      </c>
      <c r="I3405" t="s" s="2">
        <v>526</v>
      </c>
      <c r="J3405" t="s" s="2">
        <v>22</v>
      </c>
      <c r="K3405" t="s" s="2">
        <v>6474</v>
      </c>
      <c r="L3405" s="5">
        <v>5</v>
      </c>
      <c r="M3405" s="5">
        <v>494297.2</v>
      </c>
      <c r="N3405" s="5">
        <v>6089297.11</v>
      </c>
      <c r="O3405" t="s" s="2">
        <v>305</v>
      </c>
      <c r="P3405" s="5">
        <v>32002</v>
      </c>
      <c r="Q3405" t="s" s="2">
        <v>5701</v>
      </c>
      <c r="R3405" t="s" s="2">
        <f>_xlfn.IFERROR(INDEX('model_byCAP'!$D$2:$D$377,MATCH(Q3405,'model_byCAP'!$A$2:$A$377,0)),0)</f>
        <v>5702</v>
      </c>
    </row>
    <row r="3406" ht="15.35" customHeight="1">
      <c r="A3406" t="s" s="2">
        <v>6475</v>
      </c>
      <c r="B3406" s="4">
        <v>34973</v>
      </c>
      <c r="C3406" s="5">
        <v>600</v>
      </c>
      <c r="D3406" s="5">
        <v>44</v>
      </c>
      <c r="E3406" s="5">
        <v>45</v>
      </c>
      <c r="F3406" t="s" s="2">
        <v>1746</v>
      </c>
      <c r="G3406" t="s" s="2">
        <v>6286</v>
      </c>
      <c r="H3406" s="5">
        <v>550</v>
      </c>
      <c r="I3406" t="s" s="2">
        <v>526</v>
      </c>
      <c r="J3406" t="s" s="2">
        <v>22</v>
      </c>
      <c r="K3406" t="s" s="2">
        <v>6476</v>
      </c>
      <c r="L3406" s="5">
        <v>8</v>
      </c>
      <c r="M3406" s="5">
        <v>479604.66</v>
      </c>
      <c r="N3406" s="5">
        <v>6097971.96</v>
      </c>
      <c r="O3406" t="s" s="2">
        <v>305</v>
      </c>
      <c r="P3406" s="5">
        <v>32003</v>
      </c>
      <c r="Q3406" t="s" s="2">
        <v>6288</v>
      </c>
      <c r="R3406" t="s" s="2">
        <f>_xlfn.IFERROR(INDEX('model_byCAP'!$D$2:$D$377,MATCH(Q3406,'model_byCAP'!$A$2:$A$377,0)),0)</f>
        <v>2955</v>
      </c>
    </row>
    <row r="3407" ht="15.35" customHeight="1">
      <c r="A3407" t="s" s="2">
        <v>6477</v>
      </c>
      <c r="B3407" s="4">
        <v>35034</v>
      </c>
      <c r="C3407" s="5">
        <v>600</v>
      </c>
      <c r="D3407" s="5">
        <v>47</v>
      </c>
      <c r="E3407" s="5">
        <v>40.5</v>
      </c>
      <c r="F3407" t="s" s="2">
        <v>301</v>
      </c>
      <c r="G3407" t="s" s="2">
        <v>5270</v>
      </c>
      <c r="H3407" s="5">
        <v>550</v>
      </c>
      <c r="I3407" t="s" s="2">
        <v>526</v>
      </c>
      <c r="J3407" t="s" s="2">
        <v>22</v>
      </c>
      <c r="K3407" t="s" s="2">
        <v>6472</v>
      </c>
      <c r="L3407" s="5">
        <v>4</v>
      </c>
      <c r="M3407" s="5">
        <v>486858.88</v>
      </c>
      <c r="N3407" s="5">
        <v>6094088.35</v>
      </c>
      <c r="O3407" t="s" s="2">
        <v>305</v>
      </c>
      <c r="P3407" s="5">
        <v>32004</v>
      </c>
      <c r="Q3407" t="s" s="2">
        <v>5272</v>
      </c>
      <c r="R3407" t="s" s="2">
        <f>_xlfn.IFERROR(INDEX('model_byCAP'!$D$2:$D$377,MATCH(Q3407,'model_byCAP'!$A$2:$A$377,0)),0)</f>
        <v>4861</v>
      </c>
    </row>
    <row r="3408" ht="15.35" customHeight="1">
      <c r="A3408" t="s" s="2">
        <v>6478</v>
      </c>
      <c r="B3408" s="4">
        <v>35255</v>
      </c>
      <c r="C3408" s="5">
        <v>600</v>
      </c>
      <c r="D3408" s="5">
        <v>44</v>
      </c>
      <c r="E3408" s="5">
        <v>45</v>
      </c>
      <c r="F3408" t="s" s="2">
        <v>301</v>
      </c>
      <c r="G3408" t="s" s="2">
        <v>6460</v>
      </c>
      <c r="H3408" s="5">
        <v>550</v>
      </c>
      <c r="I3408" t="s" s="2">
        <v>526</v>
      </c>
      <c r="J3408" t="s" s="2">
        <v>22</v>
      </c>
      <c r="K3408" t="s" s="2">
        <v>6479</v>
      </c>
      <c r="L3408" s="5">
        <v>46</v>
      </c>
      <c r="M3408" s="5">
        <v>487033.46</v>
      </c>
      <c r="N3408" s="5">
        <v>6105067.27</v>
      </c>
      <c r="O3408" t="s" s="2">
        <v>305</v>
      </c>
      <c r="P3408" s="5">
        <v>32229</v>
      </c>
      <c r="Q3408" t="s" s="2">
        <v>6461</v>
      </c>
      <c r="R3408" t="s" s="2">
        <f>_xlfn.IFERROR(INDEX('model_byCAP'!$D$2:$D$377,MATCH(Q3408,'model_byCAP'!$A$2:$A$377,0)),0)</f>
        <v>6103</v>
      </c>
    </row>
    <row r="3409" ht="15.35" customHeight="1">
      <c r="A3409" t="s" s="2">
        <v>6480</v>
      </c>
      <c r="B3409" s="4">
        <v>35235</v>
      </c>
      <c r="C3409" s="5">
        <v>600</v>
      </c>
      <c r="D3409" s="5">
        <v>44</v>
      </c>
      <c r="E3409" s="5">
        <v>45</v>
      </c>
      <c r="F3409" t="s" s="2">
        <v>301</v>
      </c>
      <c r="G3409" t="s" s="2">
        <v>5959</v>
      </c>
      <c r="H3409" s="5">
        <v>550</v>
      </c>
      <c r="I3409" t="s" s="2">
        <v>526</v>
      </c>
      <c r="J3409" t="s" s="2">
        <v>22</v>
      </c>
      <c r="K3409" t="s" s="2">
        <v>4467</v>
      </c>
      <c r="L3409" s="5">
        <v>173</v>
      </c>
      <c r="M3409" s="5">
        <v>487334.86</v>
      </c>
      <c r="N3409" s="5">
        <v>6104958.98</v>
      </c>
      <c r="O3409" t="s" s="2">
        <v>305</v>
      </c>
      <c r="P3409" s="5">
        <v>32230</v>
      </c>
      <c r="Q3409" t="s" s="2">
        <v>5960</v>
      </c>
      <c r="R3409" t="s" s="2">
        <f>_xlfn.IFERROR(INDEX('model_byCAP'!$D$2:$D$377,MATCH(Q3409,'model_byCAP'!$A$2:$A$377,0)),0)</f>
        <v>5702</v>
      </c>
    </row>
    <row r="3410" ht="15.35" customHeight="1">
      <c r="A3410" t="s" s="2">
        <v>6481</v>
      </c>
      <c r="B3410" s="4">
        <v>35326</v>
      </c>
      <c r="C3410" s="5">
        <v>600</v>
      </c>
      <c r="D3410" s="5">
        <v>44</v>
      </c>
      <c r="E3410" s="5">
        <v>45</v>
      </c>
      <c r="F3410" t="s" s="2">
        <v>301</v>
      </c>
      <c r="G3410" t="s" s="2">
        <v>5959</v>
      </c>
      <c r="H3410" s="5">
        <v>550</v>
      </c>
      <c r="I3410" t="s" s="2">
        <v>526</v>
      </c>
      <c r="J3410" t="s" s="2">
        <v>22</v>
      </c>
      <c r="K3410" t="s" s="2">
        <v>6482</v>
      </c>
      <c r="L3410" s="5">
        <v>7</v>
      </c>
      <c r="M3410" s="5">
        <v>481675.1</v>
      </c>
      <c r="N3410" s="5">
        <v>6101603.15</v>
      </c>
      <c r="O3410" t="s" s="2">
        <v>305</v>
      </c>
      <c r="P3410" s="5">
        <v>32295</v>
      </c>
      <c r="Q3410" t="s" s="2">
        <v>5960</v>
      </c>
      <c r="R3410" t="s" s="2">
        <f>_xlfn.IFERROR(INDEX('model_byCAP'!$D$2:$D$377,MATCH(Q3410,'model_byCAP'!$A$2:$A$377,0)),0)</f>
        <v>5702</v>
      </c>
    </row>
    <row r="3411" ht="15.35" customHeight="1">
      <c r="A3411" t="s" s="2">
        <v>6483</v>
      </c>
      <c r="B3411" s="4">
        <v>35373</v>
      </c>
      <c r="C3411" s="5">
        <v>600</v>
      </c>
      <c r="D3411" s="5">
        <v>44</v>
      </c>
      <c r="E3411" s="5">
        <v>45</v>
      </c>
      <c r="F3411" t="s" s="2">
        <v>301</v>
      </c>
      <c r="G3411" t="s" s="2">
        <v>5959</v>
      </c>
      <c r="H3411" s="5">
        <v>550</v>
      </c>
      <c r="I3411" t="s" s="2">
        <v>526</v>
      </c>
      <c r="J3411" t="s" s="2">
        <v>22</v>
      </c>
      <c r="K3411" t="s" s="2">
        <v>6484</v>
      </c>
      <c r="L3411" s="5">
        <v>302</v>
      </c>
      <c r="M3411" s="5">
        <v>501288.22</v>
      </c>
      <c r="N3411" s="5">
        <v>6084820.28</v>
      </c>
      <c r="O3411" t="s" s="2">
        <v>305</v>
      </c>
      <c r="P3411" s="5">
        <v>32300</v>
      </c>
      <c r="Q3411" t="s" s="2">
        <v>5960</v>
      </c>
      <c r="R3411" t="s" s="2">
        <f>_xlfn.IFERROR(INDEX('model_byCAP'!$D$2:$D$377,MATCH(Q3411,'model_byCAP'!$A$2:$A$377,0)),0)</f>
        <v>5702</v>
      </c>
    </row>
    <row r="3412" ht="15.35" customHeight="1">
      <c r="A3412" t="s" s="2">
        <v>6485</v>
      </c>
      <c r="B3412" s="4">
        <v>35342</v>
      </c>
      <c r="C3412" s="5">
        <v>600</v>
      </c>
      <c r="D3412" s="5">
        <v>44</v>
      </c>
      <c r="E3412" s="5">
        <v>45</v>
      </c>
      <c r="F3412" t="s" s="2">
        <v>301</v>
      </c>
      <c r="G3412" t="s" s="2">
        <v>5700</v>
      </c>
      <c r="H3412" s="5">
        <v>550</v>
      </c>
      <c r="I3412" t="s" s="2">
        <v>526</v>
      </c>
      <c r="J3412" t="s" s="2">
        <v>22</v>
      </c>
      <c r="K3412" t="s" s="2">
        <v>6486</v>
      </c>
      <c r="L3412" s="5">
        <v>184</v>
      </c>
      <c r="M3412" s="5">
        <v>487141.28</v>
      </c>
      <c r="N3412" s="5">
        <v>6097714.6</v>
      </c>
      <c r="O3412" t="s" s="2">
        <v>305</v>
      </c>
      <c r="P3412" s="5">
        <v>32301</v>
      </c>
      <c r="Q3412" t="s" s="2">
        <v>5701</v>
      </c>
      <c r="R3412" t="s" s="2">
        <f>_xlfn.IFERROR(INDEX('model_byCAP'!$D$2:$D$377,MATCH(Q3412,'model_byCAP'!$A$2:$A$377,0)),0)</f>
        <v>5702</v>
      </c>
    </row>
    <row r="3413" ht="15.35" customHeight="1">
      <c r="A3413" t="s" s="2">
        <v>6487</v>
      </c>
      <c r="B3413" s="4">
        <v>35376</v>
      </c>
      <c r="C3413" s="5">
        <v>600</v>
      </c>
      <c r="D3413" s="5">
        <v>43</v>
      </c>
      <c r="E3413" s="5">
        <v>46</v>
      </c>
      <c r="F3413" t="s" s="2">
        <v>1746</v>
      </c>
      <c r="G3413" t="s" s="2">
        <v>5988</v>
      </c>
      <c r="H3413" s="5">
        <v>550</v>
      </c>
      <c r="I3413" t="s" s="2">
        <v>526</v>
      </c>
      <c r="J3413" t="s" s="2">
        <v>22</v>
      </c>
      <c r="K3413" t="s" s="2">
        <v>6488</v>
      </c>
      <c r="L3413" s="5">
        <v>181</v>
      </c>
      <c r="M3413" s="5">
        <v>481884.23</v>
      </c>
      <c r="N3413" s="5">
        <v>6118741.47</v>
      </c>
      <c r="O3413" t="s" s="2">
        <v>305</v>
      </c>
      <c r="P3413" s="5">
        <v>32302</v>
      </c>
      <c r="Q3413" t="s" s="2">
        <v>5989</v>
      </c>
      <c r="R3413" t="s" s="2">
        <f>_xlfn.IFERROR(INDEX('model_byCAP'!$D$2:$D$377,MATCH(Q3413,'model_byCAP'!$A$2:$A$377,0)),0)</f>
        <v>2955</v>
      </c>
    </row>
    <row r="3414" ht="15.35" customHeight="1">
      <c r="A3414" t="s" s="2">
        <v>6489</v>
      </c>
      <c r="B3414" s="4">
        <v>35402</v>
      </c>
      <c r="C3414" s="5">
        <v>600</v>
      </c>
      <c r="D3414" s="5">
        <v>43</v>
      </c>
      <c r="E3414" s="5">
        <v>46</v>
      </c>
      <c r="F3414" t="s" s="2">
        <v>1746</v>
      </c>
      <c r="G3414" t="s" s="2">
        <v>5988</v>
      </c>
      <c r="H3414" s="5">
        <v>550</v>
      </c>
      <c r="I3414" t="s" s="2">
        <v>526</v>
      </c>
      <c r="J3414" t="s" s="2">
        <v>22</v>
      </c>
      <c r="K3414" t="s" s="2">
        <v>6488</v>
      </c>
      <c r="L3414" s="5">
        <v>181</v>
      </c>
      <c r="M3414" s="5">
        <v>481930.17</v>
      </c>
      <c r="N3414" s="5">
        <v>6118531.92</v>
      </c>
      <c r="O3414" t="s" s="2">
        <v>305</v>
      </c>
      <c r="P3414" s="5">
        <v>32303</v>
      </c>
      <c r="Q3414" t="s" s="2">
        <v>5989</v>
      </c>
      <c r="R3414" t="s" s="2">
        <f>_xlfn.IFERROR(INDEX('model_byCAP'!$D$2:$D$377,MATCH(Q3414,'model_byCAP'!$A$2:$A$377,0)),0)</f>
        <v>2955</v>
      </c>
    </row>
    <row r="3415" ht="15.35" customHeight="1">
      <c r="A3415" t="s" s="2">
        <v>6490</v>
      </c>
      <c r="B3415" s="4">
        <v>35402</v>
      </c>
      <c r="C3415" s="5">
        <v>600</v>
      </c>
      <c r="D3415" s="5">
        <v>43</v>
      </c>
      <c r="E3415" s="5">
        <v>46</v>
      </c>
      <c r="F3415" t="s" s="2">
        <v>1746</v>
      </c>
      <c r="G3415" t="s" s="2">
        <v>5988</v>
      </c>
      <c r="H3415" s="5">
        <v>550</v>
      </c>
      <c r="I3415" t="s" s="2">
        <v>526</v>
      </c>
      <c r="J3415" t="s" s="2">
        <v>22</v>
      </c>
      <c r="K3415" t="s" s="2">
        <v>6488</v>
      </c>
      <c r="L3415" s="5">
        <v>68</v>
      </c>
      <c r="M3415" s="5">
        <v>482096.1</v>
      </c>
      <c r="N3415" s="5">
        <v>6118529.61</v>
      </c>
      <c r="O3415" t="s" s="2">
        <v>305</v>
      </c>
      <c r="P3415" s="5">
        <v>32304</v>
      </c>
      <c r="Q3415" t="s" s="2">
        <v>5989</v>
      </c>
      <c r="R3415" t="s" s="2">
        <f>_xlfn.IFERROR(INDEX('model_byCAP'!$D$2:$D$377,MATCH(Q3415,'model_byCAP'!$A$2:$A$377,0)),0)</f>
        <v>2955</v>
      </c>
    </row>
    <row r="3416" ht="15.35" customHeight="1">
      <c r="A3416" t="s" s="2">
        <v>6491</v>
      </c>
      <c r="B3416" s="4">
        <v>35402</v>
      </c>
      <c r="C3416" s="5">
        <v>600</v>
      </c>
      <c r="D3416" s="5">
        <v>43</v>
      </c>
      <c r="E3416" s="5">
        <v>46</v>
      </c>
      <c r="F3416" t="s" s="2">
        <v>1746</v>
      </c>
      <c r="G3416" t="s" s="2">
        <v>5988</v>
      </c>
      <c r="H3416" s="5">
        <v>550</v>
      </c>
      <c r="I3416" t="s" s="2">
        <v>526</v>
      </c>
      <c r="J3416" t="s" s="2">
        <v>22</v>
      </c>
      <c r="K3416" t="s" s="2">
        <v>6488</v>
      </c>
      <c r="L3416" s="5">
        <v>178</v>
      </c>
      <c r="M3416" s="5">
        <v>482049.52</v>
      </c>
      <c r="N3416" s="5">
        <v>6118738.55</v>
      </c>
      <c r="O3416" t="s" s="2">
        <v>305</v>
      </c>
      <c r="P3416" s="5">
        <v>32305</v>
      </c>
      <c r="Q3416" t="s" s="2">
        <v>5989</v>
      </c>
      <c r="R3416" t="s" s="2">
        <f>_xlfn.IFERROR(INDEX('model_byCAP'!$D$2:$D$377,MATCH(Q3416,'model_byCAP'!$A$2:$A$377,0)),0)</f>
        <v>2955</v>
      </c>
    </row>
    <row r="3417" ht="15.35" customHeight="1">
      <c r="A3417" t="s" s="2">
        <v>6492</v>
      </c>
      <c r="B3417" s="4">
        <v>35369</v>
      </c>
      <c r="C3417" s="5">
        <v>600</v>
      </c>
      <c r="D3417" s="5">
        <v>43</v>
      </c>
      <c r="E3417" s="5">
        <v>46</v>
      </c>
      <c r="F3417" t="s" s="2">
        <v>1746</v>
      </c>
      <c r="G3417" t="s" s="2">
        <v>5988</v>
      </c>
      <c r="H3417" s="5">
        <v>550</v>
      </c>
      <c r="I3417" t="s" s="2">
        <v>526</v>
      </c>
      <c r="J3417" t="s" s="2">
        <v>22</v>
      </c>
      <c r="K3417" t="s" s="2">
        <v>4469</v>
      </c>
      <c r="L3417" s="5">
        <v>48</v>
      </c>
      <c r="M3417" s="5">
        <v>487873.99</v>
      </c>
      <c r="N3417" s="5">
        <v>6119130.66</v>
      </c>
      <c r="O3417" t="s" s="2">
        <v>305</v>
      </c>
      <c r="P3417" s="5">
        <v>32306</v>
      </c>
      <c r="Q3417" t="s" s="2">
        <v>5989</v>
      </c>
      <c r="R3417" t="s" s="2">
        <f>_xlfn.IFERROR(INDEX('model_byCAP'!$D$2:$D$377,MATCH(Q3417,'model_byCAP'!$A$2:$A$377,0)),0)</f>
        <v>2955</v>
      </c>
    </row>
    <row r="3418" ht="15.35" customHeight="1">
      <c r="A3418" t="s" s="2">
        <v>6493</v>
      </c>
      <c r="B3418" s="4">
        <v>35416</v>
      </c>
      <c r="C3418" s="5">
        <v>600</v>
      </c>
      <c r="D3418" s="5">
        <v>38</v>
      </c>
      <c r="E3418" s="5">
        <v>40</v>
      </c>
      <c r="F3418" t="s" s="2">
        <v>42</v>
      </c>
      <c r="G3418" t="s" s="2">
        <v>42</v>
      </c>
      <c r="H3418" s="5">
        <v>550</v>
      </c>
      <c r="I3418" t="s" s="2">
        <v>526</v>
      </c>
      <c r="J3418" t="s" s="2">
        <v>22</v>
      </c>
      <c r="K3418" t="s" s="2">
        <v>6494</v>
      </c>
      <c r="L3418" s="5">
        <v>58</v>
      </c>
      <c r="M3418" s="5">
        <v>486467.2</v>
      </c>
      <c r="N3418" s="5">
        <v>6111743.79</v>
      </c>
      <c r="O3418" t="s" s="2">
        <v>305</v>
      </c>
      <c r="P3418" s="5">
        <v>32309</v>
      </c>
      <c r="Q3418" t="s" s="2">
        <v>43</v>
      </c>
      <c r="R3418" s="5">
        <f>_xlfn.IFERROR(INDEX('model_byCAP'!$D$2:$D$377,MATCH(Q3418,'model_byCAP'!$A$2:$A$377,0)),0)</f>
        <v>0</v>
      </c>
    </row>
    <row r="3419" ht="15.35" customHeight="1">
      <c r="A3419" t="s" s="2">
        <v>6495</v>
      </c>
      <c r="B3419" s="4">
        <v>35416</v>
      </c>
      <c r="C3419" s="5">
        <v>600</v>
      </c>
      <c r="D3419" s="5">
        <v>44</v>
      </c>
      <c r="E3419" s="5">
        <v>43.4</v>
      </c>
      <c r="F3419" t="s" s="2">
        <v>301</v>
      </c>
      <c r="G3419" t="s" s="2">
        <v>5700</v>
      </c>
      <c r="H3419" s="5">
        <v>550</v>
      </c>
      <c r="I3419" t="s" s="2">
        <v>526</v>
      </c>
      <c r="J3419" t="s" s="2">
        <v>22</v>
      </c>
      <c r="K3419" t="s" s="2">
        <v>6496</v>
      </c>
      <c r="L3419" s="5">
        <v>1</v>
      </c>
      <c r="M3419" s="5">
        <v>483657.95</v>
      </c>
      <c r="N3419" s="5">
        <v>6101707.16</v>
      </c>
      <c r="O3419" t="s" s="2">
        <v>305</v>
      </c>
      <c r="P3419" s="5">
        <v>32361</v>
      </c>
      <c r="Q3419" t="s" s="2">
        <v>5701</v>
      </c>
      <c r="R3419" t="s" s="2">
        <f>_xlfn.IFERROR(INDEX('model_byCAP'!$D$2:$D$377,MATCH(Q3419,'model_byCAP'!$A$2:$A$377,0)),0)</f>
        <v>5702</v>
      </c>
    </row>
    <row r="3420" ht="15.35" customHeight="1">
      <c r="A3420" t="s" s="2">
        <v>6497</v>
      </c>
      <c r="B3420" s="4">
        <v>35439</v>
      </c>
      <c r="C3420" s="5">
        <v>600</v>
      </c>
      <c r="D3420" s="5">
        <v>44</v>
      </c>
      <c r="E3420" s="5">
        <v>45</v>
      </c>
      <c r="F3420" t="s" s="2">
        <v>301</v>
      </c>
      <c r="G3420" t="s" s="2">
        <v>5700</v>
      </c>
      <c r="H3420" s="5">
        <v>550</v>
      </c>
      <c r="I3420" t="s" s="2">
        <v>526</v>
      </c>
      <c r="J3420" t="s" s="2">
        <v>22</v>
      </c>
      <c r="K3420" t="s" s="2">
        <v>6498</v>
      </c>
      <c r="L3420" s="5">
        <v>53</v>
      </c>
      <c r="M3420" s="5">
        <v>486474.75</v>
      </c>
      <c r="N3420" s="5">
        <v>6099978.1</v>
      </c>
      <c r="O3420" t="s" s="2">
        <v>305</v>
      </c>
      <c r="P3420" s="5">
        <v>32362</v>
      </c>
      <c r="Q3420" t="s" s="2">
        <v>5701</v>
      </c>
      <c r="R3420" t="s" s="2">
        <f>_xlfn.IFERROR(INDEX('model_byCAP'!$D$2:$D$377,MATCH(Q3420,'model_byCAP'!$A$2:$A$377,0)),0)</f>
        <v>5702</v>
      </c>
    </row>
    <row r="3421" ht="15.35" customHeight="1">
      <c r="A3421" t="s" s="2">
        <v>6499</v>
      </c>
      <c r="B3421" s="4">
        <v>35592</v>
      </c>
      <c r="C3421" s="5">
        <v>600</v>
      </c>
      <c r="D3421" s="5">
        <v>44</v>
      </c>
      <c r="E3421" s="5">
        <v>46</v>
      </c>
      <c r="F3421" t="s" s="2">
        <v>301</v>
      </c>
      <c r="G3421" t="s" s="2">
        <v>5700</v>
      </c>
      <c r="H3421" s="5">
        <v>550</v>
      </c>
      <c r="I3421" t="s" s="2">
        <v>526</v>
      </c>
      <c r="J3421" t="s" s="2">
        <v>22</v>
      </c>
      <c r="K3421" t="s" s="2">
        <v>6500</v>
      </c>
      <c r="L3421" s="5">
        <v>7</v>
      </c>
      <c r="M3421" s="5">
        <v>491146.19</v>
      </c>
      <c r="N3421" s="5">
        <v>6103147.05</v>
      </c>
      <c r="O3421" t="s" s="2">
        <v>305</v>
      </c>
      <c r="P3421" s="5">
        <v>32516</v>
      </c>
      <c r="Q3421" t="s" s="2">
        <v>5701</v>
      </c>
      <c r="R3421" t="s" s="2">
        <f>_xlfn.IFERROR(INDEX('model_byCAP'!$D$2:$D$377,MATCH(Q3421,'model_byCAP'!$A$2:$A$377,0)),0)</f>
        <v>5702</v>
      </c>
    </row>
    <row r="3422" ht="15.35" customHeight="1">
      <c r="A3422" t="s" s="2">
        <v>6501</v>
      </c>
      <c r="B3422" s="4">
        <v>35536</v>
      </c>
      <c r="C3422" s="5">
        <v>600</v>
      </c>
      <c r="D3422" s="5">
        <v>44</v>
      </c>
      <c r="E3422" s="5">
        <v>45</v>
      </c>
      <c r="F3422" t="s" s="2">
        <v>301</v>
      </c>
      <c r="G3422" t="s" s="2">
        <v>5959</v>
      </c>
      <c r="H3422" s="5">
        <v>550</v>
      </c>
      <c r="I3422" t="s" s="2">
        <v>526</v>
      </c>
      <c r="J3422" t="s" s="2">
        <v>22</v>
      </c>
      <c r="K3422" t="s" s="2">
        <v>6502</v>
      </c>
      <c r="L3422" s="5">
        <v>231</v>
      </c>
      <c r="M3422" s="5">
        <v>489667.94</v>
      </c>
      <c r="N3422" s="5">
        <v>6092846.01</v>
      </c>
      <c r="O3422" t="s" s="2">
        <v>305</v>
      </c>
      <c r="P3422" s="5">
        <v>32519</v>
      </c>
      <c r="Q3422" t="s" s="2">
        <v>5960</v>
      </c>
      <c r="R3422" t="s" s="2">
        <f>_xlfn.IFERROR(INDEX('model_byCAP'!$D$2:$D$377,MATCH(Q3422,'model_byCAP'!$A$2:$A$377,0)),0)</f>
        <v>5702</v>
      </c>
    </row>
    <row r="3423" ht="15.35" customHeight="1">
      <c r="A3423" t="s" s="2">
        <v>6503</v>
      </c>
      <c r="B3423" s="4">
        <v>35621</v>
      </c>
      <c r="C3423" s="5">
        <v>600</v>
      </c>
      <c r="D3423" s="5">
        <v>0.1</v>
      </c>
      <c r="E3423" s="5">
        <v>0.1</v>
      </c>
      <c r="F3423" t="s" s="2">
        <v>42</v>
      </c>
      <c r="G3423" t="s" s="2">
        <v>42</v>
      </c>
      <c r="H3423" s="5">
        <v>550</v>
      </c>
      <c r="I3423" t="s" s="2">
        <v>526</v>
      </c>
      <c r="J3423" t="s" s="2">
        <v>22</v>
      </c>
      <c r="K3423" t="s" s="2">
        <v>6504</v>
      </c>
      <c r="L3423" s="5">
        <v>276</v>
      </c>
      <c r="M3423" s="5">
        <v>486168.03</v>
      </c>
      <c r="N3423" s="5">
        <v>6098382.06</v>
      </c>
      <c r="O3423" t="s" s="2">
        <v>305</v>
      </c>
      <c r="P3423" s="5">
        <v>32523</v>
      </c>
      <c r="Q3423" t="s" s="2">
        <v>43</v>
      </c>
      <c r="R3423" s="5">
        <f>_xlfn.IFERROR(INDEX('model_byCAP'!$D$2:$D$377,MATCH(Q3423,'model_byCAP'!$A$2:$A$377,0)),0)</f>
        <v>0</v>
      </c>
    </row>
    <row r="3424" ht="15.35" customHeight="1">
      <c r="A3424" t="s" s="2">
        <v>6505</v>
      </c>
      <c r="B3424" s="4">
        <v>35705</v>
      </c>
      <c r="C3424" s="5">
        <v>600</v>
      </c>
      <c r="D3424" s="5">
        <v>44</v>
      </c>
      <c r="E3424" s="5">
        <v>45</v>
      </c>
      <c r="F3424" t="s" s="2">
        <v>301</v>
      </c>
      <c r="G3424" t="s" s="2">
        <v>5700</v>
      </c>
      <c r="H3424" s="5">
        <v>550</v>
      </c>
      <c r="I3424" t="s" s="2">
        <v>526</v>
      </c>
      <c r="J3424" t="s" s="2">
        <v>22</v>
      </c>
      <c r="K3424" t="s" s="2">
        <v>6506</v>
      </c>
      <c r="L3424" s="5">
        <v>4</v>
      </c>
      <c r="M3424" s="5">
        <v>487291.27</v>
      </c>
      <c r="N3424" s="5">
        <v>6105315.03</v>
      </c>
      <c r="O3424" t="s" s="2">
        <v>305</v>
      </c>
      <c r="P3424" s="5">
        <v>32568</v>
      </c>
      <c r="Q3424" t="s" s="2">
        <v>5701</v>
      </c>
      <c r="R3424" t="s" s="2">
        <f>_xlfn.IFERROR(INDEX('model_byCAP'!$D$2:$D$377,MATCH(Q3424,'model_byCAP'!$A$2:$A$377,0)),0)</f>
        <v>5702</v>
      </c>
    </row>
    <row r="3425" ht="15.35" customHeight="1">
      <c r="A3425" t="s" s="2">
        <v>6507</v>
      </c>
      <c r="B3425" s="4">
        <v>35699</v>
      </c>
      <c r="C3425" s="5">
        <v>600</v>
      </c>
      <c r="D3425" s="5">
        <v>43</v>
      </c>
      <c r="E3425" s="5">
        <v>42</v>
      </c>
      <c r="F3425" t="s" s="2">
        <v>42</v>
      </c>
      <c r="G3425" t="s" s="2">
        <v>42</v>
      </c>
      <c r="H3425" s="5">
        <v>550</v>
      </c>
      <c r="I3425" t="s" s="2">
        <v>526</v>
      </c>
      <c r="J3425" t="s" s="2">
        <v>22</v>
      </c>
      <c r="K3425" t="s" s="2">
        <v>6508</v>
      </c>
      <c r="L3425" s="5">
        <v>25</v>
      </c>
      <c r="M3425" s="5">
        <v>500123.17</v>
      </c>
      <c r="N3425" s="5">
        <v>6092121.18</v>
      </c>
      <c r="O3425" t="s" s="2">
        <v>305</v>
      </c>
      <c r="P3425" s="5">
        <v>32650</v>
      </c>
      <c r="Q3425" t="s" s="2">
        <v>43</v>
      </c>
      <c r="R3425" s="5">
        <f>_xlfn.IFERROR(INDEX('model_byCAP'!$D$2:$D$377,MATCH(Q3425,'model_byCAP'!$A$2:$A$377,0)),0)</f>
        <v>0</v>
      </c>
    </row>
    <row r="3426" ht="15.35" customHeight="1">
      <c r="A3426" t="s" s="2">
        <v>6509</v>
      </c>
      <c r="B3426" s="4">
        <v>35697</v>
      </c>
      <c r="C3426" s="5">
        <v>600</v>
      </c>
      <c r="D3426" s="5">
        <v>43</v>
      </c>
      <c r="E3426" s="5">
        <v>44.5</v>
      </c>
      <c r="F3426" t="s" s="2">
        <v>42</v>
      </c>
      <c r="G3426" t="s" s="2">
        <v>42</v>
      </c>
      <c r="H3426" s="5">
        <v>550</v>
      </c>
      <c r="I3426" t="s" s="2">
        <v>526</v>
      </c>
      <c r="J3426" t="s" s="2">
        <v>22</v>
      </c>
      <c r="K3426" t="s" s="2">
        <v>6508</v>
      </c>
      <c r="L3426" s="5">
        <v>25</v>
      </c>
      <c r="M3426" s="5">
        <v>500065.04</v>
      </c>
      <c r="N3426" s="5">
        <v>6092407.83</v>
      </c>
      <c r="O3426" t="s" s="2">
        <v>305</v>
      </c>
      <c r="P3426" s="5">
        <v>32651</v>
      </c>
      <c r="Q3426" t="s" s="2">
        <v>43</v>
      </c>
      <c r="R3426" s="5">
        <f>_xlfn.IFERROR(INDEX('model_byCAP'!$D$2:$D$377,MATCH(Q3426,'model_byCAP'!$A$2:$A$377,0)),0)</f>
        <v>0</v>
      </c>
    </row>
    <row r="3427" ht="15.35" customHeight="1">
      <c r="A3427" t="s" s="2">
        <v>6510</v>
      </c>
      <c r="B3427" s="4">
        <v>35695</v>
      </c>
      <c r="C3427" s="5">
        <v>600</v>
      </c>
      <c r="D3427" s="5">
        <v>44</v>
      </c>
      <c r="E3427" s="5">
        <v>45</v>
      </c>
      <c r="F3427" t="s" s="2">
        <v>301</v>
      </c>
      <c r="G3427" t="s" s="2">
        <v>5700</v>
      </c>
      <c r="H3427" s="5">
        <v>550</v>
      </c>
      <c r="I3427" t="s" s="2">
        <v>526</v>
      </c>
      <c r="J3427" t="s" s="2">
        <v>22</v>
      </c>
      <c r="K3427" t="s" s="2">
        <v>4498</v>
      </c>
      <c r="L3427" s="5">
        <v>83</v>
      </c>
      <c r="M3427" s="5">
        <v>497811.11</v>
      </c>
      <c r="N3427" s="5">
        <v>6086105.07</v>
      </c>
      <c r="O3427" t="s" s="2">
        <v>305</v>
      </c>
      <c r="P3427" s="5">
        <v>32653</v>
      </c>
      <c r="Q3427" t="s" s="2">
        <v>5701</v>
      </c>
      <c r="R3427" t="s" s="2">
        <f>_xlfn.IFERROR(INDEX('model_byCAP'!$D$2:$D$377,MATCH(Q3427,'model_byCAP'!$A$2:$A$377,0)),0)</f>
        <v>5702</v>
      </c>
    </row>
    <row r="3428" ht="15.35" customHeight="1">
      <c r="A3428" t="s" s="2">
        <v>6511</v>
      </c>
      <c r="B3428" s="4">
        <v>35724</v>
      </c>
      <c r="C3428" s="5">
        <v>600</v>
      </c>
      <c r="D3428" s="5">
        <v>44</v>
      </c>
      <c r="E3428" s="5">
        <v>46</v>
      </c>
      <c r="F3428" t="s" s="2">
        <v>1989</v>
      </c>
      <c r="G3428" t="s" s="2">
        <v>6085</v>
      </c>
      <c r="H3428" s="5">
        <v>550</v>
      </c>
      <c r="I3428" t="s" s="2">
        <v>526</v>
      </c>
      <c r="J3428" t="s" s="2">
        <v>22</v>
      </c>
      <c r="K3428" t="s" s="2">
        <v>6512</v>
      </c>
      <c r="L3428" s="5">
        <v>74</v>
      </c>
      <c r="M3428" s="5">
        <v>495977.52</v>
      </c>
      <c r="N3428" s="5">
        <v>6087892.73</v>
      </c>
      <c r="O3428" t="s" s="2">
        <v>305</v>
      </c>
      <c r="P3428" s="5">
        <v>32654</v>
      </c>
      <c r="Q3428" t="s" s="2">
        <v>6087</v>
      </c>
      <c r="R3428" t="s" s="2">
        <f>_xlfn.IFERROR(INDEX('model_byCAP'!$D$2:$D$377,MATCH(Q3428,'model_byCAP'!$A$2:$A$377,0)),0)</f>
        <v>5955</v>
      </c>
    </row>
    <row r="3429" ht="15.35" customHeight="1">
      <c r="A3429" t="s" s="2">
        <v>6513</v>
      </c>
      <c r="B3429" s="4">
        <v>35698</v>
      </c>
      <c r="C3429" s="5">
        <v>600</v>
      </c>
      <c r="D3429" s="5">
        <v>42</v>
      </c>
      <c r="E3429" s="5">
        <v>45</v>
      </c>
      <c r="F3429" t="s" s="2">
        <v>1989</v>
      </c>
      <c r="G3429" t="s" s="2">
        <v>6085</v>
      </c>
      <c r="H3429" s="5">
        <v>550</v>
      </c>
      <c r="I3429" t="s" s="2">
        <v>526</v>
      </c>
      <c r="J3429" t="s" s="2">
        <v>22</v>
      </c>
      <c r="K3429" t="s" s="2">
        <v>6508</v>
      </c>
      <c r="L3429" s="5">
        <v>133</v>
      </c>
      <c r="M3429" s="5">
        <v>500179.04</v>
      </c>
      <c r="N3429" s="5">
        <v>6091836.9</v>
      </c>
      <c r="O3429" t="s" s="2">
        <v>305</v>
      </c>
      <c r="P3429" s="5">
        <v>32655</v>
      </c>
      <c r="Q3429" t="s" s="2">
        <v>6087</v>
      </c>
      <c r="R3429" t="s" s="2">
        <f>_xlfn.IFERROR(INDEX('model_byCAP'!$D$2:$D$377,MATCH(Q3429,'model_byCAP'!$A$2:$A$377,0)),0)</f>
        <v>5955</v>
      </c>
    </row>
    <row r="3430" ht="15.35" customHeight="1">
      <c r="A3430" t="s" s="2">
        <v>6514</v>
      </c>
      <c r="B3430" s="4">
        <v>35776</v>
      </c>
      <c r="C3430" s="5">
        <v>600</v>
      </c>
      <c r="D3430" s="5">
        <v>44</v>
      </c>
      <c r="E3430" s="5">
        <v>45</v>
      </c>
      <c r="F3430" t="s" s="2">
        <v>301</v>
      </c>
      <c r="G3430" t="s" s="2">
        <v>5700</v>
      </c>
      <c r="H3430" s="5">
        <v>550</v>
      </c>
      <c r="I3430" t="s" s="2">
        <v>526</v>
      </c>
      <c r="J3430" t="s" s="2">
        <v>22</v>
      </c>
      <c r="K3430" t="s" s="2">
        <v>6504</v>
      </c>
      <c r="L3430" s="5">
        <v>150</v>
      </c>
      <c r="M3430" s="5">
        <v>485693.61</v>
      </c>
      <c r="N3430" s="5">
        <v>6099020.49</v>
      </c>
      <c r="O3430" t="s" s="2">
        <v>305</v>
      </c>
      <c r="P3430" s="5">
        <v>32695</v>
      </c>
      <c r="Q3430" t="s" s="2">
        <v>5701</v>
      </c>
      <c r="R3430" t="s" s="2">
        <f>_xlfn.IFERROR(INDEX('model_byCAP'!$D$2:$D$377,MATCH(Q3430,'model_byCAP'!$A$2:$A$377,0)),0)</f>
        <v>5702</v>
      </c>
    </row>
    <row r="3431" ht="15.35" customHeight="1">
      <c r="A3431" t="s" s="2">
        <v>6515</v>
      </c>
      <c r="B3431" s="4">
        <v>35773</v>
      </c>
      <c r="C3431" s="5">
        <v>600</v>
      </c>
      <c r="D3431" s="5">
        <v>44</v>
      </c>
      <c r="E3431" s="5">
        <v>45</v>
      </c>
      <c r="F3431" t="s" s="2">
        <v>301</v>
      </c>
      <c r="G3431" t="s" s="2">
        <v>5959</v>
      </c>
      <c r="H3431" s="5">
        <v>550</v>
      </c>
      <c r="I3431" t="s" s="2">
        <v>526</v>
      </c>
      <c r="J3431" t="s" s="2">
        <v>22</v>
      </c>
      <c r="K3431" t="s" s="2">
        <v>6482</v>
      </c>
      <c r="L3431" s="5">
        <v>117</v>
      </c>
      <c r="M3431" s="5">
        <v>481494.61</v>
      </c>
      <c r="N3431" s="5">
        <v>6102403.92</v>
      </c>
      <c r="O3431" t="s" s="2">
        <v>305</v>
      </c>
      <c r="P3431" s="5">
        <v>32696</v>
      </c>
      <c r="Q3431" t="s" s="2">
        <v>5960</v>
      </c>
      <c r="R3431" t="s" s="2">
        <f>_xlfn.IFERROR(INDEX('model_byCAP'!$D$2:$D$377,MATCH(Q3431,'model_byCAP'!$A$2:$A$377,0)),0)</f>
        <v>5702</v>
      </c>
    </row>
    <row r="3432" ht="15.35" customHeight="1">
      <c r="A3432" t="s" s="2">
        <v>6516</v>
      </c>
      <c r="B3432" s="4">
        <v>35326</v>
      </c>
      <c r="C3432" s="5">
        <v>600</v>
      </c>
      <c r="D3432" s="5">
        <v>44</v>
      </c>
      <c r="E3432" s="5">
        <v>43.4</v>
      </c>
      <c r="F3432" t="s" s="2">
        <v>301</v>
      </c>
      <c r="G3432" t="s" s="2">
        <v>5700</v>
      </c>
      <c r="H3432" s="5">
        <v>550</v>
      </c>
      <c r="I3432" t="s" s="2">
        <v>526</v>
      </c>
      <c r="J3432" t="s" s="2">
        <v>22</v>
      </c>
      <c r="K3432" t="s" s="2">
        <v>6482</v>
      </c>
      <c r="L3432" s="5">
        <v>11</v>
      </c>
      <c r="M3432" s="5">
        <v>481584.62</v>
      </c>
      <c r="N3432" s="5">
        <v>6102003.49</v>
      </c>
      <c r="O3432" t="s" s="2">
        <v>305</v>
      </c>
      <c r="P3432" s="5">
        <v>32996</v>
      </c>
      <c r="Q3432" t="s" s="2">
        <v>5701</v>
      </c>
      <c r="R3432" t="s" s="2">
        <f>_xlfn.IFERROR(INDEX('model_byCAP'!$D$2:$D$377,MATCH(Q3432,'model_byCAP'!$A$2:$A$377,0)),0)</f>
        <v>5702</v>
      </c>
    </row>
    <row r="3433" ht="15.35" customHeight="1">
      <c r="A3433" t="s" s="2">
        <v>6517</v>
      </c>
      <c r="B3433" s="4">
        <v>36151</v>
      </c>
      <c r="C3433" s="5">
        <v>600</v>
      </c>
      <c r="D3433" s="5">
        <v>44</v>
      </c>
      <c r="E3433" s="5">
        <v>49</v>
      </c>
      <c r="F3433" t="s" s="2">
        <v>301</v>
      </c>
      <c r="G3433" t="s" s="2">
        <v>5700</v>
      </c>
      <c r="H3433" s="5">
        <v>550</v>
      </c>
      <c r="I3433" t="s" s="2">
        <v>526</v>
      </c>
      <c r="J3433" t="s" s="2">
        <v>22</v>
      </c>
      <c r="K3433" t="s" s="2">
        <v>6496</v>
      </c>
      <c r="L3433" s="5">
        <v>261</v>
      </c>
      <c r="M3433" s="5">
        <v>483275.45</v>
      </c>
      <c r="N3433" s="5">
        <v>6101288.17</v>
      </c>
      <c r="O3433" t="s" s="2">
        <v>305</v>
      </c>
      <c r="P3433" s="5">
        <v>90436</v>
      </c>
      <c r="Q3433" t="s" s="2">
        <v>5701</v>
      </c>
      <c r="R3433" t="s" s="2">
        <f>_xlfn.IFERROR(INDEX('model_byCAP'!$D$2:$D$377,MATCH(Q3433,'model_byCAP'!$A$2:$A$377,0)),0)</f>
        <v>5702</v>
      </c>
    </row>
    <row r="3434" ht="15.35" customHeight="1">
      <c r="A3434" t="s" s="2">
        <v>6518</v>
      </c>
      <c r="B3434" s="4">
        <v>36348</v>
      </c>
      <c r="C3434" s="5">
        <v>600</v>
      </c>
      <c r="D3434" s="5">
        <v>44</v>
      </c>
      <c r="E3434" s="5">
        <v>45</v>
      </c>
      <c r="F3434" t="s" s="2">
        <v>301</v>
      </c>
      <c r="G3434" t="s" s="2">
        <v>5700</v>
      </c>
      <c r="H3434" s="5">
        <v>550</v>
      </c>
      <c r="I3434" t="s" s="2">
        <v>526</v>
      </c>
      <c r="J3434" t="s" s="2">
        <v>22</v>
      </c>
      <c r="K3434" t="s" s="2">
        <v>6500</v>
      </c>
      <c r="L3434" s="5">
        <v>94</v>
      </c>
      <c r="M3434" s="5">
        <v>483467.9</v>
      </c>
      <c r="N3434" s="5">
        <v>6101499</v>
      </c>
      <c r="O3434" t="s" s="2">
        <v>305</v>
      </c>
      <c r="P3434" s="5">
        <v>90714</v>
      </c>
      <c r="Q3434" t="s" s="2">
        <v>5701</v>
      </c>
      <c r="R3434" t="s" s="2">
        <f>_xlfn.IFERROR(INDEX('model_byCAP'!$D$2:$D$377,MATCH(Q3434,'model_byCAP'!$A$2:$A$377,0)),0)</f>
        <v>5702</v>
      </c>
    </row>
    <row r="3435" ht="15.35" customHeight="1">
      <c r="A3435" t="s" s="2">
        <v>6519</v>
      </c>
      <c r="B3435" s="4">
        <v>36847</v>
      </c>
      <c r="C3435" s="5">
        <v>600</v>
      </c>
      <c r="D3435" s="5">
        <v>45</v>
      </c>
      <c r="E3435" s="5">
        <v>45</v>
      </c>
      <c r="F3435" t="s" s="2">
        <v>4038</v>
      </c>
      <c r="G3435" t="s" s="2">
        <v>6415</v>
      </c>
      <c r="H3435" s="5">
        <v>550</v>
      </c>
      <c r="I3435" t="s" s="2">
        <v>526</v>
      </c>
      <c r="J3435" t="s" s="2">
        <v>22</v>
      </c>
      <c r="K3435" t="s" s="2">
        <v>6508</v>
      </c>
      <c r="L3435" s="5">
        <v>133</v>
      </c>
      <c r="M3435" s="5">
        <v>500236.02</v>
      </c>
      <c r="N3435" s="5">
        <v>6091551.13</v>
      </c>
      <c r="O3435" t="s" s="2">
        <v>305</v>
      </c>
      <c r="P3435" s="5">
        <v>91354</v>
      </c>
      <c r="Q3435" t="s" s="2">
        <v>6416</v>
      </c>
      <c r="R3435" t="s" s="2">
        <f>_xlfn.IFERROR(INDEX('model_byCAP'!$D$2:$D$377,MATCH(Q3435,'model_byCAP'!$A$2:$A$377,0)),0)</f>
        <v>6417</v>
      </c>
    </row>
    <row r="3436" ht="15.35" customHeight="1">
      <c r="A3436" t="s" s="2">
        <v>6520</v>
      </c>
      <c r="B3436" s="4">
        <v>36875</v>
      </c>
      <c r="C3436" s="5">
        <v>600</v>
      </c>
      <c r="D3436" s="5">
        <v>0.1</v>
      </c>
      <c r="E3436" s="5">
        <v>45</v>
      </c>
      <c r="F3436" t="s" s="2">
        <v>1989</v>
      </c>
      <c r="G3436" t="s" s="2">
        <v>6044</v>
      </c>
      <c r="H3436" s="5">
        <v>550</v>
      </c>
      <c r="I3436" t="s" s="2">
        <v>526</v>
      </c>
      <c r="J3436" t="s" s="2">
        <v>22</v>
      </c>
      <c r="K3436" t="s" s="2">
        <v>6521</v>
      </c>
      <c r="L3436" s="5">
        <v>9</v>
      </c>
      <c r="M3436" s="5">
        <v>492154.36</v>
      </c>
      <c r="N3436" s="5">
        <v>6096462.18</v>
      </c>
      <c r="O3436" t="s" s="2">
        <v>305</v>
      </c>
      <c r="P3436" s="5">
        <v>91444</v>
      </c>
      <c r="Q3436" t="s" s="2">
        <v>6046</v>
      </c>
      <c r="R3436" t="s" s="2">
        <f>_xlfn.IFERROR(INDEX('model_byCAP'!$D$2:$D$377,MATCH(Q3436,'model_byCAP'!$A$2:$A$377,0)),0)</f>
        <v>3178</v>
      </c>
    </row>
    <row r="3437" ht="15.35" customHeight="1">
      <c r="A3437" t="s" s="2">
        <v>6522</v>
      </c>
      <c r="B3437" s="4">
        <v>36186</v>
      </c>
      <c r="C3437" s="5">
        <v>600</v>
      </c>
      <c r="D3437" s="5">
        <v>42</v>
      </c>
      <c r="E3437" s="5">
        <v>43.5</v>
      </c>
      <c r="F3437" t="s" s="2">
        <v>4716</v>
      </c>
      <c r="G3437" t="s" s="2">
        <v>6523</v>
      </c>
      <c r="H3437" s="5">
        <v>550</v>
      </c>
      <c r="I3437" t="s" s="2">
        <v>526</v>
      </c>
      <c r="J3437" t="s" s="2">
        <v>22</v>
      </c>
      <c r="K3437" t="s" s="2">
        <v>3101</v>
      </c>
      <c r="L3437" s="5">
        <v>14</v>
      </c>
      <c r="M3437" s="5">
        <v>496350.95</v>
      </c>
      <c r="N3437" s="5">
        <v>6109610.26</v>
      </c>
      <c r="O3437" t="s" s="2">
        <v>305</v>
      </c>
      <c r="P3437" t="s" s="2">
        <v>6524</v>
      </c>
      <c r="Q3437" t="s" s="2">
        <v>6525</v>
      </c>
      <c r="R3437" t="s" s="2">
        <f>_xlfn.IFERROR(INDEX('model_byCAP'!$D$2:$D$377,MATCH(Q3437,'model_byCAP'!$A$2:$A$377,0)),0)</f>
        <v>6270</v>
      </c>
    </row>
    <row r="3438" ht="15.35" customHeight="1">
      <c r="A3438" t="s" s="2">
        <v>6526</v>
      </c>
      <c r="B3438" s="4">
        <v>36186</v>
      </c>
      <c r="C3438" s="5">
        <v>600</v>
      </c>
      <c r="D3438" s="5">
        <v>42</v>
      </c>
      <c r="E3438" s="5">
        <v>43.5</v>
      </c>
      <c r="F3438" t="s" s="2">
        <v>4716</v>
      </c>
      <c r="G3438" t="s" s="2">
        <v>6523</v>
      </c>
      <c r="H3438" s="5">
        <v>550</v>
      </c>
      <c r="I3438" t="s" s="2">
        <v>526</v>
      </c>
      <c r="J3438" t="s" s="2">
        <v>22</v>
      </c>
      <c r="K3438" t="s" s="2">
        <v>3101</v>
      </c>
      <c r="L3438" s="5">
        <v>917</v>
      </c>
      <c r="M3438" s="5">
        <v>496272.61</v>
      </c>
      <c r="N3438" s="5">
        <v>6110181.57</v>
      </c>
      <c r="O3438" t="s" s="2">
        <v>305</v>
      </c>
      <c r="P3438" t="s" s="2">
        <v>6524</v>
      </c>
      <c r="Q3438" t="s" s="2">
        <v>6525</v>
      </c>
      <c r="R3438" t="s" s="2">
        <f>_xlfn.IFERROR(INDEX('model_byCAP'!$D$2:$D$377,MATCH(Q3438,'model_byCAP'!$A$2:$A$377,0)),0)</f>
        <v>6270</v>
      </c>
    </row>
    <row r="3439" ht="15.35" customHeight="1">
      <c r="A3439" t="s" s="2">
        <v>6527</v>
      </c>
      <c r="B3439" s="4">
        <v>36186</v>
      </c>
      <c r="C3439" s="5">
        <v>600</v>
      </c>
      <c r="D3439" s="5">
        <v>42</v>
      </c>
      <c r="E3439" s="5">
        <v>43.5</v>
      </c>
      <c r="F3439" t="s" s="2">
        <v>4716</v>
      </c>
      <c r="G3439" t="s" s="2">
        <v>6523</v>
      </c>
      <c r="H3439" s="5">
        <v>550</v>
      </c>
      <c r="I3439" t="s" s="2">
        <v>526</v>
      </c>
      <c r="J3439" t="s" s="2">
        <v>22</v>
      </c>
      <c r="K3439" t="s" s="2">
        <v>3101</v>
      </c>
      <c r="L3439" s="5">
        <v>31</v>
      </c>
      <c r="M3439" s="5">
        <v>496233.47</v>
      </c>
      <c r="N3439" s="5">
        <v>6110463.67</v>
      </c>
      <c r="O3439" t="s" s="2">
        <v>305</v>
      </c>
      <c r="P3439" t="s" s="2">
        <v>6524</v>
      </c>
      <c r="Q3439" t="s" s="2">
        <v>6525</v>
      </c>
      <c r="R3439" t="s" s="2">
        <f>_xlfn.IFERROR(INDEX('model_byCAP'!$D$2:$D$377,MATCH(Q3439,'model_byCAP'!$A$2:$A$377,0)),0)</f>
        <v>6270</v>
      </c>
    </row>
    <row r="3440" ht="15.35" customHeight="1">
      <c r="A3440" t="s" s="2">
        <v>6528</v>
      </c>
      <c r="B3440" s="4">
        <v>36186</v>
      </c>
      <c r="C3440" s="5">
        <v>600</v>
      </c>
      <c r="D3440" s="5">
        <v>42</v>
      </c>
      <c r="E3440" s="5">
        <v>43.5</v>
      </c>
      <c r="F3440" t="s" s="2">
        <v>4716</v>
      </c>
      <c r="G3440" t="s" s="2">
        <v>6523</v>
      </c>
      <c r="H3440" s="5">
        <v>550</v>
      </c>
      <c r="I3440" t="s" s="2">
        <v>526</v>
      </c>
      <c r="J3440" t="s" s="2">
        <v>22</v>
      </c>
      <c r="K3440" t="s" s="2">
        <v>3101</v>
      </c>
      <c r="L3440" s="5">
        <v>18</v>
      </c>
      <c r="M3440" s="5">
        <v>496695.78</v>
      </c>
      <c r="N3440" s="5">
        <v>6109666.32</v>
      </c>
      <c r="O3440" t="s" s="2">
        <v>305</v>
      </c>
      <c r="P3440" t="s" s="2">
        <v>6524</v>
      </c>
      <c r="Q3440" t="s" s="2">
        <v>6525</v>
      </c>
      <c r="R3440" t="s" s="2">
        <f>_xlfn.IFERROR(INDEX('model_byCAP'!$D$2:$D$377,MATCH(Q3440,'model_byCAP'!$A$2:$A$377,0)),0)</f>
        <v>6270</v>
      </c>
    </row>
    <row r="3441" ht="15.35" customHeight="1">
      <c r="A3441" t="s" s="2">
        <v>6529</v>
      </c>
      <c r="B3441" s="4">
        <v>36186</v>
      </c>
      <c r="C3441" s="5">
        <v>600</v>
      </c>
      <c r="D3441" s="5">
        <v>42</v>
      </c>
      <c r="E3441" s="5">
        <v>43.5</v>
      </c>
      <c r="F3441" t="s" s="2">
        <v>4716</v>
      </c>
      <c r="G3441" t="s" s="2">
        <v>6523</v>
      </c>
      <c r="H3441" s="5">
        <v>550</v>
      </c>
      <c r="I3441" t="s" s="2">
        <v>526</v>
      </c>
      <c r="J3441" t="s" s="2">
        <v>22</v>
      </c>
      <c r="K3441" t="s" s="2">
        <v>3101</v>
      </c>
      <c r="L3441" s="5">
        <v>18</v>
      </c>
      <c r="M3441" s="5">
        <v>496657.36</v>
      </c>
      <c r="N3441" s="5">
        <v>6109946.31</v>
      </c>
      <c r="O3441" t="s" s="2">
        <v>305</v>
      </c>
      <c r="P3441" t="s" s="2">
        <v>6524</v>
      </c>
      <c r="Q3441" t="s" s="2">
        <v>6525</v>
      </c>
      <c r="R3441" t="s" s="2">
        <f>_xlfn.IFERROR(INDEX('model_byCAP'!$D$2:$D$377,MATCH(Q3441,'model_byCAP'!$A$2:$A$377,0)),0)</f>
        <v>6270</v>
      </c>
    </row>
    <row r="3442" ht="15.35" customHeight="1">
      <c r="A3442" t="s" s="2">
        <v>6530</v>
      </c>
      <c r="B3442" s="4">
        <v>36186</v>
      </c>
      <c r="C3442" s="5">
        <v>600</v>
      </c>
      <c r="D3442" s="5">
        <v>42</v>
      </c>
      <c r="E3442" s="5">
        <v>43.5</v>
      </c>
      <c r="F3442" t="s" s="2">
        <v>4716</v>
      </c>
      <c r="G3442" t="s" s="2">
        <v>6523</v>
      </c>
      <c r="H3442" s="5">
        <v>550</v>
      </c>
      <c r="I3442" t="s" s="2">
        <v>526</v>
      </c>
      <c r="J3442" t="s" s="2">
        <v>22</v>
      </c>
      <c r="K3442" t="s" s="2">
        <v>3101</v>
      </c>
      <c r="L3442" s="5">
        <v>916</v>
      </c>
      <c r="M3442" s="5">
        <v>496617.32</v>
      </c>
      <c r="N3442" s="5">
        <v>6110237.16</v>
      </c>
      <c r="O3442" t="s" s="2">
        <v>305</v>
      </c>
      <c r="P3442" t="s" s="2">
        <v>6524</v>
      </c>
      <c r="Q3442" t="s" s="2">
        <v>6525</v>
      </c>
      <c r="R3442" t="s" s="2">
        <f>_xlfn.IFERROR(INDEX('model_byCAP'!$D$2:$D$377,MATCH(Q3442,'model_byCAP'!$A$2:$A$377,0)),0)</f>
        <v>6270</v>
      </c>
    </row>
    <row r="3443" ht="15.35" customHeight="1">
      <c r="A3443" t="s" s="2">
        <v>6531</v>
      </c>
      <c r="B3443" s="4">
        <v>36186</v>
      </c>
      <c r="C3443" s="5">
        <v>600</v>
      </c>
      <c r="D3443" s="5">
        <v>42</v>
      </c>
      <c r="E3443" s="5">
        <v>43.5</v>
      </c>
      <c r="F3443" t="s" s="2">
        <v>4716</v>
      </c>
      <c r="G3443" t="s" s="2">
        <v>6523</v>
      </c>
      <c r="H3443" s="5">
        <v>550</v>
      </c>
      <c r="I3443" t="s" s="2">
        <v>526</v>
      </c>
      <c r="J3443" t="s" s="2">
        <v>22</v>
      </c>
      <c r="K3443" t="s" s="2">
        <v>3101</v>
      </c>
      <c r="L3443" s="5">
        <v>13</v>
      </c>
      <c r="M3443" s="5">
        <v>497030.32</v>
      </c>
      <c r="N3443" s="5">
        <v>6109719.71</v>
      </c>
      <c r="O3443" t="s" s="2">
        <v>305</v>
      </c>
      <c r="P3443" t="s" s="2">
        <v>6524</v>
      </c>
      <c r="Q3443" t="s" s="2">
        <v>6525</v>
      </c>
      <c r="R3443" t="s" s="2">
        <f>_xlfn.IFERROR(INDEX('model_byCAP'!$D$2:$D$377,MATCH(Q3443,'model_byCAP'!$A$2:$A$377,0)),0)</f>
        <v>6270</v>
      </c>
    </row>
    <row r="3444" ht="15.35" customHeight="1">
      <c r="A3444" t="s" s="2">
        <v>6532</v>
      </c>
      <c r="B3444" s="4">
        <v>36186</v>
      </c>
      <c r="C3444" s="5">
        <v>600</v>
      </c>
      <c r="D3444" s="5">
        <v>42</v>
      </c>
      <c r="E3444" s="5">
        <v>43.5</v>
      </c>
      <c r="F3444" t="s" s="2">
        <v>4716</v>
      </c>
      <c r="G3444" t="s" s="2">
        <v>6523</v>
      </c>
      <c r="H3444" s="5">
        <v>550</v>
      </c>
      <c r="I3444" t="s" s="2">
        <v>526</v>
      </c>
      <c r="J3444" t="s" s="2">
        <v>22</v>
      </c>
      <c r="K3444" t="s" s="2">
        <v>3101</v>
      </c>
      <c r="L3444" s="5">
        <v>13</v>
      </c>
      <c r="M3444" s="5">
        <v>496991.23</v>
      </c>
      <c r="N3444" s="5">
        <v>6110000.17</v>
      </c>
      <c r="O3444" t="s" s="2">
        <v>305</v>
      </c>
      <c r="P3444" t="s" s="2">
        <v>6524</v>
      </c>
      <c r="Q3444" t="s" s="2">
        <v>6525</v>
      </c>
      <c r="R3444" t="s" s="2">
        <f>_xlfn.IFERROR(INDEX('model_byCAP'!$D$2:$D$377,MATCH(Q3444,'model_byCAP'!$A$2:$A$377,0)),0)</f>
        <v>6270</v>
      </c>
    </row>
    <row r="3445" ht="15.35" customHeight="1">
      <c r="A3445" t="s" s="2">
        <v>6533</v>
      </c>
      <c r="B3445" s="4">
        <v>36186</v>
      </c>
      <c r="C3445" s="5">
        <v>600</v>
      </c>
      <c r="D3445" s="5">
        <v>42</v>
      </c>
      <c r="E3445" s="5">
        <v>43.5</v>
      </c>
      <c r="F3445" t="s" s="2">
        <v>4716</v>
      </c>
      <c r="G3445" t="s" s="2">
        <v>6523</v>
      </c>
      <c r="H3445" s="5">
        <v>550</v>
      </c>
      <c r="I3445" t="s" s="2">
        <v>526</v>
      </c>
      <c r="J3445" t="s" s="2">
        <v>22</v>
      </c>
      <c r="K3445" t="s" s="2">
        <v>3101</v>
      </c>
      <c r="L3445" s="5">
        <v>22</v>
      </c>
      <c r="M3445" s="5">
        <v>496951.21</v>
      </c>
      <c r="N3445" s="5">
        <v>6110290.79</v>
      </c>
      <c r="O3445" t="s" s="2">
        <v>305</v>
      </c>
      <c r="P3445" t="s" s="2">
        <v>6524</v>
      </c>
      <c r="Q3445" t="s" s="2">
        <v>6525</v>
      </c>
      <c r="R3445" t="s" s="2">
        <f>_xlfn.IFERROR(INDEX('model_byCAP'!$D$2:$D$377,MATCH(Q3445,'model_byCAP'!$A$2:$A$377,0)),0)</f>
        <v>6270</v>
      </c>
    </row>
    <row r="3446" ht="15.35" customHeight="1">
      <c r="A3446" t="s" s="2">
        <v>6534</v>
      </c>
      <c r="B3446" s="4">
        <v>36186</v>
      </c>
      <c r="C3446" s="5">
        <v>600</v>
      </c>
      <c r="D3446" s="5">
        <v>42</v>
      </c>
      <c r="E3446" s="5">
        <v>43.5</v>
      </c>
      <c r="F3446" t="s" s="2">
        <v>4716</v>
      </c>
      <c r="G3446" t="s" s="2">
        <v>6523</v>
      </c>
      <c r="H3446" s="5">
        <v>550</v>
      </c>
      <c r="I3446" t="s" s="2">
        <v>526</v>
      </c>
      <c r="J3446" t="s" s="2">
        <v>22</v>
      </c>
      <c r="K3446" t="s" s="2">
        <v>3101</v>
      </c>
      <c r="L3446" s="5">
        <v>18</v>
      </c>
      <c r="M3446" s="5">
        <v>496912.21</v>
      </c>
      <c r="N3446" s="5">
        <v>6110573.26</v>
      </c>
      <c r="O3446" t="s" s="2">
        <v>305</v>
      </c>
      <c r="P3446" t="s" s="2">
        <v>6524</v>
      </c>
      <c r="Q3446" t="s" s="2">
        <v>6525</v>
      </c>
      <c r="R3446" t="s" s="2">
        <f>_xlfn.IFERROR(INDEX('model_byCAP'!$D$2:$D$377,MATCH(Q3446,'model_byCAP'!$A$2:$A$377,0)),0)</f>
        <v>6270</v>
      </c>
    </row>
    <row r="3447" ht="15.35" customHeight="1">
      <c r="A3447" t="s" s="2">
        <v>6535</v>
      </c>
      <c r="B3447" s="4">
        <v>36186</v>
      </c>
      <c r="C3447" s="5">
        <v>600</v>
      </c>
      <c r="D3447" s="5">
        <v>42</v>
      </c>
      <c r="E3447" s="5">
        <v>43.5</v>
      </c>
      <c r="F3447" t="s" s="2">
        <v>4716</v>
      </c>
      <c r="G3447" t="s" s="2">
        <v>6523</v>
      </c>
      <c r="H3447" s="5">
        <v>550</v>
      </c>
      <c r="I3447" t="s" s="2">
        <v>526</v>
      </c>
      <c r="J3447" t="s" s="2">
        <v>22</v>
      </c>
      <c r="K3447" t="s" s="2">
        <v>3101</v>
      </c>
      <c r="L3447" s="5">
        <v>938</v>
      </c>
      <c r="M3447" s="5">
        <v>497370.29</v>
      </c>
      <c r="N3447" s="5">
        <v>6109774.38</v>
      </c>
      <c r="O3447" t="s" s="2">
        <v>305</v>
      </c>
      <c r="P3447" t="s" s="2">
        <v>6524</v>
      </c>
      <c r="Q3447" t="s" s="2">
        <v>6525</v>
      </c>
      <c r="R3447" t="s" s="2">
        <f>_xlfn.IFERROR(INDEX('model_byCAP'!$D$2:$D$377,MATCH(Q3447,'model_byCAP'!$A$2:$A$377,0)),0)</f>
        <v>6270</v>
      </c>
    </row>
    <row r="3448" ht="15.35" customHeight="1">
      <c r="A3448" t="s" s="2">
        <v>6536</v>
      </c>
      <c r="B3448" s="4">
        <v>34625</v>
      </c>
      <c r="C3448" s="5">
        <v>600</v>
      </c>
      <c r="D3448" s="5">
        <v>42</v>
      </c>
      <c r="E3448" s="5">
        <v>45</v>
      </c>
      <c r="F3448" t="s" s="2">
        <v>3604</v>
      </c>
      <c r="G3448" t="s" s="2">
        <v>6028</v>
      </c>
      <c r="H3448" s="5">
        <v>550</v>
      </c>
      <c r="I3448" t="s" s="2">
        <v>526</v>
      </c>
      <c r="J3448" t="s" s="2">
        <v>22</v>
      </c>
      <c r="K3448" t="s" s="2">
        <v>6537</v>
      </c>
      <c r="L3448" s="5">
        <v>559</v>
      </c>
      <c r="M3448" s="5">
        <v>479501.56</v>
      </c>
      <c r="N3448" s="5">
        <v>6094233.78</v>
      </c>
      <c r="O3448" t="s" s="2">
        <v>305</v>
      </c>
      <c r="P3448" t="s" s="2">
        <v>6538</v>
      </c>
      <c r="Q3448" t="s" s="2">
        <v>6030</v>
      </c>
      <c r="R3448" t="s" s="2">
        <f>_xlfn.IFERROR(INDEX('model_byCAP'!$D$2:$D$377,MATCH(Q3448,'model_byCAP'!$A$2:$A$377,0)),0)</f>
        <v>4115</v>
      </c>
    </row>
    <row r="3449" ht="15.35" customHeight="1">
      <c r="A3449" t="s" s="2">
        <v>6539</v>
      </c>
      <c r="B3449" s="4">
        <v>34625</v>
      </c>
      <c r="C3449" s="5">
        <v>600</v>
      </c>
      <c r="D3449" s="5">
        <v>42</v>
      </c>
      <c r="E3449" s="5">
        <v>45</v>
      </c>
      <c r="F3449" t="s" s="2">
        <v>3604</v>
      </c>
      <c r="G3449" t="s" s="2">
        <v>6028</v>
      </c>
      <c r="H3449" s="5">
        <v>550</v>
      </c>
      <c r="I3449" t="s" s="2">
        <v>526</v>
      </c>
      <c r="J3449" t="s" s="2">
        <v>22</v>
      </c>
      <c r="K3449" t="s" s="2">
        <v>6537</v>
      </c>
      <c r="L3449" s="5">
        <v>559</v>
      </c>
      <c r="M3449" s="5">
        <v>479502.26</v>
      </c>
      <c r="N3449" s="5">
        <v>6094021.37</v>
      </c>
      <c r="O3449" t="s" s="2">
        <v>305</v>
      </c>
      <c r="P3449" t="s" s="2">
        <v>6538</v>
      </c>
      <c r="Q3449" t="s" s="2">
        <v>6030</v>
      </c>
      <c r="R3449" t="s" s="2">
        <f>_xlfn.IFERROR(INDEX('model_byCAP'!$D$2:$D$377,MATCH(Q3449,'model_byCAP'!$A$2:$A$377,0)),0)</f>
        <v>4115</v>
      </c>
    </row>
    <row r="3450" ht="15.35" customHeight="1">
      <c r="A3450" t="s" s="2">
        <v>6540</v>
      </c>
      <c r="B3450" s="4">
        <v>34625</v>
      </c>
      <c r="C3450" s="5">
        <v>600</v>
      </c>
      <c r="D3450" s="5">
        <v>42</v>
      </c>
      <c r="E3450" s="5">
        <v>45</v>
      </c>
      <c r="F3450" t="s" s="2">
        <v>3604</v>
      </c>
      <c r="G3450" t="s" s="2">
        <v>6028</v>
      </c>
      <c r="H3450" s="5">
        <v>550</v>
      </c>
      <c r="I3450" t="s" s="2">
        <v>526</v>
      </c>
      <c r="J3450" t="s" s="2">
        <v>22</v>
      </c>
      <c r="K3450" t="s" s="2">
        <v>6537</v>
      </c>
      <c r="L3450" s="5">
        <v>559</v>
      </c>
      <c r="M3450" s="5">
        <v>479502.72</v>
      </c>
      <c r="N3450" s="5">
        <v>6093809.07</v>
      </c>
      <c r="O3450" t="s" s="2">
        <v>305</v>
      </c>
      <c r="P3450" t="s" s="2">
        <v>6538</v>
      </c>
      <c r="Q3450" t="s" s="2">
        <v>6030</v>
      </c>
      <c r="R3450" t="s" s="2">
        <f>_xlfn.IFERROR(INDEX('model_byCAP'!$D$2:$D$377,MATCH(Q3450,'model_byCAP'!$A$2:$A$377,0)),0)</f>
        <v>4115</v>
      </c>
    </row>
    <row r="3451" ht="15.35" customHeight="1">
      <c r="A3451" t="s" s="2">
        <v>6541</v>
      </c>
      <c r="B3451" s="4">
        <v>34625</v>
      </c>
      <c r="C3451" s="5">
        <v>600</v>
      </c>
      <c r="D3451" s="5">
        <v>42</v>
      </c>
      <c r="E3451" s="5">
        <v>45</v>
      </c>
      <c r="F3451" t="s" s="2">
        <v>3604</v>
      </c>
      <c r="G3451" t="s" s="2">
        <v>6028</v>
      </c>
      <c r="H3451" s="5">
        <v>550</v>
      </c>
      <c r="I3451" t="s" s="2">
        <v>526</v>
      </c>
      <c r="J3451" t="s" s="2">
        <v>22</v>
      </c>
      <c r="K3451" t="s" s="2">
        <v>6537</v>
      </c>
      <c r="L3451" s="5">
        <v>559</v>
      </c>
      <c r="M3451" s="5">
        <v>479503.69</v>
      </c>
      <c r="N3451" s="5">
        <v>6093596.9</v>
      </c>
      <c r="O3451" t="s" s="2">
        <v>305</v>
      </c>
      <c r="P3451" t="s" s="2">
        <v>6538</v>
      </c>
      <c r="Q3451" t="s" s="2">
        <v>6030</v>
      </c>
      <c r="R3451" t="s" s="2">
        <f>_xlfn.IFERROR(INDEX('model_byCAP'!$D$2:$D$377,MATCH(Q3451,'model_byCAP'!$A$2:$A$377,0)),0)</f>
        <v>4115</v>
      </c>
    </row>
    <row r="3452" ht="15.35" customHeight="1">
      <c r="A3452" t="s" s="2">
        <v>6542</v>
      </c>
      <c r="B3452" s="4">
        <v>34822</v>
      </c>
      <c r="C3452" s="5">
        <v>600</v>
      </c>
      <c r="D3452" s="5">
        <v>42</v>
      </c>
      <c r="E3452" s="5">
        <v>45</v>
      </c>
      <c r="F3452" t="s" s="2">
        <v>3604</v>
      </c>
      <c r="G3452" t="s" s="2">
        <v>6028</v>
      </c>
      <c r="H3452" s="5">
        <v>550</v>
      </c>
      <c r="I3452" t="s" s="2">
        <v>526</v>
      </c>
      <c r="J3452" t="s" s="2">
        <v>22</v>
      </c>
      <c r="K3452" t="s" s="2">
        <v>6543</v>
      </c>
      <c r="L3452" s="5">
        <v>11</v>
      </c>
      <c r="M3452" s="5">
        <v>478579.6</v>
      </c>
      <c r="N3452" s="5">
        <v>6100031.88</v>
      </c>
      <c r="O3452" t="s" s="2">
        <v>305</v>
      </c>
      <c r="P3452" t="s" s="2">
        <v>6544</v>
      </c>
      <c r="Q3452" t="s" s="2">
        <v>6030</v>
      </c>
      <c r="R3452" t="s" s="2">
        <f>_xlfn.IFERROR(INDEX('model_byCAP'!$D$2:$D$377,MATCH(Q3452,'model_byCAP'!$A$2:$A$377,0)),0)</f>
        <v>4115</v>
      </c>
    </row>
    <row r="3453" ht="15.35" customHeight="1">
      <c r="A3453" t="s" s="2">
        <v>6545</v>
      </c>
      <c r="B3453" s="4">
        <v>34822</v>
      </c>
      <c r="C3453" s="5">
        <v>600</v>
      </c>
      <c r="D3453" s="5">
        <v>42</v>
      </c>
      <c r="E3453" s="5">
        <v>45</v>
      </c>
      <c r="F3453" t="s" s="2">
        <v>3604</v>
      </c>
      <c r="G3453" t="s" s="2">
        <v>6028</v>
      </c>
      <c r="H3453" s="5">
        <v>550</v>
      </c>
      <c r="I3453" t="s" s="2">
        <v>526</v>
      </c>
      <c r="J3453" t="s" s="2">
        <v>22</v>
      </c>
      <c r="K3453" t="s" s="2">
        <v>6543</v>
      </c>
      <c r="L3453" s="5">
        <v>88</v>
      </c>
      <c r="M3453" s="5">
        <v>478840.55</v>
      </c>
      <c r="N3453" s="5">
        <v>6100031.82</v>
      </c>
      <c r="O3453" t="s" s="2">
        <v>305</v>
      </c>
      <c r="P3453" t="s" s="2">
        <v>6544</v>
      </c>
      <c r="Q3453" t="s" s="2">
        <v>6030</v>
      </c>
      <c r="R3453" t="s" s="2">
        <f>_xlfn.IFERROR(INDEX('model_byCAP'!$D$2:$D$377,MATCH(Q3453,'model_byCAP'!$A$2:$A$377,0)),0)</f>
        <v>4115</v>
      </c>
    </row>
    <row r="3454" ht="15.35" customHeight="1">
      <c r="A3454" t="s" s="2">
        <v>6546</v>
      </c>
      <c r="B3454" s="4">
        <v>34822</v>
      </c>
      <c r="C3454" s="5">
        <v>600</v>
      </c>
      <c r="D3454" s="5">
        <v>42</v>
      </c>
      <c r="E3454" s="5">
        <v>45</v>
      </c>
      <c r="F3454" t="s" s="2">
        <v>3604</v>
      </c>
      <c r="G3454" t="s" s="2">
        <v>6028</v>
      </c>
      <c r="H3454" s="5">
        <v>550</v>
      </c>
      <c r="I3454" t="s" s="2">
        <v>526</v>
      </c>
      <c r="J3454" t="s" s="2">
        <v>22</v>
      </c>
      <c r="K3454" t="s" s="2">
        <v>6543</v>
      </c>
      <c r="L3454" s="5">
        <v>219</v>
      </c>
      <c r="M3454" s="5">
        <v>479098.31</v>
      </c>
      <c r="N3454" s="5">
        <v>6100034.64</v>
      </c>
      <c r="O3454" t="s" s="2">
        <v>305</v>
      </c>
      <c r="P3454" t="s" s="2">
        <v>6544</v>
      </c>
      <c r="Q3454" t="s" s="2">
        <v>6030</v>
      </c>
      <c r="R3454" t="s" s="2">
        <f>_xlfn.IFERROR(INDEX('model_byCAP'!$D$2:$D$377,MATCH(Q3454,'model_byCAP'!$A$2:$A$377,0)),0)</f>
        <v>4115</v>
      </c>
    </row>
    <row r="3455" ht="15.35" customHeight="1">
      <c r="A3455" t="s" s="2">
        <v>6547</v>
      </c>
      <c r="B3455" s="4">
        <v>34822</v>
      </c>
      <c r="C3455" s="5">
        <v>600</v>
      </c>
      <c r="D3455" s="5">
        <v>42</v>
      </c>
      <c r="E3455" s="5">
        <v>45</v>
      </c>
      <c r="F3455" t="s" s="2">
        <v>3604</v>
      </c>
      <c r="G3455" t="s" s="2">
        <v>6028</v>
      </c>
      <c r="H3455" s="5">
        <v>550</v>
      </c>
      <c r="I3455" t="s" s="2">
        <v>526</v>
      </c>
      <c r="J3455" t="s" s="2">
        <v>22</v>
      </c>
      <c r="K3455" t="s" s="2">
        <v>6543</v>
      </c>
      <c r="L3455" s="5">
        <v>219</v>
      </c>
      <c r="M3455" s="5">
        <v>479363.3</v>
      </c>
      <c r="N3455" s="5">
        <v>6100037.01</v>
      </c>
      <c r="O3455" t="s" s="2">
        <v>305</v>
      </c>
      <c r="P3455" t="s" s="2">
        <v>6544</v>
      </c>
      <c r="Q3455" t="s" s="2">
        <v>6030</v>
      </c>
      <c r="R3455" t="s" s="2">
        <f>_xlfn.IFERROR(INDEX('model_byCAP'!$D$2:$D$377,MATCH(Q3455,'model_byCAP'!$A$2:$A$377,0)),0)</f>
        <v>4115</v>
      </c>
    </row>
    <row r="3456" ht="15.35" customHeight="1">
      <c r="A3456" t="s" s="2">
        <v>6548</v>
      </c>
      <c r="B3456" s="4">
        <v>34822</v>
      </c>
      <c r="C3456" s="5">
        <v>600</v>
      </c>
      <c r="D3456" s="5">
        <v>42</v>
      </c>
      <c r="E3456" s="5">
        <v>45</v>
      </c>
      <c r="F3456" t="s" s="2">
        <v>3604</v>
      </c>
      <c r="G3456" t="s" s="2">
        <v>6028</v>
      </c>
      <c r="H3456" s="5">
        <v>550</v>
      </c>
      <c r="I3456" t="s" s="2">
        <v>526</v>
      </c>
      <c r="J3456" t="s" s="2">
        <v>22</v>
      </c>
      <c r="K3456" t="s" s="2">
        <v>6543</v>
      </c>
      <c r="L3456" s="5">
        <v>11</v>
      </c>
      <c r="M3456" s="5">
        <v>478610.48</v>
      </c>
      <c r="N3456" s="5">
        <v>6099773.82</v>
      </c>
      <c r="O3456" t="s" s="2">
        <v>305</v>
      </c>
      <c r="P3456" t="s" s="2">
        <v>6544</v>
      </c>
      <c r="Q3456" t="s" s="2">
        <v>6030</v>
      </c>
      <c r="R3456" t="s" s="2">
        <f>_xlfn.IFERROR(INDEX('model_byCAP'!$D$2:$D$377,MATCH(Q3456,'model_byCAP'!$A$2:$A$377,0)),0)</f>
        <v>4115</v>
      </c>
    </row>
    <row r="3457" ht="15.35" customHeight="1">
      <c r="A3457" t="s" s="2">
        <v>6549</v>
      </c>
      <c r="B3457" s="4">
        <v>34822</v>
      </c>
      <c r="C3457" s="5">
        <v>600</v>
      </c>
      <c r="D3457" s="5">
        <v>42</v>
      </c>
      <c r="E3457" s="5">
        <v>45</v>
      </c>
      <c r="F3457" t="s" s="2">
        <v>3604</v>
      </c>
      <c r="G3457" t="s" s="2">
        <v>6028</v>
      </c>
      <c r="H3457" s="5">
        <v>550</v>
      </c>
      <c r="I3457" t="s" s="2">
        <v>526</v>
      </c>
      <c r="J3457" t="s" s="2">
        <v>22</v>
      </c>
      <c r="K3457" t="s" s="2">
        <v>6543</v>
      </c>
      <c r="L3457" s="5">
        <v>11</v>
      </c>
      <c r="M3457" s="5">
        <v>478870.46</v>
      </c>
      <c r="N3457" s="5">
        <v>6099775.37</v>
      </c>
      <c r="O3457" t="s" s="2">
        <v>305</v>
      </c>
      <c r="P3457" t="s" s="2">
        <v>6544</v>
      </c>
      <c r="Q3457" t="s" s="2">
        <v>6030</v>
      </c>
      <c r="R3457" t="s" s="2">
        <f>_xlfn.IFERROR(INDEX('model_byCAP'!$D$2:$D$377,MATCH(Q3457,'model_byCAP'!$A$2:$A$377,0)),0)</f>
        <v>4115</v>
      </c>
    </row>
    <row r="3458" ht="15.35" customHeight="1">
      <c r="A3458" t="s" s="2">
        <v>6550</v>
      </c>
      <c r="B3458" s="4">
        <v>34822</v>
      </c>
      <c r="C3458" s="5">
        <v>600</v>
      </c>
      <c r="D3458" s="5">
        <v>42</v>
      </c>
      <c r="E3458" s="5">
        <v>45</v>
      </c>
      <c r="F3458" t="s" s="2">
        <v>3604</v>
      </c>
      <c r="G3458" t="s" s="2">
        <v>6028</v>
      </c>
      <c r="H3458" s="5">
        <v>550</v>
      </c>
      <c r="I3458" t="s" s="2">
        <v>526</v>
      </c>
      <c r="J3458" t="s" s="2">
        <v>22</v>
      </c>
      <c r="K3458" t="s" s="2">
        <v>6543</v>
      </c>
      <c r="L3458" s="5">
        <v>196</v>
      </c>
      <c r="M3458" s="5">
        <v>479130.61</v>
      </c>
      <c r="N3458" s="5">
        <v>6099776.98</v>
      </c>
      <c r="O3458" t="s" s="2">
        <v>305</v>
      </c>
      <c r="P3458" t="s" s="2">
        <v>6544</v>
      </c>
      <c r="Q3458" t="s" s="2">
        <v>6030</v>
      </c>
      <c r="R3458" t="s" s="2">
        <f>_xlfn.IFERROR(INDEX('model_byCAP'!$D$2:$D$377,MATCH(Q3458,'model_byCAP'!$A$2:$A$377,0)),0)</f>
        <v>4115</v>
      </c>
    </row>
    <row r="3459" ht="15.35" customHeight="1">
      <c r="A3459" t="s" s="2">
        <v>6551</v>
      </c>
      <c r="B3459" s="4">
        <v>34822</v>
      </c>
      <c r="C3459" s="5">
        <v>600</v>
      </c>
      <c r="D3459" s="5">
        <v>42</v>
      </c>
      <c r="E3459" s="5">
        <v>45</v>
      </c>
      <c r="F3459" t="s" s="2">
        <v>3604</v>
      </c>
      <c r="G3459" t="s" s="2">
        <v>6028</v>
      </c>
      <c r="H3459" s="5">
        <v>550</v>
      </c>
      <c r="I3459" t="s" s="2">
        <v>526</v>
      </c>
      <c r="J3459" t="s" s="2">
        <v>22</v>
      </c>
      <c r="K3459" t="s" s="2">
        <v>6543</v>
      </c>
      <c r="L3459" s="5">
        <v>154</v>
      </c>
      <c r="M3459" s="5">
        <v>479389.99</v>
      </c>
      <c r="N3459" s="5">
        <v>6099777.38</v>
      </c>
      <c r="O3459" t="s" s="2">
        <v>305</v>
      </c>
      <c r="P3459" t="s" s="2">
        <v>6544</v>
      </c>
      <c r="Q3459" t="s" s="2">
        <v>6030</v>
      </c>
      <c r="R3459" t="s" s="2">
        <f>_xlfn.IFERROR(INDEX('model_byCAP'!$D$2:$D$377,MATCH(Q3459,'model_byCAP'!$A$2:$A$377,0)),0)</f>
        <v>4115</v>
      </c>
    </row>
    <row r="3460" ht="15.35" customHeight="1">
      <c r="A3460" t="s" s="2">
        <v>6552</v>
      </c>
      <c r="B3460" s="4">
        <v>34822</v>
      </c>
      <c r="C3460" s="5">
        <v>600</v>
      </c>
      <c r="D3460" s="5">
        <v>42</v>
      </c>
      <c r="E3460" s="5">
        <v>45</v>
      </c>
      <c r="F3460" t="s" s="2">
        <v>3604</v>
      </c>
      <c r="G3460" t="s" s="2">
        <v>6028</v>
      </c>
      <c r="H3460" s="5">
        <v>550</v>
      </c>
      <c r="I3460" t="s" s="2">
        <v>526</v>
      </c>
      <c r="J3460" t="s" s="2">
        <v>22</v>
      </c>
      <c r="K3460" t="s" s="2">
        <v>6543</v>
      </c>
      <c r="L3460" s="5">
        <v>8</v>
      </c>
      <c r="M3460" s="5">
        <v>478641.17</v>
      </c>
      <c r="N3460" s="5">
        <v>6099515.75</v>
      </c>
      <c r="O3460" t="s" s="2">
        <v>305</v>
      </c>
      <c r="P3460" t="s" s="2">
        <v>6544</v>
      </c>
      <c r="Q3460" t="s" s="2">
        <v>6030</v>
      </c>
      <c r="R3460" t="s" s="2">
        <f>_xlfn.IFERROR(INDEX('model_byCAP'!$D$2:$D$377,MATCH(Q3460,'model_byCAP'!$A$2:$A$377,0)),0)</f>
        <v>4115</v>
      </c>
    </row>
    <row r="3461" ht="15.35" customHeight="1">
      <c r="A3461" t="s" s="2">
        <v>6553</v>
      </c>
      <c r="B3461" s="4">
        <v>34822</v>
      </c>
      <c r="C3461" s="5">
        <v>600</v>
      </c>
      <c r="D3461" s="5">
        <v>42</v>
      </c>
      <c r="E3461" s="5">
        <v>45</v>
      </c>
      <c r="F3461" t="s" s="2">
        <v>3604</v>
      </c>
      <c r="G3461" t="s" s="2">
        <v>6028</v>
      </c>
      <c r="H3461" s="5">
        <v>550</v>
      </c>
      <c r="I3461" t="s" s="2">
        <v>526</v>
      </c>
      <c r="J3461" t="s" s="2">
        <v>22</v>
      </c>
      <c r="K3461" t="s" s="2">
        <v>6543</v>
      </c>
      <c r="L3461" s="5">
        <v>65</v>
      </c>
      <c r="M3461" s="5">
        <v>478900.89</v>
      </c>
      <c r="N3461" s="5">
        <v>6099517.33</v>
      </c>
      <c r="O3461" t="s" s="2">
        <v>305</v>
      </c>
      <c r="P3461" t="s" s="2">
        <v>6544</v>
      </c>
      <c r="Q3461" t="s" s="2">
        <v>6030</v>
      </c>
      <c r="R3461" t="s" s="2">
        <f>_xlfn.IFERROR(INDEX('model_byCAP'!$D$2:$D$377,MATCH(Q3461,'model_byCAP'!$A$2:$A$377,0)),0)</f>
        <v>4115</v>
      </c>
    </row>
    <row r="3462" ht="15.35" customHeight="1">
      <c r="A3462" t="s" s="2">
        <v>6554</v>
      </c>
      <c r="B3462" s="4">
        <v>34822</v>
      </c>
      <c r="C3462" s="5">
        <v>600</v>
      </c>
      <c r="D3462" s="5">
        <v>42</v>
      </c>
      <c r="E3462" s="5">
        <v>45</v>
      </c>
      <c r="F3462" t="s" s="2">
        <v>3604</v>
      </c>
      <c r="G3462" t="s" s="2">
        <v>6028</v>
      </c>
      <c r="H3462" s="5">
        <v>550</v>
      </c>
      <c r="I3462" t="s" s="2">
        <v>526</v>
      </c>
      <c r="J3462" t="s" s="2">
        <v>22</v>
      </c>
      <c r="K3462" t="s" s="2">
        <v>6543</v>
      </c>
      <c r="L3462" s="5">
        <v>6</v>
      </c>
      <c r="M3462" s="5">
        <v>479160.84</v>
      </c>
      <c r="N3462" s="5">
        <v>6099518.85</v>
      </c>
      <c r="O3462" t="s" s="2">
        <v>305</v>
      </c>
      <c r="P3462" t="s" s="2">
        <v>6544</v>
      </c>
      <c r="Q3462" t="s" s="2">
        <v>6030</v>
      </c>
      <c r="R3462" t="s" s="2">
        <f>_xlfn.IFERROR(INDEX('model_byCAP'!$D$2:$D$377,MATCH(Q3462,'model_byCAP'!$A$2:$A$377,0)),0)</f>
        <v>4115</v>
      </c>
    </row>
    <row r="3463" ht="15.35" customHeight="1">
      <c r="A3463" t="s" s="2">
        <v>6555</v>
      </c>
      <c r="B3463" s="4">
        <v>34822</v>
      </c>
      <c r="C3463" s="5">
        <v>600</v>
      </c>
      <c r="D3463" s="5">
        <v>42</v>
      </c>
      <c r="E3463" s="5">
        <v>45</v>
      </c>
      <c r="F3463" t="s" s="2">
        <v>3604</v>
      </c>
      <c r="G3463" t="s" s="2">
        <v>6028</v>
      </c>
      <c r="H3463" s="5">
        <v>550</v>
      </c>
      <c r="I3463" t="s" s="2">
        <v>526</v>
      </c>
      <c r="J3463" t="s" s="2">
        <v>22</v>
      </c>
      <c r="K3463" t="s" s="2">
        <v>6543</v>
      </c>
      <c r="L3463" s="5">
        <v>97</v>
      </c>
      <c r="M3463" s="5">
        <v>479420.63</v>
      </c>
      <c r="N3463" s="5">
        <v>6099520.41</v>
      </c>
      <c r="O3463" t="s" s="2">
        <v>305</v>
      </c>
      <c r="P3463" t="s" s="2">
        <v>6544</v>
      </c>
      <c r="Q3463" t="s" s="2">
        <v>6030</v>
      </c>
      <c r="R3463" t="s" s="2">
        <f>_xlfn.IFERROR(INDEX('model_byCAP'!$D$2:$D$377,MATCH(Q3463,'model_byCAP'!$A$2:$A$377,0)),0)</f>
        <v>4115</v>
      </c>
    </row>
    <row r="3464" ht="15.35" customHeight="1">
      <c r="A3464" t="s" s="2">
        <v>6556</v>
      </c>
      <c r="B3464" s="4">
        <v>34822</v>
      </c>
      <c r="C3464" s="5">
        <v>600</v>
      </c>
      <c r="D3464" s="5">
        <v>42</v>
      </c>
      <c r="E3464" s="5">
        <v>45</v>
      </c>
      <c r="F3464" t="s" s="2">
        <v>3604</v>
      </c>
      <c r="G3464" t="s" s="2">
        <v>6028</v>
      </c>
      <c r="H3464" s="5">
        <v>550</v>
      </c>
      <c r="I3464" t="s" s="2">
        <v>526</v>
      </c>
      <c r="J3464" t="s" s="2">
        <v>22</v>
      </c>
      <c r="K3464" t="s" s="2">
        <v>6543</v>
      </c>
      <c r="L3464" s="5">
        <v>65</v>
      </c>
      <c r="M3464" s="5">
        <v>478411.84</v>
      </c>
      <c r="N3464" s="5">
        <v>6099255.94</v>
      </c>
      <c r="O3464" t="s" s="2">
        <v>305</v>
      </c>
      <c r="P3464" t="s" s="2">
        <v>6544</v>
      </c>
      <c r="Q3464" t="s" s="2">
        <v>6030</v>
      </c>
      <c r="R3464" t="s" s="2">
        <f>_xlfn.IFERROR(INDEX('model_byCAP'!$D$2:$D$377,MATCH(Q3464,'model_byCAP'!$A$2:$A$377,0)),0)</f>
        <v>4115</v>
      </c>
    </row>
    <row r="3465" ht="15.35" customHeight="1">
      <c r="A3465" t="s" s="2">
        <v>6557</v>
      </c>
      <c r="B3465" s="4">
        <v>34822</v>
      </c>
      <c r="C3465" s="5">
        <v>600</v>
      </c>
      <c r="D3465" s="5">
        <v>42</v>
      </c>
      <c r="E3465" s="5">
        <v>45</v>
      </c>
      <c r="F3465" t="s" s="2">
        <v>3604</v>
      </c>
      <c r="G3465" t="s" s="2">
        <v>6028</v>
      </c>
      <c r="H3465" s="5">
        <v>550</v>
      </c>
      <c r="I3465" t="s" s="2">
        <v>526</v>
      </c>
      <c r="J3465" t="s" s="2">
        <v>22</v>
      </c>
      <c r="K3465" t="s" s="2">
        <v>6543</v>
      </c>
      <c r="L3465" s="5">
        <v>6</v>
      </c>
      <c r="M3465" s="5">
        <v>478671.76</v>
      </c>
      <c r="N3465" s="5">
        <v>6099257.62</v>
      </c>
      <c r="O3465" t="s" s="2">
        <v>305</v>
      </c>
      <c r="P3465" t="s" s="2">
        <v>6544</v>
      </c>
      <c r="Q3465" t="s" s="2">
        <v>6030</v>
      </c>
      <c r="R3465" t="s" s="2">
        <f>_xlfn.IFERROR(INDEX('model_byCAP'!$D$2:$D$377,MATCH(Q3465,'model_byCAP'!$A$2:$A$377,0)),0)</f>
        <v>4115</v>
      </c>
    </row>
    <row r="3466" ht="15.35" customHeight="1">
      <c r="A3466" t="s" s="2">
        <v>6558</v>
      </c>
      <c r="B3466" s="4">
        <v>34822</v>
      </c>
      <c r="C3466" s="5">
        <v>600</v>
      </c>
      <c r="D3466" s="5">
        <v>42</v>
      </c>
      <c r="E3466" s="5">
        <v>45</v>
      </c>
      <c r="F3466" t="s" s="2">
        <v>3604</v>
      </c>
      <c r="G3466" t="s" s="2">
        <v>6028</v>
      </c>
      <c r="H3466" s="5">
        <v>550</v>
      </c>
      <c r="I3466" t="s" s="2">
        <v>526</v>
      </c>
      <c r="J3466" t="s" s="2">
        <v>22</v>
      </c>
      <c r="K3466" t="s" s="2">
        <v>6543</v>
      </c>
      <c r="L3466" s="5">
        <v>65</v>
      </c>
      <c r="M3466" s="5">
        <v>478931.81</v>
      </c>
      <c r="N3466" s="5">
        <v>6099259.19</v>
      </c>
      <c r="O3466" t="s" s="2">
        <v>305</v>
      </c>
      <c r="P3466" t="s" s="2">
        <v>6544</v>
      </c>
      <c r="Q3466" t="s" s="2">
        <v>6030</v>
      </c>
      <c r="R3466" t="s" s="2">
        <f>_xlfn.IFERROR(INDEX('model_byCAP'!$D$2:$D$377,MATCH(Q3466,'model_byCAP'!$A$2:$A$377,0)),0)</f>
        <v>4115</v>
      </c>
    </row>
    <row r="3467" ht="15.35" customHeight="1">
      <c r="A3467" t="s" s="2">
        <v>6559</v>
      </c>
      <c r="B3467" s="4">
        <v>34822</v>
      </c>
      <c r="C3467" s="5">
        <v>600</v>
      </c>
      <c r="D3467" s="5">
        <v>42</v>
      </c>
      <c r="E3467" s="5">
        <v>45</v>
      </c>
      <c r="F3467" t="s" s="2">
        <v>3604</v>
      </c>
      <c r="G3467" t="s" s="2">
        <v>6028</v>
      </c>
      <c r="H3467" s="5">
        <v>550</v>
      </c>
      <c r="I3467" t="s" s="2">
        <v>526</v>
      </c>
      <c r="J3467" t="s" s="2">
        <v>22</v>
      </c>
      <c r="K3467" t="s" s="2">
        <v>6543</v>
      </c>
      <c r="L3467" s="5">
        <v>65</v>
      </c>
      <c r="M3467" s="5">
        <v>479191.76</v>
      </c>
      <c r="N3467" s="5">
        <v>6099260.75</v>
      </c>
      <c r="O3467" t="s" s="2">
        <v>305</v>
      </c>
      <c r="P3467" t="s" s="2">
        <v>6544</v>
      </c>
      <c r="Q3467" t="s" s="2">
        <v>6030</v>
      </c>
      <c r="R3467" t="s" s="2">
        <f>_xlfn.IFERROR(INDEX('model_byCAP'!$D$2:$D$377,MATCH(Q3467,'model_byCAP'!$A$2:$A$377,0)),0)</f>
        <v>4115</v>
      </c>
    </row>
    <row r="3468" ht="15.35" customHeight="1">
      <c r="A3468" t="s" s="2">
        <v>6560</v>
      </c>
      <c r="B3468" s="4">
        <v>34822</v>
      </c>
      <c r="C3468" s="5">
        <v>600</v>
      </c>
      <c r="D3468" s="5">
        <v>42</v>
      </c>
      <c r="E3468" s="5">
        <v>45</v>
      </c>
      <c r="F3468" t="s" s="2">
        <v>3604</v>
      </c>
      <c r="G3468" t="s" s="2">
        <v>6028</v>
      </c>
      <c r="H3468" s="5">
        <v>550</v>
      </c>
      <c r="I3468" t="s" s="2">
        <v>526</v>
      </c>
      <c r="J3468" t="s" s="2">
        <v>22</v>
      </c>
      <c r="K3468" t="s" s="2">
        <v>6476</v>
      </c>
      <c r="L3468" s="5">
        <v>9</v>
      </c>
      <c r="M3468" s="5">
        <v>478182.39</v>
      </c>
      <c r="N3468" s="5">
        <v>6098996.4</v>
      </c>
      <c r="O3468" t="s" s="2">
        <v>305</v>
      </c>
      <c r="P3468" t="s" s="2">
        <v>6544</v>
      </c>
      <c r="Q3468" t="s" s="2">
        <v>6030</v>
      </c>
      <c r="R3468" t="s" s="2">
        <f>_xlfn.IFERROR(INDEX('model_byCAP'!$D$2:$D$377,MATCH(Q3468,'model_byCAP'!$A$2:$A$377,0)),0)</f>
        <v>4115</v>
      </c>
    </row>
    <row r="3469" ht="15.35" customHeight="1">
      <c r="A3469" t="s" s="2">
        <v>6561</v>
      </c>
      <c r="B3469" s="4">
        <v>34822</v>
      </c>
      <c r="C3469" s="5">
        <v>600</v>
      </c>
      <c r="D3469" s="5">
        <v>42</v>
      </c>
      <c r="E3469" s="5">
        <v>45</v>
      </c>
      <c r="F3469" t="s" s="2">
        <v>3604</v>
      </c>
      <c r="G3469" t="s" s="2">
        <v>6028</v>
      </c>
      <c r="H3469" s="5">
        <v>550</v>
      </c>
      <c r="I3469" t="s" s="2">
        <v>526</v>
      </c>
      <c r="J3469" t="s" s="2">
        <v>22</v>
      </c>
      <c r="K3469" t="s" s="2">
        <v>6476</v>
      </c>
      <c r="L3469" s="5">
        <v>140</v>
      </c>
      <c r="M3469" s="5">
        <v>478442.38</v>
      </c>
      <c r="N3469" s="5">
        <v>6098997.9</v>
      </c>
      <c r="O3469" t="s" s="2">
        <v>305</v>
      </c>
      <c r="P3469" t="s" s="2">
        <v>6544</v>
      </c>
      <c r="Q3469" t="s" s="2">
        <v>6030</v>
      </c>
      <c r="R3469" t="s" s="2">
        <f>_xlfn.IFERROR(INDEX('model_byCAP'!$D$2:$D$377,MATCH(Q3469,'model_byCAP'!$A$2:$A$377,0)),0)</f>
        <v>4115</v>
      </c>
    </row>
    <row r="3470" ht="15.35" customHeight="1">
      <c r="A3470" t="s" s="2">
        <v>6562</v>
      </c>
      <c r="B3470" s="4">
        <v>34822</v>
      </c>
      <c r="C3470" s="5">
        <v>600</v>
      </c>
      <c r="D3470" s="5">
        <v>42</v>
      </c>
      <c r="E3470" s="5">
        <v>45</v>
      </c>
      <c r="F3470" t="s" s="2">
        <v>3604</v>
      </c>
      <c r="G3470" t="s" s="2">
        <v>6028</v>
      </c>
      <c r="H3470" s="5">
        <v>550</v>
      </c>
      <c r="I3470" t="s" s="2">
        <v>526</v>
      </c>
      <c r="J3470" t="s" s="2">
        <v>22</v>
      </c>
      <c r="K3470" t="s" s="2">
        <v>6476</v>
      </c>
      <c r="L3470" s="5">
        <v>9</v>
      </c>
      <c r="M3470" s="5">
        <v>478702.39</v>
      </c>
      <c r="N3470" s="5">
        <v>6098999.68</v>
      </c>
      <c r="O3470" t="s" s="2">
        <v>305</v>
      </c>
      <c r="P3470" t="s" s="2">
        <v>6544</v>
      </c>
      <c r="Q3470" t="s" s="2">
        <v>6030</v>
      </c>
      <c r="R3470" t="s" s="2">
        <f>_xlfn.IFERROR(INDEX('model_byCAP'!$D$2:$D$377,MATCH(Q3470,'model_byCAP'!$A$2:$A$377,0)),0)</f>
        <v>4115</v>
      </c>
    </row>
    <row r="3471" ht="15.35" customHeight="1">
      <c r="A3471" t="s" s="2">
        <v>6563</v>
      </c>
      <c r="B3471" s="4">
        <v>34822</v>
      </c>
      <c r="C3471" s="5">
        <v>600</v>
      </c>
      <c r="D3471" s="5">
        <v>42</v>
      </c>
      <c r="E3471" s="5">
        <v>45</v>
      </c>
      <c r="F3471" t="s" s="2">
        <v>3604</v>
      </c>
      <c r="G3471" t="s" s="2">
        <v>6028</v>
      </c>
      <c r="H3471" s="5">
        <v>550</v>
      </c>
      <c r="I3471" t="s" s="2">
        <v>526</v>
      </c>
      <c r="J3471" t="s" s="2">
        <v>22</v>
      </c>
      <c r="K3471" t="s" s="2">
        <v>6543</v>
      </c>
      <c r="L3471" s="5">
        <v>65</v>
      </c>
      <c r="M3471" s="5">
        <v>478962.28</v>
      </c>
      <c r="N3471" s="5">
        <v>6099001.28</v>
      </c>
      <c r="O3471" t="s" s="2">
        <v>305</v>
      </c>
      <c r="P3471" t="s" s="2">
        <v>6544</v>
      </c>
      <c r="Q3471" t="s" s="2">
        <v>6030</v>
      </c>
      <c r="R3471" t="s" s="2">
        <f>_xlfn.IFERROR(INDEX('model_byCAP'!$D$2:$D$377,MATCH(Q3471,'model_byCAP'!$A$2:$A$377,0)),0)</f>
        <v>4115</v>
      </c>
    </row>
    <row r="3472" ht="15.35" customHeight="1">
      <c r="A3472" t="s" s="2">
        <v>6564</v>
      </c>
      <c r="B3472" s="4">
        <v>34822</v>
      </c>
      <c r="C3472" s="5">
        <v>600</v>
      </c>
      <c r="D3472" s="5">
        <v>42</v>
      </c>
      <c r="E3472" s="5">
        <v>45</v>
      </c>
      <c r="F3472" t="s" s="2">
        <v>3604</v>
      </c>
      <c r="G3472" t="s" s="2">
        <v>6028</v>
      </c>
      <c r="H3472" s="5">
        <v>550</v>
      </c>
      <c r="I3472" t="s" s="2">
        <v>526</v>
      </c>
      <c r="J3472" t="s" s="2">
        <v>22</v>
      </c>
      <c r="K3472" t="s" s="2">
        <v>6543</v>
      </c>
      <c r="L3472" s="5">
        <v>65</v>
      </c>
      <c r="M3472" s="5">
        <v>479222.25</v>
      </c>
      <c r="N3472" s="5">
        <v>6099002.72</v>
      </c>
      <c r="O3472" t="s" s="2">
        <v>305</v>
      </c>
      <c r="P3472" t="s" s="2">
        <v>6544</v>
      </c>
      <c r="Q3472" t="s" s="2">
        <v>6030</v>
      </c>
      <c r="R3472" t="s" s="2">
        <f>_xlfn.IFERROR(INDEX('model_byCAP'!$D$2:$D$377,MATCH(Q3472,'model_byCAP'!$A$2:$A$377,0)),0)</f>
        <v>4115</v>
      </c>
    </row>
    <row r="3473" ht="15.35" customHeight="1">
      <c r="A3473" t="s" s="2">
        <v>6565</v>
      </c>
      <c r="B3473" s="4">
        <v>34822</v>
      </c>
      <c r="C3473" s="5">
        <v>600</v>
      </c>
      <c r="D3473" s="5">
        <v>42</v>
      </c>
      <c r="E3473" s="5">
        <v>45</v>
      </c>
      <c r="F3473" t="s" s="2">
        <v>3604</v>
      </c>
      <c r="G3473" t="s" s="2">
        <v>6028</v>
      </c>
      <c r="H3473" s="5">
        <v>550</v>
      </c>
      <c r="I3473" t="s" s="2">
        <v>526</v>
      </c>
      <c r="J3473" t="s" s="2">
        <v>22</v>
      </c>
      <c r="K3473" t="s" s="2">
        <v>6543</v>
      </c>
      <c r="L3473" s="5">
        <v>8</v>
      </c>
      <c r="M3473" s="5">
        <v>479482.02</v>
      </c>
      <c r="N3473" s="5">
        <v>6099004.31</v>
      </c>
      <c r="O3473" t="s" s="2">
        <v>305</v>
      </c>
      <c r="P3473" t="s" s="2">
        <v>6544</v>
      </c>
      <c r="Q3473" t="s" s="2">
        <v>6030</v>
      </c>
      <c r="R3473" t="s" s="2">
        <f>_xlfn.IFERROR(INDEX('model_byCAP'!$D$2:$D$377,MATCH(Q3473,'model_byCAP'!$A$2:$A$377,0)),0)</f>
        <v>4115</v>
      </c>
    </row>
    <row r="3474" ht="15.35" customHeight="1">
      <c r="A3474" t="s" s="2">
        <v>6566</v>
      </c>
      <c r="B3474" s="4">
        <v>34822</v>
      </c>
      <c r="C3474" s="5">
        <v>600</v>
      </c>
      <c r="D3474" s="5">
        <v>42</v>
      </c>
      <c r="E3474" s="5">
        <v>45</v>
      </c>
      <c r="F3474" t="s" s="2">
        <v>3604</v>
      </c>
      <c r="G3474" t="s" s="2">
        <v>6028</v>
      </c>
      <c r="H3474" s="5">
        <v>550</v>
      </c>
      <c r="I3474" t="s" s="2">
        <v>526</v>
      </c>
      <c r="J3474" t="s" s="2">
        <v>22</v>
      </c>
      <c r="K3474" t="s" s="2">
        <v>6476</v>
      </c>
      <c r="L3474" s="5">
        <v>47</v>
      </c>
      <c r="M3474" s="5">
        <v>478213.16</v>
      </c>
      <c r="N3474" s="5">
        <v>6098738.42</v>
      </c>
      <c r="O3474" t="s" s="2">
        <v>305</v>
      </c>
      <c r="P3474" t="s" s="2">
        <v>6544</v>
      </c>
      <c r="Q3474" t="s" s="2">
        <v>6030</v>
      </c>
      <c r="R3474" t="s" s="2">
        <f>_xlfn.IFERROR(INDEX('model_byCAP'!$D$2:$D$377,MATCH(Q3474,'model_byCAP'!$A$2:$A$377,0)),0)</f>
        <v>4115</v>
      </c>
    </row>
    <row r="3475" ht="15.35" customHeight="1">
      <c r="A3475" t="s" s="2">
        <v>6567</v>
      </c>
      <c r="B3475" s="4">
        <v>34822</v>
      </c>
      <c r="C3475" s="5">
        <v>600</v>
      </c>
      <c r="D3475" s="5">
        <v>42</v>
      </c>
      <c r="E3475" s="5">
        <v>45</v>
      </c>
      <c r="F3475" t="s" s="2">
        <v>3604</v>
      </c>
      <c r="G3475" t="s" s="2">
        <v>6028</v>
      </c>
      <c r="H3475" s="5">
        <v>550</v>
      </c>
      <c r="I3475" t="s" s="2">
        <v>526</v>
      </c>
      <c r="J3475" t="s" s="2">
        <v>22</v>
      </c>
      <c r="K3475" t="s" s="2">
        <v>6476</v>
      </c>
      <c r="L3475" s="5">
        <v>4</v>
      </c>
      <c r="M3475" s="5">
        <v>478473.09</v>
      </c>
      <c r="N3475" s="5">
        <v>6098739.85</v>
      </c>
      <c r="O3475" t="s" s="2">
        <v>305</v>
      </c>
      <c r="P3475" t="s" s="2">
        <v>6544</v>
      </c>
      <c r="Q3475" t="s" s="2">
        <v>6030</v>
      </c>
      <c r="R3475" t="s" s="2">
        <f>_xlfn.IFERROR(INDEX('model_byCAP'!$D$2:$D$377,MATCH(Q3475,'model_byCAP'!$A$2:$A$377,0)),0)</f>
        <v>4115</v>
      </c>
    </row>
    <row r="3476" ht="15.35" customHeight="1">
      <c r="A3476" t="s" s="2">
        <v>6568</v>
      </c>
      <c r="B3476" s="4">
        <v>34822</v>
      </c>
      <c r="C3476" s="5">
        <v>600</v>
      </c>
      <c r="D3476" s="5">
        <v>42</v>
      </c>
      <c r="E3476" s="5">
        <v>45</v>
      </c>
      <c r="F3476" t="s" s="2">
        <v>3604</v>
      </c>
      <c r="G3476" t="s" s="2">
        <v>6028</v>
      </c>
      <c r="H3476" s="5">
        <v>550</v>
      </c>
      <c r="I3476" t="s" s="2">
        <v>526</v>
      </c>
      <c r="J3476" t="s" s="2">
        <v>22</v>
      </c>
      <c r="K3476" t="s" s="2">
        <v>6476</v>
      </c>
      <c r="L3476" s="5">
        <v>2</v>
      </c>
      <c r="M3476" s="5">
        <v>478732.61</v>
      </c>
      <c r="N3476" s="5">
        <v>6098741.37</v>
      </c>
      <c r="O3476" t="s" s="2">
        <v>305</v>
      </c>
      <c r="P3476" t="s" s="2">
        <v>6544</v>
      </c>
      <c r="Q3476" t="s" s="2">
        <v>6030</v>
      </c>
      <c r="R3476" t="s" s="2">
        <f>_xlfn.IFERROR(INDEX('model_byCAP'!$D$2:$D$377,MATCH(Q3476,'model_byCAP'!$A$2:$A$377,0)),0)</f>
        <v>4115</v>
      </c>
    </row>
    <row r="3477" ht="15.35" customHeight="1">
      <c r="A3477" t="s" s="2">
        <v>6569</v>
      </c>
      <c r="B3477" s="4">
        <v>34822</v>
      </c>
      <c r="C3477" s="5">
        <v>600</v>
      </c>
      <c r="D3477" s="5">
        <v>42</v>
      </c>
      <c r="E3477" s="5">
        <v>45</v>
      </c>
      <c r="F3477" t="s" s="2">
        <v>3604</v>
      </c>
      <c r="G3477" t="s" s="2">
        <v>6028</v>
      </c>
      <c r="H3477" s="5">
        <v>550</v>
      </c>
      <c r="I3477" t="s" s="2">
        <v>526</v>
      </c>
      <c r="J3477" t="s" s="2">
        <v>22</v>
      </c>
      <c r="K3477" t="s" s="2">
        <v>6476</v>
      </c>
      <c r="L3477" s="5">
        <v>8</v>
      </c>
      <c r="M3477" s="5">
        <v>479252.45</v>
      </c>
      <c r="N3477" s="5">
        <v>6098744.55</v>
      </c>
      <c r="O3477" t="s" s="2">
        <v>305</v>
      </c>
      <c r="P3477" t="s" s="2">
        <v>6544</v>
      </c>
      <c r="Q3477" t="s" s="2">
        <v>6030</v>
      </c>
      <c r="R3477" t="s" s="2">
        <f>_xlfn.IFERROR(INDEX('model_byCAP'!$D$2:$D$377,MATCH(Q3477,'model_byCAP'!$A$2:$A$377,0)),0)</f>
        <v>4115</v>
      </c>
    </row>
    <row r="3478" ht="15.35" customHeight="1">
      <c r="A3478" t="s" s="2">
        <v>6570</v>
      </c>
      <c r="B3478" s="4">
        <v>34822</v>
      </c>
      <c r="C3478" s="5">
        <v>600</v>
      </c>
      <c r="D3478" s="5">
        <v>42</v>
      </c>
      <c r="E3478" s="5">
        <v>45</v>
      </c>
      <c r="F3478" t="s" s="2">
        <v>3604</v>
      </c>
      <c r="G3478" t="s" s="2">
        <v>6028</v>
      </c>
      <c r="H3478" s="5">
        <v>550</v>
      </c>
      <c r="I3478" t="s" s="2">
        <v>526</v>
      </c>
      <c r="J3478" t="s" s="2">
        <v>22</v>
      </c>
      <c r="K3478" t="s" s="2">
        <v>6476</v>
      </c>
      <c r="L3478" s="5">
        <v>5</v>
      </c>
      <c r="M3478" s="5">
        <v>478244.39</v>
      </c>
      <c r="N3478" s="5">
        <v>6098480.25</v>
      </c>
      <c r="O3478" t="s" s="2">
        <v>305</v>
      </c>
      <c r="P3478" t="s" s="2">
        <v>6544</v>
      </c>
      <c r="Q3478" t="s" s="2">
        <v>6030</v>
      </c>
      <c r="R3478" t="s" s="2">
        <f>_xlfn.IFERROR(INDEX('model_byCAP'!$D$2:$D$377,MATCH(Q3478,'model_byCAP'!$A$2:$A$377,0)),0)</f>
        <v>4115</v>
      </c>
    </row>
    <row r="3479" ht="15.35" customHeight="1">
      <c r="A3479" t="s" s="2">
        <v>6571</v>
      </c>
      <c r="B3479" s="4">
        <v>34822</v>
      </c>
      <c r="C3479" s="5">
        <v>600</v>
      </c>
      <c r="D3479" s="5">
        <v>42</v>
      </c>
      <c r="E3479" s="5">
        <v>45</v>
      </c>
      <c r="F3479" t="s" s="2">
        <v>3604</v>
      </c>
      <c r="G3479" t="s" s="2">
        <v>6028</v>
      </c>
      <c r="H3479" s="5">
        <v>550</v>
      </c>
      <c r="I3479" t="s" s="2">
        <v>526</v>
      </c>
      <c r="J3479" t="s" s="2">
        <v>22</v>
      </c>
      <c r="K3479" t="s" s="2">
        <v>6476</v>
      </c>
      <c r="L3479" s="5">
        <v>140</v>
      </c>
      <c r="M3479" s="5">
        <v>478503.89</v>
      </c>
      <c r="N3479" s="5">
        <v>6098481.98</v>
      </c>
      <c r="O3479" t="s" s="2">
        <v>305</v>
      </c>
      <c r="P3479" t="s" s="2">
        <v>6544</v>
      </c>
      <c r="Q3479" t="s" s="2">
        <v>6030</v>
      </c>
      <c r="R3479" t="s" s="2">
        <f>_xlfn.IFERROR(INDEX('model_byCAP'!$D$2:$D$377,MATCH(Q3479,'model_byCAP'!$A$2:$A$377,0)),0)</f>
        <v>4115</v>
      </c>
    </row>
    <row r="3480" ht="15.35" customHeight="1">
      <c r="A3480" t="s" s="2">
        <v>6572</v>
      </c>
      <c r="B3480" s="4">
        <v>34822</v>
      </c>
      <c r="C3480" s="5">
        <v>600</v>
      </c>
      <c r="D3480" s="5">
        <v>42</v>
      </c>
      <c r="E3480" s="5">
        <v>45</v>
      </c>
      <c r="F3480" t="s" s="2">
        <v>3604</v>
      </c>
      <c r="G3480" t="s" s="2">
        <v>6028</v>
      </c>
      <c r="H3480" s="5">
        <v>550</v>
      </c>
      <c r="I3480" t="s" s="2">
        <v>526</v>
      </c>
      <c r="J3480" t="s" s="2">
        <v>22</v>
      </c>
      <c r="K3480" t="s" s="2">
        <v>6476</v>
      </c>
      <c r="L3480" s="5">
        <v>2</v>
      </c>
      <c r="M3480" s="5">
        <v>478763.55</v>
      </c>
      <c r="N3480" s="5">
        <v>6098483.36</v>
      </c>
      <c r="O3480" t="s" s="2">
        <v>305</v>
      </c>
      <c r="P3480" t="s" s="2">
        <v>6544</v>
      </c>
      <c r="Q3480" t="s" s="2">
        <v>6030</v>
      </c>
      <c r="R3480" t="s" s="2">
        <f>_xlfn.IFERROR(INDEX('model_byCAP'!$D$2:$D$377,MATCH(Q3480,'model_byCAP'!$A$2:$A$377,0)),0)</f>
        <v>4115</v>
      </c>
    </row>
    <row r="3481" ht="15.35" customHeight="1">
      <c r="A3481" t="s" s="2">
        <v>6573</v>
      </c>
      <c r="B3481" s="4">
        <v>34822</v>
      </c>
      <c r="C3481" s="5">
        <v>600</v>
      </c>
      <c r="D3481" s="5">
        <v>42</v>
      </c>
      <c r="E3481" s="5">
        <v>45</v>
      </c>
      <c r="F3481" t="s" s="2">
        <v>3604</v>
      </c>
      <c r="G3481" t="s" s="2">
        <v>6028</v>
      </c>
      <c r="H3481" s="5">
        <v>550</v>
      </c>
      <c r="I3481" t="s" s="2">
        <v>526</v>
      </c>
      <c r="J3481" t="s" s="2">
        <v>22</v>
      </c>
      <c r="K3481" t="s" s="2">
        <v>6476</v>
      </c>
      <c r="L3481" s="5">
        <v>5</v>
      </c>
      <c r="M3481" s="5">
        <v>479023.44</v>
      </c>
      <c r="N3481" s="5">
        <v>6098484.86</v>
      </c>
      <c r="O3481" t="s" s="2">
        <v>305</v>
      </c>
      <c r="P3481" t="s" s="2">
        <v>6544</v>
      </c>
      <c r="Q3481" t="s" s="2">
        <v>6030</v>
      </c>
      <c r="R3481" t="s" s="2">
        <f>_xlfn.IFERROR(INDEX('model_byCAP'!$D$2:$D$377,MATCH(Q3481,'model_byCAP'!$A$2:$A$377,0)),0)</f>
        <v>4115</v>
      </c>
    </row>
    <row r="3482" ht="15.35" customHeight="1">
      <c r="A3482" t="s" s="2">
        <v>6574</v>
      </c>
      <c r="B3482" s="4">
        <v>34822</v>
      </c>
      <c r="C3482" s="5">
        <v>600</v>
      </c>
      <c r="D3482" s="5">
        <v>42</v>
      </c>
      <c r="E3482" s="5">
        <v>45</v>
      </c>
      <c r="F3482" t="s" s="2">
        <v>3604</v>
      </c>
      <c r="G3482" t="s" s="2">
        <v>6028</v>
      </c>
      <c r="H3482" s="5">
        <v>550</v>
      </c>
      <c r="I3482" t="s" s="2">
        <v>526</v>
      </c>
      <c r="J3482" t="s" s="2">
        <v>22</v>
      </c>
      <c r="K3482" t="s" s="2">
        <v>6476</v>
      </c>
      <c r="L3482" s="5">
        <v>7</v>
      </c>
      <c r="M3482" s="5">
        <v>479283.65</v>
      </c>
      <c r="N3482" s="5">
        <v>6098486.69</v>
      </c>
      <c r="O3482" t="s" s="2">
        <v>305</v>
      </c>
      <c r="P3482" t="s" s="2">
        <v>6544</v>
      </c>
      <c r="Q3482" t="s" s="2">
        <v>6030</v>
      </c>
      <c r="R3482" t="s" s="2">
        <f>_xlfn.IFERROR(INDEX('model_byCAP'!$D$2:$D$377,MATCH(Q3482,'model_byCAP'!$A$2:$A$377,0)),0)</f>
        <v>4115</v>
      </c>
    </row>
    <row r="3483" ht="15.35" customHeight="1">
      <c r="A3483" t="s" s="2">
        <v>6575</v>
      </c>
      <c r="B3483" s="4">
        <v>34822</v>
      </c>
      <c r="C3483" s="5">
        <v>600</v>
      </c>
      <c r="D3483" s="5">
        <v>42</v>
      </c>
      <c r="E3483" s="5">
        <v>45</v>
      </c>
      <c r="F3483" t="s" s="2">
        <v>3604</v>
      </c>
      <c r="G3483" t="s" s="2">
        <v>6028</v>
      </c>
      <c r="H3483" s="5">
        <v>550</v>
      </c>
      <c r="I3483" t="s" s="2">
        <v>526</v>
      </c>
      <c r="J3483" t="s" s="2">
        <v>22</v>
      </c>
      <c r="K3483" t="s" s="2">
        <v>6576</v>
      </c>
      <c r="L3483" s="5">
        <v>170</v>
      </c>
      <c r="M3483" s="5">
        <v>478534.39</v>
      </c>
      <c r="N3483" s="5">
        <v>6098223.81</v>
      </c>
      <c r="O3483" t="s" s="2">
        <v>305</v>
      </c>
      <c r="P3483" t="s" s="2">
        <v>6544</v>
      </c>
      <c r="Q3483" t="s" s="2">
        <v>6030</v>
      </c>
      <c r="R3483" t="s" s="2">
        <f>_xlfn.IFERROR(INDEX('model_byCAP'!$D$2:$D$377,MATCH(Q3483,'model_byCAP'!$A$2:$A$377,0)),0)</f>
        <v>4115</v>
      </c>
    </row>
    <row r="3484" ht="15.35" customHeight="1">
      <c r="A3484" t="s" s="2">
        <v>6577</v>
      </c>
      <c r="B3484" s="4">
        <v>34822</v>
      </c>
      <c r="C3484" s="5">
        <v>600</v>
      </c>
      <c r="D3484" s="5">
        <v>42</v>
      </c>
      <c r="E3484" s="5">
        <v>45</v>
      </c>
      <c r="F3484" t="s" s="2">
        <v>3604</v>
      </c>
      <c r="G3484" t="s" s="2">
        <v>6028</v>
      </c>
      <c r="H3484" s="5">
        <v>550</v>
      </c>
      <c r="I3484" t="s" s="2">
        <v>526</v>
      </c>
      <c r="J3484" t="s" s="2">
        <v>22</v>
      </c>
      <c r="K3484" t="s" s="2">
        <v>6576</v>
      </c>
      <c r="L3484" s="5">
        <v>5</v>
      </c>
      <c r="M3484" s="5">
        <v>478794.54</v>
      </c>
      <c r="N3484" s="5">
        <v>6098225.29</v>
      </c>
      <c r="O3484" t="s" s="2">
        <v>305</v>
      </c>
      <c r="P3484" t="s" s="2">
        <v>6544</v>
      </c>
      <c r="Q3484" t="s" s="2">
        <v>6030</v>
      </c>
      <c r="R3484" t="s" s="2">
        <f>_xlfn.IFERROR(INDEX('model_byCAP'!$D$2:$D$377,MATCH(Q3484,'model_byCAP'!$A$2:$A$377,0)),0)</f>
        <v>4115</v>
      </c>
    </row>
    <row r="3485" ht="15.35" customHeight="1">
      <c r="A3485" t="s" s="2">
        <v>6578</v>
      </c>
      <c r="B3485" s="4">
        <v>34822</v>
      </c>
      <c r="C3485" s="5">
        <v>600</v>
      </c>
      <c r="D3485" s="5">
        <v>42</v>
      </c>
      <c r="E3485" s="5">
        <v>45</v>
      </c>
      <c r="F3485" t="s" s="2">
        <v>3604</v>
      </c>
      <c r="G3485" t="s" s="2">
        <v>6028</v>
      </c>
      <c r="H3485" s="5">
        <v>550</v>
      </c>
      <c r="I3485" t="s" s="2">
        <v>526</v>
      </c>
      <c r="J3485" t="s" s="2">
        <v>22</v>
      </c>
      <c r="K3485" t="s" s="2">
        <v>6576</v>
      </c>
      <c r="L3485" s="5">
        <v>125</v>
      </c>
      <c r="M3485" s="5">
        <v>479054.34</v>
      </c>
      <c r="N3485" s="5">
        <v>6098226.75</v>
      </c>
      <c r="O3485" t="s" s="2">
        <v>305</v>
      </c>
      <c r="P3485" t="s" s="2">
        <v>6544</v>
      </c>
      <c r="Q3485" t="s" s="2">
        <v>6030</v>
      </c>
      <c r="R3485" t="s" s="2">
        <f>_xlfn.IFERROR(INDEX('model_byCAP'!$D$2:$D$377,MATCH(Q3485,'model_byCAP'!$A$2:$A$377,0)),0)</f>
        <v>4115</v>
      </c>
    </row>
    <row r="3486" ht="15.35" customHeight="1">
      <c r="A3486" t="s" s="2">
        <v>6579</v>
      </c>
      <c r="B3486" s="4">
        <v>34822</v>
      </c>
      <c r="C3486" s="5">
        <v>600</v>
      </c>
      <c r="D3486" s="5">
        <v>42</v>
      </c>
      <c r="E3486" s="5">
        <v>45</v>
      </c>
      <c r="F3486" t="s" s="2">
        <v>3604</v>
      </c>
      <c r="G3486" t="s" s="2">
        <v>6028</v>
      </c>
      <c r="H3486" s="5">
        <v>550</v>
      </c>
      <c r="I3486" t="s" s="2">
        <v>526</v>
      </c>
      <c r="J3486" t="s" s="2">
        <v>22</v>
      </c>
      <c r="K3486" t="s" s="2">
        <v>6576</v>
      </c>
      <c r="L3486" s="5">
        <v>20</v>
      </c>
      <c r="M3486" s="5">
        <v>479314.46</v>
      </c>
      <c r="N3486" s="5">
        <v>6098228.45</v>
      </c>
      <c r="O3486" t="s" s="2">
        <v>305</v>
      </c>
      <c r="P3486" t="s" s="2">
        <v>6544</v>
      </c>
      <c r="Q3486" t="s" s="2">
        <v>6030</v>
      </c>
      <c r="R3486" t="s" s="2">
        <f>_xlfn.IFERROR(INDEX('model_byCAP'!$D$2:$D$377,MATCH(Q3486,'model_byCAP'!$A$2:$A$377,0)),0)</f>
        <v>4115</v>
      </c>
    </row>
    <row r="3487" ht="15.35" customHeight="1">
      <c r="A3487" t="s" s="2">
        <v>6580</v>
      </c>
      <c r="B3487" s="4">
        <v>34822</v>
      </c>
      <c r="C3487" s="5">
        <v>600</v>
      </c>
      <c r="D3487" s="5">
        <v>42</v>
      </c>
      <c r="E3487" s="5">
        <v>45</v>
      </c>
      <c r="F3487" t="s" s="2">
        <v>3604</v>
      </c>
      <c r="G3487" t="s" s="2">
        <v>6028</v>
      </c>
      <c r="H3487" s="5">
        <v>550</v>
      </c>
      <c r="I3487" t="s" s="2">
        <v>526</v>
      </c>
      <c r="J3487" t="s" s="2">
        <v>22</v>
      </c>
      <c r="K3487" t="s" s="2">
        <v>6476</v>
      </c>
      <c r="L3487" s="5">
        <v>8</v>
      </c>
      <c r="M3487" s="5">
        <v>479573.8</v>
      </c>
      <c r="N3487" s="5">
        <v>6098230.16</v>
      </c>
      <c r="O3487" t="s" s="2">
        <v>305</v>
      </c>
      <c r="P3487" t="s" s="2">
        <v>6544</v>
      </c>
      <c r="Q3487" t="s" s="2">
        <v>6030</v>
      </c>
      <c r="R3487" t="s" s="2">
        <f>_xlfn.IFERROR(INDEX('model_byCAP'!$D$2:$D$377,MATCH(Q3487,'model_byCAP'!$A$2:$A$377,0)),0)</f>
        <v>4115</v>
      </c>
    </row>
    <row r="3488" ht="15.35" customHeight="1">
      <c r="A3488" t="s" s="2">
        <v>6581</v>
      </c>
      <c r="B3488" s="4">
        <v>34822</v>
      </c>
      <c r="C3488" s="5">
        <v>600</v>
      </c>
      <c r="D3488" s="5">
        <v>42</v>
      </c>
      <c r="E3488" s="5">
        <v>45</v>
      </c>
      <c r="F3488" t="s" s="2">
        <v>3604</v>
      </c>
      <c r="G3488" t="s" s="2">
        <v>6028</v>
      </c>
      <c r="H3488" s="5">
        <v>550</v>
      </c>
      <c r="I3488" t="s" s="2">
        <v>526</v>
      </c>
      <c r="J3488" t="s" s="2">
        <v>22</v>
      </c>
      <c r="K3488" t="s" s="2">
        <v>6576</v>
      </c>
      <c r="L3488" s="5">
        <v>285</v>
      </c>
      <c r="M3488" s="5">
        <v>478825.02</v>
      </c>
      <c r="N3488" s="5">
        <v>6097967</v>
      </c>
      <c r="O3488" t="s" s="2">
        <v>305</v>
      </c>
      <c r="P3488" t="s" s="2">
        <v>6544</v>
      </c>
      <c r="Q3488" t="s" s="2">
        <v>6030</v>
      </c>
      <c r="R3488" t="s" s="2">
        <f>_xlfn.IFERROR(INDEX('model_byCAP'!$D$2:$D$377,MATCH(Q3488,'model_byCAP'!$A$2:$A$377,0)),0)</f>
        <v>4115</v>
      </c>
    </row>
    <row r="3489" ht="15.35" customHeight="1">
      <c r="A3489" t="s" s="2">
        <v>6582</v>
      </c>
      <c r="B3489" s="4">
        <v>34822</v>
      </c>
      <c r="C3489" s="5">
        <v>600</v>
      </c>
      <c r="D3489" s="5">
        <v>42</v>
      </c>
      <c r="E3489" s="5">
        <v>45</v>
      </c>
      <c r="F3489" t="s" s="2">
        <v>3604</v>
      </c>
      <c r="G3489" t="s" s="2">
        <v>6028</v>
      </c>
      <c r="H3489" s="5">
        <v>550</v>
      </c>
      <c r="I3489" t="s" s="2">
        <v>526</v>
      </c>
      <c r="J3489" t="s" s="2">
        <v>22</v>
      </c>
      <c r="K3489" t="s" s="2">
        <v>6576</v>
      </c>
      <c r="L3489" s="5">
        <v>125</v>
      </c>
      <c r="M3489" s="5">
        <v>479084.99</v>
      </c>
      <c r="N3489" s="5">
        <v>6097968.79</v>
      </c>
      <c r="O3489" t="s" s="2">
        <v>305</v>
      </c>
      <c r="P3489" t="s" s="2">
        <v>6544</v>
      </c>
      <c r="Q3489" t="s" s="2">
        <v>6030</v>
      </c>
      <c r="R3489" t="s" s="2">
        <f>_xlfn.IFERROR(INDEX('model_byCAP'!$D$2:$D$377,MATCH(Q3489,'model_byCAP'!$A$2:$A$377,0)),0)</f>
        <v>4115</v>
      </c>
    </row>
    <row r="3490" ht="15.35" customHeight="1">
      <c r="A3490" t="s" s="2">
        <v>6583</v>
      </c>
      <c r="B3490" s="4">
        <v>34822</v>
      </c>
      <c r="C3490" s="5">
        <v>600</v>
      </c>
      <c r="D3490" s="5">
        <v>42</v>
      </c>
      <c r="E3490" s="5">
        <v>45</v>
      </c>
      <c r="F3490" t="s" s="2">
        <v>3604</v>
      </c>
      <c r="G3490" t="s" s="2">
        <v>6028</v>
      </c>
      <c r="H3490" s="5">
        <v>550</v>
      </c>
      <c r="I3490" t="s" s="2">
        <v>526</v>
      </c>
      <c r="J3490" t="s" s="2">
        <v>22</v>
      </c>
      <c r="K3490" t="s" s="2">
        <v>6576</v>
      </c>
      <c r="L3490" s="5">
        <v>20</v>
      </c>
      <c r="M3490" s="5">
        <v>479344.93</v>
      </c>
      <c r="N3490" s="5">
        <v>6097970.22</v>
      </c>
      <c r="O3490" t="s" s="2">
        <v>305</v>
      </c>
      <c r="P3490" t="s" s="2">
        <v>6544</v>
      </c>
      <c r="Q3490" t="s" s="2">
        <v>6030</v>
      </c>
      <c r="R3490" t="s" s="2">
        <f>_xlfn.IFERROR(INDEX('model_byCAP'!$D$2:$D$377,MATCH(Q3490,'model_byCAP'!$A$2:$A$377,0)),0)</f>
        <v>4115</v>
      </c>
    </row>
    <row r="3491" ht="15.35" customHeight="1">
      <c r="A3491" t="s" s="2">
        <v>6584</v>
      </c>
      <c r="B3491" s="4">
        <v>35166</v>
      </c>
      <c r="C3491" s="5">
        <v>600</v>
      </c>
      <c r="D3491" s="5">
        <v>44</v>
      </c>
      <c r="E3491" s="5">
        <v>45</v>
      </c>
      <c r="F3491" t="s" s="2">
        <v>301</v>
      </c>
      <c r="G3491" t="s" s="2">
        <v>5700</v>
      </c>
      <c r="H3491" s="5">
        <v>561</v>
      </c>
      <c r="I3491" t="s" s="2">
        <v>196</v>
      </c>
      <c r="J3491" t="s" s="2">
        <v>22</v>
      </c>
      <c r="K3491" t="s" s="2">
        <v>6585</v>
      </c>
      <c r="L3491" t="s" s="2">
        <v>2872</v>
      </c>
      <c r="M3491" s="5">
        <v>462157.02</v>
      </c>
      <c r="N3491" s="5">
        <v>6155419.86</v>
      </c>
      <c r="O3491" t="s" s="2">
        <v>305</v>
      </c>
      <c r="P3491" s="5">
        <v>59720</v>
      </c>
      <c r="Q3491" t="s" s="2">
        <v>5701</v>
      </c>
      <c r="R3491" t="s" s="2">
        <f>_xlfn.IFERROR(INDEX('model_byCAP'!$D$2:$D$377,MATCH(Q3491,'model_byCAP'!$A$2:$A$377,0)),0)</f>
        <v>5702</v>
      </c>
    </row>
    <row r="3492" ht="15.35" customHeight="1">
      <c r="A3492" t="s" s="2">
        <v>6586</v>
      </c>
      <c r="B3492" s="4">
        <v>35452</v>
      </c>
      <c r="C3492" s="5">
        <v>600</v>
      </c>
      <c r="D3492" s="5">
        <v>44</v>
      </c>
      <c r="E3492" s="5">
        <v>45</v>
      </c>
      <c r="F3492" t="s" s="2">
        <v>301</v>
      </c>
      <c r="G3492" t="s" s="2">
        <v>5700</v>
      </c>
      <c r="H3492" s="5">
        <v>561</v>
      </c>
      <c r="I3492" t="s" s="2">
        <v>196</v>
      </c>
      <c r="J3492" t="s" s="2">
        <v>22</v>
      </c>
      <c r="K3492" t="s" s="2">
        <v>6587</v>
      </c>
      <c r="L3492" t="s" s="2">
        <v>6588</v>
      </c>
      <c r="M3492" s="5">
        <v>479307.72</v>
      </c>
      <c r="N3492" s="5">
        <v>6143419.03</v>
      </c>
      <c r="O3492" t="s" s="2">
        <v>305</v>
      </c>
      <c r="P3492" s="5">
        <v>60109</v>
      </c>
      <c r="Q3492" t="s" s="2">
        <v>5701</v>
      </c>
      <c r="R3492" t="s" s="2">
        <f>_xlfn.IFERROR(INDEX('model_byCAP'!$D$2:$D$377,MATCH(Q3492,'model_byCAP'!$A$2:$A$377,0)),0)</f>
        <v>5702</v>
      </c>
    </row>
    <row r="3493" ht="15.35" customHeight="1">
      <c r="A3493" t="s" s="2">
        <v>6589</v>
      </c>
      <c r="B3493" s="4">
        <v>35452</v>
      </c>
      <c r="C3493" s="5">
        <v>600</v>
      </c>
      <c r="D3493" s="5">
        <v>44</v>
      </c>
      <c r="E3493" s="5">
        <v>45</v>
      </c>
      <c r="F3493" t="s" s="2">
        <v>301</v>
      </c>
      <c r="G3493" t="s" s="2">
        <v>5700</v>
      </c>
      <c r="H3493" s="5">
        <v>561</v>
      </c>
      <c r="I3493" t="s" s="2">
        <v>196</v>
      </c>
      <c r="J3493" t="s" s="2">
        <v>22</v>
      </c>
      <c r="K3493" t="s" s="2">
        <v>6587</v>
      </c>
      <c r="L3493" t="s" s="2">
        <v>6588</v>
      </c>
      <c r="M3493" s="5">
        <v>479274.92</v>
      </c>
      <c r="N3493" s="5">
        <v>6143602.37</v>
      </c>
      <c r="O3493" t="s" s="2">
        <v>305</v>
      </c>
      <c r="P3493" s="5">
        <v>60110</v>
      </c>
      <c r="Q3493" t="s" s="2">
        <v>5701</v>
      </c>
      <c r="R3493" t="s" s="2">
        <f>_xlfn.IFERROR(INDEX('model_byCAP'!$D$2:$D$377,MATCH(Q3493,'model_byCAP'!$A$2:$A$377,0)),0)</f>
        <v>5702</v>
      </c>
    </row>
    <row r="3494" ht="15.35" customHeight="1">
      <c r="A3494" t="s" s="2">
        <v>6590</v>
      </c>
      <c r="B3494" s="4">
        <v>35447</v>
      </c>
      <c r="C3494" s="5">
        <v>600</v>
      </c>
      <c r="D3494" s="5">
        <v>44</v>
      </c>
      <c r="E3494" s="5">
        <v>45</v>
      </c>
      <c r="F3494" t="s" s="2">
        <v>301</v>
      </c>
      <c r="G3494" t="s" s="2">
        <v>5700</v>
      </c>
      <c r="H3494" s="5">
        <v>561</v>
      </c>
      <c r="I3494" t="s" s="2">
        <v>196</v>
      </c>
      <c r="J3494" t="s" s="2">
        <v>22</v>
      </c>
      <c r="K3494" t="s" s="2">
        <v>6587</v>
      </c>
      <c r="L3494" t="s" s="2">
        <v>6588</v>
      </c>
      <c r="M3494" s="5">
        <v>479243</v>
      </c>
      <c r="N3494" s="5">
        <v>6143786.02</v>
      </c>
      <c r="O3494" t="s" s="2">
        <v>305</v>
      </c>
      <c r="P3494" s="5">
        <v>60111</v>
      </c>
      <c r="Q3494" t="s" s="2">
        <v>5701</v>
      </c>
      <c r="R3494" t="s" s="2">
        <f>_xlfn.IFERROR(INDEX('model_byCAP'!$D$2:$D$377,MATCH(Q3494,'model_byCAP'!$A$2:$A$377,0)),0)</f>
        <v>5702</v>
      </c>
    </row>
    <row r="3495" ht="15.35" customHeight="1">
      <c r="A3495" t="s" s="2">
        <v>6591</v>
      </c>
      <c r="B3495" s="4">
        <v>35447</v>
      </c>
      <c r="C3495" s="5">
        <v>600</v>
      </c>
      <c r="D3495" s="5">
        <v>44</v>
      </c>
      <c r="E3495" s="5">
        <v>45</v>
      </c>
      <c r="F3495" t="s" s="2">
        <v>301</v>
      </c>
      <c r="G3495" t="s" s="2">
        <v>5700</v>
      </c>
      <c r="H3495" s="5">
        <v>561</v>
      </c>
      <c r="I3495" t="s" s="2">
        <v>196</v>
      </c>
      <c r="J3495" t="s" s="2">
        <v>22</v>
      </c>
      <c r="K3495" t="s" s="2">
        <v>6592</v>
      </c>
      <c r="L3495" t="s" s="2">
        <v>3332</v>
      </c>
      <c r="M3495" s="5">
        <v>461970.91</v>
      </c>
      <c r="N3495" s="5">
        <v>6155544.99</v>
      </c>
      <c r="O3495" t="s" s="2">
        <v>25</v>
      </c>
      <c r="P3495" s="5">
        <v>60146</v>
      </c>
      <c r="Q3495" t="s" s="2">
        <v>5701</v>
      </c>
      <c r="R3495" t="s" s="2">
        <f>_xlfn.IFERROR(INDEX('model_byCAP'!$D$2:$D$377,MATCH(Q3495,'model_byCAP'!$A$2:$A$377,0)),0)</f>
        <v>5702</v>
      </c>
    </row>
    <row r="3496" ht="15.35" customHeight="1">
      <c r="A3496" t="s" s="2">
        <v>6593</v>
      </c>
      <c r="B3496" s="4">
        <v>35446</v>
      </c>
      <c r="C3496" s="5">
        <v>600</v>
      </c>
      <c r="D3496" s="5">
        <v>44</v>
      </c>
      <c r="E3496" s="5">
        <v>45</v>
      </c>
      <c r="F3496" t="s" s="2">
        <v>301</v>
      </c>
      <c r="G3496" t="s" s="2">
        <v>5700</v>
      </c>
      <c r="H3496" s="5">
        <v>561</v>
      </c>
      <c r="I3496" t="s" s="2">
        <v>196</v>
      </c>
      <c r="J3496" t="s" s="2">
        <v>22</v>
      </c>
      <c r="K3496" t="s" s="2">
        <v>6585</v>
      </c>
      <c r="L3496" t="s" s="2">
        <v>2872</v>
      </c>
      <c r="M3496" s="5">
        <v>462171.73</v>
      </c>
      <c r="N3496" s="5">
        <v>6155649.18</v>
      </c>
      <c r="O3496" t="s" s="2">
        <v>305</v>
      </c>
      <c r="P3496" s="5">
        <v>60147</v>
      </c>
      <c r="Q3496" t="s" s="2">
        <v>5701</v>
      </c>
      <c r="R3496" t="s" s="2">
        <f>_xlfn.IFERROR(INDEX('model_byCAP'!$D$2:$D$377,MATCH(Q3496,'model_byCAP'!$A$2:$A$377,0)),0)</f>
        <v>5702</v>
      </c>
    </row>
    <row r="3497" ht="15.35" customHeight="1">
      <c r="A3497" t="s" s="2">
        <v>6594</v>
      </c>
      <c r="B3497" s="4">
        <v>35412</v>
      </c>
      <c r="C3497" s="5">
        <v>600</v>
      </c>
      <c r="D3497" s="5">
        <v>44</v>
      </c>
      <c r="E3497" s="5">
        <v>45</v>
      </c>
      <c r="F3497" t="s" s="2">
        <v>301</v>
      </c>
      <c r="G3497" t="s" s="2">
        <v>5700</v>
      </c>
      <c r="H3497" s="5">
        <v>561</v>
      </c>
      <c r="I3497" t="s" s="2">
        <v>196</v>
      </c>
      <c r="J3497" t="s" s="2">
        <v>22</v>
      </c>
      <c r="K3497" t="s" s="2">
        <v>6595</v>
      </c>
      <c r="L3497" t="s" s="2">
        <v>4055</v>
      </c>
      <c r="M3497" s="5">
        <v>459608.1</v>
      </c>
      <c r="N3497" s="5">
        <v>6157246.7</v>
      </c>
      <c r="O3497" t="s" s="2">
        <v>305</v>
      </c>
      <c r="P3497" s="5">
        <v>60275</v>
      </c>
      <c r="Q3497" t="s" s="2">
        <v>5701</v>
      </c>
      <c r="R3497" t="s" s="2">
        <f>_xlfn.IFERROR(INDEX('model_byCAP'!$D$2:$D$377,MATCH(Q3497,'model_byCAP'!$A$2:$A$377,0)),0)</f>
        <v>5702</v>
      </c>
    </row>
    <row r="3498" ht="15.35" customHeight="1">
      <c r="A3498" t="s" s="2">
        <v>6596</v>
      </c>
      <c r="B3498" s="4">
        <v>35412</v>
      </c>
      <c r="C3498" s="5">
        <v>600</v>
      </c>
      <c r="D3498" s="5">
        <v>44</v>
      </c>
      <c r="E3498" s="5">
        <v>45</v>
      </c>
      <c r="F3498" t="s" s="2">
        <v>301</v>
      </c>
      <c r="G3498" t="s" s="2">
        <v>5700</v>
      </c>
      <c r="H3498" s="5">
        <v>561</v>
      </c>
      <c r="I3498" t="s" s="2">
        <v>196</v>
      </c>
      <c r="J3498" t="s" s="2">
        <v>22</v>
      </c>
      <c r="K3498" t="s" s="2">
        <v>6595</v>
      </c>
      <c r="L3498" t="s" s="2">
        <v>4055</v>
      </c>
      <c r="M3498" s="5">
        <v>459780.79</v>
      </c>
      <c r="N3498" s="5">
        <v>6157203.19</v>
      </c>
      <c r="O3498" t="s" s="2">
        <v>305</v>
      </c>
      <c r="P3498" s="5">
        <v>60276</v>
      </c>
      <c r="Q3498" t="s" s="2">
        <v>5701</v>
      </c>
      <c r="R3498" t="s" s="2">
        <f>_xlfn.IFERROR(INDEX('model_byCAP'!$D$2:$D$377,MATCH(Q3498,'model_byCAP'!$A$2:$A$377,0)),0)</f>
        <v>5702</v>
      </c>
    </row>
    <row r="3499" ht="15.35" customHeight="1">
      <c r="A3499" t="s" s="2">
        <v>6597</v>
      </c>
      <c r="B3499" s="4">
        <v>35622</v>
      </c>
      <c r="C3499" s="5">
        <v>600</v>
      </c>
      <c r="D3499" s="5">
        <v>45</v>
      </c>
      <c r="E3499" s="5">
        <v>45</v>
      </c>
      <c r="F3499" t="s" s="2">
        <v>4038</v>
      </c>
      <c r="G3499" t="s" s="2">
        <v>6415</v>
      </c>
      <c r="H3499" s="5">
        <v>561</v>
      </c>
      <c r="I3499" t="s" s="2">
        <v>196</v>
      </c>
      <c r="J3499" t="s" s="2">
        <v>22</v>
      </c>
      <c r="K3499" t="s" s="2">
        <v>4519</v>
      </c>
      <c r="L3499" t="s" s="2">
        <v>2348</v>
      </c>
      <c r="M3499" s="5">
        <v>471178.26</v>
      </c>
      <c r="N3499" s="5">
        <v>6147546.78</v>
      </c>
      <c r="O3499" t="s" s="2">
        <v>305</v>
      </c>
      <c r="P3499" s="5">
        <v>60811</v>
      </c>
      <c r="Q3499" t="s" s="2">
        <v>6416</v>
      </c>
      <c r="R3499" t="s" s="2">
        <f>_xlfn.IFERROR(INDEX('model_byCAP'!$D$2:$D$377,MATCH(Q3499,'model_byCAP'!$A$2:$A$377,0)),0)</f>
        <v>6417</v>
      </c>
    </row>
    <row r="3500" ht="15.35" customHeight="1">
      <c r="A3500" t="s" s="2">
        <v>6598</v>
      </c>
      <c r="B3500" s="4">
        <v>35929</v>
      </c>
      <c r="C3500" s="5">
        <v>600</v>
      </c>
      <c r="D3500" s="5">
        <v>44</v>
      </c>
      <c r="E3500" s="5">
        <v>50</v>
      </c>
      <c r="F3500" t="s" s="2">
        <v>301</v>
      </c>
      <c r="G3500" t="s" s="2">
        <v>5700</v>
      </c>
      <c r="H3500" s="5">
        <v>561</v>
      </c>
      <c r="I3500" t="s" s="2">
        <v>196</v>
      </c>
      <c r="J3500" t="s" s="2">
        <v>22</v>
      </c>
      <c r="K3500" t="s" s="2">
        <v>6599</v>
      </c>
      <c r="L3500" t="s" s="2">
        <v>941</v>
      </c>
      <c r="M3500" s="5">
        <v>479480.09</v>
      </c>
      <c r="N3500" s="5">
        <v>6145614.42</v>
      </c>
      <c r="O3500" t="s" s="2">
        <v>305</v>
      </c>
      <c r="P3500" s="5">
        <v>61262</v>
      </c>
      <c r="Q3500" t="s" s="2">
        <v>5701</v>
      </c>
      <c r="R3500" t="s" s="2">
        <f>_xlfn.IFERROR(INDEX('model_byCAP'!$D$2:$D$377,MATCH(Q3500,'model_byCAP'!$A$2:$A$377,0)),0)</f>
        <v>5702</v>
      </c>
    </row>
    <row r="3501" ht="15.35" customHeight="1">
      <c r="A3501" t="s" s="2">
        <v>6600</v>
      </c>
      <c r="B3501" s="4">
        <v>35929</v>
      </c>
      <c r="C3501" s="5">
        <v>600</v>
      </c>
      <c r="D3501" s="5">
        <v>44</v>
      </c>
      <c r="E3501" s="5">
        <v>50</v>
      </c>
      <c r="F3501" t="s" s="2">
        <v>301</v>
      </c>
      <c r="G3501" t="s" s="2">
        <v>5700</v>
      </c>
      <c r="H3501" s="5">
        <v>561</v>
      </c>
      <c r="I3501" t="s" s="2">
        <v>196</v>
      </c>
      <c r="J3501" t="s" s="2">
        <v>22</v>
      </c>
      <c r="K3501" t="s" s="2">
        <v>6599</v>
      </c>
      <c r="L3501" t="s" s="2">
        <v>941</v>
      </c>
      <c r="M3501" s="5">
        <v>479643.74</v>
      </c>
      <c r="N3501" s="5">
        <v>6145517.7</v>
      </c>
      <c r="O3501" t="s" s="2">
        <v>305</v>
      </c>
      <c r="P3501" s="5">
        <v>61263</v>
      </c>
      <c r="Q3501" t="s" s="2">
        <v>5701</v>
      </c>
      <c r="R3501" t="s" s="2">
        <f>_xlfn.IFERROR(INDEX('model_byCAP'!$D$2:$D$377,MATCH(Q3501,'model_byCAP'!$A$2:$A$377,0)),0)</f>
        <v>5702</v>
      </c>
    </row>
    <row r="3502" ht="15.35" customHeight="1">
      <c r="A3502" t="s" s="2">
        <v>6601</v>
      </c>
      <c r="B3502" s="4">
        <v>35928</v>
      </c>
      <c r="C3502" s="5">
        <v>600</v>
      </c>
      <c r="D3502" s="5">
        <v>44</v>
      </c>
      <c r="E3502" s="5">
        <v>50</v>
      </c>
      <c r="F3502" t="s" s="2">
        <v>301</v>
      </c>
      <c r="G3502" t="s" s="2">
        <v>5700</v>
      </c>
      <c r="H3502" s="5">
        <v>561</v>
      </c>
      <c r="I3502" t="s" s="2">
        <v>196</v>
      </c>
      <c r="J3502" t="s" s="2">
        <v>22</v>
      </c>
      <c r="K3502" t="s" s="2">
        <v>6599</v>
      </c>
      <c r="L3502" t="s" s="2">
        <v>941</v>
      </c>
      <c r="M3502" s="5">
        <v>479809.77</v>
      </c>
      <c r="N3502" s="5">
        <v>6145419.58</v>
      </c>
      <c r="O3502" t="s" s="2">
        <v>305</v>
      </c>
      <c r="P3502" s="5">
        <v>61264</v>
      </c>
      <c r="Q3502" t="s" s="2">
        <v>5701</v>
      </c>
      <c r="R3502" t="s" s="2">
        <f>_xlfn.IFERROR(INDEX('model_byCAP'!$D$2:$D$377,MATCH(Q3502,'model_byCAP'!$A$2:$A$377,0)),0)</f>
        <v>5702</v>
      </c>
    </row>
    <row r="3503" ht="15.35" customHeight="1">
      <c r="A3503" t="s" s="2">
        <v>6602</v>
      </c>
      <c r="B3503" s="4">
        <v>36048</v>
      </c>
      <c r="C3503" s="5">
        <v>600</v>
      </c>
      <c r="D3503" s="5">
        <v>44</v>
      </c>
      <c r="E3503" s="5">
        <v>45</v>
      </c>
      <c r="F3503" t="s" s="2">
        <v>301</v>
      </c>
      <c r="G3503" t="s" s="2">
        <v>5700</v>
      </c>
      <c r="H3503" s="5">
        <v>561</v>
      </c>
      <c r="I3503" t="s" s="2">
        <v>196</v>
      </c>
      <c r="J3503" t="s" s="2">
        <v>22</v>
      </c>
      <c r="K3503" t="s" s="2">
        <v>6585</v>
      </c>
      <c r="L3503" t="s" s="2">
        <v>6603</v>
      </c>
      <c r="M3503" s="5">
        <v>461991.99</v>
      </c>
      <c r="N3503" s="5">
        <v>6155800.82</v>
      </c>
      <c r="O3503" t="s" s="2">
        <v>25</v>
      </c>
      <c r="P3503" s="5">
        <v>61531</v>
      </c>
      <c r="Q3503" t="s" s="2">
        <v>5701</v>
      </c>
      <c r="R3503" t="s" s="2">
        <f>_xlfn.IFERROR(INDEX('model_byCAP'!$D$2:$D$377,MATCH(Q3503,'model_byCAP'!$A$2:$A$377,0)),0)</f>
        <v>5702</v>
      </c>
    </row>
    <row r="3504" ht="15.35" customHeight="1">
      <c r="A3504" t="s" s="2">
        <v>6604</v>
      </c>
      <c r="B3504" s="4">
        <v>36141</v>
      </c>
      <c r="C3504" s="5">
        <v>600</v>
      </c>
      <c r="D3504" s="5">
        <v>44</v>
      </c>
      <c r="E3504" s="5">
        <v>45</v>
      </c>
      <c r="F3504" t="s" s="2">
        <v>301</v>
      </c>
      <c r="G3504" t="s" s="2">
        <v>5700</v>
      </c>
      <c r="H3504" s="5">
        <v>561</v>
      </c>
      <c r="I3504" t="s" s="2">
        <v>196</v>
      </c>
      <c r="J3504" t="s" s="2">
        <v>22</v>
      </c>
      <c r="K3504" t="s" s="2">
        <v>6585</v>
      </c>
      <c r="L3504" t="s" s="2">
        <v>2872</v>
      </c>
      <c r="M3504" s="5">
        <v>462382.21</v>
      </c>
      <c r="N3504" s="5">
        <v>6155755.98</v>
      </c>
      <c r="O3504" t="s" s="2">
        <v>305</v>
      </c>
      <c r="P3504" s="5">
        <v>61773</v>
      </c>
      <c r="Q3504" t="s" s="2">
        <v>5701</v>
      </c>
      <c r="R3504" t="s" s="2">
        <f>_xlfn.IFERROR(INDEX('model_byCAP'!$D$2:$D$377,MATCH(Q3504,'model_byCAP'!$A$2:$A$377,0)),0)</f>
        <v>5702</v>
      </c>
    </row>
    <row r="3505" ht="15.35" customHeight="1">
      <c r="A3505" t="s" s="2">
        <v>6605</v>
      </c>
      <c r="B3505" s="4">
        <v>35419</v>
      </c>
      <c r="C3505" s="5">
        <v>600</v>
      </c>
      <c r="D3505" s="5">
        <v>0.1</v>
      </c>
      <c r="E3505" s="5">
        <v>0.1</v>
      </c>
      <c r="F3505" t="s" s="2">
        <v>42</v>
      </c>
      <c r="G3505" t="s" s="2">
        <v>42</v>
      </c>
      <c r="H3505" s="5">
        <v>561</v>
      </c>
      <c r="I3505" t="s" s="2">
        <v>196</v>
      </c>
      <c r="J3505" t="s" s="2">
        <v>22</v>
      </c>
      <c r="K3505" t="s" s="2">
        <v>6606</v>
      </c>
      <c r="L3505" t="s" s="2">
        <v>1119</v>
      </c>
      <c r="M3505" s="5">
        <v>470095.76</v>
      </c>
      <c r="N3505" s="5">
        <v>6146028.69</v>
      </c>
      <c r="O3505" t="s" s="2">
        <v>305</v>
      </c>
      <c r="P3505" s="5">
        <v>135659</v>
      </c>
      <c r="Q3505" t="s" s="2">
        <v>43</v>
      </c>
      <c r="R3505" s="5">
        <f>_xlfn.IFERROR(INDEX('model_byCAP'!$D$2:$D$377,MATCH(Q3505,'model_byCAP'!$A$2:$A$377,0)),0)</f>
        <v>0</v>
      </c>
    </row>
    <row r="3506" ht="15.35" customHeight="1">
      <c r="A3506" t="s" s="2">
        <v>6607</v>
      </c>
      <c r="B3506" s="4">
        <v>35419</v>
      </c>
      <c r="C3506" s="5">
        <v>600</v>
      </c>
      <c r="D3506" s="5">
        <v>0.1</v>
      </c>
      <c r="E3506" s="5">
        <v>44.5</v>
      </c>
      <c r="F3506" t="s" s="2">
        <v>6608</v>
      </c>
      <c r="G3506" t="s" s="2">
        <v>6609</v>
      </c>
      <c r="H3506" s="5">
        <v>561</v>
      </c>
      <c r="I3506" t="s" s="2">
        <v>196</v>
      </c>
      <c r="J3506" t="s" s="2">
        <v>22</v>
      </c>
      <c r="K3506" t="s" s="2">
        <v>6606</v>
      </c>
      <c r="L3506" t="s" s="2">
        <v>1119</v>
      </c>
      <c r="M3506" s="5">
        <v>469983.1</v>
      </c>
      <c r="N3506" s="5">
        <v>6146201.75</v>
      </c>
      <c r="O3506" t="s" s="2">
        <v>305</v>
      </c>
      <c r="P3506" s="5">
        <v>135658</v>
      </c>
      <c r="Q3506" t="s" s="2">
        <v>6610</v>
      </c>
      <c r="R3506" t="s" s="2">
        <f>_xlfn.IFERROR(INDEX('model_byCAP'!$D$2:$D$377,MATCH(Q3506,'model_byCAP'!$A$2:$A$377,0)),0)</f>
        <v>6611</v>
      </c>
    </row>
    <row r="3507" ht="15.35" customHeight="1">
      <c r="A3507" t="s" s="2">
        <v>6612</v>
      </c>
      <c r="B3507" s="4">
        <v>35419</v>
      </c>
      <c r="C3507" s="5">
        <v>600</v>
      </c>
      <c r="D3507" s="5">
        <v>43</v>
      </c>
      <c r="E3507" s="5">
        <v>44.5</v>
      </c>
      <c r="F3507" t="s" s="2">
        <v>6608</v>
      </c>
      <c r="G3507" t="s" s="2">
        <v>6609</v>
      </c>
      <c r="H3507" s="5">
        <v>561</v>
      </c>
      <c r="I3507" t="s" s="2">
        <v>196</v>
      </c>
      <c r="J3507" t="s" s="2">
        <v>22</v>
      </c>
      <c r="K3507" t="s" s="2">
        <v>6606</v>
      </c>
      <c r="L3507" t="s" s="2">
        <v>2809</v>
      </c>
      <c r="M3507" s="5">
        <v>469862.78</v>
      </c>
      <c r="N3507" s="5">
        <v>6146384.28</v>
      </c>
      <c r="O3507" t="s" s="2">
        <v>305</v>
      </c>
      <c r="P3507" s="5">
        <v>135657</v>
      </c>
      <c r="Q3507" t="s" s="2">
        <v>6610</v>
      </c>
      <c r="R3507" t="s" s="2">
        <f>_xlfn.IFERROR(INDEX('model_byCAP'!$D$2:$D$377,MATCH(Q3507,'model_byCAP'!$A$2:$A$377,0)),0)</f>
        <v>6611</v>
      </c>
    </row>
    <row r="3508" ht="15.35" customHeight="1">
      <c r="A3508" t="s" s="2">
        <v>6613</v>
      </c>
      <c r="B3508" s="4">
        <v>35419</v>
      </c>
      <c r="C3508" s="5">
        <v>600</v>
      </c>
      <c r="D3508" s="5">
        <v>0.1</v>
      </c>
      <c r="E3508" s="5">
        <v>0.1</v>
      </c>
      <c r="F3508" t="s" s="2">
        <v>42</v>
      </c>
      <c r="G3508" t="s" s="2">
        <v>42</v>
      </c>
      <c r="H3508" s="5">
        <v>561</v>
      </c>
      <c r="I3508" t="s" s="2">
        <v>196</v>
      </c>
      <c r="J3508" t="s" s="2">
        <v>22</v>
      </c>
      <c r="K3508" t="s" s="2">
        <v>6606</v>
      </c>
      <c r="L3508" t="s" s="2">
        <v>2809</v>
      </c>
      <c r="M3508" s="5">
        <v>469858.03</v>
      </c>
      <c r="N3508" s="5">
        <v>6146065.56</v>
      </c>
      <c r="O3508" t="s" s="2">
        <v>25</v>
      </c>
      <c r="P3508" s="5">
        <v>135656</v>
      </c>
      <c r="Q3508" t="s" s="2">
        <v>43</v>
      </c>
      <c r="R3508" s="5">
        <f>_xlfn.IFERROR(INDEX('model_byCAP'!$D$2:$D$377,MATCH(Q3508,'model_byCAP'!$A$2:$A$377,0)),0)</f>
        <v>0</v>
      </c>
    </row>
    <row r="3509" ht="15.35" customHeight="1">
      <c r="A3509" t="s" s="2">
        <v>6614</v>
      </c>
      <c r="B3509" s="4">
        <v>35419</v>
      </c>
      <c r="C3509" s="5">
        <v>600</v>
      </c>
      <c r="D3509" s="5">
        <v>0.1</v>
      </c>
      <c r="E3509" s="5">
        <v>0.1</v>
      </c>
      <c r="F3509" t="s" s="2">
        <v>42</v>
      </c>
      <c r="G3509" t="s" s="2">
        <v>42</v>
      </c>
      <c r="H3509" s="5">
        <v>561</v>
      </c>
      <c r="I3509" t="s" s="2">
        <v>196</v>
      </c>
      <c r="J3509" t="s" s="2">
        <v>22</v>
      </c>
      <c r="K3509" t="s" s="2">
        <v>6606</v>
      </c>
      <c r="L3509" t="s" s="2">
        <v>2809</v>
      </c>
      <c r="M3509" s="5">
        <v>469714.51</v>
      </c>
      <c r="N3509" s="5">
        <v>6146308.89</v>
      </c>
      <c r="O3509" t="s" s="2">
        <v>305</v>
      </c>
      <c r="P3509" s="5">
        <v>135655</v>
      </c>
      <c r="Q3509" t="s" s="2">
        <v>43</v>
      </c>
      <c r="R3509" s="5">
        <f>_xlfn.IFERROR(INDEX('model_byCAP'!$D$2:$D$377,MATCH(Q3509,'model_byCAP'!$A$2:$A$377,0)),0)</f>
        <v>0</v>
      </c>
    </row>
    <row r="3510" ht="15.35" customHeight="1">
      <c r="A3510" t="s" s="2">
        <v>6615</v>
      </c>
      <c r="B3510" s="4">
        <v>35198</v>
      </c>
      <c r="C3510" s="5">
        <v>600</v>
      </c>
      <c r="D3510" s="5">
        <v>44</v>
      </c>
      <c r="E3510" s="5">
        <v>45</v>
      </c>
      <c r="F3510" t="s" s="2">
        <v>301</v>
      </c>
      <c r="G3510" t="s" s="2">
        <v>5700</v>
      </c>
      <c r="H3510" s="5">
        <v>573</v>
      </c>
      <c r="I3510" t="s" s="2">
        <v>1041</v>
      </c>
      <c r="J3510" t="s" s="2">
        <v>22</v>
      </c>
      <c r="K3510" t="s" s="2">
        <v>6616</v>
      </c>
      <c r="L3510" t="s" s="2">
        <v>1105</v>
      </c>
      <c r="M3510" s="5">
        <v>480066.87</v>
      </c>
      <c r="N3510" s="5">
        <v>6171451.72</v>
      </c>
      <c r="O3510" t="s" s="2">
        <v>305</v>
      </c>
      <c r="P3510" s="5">
        <v>59731</v>
      </c>
      <c r="Q3510" t="s" s="2">
        <v>5701</v>
      </c>
      <c r="R3510" t="s" s="2">
        <f>_xlfn.IFERROR(INDEX('model_byCAP'!$D$2:$D$377,MATCH(Q3510,'model_byCAP'!$A$2:$A$377,0)),0)</f>
        <v>5702</v>
      </c>
    </row>
    <row r="3511" ht="15.35" customHeight="1">
      <c r="A3511" t="s" s="2">
        <v>6617</v>
      </c>
      <c r="B3511" s="4">
        <v>35363</v>
      </c>
      <c r="C3511" s="5">
        <v>600</v>
      </c>
      <c r="D3511" s="5">
        <v>44</v>
      </c>
      <c r="E3511" s="5">
        <v>39</v>
      </c>
      <c r="F3511" t="s" s="2">
        <v>301</v>
      </c>
      <c r="G3511" t="s" s="2">
        <v>5700</v>
      </c>
      <c r="H3511" s="5">
        <v>573</v>
      </c>
      <c r="I3511" t="s" s="2">
        <v>1041</v>
      </c>
      <c r="J3511" t="s" s="2">
        <v>22</v>
      </c>
      <c r="K3511" t="s" s="2">
        <v>6618</v>
      </c>
      <c r="L3511" t="s" s="2">
        <v>4237</v>
      </c>
      <c r="M3511" s="5">
        <v>462526.99</v>
      </c>
      <c r="N3511" s="5">
        <v>6165343.49</v>
      </c>
      <c r="O3511" t="s" s="2">
        <v>305</v>
      </c>
      <c r="P3511" s="5">
        <v>59800</v>
      </c>
      <c r="Q3511" t="s" s="2">
        <v>5701</v>
      </c>
      <c r="R3511" t="s" s="2">
        <f>_xlfn.IFERROR(INDEX('model_byCAP'!$D$2:$D$377,MATCH(Q3511,'model_byCAP'!$A$2:$A$377,0)),0)</f>
        <v>5702</v>
      </c>
    </row>
    <row r="3512" ht="15.35" customHeight="1">
      <c r="A3512" t="s" s="2">
        <v>6619</v>
      </c>
      <c r="B3512" s="4">
        <v>35363</v>
      </c>
      <c r="C3512" s="5">
        <v>600</v>
      </c>
      <c r="D3512" s="5">
        <v>44</v>
      </c>
      <c r="E3512" s="5">
        <v>39</v>
      </c>
      <c r="F3512" t="s" s="2">
        <v>301</v>
      </c>
      <c r="G3512" t="s" s="2">
        <v>5700</v>
      </c>
      <c r="H3512" s="5">
        <v>573</v>
      </c>
      <c r="I3512" t="s" s="2">
        <v>1041</v>
      </c>
      <c r="J3512" t="s" s="2">
        <v>22</v>
      </c>
      <c r="K3512" t="s" s="2">
        <v>6618</v>
      </c>
      <c r="L3512" t="s" s="2">
        <v>4237</v>
      </c>
      <c r="M3512" s="5">
        <v>462473.69</v>
      </c>
      <c r="N3512" s="5">
        <v>6165125.3</v>
      </c>
      <c r="O3512" t="s" s="2">
        <v>305</v>
      </c>
      <c r="P3512" s="5">
        <v>59801</v>
      </c>
      <c r="Q3512" t="s" s="2">
        <v>5701</v>
      </c>
      <c r="R3512" t="s" s="2">
        <f>_xlfn.IFERROR(INDEX('model_byCAP'!$D$2:$D$377,MATCH(Q3512,'model_byCAP'!$A$2:$A$377,0)),0)</f>
        <v>5702</v>
      </c>
    </row>
    <row r="3513" ht="15.35" customHeight="1">
      <c r="A3513" t="s" s="2">
        <v>6620</v>
      </c>
      <c r="B3513" s="4">
        <v>35551</v>
      </c>
      <c r="C3513" s="5">
        <v>600</v>
      </c>
      <c r="D3513" s="5">
        <v>44</v>
      </c>
      <c r="E3513" s="5">
        <v>46</v>
      </c>
      <c r="F3513" t="s" s="2">
        <v>301</v>
      </c>
      <c r="G3513" t="s" s="2">
        <v>5700</v>
      </c>
      <c r="H3513" s="5">
        <v>573</v>
      </c>
      <c r="I3513" t="s" s="2">
        <v>1041</v>
      </c>
      <c r="J3513" t="s" s="2">
        <v>22</v>
      </c>
      <c r="K3513" t="s" s="2">
        <v>6621</v>
      </c>
      <c r="L3513" s="5">
        <v>12</v>
      </c>
      <c r="M3513" s="5">
        <v>457298.36</v>
      </c>
      <c r="N3513" s="5">
        <v>6178109.14</v>
      </c>
      <c r="O3513" t="s" s="2">
        <v>305</v>
      </c>
      <c r="P3513" s="5">
        <v>60136</v>
      </c>
      <c r="Q3513" t="s" s="2">
        <v>5701</v>
      </c>
      <c r="R3513" t="s" s="2">
        <f>_xlfn.IFERROR(INDEX('model_byCAP'!$D$2:$D$377,MATCH(Q3513,'model_byCAP'!$A$2:$A$377,0)),0)</f>
        <v>5702</v>
      </c>
    </row>
    <row r="3514" ht="15.35" customHeight="1">
      <c r="A3514" t="s" s="2">
        <v>6622</v>
      </c>
      <c r="B3514" s="4">
        <v>35551</v>
      </c>
      <c r="C3514" s="5">
        <v>600</v>
      </c>
      <c r="D3514" s="5">
        <v>44</v>
      </c>
      <c r="E3514" s="5">
        <v>45</v>
      </c>
      <c r="F3514" t="s" s="2">
        <v>301</v>
      </c>
      <c r="G3514" t="s" s="2">
        <v>5700</v>
      </c>
      <c r="H3514" s="5">
        <v>573</v>
      </c>
      <c r="I3514" t="s" s="2">
        <v>1041</v>
      </c>
      <c r="J3514" t="s" s="2">
        <v>22</v>
      </c>
      <c r="K3514" t="s" s="2">
        <v>6621</v>
      </c>
      <c r="L3514" t="s" s="2">
        <v>492</v>
      </c>
      <c r="M3514" s="5">
        <v>457304</v>
      </c>
      <c r="N3514" s="5">
        <v>6177835.42</v>
      </c>
      <c r="O3514" t="s" s="2">
        <v>305</v>
      </c>
      <c r="P3514" s="5">
        <v>60137</v>
      </c>
      <c r="Q3514" t="s" s="2">
        <v>5701</v>
      </c>
      <c r="R3514" t="s" s="2">
        <f>_xlfn.IFERROR(INDEX('model_byCAP'!$D$2:$D$377,MATCH(Q3514,'model_byCAP'!$A$2:$A$377,0)),0)</f>
        <v>5702</v>
      </c>
    </row>
    <row r="3515" ht="15.35" customHeight="1">
      <c r="A3515" t="s" s="2">
        <v>6623</v>
      </c>
      <c r="B3515" s="4">
        <v>35551</v>
      </c>
      <c r="C3515" s="5">
        <v>600</v>
      </c>
      <c r="D3515" s="5">
        <v>44</v>
      </c>
      <c r="E3515" s="5">
        <v>45</v>
      </c>
      <c r="F3515" t="s" s="2">
        <v>301</v>
      </c>
      <c r="G3515" t="s" s="2">
        <v>5700</v>
      </c>
      <c r="H3515" s="5">
        <v>573</v>
      </c>
      <c r="I3515" t="s" s="2">
        <v>1041</v>
      </c>
      <c r="J3515" t="s" s="2">
        <v>22</v>
      </c>
      <c r="K3515" t="s" s="2">
        <v>6624</v>
      </c>
      <c r="L3515" t="s" s="2">
        <v>492</v>
      </c>
      <c r="M3515" s="5">
        <v>457028.33</v>
      </c>
      <c r="N3515" s="5">
        <v>6177805.29</v>
      </c>
      <c r="O3515" t="s" s="2">
        <v>305</v>
      </c>
      <c r="P3515" s="5">
        <v>60138</v>
      </c>
      <c r="Q3515" t="s" s="2">
        <v>5701</v>
      </c>
      <c r="R3515" t="s" s="2">
        <f>_xlfn.IFERROR(INDEX('model_byCAP'!$D$2:$D$377,MATCH(Q3515,'model_byCAP'!$A$2:$A$377,0)),0)</f>
        <v>5702</v>
      </c>
    </row>
    <row r="3516" ht="15.35" customHeight="1">
      <c r="A3516" t="s" s="2">
        <v>6625</v>
      </c>
      <c r="B3516" s="4">
        <v>35458</v>
      </c>
      <c r="C3516" s="5">
        <v>600</v>
      </c>
      <c r="D3516" s="5">
        <v>44</v>
      </c>
      <c r="E3516" s="5">
        <v>45</v>
      </c>
      <c r="F3516" t="s" s="2">
        <v>301</v>
      </c>
      <c r="G3516" t="s" s="2">
        <v>5700</v>
      </c>
      <c r="H3516" s="5">
        <v>573</v>
      </c>
      <c r="I3516" t="s" s="2">
        <v>1041</v>
      </c>
      <c r="J3516" t="s" s="2">
        <v>22</v>
      </c>
      <c r="K3516" t="s" s="2">
        <v>6626</v>
      </c>
      <c r="L3516" t="s" s="2">
        <v>2931</v>
      </c>
      <c r="M3516" s="5">
        <v>467088.51</v>
      </c>
      <c r="N3516" s="5">
        <v>6179601.29</v>
      </c>
      <c r="O3516" t="s" s="2">
        <v>305</v>
      </c>
      <c r="P3516" s="5">
        <v>60139</v>
      </c>
      <c r="Q3516" t="s" s="2">
        <v>5701</v>
      </c>
      <c r="R3516" t="s" s="2">
        <f>_xlfn.IFERROR(INDEX('model_byCAP'!$D$2:$D$377,MATCH(Q3516,'model_byCAP'!$A$2:$A$377,0)),0)</f>
        <v>5702</v>
      </c>
    </row>
    <row r="3517" ht="15.35" customHeight="1">
      <c r="A3517" t="s" s="2">
        <v>6627</v>
      </c>
      <c r="B3517" s="4">
        <v>35445</v>
      </c>
      <c r="C3517" s="5">
        <v>600</v>
      </c>
      <c r="D3517" s="5">
        <v>44</v>
      </c>
      <c r="E3517" s="5">
        <v>45</v>
      </c>
      <c r="F3517" t="s" s="2">
        <v>301</v>
      </c>
      <c r="G3517" t="s" s="2">
        <v>5700</v>
      </c>
      <c r="H3517" s="5">
        <v>573</v>
      </c>
      <c r="I3517" t="s" s="2">
        <v>1041</v>
      </c>
      <c r="J3517" t="s" s="2">
        <v>22</v>
      </c>
      <c r="K3517" t="s" s="2">
        <v>6626</v>
      </c>
      <c r="L3517" t="s" s="2">
        <v>2931</v>
      </c>
      <c r="M3517" s="5">
        <v>466934.54</v>
      </c>
      <c r="N3517" s="5">
        <v>6179316.22</v>
      </c>
      <c r="O3517" t="s" s="2">
        <v>305</v>
      </c>
      <c r="P3517" s="5">
        <v>60140</v>
      </c>
      <c r="Q3517" t="s" s="2">
        <v>5701</v>
      </c>
      <c r="R3517" t="s" s="2">
        <f>_xlfn.IFERROR(INDEX('model_byCAP'!$D$2:$D$377,MATCH(Q3517,'model_byCAP'!$A$2:$A$377,0)),0)</f>
        <v>5702</v>
      </c>
    </row>
    <row r="3518" ht="15.35" customHeight="1">
      <c r="A3518" t="s" s="2">
        <v>6628</v>
      </c>
      <c r="B3518" s="4">
        <v>35439</v>
      </c>
      <c r="C3518" s="5">
        <v>600</v>
      </c>
      <c r="D3518" s="5">
        <v>44</v>
      </c>
      <c r="E3518" s="5">
        <v>45</v>
      </c>
      <c r="F3518" t="s" s="2">
        <v>301</v>
      </c>
      <c r="G3518" t="s" s="2">
        <v>5700</v>
      </c>
      <c r="H3518" s="5">
        <v>573</v>
      </c>
      <c r="I3518" t="s" s="2">
        <v>1041</v>
      </c>
      <c r="J3518" t="s" s="2">
        <v>22</v>
      </c>
      <c r="K3518" t="s" s="2">
        <v>6626</v>
      </c>
      <c r="L3518" t="s" s="2">
        <v>481</v>
      </c>
      <c r="M3518" s="5">
        <v>466718.04</v>
      </c>
      <c r="N3518" s="5">
        <v>6179575.79</v>
      </c>
      <c r="O3518" t="s" s="2">
        <v>305</v>
      </c>
      <c r="P3518" s="5">
        <v>60141</v>
      </c>
      <c r="Q3518" t="s" s="2">
        <v>5701</v>
      </c>
      <c r="R3518" t="s" s="2">
        <f>_xlfn.IFERROR(INDEX('model_byCAP'!$D$2:$D$377,MATCH(Q3518,'model_byCAP'!$A$2:$A$377,0)),0)</f>
        <v>5702</v>
      </c>
    </row>
    <row r="3519" ht="15.35" customHeight="1">
      <c r="A3519" t="s" s="2">
        <v>6629</v>
      </c>
      <c r="B3519" s="4">
        <v>35439</v>
      </c>
      <c r="C3519" s="5">
        <v>600</v>
      </c>
      <c r="D3519" s="5">
        <v>44</v>
      </c>
      <c r="E3519" s="5">
        <v>45</v>
      </c>
      <c r="F3519" t="s" s="2">
        <v>301</v>
      </c>
      <c r="G3519" t="s" s="2">
        <v>5700</v>
      </c>
      <c r="H3519" s="5">
        <v>573</v>
      </c>
      <c r="I3519" t="s" s="2">
        <v>1041</v>
      </c>
      <c r="J3519" t="s" s="2">
        <v>22</v>
      </c>
      <c r="K3519" t="s" s="2">
        <v>6626</v>
      </c>
      <c r="L3519" t="s" s="2">
        <v>481</v>
      </c>
      <c r="M3519" s="5">
        <v>466547.93</v>
      </c>
      <c r="N3519" s="5">
        <v>6179297.12</v>
      </c>
      <c r="O3519" t="s" s="2">
        <v>305</v>
      </c>
      <c r="P3519" s="5">
        <v>60142</v>
      </c>
      <c r="Q3519" t="s" s="2">
        <v>5701</v>
      </c>
      <c r="R3519" t="s" s="2">
        <f>_xlfn.IFERROR(INDEX('model_byCAP'!$D$2:$D$377,MATCH(Q3519,'model_byCAP'!$A$2:$A$377,0)),0)</f>
        <v>5702</v>
      </c>
    </row>
    <row r="3520" ht="15.35" customHeight="1">
      <c r="A3520" t="s" s="2">
        <v>6630</v>
      </c>
      <c r="B3520" s="4">
        <v>35419</v>
      </c>
      <c r="C3520" s="5">
        <v>600</v>
      </c>
      <c r="D3520" s="5">
        <v>44</v>
      </c>
      <c r="E3520" s="5">
        <v>45</v>
      </c>
      <c r="F3520" t="s" s="2">
        <v>301</v>
      </c>
      <c r="G3520" t="s" s="2">
        <v>5700</v>
      </c>
      <c r="H3520" s="5">
        <v>573</v>
      </c>
      <c r="I3520" t="s" s="2">
        <v>1041</v>
      </c>
      <c r="J3520" t="s" s="2">
        <v>22</v>
      </c>
      <c r="K3520" t="s" s="2">
        <v>6631</v>
      </c>
      <c r="L3520" t="s" s="2">
        <v>3623</v>
      </c>
      <c r="M3520" s="5">
        <v>466273.22</v>
      </c>
      <c r="N3520" s="5">
        <v>6179544.32</v>
      </c>
      <c r="O3520" t="s" s="2">
        <v>305</v>
      </c>
      <c r="P3520" s="5">
        <v>60143</v>
      </c>
      <c r="Q3520" t="s" s="2">
        <v>5701</v>
      </c>
      <c r="R3520" t="s" s="2">
        <f>_xlfn.IFERROR(INDEX('model_byCAP'!$D$2:$D$377,MATCH(Q3520,'model_byCAP'!$A$2:$A$377,0)),0)</f>
        <v>5702</v>
      </c>
    </row>
    <row r="3521" ht="15.35" customHeight="1">
      <c r="A3521" t="s" s="2">
        <v>6632</v>
      </c>
      <c r="B3521" s="4">
        <v>35607</v>
      </c>
      <c r="C3521" s="5">
        <v>600</v>
      </c>
      <c r="D3521" s="5">
        <v>44</v>
      </c>
      <c r="E3521" s="5">
        <v>45</v>
      </c>
      <c r="F3521" t="s" s="2">
        <v>301</v>
      </c>
      <c r="G3521" t="s" s="2">
        <v>5700</v>
      </c>
      <c r="H3521" s="5">
        <v>573</v>
      </c>
      <c r="I3521" t="s" s="2">
        <v>1041</v>
      </c>
      <c r="J3521" t="s" s="2">
        <v>22</v>
      </c>
      <c r="K3521" t="s" s="2">
        <v>6633</v>
      </c>
      <c r="L3521" s="5">
        <v>190</v>
      </c>
      <c r="M3521" s="5">
        <v>456748.63</v>
      </c>
      <c r="N3521" s="5">
        <v>6183671.24</v>
      </c>
      <c r="O3521" t="s" s="2">
        <v>305</v>
      </c>
      <c r="P3521" s="5">
        <v>60144</v>
      </c>
      <c r="Q3521" t="s" s="2">
        <v>5701</v>
      </c>
      <c r="R3521" t="s" s="2">
        <f>_xlfn.IFERROR(INDEX('model_byCAP'!$D$2:$D$377,MATCH(Q3521,'model_byCAP'!$A$2:$A$377,0)),0)</f>
        <v>5702</v>
      </c>
    </row>
    <row r="3522" ht="15.35" customHeight="1">
      <c r="A3522" t="s" s="2">
        <v>6634</v>
      </c>
      <c r="B3522" s="4">
        <v>35607</v>
      </c>
      <c r="C3522" s="5">
        <v>600</v>
      </c>
      <c r="D3522" s="5">
        <v>44</v>
      </c>
      <c r="E3522" s="5">
        <v>45</v>
      </c>
      <c r="F3522" t="s" s="2">
        <v>301</v>
      </c>
      <c r="G3522" t="s" s="2">
        <v>5700</v>
      </c>
      <c r="H3522" s="5">
        <v>573</v>
      </c>
      <c r="I3522" t="s" s="2">
        <v>1041</v>
      </c>
      <c r="J3522" t="s" s="2">
        <v>22</v>
      </c>
      <c r="K3522" t="s" s="2">
        <v>6633</v>
      </c>
      <c r="L3522" t="s" s="2">
        <v>6635</v>
      </c>
      <c r="M3522" s="5">
        <v>457078.43</v>
      </c>
      <c r="N3522" s="5">
        <v>6183787.85</v>
      </c>
      <c r="O3522" t="s" s="2">
        <v>305</v>
      </c>
      <c r="P3522" s="5">
        <v>60145</v>
      </c>
      <c r="Q3522" t="s" s="2">
        <v>5701</v>
      </c>
      <c r="R3522" t="s" s="2">
        <f>_xlfn.IFERROR(INDEX('model_byCAP'!$D$2:$D$377,MATCH(Q3522,'model_byCAP'!$A$2:$A$377,0)),0)</f>
        <v>5702</v>
      </c>
    </row>
    <row r="3523" ht="15.35" customHeight="1">
      <c r="A3523" t="s" s="2">
        <v>6636</v>
      </c>
      <c r="B3523" s="4">
        <v>35930</v>
      </c>
      <c r="C3523" s="5">
        <v>600</v>
      </c>
      <c r="D3523" s="5">
        <v>44</v>
      </c>
      <c r="E3523" s="5">
        <v>45</v>
      </c>
      <c r="F3523" t="s" s="2">
        <v>301</v>
      </c>
      <c r="G3523" t="s" s="2">
        <v>5700</v>
      </c>
      <c r="H3523" s="5">
        <v>573</v>
      </c>
      <c r="I3523" t="s" s="2">
        <v>1041</v>
      </c>
      <c r="J3523" t="s" s="2">
        <v>22</v>
      </c>
      <c r="K3523" t="s" s="2">
        <v>6637</v>
      </c>
      <c r="L3523" t="s" s="2">
        <v>500</v>
      </c>
      <c r="M3523" s="5">
        <v>459553.17</v>
      </c>
      <c r="N3523" s="5">
        <v>6177932.2</v>
      </c>
      <c r="O3523" t="s" s="2">
        <v>305</v>
      </c>
      <c r="P3523" s="5">
        <v>61127</v>
      </c>
      <c r="Q3523" t="s" s="2">
        <v>5701</v>
      </c>
      <c r="R3523" t="s" s="2">
        <f>_xlfn.IFERROR(INDEX('model_byCAP'!$D$2:$D$377,MATCH(Q3523,'model_byCAP'!$A$2:$A$377,0)),0)</f>
        <v>5702</v>
      </c>
    </row>
    <row r="3524" ht="15.35" customHeight="1">
      <c r="A3524" t="s" s="2">
        <v>6638</v>
      </c>
      <c r="B3524" s="4">
        <v>35930</v>
      </c>
      <c r="C3524" s="5">
        <v>600</v>
      </c>
      <c r="D3524" s="5">
        <v>44</v>
      </c>
      <c r="E3524" s="5">
        <v>45</v>
      </c>
      <c r="F3524" t="s" s="2">
        <v>301</v>
      </c>
      <c r="G3524" t="s" s="2">
        <v>5700</v>
      </c>
      <c r="H3524" s="5">
        <v>573</v>
      </c>
      <c r="I3524" t="s" s="2">
        <v>1041</v>
      </c>
      <c r="J3524" t="s" s="2">
        <v>22</v>
      </c>
      <c r="K3524" t="s" s="2">
        <v>6637</v>
      </c>
      <c r="L3524" t="s" s="2">
        <v>518</v>
      </c>
      <c r="M3524" s="5">
        <v>459784.75</v>
      </c>
      <c r="N3524" s="5">
        <v>6177606.48</v>
      </c>
      <c r="O3524" t="s" s="2">
        <v>25</v>
      </c>
      <c r="P3524" s="5">
        <v>61128</v>
      </c>
      <c r="Q3524" t="s" s="2">
        <v>5701</v>
      </c>
      <c r="R3524" t="s" s="2">
        <f>_xlfn.IFERROR(INDEX('model_byCAP'!$D$2:$D$377,MATCH(Q3524,'model_byCAP'!$A$2:$A$377,0)),0)</f>
        <v>5702</v>
      </c>
    </row>
    <row r="3525" ht="15.35" customHeight="1">
      <c r="A3525" t="s" s="2">
        <v>6639</v>
      </c>
      <c r="B3525" s="4">
        <v>35881</v>
      </c>
      <c r="C3525" s="5">
        <v>600</v>
      </c>
      <c r="D3525" s="5">
        <v>44</v>
      </c>
      <c r="E3525" s="5">
        <v>45</v>
      </c>
      <c r="F3525" t="s" s="2">
        <v>301</v>
      </c>
      <c r="G3525" t="s" s="2">
        <v>5700</v>
      </c>
      <c r="H3525" s="5">
        <v>573</v>
      </c>
      <c r="I3525" t="s" s="2">
        <v>1041</v>
      </c>
      <c r="J3525" t="s" s="2">
        <v>22</v>
      </c>
      <c r="K3525" t="s" s="2">
        <v>6640</v>
      </c>
      <c r="L3525" t="s" s="2">
        <v>6641</v>
      </c>
      <c r="M3525" s="5">
        <v>473892.87</v>
      </c>
      <c r="N3525" s="5">
        <v>6161939.56</v>
      </c>
      <c r="O3525" t="s" s="2">
        <v>25</v>
      </c>
      <c r="P3525" s="5">
        <v>61265</v>
      </c>
      <c r="Q3525" t="s" s="2">
        <v>5701</v>
      </c>
      <c r="R3525" t="s" s="2">
        <f>_xlfn.IFERROR(INDEX('model_byCAP'!$D$2:$D$377,MATCH(Q3525,'model_byCAP'!$A$2:$A$377,0)),0)</f>
        <v>5702</v>
      </c>
    </row>
    <row r="3526" ht="15.35" customHeight="1">
      <c r="A3526" t="s" s="2">
        <v>6642</v>
      </c>
      <c r="B3526" s="4">
        <v>35977</v>
      </c>
      <c r="C3526" s="5">
        <v>600</v>
      </c>
      <c r="D3526" s="5">
        <v>43</v>
      </c>
      <c r="E3526" s="5">
        <v>44.5</v>
      </c>
      <c r="F3526" t="s" s="2">
        <v>42</v>
      </c>
      <c r="G3526" t="s" s="2">
        <v>42</v>
      </c>
      <c r="H3526" s="5">
        <v>573</v>
      </c>
      <c r="I3526" t="s" s="2">
        <v>1041</v>
      </c>
      <c r="J3526" t="s" s="2">
        <v>22</v>
      </c>
      <c r="K3526" t="s" s="2">
        <v>6643</v>
      </c>
      <c r="L3526" t="s" s="2">
        <v>582</v>
      </c>
      <c r="M3526" s="5">
        <v>488850.58</v>
      </c>
      <c r="N3526" s="5">
        <v>6165372.89</v>
      </c>
      <c r="O3526" t="s" s="2">
        <v>305</v>
      </c>
      <c r="P3526" s="5">
        <v>61528</v>
      </c>
      <c r="Q3526" t="s" s="2">
        <v>43</v>
      </c>
      <c r="R3526" s="5">
        <f>_xlfn.IFERROR(INDEX('model_byCAP'!$D$2:$D$377,MATCH(Q3526,'model_byCAP'!$A$2:$A$377,0)),0)</f>
        <v>0</v>
      </c>
    </row>
    <row r="3527" ht="15.35" customHeight="1">
      <c r="A3527" t="s" s="2">
        <v>6644</v>
      </c>
      <c r="B3527" s="4">
        <v>36061</v>
      </c>
      <c r="C3527" s="5">
        <v>600</v>
      </c>
      <c r="D3527" s="5">
        <v>44</v>
      </c>
      <c r="E3527" s="5">
        <v>45</v>
      </c>
      <c r="F3527" t="s" s="2">
        <v>301</v>
      </c>
      <c r="G3527" t="s" s="2">
        <v>5700</v>
      </c>
      <c r="H3527" s="5">
        <v>573</v>
      </c>
      <c r="I3527" t="s" s="2">
        <v>1041</v>
      </c>
      <c r="J3527" t="s" s="2">
        <v>22</v>
      </c>
      <c r="K3527" t="s" s="2">
        <v>6645</v>
      </c>
      <c r="L3527" t="s" s="2">
        <v>2931</v>
      </c>
      <c r="M3527" s="5">
        <v>461457.07</v>
      </c>
      <c r="N3527" s="5">
        <v>6182082.38</v>
      </c>
      <c r="O3527" t="s" s="2">
        <v>305</v>
      </c>
      <c r="P3527" s="5">
        <v>61532</v>
      </c>
      <c r="Q3527" t="s" s="2">
        <v>5701</v>
      </c>
      <c r="R3527" t="s" s="2">
        <f>_xlfn.IFERROR(INDEX('model_byCAP'!$D$2:$D$377,MATCH(Q3527,'model_byCAP'!$A$2:$A$377,0)),0)</f>
        <v>5702</v>
      </c>
    </row>
    <row r="3528" ht="15.35" customHeight="1">
      <c r="A3528" t="s" s="2">
        <v>6646</v>
      </c>
      <c r="B3528" s="4">
        <v>36146</v>
      </c>
      <c r="C3528" s="5">
        <v>600</v>
      </c>
      <c r="D3528" s="5">
        <v>43</v>
      </c>
      <c r="E3528" s="5">
        <v>44.5</v>
      </c>
      <c r="F3528" t="s" s="2">
        <v>42</v>
      </c>
      <c r="G3528" t="s" s="2">
        <v>42</v>
      </c>
      <c r="H3528" s="5">
        <v>573</v>
      </c>
      <c r="I3528" t="s" s="2">
        <v>1041</v>
      </c>
      <c r="J3528" t="s" s="2">
        <v>22</v>
      </c>
      <c r="K3528" t="s" s="2">
        <v>6647</v>
      </c>
      <c r="L3528" t="s" s="2">
        <v>2078</v>
      </c>
      <c r="M3528" s="5">
        <v>488929.03</v>
      </c>
      <c r="N3528" s="5">
        <v>6165076.04</v>
      </c>
      <c r="O3528" t="s" s="2">
        <v>305</v>
      </c>
      <c r="P3528" s="5">
        <v>61721</v>
      </c>
      <c r="Q3528" t="s" s="2">
        <v>43</v>
      </c>
      <c r="R3528" s="5">
        <f>_xlfn.IFERROR(INDEX('model_byCAP'!$D$2:$D$377,MATCH(Q3528,'model_byCAP'!$A$2:$A$377,0)),0)</f>
        <v>0</v>
      </c>
    </row>
    <row r="3529" ht="15.35" customHeight="1">
      <c r="A3529" t="s" s="2">
        <v>6648</v>
      </c>
      <c r="B3529" s="4">
        <v>35476</v>
      </c>
      <c r="C3529" s="5">
        <v>600</v>
      </c>
      <c r="D3529" s="5">
        <v>48</v>
      </c>
      <c r="E3529" s="5">
        <v>46.4</v>
      </c>
      <c r="F3529" t="s" s="2">
        <v>1746</v>
      </c>
      <c r="G3529" t="s" s="2">
        <v>6649</v>
      </c>
      <c r="H3529" s="5">
        <v>575</v>
      </c>
      <c r="I3529" t="s" s="2">
        <v>2952</v>
      </c>
      <c r="J3529" t="s" s="2">
        <v>22</v>
      </c>
      <c r="K3529" t="s" s="2">
        <v>6650</v>
      </c>
      <c r="L3529" t="s" s="2">
        <v>518</v>
      </c>
      <c r="M3529" s="5">
        <v>513257.74</v>
      </c>
      <c r="N3529" s="5">
        <v>6156898.89</v>
      </c>
      <c r="O3529" t="s" s="2">
        <v>305</v>
      </c>
      <c r="P3529" s="5">
        <v>200800</v>
      </c>
      <c r="Q3529" t="s" s="2">
        <v>6651</v>
      </c>
      <c r="R3529" t="s" s="2">
        <f>_xlfn.IFERROR(INDEX('model_byCAP'!$D$2:$D$377,MATCH(Q3529,'model_byCAP'!$A$2:$A$377,0)),0)</f>
        <v>4042</v>
      </c>
    </row>
    <row r="3530" ht="15.35" customHeight="1">
      <c r="A3530" t="s" s="2">
        <v>6652</v>
      </c>
      <c r="B3530" s="4">
        <v>35477</v>
      </c>
      <c r="C3530" s="5">
        <v>600</v>
      </c>
      <c r="D3530" s="5">
        <v>48</v>
      </c>
      <c r="E3530" s="5">
        <v>46.4</v>
      </c>
      <c r="F3530" t="s" s="2">
        <v>1746</v>
      </c>
      <c r="G3530" t="s" s="2">
        <v>6649</v>
      </c>
      <c r="H3530" s="5">
        <v>575</v>
      </c>
      <c r="I3530" t="s" s="2">
        <v>2952</v>
      </c>
      <c r="J3530" t="s" s="2">
        <v>22</v>
      </c>
      <c r="K3530" t="s" s="2">
        <v>6650</v>
      </c>
      <c r="L3530" t="s" s="2">
        <v>6653</v>
      </c>
      <c r="M3530" s="5">
        <v>513076.09</v>
      </c>
      <c r="N3530" s="5">
        <v>6156996.56</v>
      </c>
      <c r="O3530" t="s" s="2">
        <v>305</v>
      </c>
      <c r="P3530" s="5">
        <v>200806</v>
      </c>
      <c r="Q3530" t="s" s="2">
        <v>6651</v>
      </c>
      <c r="R3530" t="s" s="2">
        <f>_xlfn.IFERROR(INDEX('model_byCAP'!$D$2:$D$377,MATCH(Q3530,'model_byCAP'!$A$2:$A$377,0)),0)</f>
        <v>4042</v>
      </c>
    </row>
    <row r="3531" ht="15.35" customHeight="1">
      <c r="A3531" t="s" s="2">
        <v>6654</v>
      </c>
      <c r="B3531" s="4">
        <v>35476</v>
      </c>
      <c r="C3531" s="5">
        <v>600</v>
      </c>
      <c r="D3531" s="5">
        <v>48</v>
      </c>
      <c r="E3531" s="5">
        <v>46</v>
      </c>
      <c r="F3531" t="s" s="2">
        <v>1746</v>
      </c>
      <c r="G3531" t="s" s="2">
        <v>4302</v>
      </c>
      <c r="H3531" s="5">
        <v>575</v>
      </c>
      <c r="I3531" t="s" s="2">
        <v>2952</v>
      </c>
      <c r="J3531" t="s" s="2">
        <v>22</v>
      </c>
      <c r="K3531" t="s" s="2">
        <v>6650</v>
      </c>
      <c r="L3531" t="s" s="2">
        <v>6655</v>
      </c>
      <c r="M3531" s="5">
        <v>512895.32</v>
      </c>
      <c r="N3531" s="5">
        <v>6157095.35</v>
      </c>
      <c r="O3531" t="s" s="2">
        <v>305</v>
      </c>
      <c r="P3531" s="5">
        <v>2200807</v>
      </c>
      <c r="Q3531" t="s" s="2">
        <v>4304</v>
      </c>
      <c r="R3531" t="s" s="2">
        <f>_xlfn.IFERROR(INDEX('model_byCAP'!$D$2:$D$377,MATCH(Q3531,'model_byCAP'!$A$2:$A$377,0)),0)</f>
        <v>2955</v>
      </c>
    </row>
    <row r="3532" ht="15.35" customHeight="1">
      <c r="A3532" t="s" s="2">
        <v>6656</v>
      </c>
      <c r="B3532" s="4">
        <v>35620</v>
      </c>
      <c r="C3532" s="5">
        <v>600</v>
      </c>
      <c r="D3532" s="5">
        <v>48</v>
      </c>
      <c r="E3532" s="5">
        <v>46</v>
      </c>
      <c r="F3532" t="s" s="2">
        <v>1746</v>
      </c>
      <c r="G3532" t="s" s="2">
        <v>4302</v>
      </c>
      <c r="H3532" s="5">
        <v>575</v>
      </c>
      <c r="I3532" t="s" s="2">
        <v>2952</v>
      </c>
      <c r="J3532" t="s" s="2">
        <v>22</v>
      </c>
      <c r="K3532" t="s" s="2">
        <v>6657</v>
      </c>
      <c r="L3532" t="s" s="2">
        <v>481</v>
      </c>
      <c r="M3532" s="5">
        <v>512056.75</v>
      </c>
      <c r="N3532" s="5">
        <v>6151558.37</v>
      </c>
      <c r="O3532" t="s" s="2">
        <v>305</v>
      </c>
      <c r="P3532" s="5">
        <v>2201104</v>
      </c>
      <c r="Q3532" t="s" s="2">
        <v>4304</v>
      </c>
      <c r="R3532" t="s" s="2">
        <f>_xlfn.IFERROR(INDEX('model_byCAP'!$D$2:$D$377,MATCH(Q3532,'model_byCAP'!$A$2:$A$377,0)),0)</f>
        <v>2955</v>
      </c>
    </row>
    <row r="3533" ht="15.35" customHeight="1">
      <c r="A3533" t="s" s="2">
        <v>6658</v>
      </c>
      <c r="B3533" s="4">
        <v>35698</v>
      </c>
      <c r="C3533" s="5">
        <v>600</v>
      </c>
      <c r="D3533" s="5">
        <v>44</v>
      </c>
      <c r="E3533" s="5">
        <v>55</v>
      </c>
      <c r="F3533" t="s" s="2">
        <v>301</v>
      </c>
      <c r="G3533" t="s" s="2">
        <v>5700</v>
      </c>
      <c r="H3533" s="5">
        <v>575</v>
      </c>
      <c r="I3533" t="s" s="2">
        <v>2952</v>
      </c>
      <c r="J3533" t="s" s="2">
        <v>22</v>
      </c>
      <c r="K3533" t="s" s="2">
        <v>4534</v>
      </c>
      <c r="L3533" t="s" s="2">
        <v>6659</v>
      </c>
      <c r="M3533" s="5">
        <v>513210.24</v>
      </c>
      <c r="N3533" s="5">
        <v>6148778.59</v>
      </c>
      <c r="O3533" t="s" s="2">
        <v>305</v>
      </c>
      <c r="P3533" s="5">
        <v>201485</v>
      </c>
      <c r="Q3533" t="s" s="2">
        <v>5701</v>
      </c>
      <c r="R3533" t="s" s="2">
        <f>_xlfn.IFERROR(INDEX('model_byCAP'!$D$2:$D$377,MATCH(Q3533,'model_byCAP'!$A$2:$A$377,0)),0)</f>
        <v>5702</v>
      </c>
    </row>
    <row r="3534" ht="15.35" customHeight="1">
      <c r="A3534" t="s" s="2">
        <v>6660</v>
      </c>
      <c r="B3534" s="4">
        <v>35723</v>
      </c>
      <c r="C3534" s="5">
        <v>600</v>
      </c>
      <c r="D3534" s="5">
        <v>48</v>
      </c>
      <c r="E3534" s="5">
        <v>46.4</v>
      </c>
      <c r="F3534" t="s" s="2">
        <v>1746</v>
      </c>
      <c r="G3534" t="s" s="2">
        <v>6649</v>
      </c>
      <c r="H3534" s="5">
        <v>575</v>
      </c>
      <c r="I3534" t="s" s="2">
        <v>2952</v>
      </c>
      <c r="J3534" t="s" s="2">
        <v>22</v>
      </c>
      <c r="K3534" t="s" s="2">
        <v>6661</v>
      </c>
      <c r="L3534" t="s" s="2">
        <v>2931</v>
      </c>
      <c r="M3534" s="5">
        <v>512192.14</v>
      </c>
      <c r="N3534" s="5">
        <v>6154048.18</v>
      </c>
      <c r="O3534" t="s" s="2">
        <v>305</v>
      </c>
      <c r="P3534" s="5">
        <v>201531</v>
      </c>
      <c r="Q3534" t="s" s="2">
        <v>6651</v>
      </c>
      <c r="R3534" t="s" s="2">
        <f>_xlfn.IFERROR(INDEX('model_byCAP'!$D$2:$D$377,MATCH(Q3534,'model_byCAP'!$A$2:$A$377,0)),0)</f>
        <v>4042</v>
      </c>
    </row>
    <row r="3535" ht="15.35" customHeight="1">
      <c r="A3535" t="s" s="2">
        <v>6662</v>
      </c>
      <c r="B3535" s="4">
        <v>35723</v>
      </c>
      <c r="C3535" s="5">
        <v>600</v>
      </c>
      <c r="D3535" s="5">
        <v>48</v>
      </c>
      <c r="E3535" s="5">
        <v>48</v>
      </c>
      <c r="F3535" t="s" s="2">
        <v>1746</v>
      </c>
      <c r="G3535" t="s" s="2">
        <v>4302</v>
      </c>
      <c r="H3535" s="5">
        <v>575</v>
      </c>
      <c r="I3535" t="s" s="2">
        <v>2952</v>
      </c>
      <c r="J3535" t="s" s="2">
        <v>22</v>
      </c>
      <c r="K3535" t="s" s="2">
        <v>6661</v>
      </c>
      <c r="L3535" t="s" s="2">
        <v>6663</v>
      </c>
      <c r="M3535" s="5">
        <v>512807.35</v>
      </c>
      <c r="N3535" s="5">
        <v>6152198.23</v>
      </c>
      <c r="O3535" t="s" s="2">
        <v>305</v>
      </c>
      <c r="P3535" s="5">
        <v>2201532</v>
      </c>
      <c r="Q3535" t="s" s="2">
        <v>4304</v>
      </c>
      <c r="R3535" t="s" s="2">
        <f>_xlfn.IFERROR(INDEX('model_byCAP'!$D$2:$D$377,MATCH(Q3535,'model_byCAP'!$A$2:$A$377,0)),0)</f>
        <v>2955</v>
      </c>
    </row>
    <row r="3536" ht="15.35" customHeight="1">
      <c r="A3536" t="s" s="2">
        <v>6664</v>
      </c>
      <c r="B3536" s="4">
        <v>35984</v>
      </c>
      <c r="C3536" s="5">
        <v>600</v>
      </c>
      <c r="D3536" s="5">
        <v>48</v>
      </c>
      <c r="E3536" s="5">
        <v>46</v>
      </c>
      <c r="F3536" t="s" s="2">
        <v>1746</v>
      </c>
      <c r="G3536" t="s" s="2">
        <v>6665</v>
      </c>
      <c r="H3536" s="5">
        <v>575</v>
      </c>
      <c r="I3536" t="s" s="2">
        <v>2952</v>
      </c>
      <c r="J3536" t="s" s="2">
        <v>22</v>
      </c>
      <c r="K3536" t="s" s="2">
        <v>6666</v>
      </c>
      <c r="L3536" t="s" s="2">
        <v>6667</v>
      </c>
      <c r="M3536" s="5">
        <v>509972.76</v>
      </c>
      <c r="N3536" s="5">
        <v>6162033.65</v>
      </c>
      <c r="O3536" t="s" s="2">
        <v>305</v>
      </c>
      <c r="P3536" s="5">
        <v>2202090</v>
      </c>
      <c r="Q3536" t="s" s="2">
        <v>6668</v>
      </c>
      <c r="R3536" t="s" s="2">
        <f>_xlfn.IFERROR(INDEX('model_byCAP'!$D$2:$D$377,MATCH(Q3536,'model_byCAP'!$A$2:$A$377,0)),0)</f>
        <v>4042</v>
      </c>
    </row>
    <row r="3537" ht="15.35" customHeight="1">
      <c r="A3537" t="s" s="2">
        <v>6669</v>
      </c>
      <c r="B3537" s="4">
        <v>35984</v>
      </c>
      <c r="C3537" s="5">
        <v>600</v>
      </c>
      <c r="D3537" s="5">
        <v>48</v>
      </c>
      <c r="E3537" s="5">
        <v>46</v>
      </c>
      <c r="F3537" t="s" s="2">
        <v>1746</v>
      </c>
      <c r="G3537" t="s" s="2">
        <v>6665</v>
      </c>
      <c r="H3537" s="5">
        <v>575</v>
      </c>
      <c r="I3537" t="s" s="2">
        <v>2952</v>
      </c>
      <c r="J3537" t="s" s="2">
        <v>22</v>
      </c>
      <c r="K3537" t="s" s="2">
        <v>6666</v>
      </c>
      <c r="L3537" t="s" s="2">
        <v>6667</v>
      </c>
      <c r="M3537" s="5">
        <v>509934.43</v>
      </c>
      <c r="N3537" s="5">
        <v>6161733.68</v>
      </c>
      <c r="O3537" t="s" s="2">
        <v>305</v>
      </c>
      <c r="P3537" s="5">
        <v>2202090</v>
      </c>
      <c r="Q3537" t="s" s="2">
        <v>6668</v>
      </c>
      <c r="R3537" t="s" s="2">
        <f>_xlfn.IFERROR(INDEX('model_byCAP'!$D$2:$D$377,MATCH(Q3537,'model_byCAP'!$A$2:$A$377,0)),0)</f>
        <v>4042</v>
      </c>
    </row>
    <row r="3538" ht="15.35" customHeight="1">
      <c r="A3538" t="s" s="2">
        <v>6670</v>
      </c>
      <c r="B3538" s="4">
        <v>35237</v>
      </c>
      <c r="C3538" s="5">
        <v>600</v>
      </c>
      <c r="D3538" s="5">
        <v>44</v>
      </c>
      <c r="E3538" s="5">
        <v>45</v>
      </c>
      <c r="F3538" t="s" s="2">
        <v>1989</v>
      </c>
      <c r="G3538" t="s" s="2">
        <v>6671</v>
      </c>
      <c r="H3538" s="5">
        <v>575</v>
      </c>
      <c r="I3538" t="s" s="2">
        <v>2952</v>
      </c>
      <c r="J3538" t="s" s="2">
        <v>22</v>
      </c>
      <c r="K3538" t="s" s="2">
        <v>6672</v>
      </c>
      <c r="L3538" t="s" s="2">
        <v>474</v>
      </c>
      <c r="M3538" s="5">
        <v>495200.26</v>
      </c>
      <c r="N3538" s="5">
        <v>6147930.46</v>
      </c>
      <c r="O3538" t="s" s="2">
        <v>25</v>
      </c>
      <c r="P3538" s="5">
        <v>59909</v>
      </c>
      <c r="Q3538" t="s" s="2">
        <v>6673</v>
      </c>
      <c r="R3538" t="s" s="2">
        <f>_xlfn.IFERROR(INDEX('model_byCAP'!$D$2:$D$377,MATCH(Q3538,'model_byCAP'!$A$2:$A$377,0)),0)</f>
        <v>5955</v>
      </c>
    </row>
    <row r="3539" ht="15.35" customHeight="1">
      <c r="A3539" t="s" s="2">
        <v>6674</v>
      </c>
      <c r="B3539" s="4">
        <v>35748</v>
      </c>
      <c r="C3539" s="5">
        <v>600</v>
      </c>
      <c r="D3539" s="5">
        <v>43</v>
      </c>
      <c r="E3539" s="5">
        <v>44.5</v>
      </c>
      <c r="F3539" t="s" s="2">
        <v>42</v>
      </c>
      <c r="G3539" t="s" s="2">
        <v>42</v>
      </c>
      <c r="H3539" s="5">
        <v>575</v>
      </c>
      <c r="I3539" t="s" s="2">
        <v>2952</v>
      </c>
      <c r="J3539" t="s" s="2">
        <v>22</v>
      </c>
      <c r="K3539" t="s" s="2">
        <v>6675</v>
      </c>
      <c r="L3539" t="s" s="2">
        <v>2078</v>
      </c>
      <c r="M3539" s="5">
        <v>494273.93</v>
      </c>
      <c r="N3539" s="5">
        <v>6155564.79</v>
      </c>
      <c r="O3539" t="s" s="2">
        <v>305</v>
      </c>
      <c r="P3539" s="5">
        <v>60902</v>
      </c>
      <c r="Q3539" t="s" s="2">
        <v>43</v>
      </c>
      <c r="R3539" s="5">
        <f>_xlfn.IFERROR(INDEX('model_byCAP'!$D$2:$D$377,MATCH(Q3539,'model_byCAP'!$A$2:$A$377,0)),0)</f>
        <v>0</v>
      </c>
    </row>
    <row r="3540" ht="15.35" customHeight="1">
      <c r="A3540" t="s" s="2">
        <v>6676</v>
      </c>
      <c r="B3540" s="4">
        <v>35752</v>
      </c>
      <c r="C3540" s="5">
        <v>600</v>
      </c>
      <c r="D3540" s="5">
        <v>43</v>
      </c>
      <c r="E3540" s="5">
        <v>44</v>
      </c>
      <c r="F3540" t="s" s="2">
        <v>42</v>
      </c>
      <c r="G3540" t="s" s="2">
        <v>42</v>
      </c>
      <c r="H3540" s="5">
        <v>575</v>
      </c>
      <c r="I3540" t="s" s="2">
        <v>2952</v>
      </c>
      <c r="J3540" t="s" s="2">
        <v>22</v>
      </c>
      <c r="K3540" t="s" s="2">
        <v>6677</v>
      </c>
      <c r="L3540" t="s" s="2">
        <v>1184</v>
      </c>
      <c r="M3540" s="5">
        <v>490960.41</v>
      </c>
      <c r="N3540" s="5">
        <v>6143553.52</v>
      </c>
      <c r="O3540" t="s" s="2">
        <v>305</v>
      </c>
      <c r="P3540" s="5">
        <v>60903</v>
      </c>
      <c r="Q3540" t="s" s="2">
        <v>43</v>
      </c>
      <c r="R3540" s="5">
        <f>_xlfn.IFERROR(INDEX('model_byCAP'!$D$2:$D$377,MATCH(Q3540,'model_byCAP'!$A$2:$A$377,0)),0)</f>
        <v>0</v>
      </c>
    </row>
    <row r="3541" ht="15.35" customHeight="1">
      <c r="A3541" t="s" s="2">
        <v>6678</v>
      </c>
      <c r="B3541" s="4">
        <v>35865</v>
      </c>
      <c r="C3541" s="5">
        <v>600</v>
      </c>
      <c r="D3541" s="5">
        <v>43</v>
      </c>
      <c r="E3541" s="5">
        <v>44.5</v>
      </c>
      <c r="F3541" t="s" s="2">
        <v>42</v>
      </c>
      <c r="G3541" t="s" s="2">
        <v>42</v>
      </c>
      <c r="H3541" s="5">
        <v>575</v>
      </c>
      <c r="I3541" t="s" s="2">
        <v>2952</v>
      </c>
      <c r="J3541" t="s" s="2">
        <v>22</v>
      </c>
      <c r="K3541" t="s" s="2">
        <v>6675</v>
      </c>
      <c r="L3541" t="s" s="2">
        <v>2078</v>
      </c>
      <c r="M3541" s="5">
        <v>494286.79</v>
      </c>
      <c r="N3541" s="5">
        <v>6155352.56</v>
      </c>
      <c r="O3541" t="s" s="2">
        <v>305</v>
      </c>
      <c r="P3541" s="5">
        <v>61313</v>
      </c>
      <c r="Q3541" t="s" s="2">
        <v>43</v>
      </c>
      <c r="R3541" s="5">
        <f>_xlfn.IFERROR(INDEX('model_byCAP'!$D$2:$D$377,MATCH(Q3541,'model_byCAP'!$A$2:$A$377,0)),0)</f>
        <v>0</v>
      </c>
    </row>
    <row r="3542" ht="15.35" customHeight="1">
      <c r="A3542" t="s" s="2">
        <v>6679</v>
      </c>
      <c r="B3542" s="4">
        <v>36150</v>
      </c>
      <c r="C3542" s="5">
        <v>600</v>
      </c>
      <c r="D3542" s="5">
        <v>45</v>
      </c>
      <c r="E3542" s="5">
        <v>45</v>
      </c>
      <c r="F3542" t="s" s="2">
        <v>4038</v>
      </c>
      <c r="G3542" t="s" s="2">
        <v>6415</v>
      </c>
      <c r="H3542" s="5">
        <v>575</v>
      </c>
      <c r="I3542" t="s" s="2">
        <v>2952</v>
      </c>
      <c r="J3542" t="s" s="2">
        <v>22</v>
      </c>
      <c r="K3542" t="s" s="2">
        <v>6677</v>
      </c>
      <c r="L3542" t="s" s="2">
        <v>431</v>
      </c>
      <c r="M3542" s="5">
        <v>490794.35</v>
      </c>
      <c r="N3542" s="5">
        <v>6143670.17</v>
      </c>
      <c r="O3542" t="s" s="2">
        <v>25</v>
      </c>
      <c r="P3542" s="5">
        <v>61811</v>
      </c>
      <c r="Q3542" t="s" s="2">
        <v>6416</v>
      </c>
      <c r="R3542" t="s" s="2">
        <f>_xlfn.IFERROR(INDEX('model_byCAP'!$D$2:$D$377,MATCH(Q3542,'model_byCAP'!$A$2:$A$377,0)),0)</f>
        <v>6417</v>
      </c>
    </row>
    <row r="3543" ht="15.35" customHeight="1">
      <c r="A3543" t="s" s="2">
        <v>6680</v>
      </c>
      <c r="B3543" s="4">
        <v>36675</v>
      </c>
      <c r="C3543" s="5">
        <v>600</v>
      </c>
      <c r="D3543" s="5">
        <v>45</v>
      </c>
      <c r="E3543" s="5">
        <v>45</v>
      </c>
      <c r="F3543" t="s" s="2">
        <v>4038</v>
      </c>
      <c r="G3543" t="s" s="2">
        <v>6415</v>
      </c>
      <c r="H3543" s="5">
        <v>575</v>
      </c>
      <c r="I3543" t="s" s="2">
        <v>2952</v>
      </c>
      <c r="J3543" t="s" s="2">
        <v>22</v>
      </c>
      <c r="K3543" t="s" s="2">
        <v>6681</v>
      </c>
      <c r="L3543" t="s" s="2">
        <v>431</v>
      </c>
      <c r="M3543" s="5">
        <v>491129.21</v>
      </c>
      <c r="N3543" s="5">
        <v>6143433.58</v>
      </c>
      <c r="O3543" t="s" s="2">
        <v>305</v>
      </c>
      <c r="P3543" s="5">
        <v>62245</v>
      </c>
      <c r="Q3543" t="s" s="2">
        <v>6416</v>
      </c>
      <c r="R3543" t="s" s="2">
        <f>_xlfn.IFERROR(INDEX('model_byCAP'!$D$2:$D$377,MATCH(Q3543,'model_byCAP'!$A$2:$A$377,0)),0)</f>
        <v>6417</v>
      </c>
    </row>
    <row r="3544" ht="15.35" customHeight="1">
      <c r="A3544" t="s" s="2">
        <v>6682</v>
      </c>
      <c r="B3544" s="4">
        <v>36290</v>
      </c>
      <c r="C3544" s="5">
        <v>600</v>
      </c>
      <c r="D3544" s="5">
        <v>44</v>
      </c>
      <c r="E3544" s="5">
        <v>45</v>
      </c>
      <c r="F3544" t="s" s="2">
        <v>1989</v>
      </c>
      <c r="G3544" t="s" s="2">
        <v>6085</v>
      </c>
      <c r="H3544" s="5">
        <v>575</v>
      </c>
      <c r="I3544" t="s" s="2">
        <v>2952</v>
      </c>
      <c r="J3544" t="s" s="2">
        <v>22</v>
      </c>
      <c r="K3544" t="s" s="2">
        <v>3814</v>
      </c>
      <c r="L3544" s="5">
        <v>20</v>
      </c>
      <c r="M3544" s="5">
        <v>497746.69</v>
      </c>
      <c r="N3544" s="5">
        <v>6132028.56</v>
      </c>
      <c r="O3544" t="s" s="2">
        <v>305</v>
      </c>
      <c r="P3544" s="5">
        <v>90538</v>
      </c>
      <c r="Q3544" t="s" s="2">
        <v>6087</v>
      </c>
      <c r="R3544" t="s" s="2">
        <f>_xlfn.IFERROR(INDEX('model_byCAP'!$D$2:$D$377,MATCH(Q3544,'model_byCAP'!$A$2:$A$377,0)),0)</f>
        <v>5955</v>
      </c>
    </row>
    <row r="3545" ht="15.35" customHeight="1">
      <c r="A3545" t="s" s="2">
        <v>6683</v>
      </c>
      <c r="B3545" s="4">
        <v>35359</v>
      </c>
      <c r="C3545" s="5">
        <v>600</v>
      </c>
      <c r="D3545" s="5">
        <v>44</v>
      </c>
      <c r="E3545" s="5">
        <v>46</v>
      </c>
      <c r="F3545" t="s" s="2">
        <v>1989</v>
      </c>
      <c r="G3545" t="s" s="2">
        <v>6053</v>
      </c>
      <c r="H3545" s="5">
        <v>580</v>
      </c>
      <c r="I3545" t="s" s="2">
        <v>1542</v>
      </c>
      <c r="J3545" t="s" s="2">
        <v>22</v>
      </c>
      <c r="K3545" t="s" s="2">
        <v>5566</v>
      </c>
      <c r="L3545" s="5">
        <v>236</v>
      </c>
      <c r="M3545" s="5">
        <v>510674.37</v>
      </c>
      <c r="N3545" s="5">
        <v>6100973.18</v>
      </c>
      <c r="O3545" t="s" s="2">
        <v>305</v>
      </c>
      <c r="P3545" s="5">
        <v>22806</v>
      </c>
      <c r="Q3545" t="s" s="2">
        <v>6054</v>
      </c>
      <c r="R3545" t="s" s="2">
        <f>_xlfn.IFERROR(INDEX('model_byCAP'!$D$2:$D$377,MATCH(Q3545,'model_byCAP'!$A$2:$A$377,0)),0)</f>
        <v>3178</v>
      </c>
    </row>
    <row r="3546" ht="15.35" customHeight="1">
      <c r="A3546" t="s" s="2">
        <v>6684</v>
      </c>
      <c r="B3546" s="4">
        <v>36264</v>
      </c>
      <c r="C3546" s="5">
        <v>600</v>
      </c>
      <c r="D3546" s="5">
        <v>42</v>
      </c>
      <c r="E3546" s="5">
        <v>45.5</v>
      </c>
      <c r="F3546" t="s" s="2">
        <v>4716</v>
      </c>
      <c r="G3546" t="s" s="2">
        <v>6523</v>
      </c>
      <c r="H3546" s="5">
        <v>580</v>
      </c>
      <c r="I3546" t="s" s="2">
        <v>1542</v>
      </c>
      <c r="J3546" t="s" s="2">
        <v>22</v>
      </c>
      <c r="K3546" t="s" s="2">
        <v>4553</v>
      </c>
      <c r="L3546" s="5">
        <v>40</v>
      </c>
      <c r="M3546" s="5">
        <v>513452.5</v>
      </c>
      <c r="N3546" s="5">
        <v>6105175.28</v>
      </c>
      <c r="O3546" t="s" s="2">
        <v>305</v>
      </c>
      <c r="P3546" t="s" s="2">
        <v>6685</v>
      </c>
      <c r="Q3546" t="s" s="2">
        <v>6525</v>
      </c>
      <c r="R3546" t="s" s="2">
        <f>_xlfn.IFERROR(INDEX('model_byCAP'!$D$2:$D$377,MATCH(Q3546,'model_byCAP'!$A$2:$A$377,0)),0)</f>
        <v>6270</v>
      </c>
    </row>
    <row r="3547" ht="15.35" customHeight="1">
      <c r="A3547" t="s" s="2">
        <v>6686</v>
      </c>
      <c r="B3547" s="4">
        <v>36210</v>
      </c>
      <c r="C3547" s="5">
        <v>600</v>
      </c>
      <c r="D3547" s="5">
        <v>48</v>
      </c>
      <c r="E3547" s="5">
        <v>46</v>
      </c>
      <c r="F3547" t="s" s="2">
        <v>1746</v>
      </c>
      <c r="G3547" t="s" s="2">
        <v>6665</v>
      </c>
      <c r="H3547" s="5">
        <v>580</v>
      </c>
      <c r="I3547" t="s" s="2">
        <v>1542</v>
      </c>
      <c r="J3547" t="s" s="2">
        <v>22</v>
      </c>
      <c r="K3547" t="s" s="2">
        <v>6687</v>
      </c>
      <c r="L3547" s="5">
        <v>104</v>
      </c>
      <c r="M3547" s="5">
        <v>525742.48</v>
      </c>
      <c r="N3547" s="5">
        <v>6084692.59</v>
      </c>
      <c r="O3547" t="s" s="2">
        <v>305</v>
      </c>
      <c r="P3547" s="5">
        <v>200111</v>
      </c>
      <c r="Q3547" t="s" s="2">
        <v>6668</v>
      </c>
      <c r="R3547" t="s" s="2">
        <f>_xlfn.IFERROR(INDEX('model_byCAP'!$D$2:$D$377,MATCH(Q3547,'model_byCAP'!$A$2:$A$377,0)),0)</f>
        <v>4042</v>
      </c>
    </row>
    <row r="3548" ht="15.35" customHeight="1">
      <c r="A3548" t="s" s="2">
        <v>6688</v>
      </c>
      <c r="B3548" s="4">
        <v>36210</v>
      </c>
      <c r="C3548" s="5">
        <v>600</v>
      </c>
      <c r="D3548" s="5">
        <v>48</v>
      </c>
      <c r="E3548" s="5">
        <v>46</v>
      </c>
      <c r="F3548" t="s" s="2">
        <v>1746</v>
      </c>
      <c r="G3548" t="s" s="2">
        <v>6665</v>
      </c>
      <c r="H3548" s="5">
        <v>580</v>
      </c>
      <c r="I3548" t="s" s="2">
        <v>1542</v>
      </c>
      <c r="J3548" t="s" s="2">
        <v>22</v>
      </c>
      <c r="K3548" t="s" s="2">
        <v>6689</v>
      </c>
      <c r="L3548" s="5">
        <v>103</v>
      </c>
      <c r="M3548" s="5">
        <v>525374.04</v>
      </c>
      <c r="N3548" s="5">
        <v>6084512.24</v>
      </c>
      <c r="O3548" t="s" s="2">
        <v>305</v>
      </c>
      <c r="P3548" s="5">
        <v>200205</v>
      </c>
      <c r="Q3548" t="s" s="2">
        <v>6668</v>
      </c>
      <c r="R3548" t="s" s="2">
        <f>_xlfn.IFERROR(INDEX('model_byCAP'!$D$2:$D$377,MATCH(Q3548,'model_byCAP'!$A$2:$A$377,0)),0)</f>
        <v>4042</v>
      </c>
    </row>
    <row r="3549" ht="15.35" customHeight="1">
      <c r="A3549" t="s" s="2">
        <v>6690</v>
      </c>
      <c r="B3549" s="4">
        <v>36306</v>
      </c>
      <c r="C3549" s="5">
        <v>600</v>
      </c>
      <c r="D3549" s="5">
        <v>48</v>
      </c>
      <c r="E3549" s="5">
        <v>46</v>
      </c>
      <c r="F3549" t="s" s="2">
        <v>1746</v>
      </c>
      <c r="G3549" t="s" s="2">
        <v>6665</v>
      </c>
      <c r="H3549" s="5">
        <v>580</v>
      </c>
      <c r="I3549" t="s" s="2">
        <v>1542</v>
      </c>
      <c r="J3549" t="s" s="2">
        <v>22</v>
      </c>
      <c r="K3549" t="s" s="2">
        <v>6689</v>
      </c>
      <c r="L3549" s="5">
        <v>37</v>
      </c>
      <c r="M3549" s="5">
        <v>525611.3100000001</v>
      </c>
      <c r="N3549" s="5">
        <v>6084489.21</v>
      </c>
      <c r="O3549" t="s" s="2">
        <v>305</v>
      </c>
      <c r="P3549" s="5">
        <v>200205</v>
      </c>
      <c r="Q3549" t="s" s="2">
        <v>6668</v>
      </c>
      <c r="R3549" t="s" s="2">
        <f>_xlfn.IFERROR(INDEX('model_byCAP'!$D$2:$D$377,MATCH(Q3549,'model_byCAP'!$A$2:$A$377,0)),0)</f>
        <v>4042</v>
      </c>
    </row>
    <row r="3550" ht="15.35" customHeight="1">
      <c r="A3550" t="s" s="2">
        <v>6691</v>
      </c>
      <c r="B3550" s="4">
        <v>36552</v>
      </c>
      <c r="C3550" s="5">
        <v>600</v>
      </c>
      <c r="D3550" s="5">
        <v>48</v>
      </c>
      <c r="E3550" s="5">
        <v>46</v>
      </c>
      <c r="F3550" t="s" s="2">
        <v>1746</v>
      </c>
      <c r="G3550" t="s" s="2">
        <v>6665</v>
      </c>
      <c r="H3550" s="5">
        <v>580</v>
      </c>
      <c r="I3550" t="s" s="2">
        <v>1542</v>
      </c>
      <c r="J3550" t="s" s="2">
        <v>22</v>
      </c>
      <c r="K3550" t="s" s="2">
        <v>6689</v>
      </c>
      <c r="L3550" s="5">
        <v>37</v>
      </c>
      <c r="M3550" s="5">
        <v>525501.54</v>
      </c>
      <c r="N3550" s="5">
        <v>6084714.48</v>
      </c>
      <c r="O3550" t="s" s="2">
        <v>305</v>
      </c>
      <c r="P3550" s="5">
        <v>200205</v>
      </c>
      <c r="Q3550" t="s" s="2">
        <v>6668</v>
      </c>
      <c r="R3550" t="s" s="2">
        <f>_xlfn.IFERROR(INDEX('model_byCAP'!$D$2:$D$377,MATCH(Q3550,'model_byCAP'!$A$2:$A$377,0)),0)</f>
        <v>4042</v>
      </c>
    </row>
    <row r="3551" ht="15.35" customHeight="1">
      <c r="A3551" t="s" s="2">
        <v>6692</v>
      </c>
      <c r="B3551" s="4">
        <v>35402</v>
      </c>
      <c r="C3551" s="5">
        <v>600</v>
      </c>
      <c r="D3551" s="5">
        <v>44</v>
      </c>
      <c r="E3551" s="5">
        <v>40</v>
      </c>
      <c r="F3551" t="s" s="2">
        <v>301</v>
      </c>
      <c r="G3551" t="s" s="2">
        <v>5700</v>
      </c>
      <c r="H3551" s="5">
        <v>580</v>
      </c>
      <c r="I3551" t="s" s="2">
        <v>1542</v>
      </c>
      <c r="J3551" t="s" s="2">
        <v>22</v>
      </c>
      <c r="K3551" t="s" s="2">
        <v>6693</v>
      </c>
      <c r="L3551" s="5">
        <v>300</v>
      </c>
      <c r="M3551" s="5">
        <v>512751.91</v>
      </c>
      <c r="N3551" s="5">
        <v>6093526.89</v>
      </c>
      <c r="O3551" t="s" s="2">
        <v>305</v>
      </c>
      <c r="P3551" s="8">
        <v>200213</v>
      </c>
      <c r="Q3551" t="s" s="2">
        <v>5701</v>
      </c>
      <c r="R3551" t="s" s="2">
        <f>_xlfn.IFERROR(INDEX('model_byCAP'!$D$2:$D$377,MATCH(Q3551,'model_byCAP'!$A$2:$A$377,0)),0)</f>
        <v>5702</v>
      </c>
    </row>
    <row r="3552" ht="15.35" customHeight="1">
      <c r="A3552" t="s" s="2">
        <v>6694</v>
      </c>
      <c r="B3552" s="4">
        <v>35347</v>
      </c>
      <c r="C3552" s="5">
        <v>600</v>
      </c>
      <c r="D3552" s="5">
        <v>44</v>
      </c>
      <c r="E3552" s="5">
        <v>40</v>
      </c>
      <c r="F3552" t="s" s="2">
        <v>301</v>
      </c>
      <c r="G3552" t="s" s="2">
        <v>5700</v>
      </c>
      <c r="H3552" s="5">
        <v>580</v>
      </c>
      <c r="I3552" t="s" s="2">
        <v>1542</v>
      </c>
      <c r="J3552" t="s" s="2">
        <v>22</v>
      </c>
      <c r="K3552" t="s" s="2">
        <v>6695</v>
      </c>
      <c r="L3552" s="5">
        <v>85</v>
      </c>
      <c r="M3552" s="5">
        <v>513952.92</v>
      </c>
      <c r="N3552" s="5">
        <v>6096663.25</v>
      </c>
      <c r="O3552" t="s" s="2">
        <v>305</v>
      </c>
      <c r="P3552" s="5">
        <v>200214</v>
      </c>
      <c r="Q3552" t="s" s="2">
        <v>5701</v>
      </c>
      <c r="R3552" t="s" s="2">
        <f>_xlfn.IFERROR(INDEX('model_byCAP'!$D$2:$D$377,MATCH(Q3552,'model_byCAP'!$A$2:$A$377,0)),0)</f>
        <v>5702</v>
      </c>
    </row>
    <row r="3553" ht="15.35" customHeight="1">
      <c r="A3553" t="s" s="2">
        <v>6696</v>
      </c>
      <c r="B3553" s="4">
        <v>34933</v>
      </c>
      <c r="C3553" s="5">
        <v>600</v>
      </c>
      <c r="D3553" s="5">
        <v>48</v>
      </c>
      <c r="E3553" s="5">
        <v>46</v>
      </c>
      <c r="F3553" t="s" s="2">
        <v>1746</v>
      </c>
      <c r="G3553" t="s" s="2">
        <v>6665</v>
      </c>
      <c r="H3553" s="5">
        <v>580</v>
      </c>
      <c r="I3553" t="s" s="2">
        <v>1542</v>
      </c>
      <c r="J3553" t="s" s="2">
        <v>22</v>
      </c>
      <c r="K3553" t="s" s="2">
        <v>5571</v>
      </c>
      <c r="L3553" s="5">
        <v>10</v>
      </c>
      <c r="M3553" s="5">
        <v>533938.38</v>
      </c>
      <c r="N3553" s="5">
        <v>6083446.73</v>
      </c>
      <c r="O3553" t="s" s="2">
        <v>305</v>
      </c>
      <c r="P3553" s="5">
        <v>200216</v>
      </c>
      <c r="Q3553" t="s" s="2">
        <v>6668</v>
      </c>
      <c r="R3553" t="s" s="2">
        <f>_xlfn.IFERROR(INDEX('model_byCAP'!$D$2:$D$377,MATCH(Q3553,'model_byCAP'!$A$2:$A$377,0)),0)</f>
        <v>4042</v>
      </c>
    </row>
    <row r="3554" ht="15.35" customHeight="1">
      <c r="A3554" t="s" s="2">
        <v>6697</v>
      </c>
      <c r="B3554" s="4">
        <v>35765</v>
      </c>
      <c r="C3554" s="5">
        <v>600</v>
      </c>
      <c r="D3554" s="5">
        <v>48</v>
      </c>
      <c r="E3554" s="5">
        <v>46</v>
      </c>
      <c r="F3554" t="s" s="2">
        <v>1746</v>
      </c>
      <c r="G3554" t="s" s="2">
        <v>4302</v>
      </c>
      <c r="H3554" s="5">
        <v>607</v>
      </c>
      <c r="I3554" t="s" s="2">
        <v>4566</v>
      </c>
      <c r="J3554" t="s" s="2">
        <v>22</v>
      </c>
      <c r="K3554" t="s" s="2">
        <v>6698</v>
      </c>
      <c r="L3554" t="s" s="2">
        <v>1608</v>
      </c>
      <c r="M3554" s="5">
        <v>543711.6899999999</v>
      </c>
      <c r="N3554" s="5">
        <v>6160344.9</v>
      </c>
      <c r="O3554" t="s" s="2">
        <v>305</v>
      </c>
      <c r="P3554" s="8">
        <v>136344</v>
      </c>
      <c r="Q3554" t="s" s="2">
        <v>4304</v>
      </c>
      <c r="R3554" t="s" s="2">
        <f>_xlfn.IFERROR(INDEX('model_byCAP'!$D$2:$D$377,MATCH(Q3554,'model_byCAP'!$A$2:$A$377,0)),0)</f>
        <v>2955</v>
      </c>
    </row>
    <row r="3555" ht="15.35" customHeight="1">
      <c r="A3555" t="s" s="2">
        <v>6699</v>
      </c>
      <c r="B3555" s="4">
        <v>35765</v>
      </c>
      <c r="C3555" s="5">
        <v>600</v>
      </c>
      <c r="D3555" s="5">
        <v>48</v>
      </c>
      <c r="E3555" s="5">
        <v>46</v>
      </c>
      <c r="F3555" t="s" s="2">
        <v>1746</v>
      </c>
      <c r="G3555" t="s" s="2">
        <v>4302</v>
      </c>
      <c r="H3555" s="5">
        <v>607</v>
      </c>
      <c r="I3555" t="s" s="2">
        <v>4566</v>
      </c>
      <c r="J3555" t="s" s="2">
        <v>22</v>
      </c>
      <c r="K3555" t="s" s="2">
        <v>6698</v>
      </c>
      <c r="L3555" t="s" s="2">
        <v>1260</v>
      </c>
      <c r="M3555" s="5">
        <v>543415.99</v>
      </c>
      <c r="N3555" s="5">
        <v>6160289.37</v>
      </c>
      <c r="O3555" t="s" s="2">
        <v>305</v>
      </c>
      <c r="P3555" s="8">
        <v>136344</v>
      </c>
      <c r="Q3555" t="s" s="2">
        <v>4304</v>
      </c>
      <c r="R3555" t="s" s="2">
        <f>_xlfn.IFERROR(INDEX('model_byCAP'!$D$2:$D$377,MATCH(Q3555,'model_byCAP'!$A$2:$A$377,0)),0)</f>
        <v>2955</v>
      </c>
    </row>
    <row r="3556" ht="15.35" customHeight="1">
      <c r="A3556" t="s" s="2">
        <v>6700</v>
      </c>
      <c r="B3556" s="4">
        <v>36130</v>
      </c>
      <c r="C3556" s="5">
        <v>600</v>
      </c>
      <c r="D3556" s="5">
        <v>44</v>
      </c>
      <c r="E3556" s="5">
        <v>40</v>
      </c>
      <c r="F3556" t="s" s="2">
        <v>1989</v>
      </c>
      <c r="G3556" t="s" s="2">
        <v>6701</v>
      </c>
      <c r="H3556" s="5">
        <v>615</v>
      </c>
      <c r="I3556" t="s" s="2">
        <v>3590</v>
      </c>
      <c r="J3556" t="s" s="2">
        <v>22</v>
      </c>
      <c r="K3556" t="s" s="2">
        <v>6702</v>
      </c>
      <c r="L3556" t="s" s="2">
        <v>1626</v>
      </c>
      <c r="M3556" s="5">
        <v>547336.45</v>
      </c>
      <c r="N3556" s="5">
        <v>6188707.58</v>
      </c>
      <c r="O3556" t="s" s="2">
        <v>305</v>
      </c>
      <c r="P3556" s="5">
        <v>300201</v>
      </c>
      <c r="Q3556" t="s" s="2">
        <v>6703</v>
      </c>
      <c r="R3556" t="s" s="2">
        <f>_xlfn.IFERROR(INDEX('model_byCAP'!$D$2:$D$377,MATCH(Q3556,'model_byCAP'!$A$2:$A$377,0)),0)</f>
        <v>5955</v>
      </c>
    </row>
    <row r="3557" ht="15.35" customHeight="1">
      <c r="A3557" t="s" s="2">
        <v>6704</v>
      </c>
      <c r="B3557" s="4">
        <v>35737</v>
      </c>
      <c r="C3557" s="5">
        <v>600</v>
      </c>
      <c r="D3557" s="5">
        <v>48</v>
      </c>
      <c r="E3557" s="5">
        <v>46</v>
      </c>
      <c r="F3557" t="s" s="2">
        <v>3604</v>
      </c>
      <c r="G3557" t="s" s="2">
        <v>6048</v>
      </c>
      <c r="H3557" s="5">
        <v>621</v>
      </c>
      <c r="I3557" t="s" s="2">
        <v>2921</v>
      </c>
      <c r="J3557" t="s" s="2">
        <v>22</v>
      </c>
      <c r="K3557" t="s" s="2">
        <v>6705</v>
      </c>
      <c r="L3557" s="5">
        <v>67</v>
      </c>
      <c r="M3557" s="5">
        <v>531121.37</v>
      </c>
      <c r="N3557" s="5">
        <v>6130798.86</v>
      </c>
      <c r="O3557" t="s" s="2">
        <v>305</v>
      </c>
      <c r="P3557" s="5">
        <v>200253</v>
      </c>
      <c r="Q3557" t="s" s="2">
        <v>6050</v>
      </c>
      <c r="R3557" t="s" s="2">
        <f>_xlfn.IFERROR(INDEX('model_byCAP'!$D$2:$D$377,MATCH(Q3557,'model_byCAP'!$A$2:$A$377,0)),0)</f>
        <v>2955</v>
      </c>
    </row>
    <row r="3558" ht="15.35" customHeight="1">
      <c r="A3558" t="s" s="2">
        <v>6706</v>
      </c>
      <c r="B3558" s="4">
        <v>35737</v>
      </c>
      <c r="C3558" s="5">
        <v>600</v>
      </c>
      <c r="D3558" s="5">
        <v>48</v>
      </c>
      <c r="E3558" s="5">
        <v>46</v>
      </c>
      <c r="F3558" t="s" s="2">
        <v>3604</v>
      </c>
      <c r="G3558" t="s" s="2">
        <v>6048</v>
      </c>
      <c r="H3558" s="5">
        <v>621</v>
      </c>
      <c r="I3558" t="s" s="2">
        <v>2921</v>
      </c>
      <c r="J3558" t="s" s="2">
        <v>22</v>
      </c>
      <c r="K3558" t="s" s="2">
        <v>6707</v>
      </c>
      <c r="L3558" s="5">
        <v>1</v>
      </c>
      <c r="M3558" s="5">
        <v>531650.0699999999</v>
      </c>
      <c r="N3558" s="5">
        <v>6131195.94</v>
      </c>
      <c r="O3558" t="s" s="2">
        <v>305</v>
      </c>
      <c r="P3558" s="5">
        <v>200254</v>
      </c>
      <c r="Q3558" t="s" s="2">
        <v>6050</v>
      </c>
      <c r="R3558" t="s" s="2">
        <f>_xlfn.IFERROR(INDEX('model_byCAP'!$D$2:$D$377,MATCH(Q3558,'model_byCAP'!$A$2:$A$377,0)),0)</f>
        <v>2955</v>
      </c>
    </row>
    <row r="3559" ht="15.35" customHeight="1">
      <c r="A3559" t="s" s="2">
        <v>6708</v>
      </c>
      <c r="B3559" s="4">
        <v>35730</v>
      </c>
      <c r="C3559" s="5">
        <v>600</v>
      </c>
      <c r="D3559" s="5">
        <v>44</v>
      </c>
      <c r="E3559" s="5">
        <v>40.5</v>
      </c>
      <c r="F3559" t="s" s="2">
        <v>301</v>
      </c>
      <c r="G3559" t="s" s="2">
        <v>5700</v>
      </c>
      <c r="H3559" s="5">
        <v>630</v>
      </c>
      <c r="I3559" t="s" s="2">
        <v>1268</v>
      </c>
      <c r="J3559" t="s" s="2">
        <v>22</v>
      </c>
      <c r="K3559" t="s" s="2">
        <v>6709</v>
      </c>
      <c r="L3559" t="s" s="2">
        <v>987</v>
      </c>
      <c r="M3559" s="5">
        <v>507236.06</v>
      </c>
      <c r="N3559" s="5">
        <v>6187644</v>
      </c>
      <c r="O3559" t="s" s="2">
        <v>305</v>
      </c>
      <c r="P3559" s="5">
        <v>16070</v>
      </c>
      <c r="Q3559" t="s" s="2">
        <v>5701</v>
      </c>
      <c r="R3559" t="s" s="2">
        <f>_xlfn.IFERROR(INDEX('model_byCAP'!$D$2:$D$377,MATCH(Q3559,'model_byCAP'!$A$2:$A$377,0)),0)</f>
        <v>5702</v>
      </c>
    </row>
    <row r="3560" ht="15.35" customHeight="1">
      <c r="A3560" t="s" s="2">
        <v>6710</v>
      </c>
      <c r="B3560" s="4">
        <v>35809</v>
      </c>
      <c r="C3560" s="5">
        <v>600</v>
      </c>
      <c r="D3560" s="5">
        <v>44</v>
      </c>
      <c r="E3560" s="5">
        <v>40.5</v>
      </c>
      <c r="F3560" t="s" s="2">
        <v>301</v>
      </c>
      <c r="G3560" t="s" s="2">
        <v>5700</v>
      </c>
      <c r="H3560" s="5">
        <v>630</v>
      </c>
      <c r="I3560" t="s" s="2">
        <v>1268</v>
      </c>
      <c r="J3560" t="s" s="2">
        <v>22</v>
      </c>
      <c r="K3560" t="s" s="2">
        <v>6711</v>
      </c>
      <c r="L3560" t="s" s="2">
        <v>394</v>
      </c>
      <c r="M3560" s="5">
        <v>512485.67</v>
      </c>
      <c r="N3560" s="5">
        <v>6182726.56</v>
      </c>
      <c r="O3560" t="s" s="2">
        <v>305</v>
      </c>
      <c r="P3560" s="5">
        <v>16072</v>
      </c>
      <c r="Q3560" t="s" s="2">
        <v>5701</v>
      </c>
      <c r="R3560" t="s" s="2">
        <f>_xlfn.IFERROR(INDEX('model_byCAP'!$D$2:$D$377,MATCH(Q3560,'model_byCAP'!$A$2:$A$377,0)),0)</f>
        <v>5702</v>
      </c>
    </row>
    <row r="3561" ht="15.35" customHeight="1">
      <c r="A3561" t="s" s="2">
        <v>6712</v>
      </c>
      <c r="B3561" s="4">
        <v>35838</v>
      </c>
      <c r="C3561" s="5">
        <v>600</v>
      </c>
      <c r="D3561" s="5">
        <v>43</v>
      </c>
      <c r="E3561" s="5">
        <v>40</v>
      </c>
      <c r="F3561" t="s" s="2">
        <v>2328</v>
      </c>
      <c r="G3561" t="s" s="2">
        <v>6433</v>
      </c>
      <c r="H3561" s="5">
        <v>630</v>
      </c>
      <c r="I3561" t="s" s="2">
        <v>1268</v>
      </c>
      <c r="J3561" t="s" s="2">
        <v>22</v>
      </c>
      <c r="K3561" t="s" s="2">
        <v>6713</v>
      </c>
      <c r="L3561" s="5">
        <v>14</v>
      </c>
      <c r="M3561" s="5">
        <v>514896.31</v>
      </c>
      <c r="N3561" s="5">
        <v>6184507.21</v>
      </c>
      <c r="O3561" t="s" s="2">
        <v>305</v>
      </c>
      <c r="P3561" s="5">
        <v>16073</v>
      </c>
      <c r="Q3561" t="s" s="2">
        <v>6435</v>
      </c>
      <c r="R3561" t="s" s="2">
        <f>_xlfn.IFERROR(INDEX('model_byCAP'!$D$2:$D$377,MATCH(Q3561,'model_byCAP'!$A$2:$A$377,0)),0)</f>
        <v>6352</v>
      </c>
    </row>
    <row r="3562" ht="15.35" customHeight="1">
      <c r="A3562" t="s" s="2">
        <v>6714</v>
      </c>
      <c r="B3562" s="4">
        <v>35906</v>
      </c>
      <c r="C3562" s="5">
        <v>600</v>
      </c>
      <c r="D3562" s="5">
        <v>43</v>
      </c>
      <c r="E3562" s="5">
        <v>40</v>
      </c>
      <c r="F3562" t="s" s="2">
        <v>2328</v>
      </c>
      <c r="G3562" t="s" s="2">
        <v>6433</v>
      </c>
      <c r="H3562" s="5">
        <v>630</v>
      </c>
      <c r="I3562" t="s" s="2">
        <v>1268</v>
      </c>
      <c r="J3562" t="s" s="2">
        <v>22</v>
      </c>
      <c r="K3562" t="s" s="2">
        <v>6715</v>
      </c>
      <c r="L3562" t="s" s="2">
        <v>6716</v>
      </c>
      <c r="M3562" s="5">
        <v>514071.08</v>
      </c>
      <c r="N3562" s="5">
        <v>6186758.81</v>
      </c>
      <c r="O3562" t="s" s="2">
        <v>305</v>
      </c>
      <c r="P3562" s="5">
        <v>16074</v>
      </c>
      <c r="Q3562" t="s" s="2">
        <v>6435</v>
      </c>
      <c r="R3562" t="s" s="2">
        <f>_xlfn.IFERROR(INDEX('model_byCAP'!$D$2:$D$377,MATCH(Q3562,'model_byCAP'!$A$2:$A$377,0)),0)</f>
        <v>6352</v>
      </c>
    </row>
    <row r="3563" ht="15.35" customHeight="1">
      <c r="A3563" t="s" s="2">
        <v>6717</v>
      </c>
      <c r="B3563" s="4">
        <v>36119</v>
      </c>
      <c r="C3563" s="5">
        <v>600</v>
      </c>
      <c r="D3563" s="5">
        <v>43</v>
      </c>
      <c r="E3563" s="5">
        <v>40</v>
      </c>
      <c r="F3563" t="s" s="2">
        <v>2328</v>
      </c>
      <c r="G3563" t="s" s="2">
        <v>6433</v>
      </c>
      <c r="H3563" s="5">
        <v>630</v>
      </c>
      <c r="I3563" t="s" s="2">
        <v>1268</v>
      </c>
      <c r="J3563" t="s" s="2">
        <v>22</v>
      </c>
      <c r="K3563" t="s" s="2">
        <v>6713</v>
      </c>
      <c r="L3563" t="s" s="2">
        <v>1626</v>
      </c>
      <c r="M3563" s="5">
        <v>517302.4</v>
      </c>
      <c r="N3563" s="5">
        <v>6183397.27</v>
      </c>
      <c r="O3563" t="s" s="2">
        <v>305</v>
      </c>
      <c r="P3563" s="5">
        <v>16076</v>
      </c>
      <c r="Q3563" t="s" s="2">
        <v>6435</v>
      </c>
      <c r="R3563" t="s" s="2">
        <f>_xlfn.IFERROR(INDEX('model_byCAP'!$D$2:$D$377,MATCH(Q3563,'model_byCAP'!$A$2:$A$377,0)),0)</f>
        <v>6352</v>
      </c>
    </row>
    <row r="3564" ht="15.35" customHeight="1">
      <c r="A3564" t="s" s="2">
        <v>6718</v>
      </c>
      <c r="B3564" s="4">
        <v>36119</v>
      </c>
      <c r="C3564" s="5">
        <v>600</v>
      </c>
      <c r="D3564" s="5">
        <v>44</v>
      </c>
      <c r="E3564" s="5">
        <v>40.5</v>
      </c>
      <c r="F3564" t="s" s="2">
        <v>301</v>
      </c>
      <c r="G3564" t="s" s="2">
        <v>5700</v>
      </c>
      <c r="H3564" s="5">
        <v>630</v>
      </c>
      <c r="I3564" t="s" s="2">
        <v>1268</v>
      </c>
      <c r="J3564" t="s" s="2">
        <v>22</v>
      </c>
      <c r="K3564" t="s" s="2">
        <v>6719</v>
      </c>
      <c r="L3564" t="s" s="2">
        <v>474</v>
      </c>
      <c r="M3564" s="5">
        <v>519017.56</v>
      </c>
      <c r="N3564" s="5">
        <v>6191256.8</v>
      </c>
      <c r="O3564" t="s" s="2">
        <v>305</v>
      </c>
      <c r="P3564" s="5">
        <v>16078</v>
      </c>
      <c r="Q3564" t="s" s="2">
        <v>5701</v>
      </c>
      <c r="R3564" t="s" s="2">
        <f>_xlfn.IFERROR(INDEX('model_byCAP'!$D$2:$D$377,MATCH(Q3564,'model_byCAP'!$A$2:$A$377,0)),0)</f>
        <v>5702</v>
      </c>
    </row>
    <row r="3565" ht="15.35" customHeight="1">
      <c r="A3565" t="s" s="2">
        <v>6720</v>
      </c>
      <c r="B3565" s="4">
        <v>36178</v>
      </c>
      <c r="C3565" s="5">
        <v>600</v>
      </c>
      <c r="D3565" s="5">
        <v>43</v>
      </c>
      <c r="E3565" s="5">
        <v>40</v>
      </c>
      <c r="F3565" t="s" s="2">
        <v>2328</v>
      </c>
      <c r="G3565" t="s" s="2">
        <v>6433</v>
      </c>
      <c r="H3565" s="5">
        <v>630</v>
      </c>
      <c r="I3565" t="s" s="2">
        <v>1268</v>
      </c>
      <c r="J3565" t="s" s="2">
        <v>22</v>
      </c>
      <c r="K3565" t="s" s="2">
        <v>6721</v>
      </c>
      <c r="L3565" t="s" s="2">
        <v>2725</v>
      </c>
      <c r="M3565" s="5">
        <v>514972.39</v>
      </c>
      <c r="N3565" s="5">
        <v>6186891.95</v>
      </c>
      <c r="O3565" t="s" s="2">
        <v>305</v>
      </c>
      <c r="P3565" s="5">
        <v>16079</v>
      </c>
      <c r="Q3565" t="s" s="2">
        <v>6435</v>
      </c>
      <c r="R3565" t="s" s="2">
        <f>_xlfn.IFERROR(INDEX('model_byCAP'!$D$2:$D$377,MATCH(Q3565,'model_byCAP'!$A$2:$A$377,0)),0)</f>
        <v>6352</v>
      </c>
    </row>
    <row r="3566" ht="15.35" customHeight="1">
      <c r="A3566" t="s" s="2">
        <v>6722</v>
      </c>
      <c r="B3566" s="4">
        <v>36287</v>
      </c>
      <c r="C3566" s="5">
        <v>600</v>
      </c>
      <c r="D3566" s="5">
        <v>44</v>
      </c>
      <c r="E3566" s="5">
        <v>41.5</v>
      </c>
      <c r="F3566" t="s" s="2">
        <v>301</v>
      </c>
      <c r="G3566" t="s" s="2">
        <v>5959</v>
      </c>
      <c r="H3566" s="5">
        <v>630</v>
      </c>
      <c r="I3566" t="s" s="2">
        <v>1268</v>
      </c>
      <c r="J3566" t="s" s="2">
        <v>22</v>
      </c>
      <c r="K3566" t="s" s="2">
        <v>6723</v>
      </c>
      <c r="L3566" t="s" s="2">
        <v>551</v>
      </c>
      <c r="M3566" s="5">
        <v>514719.22</v>
      </c>
      <c r="N3566" s="5">
        <v>6193665.05</v>
      </c>
      <c r="O3566" t="s" s="2">
        <v>305</v>
      </c>
      <c r="P3566" s="5">
        <v>16080</v>
      </c>
      <c r="Q3566" t="s" s="2">
        <v>5960</v>
      </c>
      <c r="R3566" t="s" s="2">
        <f>_xlfn.IFERROR(INDEX('model_byCAP'!$D$2:$D$377,MATCH(Q3566,'model_byCAP'!$A$2:$A$377,0)),0)</f>
        <v>5702</v>
      </c>
    </row>
    <row r="3567" ht="15.35" customHeight="1">
      <c r="A3567" t="s" s="2">
        <v>6724</v>
      </c>
      <c r="B3567" s="4">
        <v>36851</v>
      </c>
      <c r="C3567" s="5">
        <v>600</v>
      </c>
      <c r="D3567" s="5">
        <v>43</v>
      </c>
      <c r="E3567" s="5">
        <v>46</v>
      </c>
      <c r="F3567" t="s" s="2">
        <v>2328</v>
      </c>
      <c r="G3567" t="s" s="2">
        <v>6433</v>
      </c>
      <c r="H3567" s="5">
        <v>630</v>
      </c>
      <c r="I3567" t="s" s="2">
        <v>1268</v>
      </c>
      <c r="J3567" t="s" s="2">
        <v>22</v>
      </c>
      <c r="K3567" t="s" s="2">
        <v>6725</v>
      </c>
      <c r="L3567" t="s" s="2">
        <v>518</v>
      </c>
      <c r="M3567" s="5">
        <v>517841.1</v>
      </c>
      <c r="N3567" s="5">
        <v>6187458.47</v>
      </c>
      <c r="O3567" t="s" s="2">
        <v>305</v>
      </c>
      <c r="P3567" s="5">
        <v>16091</v>
      </c>
      <c r="Q3567" t="s" s="2">
        <v>6435</v>
      </c>
      <c r="R3567" t="s" s="2">
        <f>_xlfn.IFERROR(INDEX('model_byCAP'!$D$2:$D$377,MATCH(Q3567,'model_byCAP'!$A$2:$A$377,0)),0)</f>
        <v>6352</v>
      </c>
    </row>
    <row r="3568" ht="15.35" customHeight="1">
      <c r="A3568" t="s" s="2">
        <v>6726</v>
      </c>
      <c r="B3568" s="4">
        <v>37014</v>
      </c>
      <c r="C3568" s="5">
        <v>600</v>
      </c>
      <c r="D3568" s="5">
        <v>44</v>
      </c>
      <c r="E3568" s="5">
        <v>40</v>
      </c>
      <c r="F3568" t="s" s="2">
        <v>301</v>
      </c>
      <c r="G3568" t="s" s="2">
        <v>5700</v>
      </c>
      <c r="H3568" s="5">
        <v>630</v>
      </c>
      <c r="I3568" t="s" s="2">
        <v>1268</v>
      </c>
      <c r="J3568" t="s" s="2">
        <v>22</v>
      </c>
      <c r="K3568" t="s" s="2">
        <v>6719</v>
      </c>
      <c r="L3568" t="s" s="2">
        <v>394</v>
      </c>
      <c r="M3568" s="5">
        <v>518097.06</v>
      </c>
      <c r="N3568" s="5">
        <v>6191554.09</v>
      </c>
      <c r="O3568" t="s" s="2">
        <v>305</v>
      </c>
      <c r="P3568" s="5">
        <v>16100</v>
      </c>
      <c r="Q3568" t="s" s="2">
        <v>5701</v>
      </c>
      <c r="R3568" t="s" s="2">
        <f>_xlfn.IFERROR(INDEX('model_byCAP'!$D$2:$D$377,MATCH(Q3568,'model_byCAP'!$A$2:$A$377,0)),0)</f>
        <v>5702</v>
      </c>
    </row>
    <row r="3569" ht="15.35" customHeight="1">
      <c r="A3569" t="s" s="2">
        <v>6727</v>
      </c>
      <c r="B3569" s="4">
        <v>37264</v>
      </c>
      <c r="C3569" s="5">
        <v>600</v>
      </c>
      <c r="D3569" s="5">
        <v>43</v>
      </c>
      <c r="E3569" s="5">
        <v>40</v>
      </c>
      <c r="F3569" t="s" s="2">
        <v>2328</v>
      </c>
      <c r="G3569" t="s" s="2">
        <v>6356</v>
      </c>
      <c r="H3569" s="5">
        <v>630</v>
      </c>
      <c r="I3569" t="s" s="2">
        <v>1268</v>
      </c>
      <c r="J3569" t="s" s="2">
        <v>22</v>
      </c>
      <c r="K3569" t="s" s="2">
        <v>6728</v>
      </c>
      <c r="L3569" t="s" s="2">
        <v>2931</v>
      </c>
      <c r="M3569" s="5">
        <v>522293.55</v>
      </c>
      <c r="N3569" s="5">
        <v>6180814.06</v>
      </c>
      <c r="O3569" t="s" s="2">
        <v>305</v>
      </c>
      <c r="P3569" t="s" s="2">
        <v>6729</v>
      </c>
      <c r="Q3569" t="s" s="2">
        <v>6358</v>
      </c>
      <c r="R3569" t="s" s="2">
        <f>_xlfn.IFERROR(INDEX('model_byCAP'!$D$2:$D$377,MATCH(Q3569,'model_byCAP'!$A$2:$A$377,0)),0)</f>
        <v>6352</v>
      </c>
    </row>
    <row r="3570" ht="15.35" customHeight="1">
      <c r="A3570" t="s" s="2">
        <v>6730</v>
      </c>
      <c r="B3570" s="4">
        <v>35240</v>
      </c>
      <c r="C3570" s="5">
        <v>600</v>
      </c>
      <c r="D3570" s="5">
        <v>44</v>
      </c>
      <c r="E3570" s="5">
        <v>50</v>
      </c>
      <c r="F3570" t="s" s="2">
        <v>301</v>
      </c>
      <c r="G3570" t="s" s="2">
        <v>5700</v>
      </c>
      <c r="H3570" s="5">
        <v>657</v>
      </c>
      <c r="I3570" t="s" s="2">
        <v>541</v>
      </c>
      <c r="J3570" t="s" s="2">
        <v>22</v>
      </c>
      <c r="K3570" t="s" s="2">
        <v>6731</v>
      </c>
      <c r="L3570" t="s" s="2">
        <v>481</v>
      </c>
      <c r="M3570" s="5">
        <v>490595.46</v>
      </c>
      <c r="N3570" s="5">
        <v>6239134.64</v>
      </c>
      <c r="O3570" t="s" s="2">
        <v>305</v>
      </c>
      <c r="P3570" s="5">
        <v>7141229</v>
      </c>
      <c r="Q3570" t="s" s="2">
        <v>5701</v>
      </c>
      <c r="R3570" t="s" s="2">
        <f>_xlfn.IFERROR(INDEX('model_byCAP'!$D$2:$D$377,MATCH(Q3570,'model_byCAP'!$A$2:$A$377,0)),0)</f>
        <v>5702</v>
      </c>
    </row>
    <row r="3571" ht="15.35" customHeight="1">
      <c r="A3571" t="s" s="2">
        <v>6732</v>
      </c>
      <c r="B3571" s="4">
        <v>35256</v>
      </c>
      <c r="C3571" s="5">
        <v>600</v>
      </c>
      <c r="D3571" s="5">
        <v>43</v>
      </c>
      <c r="E3571" s="5">
        <v>40</v>
      </c>
      <c r="F3571" t="s" s="2">
        <v>1746</v>
      </c>
      <c r="G3571" t="s" s="2">
        <v>6286</v>
      </c>
      <c r="H3571" s="5">
        <v>657</v>
      </c>
      <c r="I3571" t="s" s="2">
        <v>541</v>
      </c>
      <c r="J3571" t="s" s="2">
        <v>22</v>
      </c>
      <c r="K3571" t="s" s="2">
        <v>6733</v>
      </c>
      <c r="L3571" t="s" s="2">
        <v>2348</v>
      </c>
      <c r="M3571" s="5">
        <v>487739.49</v>
      </c>
      <c r="N3571" s="5">
        <v>6221430.05</v>
      </c>
      <c r="O3571" t="s" s="2">
        <v>305</v>
      </c>
      <c r="P3571" s="5">
        <v>7141230</v>
      </c>
      <c r="Q3571" t="s" s="2">
        <v>6288</v>
      </c>
      <c r="R3571" t="s" s="2">
        <f>_xlfn.IFERROR(INDEX('model_byCAP'!$D$2:$D$377,MATCH(Q3571,'model_byCAP'!$A$2:$A$377,0)),0)</f>
        <v>2955</v>
      </c>
    </row>
    <row r="3572" ht="15.35" customHeight="1">
      <c r="A3572" t="s" s="2">
        <v>6734</v>
      </c>
      <c r="B3572" s="4">
        <v>35835</v>
      </c>
      <c r="C3572" s="5">
        <v>600</v>
      </c>
      <c r="D3572" s="5">
        <v>44</v>
      </c>
      <c r="E3572" s="5">
        <v>45</v>
      </c>
      <c r="F3572" t="s" s="2">
        <v>1989</v>
      </c>
      <c r="G3572" t="s" s="2">
        <v>6085</v>
      </c>
      <c r="H3572" s="5">
        <v>657</v>
      </c>
      <c r="I3572" t="s" s="2">
        <v>541</v>
      </c>
      <c r="J3572" t="s" s="2">
        <v>22</v>
      </c>
      <c r="K3572" t="s" s="2">
        <v>6735</v>
      </c>
      <c r="L3572" t="s" s="2">
        <v>2348</v>
      </c>
      <c r="M3572" s="5">
        <v>491287.64</v>
      </c>
      <c r="N3572" s="5">
        <v>6227173.25</v>
      </c>
      <c r="O3572" t="s" s="2">
        <v>305</v>
      </c>
      <c r="P3572" s="5">
        <v>7141232</v>
      </c>
      <c r="Q3572" t="s" s="2">
        <v>6087</v>
      </c>
      <c r="R3572" t="s" s="2">
        <f>_xlfn.IFERROR(INDEX('model_byCAP'!$D$2:$D$377,MATCH(Q3572,'model_byCAP'!$A$2:$A$377,0)),0)</f>
        <v>5955</v>
      </c>
    </row>
    <row r="3573" ht="15.35" customHeight="1">
      <c r="A3573" t="s" s="2">
        <v>6736</v>
      </c>
      <c r="B3573" s="4">
        <v>35723</v>
      </c>
      <c r="C3573" s="5">
        <v>600</v>
      </c>
      <c r="D3573" s="5">
        <v>44</v>
      </c>
      <c r="E3573" s="5">
        <v>50</v>
      </c>
      <c r="F3573" t="s" s="2">
        <v>301</v>
      </c>
      <c r="G3573" t="s" s="2">
        <v>5700</v>
      </c>
      <c r="H3573" s="5">
        <v>657</v>
      </c>
      <c r="I3573" t="s" s="2">
        <v>541</v>
      </c>
      <c r="J3573" t="s" s="2">
        <v>22</v>
      </c>
      <c r="K3573" t="s" s="2">
        <v>6737</v>
      </c>
      <c r="L3573" t="s" s="2">
        <v>481</v>
      </c>
      <c r="M3573" s="5">
        <v>481476.01</v>
      </c>
      <c r="N3573" s="5">
        <v>6237800.58</v>
      </c>
      <c r="O3573" t="s" s="2">
        <v>305</v>
      </c>
      <c r="P3573" s="5">
        <v>7141233</v>
      </c>
      <c r="Q3573" t="s" s="2">
        <v>5701</v>
      </c>
      <c r="R3573" t="s" s="2">
        <f>_xlfn.IFERROR(INDEX('model_byCAP'!$D$2:$D$377,MATCH(Q3573,'model_byCAP'!$A$2:$A$377,0)),0)</f>
        <v>5702</v>
      </c>
    </row>
    <row r="3574" ht="15.35" customHeight="1">
      <c r="A3574" t="s" s="2">
        <v>6738</v>
      </c>
      <c r="B3574" s="4">
        <v>35723</v>
      </c>
      <c r="C3574" s="5">
        <v>600</v>
      </c>
      <c r="D3574" s="5">
        <v>44</v>
      </c>
      <c r="E3574" s="5">
        <v>50</v>
      </c>
      <c r="F3574" t="s" s="2">
        <v>301</v>
      </c>
      <c r="G3574" t="s" s="2">
        <v>5700</v>
      </c>
      <c r="H3574" s="5">
        <v>657</v>
      </c>
      <c r="I3574" t="s" s="2">
        <v>541</v>
      </c>
      <c r="J3574" t="s" s="2">
        <v>22</v>
      </c>
      <c r="K3574" t="s" s="2">
        <v>6737</v>
      </c>
      <c r="L3574" t="s" s="2">
        <v>481</v>
      </c>
      <c r="M3574" s="5">
        <v>481518.41</v>
      </c>
      <c r="N3574" s="5">
        <v>6237562.25</v>
      </c>
      <c r="O3574" t="s" s="2">
        <v>305</v>
      </c>
      <c r="P3574" s="5">
        <v>7141234</v>
      </c>
      <c r="Q3574" t="s" s="2">
        <v>5701</v>
      </c>
      <c r="R3574" t="s" s="2">
        <f>_xlfn.IFERROR(INDEX('model_byCAP'!$D$2:$D$377,MATCH(Q3574,'model_byCAP'!$A$2:$A$377,0)),0)</f>
        <v>5702</v>
      </c>
    </row>
    <row r="3575" ht="15.35" customHeight="1">
      <c r="A3575" t="s" s="2">
        <v>6739</v>
      </c>
      <c r="B3575" s="4">
        <v>35723</v>
      </c>
      <c r="C3575" s="5">
        <v>600</v>
      </c>
      <c r="D3575" s="5">
        <v>44</v>
      </c>
      <c r="E3575" s="5">
        <v>50</v>
      </c>
      <c r="F3575" t="s" s="2">
        <v>301</v>
      </c>
      <c r="G3575" t="s" s="2">
        <v>5700</v>
      </c>
      <c r="H3575" s="5">
        <v>657</v>
      </c>
      <c r="I3575" t="s" s="2">
        <v>541</v>
      </c>
      <c r="J3575" t="s" s="2">
        <v>22</v>
      </c>
      <c r="K3575" t="s" s="2">
        <v>6737</v>
      </c>
      <c r="L3575" t="s" s="2">
        <v>481</v>
      </c>
      <c r="M3575" s="5">
        <v>481605.67</v>
      </c>
      <c r="N3575" s="5">
        <v>6237082.04</v>
      </c>
      <c r="O3575" t="s" s="2">
        <v>305</v>
      </c>
      <c r="P3575" s="5">
        <v>7141235</v>
      </c>
      <c r="Q3575" t="s" s="2">
        <v>5701</v>
      </c>
      <c r="R3575" t="s" s="2">
        <f>_xlfn.IFERROR(INDEX('model_byCAP'!$D$2:$D$377,MATCH(Q3575,'model_byCAP'!$A$2:$A$377,0)),0)</f>
        <v>5702</v>
      </c>
    </row>
    <row r="3576" ht="15.35" customHeight="1">
      <c r="A3576" t="s" s="2">
        <v>6740</v>
      </c>
      <c r="B3576" s="4">
        <v>35978</v>
      </c>
      <c r="C3576" s="5">
        <v>600</v>
      </c>
      <c r="D3576" s="5">
        <v>48</v>
      </c>
      <c r="E3576" s="5">
        <v>50</v>
      </c>
      <c r="F3576" t="s" s="2">
        <v>1746</v>
      </c>
      <c r="G3576" t="s" s="2">
        <v>6665</v>
      </c>
      <c r="H3576" s="5">
        <v>657</v>
      </c>
      <c r="I3576" t="s" s="2">
        <v>541</v>
      </c>
      <c r="J3576" t="s" s="2">
        <v>22</v>
      </c>
      <c r="K3576" t="s" s="2">
        <v>1549</v>
      </c>
      <c r="L3576" t="s" s="2">
        <v>1611</v>
      </c>
      <c r="M3576" s="5">
        <v>489732.93</v>
      </c>
      <c r="N3576" s="5">
        <v>6206022.33</v>
      </c>
      <c r="O3576" t="s" s="2">
        <v>305</v>
      </c>
      <c r="P3576" s="5">
        <v>7141399</v>
      </c>
      <c r="Q3576" t="s" s="2">
        <v>6668</v>
      </c>
      <c r="R3576" t="s" s="2">
        <f>_xlfn.IFERROR(INDEX('model_byCAP'!$D$2:$D$377,MATCH(Q3576,'model_byCAP'!$A$2:$A$377,0)),0)</f>
        <v>4042</v>
      </c>
    </row>
    <row r="3577" ht="15.35" customHeight="1">
      <c r="A3577" t="s" s="2">
        <v>6741</v>
      </c>
      <c r="B3577" s="4">
        <v>35978</v>
      </c>
      <c r="C3577" s="5">
        <v>600</v>
      </c>
      <c r="D3577" s="5">
        <v>48</v>
      </c>
      <c r="E3577" s="5">
        <v>50</v>
      </c>
      <c r="F3577" t="s" s="2">
        <v>1746</v>
      </c>
      <c r="G3577" t="s" s="2">
        <v>4302</v>
      </c>
      <c r="H3577" s="5">
        <v>657</v>
      </c>
      <c r="I3577" t="s" s="2">
        <v>541</v>
      </c>
      <c r="J3577" t="s" s="2">
        <v>22</v>
      </c>
      <c r="K3577" t="s" s="2">
        <v>1549</v>
      </c>
      <c r="L3577" t="s" s="2">
        <v>1105</v>
      </c>
      <c r="M3577" s="5">
        <v>489807.57</v>
      </c>
      <c r="N3577" s="5">
        <v>6206175.15</v>
      </c>
      <c r="O3577" t="s" s="2">
        <v>305</v>
      </c>
      <c r="P3577" s="5">
        <v>7141400</v>
      </c>
      <c r="Q3577" t="s" s="2">
        <v>4304</v>
      </c>
      <c r="R3577" t="s" s="2">
        <f>_xlfn.IFERROR(INDEX('model_byCAP'!$D$2:$D$377,MATCH(Q3577,'model_byCAP'!$A$2:$A$377,0)),0)</f>
        <v>2955</v>
      </c>
    </row>
    <row r="3578" ht="15.35" customHeight="1">
      <c r="A3578" t="s" s="2">
        <v>6742</v>
      </c>
      <c r="B3578" s="4">
        <v>36318</v>
      </c>
      <c r="C3578" s="5">
        <v>600</v>
      </c>
      <c r="D3578" s="5">
        <v>44</v>
      </c>
      <c r="E3578" s="5">
        <v>50</v>
      </c>
      <c r="F3578" t="s" s="2">
        <v>301</v>
      </c>
      <c r="G3578" t="s" s="2">
        <v>5700</v>
      </c>
      <c r="H3578" s="5">
        <v>657</v>
      </c>
      <c r="I3578" t="s" s="2">
        <v>541</v>
      </c>
      <c r="J3578" t="s" s="2">
        <v>22</v>
      </c>
      <c r="K3578" t="s" s="2">
        <v>6743</v>
      </c>
      <c r="L3578" t="s" s="2">
        <v>4390</v>
      </c>
      <c r="M3578" s="5">
        <v>493063.09</v>
      </c>
      <c r="N3578" s="5">
        <v>6218775.32</v>
      </c>
      <c r="O3578" t="s" s="2">
        <v>305</v>
      </c>
      <c r="P3578" s="5">
        <v>7142087</v>
      </c>
      <c r="Q3578" t="s" s="2">
        <v>5701</v>
      </c>
      <c r="R3578" t="s" s="2">
        <f>_xlfn.IFERROR(INDEX('model_byCAP'!$D$2:$D$377,MATCH(Q3578,'model_byCAP'!$A$2:$A$377,0)),0)</f>
        <v>5702</v>
      </c>
    </row>
    <row r="3579" ht="15.35" customHeight="1">
      <c r="A3579" t="s" s="2">
        <v>6744</v>
      </c>
      <c r="B3579" s="4">
        <v>36318</v>
      </c>
      <c r="C3579" s="5">
        <v>600</v>
      </c>
      <c r="D3579" s="5">
        <v>44</v>
      </c>
      <c r="E3579" s="5">
        <v>50</v>
      </c>
      <c r="F3579" t="s" s="2">
        <v>301</v>
      </c>
      <c r="G3579" t="s" s="2">
        <v>5700</v>
      </c>
      <c r="H3579" s="5">
        <v>657</v>
      </c>
      <c r="I3579" t="s" s="2">
        <v>541</v>
      </c>
      <c r="J3579" t="s" s="2">
        <v>22</v>
      </c>
      <c r="K3579" t="s" s="2">
        <v>6743</v>
      </c>
      <c r="L3579" t="s" s="2">
        <v>4390</v>
      </c>
      <c r="M3579" s="5">
        <v>493055.85</v>
      </c>
      <c r="N3579" s="5">
        <v>6218574.72</v>
      </c>
      <c r="O3579" t="s" s="2">
        <v>305</v>
      </c>
      <c r="P3579" s="5">
        <v>7142088</v>
      </c>
      <c r="Q3579" t="s" s="2">
        <v>5701</v>
      </c>
      <c r="R3579" t="s" s="2">
        <f>_xlfn.IFERROR(INDEX('model_byCAP'!$D$2:$D$377,MATCH(Q3579,'model_byCAP'!$A$2:$A$377,0)),0)</f>
        <v>5702</v>
      </c>
    </row>
    <row r="3580" ht="15.35" customHeight="1">
      <c r="A3580" t="s" s="2">
        <v>6745</v>
      </c>
      <c r="B3580" s="4">
        <v>36315</v>
      </c>
      <c r="C3580" s="5">
        <v>600</v>
      </c>
      <c r="D3580" s="5">
        <v>44</v>
      </c>
      <c r="E3580" s="5">
        <v>50</v>
      </c>
      <c r="F3580" t="s" s="2">
        <v>301</v>
      </c>
      <c r="G3580" t="s" s="2">
        <v>5700</v>
      </c>
      <c r="H3580" s="5">
        <v>657</v>
      </c>
      <c r="I3580" t="s" s="2">
        <v>541</v>
      </c>
      <c r="J3580" t="s" s="2">
        <v>22</v>
      </c>
      <c r="K3580" t="s" s="2">
        <v>6743</v>
      </c>
      <c r="L3580" t="s" s="2">
        <v>524</v>
      </c>
      <c r="M3580" s="5">
        <v>493048.35</v>
      </c>
      <c r="N3580" s="5">
        <v>6218375.38</v>
      </c>
      <c r="O3580" t="s" s="2">
        <v>305</v>
      </c>
      <c r="P3580" s="5">
        <v>7142089</v>
      </c>
      <c r="Q3580" t="s" s="2">
        <v>5701</v>
      </c>
      <c r="R3580" t="s" s="2">
        <f>_xlfn.IFERROR(INDEX('model_byCAP'!$D$2:$D$377,MATCH(Q3580,'model_byCAP'!$A$2:$A$377,0)),0)</f>
        <v>5702</v>
      </c>
    </row>
    <row r="3581" ht="15.35" customHeight="1">
      <c r="A3581" t="s" s="2">
        <v>6746</v>
      </c>
      <c r="B3581" s="4">
        <v>35348</v>
      </c>
      <c r="C3581" s="5">
        <v>600</v>
      </c>
      <c r="D3581" s="5">
        <v>43</v>
      </c>
      <c r="E3581" s="5">
        <v>46</v>
      </c>
      <c r="F3581" t="s" s="2">
        <v>1746</v>
      </c>
      <c r="G3581" t="s" s="2">
        <v>6286</v>
      </c>
      <c r="H3581" s="5">
        <v>661</v>
      </c>
      <c r="I3581" t="s" s="2">
        <v>562</v>
      </c>
      <c r="J3581" t="s" s="2">
        <v>22</v>
      </c>
      <c r="K3581" t="s" s="2">
        <v>4636</v>
      </c>
      <c r="L3581" t="s" s="2">
        <v>1165</v>
      </c>
      <c r="M3581" s="5">
        <v>467394.63</v>
      </c>
      <c r="N3581" s="5">
        <v>6248471.33</v>
      </c>
      <c r="O3581" t="s" s="2">
        <v>305</v>
      </c>
      <c r="P3581" s="5">
        <v>40115185</v>
      </c>
      <c r="Q3581" t="s" s="2">
        <v>6288</v>
      </c>
      <c r="R3581" t="s" s="2">
        <f>_xlfn.IFERROR(INDEX('model_byCAP'!$D$2:$D$377,MATCH(Q3581,'model_byCAP'!$A$2:$A$377,0)),0)</f>
        <v>2955</v>
      </c>
    </row>
    <row r="3582" ht="15.35" customHeight="1">
      <c r="A3582" t="s" s="2">
        <v>6747</v>
      </c>
      <c r="B3582" s="4">
        <v>35348</v>
      </c>
      <c r="C3582" s="5">
        <v>600</v>
      </c>
      <c r="D3582" s="5">
        <v>43</v>
      </c>
      <c r="E3582" s="5">
        <v>46</v>
      </c>
      <c r="F3582" t="s" s="2">
        <v>1746</v>
      </c>
      <c r="G3582" t="s" s="2">
        <v>6286</v>
      </c>
      <c r="H3582" s="5">
        <v>661</v>
      </c>
      <c r="I3582" t="s" s="2">
        <v>562</v>
      </c>
      <c r="J3582" t="s" s="2">
        <v>22</v>
      </c>
      <c r="K3582" t="s" s="2">
        <v>4636</v>
      </c>
      <c r="L3582" t="s" s="2">
        <v>2078</v>
      </c>
      <c r="M3582" s="5">
        <v>467430.2</v>
      </c>
      <c r="N3582" s="5">
        <v>6248601.36</v>
      </c>
      <c r="O3582" t="s" s="2">
        <v>305</v>
      </c>
      <c r="P3582" s="5">
        <v>40115185</v>
      </c>
      <c r="Q3582" t="s" s="2">
        <v>6288</v>
      </c>
      <c r="R3582" t="s" s="2">
        <f>_xlfn.IFERROR(INDEX('model_byCAP'!$D$2:$D$377,MATCH(Q3582,'model_byCAP'!$A$2:$A$377,0)),0)</f>
        <v>2955</v>
      </c>
    </row>
    <row r="3583" ht="15.35" customHeight="1">
      <c r="A3583" t="s" s="2">
        <v>6748</v>
      </c>
      <c r="B3583" s="4">
        <v>35348</v>
      </c>
      <c r="C3583" s="5">
        <v>600</v>
      </c>
      <c r="D3583" s="5">
        <v>43</v>
      </c>
      <c r="E3583" s="5">
        <v>46</v>
      </c>
      <c r="F3583" t="s" s="2">
        <v>1746</v>
      </c>
      <c r="G3583" t="s" s="2">
        <v>6286</v>
      </c>
      <c r="H3583" s="5">
        <v>661</v>
      </c>
      <c r="I3583" t="s" s="2">
        <v>562</v>
      </c>
      <c r="J3583" t="s" s="2">
        <v>22</v>
      </c>
      <c r="K3583" t="s" s="2">
        <v>4636</v>
      </c>
      <c r="L3583" t="s" s="2">
        <v>1165</v>
      </c>
      <c r="M3583" s="5">
        <v>467465.92</v>
      </c>
      <c r="N3583" s="5">
        <v>6248731.53</v>
      </c>
      <c r="O3583" t="s" s="2">
        <v>305</v>
      </c>
      <c r="P3583" s="5">
        <v>40115185</v>
      </c>
      <c r="Q3583" t="s" s="2">
        <v>6288</v>
      </c>
      <c r="R3583" t="s" s="2">
        <f>_xlfn.IFERROR(INDEX('model_byCAP'!$D$2:$D$377,MATCH(Q3583,'model_byCAP'!$A$2:$A$377,0)),0)</f>
        <v>2955</v>
      </c>
    </row>
    <row r="3584" ht="15.35" customHeight="1">
      <c r="A3584" t="s" s="2">
        <v>6749</v>
      </c>
      <c r="B3584" s="4">
        <v>35348</v>
      </c>
      <c r="C3584" s="5">
        <v>600</v>
      </c>
      <c r="D3584" s="5">
        <v>43</v>
      </c>
      <c r="E3584" s="5">
        <v>46</v>
      </c>
      <c r="F3584" t="s" s="2">
        <v>1746</v>
      </c>
      <c r="G3584" t="s" s="2">
        <v>6286</v>
      </c>
      <c r="H3584" s="5">
        <v>661</v>
      </c>
      <c r="I3584" t="s" s="2">
        <v>562</v>
      </c>
      <c r="J3584" t="s" s="2">
        <v>22</v>
      </c>
      <c r="K3584" t="s" s="2">
        <v>4636</v>
      </c>
      <c r="L3584" t="s" s="2">
        <v>1165</v>
      </c>
      <c r="M3584" s="5">
        <v>467501.43</v>
      </c>
      <c r="N3584" s="5">
        <v>6248861.61</v>
      </c>
      <c r="O3584" t="s" s="2">
        <v>305</v>
      </c>
      <c r="P3584" s="5">
        <v>40115185</v>
      </c>
      <c r="Q3584" t="s" s="2">
        <v>6288</v>
      </c>
      <c r="R3584" t="s" s="2">
        <f>_xlfn.IFERROR(INDEX('model_byCAP'!$D$2:$D$377,MATCH(Q3584,'model_byCAP'!$A$2:$A$377,0)),0)</f>
        <v>2955</v>
      </c>
    </row>
    <row r="3585" ht="15.35" customHeight="1">
      <c r="A3585" t="s" s="2">
        <v>6750</v>
      </c>
      <c r="B3585" s="4">
        <v>35348</v>
      </c>
      <c r="C3585" s="5">
        <v>600</v>
      </c>
      <c r="D3585" s="5">
        <v>43</v>
      </c>
      <c r="E3585" s="5">
        <v>46</v>
      </c>
      <c r="F3585" t="s" s="2">
        <v>1746</v>
      </c>
      <c r="G3585" t="s" s="2">
        <v>6286</v>
      </c>
      <c r="H3585" s="5">
        <v>661</v>
      </c>
      <c r="I3585" t="s" s="2">
        <v>562</v>
      </c>
      <c r="J3585" t="s" s="2">
        <v>22</v>
      </c>
      <c r="K3585" t="s" s="2">
        <v>4636</v>
      </c>
      <c r="L3585" t="s" s="2">
        <v>1165</v>
      </c>
      <c r="M3585" s="5">
        <v>467536.85</v>
      </c>
      <c r="N3585" s="5">
        <v>6248991.98</v>
      </c>
      <c r="O3585" t="s" s="2">
        <v>305</v>
      </c>
      <c r="P3585" s="5">
        <v>40115185</v>
      </c>
      <c r="Q3585" t="s" s="2">
        <v>6288</v>
      </c>
      <c r="R3585" t="s" s="2">
        <f>_xlfn.IFERROR(INDEX('model_byCAP'!$D$2:$D$377,MATCH(Q3585,'model_byCAP'!$A$2:$A$377,0)),0)</f>
        <v>2955</v>
      </c>
    </row>
    <row r="3586" ht="15.35" customHeight="1">
      <c r="A3586" t="s" s="2">
        <v>6751</v>
      </c>
      <c r="B3586" s="4">
        <v>35348</v>
      </c>
      <c r="C3586" s="5">
        <v>600</v>
      </c>
      <c r="D3586" s="5">
        <v>43</v>
      </c>
      <c r="E3586" s="5">
        <v>46</v>
      </c>
      <c r="F3586" t="s" s="2">
        <v>1746</v>
      </c>
      <c r="G3586" t="s" s="2">
        <v>6286</v>
      </c>
      <c r="H3586" s="5">
        <v>661</v>
      </c>
      <c r="I3586" t="s" s="2">
        <v>562</v>
      </c>
      <c r="J3586" t="s" s="2">
        <v>22</v>
      </c>
      <c r="K3586" t="s" s="2">
        <v>4636</v>
      </c>
      <c r="L3586" t="s" s="2">
        <v>1165</v>
      </c>
      <c r="M3586" s="5">
        <v>467572.17</v>
      </c>
      <c r="N3586" s="5">
        <v>6249121.46</v>
      </c>
      <c r="O3586" t="s" s="2">
        <v>305</v>
      </c>
      <c r="P3586" s="5">
        <v>40115185</v>
      </c>
      <c r="Q3586" t="s" s="2">
        <v>6288</v>
      </c>
      <c r="R3586" t="s" s="2">
        <f>_xlfn.IFERROR(INDEX('model_byCAP'!$D$2:$D$377,MATCH(Q3586,'model_byCAP'!$A$2:$A$377,0)),0)</f>
        <v>2955</v>
      </c>
    </row>
    <row r="3587" ht="15.35" customHeight="1">
      <c r="A3587" t="s" s="2">
        <v>6752</v>
      </c>
      <c r="B3587" s="4">
        <v>35359</v>
      </c>
      <c r="C3587" s="5">
        <v>600</v>
      </c>
      <c r="D3587" s="5">
        <v>44</v>
      </c>
      <c r="E3587" s="5">
        <v>40</v>
      </c>
      <c r="F3587" t="s" s="2">
        <v>301</v>
      </c>
      <c r="G3587" t="s" s="2">
        <v>5700</v>
      </c>
      <c r="H3587" s="5">
        <v>661</v>
      </c>
      <c r="I3587" t="s" s="2">
        <v>562</v>
      </c>
      <c r="J3587" t="s" s="2">
        <v>22</v>
      </c>
      <c r="K3587" t="s" s="2">
        <v>6753</v>
      </c>
      <c r="L3587" t="s" s="2">
        <v>3286</v>
      </c>
      <c r="M3587" s="5">
        <v>483792.78</v>
      </c>
      <c r="N3587" s="5">
        <v>6247995.77</v>
      </c>
      <c r="O3587" t="s" s="2">
        <v>305</v>
      </c>
      <c r="P3587" s="5">
        <v>40117192</v>
      </c>
      <c r="Q3587" t="s" s="2">
        <v>5701</v>
      </c>
      <c r="R3587" t="s" s="2">
        <f>_xlfn.IFERROR(INDEX('model_byCAP'!$D$2:$D$377,MATCH(Q3587,'model_byCAP'!$A$2:$A$377,0)),0)</f>
        <v>5702</v>
      </c>
    </row>
    <row r="3588" ht="15.35" customHeight="1">
      <c r="A3588" t="s" s="2">
        <v>6754</v>
      </c>
      <c r="B3588" s="4">
        <v>35521</v>
      </c>
      <c r="C3588" s="5">
        <v>600</v>
      </c>
      <c r="D3588" s="5">
        <v>44</v>
      </c>
      <c r="E3588" s="5">
        <v>50</v>
      </c>
      <c r="F3588" t="s" s="2">
        <v>301</v>
      </c>
      <c r="G3588" t="s" s="2">
        <v>5700</v>
      </c>
      <c r="H3588" s="5">
        <v>661</v>
      </c>
      <c r="I3588" t="s" s="2">
        <v>562</v>
      </c>
      <c r="J3588" t="s" s="2">
        <v>22</v>
      </c>
      <c r="K3588" t="s" s="2">
        <v>1085</v>
      </c>
      <c r="L3588" t="s" s="2">
        <v>939</v>
      </c>
      <c r="M3588" s="5">
        <v>462700.51</v>
      </c>
      <c r="N3588" s="5">
        <v>6248672.72</v>
      </c>
      <c r="O3588" t="s" s="2">
        <v>305</v>
      </c>
      <c r="P3588" s="5">
        <v>40121200</v>
      </c>
      <c r="Q3588" t="s" s="2">
        <v>5701</v>
      </c>
      <c r="R3588" t="s" s="2">
        <f>_xlfn.IFERROR(INDEX('model_byCAP'!$D$2:$D$377,MATCH(Q3588,'model_byCAP'!$A$2:$A$377,0)),0)</f>
        <v>5702</v>
      </c>
    </row>
    <row r="3589" ht="15.35" customHeight="1">
      <c r="A3589" t="s" s="2">
        <v>6755</v>
      </c>
      <c r="B3589" s="4">
        <v>35521</v>
      </c>
      <c r="C3589" s="5">
        <v>600</v>
      </c>
      <c r="D3589" s="5">
        <v>44</v>
      </c>
      <c r="E3589" s="5">
        <v>50</v>
      </c>
      <c r="F3589" t="s" s="2">
        <v>301</v>
      </c>
      <c r="G3589" t="s" s="2">
        <v>5700</v>
      </c>
      <c r="H3589" s="5">
        <v>661</v>
      </c>
      <c r="I3589" t="s" s="2">
        <v>562</v>
      </c>
      <c r="J3589" t="s" s="2">
        <v>22</v>
      </c>
      <c r="K3589" t="s" s="2">
        <v>1085</v>
      </c>
      <c r="L3589" t="s" s="2">
        <v>24</v>
      </c>
      <c r="M3589" s="5">
        <v>462639.42</v>
      </c>
      <c r="N3589" s="5">
        <v>6248954.47</v>
      </c>
      <c r="O3589" t="s" s="2">
        <v>305</v>
      </c>
      <c r="P3589" s="5">
        <v>40121200</v>
      </c>
      <c r="Q3589" t="s" s="2">
        <v>5701</v>
      </c>
      <c r="R3589" t="s" s="2">
        <f>_xlfn.IFERROR(INDEX('model_byCAP'!$D$2:$D$377,MATCH(Q3589,'model_byCAP'!$A$2:$A$377,0)),0)</f>
        <v>5702</v>
      </c>
    </row>
    <row r="3590" ht="15.35" customHeight="1">
      <c r="A3590" t="s" s="2">
        <v>6756</v>
      </c>
      <c r="B3590" s="4">
        <v>35521</v>
      </c>
      <c r="C3590" s="5">
        <v>600</v>
      </c>
      <c r="D3590" s="5">
        <v>44</v>
      </c>
      <c r="E3590" s="5">
        <v>50</v>
      </c>
      <c r="F3590" t="s" s="2">
        <v>301</v>
      </c>
      <c r="G3590" t="s" s="2">
        <v>5700</v>
      </c>
      <c r="H3590" s="5">
        <v>661</v>
      </c>
      <c r="I3590" t="s" s="2">
        <v>562</v>
      </c>
      <c r="J3590" t="s" s="2">
        <v>22</v>
      </c>
      <c r="K3590" t="s" s="2">
        <v>1085</v>
      </c>
      <c r="L3590" t="s" s="2">
        <v>1285</v>
      </c>
      <c r="M3590" s="5">
        <v>462578.46</v>
      </c>
      <c r="N3590" s="5">
        <v>6249236.3</v>
      </c>
      <c r="O3590" t="s" s="2">
        <v>305</v>
      </c>
      <c r="P3590" s="5">
        <v>40121200</v>
      </c>
      <c r="Q3590" t="s" s="2">
        <v>5701</v>
      </c>
      <c r="R3590" t="s" s="2">
        <f>_xlfn.IFERROR(INDEX('model_byCAP'!$D$2:$D$377,MATCH(Q3590,'model_byCAP'!$A$2:$A$377,0)),0)</f>
        <v>5702</v>
      </c>
    </row>
    <row r="3591" ht="15.35" customHeight="1">
      <c r="A3591" t="s" s="2">
        <v>6757</v>
      </c>
      <c r="B3591" s="4">
        <v>35521</v>
      </c>
      <c r="C3591" s="5">
        <v>600</v>
      </c>
      <c r="D3591" s="5">
        <v>44</v>
      </c>
      <c r="E3591" s="5">
        <v>50</v>
      </c>
      <c r="F3591" t="s" s="2">
        <v>301</v>
      </c>
      <c r="G3591" t="s" s="2">
        <v>5700</v>
      </c>
      <c r="H3591" s="5">
        <v>661</v>
      </c>
      <c r="I3591" t="s" s="2">
        <v>562</v>
      </c>
      <c r="J3591" t="s" s="2">
        <v>22</v>
      </c>
      <c r="K3591" t="s" s="2">
        <v>1085</v>
      </c>
      <c r="L3591" t="s" s="2">
        <v>1694</v>
      </c>
      <c r="M3591" s="5">
        <v>462988.35</v>
      </c>
      <c r="N3591" s="5">
        <v>6248598.83</v>
      </c>
      <c r="O3591" t="s" s="2">
        <v>305</v>
      </c>
      <c r="P3591" s="5">
        <v>40121200</v>
      </c>
      <c r="Q3591" t="s" s="2">
        <v>5701</v>
      </c>
      <c r="R3591" t="s" s="2">
        <f>_xlfn.IFERROR(INDEX('model_byCAP'!$D$2:$D$377,MATCH(Q3591,'model_byCAP'!$A$2:$A$377,0)),0)</f>
        <v>5702</v>
      </c>
    </row>
    <row r="3592" ht="15.35" customHeight="1">
      <c r="A3592" t="s" s="2">
        <v>6758</v>
      </c>
      <c r="B3592" s="4">
        <v>35521</v>
      </c>
      <c r="C3592" s="5">
        <v>600</v>
      </c>
      <c r="D3592" s="5">
        <v>44</v>
      </c>
      <c r="E3592" s="5">
        <v>50</v>
      </c>
      <c r="F3592" t="s" s="2">
        <v>301</v>
      </c>
      <c r="G3592" t="s" s="2">
        <v>5700</v>
      </c>
      <c r="H3592" s="5">
        <v>661</v>
      </c>
      <c r="I3592" t="s" s="2">
        <v>562</v>
      </c>
      <c r="J3592" t="s" s="2">
        <v>22</v>
      </c>
      <c r="K3592" t="s" s="2">
        <v>1085</v>
      </c>
      <c r="L3592" t="s" s="2">
        <v>1694</v>
      </c>
      <c r="M3592" s="5">
        <v>462927.61</v>
      </c>
      <c r="N3592" s="5">
        <v>6248880.38</v>
      </c>
      <c r="O3592" t="s" s="2">
        <v>305</v>
      </c>
      <c r="P3592" s="5">
        <v>40121200</v>
      </c>
      <c r="Q3592" t="s" s="2">
        <v>5701</v>
      </c>
      <c r="R3592" t="s" s="2">
        <f>_xlfn.IFERROR(INDEX('model_byCAP'!$D$2:$D$377,MATCH(Q3592,'model_byCAP'!$A$2:$A$377,0)),0)</f>
        <v>5702</v>
      </c>
    </row>
    <row r="3593" ht="15.35" customHeight="1">
      <c r="A3593" t="s" s="2">
        <v>6759</v>
      </c>
      <c r="B3593" s="4">
        <v>35521</v>
      </c>
      <c r="C3593" s="5">
        <v>600</v>
      </c>
      <c r="D3593" s="5">
        <v>44</v>
      </c>
      <c r="E3593" s="5">
        <v>50</v>
      </c>
      <c r="F3593" t="s" s="2">
        <v>301</v>
      </c>
      <c r="G3593" t="s" s="2">
        <v>5700</v>
      </c>
      <c r="H3593" s="5">
        <v>661</v>
      </c>
      <c r="I3593" t="s" s="2">
        <v>562</v>
      </c>
      <c r="J3593" t="s" s="2">
        <v>22</v>
      </c>
      <c r="K3593" t="s" s="2">
        <v>1085</v>
      </c>
      <c r="L3593" t="s" s="2">
        <v>6760</v>
      </c>
      <c r="M3593" s="5">
        <v>462868.04</v>
      </c>
      <c r="N3593" s="5">
        <v>6249161.53</v>
      </c>
      <c r="O3593" t="s" s="2">
        <v>305</v>
      </c>
      <c r="P3593" s="5">
        <v>40121200</v>
      </c>
      <c r="Q3593" t="s" s="2">
        <v>5701</v>
      </c>
      <c r="R3593" t="s" s="2">
        <f>_xlfn.IFERROR(INDEX('model_byCAP'!$D$2:$D$377,MATCH(Q3593,'model_byCAP'!$A$2:$A$377,0)),0)</f>
        <v>5702</v>
      </c>
    </row>
    <row r="3594" ht="15.35" customHeight="1">
      <c r="A3594" t="s" s="2">
        <v>6761</v>
      </c>
      <c r="B3594" s="4">
        <v>35521</v>
      </c>
      <c r="C3594" s="5">
        <v>600</v>
      </c>
      <c r="D3594" s="5">
        <v>44</v>
      </c>
      <c r="E3594" s="5">
        <v>50</v>
      </c>
      <c r="F3594" t="s" s="2">
        <v>301</v>
      </c>
      <c r="G3594" t="s" s="2">
        <v>5700</v>
      </c>
      <c r="H3594" s="5">
        <v>661</v>
      </c>
      <c r="I3594" t="s" s="2">
        <v>562</v>
      </c>
      <c r="J3594" t="s" s="2">
        <v>22</v>
      </c>
      <c r="K3594" t="s" s="2">
        <v>1085</v>
      </c>
      <c r="L3594" t="s" s="2">
        <v>6762</v>
      </c>
      <c r="M3594" s="5">
        <v>462805.97</v>
      </c>
      <c r="N3594" s="5">
        <v>6249443.41</v>
      </c>
      <c r="O3594" t="s" s="2">
        <v>305</v>
      </c>
      <c r="P3594" s="5">
        <v>40121200</v>
      </c>
      <c r="Q3594" t="s" s="2">
        <v>5701</v>
      </c>
      <c r="R3594" t="s" s="2">
        <f>_xlfn.IFERROR(INDEX('model_byCAP'!$D$2:$D$377,MATCH(Q3594,'model_byCAP'!$A$2:$A$377,0)),0)</f>
        <v>5702</v>
      </c>
    </row>
    <row r="3595" ht="15.35" customHeight="1">
      <c r="A3595" t="s" s="2">
        <v>6763</v>
      </c>
      <c r="B3595" s="4">
        <v>35521</v>
      </c>
      <c r="C3595" s="5">
        <v>600</v>
      </c>
      <c r="D3595" s="5">
        <v>44</v>
      </c>
      <c r="E3595" s="5">
        <v>50</v>
      </c>
      <c r="F3595" t="s" s="2">
        <v>301</v>
      </c>
      <c r="G3595" t="s" s="2">
        <v>5700</v>
      </c>
      <c r="H3595" s="5">
        <v>661</v>
      </c>
      <c r="I3595" t="s" s="2">
        <v>562</v>
      </c>
      <c r="J3595" t="s" s="2">
        <v>22</v>
      </c>
      <c r="K3595" t="s" s="2">
        <v>1085</v>
      </c>
      <c r="L3595" t="s" s="2">
        <v>6764</v>
      </c>
      <c r="M3595" s="5">
        <v>463371.85</v>
      </c>
      <c r="N3595" s="5">
        <v>6248499.9</v>
      </c>
      <c r="O3595" t="s" s="2">
        <v>305</v>
      </c>
      <c r="P3595" s="5">
        <v>40121200</v>
      </c>
      <c r="Q3595" t="s" s="2">
        <v>5701</v>
      </c>
      <c r="R3595" t="s" s="2">
        <f>_xlfn.IFERROR(INDEX('model_byCAP'!$D$2:$D$377,MATCH(Q3595,'model_byCAP'!$A$2:$A$377,0)),0)</f>
        <v>5702</v>
      </c>
    </row>
    <row r="3596" ht="15.35" customHeight="1">
      <c r="A3596" t="s" s="2">
        <v>6765</v>
      </c>
      <c r="B3596" s="4">
        <v>35521</v>
      </c>
      <c r="C3596" s="5">
        <v>600</v>
      </c>
      <c r="D3596" s="5">
        <v>44</v>
      </c>
      <c r="E3596" s="5">
        <v>50</v>
      </c>
      <c r="F3596" t="s" s="2">
        <v>301</v>
      </c>
      <c r="G3596" t="s" s="2">
        <v>5700</v>
      </c>
      <c r="H3596" s="5">
        <v>661</v>
      </c>
      <c r="I3596" t="s" s="2">
        <v>562</v>
      </c>
      <c r="J3596" t="s" s="2">
        <v>22</v>
      </c>
      <c r="K3596" t="s" s="2">
        <v>1085</v>
      </c>
      <c r="L3596" t="s" s="2">
        <v>6766</v>
      </c>
      <c r="M3596" s="5">
        <v>463309.28</v>
      </c>
      <c r="N3596" s="5">
        <v>6248781.9</v>
      </c>
      <c r="O3596" t="s" s="2">
        <v>305</v>
      </c>
      <c r="P3596" s="5">
        <v>40121200</v>
      </c>
      <c r="Q3596" t="s" s="2">
        <v>5701</v>
      </c>
      <c r="R3596" t="s" s="2">
        <f>_xlfn.IFERROR(INDEX('model_byCAP'!$D$2:$D$377,MATCH(Q3596,'model_byCAP'!$A$2:$A$377,0)),0)</f>
        <v>5702</v>
      </c>
    </row>
    <row r="3597" ht="15.35" customHeight="1">
      <c r="A3597" t="s" s="2">
        <v>6767</v>
      </c>
      <c r="B3597" s="4">
        <v>35521</v>
      </c>
      <c r="C3597" s="5">
        <v>600</v>
      </c>
      <c r="D3597" s="5">
        <v>44</v>
      </c>
      <c r="E3597" s="5">
        <v>50</v>
      </c>
      <c r="F3597" t="s" s="2">
        <v>301</v>
      </c>
      <c r="G3597" t="s" s="2">
        <v>5700</v>
      </c>
      <c r="H3597" s="5">
        <v>661</v>
      </c>
      <c r="I3597" t="s" s="2">
        <v>562</v>
      </c>
      <c r="J3597" t="s" s="2">
        <v>22</v>
      </c>
      <c r="K3597" t="s" s="2">
        <v>1085</v>
      </c>
      <c r="L3597" t="s" s="2">
        <v>4834</v>
      </c>
      <c r="M3597" s="5">
        <v>463246.33</v>
      </c>
      <c r="N3597" s="5">
        <v>6249064.07</v>
      </c>
      <c r="O3597" t="s" s="2">
        <v>305</v>
      </c>
      <c r="P3597" s="5">
        <v>40121200</v>
      </c>
      <c r="Q3597" t="s" s="2">
        <v>5701</v>
      </c>
      <c r="R3597" t="s" s="2">
        <f>_xlfn.IFERROR(INDEX('model_byCAP'!$D$2:$D$377,MATCH(Q3597,'model_byCAP'!$A$2:$A$377,0)),0)</f>
        <v>5702</v>
      </c>
    </row>
    <row r="3598" ht="15.35" customHeight="1">
      <c r="A3598" t="s" s="2">
        <v>6768</v>
      </c>
      <c r="B3598" s="4">
        <v>35521</v>
      </c>
      <c r="C3598" s="5">
        <v>600</v>
      </c>
      <c r="D3598" s="5">
        <v>44</v>
      </c>
      <c r="E3598" s="5">
        <v>50</v>
      </c>
      <c r="F3598" t="s" s="2">
        <v>301</v>
      </c>
      <c r="G3598" t="s" s="2">
        <v>5700</v>
      </c>
      <c r="H3598" s="5">
        <v>661</v>
      </c>
      <c r="I3598" t="s" s="2">
        <v>562</v>
      </c>
      <c r="J3598" t="s" s="2">
        <v>22</v>
      </c>
      <c r="K3598" t="s" s="2">
        <v>1085</v>
      </c>
      <c r="L3598" t="s" s="2">
        <v>507</v>
      </c>
      <c r="M3598" s="5">
        <v>463184.21</v>
      </c>
      <c r="N3598" s="5">
        <v>6249346.13</v>
      </c>
      <c r="O3598" t="s" s="2">
        <v>305</v>
      </c>
      <c r="P3598" s="5">
        <v>40121200</v>
      </c>
      <c r="Q3598" t="s" s="2">
        <v>5701</v>
      </c>
      <c r="R3598" t="s" s="2">
        <f>_xlfn.IFERROR(INDEX('model_byCAP'!$D$2:$D$377,MATCH(Q3598,'model_byCAP'!$A$2:$A$377,0)),0)</f>
        <v>5702</v>
      </c>
    </row>
    <row r="3599" ht="15.35" customHeight="1">
      <c r="A3599" t="s" s="2">
        <v>6769</v>
      </c>
      <c r="B3599" s="4">
        <v>35521</v>
      </c>
      <c r="C3599" s="5">
        <v>600</v>
      </c>
      <c r="D3599" s="5">
        <v>44</v>
      </c>
      <c r="E3599" s="5">
        <v>50</v>
      </c>
      <c r="F3599" t="s" s="2">
        <v>301</v>
      </c>
      <c r="G3599" t="s" s="2">
        <v>5700</v>
      </c>
      <c r="H3599" s="5">
        <v>661</v>
      </c>
      <c r="I3599" t="s" s="2">
        <v>562</v>
      </c>
      <c r="J3599" t="s" s="2">
        <v>22</v>
      </c>
      <c r="K3599" t="s" s="2">
        <v>1085</v>
      </c>
      <c r="L3599" t="s" s="2">
        <v>6770</v>
      </c>
      <c r="M3599" s="5">
        <v>463747.64</v>
      </c>
      <c r="N3599" s="5">
        <v>6248403.15</v>
      </c>
      <c r="O3599" t="s" s="2">
        <v>305</v>
      </c>
      <c r="P3599" s="5">
        <v>40121200</v>
      </c>
      <c r="Q3599" t="s" s="2">
        <v>5701</v>
      </c>
      <c r="R3599" t="s" s="2">
        <f>_xlfn.IFERROR(INDEX('model_byCAP'!$D$2:$D$377,MATCH(Q3599,'model_byCAP'!$A$2:$A$377,0)),0)</f>
        <v>5702</v>
      </c>
    </row>
    <row r="3600" ht="15.35" customHeight="1">
      <c r="A3600" t="s" s="2">
        <v>6771</v>
      </c>
      <c r="B3600" s="4">
        <v>35521</v>
      </c>
      <c r="C3600" s="5">
        <v>600</v>
      </c>
      <c r="D3600" s="5">
        <v>44</v>
      </c>
      <c r="E3600" s="5">
        <v>50</v>
      </c>
      <c r="F3600" t="s" s="2">
        <v>301</v>
      </c>
      <c r="G3600" t="s" s="2">
        <v>5700</v>
      </c>
      <c r="H3600" s="5">
        <v>661</v>
      </c>
      <c r="I3600" t="s" s="2">
        <v>562</v>
      </c>
      <c r="J3600" t="s" s="2">
        <v>22</v>
      </c>
      <c r="K3600" t="s" s="2">
        <v>1085</v>
      </c>
      <c r="L3600" t="s" s="2">
        <v>1233</v>
      </c>
      <c r="M3600" s="5">
        <v>463685.11</v>
      </c>
      <c r="N3600" s="5">
        <v>6248685.14</v>
      </c>
      <c r="O3600" t="s" s="2">
        <v>305</v>
      </c>
      <c r="P3600" s="5">
        <v>40121200</v>
      </c>
      <c r="Q3600" t="s" s="2">
        <v>5701</v>
      </c>
      <c r="R3600" t="s" s="2">
        <f>_xlfn.IFERROR(INDEX('model_byCAP'!$D$2:$D$377,MATCH(Q3600,'model_byCAP'!$A$2:$A$377,0)),0)</f>
        <v>5702</v>
      </c>
    </row>
    <row r="3601" ht="15.35" customHeight="1">
      <c r="A3601" t="s" s="2">
        <v>6772</v>
      </c>
      <c r="B3601" s="4">
        <v>35521</v>
      </c>
      <c r="C3601" s="5">
        <v>600</v>
      </c>
      <c r="D3601" s="5">
        <v>44</v>
      </c>
      <c r="E3601" s="5">
        <v>50</v>
      </c>
      <c r="F3601" t="s" s="2">
        <v>301</v>
      </c>
      <c r="G3601" t="s" s="2">
        <v>5700</v>
      </c>
      <c r="H3601" s="5">
        <v>661</v>
      </c>
      <c r="I3601" t="s" s="2">
        <v>562</v>
      </c>
      <c r="J3601" t="s" s="2">
        <v>22</v>
      </c>
      <c r="K3601" t="s" s="2">
        <v>1085</v>
      </c>
      <c r="L3601" t="s" s="2">
        <v>6773</v>
      </c>
      <c r="M3601" s="5">
        <v>463622.23</v>
      </c>
      <c r="N3601" s="5">
        <v>6248967.04</v>
      </c>
      <c r="O3601" t="s" s="2">
        <v>305</v>
      </c>
      <c r="P3601" s="5">
        <v>40121200</v>
      </c>
      <c r="Q3601" t="s" s="2">
        <v>5701</v>
      </c>
      <c r="R3601" t="s" s="2">
        <f>_xlfn.IFERROR(INDEX('model_byCAP'!$D$2:$D$377,MATCH(Q3601,'model_byCAP'!$A$2:$A$377,0)),0)</f>
        <v>5702</v>
      </c>
    </row>
    <row r="3602" ht="15.35" customHeight="1">
      <c r="A3602" t="s" s="2">
        <v>6774</v>
      </c>
      <c r="B3602" s="4">
        <v>35521</v>
      </c>
      <c r="C3602" s="5">
        <v>600</v>
      </c>
      <c r="D3602" s="5">
        <v>44</v>
      </c>
      <c r="E3602" s="5">
        <v>50</v>
      </c>
      <c r="F3602" t="s" s="2">
        <v>301</v>
      </c>
      <c r="G3602" t="s" s="2">
        <v>5700</v>
      </c>
      <c r="H3602" s="5">
        <v>661</v>
      </c>
      <c r="I3602" t="s" s="2">
        <v>562</v>
      </c>
      <c r="J3602" t="s" s="2">
        <v>22</v>
      </c>
      <c r="K3602" t="s" s="2">
        <v>1085</v>
      </c>
      <c r="L3602" t="s" s="2">
        <v>4796</v>
      </c>
      <c r="M3602" s="5">
        <v>463560.04</v>
      </c>
      <c r="N3602" s="5">
        <v>6249249.12</v>
      </c>
      <c r="O3602" t="s" s="2">
        <v>305</v>
      </c>
      <c r="P3602" s="5">
        <v>40121200</v>
      </c>
      <c r="Q3602" t="s" s="2">
        <v>5701</v>
      </c>
      <c r="R3602" t="s" s="2">
        <f>_xlfn.IFERROR(INDEX('model_byCAP'!$D$2:$D$377,MATCH(Q3602,'model_byCAP'!$A$2:$A$377,0)),0)</f>
        <v>5702</v>
      </c>
    </row>
    <row r="3603" ht="15.35" customHeight="1">
      <c r="A3603" t="s" s="2">
        <v>6775</v>
      </c>
      <c r="B3603" s="4">
        <v>35612</v>
      </c>
      <c r="C3603" s="5">
        <v>600</v>
      </c>
      <c r="D3603" s="5">
        <v>44</v>
      </c>
      <c r="E3603" s="5">
        <v>45</v>
      </c>
      <c r="F3603" t="s" s="2">
        <v>301</v>
      </c>
      <c r="G3603" t="s" s="2">
        <v>5700</v>
      </c>
      <c r="H3603" s="5">
        <v>661</v>
      </c>
      <c r="I3603" t="s" s="2">
        <v>562</v>
      </c>
      <c r="J3603" t="s" s="2">
        <v>22</v>
      </c>
      <c r="K3603" t="s" s="2">
        <v>5618</v>
      </c>
      <c r="L3603" t="s" s="2">
        <v>1611</v>
      </c>
      <c r="M3603" s="5">
        <v>482138.6</v>
      </c>
      <c r="N3603" s="5">
        <v>6251622.46</v>
      </c>
      <c r="O3603" t="s" s="2">
        <v>305</v>
      </c>
      <c r="P3603" s="5">
        <v>40126233</v>
      </c>
      <c r="Q3603" t="s" s="2">
        <v>5701</v>
      </c>
      <c r="R3603" t="s" s="2">
        <f>_xlfn.IFERROR(INDEX('model_byCAP'!$D$2:$D$377,MATCH(Q3603,'model_byCAP'!$A$2:$A$377,0)),0)</f>
        <v>5702</v>
      </c>
    </row>
    <row r="3604" ht="15.35" customHeight="1">
      <c r="A3604" t="s" s="2">
        <v>6776</v>
      </c>
      <c r="B3604" s="4">
        <v>35689</v>
      </c>
      <c r="C3604" s="5">
        <v>600</v>
      </c>
      <c r="D3604" s="5">
        <v>44</v>
      </c>
      <c r="E3604" s="5">
        <v>50</v>
      </c>
      <c r="F3604" t="s" s="2">
        <v>301</v>
      </c>
      <c r="G3604" t="s" s="2">
        <v>5700</v>
      </c>
      <c r="H3604" s="5">
        <v>661</v>
      </c>
      <c r="I3604" t="s" s="2">
        <v>562</v>
      </c>
      <c r="J3604" t="s" s="2">
        <v>22</v>
      </c>
      <c r="K3604" t="s" s="2">
        <v>6777</v>
      </c>
      <c r="L3604" t="s" s="2">
        <v>6778</v>
      </c>
      <c r="M3604" s="5">
        <v>486214.71</v>
      </c>
      <c r="N3604" s="5">
        <v>6256883.86</v>
      </c>
      <c r="O3604" t="s" s="2">
        <v>305</v>
      </c>
      <c r="P3604" s="5">
        <v>1254</v>
      </c>
      <c r="Q3604" t="s" s="2">
        <v>5701</v>
      </c>
      <c r="R3604" t="s" s="2">
        <f>_xlfn.IFERROR(INDEX('model_byCAP'!$D$2:$D$377,MATCH(Q3604,'model_byCAP'!$A$2:$A$377,0)),0)</f>
        <v>5702</v>
      </c>
    </row>
    <row r="3605" ht="15.35" customHeight="1">
      <c r="A3605" t="s" s="2">
        <v>6779</v>
      </c>
      <c r="B3605" s="4">
        <v>35689</v>
      </c>
      <c r="C3605" s="5">
        <v>600</v>
      </c>
      <c r="D3605" s="5">
        <v>44</v>
      </c>
      <c r="E3605" s="5">
        <v>45</v>
      </c>
      <c r="F3605" t="s" s="2">
        <v>301</v>
      </c>
      <c r="G3605" t="s" s="2">
        <v>5700</v>
      </c>
      <c r="H3605" s="5">
        <v>661</v>
      </c>
      <c r="I3605" t="s" s="2">
        <v>562</v>
      </c>
      <c r="J3605" t="s" s="2">
        <v>22</v>
      </c>
      <c r="K3605" t="s" s="2">
        <v>6777</v>
      </c>
      <c r="L3605" t="s" s="2">
        <v>2479</v>
      </c>
      <c r="M3605" s="5">
        <v>486164.32</v>
      </c>
      <c r="N3605" s="5">
        <v>6256664.43</v>
      </c>
      <c r="O3605" t="s" s="2">
        <v>305</v>
      </c>
      <c r="P3605" s="5">
        <v>1254</v>
      </c>
      <c r="Q3605" t="s" s="2">
        <v>5701</v>
      </c>
      <c r="R3605" t="s" s="2">
        <f>_xlfn.IFERROR(INDEX('model_byCAP'!$D$2:$D$377,MATCH(Q3605,'model_byCAP'!$A$2:$A$377,0)),0)</f>
        <v>5702</v>
      </c>
    </row>
    <row r="3606" ht="15.35" customHeight="1">
      <c r="A3606" t="s" s="2">
        <v>6780</v>
      </c>
      <c r="B3606" s="4">
        <v>35765</v>
      </c>
      <c r="C3606" s="5">
        <v>600</v>
      </c>
      <c r="D3606" s="5">
        <v>44</v>
      </c>
      <c r="E3606" s="5">
        <v>45</v>
      </c>
      <c r="F3606" t="s" s="2">
        <v>301</v>
      </c>
      <c r="G3606" t="s" s="2">
        <v>5700</v>
      </c>
      <c r="H3606" s="5">
        <v>661</v>
      </c>
      <c r="I3606" t="s" s="2">
        <v>562</v>
      </c>
      <c r="J3606" t="s" s="2">
        <v>22</v>
      </c>
      <c r="K3606" t="s" s="2">
        <v>6777</v>
      </c>
      <c r="L3606" t="s" s="2">
        <v>5070</v>
      </c>
      <c r="M3606" s="5">
        <v>486379.88</v>
      </c>
      <c r="N3606" s="5">
        <v>6256725.41</v>
      </c>
      <c r="O3606" t="s" s="2">
        <v>305</v>
      </c>
      <c r="P3606" s="5">
        <v>1254</v>
      </c>
      <c r="Q3606" t="s" s="2">
        <v>5701</v>
      </c>
      <c r="R3606" t="s" s="2">
        <f>_xlfn.IFERROR(INDEX('model_byCAP'!$D$2:$D$377,MATCH(Q3606,'model_byCAP'!$A$2:$A$377,0)),0)</f>
        <v>5702</v>
      </c>
    </row>
    <row r="3607" ht="15.35" customHeight="1">
      <c r="A3607" t="s" s="2">
        <v>6781</v>
      </c>
      <c r="B3607" s="4">
        <v>35429</v>
      </c>
      <c r="C3607" s="5">
        <v>600</v>
      </c>
      <c r="D3607" s="5">
        <v>44</v>
      </c>
      <c r="E3607" s="5">
        <v>46</v>
      </c>
      <c r="F3607" t="s" s="2">
        <v>1989</v>
      </c>
      <c r="G3607" t="s" s="2">
        <v>6085</v>
      </c>
      <c r="H3607" s="5">
        <v>665</v>
      </c>
      <c r="I3607" t="s" s="2">
        <v>316</v>
      </c>
      <c r="J3607" t="s" s="2">
        <v>22</v>
      </c>
      <c r="K3607" t="s" s="2">
        <v>6782</v>
      </c>
      <c r="L3607" t="s" s="2">
        <v>6783</v>
      </c>
      <c r="M3607" s="5">
        <v>448882.61</v>
      </c>
      <c r="N3607" s="5">
        <v>6275325.27</v>
      </c>
      <c r="O3607" t="s" s="2">
        <v>305</v>
      </c>
      <c r="P3607" s="5">
        <v>40073097</v>
      </c>
      <c r="Q3607" t="s" s="2">
        <v>6087</v>
      </c>
      <c r="R3607" t="s" s="2">
        <f>_xlfn.IFERROR(INDEX('model_byCAP'!$D$2:$D$377,MATCH(Q3607,'model_byCAP'!$A$2:$A$377,0)),0)</f>
        <v>5955</v>
      </c>
    </row>
    <row r="3608" ht="15.35" customHeight="1">
      <c r="A3608" t="s" s="2">
        <v>6784</v>
      </c>
      <c r="B3608" s="4">
        <v>35194</v>
      </c>
      <c r="C3608" s="5">
        <v>600</v>
      </c>
      <c r="D3608" s="5">
        <v>43</v>
      </c>
      <c r="E3608" s="5">
        <v>40.5</v>
      </c>
      <c r="F3608" t="s" s="2">
        <v>2328</v>
      </c>
      <c r="G3608" t="s" s="2">
        <v>6438</v>
      </c>
      <c r="H3608" s="5">
        <v>665</v>
      </c>
      <c r="I3608" t="s" s="2">
        <v>316</v>
      </c>
      <c r="J3608" t="s" s="2">
        <v>22</v>
      </c>
      <c r="K3608" t="s" s="2">
        <v>4649</v>
      </c>
      <c r="L3608" t="s" s="2">
        <v>5306</v>
      </c>
      <c r="M3608" s="5">
        <v>456128.39</v>
      </c>
      <c r="N3608" s="5">
        <v>6264529.02</v>
      </c>
      <c r="O3608" t="s" s="2">
        <v>305</v>
      </c>
      <c r="P3608" s="5">
        <v>40105143</v>
      </c>
      <c r="Q3608" t="s" s="2">
        <v>6439</v>
      </c>
      <c r="R3608" t="s" s="2">
        <f>_xlfn.IFERROR(INDEX('model_byCAP'!$D$2:$D$377,MATCH(Q3608,'model_byCAP'!$A$2:$A$377,0)),0)</f>
        <v>6352</v>
      </c>
    </row>
    <row r="3609" ht="15.35" customHeight="1">
      <c r="A3609" t="s" s="2">
        <v>6785</v>
      </c>
      <c r="B3609" s="4">
        <v>35194</v>
      </c>
      <c r="C3609" s="5">
        <v>600</v>
      </c>
      <c r="D3609" s="5">
        <v>43</v>
      </c>
      <c r="E3609" s="5">
        <v>40</v>
      </c>
      <c r="F3609" t="s" s="2">
        <v>1746</v>
      </c>
      <c r="G3609" t="s" s="2">
        <v>6286</v>
      </c>
      <c r="H3609" s="5">
        <v>665</v>
      </c>
      <c r="I3609" t="s" s="2">
        <v>316</v>
      </c>
      <c r="J3609" t="s" s="2">
        <v>22</v>
      </c>
      <c r="K3609" t="s" s="2">
        <v>6786</v>
      </c>
      <c r="L3609" t="s" s="2">
        <v>6787</v>
      </c>
      <c r="M3609" s="5">
        <v>454390.531</v>
      </c>
      <c r="N3609" s="5">
        <v>6252675.002</v>
      </c>
      <c r="O3609" t="s" s="2">
        <v>25</v>
      </c>
      <c r="P3609" s="5">
        <v>40110</v>
      </c>
      <c r="Q3609" t="s" s="2">
        <v>6288</v>
      </c>
      <c r="R3609" t="s" s="2">
        <f>_xlfn.IFERROR(INDEX('model_byCAP'!$D$2:$D$377,MATCH(Q3609,'model_byCAP'!$A$2:$A$377,0)),0)</f>
        <v>2955</v>
      </c>
    </row>
    <row r="3610" ht="15.35" customHeight="1">
      <c r="A3610" t="s" s="2">
        <v>6788</v>
      </c>
      <c r="B3610" s="4">
        <v>35194</v>
      </c>
      <c r="C3610" s="5">
        <v>600</v>
      </c>
      <c r="D3610" s="5">
        <v>43</v>
      </c>
      <c r="E3610" s="5">
        <v>40</v>
      </c>
      <c r="F3610" t="s" s="2">
        <v>1746</v>
      </c>
      <c r="G3610" t="s" s="2">
        <v>6286</v>
      </c>
      <c r="H3610" s="5">
        <v>665</v>
      </c>
      <c r="I3610" t="s" s="2">
        <v>316</v>
      </c>
      <c r="J3610" t="s" s="2">
        <v>22</v>
      </c>
      <c r="K3610" t="s" s="2">
        <v>6786</v>
      </c>
      <c r="L3610" t="s" s="2">
        <v>6789</v>
      </c>
      <c r="M3610" s="5">
        <v>454190.74</v>
      </c>
      <c r="N3610" s="5">
        <v>6252589.48</v>
      </c>
      <c r="O3610" t="s" s="2">
        <v>305</v>
      </c>
      <c r="P3610" s="5">
        <v>40110161</v>
      </c>
      <c r="Q3610" t="s" s="2">
        <v>6288</v>
      </c>
      <c r="R3610" t="s" s="2">
        <f>_xlfn.IFERROR(INDEX('model_byCAP'!$D$2:$D$377,MATCH(Q3610,'model_byCAP'!$A$2:$A$377,0)),0)</f>
        <v>2955</v>
      </c>
    </row>
    <row r="3611" ht="15.35" customHeight="1">
      <c r="A3611" t="s" s="2">
        <v>6790</v>
      </c>
      <c r="B3611" s="4">
        <v>35194</v>
      </c>
      <c r="C3611" s="5">
        <v>600</v>
      </c>
      <c r="D3611" s="5">
        <v>43</v>
      </c>
      <c r="E3611" s="5">
        <v>40</v>
      </c>
      <c r="F3611" t="s" s="2">
        <v>1746</v>
      </c>
      <c r="G3611" t="s" s="2">
        <v>6286</v>
      </c>
      <c r="H3611" s="5">
        <v>665</v>
      </c>
      <c r="I3611" t="s" s="2">
        <v>316</v>
      </c>
      <c r="J3611" t="s" s="2">
        <v>22</v>
      </c>
      <c r="K3611" t="s" s="2">
        <v>6786</v>
      </c>
      <c r="L3611" t="s" s="2">
        <v>6791</v>
      </c>
      <c r="M3611" s="5">
        <v>454364.969</v>
      </c>
      <c r="N3611" s="5">
        <v>6252459.041</v>
      </c>
      <c r="O3611" t="s" s="2">
        <v>25</v>
      </c>
      <c r="P3611" s="5">
        <v>40110</v>
      </c>
      <c r="Q3611" t="s" s="2">
        <v>6288</v>
      </c>
      <c r="R3611" t="s" s="2">
        <f>_xlfn.IFERROR(INDEX('model_byCAP'!$D$2:$D$377,MATCH(Q3611,'model_byCAP'!$A$2:$A$377,0)),0)</f>
        <v>2955</v>
      </c>
    </row>
    <row r="3612" ht="15.35" customHeight="1">
      <c r="A3612" t="s" s="2">
        <v>6792</v>
      </c>
      <c r="B3612" s="4">
        <v>35180</v>
      </c>
      <c r="C3612" s="5">
        <v>600</v>
      </c>
      <c r="D3612" s="5">
        <v>43</v>
      </c>
      <c r="E3612" s="5">
        <v>40</v>
      </c>
      <c r="F3612" t="s" s="2">
        <v>1746</v>
      </c>
      <c r="G3612" t="s" s="2">
        <v>6286</v>
      </c>
      <c r="H3612" s="5">
        <v>665</v>
      </c>
      <c r="I3612" t="s" s="2">
        <v>316</v>
      </c>
      <c r="J3612" t="s" s="2">
        <v>22</v>
      </c>
      <c r="K3612" t="s" s="2">
        <v>6793</v>
      </c>
      <c r="L3612" t="s" s="2">
        <v>518</v>
      </c>
      <c r="M3612" s="5">
        <v>450095.3</v>
      </c>
      <c r="N3612" s="5">
        <v>6254002.23</v>
      </c>
      <c r="O3612" t="s" s="2">
        <v>305</v>
      </c>
      <c r="P3612" s="5">
        <v>40112172</v>
      </c>
      <c r="Q3612" t="s" s="2">
        <v>6288</v>
      </c>
      <c r="R3612" t="s" s="2">
        <f>_xlfn.IFERROR(INDEX('model_byCAP'!$D$2:$D$377,MATCH(Q3612,'model_byCAP'!$A$2:$A$377,0)),0)</f>
        <v>2955</v>
      </c>
    </row>
    <row r="3613" ht="15.35" customHeight="1">
      <c r="A3613" t="s" s="2">
        <v>6794</v>
      </c>
      <c r="B3613" s="4">
        <v>35180</v>
      </c>
      <c r="C3613" s="5">
        <v>600</v>
      </c>
      <c r="D3613" s="5">
        <v>43</v>
      </c>
      <c r="E3613" s="5">
        <v>40</v>
      </c>
      <c r="F3613" t="s" s="2">
        <v>1746</v>
      </c>
      <c r="G3613" t="s" s="2">
        <v>6286</v>
      </c>
      <c r="H3613" s="5">
        <v>665</v>
      </c>
      <c r="I3613" t="s" s="2">
        <v>316</v>
      </c>
      <c r="J3613" t="s" s="2">
        <v>22</v>
      </c>
      <c r="K3613" t="s" s="2">
        <v>6793</v>
      </c>
      <c r="L3613" t="s" s="2">
        <v>4390</v>
      </c>
      <c r="M3613" s="5">
        <v>450181.47</v>
      </c>
      <c r="N3613" s="5">
        <v>6253904.54</v>
      </c>
      <c r="O3613" t="s" s="2">
        <v>305</v>
      </c>
      <c r="P3613" s="5">
        <v>40112172</v>
      </c>
      <c r="Q3613" t="s" s="2">
        <v>6288</v>
      </c>
      <c r="R3613" t="s" s="2">
        <f>_xlfn.IFERROR(INDEX('model_byCAP'!$D$2:$D$377,MATCH(Q3613,'model_byCAP'!$A$2:$A$377,0)),0)</f>
        <v>2955</v>
      </c>
    </row>
    <row r="3614" ht="15.35" customHeight="1">
      <c r="A3614" t="s" s="2">
        <v>6795</v>
      </c>
      <c r="B3614" s="4">
        <v>35250</v>
      </c>
      <c r="C3614" s="5">
        <v>600</v>
      </c>
      <c r="D3614" s="5">
        <v>43</v>
      </c>
      <c r="E3614" s="5">
        <v>40</v>
      </c>
      <c r="F3614" t="s" s="2">
        <v>1746</v>
      </c>
      <c r="G3614" t="s" s="2">
        <v>6286</v>
      </c>
      <c r="H3614" s="5">
        <v>665</v>
      </c>
      <c r="I3614" t="s" s="2">
        <v>316</v>
      </c>
      <c r="J3614" t="s" s="2">
        <v>22</v>
      </c>
      <c r="K3614" t="s" s="2">
        <v>6786</v>
      </c>
      <c r="L3614" t="s" s="2">
        <v>6796</v>
      </c>
      <c r="M3614" s="5">
        <v>455362.98</v>
      </c>
      <c r="N3614" s="5">
        <v>6255781.55</v>
      </c>
      <c r="O3614" t="s" s="2">
        <v>305</v>
      </c>
      <c r="P3614" s="5">
        <v>40113174</v>
      </c>
      <c r="Q3614" t="s" s="2">
        <v>6288</v>
      </c>
      <c r="R3614" t="s" s="2">
        <f>_xlfn.IFERROR(INDEX('model_byCAP'!$D$2:$D$377,MATCH(Q3614,'model_byCAP'!$A$2:$A$377,0)),0)</f>
        <v>2955</v>
      </c>
    </row>
    <row r="3615" ht="15.35" customHeight="1">
      <c r="A3615" t="s" s="2">
        <v>6797</v>
      </c>
      <c r="B3615" s="4">
        <v>35250</v>
      </c>
      <c r="C3615" s="5">
        <v>600</v>
      </c>
      <c r="D3615" s="5">
        <v>43</v>
      </c>
      <c r="E3615" s="5">
        <v>40</v>
      </c>
      <c r="F3615" t="s" s="2">
        <v>1746</v>
      </c>
      <c r="G3615" t="s" s="2">
        <v>6286</v>
      </c>
      <c r="H3615" s="5">
        <v>665</v>
      </c>
      <c r="I3615" t="s" s="2">
        <v>316</v>
      </c>
      <c r="J3615" t="s" s="2">
        <v>22</v>
      </c>
      <c r="K3615" t="s" s="2">
        <v>6786</v>
      </c>
      <c r="L3615" t="s" s="2">
        <v>6798</v>
      </c>
      <c r="M3615" s="5">
        <v>455274.04</v>
      </c>
      <c r="N3615" s="5">
        <v>6255902.59</v>
      </c>
      <c r="O3615" t="s" s="2">
        <v>305</v>
      </c>
      <c r="P3615" s="5">
        <v>40113174</v>
      </c>
      <c r="Q3615" t="s" s="2">
        <v>6288</v>
      </c>
      <c r="R3615" t="s" s="2">
        <f>_xlfn.IFERROR(INDEX('model_byCAP'!$D$2:$D$377,MATCH(Q3615,'model_byCAP'!$A$2:$A$377,0)),0)</f>
        <v>2955</v>
      </c>
    </row>
    <row r="3616" ht="15.35" customHeight="1">
      <c r="A3616" t="s" s="2">
        <v>6799</v>
      </c>
      <c r="B3616" s="4">
        <v>35250</v>
      </c>
      <c r="C3616" s="5">
        <v>600</v>
      </c>
      <c r="D3616" s="5">
        <v>43</v>
      </c>
      <c r="E3616" s="5">
        <v>40</v>
      </c>
      <c r="F3616" t="s" s="2">
        <v>1746</v>
      </c>
      <c r="G3616" t="s" s="2">
        <v>6286</v>
      </c>
      <c r="H3616" s="5">
        <v>665</v>
      </c>
      <c r="I3616" t="s" s="2">
        <v>316</v>
      </c>
      <c r="J3616" t="s" s="2">
        <v>22</v>
      </c>
      <c r="K3616" t="s" s="2">
        <v>6786</v>
      </c>
      <c r="L3616" t="s" s="2">
        <v>6800</v>
      </c>
      <c r="M3616" s="5">
        <v>455181.61</v>
      </c>
      <c r="N3616" s="5">
        <v>6256023.78</v>
      </c>
      <c r="O3616" t="s" s="2">
        <v>305</v>
      </c>
      <c r="P3616" s="5">
        <v>40113174</v>
      </c>
      <c r="Q3616" t="s" s="2">
        <v>6288</v>
      </c>
      <c r="R3616" t="s" s="2">
        <f>_xlfn.IFERROR(INDEX('model_byCAP'!$D$2:$D$377,MATCH(Q3616,'model_byCAP'!$A$2:$A$377,0)),0)</f>
        <v>2955</v>
      </c>
    </row>
    <row r="3617" ht="15.35" customHeight="1">
      <c r="A3617" t="s" s="2">
        <v>6801</v>
      </c>
      <c r="B3617" s="4">
        <v>35563</v>
      </c>
      <c r="C3617" s="5">
        <v>600</v>
      </c>
      <c r="D3617" s="5">
        <v>44</v>
      </c>
      <c r="E3617" s="5">
        <v>45</v>
      </c>
      <c r="F3617" t="s" s="2">
        <v>301</v>
      </c>
      <c r="G3617" t="s" s="2">
        <v>5700</v>
      </c>
      <c r="H3617" s="5">
        <v>665</v>
      </c>
      <c r="I3617" t="s" s="2">
        <v>316</v>
      </c>
      <c r="J3617" t="s" s="2">
        <v>22</v>
      </c>
      <c r="K3617" t="s" s="2">
        <v>596</v>
      </c>
      <c r="L3617" t="s" s="2">
        <v>6802</v>
      </c>
      <c r="M3617" s="5">
        <v>455873.49</v>
      </c>
      <c r="N3617" s="5">
        <v>6247025.68</v>
      </c>
      <c r="O3617" t="s" s="2">
        <v>305</v>
      </c>
      <c r="P3617" s="5">
        <v>40122215</v>
      </c>
      <c r="Q3617" t="s" s="2">
        <v>5701</v>
      </c>
      <c r="R3617" t="s" s="2">
        <f>_xlfn.IFERROR(INDEX('model_byCAP'!$D$2:$D$377,MATCH(Q3617,'model_byCAP'!$A$2:$A$377,0)),0)</f>
        <v>5702</v>
      </c>
    </row>
    <row r="3618" ht="15.35" customHeight="1">
      <c r="A3618" t="s" s="2">
        <v>6803</v>
      </c>
      <c r="B3618" s="4">
        <v>35563</v>
      </c>
      <c r="C3618" s="5">
        <v>600</v>
      </c>
      <c r="D3618" s="5">
        <v>44</v>
      </c>
      <c r="E3618" s="5">
        <v>45</v>
      </c>
      <c r="F3618" t="s" s="2">
        <v>301</v>
      </c>
      <c r="G3618" t="s" s="2">
        <v>5700</v>
      </c>
      <c r="H3618" s="5">
        <v>665</v>
      </c>
      <c r="I3618" t="s" s="2">
        <v>316</v>
      </c>
      <c r="J3618" t="s" s="2">
        <v>22</v>
      </c>
      <c r="K3618" t="s" s="2">
        <v>596</v>
      </c>
      <c r="L3618" t="s" s="2">
        <v>6804</v>
      </c>
      <c r="M3618" s="5">
        <v>455719.4</v>
      </c>
      <c r="N3618" s="5">
        <v>6246711.44</v>
      </c>
      <c r="O3618" t="s" s="2">
        <v>305</v>
      </c>
      <c r="P3618" s="5">
        <v>40122215</v>
      </c>
      <c r="Q3618" t="s" s="2">
        <v>5701</v>
      </c>
      <c r="R3618" t="s" s="2">
        <f>_xlfn.IFERROR(INDEX('model_byCAP'!$D$2:$D$377,MATCH(Q3618,'model_byCAP'!$A$2:$A$377,0)),0)</f>
        <v>5702</v>
      </c>
    </row>
    <row r="3619" ht="15.35" customHeight="1">
      <c r="A3619" t="s" s="2">
        <v>6805</v>
      </c>
      <c r="B3619" s="4">
        <v>35563</v>
      </c>
      <c r="C3619" s="5">
        <v>600</v>
      </c>
      <c r="D3619" s="5">
        <v>44</v>
      </c>
      <c r="E3619" s="5">
        <v>45</v>
      </c>
      <c r="F3619" t="s" s="2">
        <v>301</v>
      </c>
      <c r="G3619" t="s" s="2">
        <v>5700</v>
      </c>
      <c r="H3619" s="5">
        <v>665</v>
      </c>
      <c r="I3619" t="s" s="2">
        <v>316</v>
      </c>
      <c r="J3619" t="s" s="2">
        <v>22</v>
      </c>
      <c r="K3619" t="s" s="2">
        <v>596</v>
      </c>
      <c r="L3619" t="s" s="2">
        <v>6806</v>
      </c>
      <c r="M3619" s="5">
        <v>456223.72</v>
      </c>
      <c r="N3619" s="5">
        <v>6247048.39</v>
      </c>
      <c r="O3619" t="s" s="2">
        <v>305</v>
      </c>
      <c r="P3619" s="5">
        <v>40122215</v>
      </c>
      <c r="Q3619" t="s" s="2">
        <v>5701</v>
      </c>
      <c r="R3619" t="s" s="2">
        <f>_xlfn.IFERROR(INDEX('model_byCAP'!$D$2:$D$377,MATCH(Q3619,'model_byCAP'!$A$2:$A$377,0)),0)</f>
        <v>5702</v>
      </c>
    </row>
    <row r="3620" ht="15.35" customHeight="1">
      <c r="A3620" t="s" s="2">
        <v>6807</v>
      </c>
      <c r="B3620" s="4">
        <v>35563</v>
      </c>
      <c r="C3620" s="5">
        <v>600</v>
      </c>
      <c r="D3620" s="5">
        <v>44</v>
      </c>
      <c r="E3620" s="5">
        <v>45</v>
      </c>
      <c r="F3620" t="s" s="2">
        <v>301</v>
      </c>
      <c r="G3620" t="s" s="2">
        <v>5700</v>
      </c>
      <c r="H3620" s="5">
        <v>665</v>
      </c>
      <c r="I3620" t="s" s="2">
        <v>316</v>
      </c>
      <c r="J3620" t="s" s="2">
        <v>22</v>
      </c>
      <c r="K3620" t="s" s="2">
        <v>596</v>
      </c>
      <c r="L3620" t="s" s="2">
        <v>6808</v>
      </c>
      <c r="M3620" s="5">
        <v>456069.07</v>
      </c>
      <c r="N3620" s="5">
        <v>6246734.63</v>
      </c>
      <c r="O3620" t="s" s="2">
        <v>305</v>
      </c>
      <c r="P3620" s="5">
        <v>40122215</v>
      </c>
      <c r="Q3620" t="s" s="2">
        <v>5701</v>
      </c>
      <c r="R3620" t="s" s="2">
        <f>_xlfn.IFERROR(INDEX('model_byCAP'!$D$2:$D$377,MATCH(Q3620,'model_byCAP'!$A$2:$A$377,0)),0)</f>
        <v>5702</v>
      </c>
    </row>
    <row r="3621" ht="15.35" customHeight="1">
      <c r="A3621" t="s" s="2">
        <v>6809</v>
      </c>
      <c r="B3621" s="4">
        <v>35563</v>
      </c>
      <c r="C3621" s="5">
        <v>600</v>
      </c>
      <c r="D3621" s="5">
        <v>44</v>
      </c>
      <c r="E3621" s="5">
        <v>45</v>
      </c>
      <c r="F3621" t="s" s="2">
        <v>301</v>
      </c>
      <c r="G3621" t="s" s="2">
        <v>5700</v>
      </c>
      <c r="H3621" s="5">
        <v>665</v>
      </c>
      <c r="I3621" t="s" s="2">
        <v>316</v>
      </c>
      <c r="J3621" t="s" s="2">
        <v>22</v>
      </c>
      <c r="K3621" t="s" s="2">
        <v>596</v>
      </c>
      <c r="L3621" t="s" s="2">
        <v>6810</v>
      </c>
      <c r="M3621" s="5">
        <v>455913.85</v>
      </c>
      <c r="N3621" s="5">
        <v>6246421.35</v>
      </c>
      <c r="O3621" t="s" s="2">
        <v>305</v>
      </c>
      <c r="P3621" s="5">
        <v>40122215</v>
      </c>
      <c r="Q3621" t="s" s="2">
        <v>5701</v>
      </c>
      <c r="R3621" t="s" s="2">
        <f>_xlfn.IFERROR(INDEX('model_byCAP'!$D$2:$D$377,MATCH(Q3621,'model_byCAP'!$A$2:$A$377,0)),0)</f>
        <v>5702</v>
      </c>
    </row>
    <row r="3622" ht="15.35" customHeight="1">
      <c r="A3622" t="s" s="2">
        <v>6811</v>
      </c>
      <c r="B3622" s="4">
        <v>35767</v>
      </c>
      <c r="C3622" s="5">
        <v>600</v>
      </c>
      <c r="D3622" s="5">
        <v>44</v>
      </c>
      <c r="E3622" s="5">
        <v>45</v>
      </c>
      <c r="F3622" t="s" s="2">
        <v>301</v>
      </c>
      <c r="G3622" t="s" s="2">
        <v>5700</v>
      </c>
      <c r="H3622" s="5">
        <v>665</v>
      </c>
      <c r="I3622" t="s" s="2">
        <v>316</v>
      </c>
      <c r="J3622" t="s" s="2">
        <v>22</v>
      </c>
      <c r="K3622" t="s" s="2">
        <v>6812</v>
      </c>
      <c r="L3622" t="s" s="2">
        <v>1105</v>
      </c>
      <c r="M3622" s="5">
        <v>468170.56</v>
      </c>
      <c r="N3622" s="5">
        <v>6261910.05</v>
      </c>
      <c r="O3622" t="s" s="2">
        <v>305</v>
      </c>
      <c r="P3622" s="5">
        <v>40127234</v>
      </c>
      <c r="Q3622" t="s" s="2">
        <v>5701</v>
      </c>
      <c r="R3622" t="s" s="2">
        <f>_xlfn.IFERROR(INDEX('model_byCAP'!$D$2:$D$377,MATCH(Q3622,'model_byCAP'!$A$2:$A$377,0)),0)</f>
        <v>5702</v>
      </c>
    </row>
    <row r="3623" ht="15.35" customHeight="1">
      <c r="A3623" t="s" s="2">
        <v>6813</v>
      </c>
      <c r="B3623" s="4">
        <v>35767</v>
      </c>
      <c r="C3623" s="5">
        <v>600</v>
      </c>
      <c r="D3623" s="5">
        <v>44</v>
      </c>
      <c r="E3623" s="5">
        <v>45</v>
      </c>
      <c r="F3623" t="s" s="2">
        <v>301</v>
      </c>
      <c r="G3623" t="s" s="2">
        <v>5700</v>
      </c>
      <c r="H3623" s="5">
        <v>665</v>
      </c>
      <c r="I3623" t="s" s="2">
        <v>316</v>
      </c>
      <c r="J3623" t="s" s="2">
        <v>22</v>
      </c>
      <c r="K3623" t="s" s="2">
        <v>6814</v>
      </c>
      <c r="L3623" t="s" s="2">
        <v>5875</v>
      </c>
      <c r="M3623" s="5">
        <v>468136.99</v>
      </c>
      <c r="N3623" s="5">
        <v>6262146.65</v>
      </c>
      <c r="O3623" t="s" s="2">
        <v>305</v>
      </c>
      <c r="P3623" s="5">
        <v>40127234</v>
      </c>
      <c r="Q3623" t="s" s="2">
        <v>5701</v>
      </c>
      <c r="R3623" t="s" s="2">
        <f>_xlfn.IFERROR(INDEX('model_byCAP'!$D$2:$D$377,MATCH(Q3623,'model_byCAP'!$A$2:$A$377,0)),0)</f>
        <v>5702</v>
      </c>
    </row>
    <row r="3624" ht="15.35" customHeight="1">
      <c r="A3624" t="s" s="2">
        <v>6815</v>
      </c>
      <c r="B3624" s="4">
        <v>35767</v>
      </c>
      <c r="C3624" s="5">
        <v>600</v>
      </c>
      <c r="D3624" s="5">
        <v>44</v>
      </c>
      <c r="E3624" s="5">
        <v>45</v>
      </c>
      <c r="F3624" t="s" s="2">
        <v>301</v>
      </c>
      <c r="G3624" t="s" s="2">
        <v>5700</v>
      </c>
      <c r="H3624" s="5">
        <v>665</v>
      </c>
      <c r="I3624" t="s" s="2">
        <v>316</v>
      </c>
      <c r="J3624" t="s" s="2">
        <v>22</v>
      </c>
      <c r="K3624" t="s" s="2">
        <v>6814</v>
      </c>
      <c r="L3624" t="s" s="2">
        <v>2384</v>
      </c>
      <c r="M3624" s="5">
        <v>468099.59</v>
      </c>
      <c r="N3624" s="5">
        <v>6262384.58</v>
      </c>
      <c r="O3624" t="s" s="2">
        <v>305</v>
      </c>
      <c r="P3624" s="5">
        <v>40127234</v>
      </c>
      <c r="Q3624" t="s" s="2">
        <v>5701</v>
      </c>
      <c r="R3624" t="s" s="2">
        <f>_xlfn.IFERROR(INDEX('model_byCAP'!$D$2:$D$377,MATCH(Q3624,'model_byCAP'!$A$2:$A$377,0)),0)</f>
        <v>5702</v>
      </c>
    </row>
    <row r="3625" ht="15.35" customHeight="1">
      <c r="A3625" t="s" s="2">
        <v>6816</v>
      </c>
      <c r="B3625" s="4">
        <v>35767</v>
      </c>
      <c r="C3625" s="5">
        <v>600</v>
      </c>
      <c r="D3625" s="5">
        <v>44</v>
      </c>
      <c r="E3625" s="5">
        <v>45</v>
      </c>
      <c r="F3625" t="s" s="2">
        <v>301</v>
      </c>
      <c r="G3625" t="s" s="2">
        <v>5700</v>
      </c>
      <c r="H3625" s="5">
        <v>665</v>
      </c>
      <c r="I3625" t="s" s="2">
        <v>316</v>
      </c>
      <c r="J3625" t="s" s="2">
        <v>22</v>
      </c>
      <c r="K3625" t="s" s="2">
        <v>6817</v>
      </c>
      <c r="L3625" t="s" s="2">
        <v>6818</v>
      </c>
      <c r="M3625" s="5">
        <v>468069.02</v>
      </c>
      <c r="N3625" s="5">
        <v>6262621.07</v>
      </c>
      <c r="O3625" t="s" s="2">
        <v>305</v>
      </c>
      <c r="P3625" s="5">
        <v>40127234</v>
      </c>
      <c r="Q3625" t="s" s="2">
        <v>5701</v>
      </c>
      <c r="R3625" t="s" s="2">
        <f>_xlfn.IFERROR(INDEX('model_byCAP'!$D$2:$D$377,MATCH(Q3625,'model_byCAP'!$A$2:$A$377,0)),0)</f>
        <v>5702</v>
      </c>
    </row>
    <row r="3626" ht="15.35" customHeight="1">
      <c r="A3626" t="s" s="2">
        <v>6819</v>
      </c>
      <c r="B3626" s="4">
        <v>35249</v>
      </c>
      <c r="C3626" s="5">
        <v>600</v>
      </c>
      <c r="D3626" s="5">
        <v>43</v>
      </c>
      <c r="E3626" s="5">
        <v>46</v>
      </c>
      <c r="F3626" t="s" s="2">
        <v>1746</v>
      </c>
      <c r="G3626" t="s" s="2">
        <v>6286</v>
      </c>
      <c r="H3626" s="5">
        <v>671</v>
      </c>
      <c r="I3626" t="s" s="2">
        <v>378</v>
      </c>
      <c r="J3626" t="s" s="2">
        <v>22</v>
      </c>
      <c r="K3626" t="s" s="2">
        <v>6820</v>
      </c>
      <c r="L3626" t="s" s="2">
        <v>518</v>
      </c>
      <c r="M3626" s="5">
        <v>472628.63</v>
      </c>
      <c r="N3626" s="5">
        <v>6254345.64</v>
      </c>
      <c r="O3626" t="s" s="2">
        <v>305</v>
      </c>
      <c r="P3626" s="5">
        <v>40114177</v>
      </c>
      <c r="Q3626" t="s" s="2">
        <v>6288</v>
      </c>
      <c r="R3626" t="s" s="2">
        <f>_xlfn.IFERROR(INDEX('model_byCAP'!$D$2:$D$377,MATCH(Q3626,'model_byCAP'!$A$2:$A$377,0)),0)</f>
        <v>2955</v>
      </c>
    </row>
    <row r="3627" ht="15.35" customHeight="1">
      <c r="A3627" t="s" s="2">
        <v>6821</v>
      </c>
      <c r="B3627" s="4">
        <v>35249</v>
      </c>
      <c r="C3627" s="5">
        <v>600</v>
      </c>
      <c r="D3627" s="5">
        <v>43</v>
      </c>
      <c r="E3627" s="5">
        <v>46</v>
      </c>
      <c r="F3627" t="s" s="2">
        <v>1746</v>
      </c>
      <c r="G3627" t="s" s="2">
        <v>6286</v>
      </c>
      <c r="H3627" s="5">
        <v>671</v>
      </c>
      <c r="I3627" t="s" s="2">
        <v>378</v>
      </c>
      <c r="J3627" t="s" s="2">
        <v>22</v>
      </c>
      <c r="K3627" t="s" s="2">
        <v>6820</v>
      </c>
      <c r="L3627" t="s" s="2">
        <v>518</v>
      </c>
      <c r="M3627" s="5">
        <v>472636.15</v>
      </c>
      <c r="N3627" s="5">
        <v>6254106.01</v>
      </c>
      <c r="O3627" t="s" s="2">
        <v>305</v>
      </c>
      <c r="P3627" s="5">
        <v>40114177</v>
      </c>
      <c r="Q3627" t="s" s="2">
        <v>6288</v>
      </c>
      <c r="R3627" t="s" s="2">
        <f>_xlfn.IFERROR(INDEX('model_byCAP'!$D$2:$D$377,MATCH(Q3627,'model_byCAP'!$A$2:$A$377,0)),0)</f>
        <v>2955</v>
      </c>
    </row>
    <row r="3628" ht="15.35" customHeight="1">
      <c r="A3628" t="s" s="2">
        <v>6822</v>
      </c>
      <c r="B3628" s="4">
        <v>35249</v>
      </c>
      <c r="C3628" s="5">
        <v>600</v>
      </c>
      <c r="D3628" s="5">
        <v>43</v>
      </c>
      <c r="E3628" s="5">
        <v>46</v>
      </c>
      <c r="F3628" t="s" s="2">
        <v>1746</v>
      </c>
      <c r="G3628" t="s" s="2">
        <v>6286</v>
      </c>
      <c r="H3628" s="5">
        <v>671</v>
      </c>
      <c r="I3628" t="s" s="2">
        <v>378</v>
      </c>
      <c r="J3628" t="s" s="2">
        <v>22</v>
      </c>
      <c r="K3628" t="s" s="2">
        <v>6820</v>
      </c>
      <c r="L3628" t="s" s="2">
        <v>518</v>
      </c>
      <c r="M3628" s="5">
        <v>472642.95</v>
      </c>
      <c r="N3628" s="5">
        <v>6253866.62</v>
      </c>
      <c r="O3628" t="s" s="2">
        <v>305</v>
      </c>
      <c r="P3628" s="5">
        <v>40114177</v>
      </c>
      <c r="Q3628" t="s" s="2">
        <v>6288</v>
      </c>
      <c r="R3628" t="s" s="2">
        <f>_xlfn.IFERROR(INDEX('model_byCAP'!$D$2:$D$377,MATCH(Q3628,'model_byCAP'!$A$2:$A$377,0)),0)</f>
        <v>2955</v>
      </c>
    </row>
    <row r="3629" ht="15.35" customHeight="1">
      <c r="A3629" t="s" s="2">
        <v>6823</v>
      </c>
      <c r="B3629" s="4">
        <v>35249</v>
      </c>
      <c r="C3629" s="5">
        <v>600</v>
      </c>
      <c r="D3629" s="5">
        <v>43</v>
      </c>
      <c r="E3629" s="5">
        <v>46</v>
      </c>
      <c r="F3629" t="s" s="2">
        <v>1746</v>
      </c>
      <c r="G3629" t="s" s="2">
        <v>6286</v>
      </c>
      <c r="H3629" s="5">
        <v>671</v>
      </c>
      <c r="I3629" t="s" s="2">
        <v>378</v>
      </c>
      <c r="J3629" t="s" s="2">
        <v>22</v>
      </c>
      <c r="K3629" t="s" s="2">
        <v>6820</v>
      </c>
      <c r="L3629" t="s" s="2">
        <v>518</v>
      </c>
      <c r="M3629" s="5">
        <v>472957.91</v>
      </c>
      <c r="N3629" s="5">
        <v>6253799.37</v>
      </c>
      <c r="O3629" t="s" s="2">
        <v>305</v>
      </c>
      <c r="P3629" s="5">
        <v>40114177</v>
      </c>
      <c r="Q3629" t="s" s="2">
        <v>6288</v>
      </c>
      <c r="R3629" t="s" s="2">
        <f>_xlfn.IFERROR(INDEX('model_byCAP'!$D$2:$D$377,MATCH(Q3629,'model_byCAP'!$A$2:$A$377,0)),0)</f>
        <v>2955</v>
      </c>
    </row>
    <row r="3630" ht="15.35" customHeight="1">
      <c r="A3630" t="s" s="2">
        <v>6824</v>
      </c>
      <c r="B3630" s="4">
        <v>35249</v>
      </c>
      <c r="C3630" s="5">
        <v>600</v>
      </c>
      <c r="D3630" s="5">
        <v>43</v>
      </c>
      <c r="E3630" s="5">
        <v>46</v>
      </c>
      <c r="F3630" t="s" s="2">
        <v>1746</v>
      </c>
      <c r="G3630" t="s" s="2">
        <v>6286</v>
      </c>
      <c r="H3630" s="5">
        <v>671</v>
      </c>
      <c r="I3630" t="s" s="2">
        <v>378</v>
      </c>
      <c r="J3630" t="s" s="2">
        <v>22</v>
      </c>
      <c r="K3630" t="s" s="2">
        <v>6820</v>
      </c>
      <c r="L3630" t="s" s="2">
        <v>518</v>
      </c>
      <c r="M3630" s="5">
        <v>473271.56</v>
      </c>
      <c r="N3630" s="5">
        <v>6253732.44</v>
      </c>
      <c r="O3630" t="s" s="2">
        <v>305</v>
      </c>
      <c r="P3630" s="5">
        <v>40114177</v>
      </c>
      <c r="Q3630" t="s" s="2">
        <v>6288</v>
      </c>
      <c r="R3630" t="s" s="2">
        <f>_xlfn.IFERROR(INDEX('model_byCAP'!$D$2:$D$377,MATCH(Q3630,'model_byCAP'!$A$2:$A$377,0)),0)</f>
        <v>2955</v>
      </c>
    </row>
    <row r="3631" ht="15.35" customHeight="1">
      <c r="A3631" t="s" s="2">
        <v>6825</v>
      </c>
      <c r="B3631" s="4">
        <v>35249</v>
      </c>
      <c r="C3631" s="5">
        <v>600</v>
      </c>
      <c r="D3631" s="5">
        <v>43</v>
      </c>
      <c r="E3631" s="5">
        <v>46</v>
      </c>
      <c r="F3631" t="s" s="2">
        <v>1746</v>
      </c>
      <c r="G3631" t="s" s="2">
        <v>6286</v>
      </c>
      <c r="H3631" s="5">
        <v>671</v>
      </c>
      <c r="I3631" t="s" s="2">
        <v>378</v>
      </c>
      <c r="J3631" t="s" s="2">
        <v>22</v>
      </c>
      <c r="K3631" t="s" s="2">
        <v>6820</v>
      </c>
      <c r="L3631" t="s" s="2">
        <v>518</v>
      </c>
      <c r="M3631" s="5">
        <v>473234.71</v>
      </c>
      <c r="N3631" s="5">
        <v>6254006.44</v>
      </c>
      <c r="O3631" t="s" s="2">
        <v>305</v>
      </c>
      <c r="P3631" s="5">
        <v>40114177</v>
      </c>
      <c r="Q3631" t="s" s="2">
        <v>6288</v>
      </c>
      <c r="R3631" t="s" s="2">
        <f>_xlfn.IFERROR(INDEX('model_byCAP'!$D$2:$D$377,MATCH(Q3631,'model_byCAP'!$A$2:$A$377,0)),0)</f>
        <v>2955</v>
      </c>
    </row>
    <row r="3632" ht="15.35" customHeight="1">
      <c r="A3632" t="s" s="2">
        <v>6826</v>
      </c>
      <c r="B3632" s="4">
        <v>35249</v>
      </c>
      <c r="C3632" s="5">
        <v>600</v>
      </c>
      <c r="D3632" s="5">
        <v>43</v>
      </c>
      <c r="E3632" s="5">
        <v>46</v>
      </c>
      <c r="F3632" t="s" s="2">
        <v>1746</v>
      </c>
      <c r="G3632" t="s" s="2">
        <v>6286</v>
      </c>
      <c r="H3632" s="5">
        <v>671</v>
      </c>
      <c r="I3632" t="s" s="2">
        <v>378</v>
      </c>
      <c r="J3632" t="s" s="2">
        <v>22</v>
      </c>
      <c r="K3632" t="s" s="2">
        <v>6820</v>
      </c>
      <c r="L3632" t="s" s="2">
        <v>518</v>
      </c>
      <c r="M3632" s="5">
        <v>473185.27</v>
      </c>
      <c r="N3632" s="5">
        <v>6254278.24</v>
      </c>
      <c r="O3632" t="s" s="2">
        <v>305</v>
      </c>
      <c r="P3632" s="5">
        <v>40114177</v>
      </c>
      <c r="Q3632" t="s" s="2">
        <v>6288</v>
      </c>
      <c r="R3632" t="s" s="2">
        <f>_xlfn.IFERROR(INDEX('model_byCAP'!$D$2:$D$377,MATCH(Q3632,'model_byCAP'!$A$2:$A$377,0)),0)</f>
        <v>2955</v>
      </c>
    </row>
    <row r="3633" ht="15.35" customHeight="1">
      <c r="A3633" t="s" s="2">
        <v>6827</v>
      </c>
      <c r="B3633" s="4">
        <v>35249</v>
      </c>
      <c r="C3633" s="5">
        <v>600</v>
      </c>
      <c r="D3633" s="5">
        <v>43</v>
      </c>
      <c r="E3633" s="5">
        <v>46</v>
      </c>
      <c r="F3633" t="s" s="2">
        <v>1746</v>
      </c>
      <c r="G3633" t="s" s="2">
        <v>6286</v>
      </c>
      <c r="H3633" s="5">
        <v>671</v>
      </c>
      <c r="I3633" t="s" s="2">
        <v>378</v>
      </c>
      <c r="J3633" t="s" s="2">
        <v>22</v>
      </c>
      <c r="K3633" t="s" s="2">
        <v>6820</v>
      </c>
      <c r="L3633" t="s" s="2">
        <v>518</v>
      </c>
      <c r="M3633" s="5">
        <v>472934.94</v>
      </c>
      <c r="N3633" s="5">
        <v>6254056.23</v>
      </c>
      <c r="O3633" t="s" s="2">
        <v>305</v>
      </c>
      <c r="P3633" s="5">
        <v>40114177</v>
      </c>
      <c r="Q3633" t="s" s="2">
        <v>6288</v>
      </c>
      <c r="R3633" t="s" s="2">
        <f>_xlfn.IFERROR(INDEX('model_byCAP'!$D$2:$D$377,MATCH(Q3633,'model_byCAP'!$A$2:$A$377,0)),0)</f>
        <v>2955</v>
      </c>
    </row>
    <row r="3634" ht="15.35" customHeight="1">
      <c r="A3634" t="s" s="2">
        <v>6828</v>
      </c>
      <c r="B3634" s="4">
        <v>35465</v>
      </c>
      <c r="C3634" s="5">
        <v>600</v>
      </c>
      <c r="D3634" s="5">
        <v>43</v>
      </c>
      <c r="E3634" s="5">
        <v>44.5</v>
      </c>
      <c r="F3634" t="s" s="2">
        <v>42</v>
      </c>
      <c r="G3634" t="s" s="2">
        <v>42</v>
      </c>
      <c r="H3634" s="5">
        <v>706</v>
      </c>
      <c r="I3634" t="s" s="2">
        <v>3155</v>
      </c>
      <c r="J3634" t="s" s="2">
        <v>22</v>
      </c>
      <c r="K3634" t="s" s="2">
        <v>6829</v>
      </c>
      <c r="L3634" t="s" s="2">
        <v>1153</v>
      </c>
      <c r="M3634" s="5">
        <v>572697.95</v>
      </c>
      <c r="N3634" s="5">
        <v>6244453.41</v>
      </c>
      <c r="O3634" t="s" s="2">
        <v>305</v>
      </c>
      <c r="P3634" s="5">
        <v>256923</v>
      </c>
      <c r="Q3634" t="s" s="2">
        <v>43</v>
      </c>
      <c r="R3634" s="5">
        <f>_xlfn.IFERROR(INDEX('model_byCAP'!$D$2:$D$377,MATCH(Q3634,'model_byCAP'!$A$2:$A$377,0)),0)</f>
        <v>0</v>
      </c>
    </row>
    <row r="3635" ht="15.35" customHeight="1">
      <c r="A3635" t="s" s="2">
        <v>6830</v>
      </c>
      <c r="B3635" s="4">
        <v>35465</v>
      </c>
      <c r="C3635" s="5">
        <v>600</v>
      </c>
      <c r="D3635" s="5">
        <v>40</v>
      </c>
      <c r="E3635" s="5">
        <v>40</v>
      </c>
      <c r="F3635" t="s" s="2">
        <v>42</v>
      </c>
      <c r="G3635" t="s" s="2">
        <v>42</v>
      </c>
      <c r="H3635" s="5">
        <v>706</v>
      </c>
      <c r="I3635" t="s" s="2">
        <v>3155</v>
      </c>
      <c r="J3635" t="s" s="2">
        <v>22</v>
      </c>
      <c r="K3635" t="s" s="2">
        <v>6829</v>
      </c>
      <c r="L3635" t="s" s="2">
        <v>2348</v>
      </c>
      <c r="M3635" s="5">
        <v>572607.6800000001</v>
      </c>
      <c r="N3635" s="5">
        <v>6244621.3</v>
      </c>
      <c r="O3635" t="s" s="2">
        <v>305</v>
      </c>
      <c r="P3635" s="5">
        <v>256924</v>
      </c>
      <c r="Q3635" t="s" s="2">
        <v>43</v>
      </c>
      <c r="R3635" s="5">
        <f>_xlfn.IFERROR(INDEX('model_byCAP'!$D$2:$D$377,MATCH(Q3635,'model_byCAP'!$A$2:$A$377,0)),0)</f>
        <v>0</v>
      </c>
    </row>
    <row r="3636" ht="15.35" customHeight="1">
      <c r="A3636" t="s" s="2">
        <v>6831</v>
      </c>
      <c r="B3636" s="4">
        <v>35465</v>
      </c>
      <c r="C3636" s="5">
        <v>600</v>
      </c>
      <c r="D3636" s="5">
        <v>43</v>
      </c>
      <c r="E3636" s="5">
        <v>44.5</v>
      </c>
      <c r="F3636" t="s" s="2">
        <v>42</v>
      </c>
      <c r="G3636" t="s" s="2">
        <v>42</v>
      </c>
      <c r="H3636" s="5">
        <v>706</v>
      </c>
      <c r="I3636" t="s" s="2">
        <v>3155</v>
      </c>
      <c r="J3636" t="s" s="2">
        <v>22</v>
      </c>
      <c r="K3636" t="s" s="2">
        <v>6829</v>
      </c>
      <c r="L3636" t="s" s="2">
        <v>2348</v>
      </c>
      <c r="M3636" s="5">
        <v>572518.0600000001</v>
      </c>
      <c r="N3636" s="5">
        <v>6244788.33</v>
      </c>
      <c r="O3636" t="s" s="2">
        <v>305</v>
      </c>
      <c r="P3636" s="5">
        <v>256925</v>
      </c>
      <c r="Q3636" t="s" s="2">
        <v>43</v>
      </c>
      <c r="R3636" s="5">
        <f>_xlfn.IFERROR(INDEX('model_byCAP'!$D$2:$D$377,MATCH(Q3636,'model_byCAP'!$A$2:$A$377,0)),0)</f>
        <v>0</v>
      </c>
    </row>
    <row r="3637" ht="15.35" customHeight="1">
      <c r="A3637" t="s" s="2">
        <v>6832</v>
      </c>
      <c r="B3637" s="4">
        <v>35465</v>
      </c>
      <c r="C3637" s="5">
        <v>600</v>
      </c>
      <c r="D3637" s="5">
        <v>43</v>
      </c>
      <c r="E3637" s="5">
        <v>43</v>
      </c>
      <c r="F3637" t="s" s="2">
        <v>42</v>
      </c>
      <c r="G3637" t="s" s="2">
        <v>42</v>
      </c>
      <c r="H3637" s="5">
        <v>706</v>
      </c>
      <c r="I3637" t="s" s="2">
        <v>3155</v>
      </c>
      <c r="J3637" t="s" s="2">
        <v>22</v>
      </c>
      <c r="K3637" t="s" s="2">
        <v>6829</v>
      </c>
      <c r="L3637" t="s" s="2">
        <v>6833</v>
      </c>
      <c r="M3637" s="5">
        <v>572426.5699999999</v>
      </c>
      <c r="N3637" s="5">
        <v>6244955.82</v>
      </c>
      <c r="O3637" t="s" s="2">
        <v>305</v>
      </c>
      <c r="P3637" s="5">
        <v>256926</v>
      </c>
      <c r="Q3637" t="s" s="2">
        <v>43</v>
      </c>
      <c r="R3637" s="5">
        <f>_xlfn.IFERROR(INDEX('model_byCAP'!$D$2:$D$377,MATCH(Q3637,'model_byCAP'!$A$2:$A$377,0)),0)</f>
        <v>0</v>
      </c>
    </row>
    <row r="3638" ht="15.35" customHeight="1">
      <c r="A3638" t="s" s="2">
        <v>6834</v>
      </c>
      <c r="B3638" s="4">
        <v>35422</v>
      </c>
      <c r="C3638" s="5">
        <v>600</v>
      </c>
      <c r="D3638" s="5">
        <v>43</v>
      </c>
      <c r="E3638" s="5">
        <v>44.5</v>
      </c>
      <c r="F3638" t="s" s="2">
        <v>42</v>
      </c>
      <c r="G3638" t="s" s="2">
        <v>42</v>
      </c>
      <c r="H3638" s="5">
        <v>706</v>
      </c>
      <c r="I3638" t="s" s="2">
        <v>3155</v>
      </c>
      <c r="J3638" t="s" s="2">
        <v>22</v>
      </c>
      <c r="K3638" t="s" s="2">
        <v>6829</v>
      </c>
      <c r="L3638" t="s" s="2">
        <v>1143</v>
      </c>
      <c r="M3638" s="5">
        <v>572334.4399999999</v>
      </c>
      <c r="N3638" s="5">
        <v>6245121.91</v>
      </c>
      <c r="O3638" t="s" s="2">
        <v>305</v>
      </c>
      <c r="P3638" s="5">
        <v>256866</v>
      </c>
      <c r="Q3638" t="s" s="2">
        <v>43</v>
      </c>
      <c r="R3638" s="5">
        <f>_xlfn.IFERROR(INDEX('model_byCAP'!$D$2:$D$377,MATCH(Q3638,'model_byCAP'!$A$2:$A$377,0)),0)</f>
        <v>0</v>
      </c>
    </row>
    <row r="3639" ht="15.35" customHeight="1">
      <c r="A3639" t="s" s="2">
        <v>6835</v>
      </c>
      <c r="B3639" s="4">
        <v>35208</v>
      </c>
      <c r="C3639" s="5">
        <v>600</v>
      </c>
      <c r="D3639" s="5">
        <v>43</v>
      </c>
      <c r="E3639" s="5">
        <v>40</v>
      </c>
      <c r="F3639" t="s" s="2">
        <v>1746</v>
      </c>
      <c r="G3639" t="s" s="2">
        <v>6836</v>
      </c>
      <c r="H3639" s="5">
        <v>706</v>
      </c>
      <c r="I3639" t="s" s="2">
        <v>3155</v>
      </c>
      <c r="J3639" t="s" s="2">
        <v>22</v>
      </c>
      <c r="K3639" t="s" s="2">
        <v>6837</v>
      </c>
      <c r="L3639" t="s" s="2">
        <v>5118</v>
      </c>
      <c r="M3639" s="5">
        <v>592129.74</v>
      </c>
      <c r="N3639" s="5">
        <v>6235808.43</v>
      </c>
      <c r="O3639" t="s" s="2">
        <v>305</v>
      </c>
      <c r="P3639" s="5">
        <v>226204</v>
      </c>
      <c r="Q3639" t="s" s="2">
        <v>6838</v>
      </c>
      <c r="R3639" t="s" s="2">
        <f>_xlfn.IFERROR(INDEX('model_byCAP'!$D$2:$D$377,MATCH(Q3639,'model_byCAP'!$A$2:$A$377,0)),0)</f>
        <v>4115</v>
      </c>
    </row>
    <row r="3640" ht="15.35" customHeight="1">
      <c r="A3640" t="s" s="2">
        <v>6839</v>
      </c>
      <c r="B3640" s="4">
        <v>36642</v>
      </c>
      <c r="C3640" s="5">
        <v>600</v>
      </c>
      <c r="D3640" s="5">
        <v>44</v>
      </c>
      <c r="E3640" s="5">
        <v>40</v>
      </c>
      <c r="F3640" t="s" s="2">
        <v>1989</v>
      </c>
      <c r="G3640" t="s" s="2">
        <v>6085</v>
      </c>
      <c r="H3640" s="5">
        <v>706</v>
      </c>
      <c r="I3640" t="s" s="2">
        <v>3155</v>
      </c>
      <c r="J3640" t="s" s="2">
        <v>22</v>
      </c>
      <c r="K3640" t="s" s="2">
        <v>6840</v>
      </c>
      <c r="L3640" t="s" s="2">
        <v>1049</v>
      </c>
      <c r="M3640" s="5">
        <v>607467.74</v>
      </c>
      <c r="N3640" s="5">
        <v>6228517.43</v>
      </c>
      <c r="O3640" t="s" s="2">
        <v>305</v>
      </c>
      <c r="P3640" s="5">
        <v>259490</v>
      </c>
      <c r="Q3640" t="s" s="2">
        <v>6087</v>
      </c>
      <c r="R3640" t="s" s="2">
        <f>_xlfn.IFERROR(INDEX('model_byCAP'!$D$2:$D$377,MATCH(Q3640,'model_byCAP'!$A$2:$A$377,0)),0)</f>
        <v>5955</v>
      </c>
    </row>
    <row r="3641" ht="15.35" customHeight="1">
      <c r="A3641" t="s" s="2">
        <v>6841</v>
      </c>
      <c r="B3641" s="4">
        <v>35776</v>
      </c>
      <c r="C3641" s="5">
        <v>600</v>
      </c>
      <c r="D3641" s="5">
        <v>48</v>
      </c>
      <c r="E3641" s="5">
        <v>46</v>
      </c>
      <c r="F3641" t="s" s="2">
        <v>3604</v>
      </c>
      <c r="G3641" t="s" s="2">
        <v>6059</v>
      </c>
      <c r="H3641" s="5">
        <v>707</v>
      </c>
      <c r="I3641" t="s" s="2">
        <v>616</v>
      </c>
      <c r="J3641" t="s" s="2">
        <v>22</v>
      </c>
      <c r="K3641" t="s" s="2">
        <v>4687</v>
      </c>
      <c r="L3641" t="s" s="2">
        <v>2931</v>
      </c>
      <c r="M3641" s="5">
        <v>582128</v>
      </c>
      <c r="N3641" s="5">
        <v>6266239.01</v>
      </c>
      <c r="O3641" t="s" s="2">
        <v>305</v>
      </c>
      <c r="P3641" s="5">
        <v>95114</v>
      </c>
      <c r="Q3641" t="s" s="2">
        <v>6062</v>
      </c>
      <c r="R3641" t="s" s="2">
        <f>_xlfn.IFERROR(INDEX('model_byCAP'!$D$2:$D$377,MATCH(Q3641,'model_byCAP'!$A$2:$A$377,0)),0)</f>
        <v>2955</v>
      </c>
    </row>
    <row r="3642" ht="15.35" customHeight="1">
      <c r="A3642" t="s" s="2">
        <v>6842</v>
      </c>
      <c r="B3642" s="4">
        <v>35776</v>
      </c>
      <c r="C3642" s="5">
        <v>600</v>
      </c>
      <c r="D3642" s="5">
        <v>48</v>
      </c>
      <c r="E3642" s="5">
        <v>46</v>
      </c>
      <c r="F3642" t="s" s="2">
        <v>1746</v>
      </c>
      <c r="G3642" t="s" s="2">
        <v>4302</v>
      </c>
      <c r="H3642" s="5">
        <v>707</v>
      </c>
      <c r="I3642" t="s" s="2">
        <v>616</v>
      </c>
      <c r="J3642" t="s" s="2">
        <v>22</v>
      </c>
      <c r="K3642" t="s" s="2">
        <v>4687</v>
      </c>
      <c r="L3642" t="s" s="2">
        <v>518</v>
      </c>
      <c r="M3642" s="5">
        <v>582146.58</v>
      </c>
      <c r="N3642" s="5">
        <v>6266468.55</v>
      </c>
      <c r="O3642" t="s" s="2">
        <v>305</v>
      </c>
      <c r="P3642" s="5">
        <v>95114</v>
      </c>
      <c r="Q3642" t="s" s="2">
        <v>4304</v>
      </c>
      <c r="R3642" t="s" s="2">
        <f>_xlfn.IFERROR(INDEX('model_byCAP'!$D$2:$D$377,MATCH(Q3642,'model_byCAP'!$A$2:$A$377,0)),0)</f>
        <v>2955</v>
      </c>
    </row>
    <row r="3643" ht="15.35" customHeight="1">
      <c r="A3643" t="s" s="2">
        <v>6843</v>
      </c>
      <c r="B3643" s="4">
        <v>35776</v>
      </c>
      <c r="C3643" s="5">
        <v>600</v>
      </c>
      <c r="D3643" s="5">
        <v>48</v>
      </c>
      <c r="E3643" s="5">
        <v>46</v>
      </c>
      <c r="F3643" t="s" s="2">
        <v>1746</v>
      </c>
      <c r="G3643" t="s" s="2">
        <v>4302</v>
      </c>
      <c r="H3643" s="5">
        <v>707</v>
      </c>
      <c r="I3643" t="s" s="2">
        <v>616</v>
      </c>
      <c r="J3643" t="s" s="2">
        <v>22</v>
      </c>
      <c r="K3643" t="s" s="2">
        <v>4687</v>
      </c>
      <c r="L3643" t="s" s="2">
        <v>1145</v>
      </c>
      <c r="M3643" s="5">
        <v>581922.55</v>
      </c>
      <c r="N3643" s="5">
        <v>6266521.83</v>
      </c>
      <c r="O3643" t="s" s="2">
        <v>305</v>
      </c>
      <c r="P3643" s="5">
        <v>95114</v>
      </c>
      <c r="Q3643" t="s" s="2">
        <v>4304</v>
      </c>
      <c r="R3643" t="s" s="2">
        <f>_xlfn.IFERROR(INDEX('model_byCAP'!$D$2:$D$377,MATCH(Q3643,'model_byCAP'!$A$2:$A$377,0)),0)</f>
        <v>2955</v>
      </c>
    </row>
    <row r="3644" ht="15.35" customHeight="1">
      <c r="A3644" t="s" s="2">
        <v>6844</v>
      </c>
      <c r="B3644" s="4">
        <v>35418</v>
      </c>
      <c r="C3644" s="5">
        <v>600</v>
      </c>
      <c r="D3644" s="5">
        <v>43</v>
      </c>
      <c r="E3644" s="5">
        <v>44</v>
      </c>
      <c r="F3644" t="s" s="2">
        <v>42</v>
      </c>
      <c r="G3644" t="s" s="2">
        <v>42</v>
      </c>
      <c r="H3644" s="5">
        <v>707</v>
      </c>
      <c r="I3644" t="s" s="2">
        <v>616</v>
      </c>
      <c r="J3644" t="s" s="2">
        <v>22</v>
      </c>
      <c r="K3644" t="s" s="2">
        <v>6845</v>
      </c>
      <c r="L3644" t="s" s="2">
        <v>1105</v>
      </c>
      <c r="M3644" s="5">
        <v>607616.8199999999</v>
      </c>
      <c r="N3644" s="5">
        <v>6250613.63</v>
      </c>
      <c r="O3644" t="s" s="2">
        <v>305</v>
      </c>
      <c r="P3644" s="5">
        <v>256867</v>
      </c>
      <c r="Q3644" t="s" s="2">
        <v>43</v>
      </c>
      <c r="R3644" s="5">
        <f>_xlfn.IFERROR(INDEX('model_byCAP'!$D$2:$D$377,MATCH(Q3644,'model_byCAP'!$A$2:$A$377,0)),0)</f>
        <v>0</v>
      </c>
    </row>
    <row r="3645" ht="15.35" customHeight="1">
      <c r="A3645" t="s" s="2">
        <v>6846</v>
      </c>
      <c r="B3645" s="4">
        <v>35419</v>
      </c>
      <c r="C3645" s="5">
        <v>600</v>
      </c>
      <c r="D3645" s="5">
        <v>48</v>
      </c>
      <c r="E3645" s="5">
        <v>45</v>
      </c>
      <c r="F3645" t="s" s="2">
        <v>1746</v>
      </c>
      <c r="G3645" t="s" s="2">
        <v>4044</v>
      </c>
      <c r="H3645" s="5">
        <v>707</v>
      </c>
      <c r="I3645" t="s" s="2">
        <v>616</v>
      </c>
      <c r="J3645" t="s" s="2">
        <v>22</v>
      </c>
      <c r="K3645" t="s" s="2">
        <v>6847</v>
      </c>
      <c r="L3645" t="s" s="2">
        <v>2389</v>
      </c>
      <c r="M3645" s="5">
        <v>607661.53</v>
      </c>
      <c r="N3645" s="5">
        <v>6250463</v>
      </c>
      <c r="O3645" t="s" s="2">
        <v>305</v>
      </c>
      <c r="P3645" s="5">
        <v>256869</v>
      </c>
      <c r="Q3645" t="s" s="2">
        <v>4046</v>
      </c>
      <c r="R3645" t="s" s="2">
        <f>_xlfn.IFERROR(INDEX('model_byCAP'!$D$2:$D$377,MATCH(Q3645,'model_byCAP'!$A$2:$A$377,0)),0)</f>
        <v>4047</v>
      </c>
    </row>
    <row r="3646" ht="15.35" customHeight="1">
      <c r="A3646" t="s" s="2">
        <v>6848</v>
      </c>
      <c r="B3646" s="4">
        <v>35419</v>
      </c>
      <c r="C3646" s="5">
        <v>600</v>
      </c>
      <c r="D3646" s="5">
        <v>43</v>
      </c>
      <c r="E3646" s="5">
        <v>44.5</v>
      </c>
      <c r="F3646" t="s" s="2">
        <v>42</v>
      </c>
      <c r="G3646" t="s" s="2">
        <v>42</v>
      </c>
      <c r="H3646" s="5">
        <v>707</v>
      </c>
      <c r="I3646" t="s" s="2">
        <v>616</v>
      </c>
      <c r="J3646" t="s" s="2">
        <v>22</v>
      </c>
      <c r="K3646" t="s" s="2">
        <v>6849</v>
      </c>
      <c r="L3646" t="s" s="2">
        <v>1422</v>
      </c>
      <c r="M3646" s="5">
        <v>607706.66</v>
      </c>
      <c r="N3646" s="5">
        <v>6250316.3</v>
      </c>
      <c r="O3646" t="s" s="2">
        <v>305</v>
      </c>
      <c r="P3646" s="5">
        <v>256870</v>
      </c>
      <c r="Q3646" t="s" s="2">
        <v>43</v>
      </c>
      <c r="R3646" s="5">
        <f>_xlfn.IFERROR(INDEX('model_byCAP'!$D$2:$D$377,MATCH(Q3646,'model_byCAP'!$A$2:$A$377,0)),0)</f>
        <v>0</v>
      </c>
    </row>
    <row r="3647" ht="15.35" customHeight="1">
      <c r="A3647" t="s" s="2">
        <v>6850</v>
      </c>
      <c r="B3647" s="4">
        <v>35443</v>
      </c>
      <c r="C3647" s="5">
        <v>600</v>
      </c>
      <c r="D3647" s="5">
        <v>43</v>
      </c>
      <c r="E3647" s="5">
        <v>44.5</v>
      </c>
      <c r="F3647" t="s" s="2">
        <v>42</v>
      </c>
      <c r="G3647" t="s" s="2">
        <v>42</v>
      </c>
      <c r="H3647" s="5">
        <v>707</v>
      </c>
      <c r="I3647" t="s" s="2">
        <v>616</v>
      </c>
      <c r="J3647" t="s" s="2">
        <v>22</v>
      </c>
      <c r="K3647" t="s" s="2">
        <v>6851</v>
      </c>
      <c r="L3647" t="s" s="2">
        <v>6852</v>
      </c>
      <c r="M3647" s="5">
        <v>605255.89</v>
      </c>
      <c r="N3647" s="5">
        <v>6267014.41</v>
      </c>
      <c r="O3647" t="s" s="2">
        <v>305</v>
      </c>
      <c r="P3647" s="5">
        <v>200220</v>
      </c>
      <c r="Q3647" t="s" s="2">
        <v>43</v>
      </c>
      <c r="R3647" s="5">
        <f>_xlfn.IFERROR(INDEX('model_byCAP'!$D$2:$D$377,MATCH(Q3647,'model_byCAP'!$A$2:$A$377,0)),0)</f>
        <v>0</v>
      </c>
    </row>
    <row r="3648" ht="15.35" customHeight="1">
      <c r="A3648" t="s" s="2">
        <v>6853</v>
      </c>
      <c r="B3648" s="4">
        <v>35443</v>
      </c>
      <c r="C3648" s="5">
        <v>600</v>
      </c>
      <c r="D3648" s="5">
        <v>43</v>
      </c>
      <c r="E3648" s="5">
        <v>44.5</v>
      </c>
      <c r="F3648" t="s" s="2">
        <v>42</v>
      </c>
      <c r="G3648" t="s" s="2">
        <v>42</v>
      </c>
      <c r="H3648" s="5">
        <v>707</v>
      </c>
      <c r="I3648" t="s" s="2">
        <v>616</v>
      </c>
      <c r="J3648" t="s" s="2">
        <v>22</v>
      </c>
      <c r="K3648" t="s" s="2">
        <v>6851</v>
      </c>
      <c r="L3648" t="s" s="2">
        <v>6852</v>
      </c>
      <c r="M3648" s="5">
        <v>605280.97</v>
      </c>
      <c r="N3648" s="5">
        <v>6267099.9</v>
      </c>
      <c r="O3648" t="s" s="2">
        <v>305</v>
      </c>
      <c r="P3648" s="5">
        <v>200220</v>
      </c>
      <c r="Q3648" t="s" s="2">
        <v>43</v>
      </c>
      <c r="R3648" s="5">
        <f>_xlfn.IFERROR(INDEX('model_byCAP'!$D$2:$D$377,MATCH(Q3648,'model_byCAP'!$A$2:$A$377,0)),0)</f>
        <v>0</v>
      </c>
    </row>
    <row r="3649" ht="15.35" customHeight="1">
      <c r="A3649" t="s" s="2">
        <v>6854</v>
      </c>
      <c r="B3649" s="4">
        <v>35443</v>
      </c>
      <c r="C3649" s="5">
        <v>600</v>
      </c>
      <c r="D3649" s="5">
        <v>43</v>
      </c>
      <c r="E3649" s="5">
        <v>44.5</v>
      </c>
      <c r="F3649" t="s" s="2">
        <v>42</v>
      </c>
      <c r="G3649" t="s" s="2">
        <v>42</v>
      </c>
      <c r="H3649" s="5">
        <v>707</v>
      </c>
      <c r="I3649" t="s" s="2">
        <v>616</v>
      </c>
      <c r="J3649" t="s" s="2">
        <v>22</v>
      </c>
      <c r="K3649" t="s" s="2">
        <v>6851</v>
      </c>
      <c r="L3649" t="s" s="2">
        <v>6852</v>
      </c>
      <c r="M3649" s="5">
        <v>605306.35</v>
      </c>
      <c r="N3649" s="5">
        <v>6267187.27</v>
      </c>
      <c r="O3649" t="s" s="2">
        <v>305</v>
      </c>
      <c r="P3649" s="5">
        <v>200220</v>
      </c>
      <c r="Q3649" t="s" s="2">
        <v>43</v>
      </c>
      <c r="R3649" s="5">
        <f>_xlfn.IFERROR(INDEX('model_byCAP'!$D$2:$D$377,MATCH(Q3649,'model_byCAP'!$A$2:$A$377,0)),0)</f>
        <v>0</v>
      </c>
    </row>
    <row r="3650" ht="15.35" customHeight="1">
      <c r="A3650" t="s" s="2">
        <v>6855</v>
      </c>
      <c r="B3650" s="4">
        <v>35443</v>
      </c>
      <c r="C3650" s="5">
        <v>600</v>
      </c>
      <c r="D3650" s="5">
        <v>43</v>
      </c>
      <c r="E3650" s="5">
        <v>44.5</v>
      </c>
      <c r="F3650" t="s" s="2">
        <v>42</v>
      </c>
      <c r="G3650" t="s" s="2">
        <v>42</v>
      </c>
      <c r="H3650" s="5">
        <v>707</v>
      </c>
      <c r="I3650" t="s" s="2">
        <v>616</v>
      </c>
      <c r="J3650" t="s" s="2">
        <v>22</v>
      </c>
      <c r="K3650" t="s" s="2">
        <v>6851</v>
      </c>
      <c r="L3650" t="s" s="2">
        <v>6852</v>
      </c>
      <c r="M3650" s="5">
        <v>605414.51</v>
      </c>
      <c r="N3650" s="5">
        <v>6267183.77</v>
      </c>
      <c r="O3650" t="s" s="2">
        <v>305</v>
      </c>
      <c r="P3650" s="5">
        <v>200220</v>
      </c>
      <c r="Q3650" t="s" s="2">
        <v>43</v>
      </c>
      <c r="R3650" s="5">
        <f>_xlfn.IFERROR(INDEX('model_byCAP'!$D$2:$D$377,MATCH(Q3650,'model_byCAP'!$A$2:$A$377,0)),0)</f>
        <v>0</v>
      </c>
    </row>
    <row r="3651" ht="15.35" customHeight="1">
      <c r="A3651" t="s" s="2">
        <v>6856</v>
      </c>
      <c r="B3651" s="4">
        <v>35443</v>
      </c>
      <c r="C3651" s="5">
        <v>600</v>
      </c>
      <c r="D3651" s="5">
        <v>43</v>
      </c>
      <c r="E3651" s="5">
        <v>44.5</v>
      </c>
      <c r="F3651" t="s" s="2">
        <v>42</v>
      </c>
      <c r="G3651" t="s" s="2">
        <v>42</v>
      </c>
      <c r="H3651" s="5">
        <v>707</v>
      </c>
      <c r="I3651" t="s" s="2">
        <v>616</v>
      </c>
      <c r="J3651" t="s" s="2">
        <v>22</v>
      </c>
      <c r="K3651" t="s" s="2">
        <v>6851</v>
      </c>
      <c r="L3651" t="s" s="2">
        <v>6852</v>
      </c>
      <c r="M3651" s="5">
        <v>605423.42</v>
      </c>
      <c r="N3651" s="5">
        <v>6267094.61</v>
      </c>
      <c r="O3651" t="s" s="2">
        <v>305</v>
      </c>
      <c r="P3651" s="5">
        <v>200220</v>
      </c>
      <c r="Q3651" t="s" s="2">
        <v>43</v>
      </c>
      <c r="R3651" s="5">
        <f>_xlfn.IFERROR(INDEX('model_byCAP'!$D$2:$D$377,MATCH(Q3651,'model_byCAP'!$A$2:$A$377,0)),0)</f>
        <v>0</v>
      </c>
    </row>
    <row r="3652" ht="15.35" customHeight="1">
      <c r="A3652" t="s" s="2">
        <v>6857</v>
      </c>
      <c r="B3652" s="4">
        <v>35443</v>
      </c>
      <c r="C3652" s="5">
        <v>600</v>
      </c>
      <c r="D3652" s="5">
        <v>43</v>
      </c>
      <c r="E3652" s="5">
        <v>44.5</v>
      </c>
      <c r="F3652" t="s" s="2">
        <v>42</v>
      </c>
      <c r="G3652" t="s" s="2">
        <v>42</v>
      </c>
      <c r="H3652" s="5">
        <v>707</v>
      </c>
      <c r="I3652" t="s" s="2">
        <v>616</v>
      </c>
      <c r="J3652" t="s" s="2">
        <v>22</v>
      </c>
      <c r="K3652" t="s" s="2">
        <v>6851</v>
      </c>
      <c r="L3652" t="s" s="2">
        <v>6852</v>
      </c>
      <c r="M3652" s="5">
        <v>605432.13</v>
      </c>
      <c r="N3652" s="5">
        <v>6267005.85</v>
      </c>
      <c r="O3652" t="s" s="2">
        <v>305</v>
      </c>
      <c r="P3652" s="5">
        <v>200220</v>
      </c>
      <c r="Q3652" t="s" s="2">
        <v>43</v>
      </c>
      <c r="R3652" s="5">
        <f>_xlfn.IFERROR(INDEX('model_byCAP'!$D$2:$D$377,MATCH(Q3652,'model_byCAP'!$A$2:$A$377,0)),0)</f>
        <v>0</v>
      </c>
    </row>
    <row r="3653" ht="15.35" customHeight="1">
      <c r="A3653" t="s" s="2">
        <v>6858</v>
      </c>
      <c r="B3653" s="4">
        <v>35443</v>
      </c>
      <c r="C3653" s="5">
        <v>600</v>
      </c>
      <c r="D3653" s="5">
        <v>43</v>
      </c>
      <c r="E3653" s="5">
        <v>44.5</v>
      </c>
      <c r="F3653" t="s" s="2">
        <v>42</v>
      </c>
      <c r="G3653" t="s" s="2">
        <v>42</v>
      </c>
      <c r="H3653" s="5">
        <v>707</v>
      </c>
      <c r="I3653" t="s" s="2">
        <v>616</v>
      </c>
      <c r="J3653" t="s" s="2">
        <v>22</v>
      </c>
      <c r="K3653" t="s" s="2">
        <v>6851</v>
      </c>
      <c r="L3653" t="s" s="2">
        <v>6852</v>
      </c>
      <c r="M3653" s="5">
        <v>605442.58</v>
      </c>
      <c r="N3653" s="5">
        <v>6266916.8</v>
      </c>
      <c r="O3653" t="s" s="2">
        <v>305</v>
      </c>
      <c r="P3653" s="5">
        <v>200220</v>
      </c>
      <c r="Q3653" t="s" s="2">
        <v>43</v>
      </c>
      <c r="R3653" s="5">
        <f>_xlfn.IFERROR(INDEX('model_byCAP'!$D$2:$D$377,MATCH(Q3653,'model_byCAP'!$A$2:$A$377,0)),0)</f>
        <v>0</v>
      </c>
    </row>
    <row r="3654" ht="15.35" customHeight="1">
      <c r="A3654" t="s" s="2">
        <v>6859</v>
      </c>
      <c r="B3654" s="4">
        <v>35738</v>
      </c>
      <c r="C3654" s="5">
        <v>600</v>
      </c>
      <c r="D3654" s="5">
        <v>43</v>
      </c>
      <c r="E3654" s="5">
        <v>46</v>
      </c>
      <c r="F3654" t="s" s="2">
        <v>1746</v>
      </c>
      <c r="G3654" t="s" s="2">
        <v>4546</v>
      </c>
      <c r="H3654" s="5">
        <v>707</v>
      </c>
      <c r="I3654" t="s" s="2">
        <v>616</v>
      </c>
      <c r="J3654" t="s" s="2">
        <v>22</v>
      </c>
      <c r="K3654" t="s" s="2">
        <v>6860</v>
      </c>
      <c r="L3654" t="s" s="2">
        <v>1345</v>
      </c>
      <c r="M3654" s="5">
        <v>606523.34</v>
      </c>
      <c r="N3654" s="5">
        <v>6246079.98</v>
      </c>
      <c r="O3654" t="s" s="2">
        <v>305</v>
      </c>
      <c r="P3654" s="5">
        <v>257336</v>
      </c>
      <c r="Q3654" t="s" s="2">
        <v>4548</v>
      </c>
      <c r="R3654" t="s" s="2">
        <f>_xlfn.IFERROR(INDEX('model_byCAP'!$D$2:$D$377,MATCH(Q3654,'model_byCAP'!$A$2:$A$377,0)),0)</f>
        <v>2955</v>
      </c>
    </row>
    <row r="3655" ht="15.35" customHeight="1">
      <c r="A3655" t="s" s="2">
        <v>6861</v>
      </c>
      <c r="B3655" s="4">
        <v>35738</v>
      </c>
      <c r="C3655" s="5">
        <v>600</v>
      </c>
      <c r="D3655" s="5">
        <v>43</v>
      </c>
      <c r="E3655" s="5">
        <v>46</v>
      </c>
      <c r="F3655" t="s" s="2">
        <v>1746</v>
      </c>
      <c r="G3655" t="s" s="2">
        <v>4546</v>
      </c>
      <c r="H3655" s="5">
        <v>707</v>
      </c>
      <c r="I3655" t="s" s="2">
        <v>616</v>
      </c>
      <c r="J3655" t="s" s="2">
        <v>22</v>
      </c>
      <c r="K3655" t="s" s="2">
        <v>6860</v>
      </c>
      <c r="L3655" t="s" s="2">
        <v>1359</v>
      </c>
      <c r="M3655" s="5">
        <v>606735.95</v>
      </c>
      <c r="N3655" s="5">
        <v>6246100.03</v>
      </c>
      <c r="O3655" t="s" s="2">
        <v>305</v>
      </c>
      <c r="P3655" s="5">
        <v>257336</v>
      </c>
      <c r="Q3655" t="s" s="2">
        <v>4548</v>
      </c>
      <c r="R3655" t="s" s="2">
        <f>_xlfn.IFERROR(INDEX('model_byCAP'!$D$2:$D$377,MATCH(Q3655,'model_byCAP'!$A$2:$A$377,0)),0)</f>
        <v>2955</v>
      </c>
    </row>
    <row r="3656" ht="15.35" customHeight="1">
      <c r="A3656" t="s" s="2">
        <v>6862</v>
      </c>
      <c r="B3656" s="4">
        <v>35738</v>
      </c>
      <c r="C3656" s="5">
        <v>600</v>
      </c>
      <c r="D3656" s="5">
        <v>43</v>
      </c>
      <c r="E3656" s="5">
        <v>46</v>
      </c>
      <c r="F3656" t="s" s="2">
        <v>1746</v>
      </c>
      <c r="G3656" t="s" s="2">
        <v>4546</v>
      </c>
      <c r="H3656" s="5">
        <v>707</v>
      </c>
      <c r="I3656" t="s" s="2">
        <v>616</v>
      </c>
      <c r="J3656" t="s" s="2">
        <v>22</v>
      </c>
      <c r="K3656" t="s" s="2">
        <v>6860</v>
      </c>
      <c r="L3656" t="s" s="2">
        <v>1359</v>
      </c>
      <c r="M3656" s="5">
        <v>606948.33</v>
      </c>
      <c r="N3656" s="5">
        <v>6246122.24</v>
      </c>
      <c r="O3656" t="s" s="2">
        <v>305</v>
      </c>
      <c r="P3656" s="5">
        <v>257336</v>
      </c>
      <c r="Q3656" t="s" s="2">
        <v>4548</v>
      </c>
      <c r="R3656" t="s" s="2">
        <f>_xlfn.IFERROR(INDEX('model_byCAP'!$D$2:$D$377,MATCH(Q3656,'model_byCAP'!$A$2:$A$377,0)),0)</f>
        <v>2955</v>
      </c>
    </row>
    <row r="3657" ht="15.35" customHeight="1">
      <c r="A3657" t="s" s="2">
        <v>6863</v>
      </c>
      <c r="B3657" s="4">
        <v>35738</v>
      </c>
      <c r="C3657" s="5">
        <v>600</v>
      </c>
      <c r="D3657" s="5">
        <v>43</v>
      </c>
      <c r="E3657" s="5">
        <v>46</v>
      </c>
      <c r="F3657" t="s" s="2">
        <v>1746</v>
      </c>
      <c r="G3657" t="s" s="2">
        <v>4546</v>
      </c>
      <c r="H3657" s="5">
        <v>707</v>
      </c>
      <c r="I3657" t="s" s="2">
        <v>616</v>
      </c>
      <c r="J3657" t="s" s="2">
        <v>22</v>
      </c>
      <c r="K3657" t="s" s="2">
        <v>6860</v>
      </c>
      <c r="L3657" t="s" s="2">
        <v>1359</v>
      </c>
      <c r="M3657" s="5">
        <v>607161.26</v>
      </c>
      <c r="N3657" s="5">
        <v>6246143.32</v>
      </c>
      <c r="O3657" t="s" s="2">
        <v>305</v>
      </c>
      <c r="P3657" s="5">
        <v>257336</v>
      </c>
      <c r="Q3657" t="s" s="2">
        <v>4548</v>
      </c>
      <c r="R3657" t="s" s="2">
        <f>_xlfn.IFERROR(INDEX('model_byCAP'!$D$2:$D$377,MATCH(Q3657,'model_byCAP'!$A$2:$A$377,0)),0)</f>
        <v>2955</v>
      </c>
    </row>
    <row r="3658" ht="15.35" customHeight="1">
      <c r="A3658" t="s" s="2">
        <v>6864</v>
      </c>
      <c r="B3658" s="4">
        <v>35738</v>
      </c>
      <c r="C3658" s="5">
        <v>600</v>
      </c>
      <c r="D3658" s="5">
        <v>43</v>
      </c>
      <c r="E3658" s="5">
        <v>46</v>
      </c>
      <c r="F3658" t="s" s="2">
        <v>1746</v>
      </c>
      <c r="G3658" t="s" s="2">
        <v>4546</v>
      </c>
      <c r="H3658" s="5">
        <v>707</v>
      </c>
      <c r="I3658" t="s" s="2">
        <v>616</v>
      </c>
      <c r="J3658" t="s" s="2">
        <v>22</v>
      </c>
      <c r="K3658" t="s" s="2">
        <v>6860</v>
      </c>
      <c r="L3658" t="s" s="2">
        <v>582</v>
      </c>
      <c r="M3658" s="5">
        <v>607374.47</v>
      </c>
      <c r="N3658" s="5">
        <v>6246163.48</v>
      </c>
      <c r="O3658" t="s" s="2">
        <v>305</v>
      </c>
      <c r="P3658" s="5">
        <v>257336</v>
      </c>
      <c r="Q3658" t="s" s="2">
        <v>4548</v>
      </c>
      <c r="R3658" t="s" s="2">
        <f>_xlfn.IFERROR(INDEX('model_byCAP'!$D$2:$D$377,MATCH(Q3658,'model_byCAP'!$A$2:$A$377,0)),0)</f>
        <v>2955</v>
      </c>
    </row>
    <row r="3659" ht="15.35" customHeight="1">
      <c r="A3659" t="s" s="2">
        <v>6865</v>
      </c>
      <c r="B3659" s="4">
        <v>35949</v>
      </c>
      <c r="C3659" s="5">
        <v>600</v>
      </c>
      <c r="D3659" s="5">
        <v>44</v>
      </c>
      <c r="E3659" s="5">
        <v>45</v>
      </c>
      <c r="F3659" t="s" s="2">
        <v>301</v>
      </c>
      <c r="G3659" t="s" s="2">
        <v>5700</v>
      </c>
      <c r="H3659" s="5">
        <v>707</v>
      </c>
      <c r="I3659" t="s" s="2">
        <v>616</v>
      </c>
      <c r="J3659" t="s" s="2">
        <v>22</v>
      </c>
      <c r="K3659" t="s" s="2">
        <v>6866</v>
      </c>
      <c r="L3659" t="s" s="2">
        <v>524</v>
      </c>
      <c r="M3659" s="5">
        <v>609585.49</v>
      </c>
      <c r="N3659" s="5">
        <v>6258735.36</v>
      </c>
      <c r="O3659" t="s" s="2">
        <v>305</v>
      </c>
      <c r="P3659" s="5">
        <v>257561</v>
      </c>
      <c r="Q3659" t="s" s="2">
        <v>5701</v>
      </c>
      <c r="R3659" t="s" s="2">
        <f>_xlfn.IFERROR(INDEX('model_byCAP'!$D$2:$D$377,MATCH(Q3659,'model_byCAP'!$A$2:$A$377,0)),0)</f>
        <v>5702</v>
      </c>
    </row>
    <row r="3660" ht="15.35" customHeight="1">
      <c r="A3660" t="s" s="2">
        <v>6867</v>
      </c>
      <c r="B3660" s="4">
        <v>35949</v>
      </c>
      <c r="C3660" s="5">
        <v>600</v>
      </c>
      <c r="D3660" s="5">
        <v>44</v>
      </c>
      <c r="E3660" s="5">
        <v>45</v>
      </c>
      <c r="F3660" t="s" s="2">
        <v>301</v>
      </c>
      <c r="G3660" t="s" s="2">
        <v>5700</v>
      </c>
      <c r="H3660" s="5">
        <v>707</v>
      </c>
      <c r="I3660" t="s" s="2">
        <v>616</v>
      </c>
      <c r="J3660" t="s" s="2">
        <v>22</v>
      </c>
      <c r="K3660" t="s" s="2">
        <v>6866</v>
      </c>
      <c r="L3660" t="s" s="2">
        <v>524</v>
      </c>
      <c r="M3660" s="5">
        <v>609835.61</v>
      </c>
      <c r="N3660" s="5">
        <v>6258722.45</v>
      </c>
      <c r="O3660" t="s" s="2">
        <v>305</v>
      </c>
      <c r="P3660" s="5">
        <v>257561</v>
      </c>
      <c r="Q3660" t="s" s="2">
        <v>5701</v>
      </c>
      <c r="R3660" t="s" s="2">
        <f>_xlfn.IFERROR(INDEX('model_byCAP'!$D$2:$D$377,MATCH(Q3660,'model_byCAP'!$A$2:$A$377,0)),0)</f>
        <v>5702</v>
      </c>
    </row>
    <row r="3661" ht="15.35" customHeight="1">
      <c r="A3661" t="s" s="2">
        <v>6868</v>
      </c>
      <c r="B3661" s="4">
        <v>35949</v>
      </c>
      <c r="C3661" s="5">
        <v>600</v>
      </c>
      <c r="D3661" s="5">
        <v>44</v>
      </c>
      <c r="E3661" s="5">
        <v>45</v>
      </c>
      <c r="F3661" t="s" s="2">
        <v>301</v>
      </c>
      <c r="G3661" t="s" s="2">
        <v>5700</v>
      </c>
      <c r="H3661" s="5">
        <v>707</v>
      </c>
      <c r="I3661" t="s" s="2">
        <v>616</v>
      </c>
      <c r="J3661" t="s" s="2">
        <v>22</v>
      </c>
      <c r="K3661" t="s" s="2">
        <v>6869</v>
      </c>
      <c r="L3661" t="s" s="2">
        <v>1359</v>
      </c>
      <c r="M3661" s="5">
        <v>609721.25</v>
      </c>
      <c r="N3661" s="5">
        <v>6258945.32</v>
      </c>
      <c r="O3661" t="s" s="2">
        <v>305</v>
      </c>
      <c r="P3661" s="5">
        <v>257561</v>
      </c>
      <c r="Q3661" t="s" s="2">
        <v>5701</v>
      </c>
      <c r="R3661" t="s" s="2">
        <f>_xlfn.IFERROR(INDEX('model_byCAP'!$D$2:$D$377,MATCH(Q3661,'model_byCAP'!$A$2:$A$377,0)),0)</f>
        <v>5702</v>
      </c>
    </row>
    <row r="3662" ht="15.35" customHeight="1">
      <c r="A3662" t="s" s="2">
        <v>6870</v>
      </c>
      <c r="B3662" s="4">
        <v>35972</v>
      </c>
      <c r="C3662" s="5">
        <v>600</v>
      </c>
      <c r="D3662" s="5">
        <v>44</v>
      </c>
      <c r="E3662" s="5">
        <v>45</v>
      </c>
      <c r="F3662" t="s" s="2">
        <v>301</v>
      </c>
      <c r="G3662" t="s" s="2">
        <v>5700</v>
      </c>
      <c r="H3662" s="5">
        <v>707</v>
      </c>
      <c r="I3662" t="s" s="2">
        <v>616</v>
      </c>
      <c r="J3662" t="s" s="2">
        <v>22</v>
      </c>
      <c r="K3662" t="s" s="2">
        <v>6871</v>
      </c>
      <c r="L3662" t="s" s="2">
        <v>1196</v>
      </c>
      <c r="M3662" s="5">
        <v>613245.21</v>
      </c>
      <c r="N3662" s="5">
        <v>6259866.76</v>
      </c>
      <c r="O3662" t="s" s="2">
        <v>305</v>
      </c>
      <c r="P3662" s="5">
        <v>257656</v>
      </c>
      <c r="Q3662" t="s" s="2">
        <v>5701</v>
      </c>
      <c r="R3662" t="s" s="2">
        <f>_xlfn.IFERROR(INDEX('model_byCAP'!$D$2:$D$377,MATCH(Q3662,'model_byCAP'!$A$2:$A$377,0)),0)</f>
        <v>5702</v>
      </c>
    </row>
    <row r="3663" ht="15.35" customHeight="1">
      <c r="A3663" t="s" s="2">
        <v>6872</v>
      </c>
      <c r="B3663" s="4">
        <v>35972</v>
      </c>
      <c r="C3663" s="5">
        <v>600</v>
      </c>
      <c r="D3663" s="5">
        <v>44</v>
      </c>
      <c r="E3663" s="5">
        <v>45</v>
      </c>
      <c r="F3663" t="s" s="2">
        <v>301</v>
      </c>
      <c r="G3663" t="s" s="2">
        <v>5700</v>
      </c>
      <c r="H3663" s="5">
        <v>707</v>
      </c>
      <c r="I3663" t="s" s="2">
        <v>616</v>
      </c>
      <c r="J3663" t="s" s="2">
        <v>22</v>
      </c>
      <c r="K3663" t="s" s="2">
        <v>6871</v>
      </c>
      <c r="L3663" t="s" s="2">
        <v>1196</v>
      </c>
      <c r="M3663" s="5">
        <v>613339.08</v>
      </c>
      <c r="N3663" s="5">
        <v>6259581.78</v>
      </c>
      <c r="O3663" t="s" s="2">
        <v>305</v>
      </c>
      <c r="P3663" s="5">
        <v>257656</v>
      </c>
      <c r="Q3663" t="s" s="2">
        <v>5701</v>
      </c>
      <c r="R3663" t="s" s="2">
        <f>_xlfn.IFERROR(INDEX('model_byCAP'!$D$2:$D$377,MATCH(Q3663,'model_byCAP'!$A$2:$A$377,0)),0)</f>
        <v>5702</v>
      </c>
    </row>
    <row r="3664" ht="15.35" customHeight="1">
      <c r="A3664" t="s" s="2">
        <v>6873</v>
      </c>
      <c r="B3664" s="4">
        <v>35972</v>
      </c>
      <c r="C3664" s="5">
        <v>600</v>
      </c>
      <c r="D3664" s="5">
        <v>44</v>
      </c>
      <c r="E3664" s="5">
        <v>45</v>
      </c>
      <c r="F3664" t="s" s="2">
        <v>301</v>
      </c>
      <c r="G3664" t="s" s="2">
        <v>5700</v>
      </c>
      <c r="H3664" s="5">
        <v>707</v>
      </c>
      <c r="I3664" t="s" s="2">
        <v>616</v>
      </c>
      <c r="J3664" t="s" s="2">
        <v>22</v>
      </c>
      <c r="K3664" t="s" s="2">
        <v>6871</v>
      </c>
      <c r="L3664" t="s" s="2">
        <v>1196</v>
      </c>
      <c r="M3664" s="5">
        <v>613433.4300000001</v>
      </c>
      <c r="N3664" s="5">
        <v>6259296.92</v>
      </c>
      <c r="O3664" t="s" s="2">
        <v>305</v>
      </c>
      <c r="P3664" s="5">
        <v>257656</v>
      </c>
      <c r="Q3664" t="s" s="2">
        <v>5701</v>
      </c>
      <c r="R3664" t="s" s="2">
        <f>_xlfn.IFERROR(INDEX('model_byCAP'!$D$2:$D$377,MATCH(Q3664,'model_byCAP'!$A$2:$A$377,0)),0)</f>
        <v>5702</v>
      </c>
    </row>
    <row r="3665" ht="15.35" customHeight="1">
      <c r="A3665" t="s" s="2">
        <v>6874</v>
      </c>
      <c r="B3665" s="4">
        <v>35906</v>
      </c>
      <c r="C3665" s="5">
        <v>600</v>
      </c>
      <c r="D3665" s="5">
        <v>48</v>
      </c>
      <c r="E3665" s="5">
        <v>46</v>
      </c>
      <c r="F3665" t="s" s="2">
        <v>3604</v>
      </c>
      <c r="G3665" t="s" s="2">
        <v>6875</v>
      </c>
      <c r="H3665" s="5">
        <v>710</v>
      </c>
      <c r="I3665" t="s" s="2">
        <v>3630</v>
      </c>
      <c r="J3665" t="s" s="2">
        <v>22</v>
      </c>
      <c r="K3665" t="s" s="2">
        <v>6876</v>
      </c>
      <c r="L3665" t="s" s="2">
        <v>3706</v>
      </c>
      <c r="M3665" s="5">
        <v>571179.0699999999</v>
      </c>
      <c r="N3665" s="5">
        <v>6242300.56</v>
      </c>
      <c r="O3665" t="s" s="2">
        <v>305</v>
      </c>
      <c r="P3665" s="5">
        <v>95116</v>
      </c>
      <c r="Q3665" t="s" s="2">
        <v>6877</v>
      </c>
      <c r="R3665" t="s" s="2">
        <f>_xlfn.IFERROR(INDEX('model_byCAP'!$D$2:$D$377,MATCH(Q3665,'model_byCAP'!$A$2:$A$377,0)),0)</f>
        <v>4042</v>
      </c>
    </row>
    <row r="3666" ht="15.35" customHeight="1">
      <c r="A3666" t="s" s="2">
        <v>6878</v>
      </c>
      <c r="B3666" s="4">
        <v>35906</v>
      </c>
      <c r="C3666" s="5">
        <v>600</v>
      </c>
      <c r="D3666" s="5">
        <v>48</v>
      </c>
      <c r="E3666" s="5">
        <v>46</v>
      </c>
      <c r="F3666" t="s" s="2">
        <v>3604</v>
      </c>
      <c r="G3666" t="s" s="2">
        <v>6875</v>
      </c>
      <c r="H3666" s="5">
        <v>710</v>
      </c>
      <c r="I3666" t="s" s="2">
        <v>3630</v>
      </c>
      <c r="J3666" t="s" s="2">
        <v>22</v>
      </c>
      <c r="K3666" t="s" s="2">
        <v>6879</v>
      </c>
      <c r="L3666" t="s" s="2">
        <v>498</v>
      </c>
      <c r="M3666" s="5">
        <v>571134.4399999999</v>
      </c>
      <c r="N3666" s="5">
        <v>6242105.95</v>
      </c>
      <c r="O3666" t="s" s="2">
        <v>305</v>
      </c>
      <c r="P3666" s="5">
        <v>95116</v>
      </c>
      <c r="Q3666" t="s" s="2">
        <v>6877</v>
      </c>
      <c r="R3666" t="s" s="2">
        <f>_xlfn.IFERROR(INDEX('model_byCAP'!$D$2:$D$377,MATCH(Q3666,'model_byCAP'!$A$2:$A$377,0)),0)</f>
        <v>4042</v>
      </c>
    </row>
    <row r="3667" ht="15.35" customHeight="1">
      <c r="A3667" t="s" s="2">
        <v>6880</v>
      </c>
      <c r="B3667" s="4">
        <v>35906</v>
      </c>
      <c r="C3667" s="5">
        <v>600</v>
      </c>
      <c r="D3667" s="5">
        <v>48</v>
      </c>
      <c r="E3667" s="5">
        <v>46</v>
      </c>
      <c r="F3667" t="s" s="2">
        <v>3604</v>
      </c>
      <c r="G3667" t="s" s="2">
        <v>6875</v>
      </c>
      <c r="H3667" s="5">
        <v>710</v>
      </c>
      <c r="I3667" t="s" s="2">
        <v>3630</v>
      </c>
      <c r="J3667" t="s" s="2">
        <v>22</v>
      </c>
      <c r="K3667" t="s" s="2">
        <v>6881</v>
      </c>
      <c r="L3667" t="s" s="2">
        <v>481</v>
      </c>
      <c r="M3667" s="5">
        <v>571089.79</v>
      </c>
      <c r="N3667" s="5">
        <v>6241910.96</v>
      </c>
      <c r="O3667" t="s" s="2">
        <v>305</v>
      </c>
      <c r="P3667" s="5">
        <v>95116</v>
      </c>
      <c r="Q3667" t="s" s="2">
        <v>6877</v>
      </c>
      <c r="R3667" t="s" s="2">
        <f>_xlfn.IFERROR(INDEX('model_byCAP'!$D$2:$D$377,MATCH(Q3667,'model_byCAP'!$A$2:$A$377,0)),0)</f>
        <v>4042</v>
      </c>
    </row>
    <row r="3668" ht="15.35" customHeight="1">
      <c r="A3668" t="s" s="2">
        <v>6882</v>
      </c>
      <c r="B3668" s="4">
        <v>35853</v>
      </c>
      <c r="C3668" s="5">
        <v>600</v>
      </c>
      <c r="D3668" s="5">
        <v>48</v>
      </c>
      <c r="E3668" s="5">
        <v>46</v>
      </c>
      <c r="F3668" t="s" s="2">
        <v>1746</v>
      </c>
      <c r="G3668" t="s" s="2">
        <v>4546</v>
      </c>
      <c r="H3668" s="5">
        <v>710</v>
      </c>
      <c r="I3668" t="s" s="2">
        <v>3630</v>
      </c>
      <c r="J3668" t="s" s="2">
        <v>22</v>
      </c>
      <c r="K3668" t="s" s="2">
        <v>6883</v>
      </c>
      <c r="L3668" t="s" s="2">
        <v>6884</v>
      </c>
      <c r="M3668" s="5">
        <v>572034.5600000001</v>
      </c>
      <c r="N3668" s="5">
        <v>6241168.85</v>
      </c>
      <c r="O3668" t="s" s="2">
        <v>305</v>
      </c>
      <c r="P3668" s="5">
        <v>257449</v>
      </c>
      <c r="Q3668" t="s" s="2">
        <v>4548</v>
      </c>
      <c r="R3668" t="s" s="2">
        <f>_xlfn.IFERROR(INDEX('model_byCAP'!$D$2:$D$377,MATCH(Q3668,'model_byCAP'!$A$2:$A$377,0)),0)</f>
        <v>2955</v>
      </c>
    </row>
    <row r="3669" ht="15.35" customHeight="1">
      <c r="A3669" t="s" s="2">
        <v>6885</v>
      </c>
      <c r="B3669" s="4">
        <v>35853</v>
      </c>
      <c r="C3669" s="5">
        <v>600</v>
      </c>
      <c r="D3669" s="5">
        <v>48</v>
      </c>
      <c r="E3669" s="5">
        <v>46</v>
      </c>
      <c r="F3669" t="s" s="2">
        <v>1746</v>
      </c>
      <c r="G3669" t="s" s="2">
        <v>4546</v>
      </c>
      <c r="H3669" s="5">
        <v>710</v>
      </c>
      <c r="I3669" t="s" s="2">
        <v>3630</v>
      </c>
      <c r="J3669" t="s" s="2">
        <v>22</v>
      </c>
      <c r="K3669" t="s" s="2">
        <v>6883</v>
      </c>
      <c r="L3669" t="s" s="2">
        <v>6886</v>
      </c>
      <c r="M3669" s="5">
        <v>571995.4</v>
      </c>
      <c r="N3669" s="5">
        <v>6240987.72</v>
      </c>
      <c r="O3669" t="s" s="2">
        <v>305</v>
      </c>
      <c r="P3669" s="5">
        <v>257449</v>
      </c>
      <c r="Q3669" t="s" s="2">
        <v>4548</v>
      </c>
      <c r="R3669" t="s" s="2">
        <f>_xlfn.IFERROR(INDEX('model_byCAP'!$D$2:$D$377,MATCH(Q3669,'model_byCAP'!$A$2:$A$377,0)),0)</f>
        <v>2955</v>
      </c>
    </row>
    <row r="3670" ht="15.35" customHeight="1">
      <c r="A3670" t="s" s="2">
        <v>6887</v>
      </c>
      <c r="B3670" s="4">
        <v>35853</v>
      </c>
      <c r="C3670" s="5">
        <v>600</v>
      </c>
      <c r="D3670" s="5">
        <v>48</v>
      </c>
      <c r="E3670" s="5">
        <v>46</v>
      </c>
      <c r="F3670" t="s" s="2">
        <v>1746</v>
      </c>
      <c r="G3670" t="s" s="2">
        <v>4546</v>
      </c>
      <c r="H3670" s="5">
        <v>710</v>
      </c>
      <c r="I3670" t="s" s="2">
        <v>3630</v>
      </c>
      <c r="J3670" t="s" s="2">
        <v>22</v>
      </c>
      <c r="K3670" t="s" s="2">
        <v>6883</v>
      </c>
      <c r="L3670" t="s" s="2">
        <v>6884</v>
      </c>
      <c r="M3670" s="5">
        <v>571956.47</v>
      </c>
      <c r="N3670" s="5">
        <v>6240806.2</v>
      </c>
      <c r="O3670" t="s" s="2">
        <v>305</v>
      </c>
      <c r="P3670" s="5">
        <v>257449</v>
      </c>
      <c r="Q3670" t="s" s="2">
        <v>4548</v>
      </c>
      <c r="R3670" t="s" s="2">
        <f>_xlfn.IFERROR(INDEX('model_byCAP'!$D$2:$D$377,MATCH(Q3670,'model_byCAP'!$A$2:$A$377,0)),0)</f>
        <v>2955</v>
      </c>
    </row>
    <row r="3671" ht="15.35" customHeight="1">
      <c r="A3671" t="s" s="2">
        <v>6888</v>
      </c>
      <c r="B3671" s="4">
        <v>36662</v>
      </c>
      <c r="C3671" s="5">
        <v>600</v>
      </c>
      <c r="D3671" s="5">
        <v>44</v>
      </c>
      <c r="E3671" s="5">
        <v>45</v>
      </c>
      <c r="F3671" t="s" s="2">
        <v>1989</v>
      </c>
      <c r="G3671" t="s" s="2">
        <v>6085</v>
      </c>
      <c r="H3671" s="5">
        <v>727</v>
      </c>
      <c r="I3671" t="s" s="2">
        <v>2452</v>
      </c>
      <c r="J3671" t="s" s="2">
        <v>22</v>
      </c>
      <c r="K3671" t="s" s="2">
        <v>6889</v>
      </c>
      <c r="L3671" t="s" s="2">
        <v>481</v>
      </c>
      <c r="M3671" s="5">
        <v>564344</v>
      </c>
      <c r="N3671" s="5">
        <v>6199490.63</v>
      </c>
      <c r="O3671" t="s" s="2">
        <v>305</v>
      </c>
      <c r="P3671" s="5">
        <v>1030073</v>
      </c>
      <c r="Q3671" t="s" s="2">
        <v>6087</v>
      </c>
      <c r="R3671" t="s" s="2">
        <f>_xlfn.IFERROR(INDEX('model_byCAP'!$D$2:$D$377,MATCH(Q3671,'model_byCAP'!$A$2:$A$377,0)),0)</f>
        <v>5955</v>
      </c>
    </row>
    <row r="3672" ht="15.35" customHeight="1">
      <c r="A3672" t="s" s="2">
        <v>6890</v>
      </c>
      <c r="B3672" s="4">
        <v>35950</v>
      </c>
      <c r="C3672" s="5">
        <v>600</v>
      </c>
      <c r="D3672" s="5">
        <v>44</v>
      </c>
      <c r="E3672" s="5">
        <v>45</v>
      </c>
      <c r="F3672" t="s" s="2">
        <v>1989</v>
      </c>
      <c r="G3672" t="s" s="2">
        <v>6085</v>
      </c>
      <c r="H3672" s="5">
        <v>727</v>
      </c>
      <c r="I3672" t="s" s="2">
        <v>2452</v>
      </c>
      <c r="J3672" t="s" s="2">
        <v>22</v>
      </c>
      <c r="K3672" t="s" s="2">
        <v>6889</v>
      </c>
      <c r="L3672" t="s" s="2">
        <v>2348</v>
      </c>
      <c r="M3672" s="5">
        <v>564727.55</v>
      </c>
      <c r="N3672" s="5">
        <v>6199104.2</v>
      </c>
      <c r="O3672" t="s" s="2">
        <v>305</v>
      </c>
      <c r="P3672" s="5">
        <v>1030038</v>
      </c>
      <c r="Q3672" t="s" s="2">
        <v>6087</v>
      </c>
      <c r="R3672" t="s" s="2">
        <f>_xlfn.IFERROR(INDEX('model_byCAP'!$D$2:$D$377,MATCH(Q3672,'model_byCAP'!$A$2:$A$377,0)),0)</f>
        <v>5955</v>
      </c>
    </row>
    <row r="3673" ht="15.35" customHeight="1">
      <c r="A3673" t="s" s="2">
        <v>6891</v>
      </c>
      <c r="B3673" s="4">
        <v>35950</v>
      </c>
      <c r="C3673" s="5">
        <v>600</v>
      </c>
      <c r="D3673" s="5">
        <v>44</v>
      </c>
      <c r="E3673" s="5">
        <v>45</v>
      </c>
      <c r="F3673" t="s" s="2">
        <v>1989</v>
      </c>
      <c r="G3673" t="s" s="2">
        <v>6085</v>
      </c>
      <c r="H3673" s="5">
        <v>727</v>
      </c>
      <c r="I3673" t="s" s="2">
        <v>2452</v>
      </c>
      <c r="J3673" t="s" s="2">
        <v>22</v>
      </c>
      <c r="K3673" t="s" s="2">
        <v>6889</v>
      </c>
      <c r="L3673" t="s" s="2">
        <v>2348</v>
      </c>
      <c r="M3673" s="5">
        <v>564905.36</v>
      </c>
      <c r="N3673" s="5">
        <v>6198925.63</v>
      </c>
      <c r="O3673" t="s" s="2">
        <v>305</v>
      </c>
      <c r="P3673" s="5">
        <v>1030039</v>
      </c>
      <c r="Q3673" t="s" s="2">
        <v>6087</v>
      </c>
      <c r="R3673" t="s" s="2">
        <f>_xlfn.IFERROR(INDEX('model_byCAP'!$D$2:$D$377,MATCH(Q3673,'model_byCAP'!$A$2:$A$377,0)),0)</f>
        <v>5955</v>
      </c>
    </row>
    <row r="3674" ht="15.35" customHeight="1">
      <c r="A3674" t="s" s="2">
        <v>6892</v>
      </c>
      <c r="B3674" s="4">
        <v>35656</v>
      </c>
      <c r="C3674" s="5">
        <v>600</v>
      </c>
      <c r="D3674" s="5">
        <v>43</v>
      </c>
      <c r="E3674" s="5">
        <v>46</v>
      </c>
      <c r="F3674" t="s" s="2">
        <v>1746</v>
      </c>
      <c r="G3674" t="s" s="2">
        <v>6286</v>
      </c>
      <c r="H3674" s="5">
        <v>730</v>
      </c>
      <c r="I3674" t="s" s="2">
        <v>843</v>
      </c>
      <c r="J3674" t="s" s="2">
        <v>22</v>
      </c>
      <c r="K3674" t="s" s="2">
        <v>6893</v>
      </c>
      <c r="L3674" t="s" s="2">
        <v>6894</v>
      </c>
      <c r="M3674" s="5">
        <v>570972.41</v>
      </c>
      <c r="N3674" s="5">
        <v>6260982.58</v>
      </c>
      <c r="O3674" t="s" s="2">
        <v>305</v>
      </c>
      <c r="P3674" s="5">
        <v>95108</v>
      </c>
      <c r="Q3674" t="s" s="2">
        <v>6288</v>
      </c>
      <c r="R3674" t="s" s="2">
        <f>_xlfn.IFERROR(INDEX('model_byCAP'!$D$2:$D$377,MATCH(Q3674,'model_byCAP'!$A$2:$A$377,0)),0)</f>
        <v>2955</v>
      </c>
    </row>
    <row r="3675" ht="15.35" customHeight="1">
      <c r="A3675" t="s" s="2">
        <v>6895</v>
      </c>
      <c r="B3675" s="4">
        <v>35656</v>
      </c>
      <c r="C3675" s="5">
        <v>600</v>
      </c>
      <c r="D3675" s="5">
        <v>43</v>
      </c>
      <c r="E3675" s="5">
        <v>46</v>
      </c>
      <c r="F3675" t="s" s="2">
        <v>1746</v>
      </c>
      <c r="G3675" t="s" s="2">
        <v>6286</v>
      </c>
      <c r="H3675" s="5">
        <v>730</v>
      </c>
      <c r="I3675" t="s" s="2">
        <v>843</v>
      </c>
      <c r="J3675" t="s" s="2">
        <v>22</v>
      </c>
      <c r="K3675" t="s" s="2">
        <v>6893</v>
      </c>
      <c r="L3675" t="s" s="2">
        <v>6896</v>
      </c>
      <c r="M3675" s="5">
        <v>570980.9</v>
      </c>
      <c r="N3675" s="5">
        <v>6261126.93</v>
      </c>
      <c r="O3675" t="s" s="2">
        <v>305</v>
      </c>
      <c r="P3675" s="5">
        <v>95108</v>
      </c>
      <c r="Q3675" t="s" s="2">
        <v>6288</v>
      </c>
      <c r="R3675" t="s" s="2">
        <f>_xlfn.IFERROR(INDEX('model_byCAP'!$D$2:$D$377,MATCH(Q3675,'model_byCAP'!$A$2:$A$377,0)),0)</f>
        <v>2955</v>
      </c>
    </row>
    <row r="3676" ht="15.35" customHeight="1">
      <c r="A3676" t="s" s="2">
        <v>6897</v>
      </c>
      <c r="B3676" s="4">
        <v>35656</v>
      </c>
      <c r="C3676" s="5">
        <v>600</v>
      </c>
      <c r="D3676" s="5">
        <v>43</v>
      </c>
      <c r="E3676" s="5">
        <v>46</v>
      </c>
      <c r="F3676" t="s" s="2">
        <v>1746</v>
      </c>
      <c r="G3676" t="s" s="2">
        <v>6286</v>
      </c>
      <c r="H3676" s="5">
        <v>730</v>
      </c>
      <c r="I3676" t="s" s="2">
        <v>843</v>
      </c>
      <c r="J3676" t="s" s="2">
        <v>22</v>
      </c>
      <c r="K3676" t="s" s="2">
        <v>6893</v>
      </c>
      <c r="L3676" t="s" s="2">
        <v>6898</v>
      </c>
      <c r="M3676" s="5">
        <v>570988.53</v>
      </c>
      <c r="N3676" s="5">
        <v>6261271.89</v>
      </c>
      <c r="O3676" t="s" s="2">
        <v>305</v>
      </c>
      <c r="P3676" s="5">
        <v>95108</v>
      </c>
      <c r="Q3676" t="s" s="2">
        <v>6288</v>
      </c>
      <c r="R3676" t="s" s="2">
        <f>_xlfn.IFERROR(INDEX('model_byCAP'!$D$2:$D$377,MATCH(Q3676,'model_byCAP'!$A$2:$A$377,0)),0)</f>
        <v>2955</v>
      </c>
    </row>
    <row r="3677" ht="15.35" customHeight="1">
      <c r="A3677" t="s" s="2">
        <v>6899</v>
      </c>
      <c r="B3677" s="4">
        <v>35656</v>
      </c>
      <c r="C3677" s="5">
        <v>600</v>
      </c>
      <c r="D3677" s="5">
        <v>43</v>
      </c>
      <c r="E3677" s="5">
        <v>46</v>
      </c>
      <c r="F3677" t="s" s="2">
        <v>1746</v>
      </c>
      <c r="G3677" t="s" s="2">
        <v>6286</v>
      </c>
      <c r="H3677" s="5">
        <v>730</v>
      </c>
      <c r="I3677" t="s" s="2">
        <v>843</v>
      </c>
      <c r="J3677" t="s" s="2">
        <v>22</v>
      </c>
      <c r="K3677" t="s" s="2">
        <v>6893</v>
      </c>
      <c r="L3677" t="s" s="2">
        <v>6900</v>
      </c>
      <c r="M3677" s="5">
        <v>570995.79</v>
      </c>
      <c r="N3677" s="5">
        <v>6261416.28</v>
      </c>
      <c r="O3677" t="s" s="2">
        <v>305</v>
      </c>
      <c r="P3677" s="5">
        <v>95108</v>
      </c>
      <c r="Q3677" t="s" s="2">
        <v>6288</v>
      </c>
      <c r="R3677" t="s" s="2">
        <f>_xlfn.IFERROR(INDEX('model_byCAP'!$D$2:$D$377,MATCH(Q3677,'model_byCAP'!$A$2:$A$377,0)),0)</f>
        <v>2955</v>
      </c>
    </row>
    <row r="3678" ht="15.35" customHeight="1">
      <c r="A3678" t="s" s="2">
        <v>6901</v>
      </c>
      <c r="B3678" s="4">
        <v>35656</v>
      </c>
      <c r="C3678" s="5">
        <v>600</v>
      </c>
      <c r="D3678" s="5">
        <v>43</v>
      </c>
      <c r="E3678" s="5">
        <v>46</v>
      </c>
      <c r="F3678" t="s" s="2">
        <v>1746</v>
      </c>
      <c r="G3678" t="s" s="2">
        <v>6286</v>
      </c>
      <c r="H3678" s="5">
        <v>730</v>
      </c>
      <c r="I3678" t="s" s="2">
        <v>843</v>
      </c>
      <c r="J3678" t="s" s="2">
        <v>22</v>
      </c>
      <c r="K3678" t="s" s="2">
        <v>6893</v>
      </c>
      <c r="L3678" t="s" s="2">
        <v>6902</v>
      </c>
      <c r="M3678" s="5">
        <v>571003.4</v>
      </c>
      <c r="N3678" s="5">
        <v>6261561.35</v>
      </c>
      <c r="O3678" t="s" s="2">
        <v>305</v>
      </c>
      <c r="P3678" s="5">
        <v>95108</v>
      </c>
      <c r="Q3678" t="s" s="2">
        <v>6288</v>
      </c>
      <c r="R3678" t="s" s="2">
        <f>_xlfn.IFERROR(INDEX('model_byCAP'!$D$2:$D$377,MATCH(Q3678,'model_byCAP'!$A$2:$A$377,0)),0)</f>
        <v>2955</v>
      </c>
    </row>
    <row r="3679" ht="15.35" customHeight="1">
      <c r="A3679" t="s" s="2">
        <v>6903</v>
      </c>
      <c r="B3679" s="4">
        <v>35674</v>
      </c>
      <c r="C3679" s="5">
        <v>600</v>
      </c>
      <c r="D3679" s="5">
        <v>48</v>
      </c>
      <c r="E3679" s="5">
        <v>46</v>
      </c>
      <c r="F3679" t="s" s="2">
        <v>1746</v>
      </c>
      <c r="G3679" t="s" s="2">
        <v>6024</v>
      </c>
      <c r="H3679" s="5">
        <v>730</v>
      </c>
      <c r="I3679" t="s" s="2">
        <v>843</v>
      </c>
      <c r="J3679" t="s" s="2">
        <v>22</v>
      </c>
      <c r="K3679" t="s" s="2">
        <v>6904</v>
      </c>
      <c r="L3679" t="s" s="2">
        <v>2389</v>
      </c>
      <c r="M3679" s="5">
        <v>569575.13</v>
      </c>
      <c r="N3679" s="5">
        <v>6260323.7</v>
      </c>
      <c r="O3679" t="s" s="2">
        <v>305</v>
      </c>
      <c r="P3679" s="5">
        <v>95109</v>
      </c>
      <c r="Q3679" t="s" s="2">
        <v>6025</v>
      </c>
      <c r="R3679" t="s" s="2">
        <f>_xlfn.IFERROR(INDEX('model_byCAP'!$D$2:$D$377,MATCH(Q3679,'model_byCAP'!$A$2:$A$377,0)),0)</f>
        <v>2955</v>
      </c>
    </row>
    <row r="3680" ht="15.35" customHeight="1">
      <c r="A3680" t="s" s="2">
        <v>6905</v>
      </c>
      <c r="B3680" s="4">
        <v>35674</v>
      </c>
      <c r="C3680" s="5">
        <v>600</v>
      </c>
      <c r="D3680" s="5">
        <v>48</v>
      </c>
      <c r="E3680" s="5">
        <v>46</v>
      </c>
      <c r="F3680" t="s" s="2">
        <v>1746</v>
      </c>
      <c r="G3680" t="s" s="2">
        <v>6024</v>
      </c>
      <c r="H3680" s="5">
        <v>730</v>
      </c>
      <c r="I3680" t="s" s="2">
        <v>843</v>
      </c>
      <c r="J3680" t="s" s="2">
        <v>22</v>
      </c>
      <c r="K3680" t="s" s="2">
        <v>6904</v>
      </c>
      <c r="L3680" t="s" s="2">
        <v>1339</v>
      </c>
      <c r="M3680" s="5">
        <v>569484.13</v>
      </c>
      <c r="N3680" s="5">
        <v>6260419.79</v>
      </c>
      <c r="O3680" t="s" s="2">
        <v>305</v>
      </c>
      <c r="P3680" s="5">
        <v>95109</v>
      </c>
      <c r="Q3680" t="s" s="2">
        <v>6025</v>
      </c>
      <c r="R3680" t="s" s="2">
        <f>_xlfn.IFERROR(INDEX('model_byCAP'!$D$2:$D$377,MATCH(Q3680,'model_byCAP'!$A$2:$A$377,0)),0)</f>
        <v>2955</v>
      </c>
    </row>
    <row r="3681" ht="15.35" customHeight="1">
      <c r="A3681" t="s" s="2">
        <v>6906</v>
      </c>
      <c r="B3681" s="4">
        <v>35674</v>
      </c>
      <c r="C3681" s="5">
        <v>600</v>
      </c>
      <c r="D3681" s="5">
        <v>48</v>
      </c>
      <c r="E3681" s="5">
        <v>46</v>
      </c>
      <c r="F3681" t="s" s="2">
        <v>1746</v>
      </c>
      <c r="G3681" t="s" s="2">
        <v>6024</v>
      </c>
      <c r="H3681" s="5">
        <v>730</v>
      </c>
      <c r="I3681" t="s" s="2">
        <v>843</v>
      </c>
      <c r="J3681" t="s" s="2">
        <v>22</v>
      </c>
      <c r="K3681" t="s" s="2">
        <v>6904</v>
      </c>
      <c r="L3681" t="s" s="2">
        <v>524</v>
      </c>
      <c r="M3681" s="5">
        <v>569302.8</v>
      </c>
      <c r="N3681" s="5">
        <v>6260611.25</v>
      </c>
      <c r="O3681" t="s" s="2">
        <v>305</v>
      </c>
      <c r="P3681" s="5">
        <v>95109</v>
      </c>
      <c r="Q3681" t="s" s="2">
        <v>6025</v>
      </c>
      <c r="R3681" t="s" s="2">
        <f>_xlfn.IFERROR(INDEX('model_byCAP'!$D$2:$D$377,MATCH(Q3681,'model_byCAP'!$A$2:$A$377,0)),0)</f>
        <v>2955</v>
      </c>
    </row>
    <row r="3682" ht="15.35" customHeight="1">
      <c r="A3682" t="s" s="2">
        <v>6907</v>
      </c>
      <c r="B3682" s="4">
        <v>35674</v>
      </c>
      <c r="C3682" s="5">
        <v>600</v>
      </c>
      <c r="D3682" s="5">
        <v>48</v>
      </c>
      <c r="E3682" s="5">
        <v>46</v>
      </c>
      <c r="F3682" t="s" s="2">
        <v>1746</v>
      </c>
      <c r="G3682" t="s" s="2">
        <v>6024</v>
      </c>
      <c r="H3682" s="5">
        <v>730</v>
      </c>
      <c r="I3682" t="s" s="2">
        <v>843</v>
      </c>
      <c r="J3682" t="s" s="2">
        <v>22</v>
      </c>
      <c r="K3682" t="s" s="2">
        <v>6904</v>
      </c>
      <c r="L3682" t="s" s="2">
        <v>524</v>
      </c>
      <c r="M3682" s="5">
        <v>569211.72</v>
      </c>
      <c r="N3682" s="5">
        <v>6260707.09</v>
      </c>
      <c r="O3682" t="s" s="2">
        <v>305</v>
      </c>
      <c r="P3682" s="5">
        <v>95109</v>
      </c>
      <c r="Q3682" t="s" s="2">
        <v>6025</v>
      </c>
      <c r="R3682" t="s" s="2">
        <f>_xlfn.IFERROR(INDEX('model_byCAP'!$D$2:$D$377,MATCH(Q3682,'model_byCAP'!$A$2:$A$377,0)),0)</f>
        <v>2955</v>
      </c>
    </row>
    <row r="3683" ht="15.35" customHeight="1">
      <c r="A3683" t="s" s="2">
        <v>6908</v>
      </c>
      <c r="B3683" s="4">
        <v>35727</v>
      </c>
      <c r="C3683" s="5">
        <v>600</v>
      </c>
      <c r="D3683" s="5">
        <v>48</v>
      </c>
      <c r="E3683" s="5">
        <v>45</v>
      </c>
      <c r="F3683" t="s" s="2">
        <v>1746</v>
      </c>
      <c r="G3683" t="s" s="2">
        <v>4302</v>
      </c>
      <c r="H3683" s="5">
        <v>730</v>
      </c>
      <c r="I3683" t="s" s="2">
        <v>843</v>
      </c>
      <c r="J3683" t="s" s="2">
        <v>22</v>
      </c>
      <c r="K3683" t="s" s="2">
        <v>6909</v>
      </c>
      <c r="L3683" t="s" s="2">
        <v>6910</v>
      </c>
      <c r="M3683" s="5">
        <v>569638.64</v>
      </c>
      <c r="N3683" s="5">
        <v>6263872.76</v>
      </c>
      <c r="O3683" t="s" s="2">
        <v>305</v>
      </c>
      <c r="P3683" s="5">
        <v>95110</v>
      </c>
      <c r="Q3683" t="s" s="2">
        <v>4304</v>
      </c>
      <c r="R3683" t="s" s="2">
        <f>_xlfn.IFERROR(INDEX('model_byCAP'!$D$2:$D$377,MATCH(Q3683,'model_byCAP'!$A$2:$A$377,0)),0)</f>
        <v>2955</v>
      </c>
    </row>
    <row r="3684" ht="15.35" customHeight="1">
      <c r="A3684" t="s" s="2">
        <v>6911</v>
      </c>
      <c r="B3684" s="4">
        <v>35727</v>
      </c>
      <c r="C3684" s="5">
        <v>600</v>
      </c>
      <c r="D3684" s="5">
        <v>48</v>
      </c>
      <c r="E3684" s="5">
        <v>46</v>
      </c>
      <c r="F3684" t="s" s="2">
        <v>3604</v>
      </c>
      <c r="G3684" t="s" s="2">
        <v>6912</v>
      </c>
      <c r="H3684" s="5">
        <v>730</v>
      </c>
      <c r="I3684" t="s" s="2">
        <v>843</v>
      </c>
      <c r="J3684" t="s" s="2">
        <v>22</v>
      </c>
      <c r="K3684" t="s" s="2">
        <v>6909</v>
      </c>
      <c r="L3684" t="s" s="2">
        <v>6250</v>
      </c>
      <c r="M3684" s="5">
        <v>569713.59</v>
      </c>
      <c r="N3684" s="5">
        <v>6264002.56</v>
      </c>
      <c r="O3684" t="s" s="2">
        <v>305</v>
      </c>
      <c r="P3684" s="5">
        <v>95110</v>
      </c>
      <c r="Q3684" t="s" s="2">
        <v>6913</v>
      </c>
      <c r="R3684" t="s" s="2">
        <f>_xlfn.IFERROR(INDEX('model_byCAP'!$D$2:$D$377,MATCH(Q3684,'model_byCAP'!$A$2:$A$377,0)),0)</f>
        <v>4115</v>
      </c>
    </row>
    <row r="3685" ht="15.35" customHeight="1">
      <c r="A3685" t="s" s="2">
        <v>6914</v>
      </c>
      <c r="B3685" s="4">
        <v>35727</v>
      </c>
      <c r="C3685" s="5">
        <v>600</v>
      </c>
      <c r="D3685" s="5">
        <v>48</v>
      </c>
      <c r="E3685" s="5">
        <v>46</v>
      </c>
      <c r="F3685" t="s" s="2">
        <v>3604</v>
      </c>
      <c r="G3685" t="s" s="2">
        <v>6059</v>
      </c>
      <c r="H3685" s="5">
        <v>730</v>
      </c>
      <c r="I3685" t="s" s="2">
        <v>843</v>
      </c>
      <c r="J3685" t="s" s="2">
        <v>22</v>
      </c>
      <c r="K3685" t="s" s="2">
        <v>6909</v>
      </c>
      <c r="L3685" t="s" s="2">
        <v>1258</v>
      </c>
      <c r="M3685" s="5">
        <v>569788.6899999999</v>
      </c>
      <c r="N3685" s="5">
        <v>6264131.98</v>
      </c>
      <c r="O3685" t="s" s="2">
        <v>305</v>
      </c>
      <c r="P3685" s="5">
        <v>95110</v>
      </c>
      <c r="Q3685" t="s" s="2">
        <v>6062</v>
      </c>
      <c r="R3685" t="s" s="2">
        <f>_xlfn.IFERROR(INDEX('model_byCAP'!$D$2:$D$377,MATCH(Q3685,'model_byCAP'!$A$2:$A$377,0)),0)</f>
        <v>2955</v>
      </c>
    </row>
    <row r="3686" ht="15.35" customHeight="1">
      <c r="A3686" t="s" s="2">
        <v>6915</v>
      </c>
      <c r="B3686" s="4">
        <v>35727</v>
      </c>
      <c r="C3686" s="5">
        <v>600</v>
      </c>
      <c r="D3686" s="5">
        <v>48</v>
      </c>
      <c r="E3686" s="5">
        <v>45</v>
      </c>
      <c r="F3686" t="s" s="2">
        <v>3604</v>
      </c>
      <c r="G3686" t="s" s="2">
        <v>6916</v>
      </c>
      <c r="H3686" s="5">
        <v>730</v>
      </c>
      <c r="I3686" t="s" s="2">
        <v>843</v>
      </c>
      <c r="J3686" t="s" s="2">
        <v>22</v>
      </c>
      <c r="K3686" t="s" s="2">
        <v>6909</v>
      </c>
      <c r="L3686" t="s" s="2">
        <v>6917</v>
      </c>
      <c r="M3686" s="5">
        <v>569864.2</v>
      </c>
      <c r="N3686" s="5">
        <v>6264262.07</v>
      </c>
      <c r="O3686" t="s" s="2">
        <v>305</v>
      </c>
      <c r="P3686" s="5">
        <v>95110</v>
      </c>
      <c r="Q3686" t="s" s="2">
        <v>6918</v>
      </c>
      <c r="R3686" t="s" s="2">
        <f>_xlfn.IFERROR(INDEX('model_byCAP'!$D$2:$D$377,MATCH(Q3686,'model_byCAP'!$A$2:$A$377,0)),0)</f>
        <v>2955</v>
      </c>
    </row>
    <row r="3687" ht="15.35" customHeight="1">
      <c r="A3687" t="s" s="2">
        <v>6919</v>
      </c>
      <c r="B3687" s="4">
        <v>35727</v>
      </c>
      <c r="C3687" s="5">
        <v>600</v>
      </c>
      <c r="D3687" s="5">
        <v>48</v>
      </c>
      <c r="E3687" s="5">
        <v>46</v>
      </c>
      <c r="F3687" t="s" s="2">
        <v>1746</v>
      </c>
      <c r="G3687" t="s" s="2">
        <v>6024</v>
      </c>
      <c r="H3687" s="5">
        <v>730</v>
      </c>
      <c r="I3687" t="s" s="2">
        <v>843</v>
      </c>
      <c r="J3687" t="s" s="2">
        <v>22</v>
      </c>
      <c r="K3687" t="s" s="2">
        <v>6909</v>
      </c>
      <c r="L3687" t="s" s="2">
        <v>1258</v>
      </c>
      <c r="M3687" s="5">
        <v>569941.28</v>
      </c>
      <c r="N3687" s="5">
        <v>6264391.18</v>
      </c>
      <c r="O3687" t="s" s="2">
        <v>305</v>
      </c>
      <c r="P3687" s="5">
        <v>95110</v>
      </c>
      <c r="Q3687" t="s" s="2">
        <v>6025</v>
      </c>
      <c r="R3687" t="s" s="2">
        <f>_xlfn.IFERROR(INDEX('model_byCAP'!$D$2:$D$377,MATCH(Q3687,'model_byCAP'!$A$2:$A$377,0)),0)</f>
        <v>2955</v>
      </c>
    </row>
    <row r="3688" ht="15.35" customHeight="1">
      <c r="A3688" t="s" s="2">
        <v>6920</v>
      </c>
      <c r="B3688" s="4">
        <v>35940</v>
      </c>
      <c r="C3688" s="5">
        <v>600</v>
      </c>
      <c r="D3688" s="5">
        <v>48</v>
      </c>
      <c r="E3688" s="5">
        <v>46</v>
      </c>
      <c r="F3688" t="s" s="2">
        <v>1746</v>
      </c>
      <c r="G3688" t="s" s="2">
        <v>6665</v>
      </c>
      <c r="H3688" s="5">
        <v>730</v>
      </c>
      <c r="I3688" t="s" s="2">
        <v>843</v>
      </c>
      <c r="J3688" t="s" s="2">
        <v>22</v>
      </c>
      <c r="K3688" t="s" s="2">
        <v>6921</v>
      </c>
      <c r="L3688" t="s" s="2">
        <v>3562</v>
      </c>
      <c r="M3688" s="5">
        <v>562321.97</v>
      </c>
      <c r="N3688" s="5">
        <v>6254191.77</v>
      </c>
      <c r="O3688" t="s" s="2">
        <v>305</v>
      </c>
      <c r="P3688" s="5">
        <v>95117</v>
      </c>
      <c r="Q3688" t="s" s="2">
        <v>6668</v>
      </c>
      <c r="R3688" t="s" s="2">
        <f>_xlfn.IFERROR(INDEX('model_byCAP'!$D$2:$D$377,MATCH(Q3688,'model_byCAP'!$A$2:$A$377,0)),0)</f>
        <v>4042</v>
      </c>
    </row>
    <row r="3689" ht="15.35" customHeight="1">
      <c r="A3689" t="s" s="2">
        <v>6922</v>
      </c>
      <c r="B3689" s="4">
        <v>35940</v>
      </c>
      <c r="C3689" s="5">
        <v>600</v>
      </c>
      <c r="D3689" s="5">
        <v>48</v>
      </c>
      <c r="E3689" s="5">
        <v>45</v>
      </c>
      <c r="F3689" t="s" s="2">
        <v>1746</v>
      </c>
      <c r="G3689" t="s" s="2">
        <v>6923</v>
      </c>
      <c r="H3689" s="5">
        <v>730</v>
      </c>
      <c r="I3689" t="s" s="2">
        <v>843</v>
      </c>
      <c r="J3689" t="s" s="2">
        <v>22</v>
      </c>
      <c r="K3689" t="s" s="2">
        <v>6921</v>
      </c>
      <c r="L3689" t="s" s="2">
        <v>3562</v>
      </c>
      <c r="M3689" s="5">
        <v>562397.59</v>
      </c>
      <c r="N3689" s="5">
        <v>6254039.23</v>
      </c>
      <c r="O3689" t="s" s="2">
        <v>305</v>
      </c>
      <c r="P3689" s="5">
        <v>95117</v>
      </c>
      <c r="Q3689" t="s" s="2">
        <v>6924</v>
      </c>
      <c r="R3689" t="s" s="2">
        <f>_xlfn.IFERROR(INDEX('model_byCAP'!$D$2:$D$377,MATCH(Q3689,'model_byCAP'!$A$2:$A$377,0)),0)</f>
        <v>4042</v>
      </c>
    </row>
    <row r="3690" ht="15.35" customHeight="1">
      <c r="A3690" t="s" s="2">
        <v>6925</v>
      </c>
      <c r="B3690" s="4">
        <v>35940</v>
      </c>
      <c r="C3690" s="5">
        <v>600</v>
      </c>
      <c r="D3690" s="5">
        <v>48</v>
      </c>
      <c r="E3690" s="5">
        <v>46</v>
      </c>
      <c r="F3690" t="s" s="2">
        <v>1746</v>
      </c>
      <c r="G3690" t="s" s="2">
        <v>6665</v>
      </c>
      <c r="H3690" s="5">
        <v>730</v>
      </c>
      <c r="I3690" t="s" s="2">
        <v>843</v>
      </c>
      <c r="J3690" t="s" s="2">
        <v>22</v>
      </c>
      <c r="K3690" t="s" s="2">
        <v>6921</v>
      </c>
      <c r="L3690" t="s" s="2">
        <v>492</v>
      </c>
      <c r="M3690" s="5">
        <v>562476.1800000001</v>
      </c>
      <c r="N3690" s="5">
        <v>6253877.27</v>
      </c>
      <c r="O3690" t="s" s="2">
        <v>305</v>
      </c>
      <c r="P3690" s="5">
        <v>95117</v>
      </c>
      <c r="Q3690" t="s" s="2">
        <v>6668</v>
      </c>
      <c r="R3690" t="s" s="2">
        <f>_xlfn.IFERROR(INDEX('model_byCAP'!$D$2:$D$377,MATCH(Q3690,'model_byCAP'!$A$2:$A$377,0)),0)</f>
        <v>4042</v>
      </c>
    </row>
    <row r="3691" ht="15.35" customHeight="1">
      <c r="A3691" t="s" s="2">
        <v>6926</v>
      </c>
      <c r="B3691" s="4">
        <v>35335</v>
      </c>
      <c r="C3691" s="5">
        <v>600</v>
      </c>
      <c r="D3691" s="5">
        <v>45</v>
      </c>
      <c r="E3691" s="5">
        <v>0.1</v>
      </c>
      <c r="F3691" t="s" s="2">
        <v>301</v>
      </c>
      <c r="G3691" t="s" s="2">
        <v>5700</v>
      </c>
      <c r="H3691" s="5">
        <v>740</v>
      </c>
      <c r="I3691" t="s" s="2">
        <v>899</v>
      </c>
      <c r="J3691" t="s" s="2">
        <v>22</v>
      </c>
      <c r="K3691" t="s" s="2">
        <v>42</v>
      </c>
      <c r="L3691" t="s" s="2">
        <v>481</v>
      </c>
      <c r="M3691" s="5">
        <v>528429</v>
      </c>
      <c r="N3691" s="5">
        <v>6240758.87</v>
      </c>
      <c r="O3691" t="s" s="2">
        <v>305</v>
      </c>
      <c r="P3691" s="5">
        <v>3107401</v>
      </c>
      <c r="Q3691" t="s" s="2">
        <v>5701</v>
      </c>
      <c r="R3691" t="s" s="2">
        <f>_xlfn.IFERROR(INDEX('model_byCAP'!$D$2:$D$377,MATCH(Q3691,'model_byCAP'!$A$2:$A$377,0)),0)</f>
        <v>5702</v>
      </c>
    </row>
    <row r="3692" ht="15.35" customHeight="1">
      <c r="A3692" t="s" s="2">
        <v>6927</v>
      </c>
      <c r="B3692" s="4">
        <v>35773</v>
      </c>
      <c r="C3692" s="5">
        <v>600</v>
      </c>
      <c r="D3692" s="5">
        <v>44</v>
      </c>
      <c r="E3692" s="5">
        <v>44</v>
      </c>
      <c r="F3692" t="s" s="2">
        <v>301</v>
      </c>
      <c r="G3692" t="s" s="2">
        <v>5700</v>
      </c>
      <c r="H3692" s="5">
        <v>740</v>
      </c>
      <c r="I3692" t="s" s="2">
        <v>899</v>
      </c>
      <c r="J3692" t="s" s="2">
        <v>22</v>
      </c>
      <c r="K3692" t="s" s="2">
        <v>6928</v>
      </c>
      <c r="L3692" t="s" s="2">
        <v>4420</v>
      </c>
      <c r="M3692" s="5">
        <v>528601.35</v>
      </c>
      <c r="N3692" s="5">
        <v>6240893.93</v>
      </c>
      <c r="O3692" t="s" s="2">
        <v>305</v>
      </c>
      <c r="P3692" s="5">
        <v>3108124</v>
      </c>
      <c r="Q3692" t="s" s="2">
        <v>5701</v>
      </c>
      <c r="R3692" t="s" s="2">
        <f>_xlfn.IFERROR(INDEX('model_byCAP'!$D$2:$D$377,MATCH(Q3692,'model_byCAP'!$A$2:$A$377,0)),0)</f>
        <v>5702</v>
      </c>
    </row>
    <row r="3693" ht="15.35" customHeight="1">
      <c r="A3693" t="s" s="2">
        <v>6929</v>
      </c>
      <c r="B3693" s="4">
        <v>35739</v>
      </c>
      <c r="C3693" s="5">
        <v>600</v>
      </c>
      <c r="D3693" s="5">
        <v>45</v>
      </c>
      <c r="E3693" s="5">
        <v>0.1</v>
      </c>
      <c r="F3693" t="s" s="2">
        <v>301</v>
      </c>
      <c r="G3693" t="s" s="2">
        <v>5700</v>
      </c>
      <c r="H3693" s="5">
        <v>740</v>
      </c>
      <c r="I3693" t="s" s="2">
        <v>899</v>
      </c>
      <c r="J3693" t="s" s="2">
        <v>22</v>
      </c>
      <c r="K3693" t="s" s="2">
        <v>6928</v>
      </c>
      <c r="L3693" t="s" s="2">
        <v>481</v>
      </c>
      <c r="M3693" s="5">
        <v>528584.53</v>
      </c>
      <c r="N3693" s="5">
        <v>6241091.76</v>
      </c>
      <c r="O3693" t="s" s="2">
        <v>305</v>
      </c>
      <c r="P3693" s="5">
        <v>3108125</v>
      </c>
      <c r="Q3693" t="s" s="2">
        <v>5701</v>
      </c>
      <c r="R3693" t="s" s="2">
        <f>_xlfn.IFERROR(INDEX('model_byCAP'!$D$2:$D$377,MATCH(Q3693,'model_byCAP'!$A$2:$A$377,0)),0)</f>
        <v>5702</v>
      </c>
    </row>
    <row r="3694" ht="15.35" customHeight="1">
      <c r="A3694" t="s" s="2">
        <v>6930</v>
      </c>
      <c r="B3694" s="4">
        <v>35739</v>
      </c>
      <c r="C3694" s="5">
        <v>600</v>
      </c>
      <c r="D3694" s="5">
        <v>45</v>
      </c>
      <c r="E3694" s="5">
        <v>0.1</v>
      </c>
      <c r="F3694" t="s" s="2">
        <v>301</v>
      </c>
      <c r="G3694" t="s" s="2">
        <v>5700</v>
      </c>
      <c r="H3694" s="5">
        <v>740</v>
      </c>
      <c r="I3694" t="s" s="2">
        <v>899</v>
      </c>
      <c r="J3694" t="s" s="2">
        <v>22</v>
      </c>
      <c r="K3694" t="s" s="2">
        <v>6928</v>
      </c>
      <c r="L3694" t="s" s="2">
        <v>481</v>
      </c>
      <c r="M3694" s="5">
        <v>528411</v>
      </c>
      <c r="N3694" s="5">
        <v>6240956.88</v>
      </c>
      <c r="O3694" t="s" s="2">
        <v>305</v>
      </c>
      <c r="P3694" s="5">
        <v>3108126</v>
      </c>
      <c r="Q3694" t="s" s="2">
        <v>5701</v>
      </c>
      <c r="R3694" t="s" s="2">
        <f>_xlfn.IFERROR(INDEX('model_byCAP'!$D$2:$D$377,MATCH(Q3694,'model_byCAP'!$A$2:$A$377,0)),0)</f>
        <v>5702</v>
      </c>
    </row>
    <row r="3695" ht="15.35" customHeight="1">
      <c r="A3695" t="s" s="2">
        <v>6931</v>
      </c>
      <c r="B3695" s="4">
        <v>35535</v>
      </c>
      <c r="C3695" s="5">
        <v>600</v>
      </c>
      <c r="D3695" s="5">
        <v>0.1</v>
      </c>
      <c r="E3695" s="5">
        <v>0.1</v>
      </c>
      <c r="F3695" t="s" s="2">
        <v>42</v>
      </c>
      <c r="G3695" t="s" s="2">
        <v>42</v>
      </c>
      <c r="H3695" s="5">
        <v>740</v>
      </c>
      <c r="I3695" t="s" s="2">
        <v>899</v>
      </c>
      <c r="J3695" t="s" s="2">
        <v>22</v>
      </c>
      <c r="K3695" t="s" s="2">
        <v>42</v>
      </c>
      <c r="L3695" s="5">
        <v>0</v>
      </c>
      <c r="M3695" s="5">
        <v>547748.85</v>
      </c>
      <c r="N3695" s="5">
        <v>6237010.52</v>
      </c>
      <c r="O3695" t="s" s="2">
        <v>25</v>
      </c>
      <c r="P3695" s="5">
        <v>3080183</v>
      </c>
      <c r="Q3695" t="s" s="2">
        <v>43</v>
      </c>
      <c r="R3695" s="5">
        <f>_xlfn.IFERROR(INDEX('model_byCAP'!$D$2:$D$377,MATCH(Q3695,'model_byCAP'!$A$2:$A$377,0)),0)</f>
        <v>0</v>
      </c>
    </row>
    <row r="3696" ht="15.35" customHeight="1">
      <c r="A3696" t="s" s="2">
        <v>6932</v>
      </c>
      <c r="B3696" s="4">
        <v>35560</v>
      </c>
      <c r="C3696" s="5">
        <v>600</v>
      </c>
      <c r="D3696" s="5">
        <v>46</v>
      </c>
      <c r="E3696" s="5">
        <v>45</v>
      </c>
      <c r="F3696" t="s" s="2">
        <v>1746</v>
      </c>
      <c r="G3696" t="s" s="2">
        <v>6024</v>
      </c>
      <c r="H3696" s="5">
        <v>740</v>
      </c>
      <c r="I3696" t="s" s="2">
        <v>899</v>
      </c>
      <c r="J3696" t="s" s="2">
        <v>22</v>
      </c>
      <c r="K3696" t="s" s="2">
        <v>6933</v>
      </c>
      <c r="L3696" t="s" s="2">
        <v>992</v>
      </c>
      <c r="M3696" s="5">
        <v>547868.04</v>
      </c>
      <c r="N3696" s="5">
        <v>6236718.37</v>
      </c>
      <c r="O3696" t="s" s="2">
        <v>305</v>
      </c>
      <c r="P3696" s="5">
        <v>3080184</v>
      </c>
      <c r="Q3696" t="s" s="2">
        <v>6025</v>
      </c>
      <c r="R3696" t="s" s="2">
        <f>_xlfn.IFERROR(INDEX('model_byCAP'!$D$2:$D$377,MATCH(Q3696,'model_byCAP'!$A$2:$A$377,0)),0)</f>
        <v>2955</v>
      </c>
    </row>
    <row r="3697" ht="15.35" customHeight="1">
      <c r="A3697" t="s" s="2">
        <v>6934</v>
      </c>
      <c r="B3697" s="4">
        <v>35535</v>
      </c>
      <c r="C3697" s="5">
        <v>600</v>
      </c>
      <c r="D3697" s="5">
        <v>48</v>
      </c>
      <c r="E3697" s="5">
        <v>46</v>
      </c>
      <c r="F3697" t="s" s="2">
        <v>1746</v>
      </c>
      <c r="G3697" t="s" s="2">
        <v>4302</v>
      </c>
      <c r="H3697" s="5">
        <v>740</v>
      </c>
      <c r="I3697" t="s" s="2">
        <v>899</v>
      </c>
      <c r="J3697" t="s" s="2">
        <v>22</v>
      </c>
      <c r="K3697" t="s" s="2">
        <v>6933</v>
      </c>
      <c r="L3697" t="s" s="2">
        <v>6935</v>
      </c>
      <c r="M3697" s="5">
        <v>547752.05</v>
      </c>
      <c r="N3697" s="5">
        <v>6237004.38</v>
      </c>
      <c r="O3697" t="s" s="2">
        <v>305</v>
      </c>
      <c r="P3697" s="5">
        <v>3080185</v>
      </c>
      <c r="Q3697" t="s" s="2">
        <v>4304</v>
      </c>
      <c r="R3697" t="s" s="2">
        <f>_xlfn.IFERROR(INDEX('model_byCAP'!$D$2:$D$377,MATCH(Q3697,'model_byCAP'!$A$2:$A$377,0)),0)</f>
        <v>2955</v>
      </c>
    </row>
    <row r="3698" ht="15.35" customHeight="1">
      <c r="A3698" t="s" s="2">
        <v>6936</v>
      </c>
      <c r="B3698" s="4">
        <v>35621</v>
      </c>
      <c r="C3698" s="5">
        <v>600</v>
      </c>
      <c r="D3698" s="5">
        <v>46</v>
      </c>
      <c r="E3698" s="5">
        <v>46</v>
      </c>
      <c r="F3698" t="s" s="2">
        <v>1746</v>
      </c>
      <c r="G3698" t="s" s="2">
        <v>6937</v>
      </c>
      <c r="H3698" s="5">
        <v>740</v>
      </c>
      <c r="I3698" t="s" s="2">
        <v>899</v>
      </c>
      <c r="J3698" t="s" s="2">
        <v>22</v>
      </c>
      <c r="K3698" t="s" s="2">
        <v>5665</v>
      </c>
      <c r="L3698" t="s" s="2">
        <v>394</v>
      </c>
      <c r="M3698" s="5">
        <v>547635.26</v>
      </c>
      <c r="N3698" s="5">
        <v>6237290.93</v>
      </c>
      <c r="O3698" t="s" s="2">
        <v>305</v>
      </c>
      <c r="P3698" s="5">
        <v>3080191</v>
      </c>
      <c r="Q3698" t="s" s="2">
        <v>6938</v>
      </c>
      <c r="R3698" t="s" s="2">
        <f>_xlfn.IFERROR(INDEX('model_byCAP'!$D$2:$D$377,MATCH(Q3698,'model_byCAP'!$A$2:$A$377,0)),0)</f>
        <v>4042</v>
      </c>
    </row>
    <row r="3699" ht="15.35" customHeight="1">
      <c r="A3699" t="s" s="2">
        <v>6939</v>
      </c>
      <c r="B3699" s="4">
        <v>35621</v>
      </c>
      <c r="C3699" s="5">
        <v>600</v>
      </c>
      <c r="D3699" s="5">
        <v>46</v>
      </c>
      <c r="E3699" s="5">
        <v>0.1</v>
      </c>
      <c r="F3699" t="s" s="2">
        <v>1746</v>
      </c>
      <c r="G3699" t="s" s="2">
        <v>6937</v>
      </c>
      <c r="H3699" s="5">
        <v>740</v>
      </c>
      <c r="I3699" t="s" s="2">
        <v>899</v>
      </c>
      <c r="J3699" t="s" s="2">
        <v>22</v>
      </c>
      <c r="K3699" t="s" s="2">
        <v>42</v>
      </c>
      <c r="L3699" s="5">
        <v>0</v>
      </c>
      <c r="M3699" s="5">
        <v>547521.8199999999</v>
      </c>
      <c r="N3699" s="5">
        <v>6237575.38</v>
      </c>
      <c r="O3699" t="s" s="2">
        <v>305</v>
      </c>
      <c r="P3699" s="5">
        <v>3080192</v>
      </c>
      <c r="Q3699" t="s" s="2">
        <v>6938</v>
      </c>
      <c r="R3699" t="s" s="2">
        <f>_xlfn.IFERROR(INDEX('model_byCAP'!$D$2:$D$377,MATCH(Q3699,'model_byCAP'!$A$2:$A$377,0)),0)</f>
        <v>4042</v>
      </c>
    </row>
    <row r="3700" ht="15.35" customHeight="1">
      <c r="A3700" t="s" s="2">
        <v>6940</v>
      </c>
      <c r="B3700" s="4">
        <v>35746</v>
      </c>
      <c r="C3700" s="5">
        <v>600</v>
      </c>
      <c r="D3700" s="5">
        <v>44</v>
      </c>
      <c r="E3700" s="5">
        <v>50</v>
      </c>
      <c r="F3700" t="s" s="2">
        <v>301</v>
      </c>
      <c r="G3700" t="s" s="2">
        <v>5700</v>
      </c>
      <c r="H3700" s="5">
        <v>740</v>
      </c>
      <c r="I3700" t="s" s="2">
        <v>899</v>
      </c>
      <c r="J3700" t="s" s="2">
        <v>22</v>
      </c>
      <c r="K3700" t="s" s="2">
        <v>5665</v>
      </c>
      <c r="L3700" t="s" s="2">
        <v>6764</v>
      </c>
      <c r="M3700" s="5">
        <v>546009.58</v>
      </c>
      <c r="N3700" s="5">
        <v>6234596.08</v>
      </c>
      <c r="O3700" t="s" s="2">
        <v>305</v>
      </c>
      <c r="P3700" s="5">
        <v>3080195</v>
      </c>
      <c r="Q3700" t="s" s="2">
        <v>5701</v>
      </c>
      <c r="R3700" t="s" s="2">
        <f>_xlfn.IFERROR(INDEX('model_byCAP'!$D$2:$D$377,MATCH(Q3700,'model_byCAP'!$A$2:$A$377,0)),0)</f>
        <v>5702</v>
      </c>
    </row>
    <row r="3701" ht="15.35" customHeight="1">
      <c r="A3701" t="s" s="2">
        <v>6941</v>
      </c>
      <c r="B3701" s="4">
        <v>35752</v>
      </c>
      <c r="C3701" s="5">
        <v>600</v>
      </c>
      <c r="D3701" s="5">
        <v>44</v>
      </c>
      <c r="E3701" s="5">
        <v>50</v>
      </c>
      <c r="F3701" t="s" s="2">
        <v>301</v>
      </c>
      <c r="G3701" t="s" s="2">
        <v>5700</v>
      </c>
      <c r="H3701" s="5">
        <v>740</v>
      </c>
      <c r="I3701" t="s" s="2">
        <v>899</v>
      </c>
      <c r="J3701" t="s" s="2">
        <v>22</v>
      </c>
      <c r="K3701" t="s" s="2">
        <v>6942</v>
      </c>
      <c r="L3701" t="s" s="2">
        <v>6764</v>
      </c>
      <c r="M3701" s="5">
        <v>546083.3</v>
      </c>
      <c r="N3701" s="5">
        <v>6234781.55</v>
      </c>
      <c r="O3701" t="s" s="2">
        <v>305</v>
      </c>
      <c r="P3701" s="5">
        <v>3080196</v>
      </c>
      <c r="Q3701" t="s" s="2">
        <v>5701</v>
      </c>
      <c r="R3701" t="s" s="2">
        <f>_xlfn.IFERROR(INDEX('model_byCAP'!$D$2:$D$377,MATCH(Q3701,'model_byCAP'!$A$2:$A$377,0)),0)</f>
        <v>5702</v>
      </c>
    </row>
    <row r="3702" ht="15.35" customHeight="1">
      <c r="A3702" t="s" s="2">
        <v>6943</v>
      </c>
      <c r="B3702" s="4">
        <v>36027</v>
      </c>
      <c r="C3702" s="5">
        <v>600</v>
      </c>
      <c r="D3702" s="5">
        <v>44</v>
      </c>
      <c r="E3702" s="5">
        <v>50</v>
      </c>
      <c r="F3702" t="s" s="2">
        <v>301</v>
      </c>
      <c r="G3702" t="s" s="2">
        <v>5700</v>
      </c>
      <c r="H3702" s="5">
        <v>740</v>
      </c>
      <c r="I3702" t="s" s="2">
        <v>899</v>
      </c>
      <c r="J3702" t="s" s="2">
        <v>22</v>
      </c>
      <c r="K3702" t="s" s="2">
        <v>5665</v>
      </c>
      <c r="L3702" t="s" s="2">
        <v>6764</v>
      </c>
      <c r="M3702" s="5">
        <v>546157.86</v>
      </c>
      <c r="N3702" s="5">
        <v>6234967.66</v>
      </c>
      <c r="O3702" t="s" s="2">
        <v>305</v>
      </c>
      <c r="P3702" s="5">
        <v>3080236</v>
      </c>
      <c r="Q3702" t="s" s="2">
        <v>5701</v>
      </c>
      <c r="R3702" t="s" s="2">
        <f>_xlfn.IFERROR(INDEX('model_byCAP'!$D$2:$D$377,MATCH(Q3702,'model_byCAP'!$A$2:$A$377,0)),0)</f>
        <v>5702</v>
      </c>
    </row>
    <row r="3703" ht="15.35" customHeight="1">
      <c r="A3703" t="s" s="2">
        <v>6944</v>
      </c>
      <c r="B3703" s="4">
        <v>35419</v>
      </c>
      <c r="C3703" s="5">
        <v>600</v>
      </c>
      <c r="D3703" s="5">
        <v>44</v>
      </c>
      <c r="E3703" s="5">
        <v>40</v>
      </c>
      <c r="F3703" t="s" s="2">
        <v>301</v>
      </c>
      <c r="G3703" t="s" s="2">
        <v>5700</v>
      </c>
      <c r="H3703" s="5">
        <v>751</v>
      </c>
      <c r="I3703" t="s" s="2">
        <v>4849</v>
      </c>
      <c r="J3703" t="s" s="2">
        <v>22</v>
      </c>
      <c r="K3703" t="s" s="2">
        <v>6945</v>
      </c>
      <c r="L3703" t="s" s="2">
        <v>394</v>
      </c>
      <c r="M3703" s="5">
        <v>580231.5</v>
      </c>
      <c r="N3703" s="5">
        <v>6238395.45</v>
      </c>
      <c r="O3703" t="s" s="2">
        <v>305</v>
      </c>
      <c r="P3703" s="5">
        <v>256871</v>
      </c>
      <c r="Q3703" t="s" s="2">
        <v>5701</v>
      </c>
      <c r="R3703" t="s" s="2">
        <f>_xlfn.IFERROR(INDEX('model_byCAP'!$D$2:$D$377,MATCH(Q3703,'model_byCAP'!$A$2:$A$377,0)),0)</f>
        <v>5702</v>
      </c>
    </row>
    <row r="3704" ht="15.35" customHeight="1">
      <c r="A3704" t="s" s="2">
        <v>6946</v>
      </c>
      <c r="B3704" s="4">
        <v>35419</v>
      </c>
      <c r="C3704" s="5">
        <v>600</v>
      </c>
      <c r="D3704" s="5">
        <v>44</v>
      </c>
      <c r="E3704" s="5">
        <v>38.4</v>
      </c>
      <c r="F3704" t="s" s="2">
        <v>301</v>
      </c>
      <c r="G3704" t="s" s="2">
        <v>5700</v>
      </c>
      <c r="H3704" s="5">
        <v>751</v>
      </c>
      <c r="I3704" t="s" s="2">
        <v>4849</v>
      </c>
      <c r="J3704" t="s" s="2">
        <v>22</v>
      </c>
      <c r="K3704" t="s" s="2">
        <v>6945</v>
      </c>
      <c r="L3704" t="s" s="2">
        <v>394</v>
      </c>
      <c r="M3704" s="5">
        <v>580369.02</v>
      </c>
      <c r="N3704" s="5">
        <v>6238874.26</v>
      </c>
      <c r="O3704" t="s" s="2">
        <v>305</v>
      </c>
      <c r="P3704" s="5">
        <v>256872</v>
      </c>
      <c r="Q3704" t="s" s="2">
        <v>5701</v>
      </c>
      <c r="R3704" t="s" s="2">
        <f>_xlfn.IFERROR(INDEX('model_byCAP'!$D$2:$D$377,MATCH(Q3704,'model_byCAP'!$A$2:$A$377,0)),0)</f>
        <v>5702</v>
      </c>
    </row>
    <row r="3705" ht="15.35" customHeight="1">
      <c r="A3705" t="s" s="2">
        <v>6947</v>
      </c>
      <c r="B3705" s="4">
        <v>35447</v>
      </c>
      <c r="C3705" s="5">
        <v>600</v>
      </c>
      <c r="D3705" s="5">
        <v>44</v>
      </c>
      <c r="E3705" s="5">
        <v>40</v>
      </c>
      <c r="F3705" t="s" s="2">
        <v>301</v>
      </c>
      <c r="G3705" t="s" s="2">
        <v>5700</v>
      </c>
      <c r="H3705" s="5">
        <v>751</v>
      </c>
      <c r="I3705" t="s" s="2">
        <v>4849</v>
      </c>
      <c r="J3705" t="s" s="2">
        <v>22</v>
      </c>
      <c r="K3705" t="s" s="2">
        <v>6945</v>
      </c>
      <c r="L3705" t="s" s="2">
        <v>394</v>
      </c>
      <c r="M3705" s="5">
        <v>580299.54</v>
      </c>
      <c r="N3705" s="5">
        <v>6238637.35</v>
      </c>
      <c r="O3705" t="s" s="2">
        <v>305</v>
      </c>
      <c r="P3705" s="5">
        <v>256884</v>
      </c>
      <c r="Q3705" t="s" s="2">
        <v>5701</v>
      </c>
      <c r="R3705" t="s" s="2">
        <f>_xlfn.IFERROR(INDEX('model_byCAP'!$D$2:$D$377,MATCH(Q3705,'model_byCAP'!$A$2:$A$377,0)),0)</f>
        <v>5702</v>
      </c>
    </row>
    <row r="3706" ht="15.35" customHeight="1">
      <c r="A3706" t="s" s="2">
        <v>6948</v>
      </c>
      <c r="B3706" s="4">
        <v>35384</v>
      </c>
      <c r="C3706" s="5">
        <v>600</v>
      </c>
      <c r="D3706" s="5">
        <v>50</v>
      </c>
      <c r="E3706" s="5">
        <v>45</v>
      </c>
      <c r="F3706" t="s" s="2">
        <v>301</v>
      </c>
      <c r="G3706" t="s" s="2">
        <v>5700</v>
      </c>
      <c r="H3706" s="5">
        <v>756</v>
      </c>
      <c r="I3706" t="s" s="2">
        <v>456</v>
      </c>
      <c r="J3706" t="s" s="2">
        <v>22</v>
      </c>
      <c r="K3706" t="s" s="2">
        <v>6949</v>
      </c>
      <c r="L3706" t="s" s="2">
        <v>405</v>
      </c>
      <c r="M3706" s="5">
        <v>518804.7</v>
      </c>
      <c r="N3706" s="5">
        <v>6220673.47</v>
      </c>
      <c r="O3706" t="s" s="2">
        <v>305</v>
      </c>
      <c r="P3706" s="5">
        <v>3055324</v>
      </c>
      <c r="Q3706" t="s" s="2">
        <v>5701</v>
      </c>
      <c r="R3706" t="s" s="2">
        <f>_xlfn.IFERROR(INDEX('model_byCAP'!$D$2:$D$377,MATCH(Q3706,'model_byCAP'!$A$2:$A$377,0)),0)</f>
        <v>5702</v>
      </c>
    </row>
    <row r="3707" ht="15.35" customHeight="1">
      <c r="A3707" t="s" s="2">
        <v>6950</v>
      </c>
      <c r="B3707" s="4">
        <v>35384</v>
      </c>
      <c r="C3707" s="5">
        <v>600</v>
      </c>
      <c r="D3707" s="5">
        <v>50</v>
      </c>
      <c r="E3707" s="5">
        <v>45</v>
      </c>
      <c r="F3707" t="s" s="2">
        <v>301</v>
      </c>
      <c r="G3707" t="s" s="2">
        <v>5700</v>
      </c>
      <c r="H3707" s="5">
        <v>756</v>
      </c>
      <c r="I3707" t="s" s="2">
        <v>456</v>
      </c>
      <c r="J3707" t="s" s="2">
        <v>22</v>
      </c>
      <c r="K3707" t="s" s="2">
        <v>6951</v>
      </c>
      <c r="L3707" t="s" s="2">
        <v>6778</v>
      </c>
      <c r="M3707" s="5">
        <v>518996.89</v>
      </c>
      <c r="N3707" s="5">
        <v>6220406.81</v>
      </c>
      <c r="O3707" t="s" s="2">
        <v>305</v>
      </c>
      <c r="P3707" s="5">
        <v>3055325</v>
      </c>
      <c r="Q3707" t="s" s="2">
        <v>5701</v>
      </c>
      <c r="R3707" t="s" s="2">
        <f>_xlfn.IFERROR(INDEX('model_byCAP'!$D$2:$D$377,MATCH(Q3707,'model_byCAP'!$A$2:$A$377,0)),0)</f>
        <v>5702</v>
      </c>
    </row>
    <row r="3708" ht="15.35" customHeight="1">
      <c r="A3708" t="s" s="2">
        <v>6952</v>
      </c>
      <c r="B3708" s="4">
        <v>35384</v>
      </c>
      <c r="C3708" s="5">
        <v>600</v>
      </c>
      <c r="D3708" s="5">
        <v>50</v>
      </c>
      <c r="E3708" s="5">
        <v>45</v>
      </c>
      <c r="F3708" t="s" s="2">
        <v>301</v>
      </c>
      <c r="G3708" t="s" s="2">
        <v>5700</v>
      </c>
      <c r="H3708" s="5">
        <v>756</v>
      </c>
      <c r="I3708" t="s" s="2">
        <v>456</v>
      </c>
      <c r="J3708" t="s" s="2">
        <v>22</v>
      </c>
      <c r="K3708" t="s" s="2">
        <v>6953</v>
      </c>
      <c r="L3708" t="s" s="2">
        <v>1310</v>
      </c>
      <c r="M3708" s="5">
        <v>519491.75</v>
      </c>
      <c r="N3708" s="5">
        <v>6220369.33</v>
      </c>
      <c r="O3708" t="s" s="2">
        <v>305</v>
      </c>
      <c r="P3708" s="5">
        <v>3055326</v>
      </c>
      <c r="Q3708" t="s" s="2">
        <v>5701</v>
      </c>
      <c r="R3708" t="s" s="2">
        <f>_xlfn.IFERROR(INDEX('model_byCAP'!$D$2:$D$377,MATCH(Q3708,'model_byCAP'!$A$2:$A$377,0)),0)</f>
        <v>5702</v>
      </c>
    </row>
    <row r="3709" ht="15.35" customHeight="1">
      <c r="A3709" t="s" s="2">
        <v>6954</v>
      </c>
      <c r="B3709" s="4">
        <v>35625</v>
      </c>
      <c r="C3709" s="5">
        <v>600</v>
      </c>
      <c r="D3709" s="5">
        <v>44</v>
      </c>
      <c r="E3709" s="5">
        <v>46</v>
      </c>
      <c r="F3709" t="s" s="2">
        <v>301</v>
      </c>
      <c r="G3709" t="s" s="2">
        <v>5700</v>
      </c>
      <c r="H3709" s="5">
        <v>760</v>
      </c>
      <c r="I3709" t="s" s="2">
        <v>331</v>
      </c>
      <c r="J3709" t="s" s="2">
        <v>22</v>
      </c>
      <c r="K3709" t="s" s="2">
        <v>6955</v>
      </c>
      <c r="L3709" s="5">
        <v>189</v>
      </c>
      <c r="M3709" s="5">
        <v>453704.42</v>
      </c>
      <c r="N3709" s="5">
        <v>6185028.35</v>
      </c>
      <c r="O3709" t="s" s="2">
        <v>305</v>
      </c>
      <c r="P3709" s="5">
        <v>60733</v>
      </c>
      <c r="Q3709" t="s" s="2">
        <v>5701</v>
      </c>
      <c r="R3709" t="s" s="2">
        <f>_xlfn.IFERROR(INDEX('model_byCAP'!$D$2:$D$377,MATCH(Q3709,'model_byCAP'!$A$2:$A$377,0)),0)</f>
        <v>5702</v>
      </c>
    </row>
    <row r="3710" ht="15.35" customHeight="1">
      <c r="A3710" t="s" s="2">
        <v>6956</v>
      </c>
      <c r="B3710" s="4">
        <v>35618</v>
      </c>
      <c r="C3710" s="5">
        <v>600</v>
      </c>
      <c r="D3710" s="5">
        <v>44</v>
      </c>
      <c r="E3710" s="5">
        <v>46</v>
      </c>
      <c r="F3710" t="s" s="2">
        <v>301</v>
      </c>
      <c r="G3710" t="s" s="2">
        <v>5700</v>
      </c>
      <c r="H3710" s="5">
        <v>760</v>
      </c>
      <c r="I3710" t="s" s="2">
        <v>331</v>
      </c>
      <c r="J3710" t="s" s="2">
        <v>22</v>
      </c>
      <c r="K3710" t="s" s="2">
        <v>6955</v>
      </c>
      <c r="L3710" s="5">
        <v>189</v>
      </c>
      <c r="M3710" s="5">
        <v>453596.1</v>
      </c>
      <c r="N3710" s="5">
        <v>6184819.32</v>
      </c>
      <c r="O3710" t="s" s="2">
        <v>305</v>
      </c>
      <c r="P3710" s="5">
        <v>60734</v>
      </c>
      <c r="Q3710" t="s" s="2">
        <v>5701</v>
      </c>
      <c r="R3710" t="s" s="2">
        <f>_xlfn.IFERROR(INDEX('model_byCAP'!$D$2:$D$377,MATCH(Q3710,'model_byCAP'!$A$2:$A$377,0)),0)</f>
        <v>5702</v>
      </c>
    </row>
    <row r="3711" ht="15.35" customHeight="1">
      <c r="A3711" t="s" s="2">
        <v>6957</v>
      </c>
      <c r="B3711" s="4">
        <v>35621</v>
      </c>
      <c r="C3711" s="5">
        <v>600</v>
      </c>
      <c r="D3711" s="5">
        <v>44</v>
      </c>
      <c r="E3711" s="5">
        <v>46</v>
      </c>
      <c r="F3711" t="s" s="2">
        <v>301</v>
      </c>
      <c r="G3711" t="s" s="2">
        <v>5700</v>
      </c>
      <c r="H3711" s="5">
        <v>760</v>
      </c>
      <c r="I3711" t="s" s="2">
        <v>331</v>
      </c>
      <c r="J3711" t="s" s="2">
        <v>22</v>
      </c>
      <c r="K3711" t="s" s="2">
        <v>6955</v>
      </c>
      <c r="L3711" t="s" s="2">
        <v>6958</v>
      </c>
      <c r="M3711" s="5">
        <v>453992.92</v>
      </c>
      <c r="N3711" s="5">
        <v>6185115.22</v>
      </c>
      <c r="O3711" t="s" s="2">
        <v>305</v>
      </c>
      <c r="P3711" s="5">
        <v>60735</v>
      </c>
      <c r="Q3711" t="s" s="2">
        <v>5701</v>
      </c>
      <c r="R3711" t="s" s="2">
        <f>_xlfn.IFERROR(INDEX('model_byCAP'!$D$2:$D$377,MATCH(Q3711,'model_byCAP'!$A$2:$A$377,0)),0)</f>
        <v>5702</v>
      </c>
    </row>
    <row r="3712" ht="15.35" customHeight="1">
      <c r="A3712" t="s" s="2">
        <v>6959</v>
      </c>
      <c r="B3712" s="4">
        <v>35622</v>
      </c>
      <c r="C3712" s="5">
        <v>600</v>
      </c>
      <c r="D3712" s="5">
        <v>44</v>
      </c>
      <c r="E3712" s="5">
        <v>46</v>
      </c>
      <c r="F3712" t="s" s="2">
        <v>301</v>
      </c>
      <c r="G3712" t="s" s="2">
        <v>5700</v>
      </c>
      <c r="H3712" s="5">
        <v>760</v>
      </c>
      <c r="I3712" t="s" s="2">
        <v>331</v>
      </c>
      <c r="J3712" t="s" s="2">
        <v>22</v>
      </c>
      <c r="K3712" t="s" s="2">
        <v>6955</v>
      </c>
      <c r="L3712" t="s" s="2">
        <v>6958</v>
      </c>
      <c r="M3712" s="5">
        <v>453885.14</v>
      </c>
      <c r="N3712" s="5">
        <v>6184906.4</v>
      </c>
      <c r="O3712" t="s" s="2">
        <v>305</v>
      </c>
      <c r="P3712" s="5">
        <v>60736</v>
      </c>
      <c r="Q3712" t="s" s="2">
        <v>5701</v>
      </c>
      <c r="R3712" t="s" s="2">
        <f>_xlfn.IFERROR(INDEX('model_byCAP'!$D$2:$D$377,MATCH(Q3712,'model_byCAP'!$A$2:$A$377,0)),0)</f>
        <v>5702</v>
      </c>
    </row>
    <row r="3713" ht="15.35" customHeight="1">
      <c r="A3713" t="s" s="2">
        <v>6960</v>
      </c>
      <c r="B3713" s="4">
        <v>35625</v>
      </c>
      <c r="C3713" s="5">
        <v>600</v>
      </c>
      <c r="D3713" s="5">
        <v>44</v>
      </c>
      <c r="E3713" s="5">
        <v>46</v>
      </c>
      <c r="F3713" t="s" s="2">
        <v>301</v>
      </c>
      <c r="G3713" t="s" s="2">
        <v>5700</v>
      </c>
      <c r="H3713" s="5">
        <v>760</v>
      </c>
      <c r="I3713" t="s" s="2">
        <v>331</v>
      </c>
      <c r="J3713" t="s" s="2">
        <v>22</v>
      </c>
      <c r="K3713" t="s" s="2">
        <v>6955</v>
      </c>
      <c r="L3713" t="s" s="2">
        <v>6958</v>
      </c>
      <c r="M3713" s="5">
        <v>453776.9</v>
      </c>
      <c r="N3713" s="5">
        <v>6184697.37</v>
      </c>
      <c r="O3713" t="s" s="2">
        <v>305</v>
      </c>
      <c r="P3713" s="5">
        <v>60737</v>
      </c>
      <c r="Q3713" t="s" s="2">
        <v>5701</v>
      </c>
      <c r="R3713" t="s" s="2">
        <f>_xlfn.IFERROR(INDEX('model_byCAP'!$D$2:$D$377,MATCH(Q3713,'model_byCAP'!$A$2:$A$377,0)),0)</f>
        <v>5702</v>
      </c>
    </row>
    <row r="3714" ht="15.35" customHeight="1">
      <c r="A3714" t="s" s="2">
        <v>6961</v>
      </c>
      <c r="B3714" s="4">
        <v>35632</v>
      </c>
      <c r="C3714" s="5">
        <v>600</v>
      </c>
      <c r="D3714" s="5">
        <v>44</v>
      </c>
      <c r="E3714" s="5">
        <v>46</v>
      </c>
      <c r="F3714" t="s" s="2">
        <v>301</v>
      </c>
      <c r="G3714" t="s" s="2">
        <v>5700</v>
      </c>
      <c r="H3714" s="5">
        <v>760</v>
      </c>
      <c r="I3714" t="s" s="2">
        <v>331</v>
      </c>
      <c r="J3714" t="s" s="2">
        <v>22</v>
      </c>
      <c r="K3714" t="s" s="2">
        <v>6955</v>
      </c>
      <c r="L3714" t="s" s="2">
        <v>6962</v>
      </c>
      <c r="M3714" s="5">
        <v>454173.68</v>
      </c>
      <c r="N3714" s="5">
        <v>6184993.44</v>
      </c>
      <c r="O3714" t="s" s="2">
        <v>305</v>
      </c>
      <c r="P3714" s="5">
        <v>60738</v>
      </c>
      <c r="Q3714" t="s" s="2">
        <v>5701</v>
      </c>
      <c r="R3714" t="s" s="2">
        <f>_xlfn.IFERROR(INDEX('model_byCAP'!$D$2:$D$377,MATCH(Q3714,'model_byCAP'!$A$2:$A$377,0)),0)</f>
        <v>5702</v>
      </c>
    </row>
    <row r="3715" ht="15.35" customHeight="1">
      <c r="A3715" t="s" s="2">
        <v>6963</v>
      </c>
      <c r="B3715" s="4">
        <v>35632</v>
      </c>
      <c r="C3715" s="5">
        <v>600</v>
      </c>
      <c r="D3715" s="5">
        <v>44</v>
      </c>
      <c r="E3715" s="5">
        <v>46</v>
      </c>
      <c r="F3715" t="s" s="2">
        <v>301</v>
      </c>
      <c r="G3715" t="s" s="2">
        <v>5700</v>
      </c>
      <c r="H3715" s="5">
        <v>760</v>
      </c>
      <c r="I3715" t="s" s="2">
        <v>331</v>
      </c>
      <c r="J3715" t="s" s="2">
        <v>22</v>
      </c>
      <c r="K3715" t="s" s="2">
        <v>6955</v>
      </c>
      <c r="L3715" t="s" s="2">
        <v>6964</v>
      </c>
      <c r="M3715" s="5">
        <v>454066.1</v>
      </c>
      <c r="N3715" s="5">
        <v>6184784.42</v>
      </c>
      <c r="O3715" t="s" s="2">
        <v>305</v>
      </c>
      <c r="P3715" s="5">
        <v>60739</v>
      </c>
      <c r="Q3715" t="s" s="2">
        <v>5701</v>
      </c>
      <c r="R3715" t="s" s="2">
        <f>_xlfn.IFERROR(INDEX('model_byCAP'!$D$2:$D$377,MATCH(Q3715,'model_byCAP'!$A$2:$A$377,0)),0)</f>
        <v>5702</v>
      </c>
    </row>
    <row r="3716" ht="15.35" customHeight="1">
      <c r="A3716" t="s" s="2">
        <v>6965</v>
      </c>
      <c r="B3716" s="4">
        <v>35632</v>
      </c>
      <c r="C3716" s="5">
        <v>600</v>
      </c>
      <c r="D3716" s="5">
        <v>44</v>
      </c>
      <c r="E3716" s="5">
        <v>46</v>
      </c>
      <c r="F3716" t="s" s="2">
        <v>301</v>
      </c>
      <c r="G3716" t="s" s="2">
        <v>5700</v>
      </c>
      <c r="H3716" s="5">
        <v>760</v>
      </c>
      <c r="I3716" t="s" s="2">
        <v>331</v>
      </c>
      <c r="J3716" t="s" s="2">
        <v>22</v>
      </c>
      <c r="K3716" t="s" s="2">
        <v>6955</v>
      </c>
      <c r="L3716" t="s" s="2">
        <v>6964</v>
      </c>
      <c r="M3716" s="5">
        <v>453957.2</v>
      </c>
      <c r="N3716" s="5">
        <v>6184574.46</v>
      </c>
      <c r="O3716" t="s" s="2">
        <v>305</v>
      </c>
      <c r="P3716" s="5">
        <v>60740</v>
      </c>
      <c r="Q3716" t="s" s="2">
        <v>5701</v>
      </c>
      <c r="R3716" t="s" s="2">
        <f>_xlfn.IFERROR(INDEX('model_byCAP'!$D$2:$D$377,MATCH(Q3716,'model_byCAP'!$A$2:$A$377,0)),0)</f>
        <v>5702</v>
      </c>
    </row>
    <row r="3717" ht="15.35" customHeight="1">
      <c r="A3717" t="s" s="2">
        <v>6966</v>
      </c>
      <c r="B3717" s="4">
        <v>35622</v>
      </c>
      <c r="C3717" s="5">
        <v>600</v>
      </c>
      <c r="D3717" s="5">
        <v>44</v>
      </c>
      <c r="E3717" s="5">
        <v>46</v>
      </c>
      <c r="F3717" t="s" s="2">
        <v>301</v>
      </c>
      <c r="G3717" t="s" s="2">
        <v>5700</v>
      </c>
      <c r="H3717" s="5">
        <v>760</v>
      </c>
      <c r="I3717" t="s" s="2">
        <v>331</v>
      </c>
      <c r="J3717" t="s" s="2">
        <v>22</v>
      </c>
      <c r="K3717" t="s" s="2">
        <v>6955</v>
      </c>
      <c r="L3717" t="s" s="2">
        <v>524</v>
      </c>
      <c r="M3717" s="5">
        <v>454355.28</v>
      </c>
      <c r="N3717" s="5">
        <v>6184870.91</v>
      </c>
      <c r="O3717" t="s" s="2">
        <v>305</v>
      </c>
      <c r="P3717" s="5">
        <v>60741</v>
      </c>
      <c r="Q3717" t="s" s="2">
        <v>5701</v>
      </c>
      <c r="R3717" t="s" s="2">
        <f>_xlfn.IFERROR(INDEX('model_byCAP'!$D$2:$D$377,MATCH(Q3717,'model_byCAP'!$A$2:$A$377,0)),0)</f>
        <v>5702</v>
      </c>
    </row>
    <row r="3718" ht="15.35" customHeight="1">
      <c r="A3718" t="s" s="2">
        <v>6967</v>
      </c>
      <c r="B3718" s="4">
        <v>35618</v>
      </c>
      <c r="C3718" s="5">
        <v>600</v>
      </c>
      <c r="D3718" s="5">
        <v>44</v>
      </c>
      <c r="E3718" s="5">
        <v>46</v>
      </c>
      <c r="F3718" t="s" s="2">
        <v>301</v>
      </c>
      <c r="G3718" t="s" s="2">
        <v>5700</v>
      </c>
      <c r="H3718" s="5">
        <v>760</v>
      </c>
      <c r="I3718" t="s" s="2">
        <v>331</v>
      </c>
      <c r="J3718" t="s" s="2">
        <v>22</v>
      </c>
      <c r="K3718" t="s" s="2">
        <v>6955</v>
      </c>
      <c r="L3718" t="s" s="2">
        <v>1260</v>
      </c>
      <c r="M3718" s="5">
        <v>454246.46</v>
      </c>
      <c r="N3718" s="5">
        <v>6184661.91</v>
      </c>
      <c r="O3718" t="s" s="2">
        <v>305</v>
      </c>
      <c r="P3718" s="5">
        <v>60742</v>
      </c>
      <c r="Q3718" t="s" s="2">
        <v>5701</v>
      </c>
      <c r="R3718" t="s" s="2">
        <f>_xlfn.IFERROR(INDEX('model_byCAP'!$D$2:$D$377,MATCH(Q3718,'model_byCAP'!$A$2:$A$377,0)),0)</f>
        <v>5702</v>
      </c>
    </row>
    <row r="3719" ht="15.35" customHeight="1">
      <c r="A3719" t="s" s="2">
        <v>6968</v>
      </c>
      <c r="B3719" s="4">
        <v>35635</v>
      </c>
      <c r="C3719" s="5">
        <v>600</v>
      </c>
      <c r="D3719" s="5">
        <v>44</v>
      </c>
      <c r="E3719" s="5">
        <v>46</v>
      </c>
      <c r="F3719" t="s" s="2">
        <v>301</v>
      </c>
      <c r="G3719" t="s" s="2">
        <v>5700</v>
      </c>
      <c r="H3719" s="5">
        <v>760</v>
      </c>
      <c r="I3719" t="s" s="2">
        <v>331</v>
      </c>
      <c r="J3719" t="s" s="2">
        <v>22</v>
      </c>
      <c r="K3719" t="s" s="2">
        <v>6955</v>
      </c>
      <c r="L3719" t="s" s="2">
        <v>1000</v>
      </c>
      <c r="M3719" s="5">
        <v>454138.81</v>
      </c>
      <c r="N3719" s="5">
        <v>6184453.01</v>
      </c>
      <c r="O3719" t="s" s="2">
        <v>305</v>
      </c>
      <c r="P3719" s="5">
        <v>60743</v>
      </c>
      <c r="Q3719" t="s" s="2">
        <v>5701</v>
      </c>
      <c r="R3719" t="s" s="2">
        <f>_xlfn.IFERROR(INDEX('model_byCAP'!$D$2:$D$377,MATCH(Q3719,'model_byCAP'!$A$2:$A$377,0)),0)</f>
        <v>5702</v>
      </c>
    </row>
    <row r="3720" ht="15.35" customHeight="1">
      <c r="A3720" t="s" s="2">
        <v>6969</v>
      </c>
      <c r="B3720" s="4">
        <v>35635</v>
      </c>
      <c r="C3720" s="5">
        <v>600</v>
      </c>
      <c r="D3720" s="5">
        <v>44</v>
      </c>
      <c r="E3720" s="5">
        <v>46</v>
      </c>
      <c r="F3720" t="s" s="2">
        <v>301</v>
      </c>
      <c r="G3720" t="s" s="2">
        <v>5700</v>
      </c>
      <c r="H3720" s="5">
        <v>760</v>
      </c>
      <c r="I3720" t="s" s="2">
        <v>331</v>
      </c>
      <c r="J3720" t="s" s="2">
        <v>22</v>
      </c>
      <c r="K3720" t="s" s="2">
        <v>6955</v>
      </c>
      <c r="L3720" t="s" s="2">
        <v>6970</v>
      </c>
      <c r="M3720" s="5">
        <v>454536.02</v>
      </c>
      <c r="N3720" s="5">
        <v>6184749.04</v>
      </c>
      <c r="O3720" t="s" s="2">
        <v>305</v>
      </c>
      <c r="P3720" s="5">
        <v>60744</v>
      </c>
      <c r="Q3720" t="s" s="2">
        <v>5701</v>
      </c>
      <c r="R3720" t="s" s="2">
        <f>_xlfn.IFERROR(INDEX('model_byCAP'!$D$2:$D$377,MATCH(Q3720,'model_byCAP'!$A$2:$A$377,0)),0)</f>
        <v>5702</v>
      </c>
    </row>
    <row r="3721" ht="15.35" customHeight="1">
      <c r="A3721" t="s" s="2">
        <v>6971</v>
      </c>
      <c r="B3721" s="4">
        <v>35620</v>
      </c>
      <c r="C3721" s="5">
        <v>600</v>
      </c>
      <c r="D3721" s="5">
        <v>44</v>
      </c>
      <c r="E3721" s="5">
        <v>46</v>
      </c>
      <c r="F3721" t="s" s="2">
        <v>301</v>
      </c>
      <c r="G3721" t="s" s="2">
        <v>5700</v>
      </c>
      <c r="H3721" s="5">
        <v>760</v>
      </c>
      <c r="I3721" t="s" s="2">
        <v>331</v>
      </c>
      <c r="J3721" t="s" s="2">
        <v>22</v>
      </c>
      <c r="K3721" t="s" s="2">
        <v>6955</v>
      </c>
      <c r="L3721" t="s" s="2">
        <v>474</v>
      </c>
      <c r="M3721" s="5">
        <v>454427.7</v>
      </c>
      <c r="N3721" s="5">
        <v>6184539.81</v>
      </c>
      <c r="O3721" t="s" s="2">
        <v>305</v>
      </c>
      <c r="P3721" s="5">
        <v>60745</v>
      </c>
      <c r="Q3721" t="s" s="2">
        <v>5701</v>
      </c>
      <c r="R3721" t="s" s="2">
        <f>_xlfn.IFERROR(INDEX('model_byCAP'!$D$2:$D$377,MATCH(Q3721,'model_byCAP'!$A$2:$A$377,0)),0)</f>
        <v>5702</v>
      </c>
    </row>
    <row r="3722" ht="15.35" customHeight="1">
      <c r="A3722" t="s" s="2">
        <v>6972</v>
      </c>
      <c r="B3722" s="4">
        <v>35633</v>
      </c>
      <c r="C3722" s="5">
        <v>600</v>
      </c>
      <c r="D3722" s="5">
        <v>44</v>
      </c>
      <c r="E3722" s="5">
        <v>46</v>
      </c>
      <c r="F3722" t="s" s="2">
        <v>301</v>
      </c>
      <c r="G3722" t="s" s="2">
        <v>5700</v>
      </c>
      <c r="H3722" s="5">
        <v>760</v>
      </c>
      <c r="I3722" t="s" s="2">
        <v>331</v>
      </c>
      <c r="J3722" t="s" s="2">
        <v>22</v>
      </c>
      <c r="K3722" t="s" s="2">
        <v>6955</v>
      </c>
      <c r="L3722" t="s" s="2">
        <v>928</v>
      </c>
      <c r="M3722" s="5">
        <v>454320.04</v>
      </c>
      <c r="N3722" s="5">
        <v>6184330.85</v>
      </c>
      <c r="O3722" t="s" s="2">
        <v>305</v>
      </c>
      <c r="P3722" s="5">
        <v>60746</v>
      </c>
      <c r="Q3722" t="s" s="2">
        <v>5701</v>
      </c>
      <c r="R3722" t="s" s="2">
        <f>_xlfn.IFERROR(INDEX('model_byCAP'!$D$2:$D$377,MATCH(Q3722,'model_byCAP'!$A$2:$A$377,0)),0)</f>
        <v>5702</v>
      </c>
    </row>
    <row r="3723" ht="15.35" customHeight="1">
      <c r="A3723" t="s" s="2">
        <v>6973</v>
      </c>
      <c r="B3723" s="4">
        <v>35775</v>
      </c>
      <c r="C3723" s="5">
        <v>600</v>
      </c>
      <c r="D3723" s="5">
        <v>44</v>
      </c>
      <c r="E3723" s="5">
        <v>46</v>
      </c>
      <c r="F3723" t="s" s="2">
        <v>301</v>
      </c>
      <c r="G3723" t="s" s="2">
        <v>5700</v>
      </c>
      <c r="H3723" s="5">
        <v>760</v>
      </c>
      <c r="I3723" t="s" s="2">
        <v>331</v>
      </c>
      <c r="J3723" t="s" s="2">
        <v>22</v>
      </c>
      <c r="K3723" t="s" s="2">
        <v>6955</v>
      </c>
      <c r="L3723" t="s" s="2">
        <v>405</v>
      </c>
      <c r="M3723" s="5">
        <v>454897.42</v>
      </c>
      <c r="N3723" s="5">
        <v>6184504.86</v>
      </c>
      <c r="O3723" t="s" s="2">
        <v>305</v>
      </c>
      <c r="P3723" s="5">
        <v>60984</v>
      </c>
      <c r="Q3723" t="s" s="2">
        <v>5701</v>
      </c>
      <c r="R3723" t="s" s="2">
        <f>_xlfn.IFERROR(INDEX('model_byCAP'!$D$2:$D$377,MATCH(Q3723,'model_byCAP'!$A$2:$A$377,0)),0)</f>
        <v>5702</v>
      </c>
    </row>
    <row r="3724" ht="15.35" customHeight="1">
      <c r="A3724" t="s" s="2">
        <v>6974</v>
      </c>
      <c r="B3724" s="4">
        <v>35972</v>
      </c>
      <c r="C3724" s="5">
        <v>600</v>
      </c>
      <c r="D3724" s="5">
        <v>44</v>
      </c>
      <c r="E3724" s="5">
        <v>45</v>
      </c>
      <c r="F3724" t="s" s="2">
        <v>301</v>
      </c>
      <c r="G3724" t="s" s="2">
        <v>5700</v>
      </c>
      <c r="H3724" s="5">
        <v>760</v>
      </c>
      <c r="I3724" t="s" s="2">
        <v>331</v>
      </c>
      <c r="J3724" t="s" s="2">
        <v>22</v>
      </c>
      <c r="K3724" t="s" s="2">
        <v>6955</v>
      </c>
      <c r="L3724" t="s" s="2">
        <v>995</v>
      </c>
      <c r="M3724" s="5">
        <v>454716.41</v>
      </c>
      <c r="N3724" s="5">
        <v>6184626.82</v>
      </c>
      <c r="O3724" t="s" s="2">
        <v>305</v>
      </c>
      <c r="P3724" s="5">
        <v>61361</v>
      </c>
      <c r="Q3724" t="s" s="2">
        <v>5701</v>
      </c>
      <c r="R3724" t="s" s="2">
        <f>_xlfn.IFERROR(INDEX('model_byCAP'!$D$2:$D$377,MATCH(Q3724,'model_byCAP'!$A$2:$A$377,0)),0)</f>
        <v>5702</v>
      </c>
    </row>
    <row r="3725" ht="15.35" customHeight="1">
      <c r="A3725" t="s" s="2">
        <v>6975</v>
      </c>
      <c r="B3725" s="4">
        <v>35972</v>
      </c>
      <c r="C3725" s="5">
        <v>600</v>
      </c>
      <c r="D3725" s="5">
        <v>44</v>
      </c>
      <c r="E3725" s="5">
        <v>45</v>
      </c>
      <c r="F3725" t="s" s="2">
        <v>301</v>
      </c>
      <c r="G3725" t="s" s="2">
        <v>5700</v>
      </c>
      <c r="H3725" s="5">
        <v>760</v>
      </c>
      <c r="I3725" t="s" s="2">
        <v>331</v>
      </c>
      <c r="J3725" t="s" s="2">
        <v>22</v>
      </c>
      <c r="K3725" t="s" s="2">
        <v>6955</v>
      </c>
      <c r="L3725" t="s" s="2">
        <v>1165</v>
      </c>
      <c r="M3725" s="5">
        <v>454500.43</v>
      </c>
      <c r="N3725" s="5">
        <v>6184208.57</v>
      </c>
      <c r="O3725" t="s" s="2">
        <v>305</v>
      </c>
      <c r="P3725" s="5">
        <v>61362</v>
      </c>
      <c r="Q3725" t="s" s="2">
        <v>5701</v>
      </c>
      <c r="R3725" t="s" s="2">
        <f>_xlfn.IFERROR(INDEX('model_byCAP'!$D$2:$D$377,MATCH(Q3725,'model_byCAP'!$A$2:$A$377,0)),0)</f>
        <v>5702</v>
      </c>
    </row>
    <row r="3726" ht="15.35" customHeight="1">
      <c r="A3726" t="s" s="2">
        <v>6976</v>
      </c>
      <c r="B3726" s="4">
        <v>36361</v>
      </c>
      <c r="C3726" s="5">
        <v>600</v>
      </c>
      <c r="D3726" s="5">
        <v>47</v>
      </c>
      <c r="E3726" s="5">
        <v>45</v>
      </c>
      <c r="F3726" t="s" s="2">
        <v>301</v>
      </c>
      <c r="G3726" t="s" s="2">
        <v>5700</v>
      </c>
      <c r="H3726" s="5">
        <v>760</v>
      </c>
      <c r="I3726" t="s" s="2">
        <v>331</v>
      </c>
      <c r="J3726" t="s" s="2">
        <v>22</v>
      </c>
      <c r="K3726" t="s" s="2">
        <v>6977</v>
      </c>
      <c r="L3726" t="s" s="2">
        <v>474</v>
      </c>
      <c r="M3726" s="5">
        <v>454607.34</v>
      </c>
      <c r="N3726" s="5">
        <v>6184418.98</v>
      </c>
      <c r="O3726" t="s" s="2">
        <v>305</v>
      </c>
      <c r="P3726" s="5">
        <v>61954</v>
      </c>
      <c r="Q3726" t="s" s="2">
        <v>5701</v>
      </c>
      <c r="R3726" t="s" s="2">
        <f>_xlfn.IFERROR(INDEX('model_byCAP'!$D$2:$D$377,MATCH(Q3726,'model_byCAP'!$A$2:$A$377,0)),0)</f>
        <v>5702</v>
      </c>
    </row>
    <row r="3727" ht="15.35" customHeight="1">
      <c r="A3727" t="s" s="2">
        <v>6978</v>
      </c>
      <c r="B3727" s="4">
        <v>36361</v>
      </c>
      <c r="C3727" s="5">
        <v>600</v>
      </c>
      <c r="D3727" s="5">
        <v>47</v>
      </c>
      <c r="E3727" s="5">
        <v>45</v>
      </c>
      <c r="F3727" t="s" s="2">
        <v>301</v>
      </c>
      <c r="G3727" t="s" s="2">
        <v>5700</v>
      </c>
      <c r="H3727" s="5">
        <v>760</v>
      </c>
      <c r="I3727" t="s" s="2">
        <v>331</v>
      </c>
      <c r="J3727" t="s" s="2">
        <v>22</v>
      </c>
      <c r="K3727" t="s" s="2">
        <v>6977</v>
      </c>
      <c r="L3727" t="s" s="2">
        <v>1504</v>
      </c>
      <c r="M3727" s="5">
        <v>454681.14</v>
      </c>
      <c r="N3727" s="5">
        <v>6184086.26</v>
      </c>
      <c r="O3727" t="s" s="2">
        <v>305</v>
      </c>
      <c r="P3727" s="5">
        <v>61954</v>
      </c>
      <c r="Q3727" t="s" s="2">
        <v>5701</v>
      </c>
      <c r="R3727" t="s" s="2">
        <f>_xlfn.IFERROR(INDEX('model_byCAP'!$D$2:$D$377,MATCH(Q3727,'model_byCAP'!$A$2:$A$377,0)),0)</f>
        <v>5702</v>
      </c>
    </row>
    <row r="3728" ht="15.35" customHeight="1">
      <c r="A3728" t="s" s="2">
        <v>6979</v>
      </c>
      <c r="B3728" s="4">
        <v>36466</v>
      </c>
      <c r="C3728" s="5">
        <v>600</v>
      </c>
      <c r="D3728" s="5">
        <v>44</v>
      </c>
      <c r="E3728" s="5">
        <v>50</v>
      </c>
      <c r="F3728" t="s" s="2">
        <v>1989</v>
      </c>
      <c r="G3728" t="s" s="2">
        <v>6085</v>
      </c>
      <c r="H3728" s="5">
        <v>760</v>
      </c>
      <c r="I3728" t="s" s="2">
        <v>331</v>
      </c>
      <c r="J3728" t="s" s="2">
        <v>22</v>
      </c>
      <c r="K3728" t="s" s="2">
        <v>6980</v>
      </c>
      <c r="L3728" t="s" s="2">
        <v>6981</v>
      </c>
      <c r="M3728" s="5">
        <v>485971.21</v>
      </c>
      <c r="N3728" s="5">
        <v>6210941.92</v>
      </c>
      <c r="O3728" t="s" s="2">
        <v>305</v>
      </c>
      <c r="P3728" s="5">
        <v>7142271</v>
      </c>
      <c r="Q3728" t="s" s="2">
        <v>6087</v>
      </c>
      <c r="R3728" t="s" s="2">
        <f>_xlfn.IFERROR(INDEX('model_byCAP'!$D$2:$D$377,MATCH(Q3728,'model_byCAP'!$A$2:$A$377,0)),0)</f>
        <v>5955</v>
      </c>
    </row>
    <row r="3729" ht="15.35" customHeight="1">
      <c r="A3729" t="s" s="2">
        <v>6982</v>
      </c>
      <c r="B3729" s="4">
        <v>35549</v>
      </c>
      <c r="C3729" s="5">
        <v>600</v>
      </c>
      <c r="D3729" s="5">
        <v>43</v>
      </c>
      <c r="E3729" s="5">
        <v>40</v>
      </c>
      <c r="F3729" t="s" s="2">
        <v>3604</v>
      </c>
      <c r="G3729" t="s" s="2">
        <v>6028</v>
      </c>
      <c r="H3729" s="5">
        <v>766</v>
      </c>
      <c r="I3729" t="s" s="2">
        <v>3363</v>
      </c>
      <c r="J3729" t="s" s="2">
        <v>22</v>
      </c>
      <c r="K3729" t="s" s="2">
        <v>6983</v>
      </c>
      <c r="L3729" t="s" s="2">
        <v>481</v>
      </c>
      <c r="M3729" s="5">
        <v>537256.63</v>
      </c>
      <c r="N3729" s="5">
        <v>6183039.77</v>
      </c>
      <c r="O3729" t="s" s="2">
        <v>305</v>
      </c>
      <c r="P3729" s="5">
        <v>1030027</v>
      </c>
      <c r="Q3729" t="s" s="2">
        <v>6030</v>
      </c>
      <c r="R3729" t="s" s="2">
        <f>_xlfn.IFERROR(INDEX('model_byCAP'!$D$2:$D$377,MATCH(Q3729,'model_byCAP'!$A$2:$A$377,0)),0)</f>
        <v>4115</v>
      </c>
    </row>
    <row r="3730" ht="15.35" customHeight="1">
      <c r="A3730" t="s" s="2">
        <v>6984</v>
      </c>
      <c r="B3730" s="4">
        <v>35709</v>
      </c>
      <c r="C3730" s="5">
        <v>600</v>
      </c>
      <c r="D3730" s="5">
        <v>44</v>
      </c>
      <c r="E3730" s="5">
        <v>50</v>
      </c>
      <c r="F3730" t="s" s="2">
        <v>301</v>
      </c>
      <c r="G3730" t="s" s="2">
        <v>5700</v>
      </c>
      <c r="H3730" s="5">
        <v>766</v>
      </c>
      <c r="I3730" t="s" s="2">
        <v>3363</v>
      </c>
      <c r="J3730" t="s" s="2">
        <v>22</v>
      </c>
      <c r="K3730" t="s" s="2">
        <v>6985</v>
      </c>
      <c r="L3730" t="s" s="2">
        <v>2872</v>
      </c>
      <c r="M3730" s="5">
        <v>535300.92</v>
      </c>
      <c r="N3730" s="5">
        <v>6185373.83</v>
      </c>
      <c r="O3730" t="s" s="2">
        <v>305</v>
      </c>
      <c r="P3730" s="5">
        <v>1030032</v>
      </c>
      <c r="Q3730" t="s" s="2">
        <v>5701</v>
      </c>
      <c r="R3730" t="s" s="2">
        <f>_xlfn.IFERROR(INDEX('model_byCAP'!$D$2:$D$377,MATCH(Q3730,'model_byCAP'!$A$2:$A$377,0)),0)</f>
        <v>5702</v>
      </c>
    </row>
    <row r="3731" ht="15.35" customHeight="1">
      <c r="A3731" t="s" s="2">
        <v>6986</v>
      </c>
      <c r="B3731" s="4">
        <v>35755</v>
      </c>
      <c r="C3731" s="5">
        <v>600</v>
      </c>
      <c r="D3731" s="5">
        <v>44</v>
      </c>
      <c r="E3731" s="5">
        <v>60</v>
      </c>
      <c r="F3731" t="s" s="2">
        <v>1989</v>
      </c>
      <c r="G3731" t="s" s="2">
        <v>6085</v>
      </c>
      <c r="H3731" s="5">
        <v>766</v>
      </c>
      <c r="I3731" t="s" s="2">
        <v>3363</v>
      </c>
      <c r="J3731" t="s" s="2">
        <v>22</v>
      </c>
      <c r="K3731" t="s" s="2">
        <v>6987</v>
      </c>
      <c r="L3731" t="s" s="2">
        <v>4147</v>
      </c>
      <c r="M3731" s="5">
        <v>529957.79</v>
      </c>
      <c r="N3731" s="5">
        <v>6188467.57</v>
      </c>
      <c r="O3731" t="s" s="2">
        <v>305</v>
      </c>
      <c r="P3731" s="5">
        <v>1030033</v>
      </c>
      <c r="Q3731" t="s" s="2">
        <v>6087</v>
      </c>
      <c r="R3731" t="s" s="2">
        <f>_xlfn.IFERROR(INDEX('model_byCAP'!$D$2:$D$377,MATCH(Q3731,'model_byCAP'!$A$2:$A$377,0)),0)</f>
        <v>5955</v>
      </c>
    </row>
    <row r="3732" ht="15.35" customHeight="1">
      <c r="A3732" t="s" s="2">
        <v>6988</v>
      </c>
      <c r="B3732" s="4">
        <v>36160</v>
      </c>
      <c r="C3732" s="5">
        <v>600</v>
      </c>
      <c r="D3732" s="5">
        <v>44</v>
      </c>
      <c r="E3732" s="5">
        <v>60</v>
      </c>
      <c r="F3732" t="s" s="2">
        <v>1989</v>
      </c>
      <c r="G3732" t="s" s="2">
        <v>6085</v>
      </c>
      <c r="H3732" s="5">
        <v>766</v>
      </c>
      <c r="I3732" t="s" s="2">
        <v>3363</v>
      </c>
      <c r="J3732" t="s" s="2">
        <v>22</v>
      </c>
      <c r="K3732" t="s" s="2">
        <v>6987</v>
      </c>
      <c r="L3732" t="s" s="2">
        <v>4147</v>
      </c>
      <c r="M3732" s="5">
        <v>530116.5699999999</v>
      </c>
      <c r="N3732" s="5">
        <v>6188508.3</v>
      </c>
      <c r="O3732" t="s" s="2">
        <v>305</v>
      </c>
      <c r="P3732" s="5">
        <v>1030033</v>
      </c>
      <c r="Q3732" t="s" s="2">
        <v>6087</v>
      </c>
      <c r="R3732" t="s" s="2">
        <f>_xlfn.IFERROR(INDEX('model_byCAP'!$D$2:$D$377,MATCH(Q3732,'model_byCAP'!$A$2:$A$377,0)),0)</f>
        <v>5955</v>
      </c>
    </row>
    <row r="3733" ht="15.35" customHeight="1">
      <c r="A3733" t="s" s="2">
        <v>6989</v>
      </c>
      <c r="B3733" s="4">
        <v>35755</v>
      </c>
      <c r="C3733" s="5">
        <v>600</v>
      </c>
      <c r="D3733" s="5">
        <v>44</v>
      </c>
      <c r="E3733" s="5">
        <v>60</v>
      </c>
      <c r="F3733" t="s" s="2">
        <v>1989</v>
      </c>
      <c r="G3733" t="s" s="2">
        <v>6085</v>
      </c>
      <c r="H3733" s="5">
        <v>766</v>
      </c>
      <c r="I3733" t="s" s="2">
        <v>3363</v>
      </c>
      <c r="J3733" t="s" s="2">
        <v>22</v>
      </c>
      <c r="K3733" t="s" s="2">
        <v>6990</v>
      </c>
      <c r="L3733" t="s" s="2">
        <v>4834</v>
      </c>
      <c r="M3733" s="5">
        <v>530059.51</v>
      </c>
      <c r="N3733" s="5">
        <v>6188328.91</v>
      </c>
      <c r="O3733" t="s" s="2">
        <v>305</v>
      </c>
      <c r="P3733" s="5">
        <v>1030034</v>
      </c>
      <c r="Q3733" t="s" s="2">
        <v>6087</v>
      </c>
      <c r="R3733" t="s" s="2">
        <f>_xlfn.IFERROR(INDEX('model_byCAP'!$D$2:$D$377,MATCH(Q3733,'model_byCAP'!$A$2:$A$377,0)),0)</f>
        <v>5955</v>
      </c>
    </row>
    <row r="3734" ht="15.35" customHeight="1">
      <c r="A3734" t="s" s="2">
        <v>6991</v>
      </c>
      <c r="B3734" s="4">
        <v>36501</v>
      </c>
      <c r="C3734" s="5">
        <v>600</v>
      </c>
      <c r="D3734" s="5">
        <v>45</v>
      </c>
      <c r="E3734" s="5">
        <v>45</v>
      </c>
      <c r="F3734" t="s" s="2">
        <v>4038</v>
      </c>
      <c r="G3734" t="s" s="2">
        <v>6415</v>
      </c>
      <c r="H3734" s="5">
        <v>766</v>
      </c>
      <c r="I3734" t="s" s="2">
        <v>3363</v>
      </c>
      <c r="J3734" t="s" s="2">
        <v>22</v>
      </c>
      <c r="K3734" t="s" s="2">
        <v>6992</v>
      </c>
      <c r="L3734" t="s" s="2">
        <v>6993</v>
      </c>
      <c r="M3734" s="5">
        <v>538447.37</v>
      </c>
      <c r="N3734" s="5">
        <v>6190199.3</v>
      </c>
      <c r="O3734" t="s" s="2">
        <v>305</v>
      </c>
      <c r="P3734" s="5">
        <v>1030060</v>
      </c>
      <c r="Q3734" t="s" s="2">
        <v>6416</v>
      </c>
      <c r="R3734" t="s" s="2">
        <f>_xlfn.IFERROR(INDEX('model_byCAP'!$D$2:$D$377,MATCH(Q3734,'model_byCAP'!$A$2:$A$377,0)),0)</f>
        <v>6417</v>
      </c>
    </row>
    <row r="3735" ht="15.35" customHeight="1">
      <c r="A3735" t="s" s="2">
        <v>6994</v>
      </c>
      <c r="B3735" s="4">
        <v>36501</v>
      </c>
      <c r="C3735" s="5">
        <v>600</v>
      </c>
      <c r="D3735" s="5">
        <v>45</v>
      </c>
      <c r="E3735" s="5">
        <v>45</v>
      </c>
      <c r="F3735" t="s" s="2">
        <v>4038</v>
      </c>
      <c r="G3735" t="s" s="2">
        <v>6415</v>
      </c>
      <c r="H3735" s="5">
        <v>766</v>
      </c>
      <c r="I3735" t="s" s="2">
        <v>3363</v>
      </c>
      <c r="J3735" t="s" s="2">
        <v>22</v>
      </c>
      <c r="K3735" t="s" s="2">
        <v>6992</v>
      </c>
      <c r="L3735" t="s" s="2">
        <v>1161</v>
      </c>
      <c r="M3735" s="5">
        <v>538215.3</v>
      </c>
      <c r="N3735" s="5">
        <v>6190067.63</v>
      </c>
      <c r="O3735" t="s" s="2">
        <v>305</v>
      </c>
      <c r="P3735" s="5">
        <v>1030061</v>
      </c>
      <c r="Q3735" t="s" s="2">
        <v>6416</v>
      </c>
      <c r="R3735" t="s" s="2">
        <f>_xlfn.IFERROR(INDEX('model_byCAP'!$D$2:$D$377,MATCH(Q3735,'model_byCAP'!$A$2:$A$377,0)),0)</f>
        <v>6417</v>
      </c>
    </row>
    <row r="3736" ht="15.35" customHeight="1">
      <c r="A3736" t="s" s="2">
        <v>6995</v>
      </c>
      <c r="B3736" s="4">
        <v>36693</v>
      </c>
      <c r="C3736" s="5">
        <v>600</v>
      </c>
      <c r="D3736" s="5">
        <v>45</v>
      </c>
      <c r="E3736" s="5">
        <v>45</v>
      </c>
      <c r="F3736" t="s" s="2">
        <v>4038</v>
      </c>
      <c r="G3736" t="s" s="2">
        <v>6415</v>
      </c>
      <c r="H3736" s="5">
        <v>766</v>
      </c>
      <c r="I3736" t="s" s="2">
        <v>3363</v>
      </c>
      <c r="J3736" t="s" s="2">
        <v>22</v>
      </c>
      <c r="K3736" t="s" s="2">
        <v>6992</v>
      </c>
      <c r="L3736" t="s" s="2">
        <v>1161</v>
      </c>
      <c r="M3736" s="5">
        <v>538241.7</v>
      </c>
      <c r="N3736" s="5">
        <v>6190280.35</v>
      </c>
      <c r="O3736" t="s" s="2">
        <v>305</v>
      </c>
      <c r="P3736" s="5">
        <v>1030071</v>
      </c>
      <c r="Q3736" t="s" s="2">
        <v>6416</v>
      </c>
      <c r="R3736" t="s" s="2">
        <f>_xlfn.IFERROR(INDEX('model_byCAP'!$D$2:$D$377,MATCH(Q3736,'model_byCAP'!$A$2:$A$377,0)),0)</f>
        <v>6417</v>
      </c>
    </row>
    <row r="3737" ht="15.35" customHeight="1">
      <c r="A3737" t="s" s="2">
        <v>6996</v>
      </c>
      <c r="B3737" s="4">
        <v>36679</v>
      </c>
      <c r="C3737" s="5">
        <v>600</v>
      </c>
      <c r="D3737" s="5">
        <v>45</v>
      </c>
      <c r="E3737" s="5">
        <v>45</v>
      </c>
      <c r="F3737" t="s" s="2">
        <v>4038</v>
      </c>
      <c r="G3737" t="s" s="2">
        <v>6415</v>
      </c>
      <c r="H3737" s="5">
        <v>766</v>
      </c>
      <c r="I3737" t="s" s="2">
        <v>3363</v>
      </c>
      <c r="J3737" t="s" s="2">
        <v>22</v>
      </c>
      <c r="K3737" t="s" s="2">
        <v>6992</v>
      </c>
      <c r="L3737" t="s" s="2">
        <v>6804</v>
      </c>
      <c r="M3737" s="5">
        <v>538426.96</v>
      </c>
      <c r="N3737" s="5">
        <v>6189983.7</v>
      </c>
      <c r="O3737" t="s" s="2">
        <v>305</v>
      </c>
      <c r="P3737" s="5">
        <v>1030072</v>
      </c>
      <c r="Q3737" t="s" s="2">
        <v>6416</v>
      </c>
      <c r="R3737" t="s" s="2">
        <f>_xlfn.IFERROR(INDEX('model_byCAP'!$D$2:$D$377,MATCH(Q3737,'model_byCAP'!$A$2:$A$377,0)),0)</f>
        <v>6417</v>
      </c>
    </row>
    <row r="3738" ht="15.35" customHeight="1">
      <c r="A3738" t="s" s="2">
        <v>6997</v>
      </c>
      <c r="B3738" s="4">
        <v>35697</v>
      </c>
      <c r="C3738" s="5">
        <v>600</v>
      </c>
      <c r="D3738" s="5">
        <v>44</v>
      </c>
      <c r="E3738" s="5">
        <v>42</v>
      </c>
      <c r="F3738" t="s" s="2">
        <v>301</v>
      </c>
      <c r="G3738" t="s" s="2">
        <v>5700</v>
      </c>
      <c r="H3738" s="5">
        <v>773</v>
      </c>
      <c r="I3738" t="s" s="2">
        <v>1648</v>
      </c>
      <c r="J3738" t="s" s="2">
        <v>22</v>
      </c>
      <c r="K3738" t="s" s="2">
        <v>6998</v>
      </c>
      <c r="L3738" t="s" s="2">
        <v>1673</v>
      </c>
      <c r="M3738" s="5">
        <v>484298.7</v>
      </c>
      <c r="N3738" s="5">
        <v>6288833.55</v>
      </c>
      <c r="O3738" t="s" s="2">
        <v>305</v>
      </c>
      <c r="P3738" s="5">
        <v>223542</v>
      </c>
      <c r="Q3738" t="s" s="2">
        <v>5701</v>
      </c>
      <c r="R3738" t="s" s="2">
        <f>_xlfn.IFERROR(INDEX('model_byCAP'!$D$2:$D$377,MATCH(Q3738,'model_byCAP'!$A$2:$A$377,0)),0)</f>
        <v>5702</v>
      </c>
    </row>
    <row r="3739" ht="15.35" customHeight="1">
      <c r="A3739" t="s" s="2">
        <v>6999</v>
      </c>
      <c r="B3739" s="4">
        <v>35697</v>
      </c>
      <c r="C3739" s="5">
        <v>600</v>
      </c>
      <c r="D3739" s="5">
        <v>44</v>
      </c>
      <c r="E3739" s="5">
        <v>42</v>
      </c>
      <c r="F3739" t="s" s="2">
        <v>301</v>
      </c>
      <c r="G3739" t="s" s="2">
        <v>5700</v>
      </c>
      <c r="H3739" s="5">
        <v>773</v>
      </c>
      <c r="I3739" t="s" s="2">
        <v>1648</v>
      </c>
      <c r="J3739" t="s" s="2">
        <v>22</v>
      </c>
      <c r="K3739" t="s" s="2">
        <v>6998</v>
      </c>
      <c r="L3739" t="s" s="2">
        <v>492</v>
      </c>
      <c r="M3739" s="5">
        <v>483958.42</v>
      </c>
      <c r="N3739" s="5">
        <v>6288887.56</v>
      </c>
      <c r="O3739" t="s" s="2">
        <v>305</v>
      </c>
      <c r="P3739" s="5">
        <v>223543</v>
      </c>
      <c r="Q3739" t="s" s="2">
        <v>5701</v>
      </c>
      <c r="R3739" t="s" s="2">
        <f>_xlfn.IFERROR(INDEX('model_byCAP'!$D$2:$D$377,MATCH(Q3739,'model_byCAP'!$A$2:$A$377,0)),0)</f>
        <v>5702</v>
      </c>
    </row>
    <row r="3740" ht="15.35" customHeight="1">
      <c r="A3740" t="s" s="2">
        <v>7000</v>
      </c>
      <c r="B3740" s="4">
        <v>35697</v>
      </c>
      <c r="C3740" s="5">
        <v>600</v>
      </c>
      <c r="D3740" s="5">
        <v>44</v>
      </c>
      <c r="E3740" s="5">
        <v>50</v>
      </c>
      <c r="F3740" t="s" s="2">
        <v>301</v>
      </c>
      <c r="G3740" t="s" s="2">
        <v>5700</v>
      </c>
      <c r="H3740" s="5">
        <v>773</v>
      </c>
      <c r="I3740" t="s" s="2">
        <v>1648</v>
      </c>
      <c r="J3740" t="s" s="2">
        <v>22</v>
      </c>
      <c r="K3740" t="s" s="2">
        <v>6998</v>
      </c>
      <c r="L3740" t="s" s="2">
        <v>914</v>
      </c>
      <c r="M3740" s="5">
        <v>484130.33</v>
      </c>
      <c r="N3740" s="5">
        <v>6288860.34</v>
      </c>
      <c r="O3740" t="s" s="2">
        <v>305</v>
      </c>
      <c r="P3740" s="5">
        <v>223544</v>
      </c>
      <c r="Q3740" t="s" s="2">
        <v>5701</v>
      </c>
      <c r="R3740" t="s" s="2">
        <f>_xlfn.IFERROR(INDEX('model_byCAP'!$D$2:$D$377,MATCH(Q3740,'model_byCAP'!$A$2:$A$377,0)),0)</f>
        <v>5702</v>
      </c>
    </row>
    <row r="3741" ht="15.35" customHeight="1">
      <c r="A3741" t="s" s="2">
        <v>7001</v>
      </c>
      <c r="B3741" s="4">
        <v>35339</v>
      </c>
      <c r="C3741" s="5">
        <v>600</v>
      </c>
      <c r="D3741" s="5">
        <v>44</v>
      </c>
      <c r="E3741" s="5">
        <v>42</v>
      </c>
      <c r="F3741" t="s" s="2">
        <v>301</v>
      </c>
      <c r="G3741" t="s" s="2">
        <v>5700</v>
      </c>
      <c r="H3741" s="5">
        <v>779</v>
      </c>
      <c r="I3741" t="s" s="2">
        <v>1308</v>
      </c>
      <c r="J3741" t="s" s="2">
        <v>22</v>
      </c>
      <c r="K3741" t="s" s="2">
        <v>7002</v>
      </c>
      <c r="L3741" t="s" s="2">
        <v>2872</v>
      </c>
      <c r="M3741" s="5">
        <v>500633.55</v>
      </c>
      <c r="N3741" s="5">
        <v>6285392.59</v>
      </c>
      <c r="O3741" t="s" s="2">
        <v>305</v>
      </c>
      <c r="P3741" s="5">
        <v>2050174</v>
      </c>
      <c r="Q3741" t="s" s="2">
        <v>5701</v>
      </c>
      <c r="R3741" t="s" s="2">
        <f>_xlfn.IFERROR(INDEX('model_byCAP'!$D$2:$D$377,MATCH(Q3741,'model_byCAP'!$A$2:$A$377,0)),0)</f>
        <v>5702</v>
      </c>
    </row>
    <row r="3742" ht="15.35" customHeight="1">
      <c r="A3742" t="s" s="2">
        <v>7003</v>
      </c>
      <c r="B3742" s="4">
        <v>34843</v>
      </c>
      <c r="C3742" s="5">
        <v>600</v>
      </c>
      <c r="D3742" s="5">
        <v>44</v>
      </c>
      <c r="E3742" s="5">
        <v>40.5</v>
      </c>
      <c r="F3742" t="s" s="2">
        <v>301</v>
      </c>
      <c r="G3742" t="s" s="2">
        <v>6100</v>
      </c>
      <c r="H3742" s="5">
        <v>779</v>
      </c>
      <c r="I3742" t="s" s="2">
        <v>1308</v>
      </c>
      <c r="J3742" t="s" s="2">
        <v>22</v>
      </c>
      <c r="K3742" t="s" s="2">
        <v>5766</v>
      </c>
      <c r="L3742" t="s" s="2">
        <v>394</v>
      </c>
      <c r="M3742" s="5">
        <v>504376.19</v>
      </c>
      <c r="N3742" s="5">
        <v>6278906.06</v>
      </c>
      <c r="O3742" t="s" s="2">
        <v>305</v>
      </c>
      <c r="P3742" s="5">
        <v>2050233</v>
      </c>
      <c r="Q3742" t="s" s="2">
        <v>6102</v>
      </c>
      <c r="R3742" t="s" s="2">
        <f>_xlfn.IFERROR(INDEX('model_byCAP'!$D$2:$D$377,MATCH(Q3742,'model_byCAP'!$A$2:$A$377,0)),0)</f>
        <v>6103</v>
      </c>
    </row>
    <row r="3743" ht="15.35" customHeight="1">
      <c r="A3743" t="s" s="2">
        <v>7004</v>
      </c>
      <c r="B3743" s="4">
        <v>34843</v>
      </c>
      <c r="C3743" s="5">
        <v>600</v>
      </c>
      <c r="D3743" s="5">
        <v>44</v>
      </c>
      <c r="E3743" s="5">
        <v>40.5</v>
      </c>
      <c r="F3743" t="s" s="2">
        <v>301</v>
      </c>
      <c r="G3743" t="s" s="2">
        <v>6460</v>
      </c>
      <c r="H3743" s="5">
        <v>779</v>
      </c>
      <c r="I3743" t="s" s="2">
        <v>1308</v>
      </c>
      <c r="J3743" t="s" s="2">
        <v>22</v>
      </c>
      <c r="K3743" t="s" s="2">
        <v>5766</v>
      </c>
      <c r="L3743" t="s" s="2">
        <v>1061</v>
      </c>
      <c r="M3743" s="5">
        <v>504365.06</v>
      </c>
      <c r="N3743" s="5">
        <v>6278106.68</v>
      </c>
      <c r="O3743" t="s" s="2">
        <v>305</v>
      </c>
      <c r="P3743" s="5">
        <v>2050234</v>
      </c>
      <c r="Q3743" t="s" s="2">
        <v>6461</v>
      </c>
      <c r="R3743" t="s" s="2">
        <f>_xlfn.IFERROR(INDEX('model_byCAP'!$D$2:$D$377,MATCH(Q3743,'model_byCAP'!$A$2:$A$377,0)),0)</f>
        <v>6103</v>
      </c>
    </row>
    <row r="3744" ht="15.35" customHeight="1">
      <c r="A3744" t="s" s="2">
        <v>7005</v>
      </c>
      <c r="B3744" s="4">
        <v>34941</v>
      </c>
      <c r="C3744" s="5">
        <v>600</v>
      </c>
      <c r="D3744" s="5">
        <v>42</v>
      </c>
      <c r="E3744" s="5">
        <v>45</v>
      </c>
      <c r="F3744" t="s" s="2">
        <v>301</v>
      </c>
      <c r="G3744" t="s" s="2">
        <v>6460</v>
      </c>
      <c r="H3744" s="5">
        <v>779</v>
      </c>
      <c r="I3744" t="s" s="2">
        <v>1308</v>
      </c>
      <c r="J3744" t="s" s="2">
        <v>22</v>
      </c>
      <c r="K3744" t="s" s="2">
        <v>5766</v>
      </c>
      <c r="L3744" t="s" s="2">
        <v>2931</v>
      </c>
      <c r="M3744" s="5">
        <v>504381.31</v>
      </c>
      <c r="N3744" s="5">
        <v>6279385.32</v>
      </c>
      <c r="O3744" t="s" s="2">
        <v>305</v>
      </c>
      <c r="P3744" s="5">
        <v>2050237</v>
      </c>
      <c r="Q3744" t="s" s="2">
        <v>6461</v>
      </c>
      <c r="R3744" t="s" s="2">
        <f>_xlfn.IFERROR(INDEX('model_byCAP'!$D$2:$D$377,MATCH(Q3744,'model_byCAP'!$A$2:$A$377,0)),0)</f>
        <v>6103</v>
      </c>
    </row>
    <row r="3745" ht="15.35" customHeight="1">
      <c r="A3745" t="s" s="2">
        <v>7006</v>
      </c>
      <c r="B3745" s="4">
        <v>34977</v>
      </c>
      <c r="C3745" s="5">
        <v>600</v>
      </c>
      <c r="D3745" s="5">
        <v>42</v>
      </c>
      <c r="E3745" s="5">
        <v>40.5</v>
      </c>
      <c r="F3745" t="s" s="2">
        <v>301</v>
      </c>
      <c r="G3745" t="s" s="2">
        <v>6460</v>
      </c>
      <c r="H3745" s="5">
        <v>779</v>
      </c>
      <c r="I3745" t="s" s="2">
        <v>1308</v>
      </c>
      <c r="J3745" t="s" s="2">
        <v>22</v>
      </c>
      <c r="K3745" t="s" s="2">
        <v>7007</v>
      </c>
      <c r="L3745" t="s" s="2">
        <v>3414</v>
      </c>
      <c r="M3745" s="5">
        <v>488812.94</v>
      </c>
      <c r="N3745" s="5">
        <v>6273757.91</v>
      </c>
      <c r="O3745" t="s" s="2">
        <v>305</v>
      </c>
      <c r="P3745" s="5">
        <v>2050238</v>
      </c>
      <c r="Q3745" t="s" s="2">
        <v>6461</v>
      </c>
      <c r="R3745" t="s" s="2">
        <f>_xlfn.IFERROR(INDEX('model_byCAP'!$D$2:$D$377,MATCH(Q3745,'model_byCAP'!$A$2:$A$377,0)),0)</f>
        <v>6103</v>
      </c>
    </row>
    <row r="3746" ht="15.35" customHeight="1">
      <c r="A3746" t="s" s="2">
        <v>7008</v>
      </c>
      <c r="B3746" s="4">
        <v>34996</v>
      </c>
      <c r="C3746" s="5">
        <v>600</v>
      </c>
      <c r="D3746" s="5">
        <v>42</v>
      </c>
      <c r="E3746" s="5">
        <v>45</v>
      </c>
      <c r="F3746" t="s" s="2">
        <v>301</v>
      </c>
      <c r="G3746" t="s" s="2">
        <v>6100</v>
      </c>
      <c r="H3746" s="5">
        <v>779</v>
      </c>
      <c r="I3746" t="s" s="2">
        <v>1308</v>
      </c>
      <c r="J3746" t="s" s="2">
        <v>22</v>
      </c>
      <c r="K3746" t="s" s="2">
        <v>5766</v>
      </c>
      <c r="L3746" t="s" s="2">
        <v>1161</v>
      </c>
      <c r="M3746" s="5">
        <v>504369.75</v>
      </c>
      <c r="N3746" s="5">
        <v>6278426.49</v>
      </c>
      <c r="O3746" t="s" s="2">
        <v>305</v>
      </c>
      <c r="P3746" s="5">
        <v>2050243</v>
      </c>
      <c r="Q3746" t="s" s="2">
        <v>6102</v>
      </c>
      <c r="R3746" t="s" s="2">
        <f>_xlfn.IFERROR(INDEX('model_byCAP'!$D$2:$D$377,MATCH(Q3746,'model_byCAP'!$A$2:$A$377,0)),0)</f>
        <v>6103</v>
      </c>
    </row>
    <row r="3747" ht="15.35" customHeight="1">
      <c r="A3747" t="s" s="2">
        <v>7009</v>
      </c>
      <c r="B3747" s="4">
        <v>35173</v>
      </c>
      <c r="C3747" s="5">
        <v>600</v>
      </c>
      <c r="D3747" s="5">
        <v>42</v>
      </c>
      <c r="E3747" s="5">
        <v>45</v>
      </c>
      <c r="F3747" t="s" s="2">
        <v>301</v>
      </c>
      <c r="G3747" t="s" s="2">
        <v>6100</v>
      </c>
      <c r="H3747" s="5">
        <v>779</v>
      </c>
      <c r="I3747" t="s" s="2">
        <v>1308</v>
      </c>
      <c r="J3747" t="s" s="2">
        <v>22</v>
      </c>
      <c r="K3747" t="s" s="2">
        <v>7010</v>
      </c>
      <c r="L3747" t="s" s="2">
        <v>2931</v>
      </c>
      <c r="M3747" s="5">
        <v>499507.96</v>
      </c>
      <c r="N3747" s="5">
        <v>6281252.42</v>
      </c>
      <c r="O3747" t="s" s="2">
        <v>305</v>
      </c>
      <c r="P3747" s="5">
        <v>2050245</v>
      </c>
      <c r="Q3747" t="s" s="2">
        <v>6102</v>
      </c>
      <c r="R3747" t="s" s="2">
        <f>_xlfn.IFERROR(INDEX('model_byCAP'!$D$2:$D$377,MATCH(Q3747,'model_byCAP'!$A$2:$A$377,0)),0)</f>
        <v>6103</v>
      </c>
    </row>
    <row r="3748" ht="15.35" customHeight="1">
      <c r="A3748" t="s" s="2">
        <v>7011</v>
      </c>
      <c r="B3748" s="4">
        <v>35170</v>
      </c>
      <c r="C3748" s="5">
        <v>600</v>
      </c>
      <c r="D3748" s="5">
        <v>44</v>
      </c>
      <c r="E3748" s="5">
        <v>45</v>
      </c>
      <c r="F3748" t="s" s="2">
        <v>301</v>
      </c>
      <c r="G3748" t="s" s="2">
        <v>5700</v>
      </c>
      <c r="H3748" s="5">
        <v>779</v>
      </c>
      <c r="I3748" t="s" s="2">
        <v>1308</v>
      </c>
      <c r="J3748" t="s" s="2">
        <v>22</v>
      </c>
      <c r="K3748" t="s" s="2">
        <v>7012</v>
      </c>
      <c r="L3748" t="s" s="2">
        <v>1258</v>
      </c>
      <c r="M3748" s="5">
        <v>486522.18</v>
      </c>
      <c r="N3748" s="5">
        <v>6272980.49</v>
      </c>
      <c r="O3748" t="s" s="2">
        <v>305</v>
      </c>
      <c r="P3748" s="5">
        <v>2050247</v>
      </c>
      <c r="Q3748" t="s" s="2">
        <v>5701</v>
      </c>
      <c r="R3748" t="s" s="2">
        <f>_xlfn.IFERROR(INDEX('model_byCAP'!$D$2:$D$377,MATCH(Q3748,'model_byCAP'!$A$2:$A$377,0)),0)</f>
        <v>5702</v>
      </c>
    </row>
    <row r="3749" ht="15.35" customHeight="1">
      <c r="A3749" t="s" s="2">
        <v>7013</v>
      </c>
      <c r="B3749" s="4">
        <v>35193</v>
      </c>
      <c r="C3749" s="5">
        <v>600</v>
      </c>
      <c r="D3749" s="5">
        <v>42</v>
      </c>
      <c r="E3749" s="5">
        <v>45</v>
      </c>
      <c r="F3749" t="s" s="2">
        <v>301</v>
      </c>
      <c r="G3749" t="s" s="2">
        <v>6100</v>
      </c>
      <c r="H3749" s="5">
        <v>779</v>
      </c>
      <c r="I3749" t="s" s="2">
        <v>1308</v>
      </c>
      <c r="J3749" t="s" s="2">
        <v>22</v>
      </c>
      <c r="K3749" t="s" s="2">
        <v>7014</v>
      </c>
      <c r="L3749" s="5">
        <v>5</v>
      </c>
      <c r="M3749" s="5">
        <v>502984.49</v>
      </c>
      <c r="N3749" s="5">
        <v>6286196.6</v>
      </c>
      <c r="O3749" t="s" s="2">
        <v>305</v>
      </c>
      <c r="P3749" s="5">
        <v>2050248</v>
      </c>
      <c r="Q3749" t="s" s="2">
        <v>6102</v>
      </c>
      <c r="R3749" t="s" s="2">
        <f>_xlfn.IFERROR(INDEX('model_byCAP'!$D$2:$D$377,MATCH(Q3749,'model_byCAP'!$A$2:$A$377,0)),0)</f>
        <v>6103</v>
      </c>
    </row>
    <row r="3750" ht="15.35" customHeight="1">
      <c r="A3750" t="s" s="2">
        <v>7015</v>
      </c>
      <c r="B3750" s="4">
        <v>35229</v>
      </c>
      <c r="C3750" s="5">
        <v>600</v>
      </c>
      <c r="D3750" s="5">
        <v>44</v>
      </c>
      <c r="E3750" s="5">
        <v>45</v>
      </c>
      <c r="F3750" t="s" s="2">
        <v>301</v>
      </c>
      <c r="G3750" t="s" s="2">
        <v>5700</v>
      </c>
      <c r="H3750" s="5">
        <v>779</v>
      </c>
      <c r="I3750" t="s" s="2">
        <v>1308</v>
      </c>
      <c r="J3750" t="s" s="2">
        <v>22</v>
      </c>
      <c r="K3750" t="s" s="2">
        <v>7012</v>
      </c>
      <c r="L3750" t="s" s="2">
        <v>7016</v>
      </c>
      <c r="M3750" s="5">
        <v>486548.31</v>
      </c>
      <c r="N3750" s="5">
        <v>6273203.48</v>
      </c>
      <c r="O3750" t="s" s="2">
        <v>305</v>
      </c>
      <c r="P3750" s="5">
        <v>2050250</v>
      </c>
      <c r="Q3750" t="s" s="2">
        <v>5701</v>
      </c>
      <c r="R3750" t="s" s="2">
        <f>_xlfn.IFERROR(INDEX('model_byCAP'!$D$2:$D$377,MATCH(Q3750,'model_byCAP'!$A$2:$A$377,0)),0)</f>
        <v>5702</v>
      </c>
    </row>
    <row r="3751" ht="15.35" customHeight="1">
      <c r="A3751" t="s" s="2">
        <v>7017</v>
      </c>
      <c r="B3751" s="4">
        <v>35230</v>
      </c>
      <c r="C3751" s="5">
        <v>600</v>
      </c>
      <c r="D3751" s="5">
        <v>42</v>
      </c>
      <c r="E3751" s="5">
        <v>45</v>
      </c>
      <c r="F3751" t="s" s="2">
        <v>301</v>
      </c>
      <c r="G3751" t="s" s="2">
        <v>6100</v>
      </c>
      <c r="H3751" s="5">
        <v>779</v>
      </c>
      <c r="I3751" t="s" s="2">
        <v>1308</v>
      </c>
      <c r="J3751" t="s" s="2">
        <v>22</v>
      </c>
      <c r="K3751" t="s" s="2">
        <v>5766</v>
      </c>
      <c r="L3751" t="s" s="2">
        <v>1258</v>
      </c>
      <c r="M3751" s="5">
        <v>504371.77</v>
      </c>
      <c r="N3751" s="5">
        <v>6278586.42</v>
      </c>
      <c r="O3751" t="s" s="2">
        <v>305</v>
      </c>
      <c r="P3751" s="5">
        <v>2050251</v>
      </c>
      <c r="Q3751" t="s" s="2">
        <v>6102</v>
      </c>
      <c r="R3751" t="s" s="2">
        <f>_xlfn.IFERROR(INDEX('model_byCAP'!$D$2:$D$377,MATCH(Q3751,'model_byCAP'!$A$2:$A$377,0)),0)</f>
        <v>6103</v>
      </c>
    </row>
    <row r="3752" ht="15.35" customHeight="1">
      <c r="A3752" t="s" s="2">
        <v>7018</v>
      </c>
      <c r="B3752" s="4">
        <v>35339</v>
      </c>
      <c r="C3752" s="5">
        <v>600</v>
      </c>
      <c r="D3752" s="5">
        <v>44</v>
      </c>
      <c r="E3752" s="5">
        <v>46</v>
      </c>
      <c r="F3752" t="s" s="2">
        <v>1989</v>
      </c>
      <c r="G3752" t="s" s="2">
        <v>5962</v>
      </c>
      <c r="H3752" s="5">
        <v>779</v>
      </c>
      <c r="I3752" t="s" s="2">
        <v>1308</v>
      </c>
      <c r="J3752" t="s" s="2">
        <v>22</v>
      </c>
      <c r="K3752" t="s" s="2">
        <v>7019</v>
      </c>
      <c r="L3752" t="s" s="2">
        <v>1611</v>
      </c>
      <c r="M3752" s="5">
        <v>494844.58</v>
      </c>
      <c r="N3752" s="5">
        <v>6276905.43</v>
      </c>
      <c r="O3752" t="s" s="2">
        <v>305</v>
      </c>
      <c r="P3752" s="5">
        <v>2050254</v>
      </c>
      <c r="Q3752" t="s" s="2">
        <v>5964</v>
      </c>
      <c r="R3752" t="s" s="2">
        <f>_xlfn.IFERROR(INDEX('model_byCAP'!$D$2:$D$377,MATCH(Q3752,'model_byCAP'!$A$2:$A$377,0)),0)</f>
        <v>5955</v>
      </c>
    </row>
    <row r="3753" ht="15.35" customHeight="1">
      <c r="A3753" t="s" s="2">
        <v>7020</v>
      </c>
      <c r="B3753" s="4">
        <v>35415</v>
      </c>
      <c r="C3753" s="5">
        <v>600</v>
      </c>
      <c r="D3753" s="5">
        <v>42</v>
      </c>
      <c r="E3753" s="5">
        <v>45</v>
      </c>
      <c r="F3753" t="s" s="2">
        <v>4716</v>
      </c>
      <c r="G3753" t="s" s="2">
        <v>7021</v>
      </c>
      <c r="H3753" s="5">
        <v>779</v>
      </c>
      <c r="I3753" t="s" s="2">
        <v>1308</v>
      </c>
      <c r="J3753" t="s" s="2">
        <v>22</v>
      </c>
      <c r="K3753" t="s" s="2">
        <v>7022</v>
      </c>
      <c r="L3753" t="s" s="2">
        <v>997</v>
      </c>
      <c r="M3753" s="5">
        <v>501842.24</v>
      </c>
      <c r="N3753" s="5">
        <v>6282962.67</v>
      </c>
      <c r="O3753" t="s" s="2">
        <v>305</v>
      </c>
      <c r="P3753" s="5">
        <v>2050255</v>
      </c>
      <c r="Q3753" t="s" s="2">
        <v>7023</v>
      </c>
      <c r="R3753" t="s" s="2">
        <f>_xlfn.IFERROR(INDEX('model_byCAP'!$D$2:$D$377,MATCH(Q3753,'model_byCAP'!$A$2:$A$377,0)),0)</f>
        <v>6270</v>
      </c>
    </row>
    <row r="3754" ht="15.35" customHeight="1">
      <c r="A3754" t="s" s="2">
        <v>7024</v>
      </c>
      <c r="B3754" s="4">
        <v>35415</v>
      </c>
      <c r="C3754" s="5">
        <v>600</v>
      </c>
      <c r="D3754" s="5">
        <v>42</v>
      </c>
      <c r="E3754" s="5">
        <v>45</v>
      </c>
      <c r="F3754" t="s" s="2">
        <v>4716</v>
      </c>
      <c r="G3754" t="s" s="2">
        <v>7021</v>
      </c>
      <c r="H3754" s="5">
        <v>779</v>
      </c>
      <c r="I3754" t="s" s="2">
        <v>1308</v>
      </c>
      <c r="J3754" t="s" s="2">
        <v>22</v>
      </c>
      <c r="K3754" t="s" s="2">
        <v>7022</v>
      </c>
      <c r="L3754" t="s" s="2">
        <v>997</v>
      </c>
      <c r="M3754" s="5">
        <v>501992.32</v>
      </c>
      <c r="N3754" s="5">
        <v>6282943.73</v>
      </c>
      <c r="O3754" t="s" s="2">
        <v>305</v>
      </c>
      <c r="P3754" s="5">
        <v>2050256</v>
      </c>
      <c r="Q3754" t="s" s="2">
        <v>7023</v>
      </c>
      <c r="R3754" t="s" s="2">
        <f>_xlfn.IFERROR(INDEX('model_byCAP'!$D$2:$D$377,MATCH(Q3754,'model_byCAP'!$A$2:$A$377,0)),0)</f>
        <v>6270</v>
      </c>
    </row>
    <row r="3755" ht="15.35" customHeight="1">
      <c r="A3755" t="s" s="2">
        <v>7025</v>
      </c>
      <c r="B3755" s="4">
        <v>35389</v>
      </c>
      <c r="C3755" s="5">
        <v>600</v>
      </c>
      <c r="D3755" s="5">
        <v>44</v>
      </c>
      <c r="E3755" s="5">
        <v>42</v>
      </c>
      <c r="F3755" t="s" s="2">
        <v>301</v>
      </c>
      <c r="G3755" t="s" s="2">
        <v>5700</v>
      </c>
      <c r="H3755" s="5">
        <v>779</v>
      </c>
      <c r="I3755" t="s" s="2">
        <v>1308</v>
      </c>
      <c r="J3755" t="s" s="2">
        <v>22</v>
      </c>
      <c r="K3755" t="s" s="2">
        <v>7026</v>
      </c>
      <c r="L3755" t="s" s="2">
        <v>394</v>
      </c>
      <c r="M3755" s="5">
        <v>494643.35</v>
      </c>
      <c r="N3755" s="5">
        <v>6278529.89</v>
      </c>
      <c r="O3755" t="s" s="2">
        <v>305</v>
      </c>
      <c r="P3755" s="5">
        <v>2050257</v>
      </c>
      <c r="Q3755" t="s" s="2">
        <v>5701</v>
      </c>
      <c r="R3755" t="s" s="2">
        <f>_xlfn.IFERROR(INDEX('model_byCAP'!$D$2:$D$377,MATCH(Q3755,'model_byCAP'!$A$2:$A$377,0)),0)</f>
        <v>5702</v>
      </c>
    </row>
    <row r="3756" ht="15.35" customHeight="1">
      <c r="A3756" t="s" s="2">
        <v>7027</v>
      </c>
      <c r="B3756" s="4">
        <v>35383</v>
      </c>
      <c r="C3756" s="5">
        <v>600</v>
      </c>
      <c r="D3756" s="5">
        <v>44</v>
      </c>
      <c r="E3756" s="5">
        <v>40</v>
      </c>
      <c r="F3756" t="s" s="2">
        <v>301</v>
      </c>
      <c r="G3756" t="s" s="2">
        <v>5700</v>
      </c>
      <c r="H3756" s="5">
        <v>779</v>
      </c>
      <c r="I3756" t="s" s="2">
        <v>1308</v>
      </c>
      <c r="J3756" t="s" s="2">
        <v>22</v>
      </c>
      <c r="K3756" t="s" s="2">
        <v>7028</v>
      </c>
      <c r="L3756" t="s" s="2">
        <v>7029</v>
      </c>
      <c r="M3756" s="5">
        <v>507260.2</v>
      </c>
      <c r="N3756" s="5">
        <v>6288023.63</v>
      </c>
      <c r="O3756" t="s" s="2">
        <v>305</v>
      </c>
      <c r="P3756" s="5">
        <v>2050259</v>
      </c>
      <c r="Q3756" t="s" s="2">
        <v>5701</v>
      </c>
      <c r="R3756" t="s" s="2">
        <f>_xlfn.IFERROR(INDEX('model_byCAP'!$D$2:$D$377,MATCH(Q3756,'model_byCAP'!$A$2:$A$377,0)),0)</f>
        <v>5702</v>
      </c>
    </row>
    <row r="3757" ht="15.35" customHeight="1">
      <c r="A3757" t="s" s="2">
        <v>7030</v>
      </c>
      <c r="B3757" s="4">
        <v>35366</v>
      </c>
      <c r="C3757" s="5">
        <v>600</v>
      </c>
      <c r="D3757" s="5">
        <v>44</v>
      </c>
      <c r="E3757" s="5">
        <v>40</v>
      </c>
      <c r="F3757" t="s" s="2">
        <v>301</v>
      </c>
      <c r="G3757" t="s" s="2">
        <v>5700</v>
      </c>
      <c r="H3757" s="5">
        <v>779</v>
      </c>
      <c r="I3757" t="s" s="2">
        <v>1308</v>
      </c>
      <c r="J3757" t="s" s="2">
        <v>22</v>
      </c>
      <c r="K3757" t="s" s="2">
        <v>7028</v>
      </c>
      <c r="L3757" t="s" s="2">
        <v>585</v>
      </c>
      <c r="M3757" s="5">
        <v>507178.59</v>
      </c>
      <c r="N3757" s="5">
        <v>6288078.17</v>
      </c>
      <c r="O3757" t="s" s="2">
        <v>305</v>
      </c>
      <c r="P3757" s="5">
        <v>2050260</v>
      </c>
      <c r="Q3757" t="s" s="2">
        <v>5701</v>
      </c>
      <c r="R3757" t="s" s="2">
        <f>_xlfn.IFERROR(INDEX('model_byCAP'!$D$2:$D$377,MATCH(Q3757,'model_byCAP'!$A$2:$A$377,0)),0)</f>
        <v>5702</v>
      </c>
    </row>
    <row r="3758" ht="15.35" customHeight="1">
      <c r="A3758" t="s" s="2">
        <v>7031</v>
      </c>
      <c r="B3758" s="4">
        <v>35368</v>
      </c>
      <c r="C3758" s="5">
        <v>600</v>
      </c>
      <c r="D3758" s="5">
        <v>44</v>
      </c>
      <c r="E3758" s="5">
        <v>40.5</v>
      </c>
      <c r="F3758" t="s" s="2">
        <v>301</v>
      </c>
      <c r="G3758" t="s" s="2">
        <v>6100</v>
      </c>
      <c r="H3758" s="5">
        <v>779</v>
      </c>
      <c r="I3758" t="s" s="2">
        <v>1308</v>
      </c>
      <c r="J3758" t="s" s="2">
        <v>22</v>
      </c>
      <c r="K3758" t="s" s="2">
        <v>7032</v>
      </c>
      <c r="L3758" t="s" s="2">
        <v>518</v>
      </c>
      <c r="M3758" s="5">
        <v>503757.31</v>
      </c>
      <c r="N3758" s="5">
        <v>6285194.1</v>
      </c>
      <c r="O3758" t="s" s="2">
        <v>305</v>
      </c>
      <c r="P3758" s="5">
        <v>2050261</v>
      </c>
      <c r="Q3758" t="s" s="2">
        <v>6102</v>
      </c>
      <c r="R3758" t="s" s="2">
        <f>_xlfn.IFERROR(INDEX('model_byCAP'!$D$2:$D$377,MATCH(Q3758,'model_byCAP'!$A$2:$A$377,0)),0)</f>
        <v>6103</v>
      </c>
    </row>
    <row r="3759" ht="15.35" customHeight="1">
      <c r="A3759" t="s" s="2">
        <v>7033</v>
      </c>
      <c r="B3759" s="4">
        <v>35404</v>
      </c>
      <c r="C3759" s="5">
        <v>600</v>
      </c>
      <c r="D3759" s="5">
        <v>44</v>
      </c>
      <c r="E3759" s="5">
        <v>45</v>
      </c>
      <c r="F3759" t="s" s="2">
        <v>301</v>
      </c>
      <c r="G3759" t="s" s="2">
        <v>6460</v>
      </c>
      <c r="H3759" s="5">
        <v>779</v>
      </c>
      <c r="I3759" t="s" s="2">
        <v>1308</v>
      </c>
      <c r="J3759" t="s" s="2">
        <v>22</v>
      </c>
      <c r="K3759" t="s" s="2">
        <v>7014</v>
      </c>
      <c r="L3759" t="s" s="2">
        <v>2348</v>
      </c>
      <c r="M3759" s="5">
        <v>502265.67</v>
      </c>
      <c r="N3759" s="5">
        <v>6286266.83</v>
      </c>
      <c r="O3759" t="s" s="2">
        <v>305</v>
      </c>
      <c r="P3759" s="5">
        <v>2050265</v>
      </c>
      <c r="Q3759" t="s" s="2">
        <v>6461</v>
      </c>
      <c r="R3759" t="s" s="2">
        <f>_xlfn.IFERROR(INDEX('model_byCAP'!$D$2:$D$377,MATCH(Q3759,'model_byCAP'!$A$2:$A$377,0)),0)</f>
        <v>6103</v>
      </c>
    </row>
    <row r="3760" ht="15.35" customHeight="1">
      <c r="A3760" t="s" s="2">
        <v>7034</v>
      </c>
      <c r="B3760" s="4">
        <v>35389</v>
      </c>
      <c r="C3760" s="5">
        <v>600</v>
      </c>
      <c r="D3760" s="5">
        <v>44</v>
      </c>
      <c r="E3760" s="5">
        <v>42</v>
      </c>
      <c r="F3760" t="s" s="2">
        <v>301</v>
      </c>
      <c r="G3760" t="s" s="2">
        <v>5700</v>
      </c>
      <c r="H3760" s="5">
        <v>779</v>
      </c>
      <c r="I3760" t="s" s="2">
        <v>1308</v>
      </c>
      <c r="J3760" t="s" s="2">
        <v>22</v>
      </c>
      <c r="K3760" t="s" s="2">
        <v>7019</v>
      </c>
      <c r="L3760" t="s" s="2">
        <v>582</v>
      </c>
      <c r="M3760" s="5">
        <v>494674.83</v>
      </c>
      <c r="N3760" s="5">
        <v>6277992.47</v>
      </c>
      <c r="O3760" t="s" s="2">
        <v>305</v>
      </c>
      <c r="P3760" s="5">
        <v>2050266</v>
      </c>
      <c r="Q3760" t="s" s="2">
        <v>5701</v>
      </c>
      <c r="R3760" t="s" s="2">
        <f>_xlfn.IFERROR(INDEX('model_byCAP'!$D$2:$D$377,MATCH(Q3760,'model_byCAP'!$A$2:$A$377,0)),0)</f>
        <v>5702</v>
      </c>
    </row>
    <row r="3761" ht="15.35" customHeight="1">
      <c r="A3761" t="s" s="2">
        <v>7035</v>
      </c>
      <c r="B3761" s="4">
        <v>35415</v>
      </c>
      <c r="C3761" s="5">
        <v>600</v>
      </c>
      <c r="D3761" s="5">
        <v>43</v>
      </c>
      <c r="E3761" s="5">
        <v>47.5</v>
      </c>
      <c r="F3761" t="s" s="2">
        <v>2328</v>
      </c>
      <c r="G3761" t="s" s="2">
        <v>6433</v>
      </c>
      <c r="H3761" s="5">
        <v>779</v>
      </c>
      <c r="I3761" t="s" s="2">
        <v>1308</v>
      </c>
      <c r="J3761" t="s" s="2">
        <v>22</v>
      </c>
      <c r="K3761" t="s" s="2">
        <v>7032</v>
      </c>
      <c r="L3761" t="s" s="2">
        <v>2296</v>
      </c>
      <c r="M3761" s="5">
        <v>502871.87</v>
      </c>
      <c r="N3761" s="5">
        <v>6284403.51</v>
      </c>
      <c r="O3761" t="s" s="2">
        <v>305</v>
      </c>
      <c r="P3761" s="5">
        <v>2050267</v>
      </c>
      <c r="Q3761" t="s" s="2">
        <v>6435</v>
      </c>
      <c r="R3761" t="s" s="2">
        <f>_xlfn.IFERROR(INDEX('model_byCAP'!$D$2:$D$377,MATCH(Q3761,'model_byCAP'!$A$2:$A$377,0)),0)</f>
        <v>6352</v>
      </c>
    </row>
    <row r="3762" ht="15.35" customHeight="1">
      <c r="A3762" t="s" s="2">
        <v>7036</v>
      </c>
      <c r="B3762" s="4">
        <v>35417</v>
      </c>
      <c r="C3762" s="5">
        <v>600</v>
      </c>
      <c r="D3762" s="5">
        <v>44</v>
      </c>
      <c r="E3762" s="5">
        <v>45</v>
      </c>
      <c r="F3762" t="s" s="2">
        <v>301</v>
      </c>
      <c r="G3762" t="s" s="2">
        <v>5700</v>
      </c>
      <c r="H3762" s="5">
        <v>779</v>
      </c>
      <c r="I3762" t="s" s="2">
        <v>1308</v>
      </c>
      <c r="J3762" t="s" s="2">
        <v>22</v>
      </c>
      <c r="K3762" t="s" s="2">
        <v>7014</v>
      </c>
      <c r="L3762" t="s" s="2">
        <v>394</v>
      </c>
      <c r="M3762" s="5">
        <v>502224.78</v>
      </c>
      <c r="N3762" s="5">
        <v>6285276.42</v>
      </c>
      <c r="O3762" t="s" s="2">
        <v>305</v>
      </c>
      <c r="P3762" s="5">
        <v>2050268</v>
      </c>
      <c r="Q3762" t="s" s="2">
        <v>5701</v>
      </c>
      <c r="R3762" t="s" s="2">
        <f>_xlfn.IFERROR(INDEX('model_byCAP'!$D$2:$D$377,MATCH(Q3762,'model_byCAP'!$A$2:$A$377,0)),0)</f>
        <v>5702</v>
      </c>
    </row>
    <row r="3763" ht="15.35" customHeight="1">
      <c r="A3763" t="s" s="2">
        <v>7037</v>
      </c>
      <c r="B3763" s="4">
        <v>35415</v>
      </c>
      <c r="C3763" s="5">
        <v>600</v>
      </c>
      <c r="D3763" s="5">
        <v>44</v>
      </c>
      <c r="E3763" s="5">
        <v>42</v>
      </c>
      <c r="F3763" t="s" s="2">
        <v>301</v>
      </c>
      <c r="G3763" t="s" s="2">
        <v>5700</v>
      </c>
      <c r="H3763" s="5">
        <v>779</v>
      </c>
      <c r="I3763" t="s" s="2">
        <v>1308</v>
      </c>
      <c r="J3763" t="s" s="2">
        <v>22</v>
      </c>
      <c r="K3763" t="s" s="2">
        <v>7038</v>
      </c>
      <c r="L3763" t="s" s="2">
        <v>4147</v>
      </c>
      <c r="M3763" s="5">
        <v>502509.99</v>
      </c>
      <c r="N3763" s="5">
        <v>6285205.1</v>
      </c>
      <c r="O3763" t="s" s="2">
        <v>305</v>
      </c>
      <c r="P3763" s="5">
        <v>2050270</v>
      </c>
      <c r="Q3763" t="s" s="2">
        <v>5701</v>
      </c>
      <c r="R3763" t="s" s="2">
        <f>_xlfn.IFERROR(INDEX('model_byCAP'!$D$2:$D$377,MATCH(Q3763,'model_byCAP'!$A$2:$A$377,0)),0)</f>
        <v>5702</v>
      </c>
    </row>
    <row r="3764" ht="15.35" customHeight="1">
      <c r="A3764" t="s" s="2">
        <v>7039</v>
      </c>
      <c r="B3764" s="4">
        <v>35389</v>
      </c>
      <c r="C3764" s="5">
        <v>600</v>
      </c>
      <c r="D3764" s="5">
        <v>44</v>
      </c>
      <c r="E3764" s="5">
        <v>42</v>
      </c>
      <c r="F3764" t="s" s="2">
        <v>301</v>
      </c>
      <c r="G3764" t="s" s="2">
        <v>5700</v>
      </c>
      <c r="H3764" s="5">
        <v>779</v>
      </c>
      <c r="I3764" t="s" s="2">
        <v>1308</v>
      </c>
      <c r="J3764" t="s" s="2">
        <v>22</v>
      </c>
      <c r="K3764" t="s" s="2">
        <v>7019</v>
      </c>
      <c r="L3764" t="s" s="2">
        <v>582</v>
      </c>
      <c r="M3764" s="5">
        <v>494664.6</v>
      </c>
      <c r="N3764" s="5">
        <v>6278171.87</v>
      </c>
      <c r="O3764" t="s" s="2">
        <v>305</v>
      </c>
      <c r="P3764" s="5">
        <v>2050271</v>
      </c>
      <c r="Q3764" t="s" s="2">
        <v>5701</v>
      </c>
      <c r="R3764" t="s" s="2">
        <f>_xlfn.IFERROR(INDEX('model_byCAP'!$D$2:$D$377,MATCH(Q3764,'model_byCAP'!$A$2:$A$377,0)),0)</f>
        <v>5702</v>
      </c>
    </row>
    <row r="3765" ht="15.35" customHeight="1">
      <c r="A3765" t="s" s="2">
        <v>7040</v>
      </c>
      <c r="B3765" s="4">
        <v>35389</v>
      </c>
      <c r="C3765" s="5">
        <v>600</v>
      </c>
      <c r="D3765" s="5">
        <v>44</v>
      </c>
      <c r="E3765" s="5">
        <v>42</v>
      </c>
      <c r="F3765" t="s" s="2">
        <v>301</v>
      </c>
      <c r="G3765" t="s" s="2">
        <v>5700</v>
      </c>
      <c r="H3765" s="5">
        <v>779</v>
      </c>
      <c r="I3765" t="s" s="2">
        <v>1308</v>
      </c>
      <c r="J3765" t="s" s="2">
        <v>22</v>
      </c>
      <c r="K3765" t="s" s="2">
        <v>7019</v>
      </c>
      <c r="L3765" t="s" s="2">
        <v>582</v>
      </c>
      <c r="M3765" s="5">
        <v>494653.84</v>
      </c>
      <c r="N3765" s="5">
        <v>6278350.9</v>
      </c>
      <c r="O3765" t="s" s="2">
        <v>305</v>
      </c>
      <c r="P3765" s="5">
        <v>2050272</v>
      </c>
      <c r="Q3765" t="s" s="2">
        <v>5701</v>
      </c>
      <c r="R3765" t="s" s="2">
        <f>_xlfn.IFERROR(INDEX('model_byCAP'!$D$2:$D$377,MATCH(Q3765,'model_byCAP'!$A$2:$A$377,0)),0)</f>
        <v>5702</v>
      </c>
    </row>
    <row r="3766" ht="15.35" customHeight="1">
      <c r="A3766" t="s" s="2">
        <v>7041</v>
      </c>
      <c r="B3766" s="4">
        <v>35417</v>
      </c>
      <c r="C3766" s="5">
        <v>600</v>
      </c>
      <c r="D3766" s="5">
        <v>44</v>
      </c>
      <c r="E3766" s="5">
        <v>42</v>
      </c>
      <c r="F3766" t="s" s="2">
        <v>301</v>
      </c>
      <c r="G3766" t="s" s="2">
        <v>5700</v>
      </c>
      <c r="H3766" s="5">
        <v>779</v>
      </c>
      <c r="I3766" t="s" s="2">
        <v>1308</v>
      </c>
      <c r="J3766" t="s" s="2">
        <v>22</v>
      </c>
      <c r="K3766" t="s" s="2">
        <v>7014</v>
      </c>
      <c r="L3766" t="s" s="2">
        <v>7042</v>
      </c>
      <c r="M3766" s="5">
        <v>502283.08</v>
      </c>
      <c r="N3766" s="5">
        <v>6285058.23</v>
      </c>
      <c r="O3766" t="s" s="2">
        <v>305</v>
      </c>
      <c r="P3766" s="5">
        <v>2050273</v>
      </c>
      <c r="Q3766" t="s" s="2">
        <v>5701</v>
      </c>
      <c r="R3766" t="s" s="2">
        <f>_xlfn.IFERROR(INDEX('model_byCAP'!$D$2:$D$377,MATCH(Q3766,'model_byCAP'!$A$2:$A$377,0)),0)</f>
        <v>5702</v>
      </c>
    </row>
    <row r="3767" ht="15.35" customHeight="1">
      <c r="A3767" t="s" s="2">
        <v>7043</v>
      </c>
      <c r="B3767" s="4">
        <v>35501</v>
      </c>
      <c r="C3767" s="5">
        <v>600</v>
      </c>
      <c r="D3767" s="5">
        <v>44</v>
      </c>
      <c r="E3767" s="5">
        <v>42</v>
      </c>
      <c r="F3767" t="s" s="2">
        <v>1746</v>
      </c>
      <c r="G3767" t="s" s="2">
        <v>6937</v>
      </c>
      <c r="H3767" s="5">
        <v>779</v>
      </c>
      <c r="I3767" t="s" s="2">
        <v>1308</v>
      </c>
      <c r="J3767" t="s" s="2">
        <v>22</v>
      </c>
      <c r="K3767" t="s" s="2">
        <v>7014</v>
      </c>
      <c r="L3767" t="s" s="2">
        <v>492</v>
      </c>
      <c r="M3767" s="5">
        <v>502577.27</v>
      </c>
      <c r="N3767" s="5">
        <v>6284987.12</v>
      </c>
      <c r="O3767" t="s" s="2">
        <v>305</v>
      </c>
      <c r="P3767" s="5">
        <v>2050278</v>
      </c>
      <c r="Q3767" t="s" s="2">
        <v>6938</v>
      </c>
      <c r="R3767" t="s" s="2">
        <f>_xlfn.IFERROR(INDEX('model_byCAP'!$D$2:$D$377,MATCH(Q3767,'model_byCAP'!$A$2:$A$377,0)),0)</f>
        <v>4042</v>
      </c>
    </row>
    <row r="3768" ht="15.35" customHeight="1">
      <c r="A3768" t="s" s="2">
        <v>7044</v>
      </c>
      <c r="B3768" s="4">
        <v>35738</v>
      </c>
      <c r="C3768" s="5">
        <v>600</v>
      </c>
      <c r="D3768" s="5">
        <v>44</v>
      </c>
      <c r="E3768" s="5">
        <v>42</v>
      </c>
      <c r="F3768" t="s" s="2">
        <v>301</v>
      </c>
      <c r="G3768" t="s" s="2">
        <v>5700</v>
      </c>
      <c r="H3768" s="5">
        <v>779</v>
      </c>
      <c r="I3768" t="s" s="2">
        <v>1308</v>
      </c>
      <c r="J3768" t="s" s="2">
        <v>22</v>
      </c>
      <c r="K3768" t="s" s="2">
        <v>7045</v>
      </c>
      <c r="L3768" t="s" s="2">
        <v>1258</v>
      </c>
      <c r="M3768" s="5">
        <v>493901.24</v>
      </c>
      <c r="N3768" s="5">
        <v>6274515.71</v>
      </c>
      <c r="O3768" t="s" s="2">
        <v>305</v>
      </c>
      <c r="P3768" s="5">
        <v>2050285</v>
      </c>
      <c r="Q3768" t="s" s="2">
        <v>5701</v>
      </c>
      <c r="R3768" t="s" s="2">
        <f>_xlfn.IFERROR(INDEX('model_byCAP'!$D$2:$D$377,MATCH(Q3768,'model_byCAP'!$A$2:$A$377,0)),0)</f>
        <v>5702</v>
      </c>
    </row>
    <row r="3769" ht="15.35" customHeight="1">
      <c r="A3769" t="s" s="2">
        <v>7046</v>
      </c>
      <c r="B3769" s="4">
        <v>35832</v>
      </c>
      <c r="C3769" s="5">
        <v>600</v>
      </c>
      <c r="D3769" s="5">
        <v>44</v>
      </c>
      <c r="E3769" s="5">
        <v>46</v>
      </c>
      <c r="F3769" t="s" s="2">
        <v>1989</v>
      </c>
      <c r="G3769" t="s" s="2">
        <v>6085</v>
      </c>
      <c r="H3769" s="5">
        <v>779</v>
      </c>
      <c r="I3769" t="s" s="2">
        <v>1308</v>
      </c>
      <c r="J3769" t="s" s="2">
        <v>22</v>
      </c>
      <c r="K3769" t="s" s="2">
        <v>7026</v>
      </c>
      <c r="L3769" t="s" s="2">
        <v>394</v>
      </c>
      <c r="M3769" s="5">
        <v>494632.76</v>
      </c>
      <c r="N3769" s="5">
        <v>6278709.46</v>
      </c>
      <c r="O3769" t="s" s="2">
        <v>305</v>
      </c>
      <c r="P3769" s="5">
        <v>2050287</v>
      </c>
      <c r="Q3769" t="s" s="2">
        <v>6087</v>
      </c>
      <c r="R3769" t="s" s="2">
        <f>_xlfn.IFERROR(INDEX('model_byCAP'!$D$2:$D$377,MATCH(Q3769,'model_byCAP'!$A$2:$A$377,0)),0)</f>
        <v>5955</v>
      </c>
    </row>
    <row r="3770" ht="15.35" customHeight="1">
      <c r="A3770" t="s" s="2">
        <v>7047</v>
      </c>
      <c r="B3770" s="4">
        <v>35832</v>
      </c>
      <c r="C3770" s="5">
        <v>600</v>
      </c>
      <c r="D3770" s="5">
        <v>44</v>
      </c>
      <c r="E3770" s="5">
        <v>46</v>
      </c>
      <c r="F3770" t="s" s="2">
        <v>1989</v>
      </c>
      <c r="G3770" t="s" s="2">
        <v>6085</v>
      </c>
      <c r="H3770" s="5">
        <v>779</v>
      </c>
      <c r="I3770" t="s" s="2">
        <v>1308</v>
      </c>
      <c r="J3770" t="s" s="2">
        <v>22</v>
      </c>
      <c r="K3770" t="s" s="2">
        <v>7026</v>
      </c>
      <c r="L3770" t="s" s="2">
        <v>394</v>
      </c>
      <c r="M3770" s="5">
        <v>494622.85</v>
      </c>
      <c r="N3770" s="5">
        <v>6278888.82</v>
      </c>
      <c r="O3770" t="s" s="2">
        <v>305</v>
      </c>
      <c r="P3770" s="5">
        <v>2050287</v>
      </c>
      <c r="Q3770" t="s" s="2">
        <v>6087</v>
      </c>
      <c r="R3770" t="s" s="2">
        <f>_xlfn.IFERROR(INDEX('model_byCAP'!$D$2:$D$377,MATCH(Q3770,'model_byCAP'!$A$2:$A$377,0)),0)</f>
        <v>5955</v>
      </c>
    </row>
    <row r="3771" ht="15.35" customHeight="1">
      <c r="A3771" t="s" s="2">
        <v>7048</v>
      </c>
      <c r="B3771" s="4">
        <v>36329</v>
      </c>
      <c r="C3771" s="5">
        <v>600</v>
      </c>
      <c r="D3771" s="5">
        <v>44</v>
      </c>
      <c r="E3771" s="5">
        <v>42</v>
      </c>
      <c r="F3771" t="s" s="2">
        <v>301</v>
      </c>
      <c r="G3771" t="s" s="2">
        <v>5700</v>
      </c>
      <c r="H3771" s="5">
        <v>779</v>
      </c>
      <c r="I3771" t="s" s="2">
        <v>1308</v>
      </c>
      <c r="J3771" t="s" s="2">
        <v>22</v>
      </c>
      <c r="K3771" t="s" s="2">
        <v>7014</v>
      </c>
      <c r="L3771" t="s" s="2">
        <v>2926</v>
      </c>
      <c r="M3771" s="5">
        <v>502167.18</v>
      </c>
      <c r="N3771" s="5">
        <v>6285492.98</v>
      </c>
      <c r="O3771" t="s" s="2">
        <v>305</v>
      </c>
      <c r="P3771" s="5">
        <v>2050304</v>
      </c>
      <c r="Q3771" t="s" s="2">
        <v>5701</v>
      </c>
      <c r="R3771" t="s" s="2">
        <f>_xlfn.IFERROR(INDEX('model_byCAP'!$D$2:$D$377,MATCH(Q3771,'model_byCAP'!$A$2:$A$377,0)),0)</f>
        <v>5702</v>
      </c>
    </row>
    <row r="3772" ht="15.35" customHeight="1">
      <c r="A3772" t="s" s="2">
        <v>7049</v>
      </c>
      <c r="B3772" s="4">
        <v>36441</v>
      </c>
      <c r="C3772" s="5">
        <v>600</v>
      </c>
      <c r="D3772" s="5">
        <v>44</v>
      </c>
      <c r="E3772" s="5">
        <v>45</v>
      </c>
      <c r="F3772" t="s" s="2">
        <v>301</v>
      </c>
      <c r="G3772" t="s" s="2">
        <v>6460</v>
      </c>
      <c r="H3772" s="5">
        <v>779</v>
      </c>
      <c r="I3772" t="s" s="2">
        <v>1308</v>
      </c>
      <c r="J3772" t="s" s="2">
        <v>22</v>
      </c>
      <c r="K3772" t="s" s="2">
        <v>7014</v>
      </c>
      <c r="L3772" t="s" s="2">
        <v>481</v>
      </c>
      <c r="M3772" s="5">
        <v>502624.57</v>
      </c>
      <c r="N3772" s="5">
        <v>6286231.05</v>
      </c>
      <c r="O3772" t="s" s="2">
        <v>305</v>
      </c>
      <c r="P3772" s="5">
        <v>2050314</v>
      </c>
      <c r="Q3772" t="s" s="2">
        <v>6461</v>
      </c>
      <c r="R3772" t="s" s="2">
        <f>_xlfn.IFERROR(INDEX('model_byCAP'!$D$2:$D$377,MATCH(Q3772,'model_byCAP'!$A$2:$A$377,0)),0)</f>
        <v>6103</v>
      </c>
    </row>
    <row r="3773" ht="15.35" customHeight="1">
      <c r="A3773" t="s" s="2">
        <v>7050</v>
      </c>
      <c r="B3773" s="4">
        <v>36568</v>
      </c>
      <c r="C3773" s="5">
        <v>600</v>
      </c>
      <c r="D3773" s="5">
        <v>43</v>
      </c>
      <c r="E3773" s="5">
        <v>45</v>
      </c>
      <c r="F3773" t="s" s="2">
        <v>2328</v>
      </c>
      <c r="G3773" t="s" s="2">
        <v>6433</v>
      </c>
      <c r="H3773" s="5">
        <v>779</v>
      </c>
      <c r="I3773" t="s" s="2">
        <v>1308</v>
      </c>
      <c r="J3773" t="s" s="2">
        <v>22</v>
      </c>
      <c r="K3773" t="s" s="2">
        <v>7051</v>
      </c>
      <c r="L3773" t="s" s="2">
        <v>551</v>
      </c>
      <c r="M3773" s="5">
        <v>504377.59</v>
      </c>
      <c r="N3773" s="5">
        <v>6279065.92</v>
      </c>
      <c r="O3773" t="s" s="2">
        <v>305</v>
      </c>
      <c r="P3773" s="5">
        <v>2050317</v>
      </c>
      <c r="Q3773" t="s" s="2">
        <v>6435</v>
      </c>
      <c r="R3773" t="s" s="2">
        <f>_xlfn.IFERROR(INDEX('model_byCAP'!$D$2:$D$377,MATCH(Q3773,'model_byCAP'!$A$2:$A$377,0)),0)</f>
        <v>6352</v>
      </c>
    </row>
    <row r="3774" ht="15.35" customHeight="1">
      <c r="A3774" t="s" s="2">
        <v>7052</v>
      </c>
      <c r="B3774" s="4">
        <v>36568</v>
      </c>
      <c r="C3774" s="5">
        <v>600</v>
      </c>
      <c r="D3774" s="5">
        <v>43</v>
      </c>
      <c r="E3774" s="5">
        <v>45</v>
      </c>
      <c r="F3774" t="s" s="2">
        <v>2328</v>
      </c>
      <c r="G3774" t="s" s="2">
        <v>6433</v>
      </c>
      <c r="H3774" s="5">
        <v>779</v>
      </c>
      <c r="I3774" t="s" s="2">
        <v>1308</v>
      </c>
      <c r="J3774" t="s" s="2">
        <v>22</v>
      </c>
      <c r="K3774" t="s" s="2">
        <v>7051</v>
      </c>
      <c r="L3774" t="s" s="2">
        <v>551</v>
      </c>
      <c r="M3774" s="5">
        <v>504379.44</v>
      </c>
      <c r="N3774" s="5">
        <v>6279226.02</v>
      </c>
      <c r="O3774" t="s" s="2">
        <v>305</v>
      </c>
      <c r="P3774" s="5">
        <v>2050318</v>
      </c>
      <c r="Q3774" t="s" s="2">
        <v>6435</v>
      </c>
      <c r="R3774" t="s" s="2">
        <f>_xlfn.IFERROR(INDEX('model_byCAP'!$D$2:$D$377,MATCH(Q3774,'model_byCAP'!$A$2:$A$377,0)),0)</f>
        <v>6352</v>
      </c>
    </row>
    <row r="3775" ht="15.35" customHeight="1">
      <c r="A3775" t="s" s="2">
        <v>7053</v>
      </c>
      <c r="B3775" s="4">
        <v>36586</v>
      </c>
      <c r="C3775" s="5">
        <v>600</v>
      </c>
      <c r="D3775" s="5">
        <v>44</v>
      </c>
      <c r="E3775" s="5">
        <v>45</v>
      </c>
      <c r="F3775" t="s" s="2">
        <v>301</v>
      </c>
      <c r="G3775" t="s" s="2">
        <v>5700</v>
      </c>
      <c r="H3775" s="5">
        <v>779</v>
      </c>
      <c r="I3775" t="s" s="2">
        <v>1308</v>
      </c>
      <c r="J3775" t="s" s="2">
        <v>22</v>
      </c>
      <c r="K3775" t="s" s="2">
        <v>7014</v>
      </c>
      <c r="L3775" t="s" s="2">
        <v>1611</v>
      </c>
      <c r="M3775" s="5">
        <v>503342.85</v>
      </c>
      <c r="N3775" s="5">
        <v>6286161.92</v>
      </c>
      <c r="O3775" t="s" s="2">
        <v>305</v>
      </c>
      <c r="P3775" s="5">
        <v>2050319</v>
      </c>
      <c r="Q3775" t="s" s="2">
        <v>5701</v>
      </c>
      <c r="R3775" t="s" s="2">
        <f>_xlfn.IFERROR(INDEX('model_byCAP'!$D$2:$D$377,MATCH(Q3775,'model_byCAP'!$A$2:$A$377,0)),0)</f>
        <v>5702</v>
      </c>
    </row>
    <row r="3776" ht="15.35" customHeight="1">
      <c r="A3776" t="s" s="2">
        <v>7054</v>
      </c>
      <c r="B3776" s="4">
        <v>35257</v>
      </c>
      <c r="C3776" s="5">
        <v>600</v>
      </c>
      <c r="D3776" s="5">
        <v>44</v>
      </c>
      <c r="E3776" s="5">
        <v>50</v>
      </c>
      <c r="F3776" t="s" s="2">
        <v>1989</v>
      </c>
      <c r="G3776" t="s" s="2">
        <v>5962</v>
      </c>
      <c r="H3776" s="5">
        <v>101</v>
      </c>
      <c r="I3776" t="s" s="2">
        <v>2774</v>
      </c>
      <c r="J3776" t="s" s="2">
        <v>22</v>
      </c>
      <c r="K3776" t="s" s="2">
        <v>1992</v>
      </c>
      <c r="L3776" s="5">
        <v>0</v>
      </c>
      <c r="M3776" s="5">
        <v>727500.47</v>
      </c>
      <c r="N3776" s="5">
        <v>6178386.16</v>
      </c>
      <c r="O3776" t="s" s="2">
        <v>305</v>
      </c>
      <c r="P3776" t="s" s="2">
        <v>7055</v>
      </c>
      <c r="Q3776" t="s" s="2">
        <v>5964</v>
      </c>
      <c r="R3776" t="s" s="2">
        <f>_xlfn.IFERROR(INDEX('model_byCAP'!$D$2:$D$377,MATCH(Q3776,'model_byCAP'!$A$2:$A$377,0)),0)</f>
        <v>5955</v>
      </c>
    </row>
    <row r="3777" ht="15.35" customHeight="1">
      <c r="A3777" t="s" s="2">
        <v>7056</v>
      </c>
      <c r="B3777" s="4">
        <v>35257</v>
      </c>
      <c r="C3777" s="5">
        <v>600</v>
      </c>
      <c r="D3777" s="5">
        <v>44</v>
      </c>
      <c r="E3777" s="5">
        <v>50</v>
      </c>
      <c r="F3777" t="s" s="2">
        <v>1989</v>
      </c>
      <c r="G3777" t="s" s="2">
        <v>5962</v>
      </c>
      <c r="H3777" s="5">
        <v>101</v>
      </c>
      <c r="I3777" t="s" s="2">
        <v>2774</v>
      </c>
      <c r="J3777" t="s" s="2">
        <v>22</v>
      </c>
      <c r="K3777" t="s" s="2">
        <v>1992</v>
      </c>
      <c r="L3777" s="5">
        <v>0</v>
      </c>
      <c r="M3777" s="5">
        <v>727624.4</v>
      </c>
      <c r="N3777" s="5">
        <v>6178376.9</v>
      </c>
      <c r="O3777" t="s" s="2">
        <v>305</v>
      </c>
      <c r="P3777" t="s" s="2">
        <v>7057</v>
      </c>
      <c r="Q3777" t="s" s="2">
        <v>5964</v>
      </c>
      <c r="R3777" t="s" s="2">
        <f>_xlfn.IFERROR(INDEX('model_byCAP'!$D$2:$D$377,MATCH(Q3777,'model_byCAP'!$A$2:$A$377,0)),0)</f>
        <v>5955</v>
      </c>
    </row>
    <row r="3778" ht="15.35" customHeight="1">
      <c r="A3778" t="s" s="2">
        <v>7058</v>
      </c>
      <c r="B3778" s="4">
        <v>35257</v>
      </c>
      <c r="C3778" s="5">
        <v>600</v>
      </c>
      <c r="D3778" s="5">
        <v>44</v>
      </c>
      <c r="E3778" s="5">
        <v>50</v>
      </c>
      <c r="F3778" t="s" s="2">
        <v>1989</v>
      </c>
      <c r="G3778" t="s" s="2">
        <v>5962</v>
      </c>
      <c r="H3778" s="5">
        <v>101</v>
      </c>
      <c r="I3778" t="s" s="2">
        <v>2774</v>
      </c>
      <c r="J3778" t="s" s="2">
        <v>22</v>
      </c>
      <c r="K3778" t="s" s="2">
        <v>1992</v>
      </c>
      <c r="L3778" s="5">
        <v>0</v>
      </c>
      <c r="M3778" s="5">
        <v>727814.54</v>
      </c>
      <c r="N3778" s="5">
        <v>6178369.91</v>
      </c>
      <c r="O3778" t="s" s="2">
        <v>305</v>
      </c>
      <c r="P3778" t="s" s="2">
        <v>7059</v>
      </c>
      <c r="Q3778" t="s" s="2">
        <v>5964</v>
      </c>
      <c r="R3778" t="s" s="2">
        <f>_xlfn.IFERROR(INDEX('model_byCAP'!$D$2:$D$377,MATCH(Q3778,'model_byCAP'!$A$2:$A$377,0)),0)</f>
        <v>5955</v>
      </c>
    </row>
    <row r="3779" ht="15.35" customHeight="1">
      <c r="A3779" t="s" s="2">
        <v>7060</v>
      </c>
      <c r="B3779" s="4">
        <v>35288</v>
      </c>
      <c r="C3779" s="5">
        <v>600</v>
      </c>
      <c r="D3779" s="5">
        <v>44</v>
      </c>
      <c r="E3779" s="5">
        <v>50</v>
      </c>
      <c r="F3779" t="s" s="2">
        <v>1989</v>
      </c>
      <c r="G3779" t="s" s="2">
        <v>5962</v>
      </c>
      <c r="H3779" s="5">
        <v>101</v>
      </c>
      <c r="I3779" t="s" s="2">
        <v>2774</v>
      </c>
      <c r="J3779" t="s" s="2">
        <v>22</v>
      </c>
      <c r="K3779" t="s" s="2">
        <v>1992</v>
      </c>
      <c r="L3779" s="5">
        <v>0</v>
      </c>
      <c r="M3779" s="5">
        <v>727938.8</v>
      </c>
      <c r="N3779" s="5">
        <v>6178361.63</v>
      </c>
      <c r="O3779" t="s" s="2">
        <v>305</v>
      </c>
      <c r="P3779" t="s" s="2">
        <v>7061</v>
      </c>
      <c r="Q3779" t="s" s="2">
        <v>5964</v>
      </c>
      <c r="R3779" t="s" s="2">
        <f>_xlfn.IFERROR(INDEX('model_byCAP'!$D$2:$D$377,MATCH(Q3779,'model_byCAP'!$A$2:$A$377,0)),0)</f>
        <v>5955</v>
      </c>
    </row>
    <row r="3780" ht="15.35" customHeight="1">
      <c r="A3780" t="s" s="2">
        <v>7062</v>
      </c>
      <c r="B3780" s="4">
        <v>35288</v>
      </c>
      <c r="C3780" s="5">
        <v>600</v>
      </c>
      <c r="D3780" s="5">
        <v>44</v>
      </c>
      <c r="E3780" s="5">
        <v>50</v>
      </c>
      <c r="F3780" t="s" s="2">
        <v>1989</v>
      </c>
      <c r="G3780" t="s" s="2">
        <v>5962</v>
      </c>
      <c r="H3780" s="5">
        <v>101</v>
      </c>
      <c r="I3780" t="s" s="2">
        <v>2774</v>
      </c>
      <c r="J3780" t="s" s="2">
        <v>22</v>
      </c>
      <c r="K3780" t="s" s="2">
        <v>1992</v>
      </c>
      <c r="L3780" s="5">
        <v>0</v>
      </c>
      <c r="M3780" s="5">
        <v>728061.36</v>
      </c>
      <c r="N3780" s="5">
        <v>6178352.92</v>
      </c>
      <c r="O3780" t="s" s="2">
        <v>305</v>
      </c>
      <c r="P3780" t="s" s="2">
        <v>7063</v>
      </c>
      <c r="Q3780" t="s" s="2">
        <v>5964</v>
      </c>
      <c r="R3780" t="s" s="2">
        <f>_xlfn.IFERROR(INDEX('model_byCAP'!$D$2:$D$377,MATCH(Q3780,'model_byCAP'!$A$2:$A$377,0)),0)</f>
        <v>5955</v>
      </c>
    </row>
    <row r="3781" ht="15.35" customHeight="1">
      <c r="A3781" t="s" s="2">
        <v>7064</v>
      </c>
      <c r="B3781" s="4">
        <v>35288</v>
      </c>
      <c r="C3781" s="5">
        <v>600</v>
      </c>
      <c r="D3781" s="5">
        <v>44</v>
      </c>
      <c r="E3781" s="5">
        <v>50</v>
      </c>
      <c r="F3781" t="s" s="2">
        <v>1989</v>
      </c>
      <c r="G3781" t="s" s="2">
        <v>5962</v>
      </c>
      <c r="H3781" s="5">
        <v>101</v>
      </c>
      <c r="I3781" t="s" s="2">
        <v>2774</v>
      </c>
      <c r="J3781" t="s" s="2">
        <v>22</v>
      </c>
      <c r="K3781" t="s" s="2">
        <v>1992</v>
      </c>
      <c r="L3781" s="5">
        <v>0</v>
      </c>
      <c r="M3781" s="5">
        <v>728094.08</v>
      </c>
      <c r="N3781" s="5">
        <v>6178233.53</v>
      </c>
      <c r="O3781" t="s" s="2">
        <v>305</v>
      </c>
      <c r="P3781" t="s" s="2">
        <v>7065</v>
      </c>
      <c r="Q3781" t="s" s="2">
        <v>5964</v>
      </c>
      <c r="R3781" t="s" s="2">
        <f>_xlfn.IFERROR(INDEX('model_byCAP'!$D$2:$D$377,MATCH(Q3781,'model_byCAP'!$A$2:$A$377,0)),0)</f>
        <v>5955</v>
      </c>
    </row>
    <row r="3782" ht="15.35" customHeight="1">
      <c r="A3782" t="s" s="2">
        <v>7066</v>
      </c>
      <c r="B3782" s="4">
        <v>35288</v>
      </c>
      <c r="C3782" s="5">
        <v>600</v>
      </c>
      <c r="D3782" s="5">
        <v>44</v>
      </c>
      <c r="E3782" s="5">
        <v>50</v>
      </c>
      <c r="F3782" t="s" s="2">
        <v>1989</v>
      </c>
      <c r="G3782" t="s" s="2">
        <v>5962</v>
      </c>
      <c r="H3782" s="5">
        <v>101</v>
      </c>
      <c r="I3782" t="s" s="2">
        <v>2774</v>
      </c>
      <c r="J3782" t="s" s="2">
        <v>22</v>
      </c>
      <c r="K3782" t="s" s="2">
        <v>1992</v>
      </c>
      <c r="L3782" s="5">
        <v>0</v>
      </c>
      <c r="M3782" s="5">
        <v>728126.4300000001</v>
      </c>
      <c r="N3782" s="5">
        <v>6178113.87</v>
      </c>
      <c r="O3782" t="s" s="2">
        <v>305</v>
      </c>
      <c r="P3782" t="s" s="2">
        <v>7067</v>
      </c>
      <c r="Q3782" t="s" s="2">
        <v>5964</v>
      </c>
      <c r="R3782" t="s" s="2">
        <f>_xlfn.IFERROR(INDEX('model_byCAP'!$D$2:$D$377,MATCH(Q3782,'model_byCAP'!$A$2:$A$377,0)),0)</f>
        <v>5955</v>
      </c>
    </row>
    <row r="3783" ht="15.35" customHeight="1">
      <c r="A3783" t="s" s="2">
        <v>7068</v>
      </c>
      <c r="B3783" s="4">
        <v>36472</v>
      </c>
      <c r="C3783" s="5">
        <v>600</v>
      </c>
      <c r="D3783" s="5">
        <v>44</v>
      </c>
      <c r="E3783" s="5">
        <v>40</v>
      </c>
      <c r="F3783" t="s" s="2">
        <v>42</v>
      </c>
      <c r="G3783" t="s" s="2">
        <v>42</v>
      </c>
      <c r="H3783" s="5">
        <v>250</v>
      </c>
      <c r="I3783" t="s" s="2">
        <v>7069</v>
      </c>
      <c r="J3783" t="s" s="2">
        <v>22</v>
      </c>
      <c r="K3783" t="s" s="2">
        <v>7070</v>
      </c>
      <c r="L3783" t="s" s="2">
        <v>2931</v>
      </c>
      <c r="M3783" s="5">
        <v>687145.24</v>
      </c>
      <c r="N3783" s="5">
        <v>6187764.63</v>
      </c>
      <c r="O3783" t="s" s="2">
        <v>305</v>
      </c>
      <c r="P3783" t="s" s="2">
        <v>7071</v>
      </c>
      <c r="Q3783" t="s" s="2">
        <v>43</v>
      </c>
      <c r="R3783" s="5">
        <f>_xlfn.IFERROR(INDEX('model_byCAP'!$D$2:$D$377,MATCH(Q3783,'model_byCAP'!$A$2:$A$377,0)),0)</f>
        <v>0</v>
      </c>
    </row>
    <row r="3784" ht="15.35" customHeight="1">
      <c r="A3784" t="s" s="2">
        <v>7072</v>
      </c>
      <c r="B3784" s="4">
        <v>36472</v>
      </c>
      <c r="C3784" s="5">
        <v>600</v>
      </c>
      <c r="D3784" s="5">
        <v>44</v>
      </c>
      <c r="E3784" s="5">
        <v>40</v>
      </c>
      <c r="F3784" t="s" s="2">
        <v>42</v>
      </c>
      <c r="G3784" t="s" s="2">
        <v>42</v>
      </c>
      <c r="H3784" s="5">
        <v>250</v>
      </c>
      <c r="I3784" t="s" s="2">
        <v>7069</v>
      </c>
      <c r="J3784" t="s" s="2">
        <v>22</v>
      </c>
      <c r="K3784" t="s" s="2">
        <v>7070</v>
      </c>
      <c r="L3784" t="s" s="2">
        <v>2293</v>
      </c>
      <c r="M3784" s="5">
        <v>687264.6</v>
      </c>
      <c r="N3784" s="5">
        <v>6187750.55</v>
      </c>
      <c r="O3784" t="s" s="2">
        <v>305</v>
      </c>
      <c r="P3784" t="s" s="2">
        <v>7071</v>
      </c>
      <c r="Q3784" t="s" s="2">
        <v>43</v>
      </c>
      <c r="R3784" s="5">
        <f>_xlfn.IFERROR(INDEX('model_byCAP'!$D$2:$D$377,MATCH(Q3784,'model_byCAP'!$A$2:$A$377,0)),0)</f>
        <v>0</v>
      </c>
    </row>
    <row r="3785" ht="15.35" customHeight="1">
      <c r="A3785" t="s" s="2">
        <v>7073</v>
      </c>
      <c r="B3785" s="4">
        <v>35699</v>
      </c>
      <c r="C3785" s="5">
        <v>600</v>
      </c>
      <c r="D3785" s="5">
        <v>43</v>
      </c>
      <c r="E3785" s="5">
        <v>44.5</v>
      </c>
      <c r="F3785" t="s" s="2">
        <v>42</v>
      </c>
      <c r="G3785" t="s" s="2">
        <v>42</v>
      </c>
      <c r="H3785" s="5">
        <v>259</v>
      </c>
      <c r="I3785" t="s" s="2">
        <v>4904</v>
      </c>
      <c r="J3785" t="s" s="2">
        <v>22</v>
      </c>
      <c r="K3785" t="s" s="2">
        <v>7074</v>
      </c>
      <c r="L3785" t="s" s="2">
        <v>1310</v>
      </c>
      <c r="M3785" s="5">
        <v>692100.9</v>
      </c>
      <c r="N3785" s="5">
        <v>6153370.36</v>
      </c>
      <c r="O3785" t="s" s="2">
        <v>305</v>
      </c>
      <c r="P3785" s="5">
        <v>190253</v>
      </c>
      <c r="Q3785" t="s" s="2">
        <v>43</v>
      </c>
      <c r="R3785" s="5">
        <f>_xlfn.IFERROR(INDEX('model_byCAP'!$D$2:$D$377,MATCH(Q3785,'model_byCAP'!$A$2:$A$377,0)),0)</f>
        <v>0</v>
      </c>
    </row>
    <row r="3786" ht="15.35" customHeight="1">
      <c r="A3786" t="s" s="2">
        <v>7075</v>
      </c>
      <c r="B3786" s="4">
        <v>36100</v>
      </c>
      <c r="C3786" s="5">
        <v>600</v>
      </c>
      <c r="D3786" s="5">
        <v>42</v>
      </c>
      <c r="E3786" s="5">
        <v>43.5</v>
      </c>
      <c r="F3786" t="s" s="2">
        <v>4716</v>
      </c>
      <c r="G3786" t="s" s="2">
        <v>7021</v>
      </c>
      <c r="H3786" s="5">
        <v>787</v>
      </c>
      <c r="I3786" t="s" s="2">
        <v>21</v>
      </c>
      <c r="J3786" t="s" s="2">
        <v>22</v>
      </c>
      <c r="K3786" t="s" s="2">
        <v>7076</v>
      </c>
      <c r="L3786" t="s" s="2">
        <v>5750</v>
      </c>
      <c r="M3786" s="5">
        <v>478914.44</v>
      </c>
      <c r="N3786" s="5">
        <v>6329374.45</v>
      </c>
      <c r="O3786" t="s" s="2">
        <v>305</v>
      </c>
      <c r="P3786" s="5">
        <v>41400100</v>
      </c>
      <c r="Q3786" t="s" s="2">
        <v>7023</v>
      </c>
      <c r="R3786" t="s" s="2">
        <f>_xlfn.IFERROR(INDEX('model_byCAP'!$D$2:$D$377,MATCH(Q3786,'model_byCAP'!$A$2:$A$377,0)),0)</f>
        <v>6270</v>
      </c>
    </row>
    <row r="3787" ht="15.35" customHeight="1">
      <c r="A3787" t="s" s="2">
        <v>7077</v>
      </c>
      <c r="B3787" s="4">
        <v>36100</v>
      </c>
      <c r="C3787" s="5">
        <v>600</v>
      </c>
      <c r="D3787" s="5">
        <v>42</v>
      </c>
      <c r="E3787" s="5">
        <v>43.5</v>
      </c>
      <c r="F3787" t="s" s="2">
        <v>4716</v>
      </c>
      <c r="G3787" t="s" s="2">
        <v>7021</v>
      </c>
      <c r="H3787" s="5">
        <v>787</v>
      </c>
      <c r="I3787" t="s" s="2">
        <v>21</v>
      </c>
      <c r="J3787" t="s" s="2">
        <v>22</v>
      </c>
      <c r="K3787" t="s" s="2">
        <v>7076</v>
      </c>
      <c r="L3787" t="s" s="2">
        <v>5750</v>
      </c>
      <c r="M3787" s="5">
        <v>478975.83</v>
      </c>
      <c r="N3787" s="5">
        <v>6329252.76</v>
      </c>
      <c r="O3787" t="s" s="2">
        <v>305</v>
      </c>
      <c r="P3787" s="5">
        <v>41400100</v>
      </c>
      <c r="Q3787" t="s" s="2">
        <v>7023</v>
      </c>
      <c r="R3787" t="s" s="2">
        <f>_xlfn.IFERROR(INDEX('model_byCAP'!$D$2:$D$377,MATCH(Q3787,'model_byCAP'!$A$2:$A$377,0)),0)</f>
        <v>6270</v>
      </c>
    </row>
    <row r="3788" ht="15.35" customHeight="1">
      <c r="A3788" t="s" s="2">
        <v>7078</v>
      </c>
      <c r="B3788" s="4">
        <v>36100</v>
      </c>
      <c r="C3788" s="5">
        <v>600</v>
      </c>
      <c r="D3788" s="5">
        <v>42</v>
      </c>
      <c r="E3788" s="5">
        <v>43.5</v>
      </c>
      <c r="F3788" t="s" s="2">
        <v>4716</v>
      </c>
      <c r="G3788" t="s" s="2">
        <v>7021</v>
      </c>
      <c r="H3788" s="5">
        <v>787</v>
      </c>
      <c r="I3788" t="s" s="2">
        <v>21</v>
      </c>
      <c r="J3788" t="s" s="2">
        <v>22</v>
      </c>
      <c r="K3788" t="s" s="2">
        <v>7079</v>
      </c>
      <c r="L3788" t="s" s="2">
        <v>1145</v>
      </c>
      <c r="M3788" s="5">
        <v>479038.47</v>
      </c>
      <c r="N3788" s="5">
        <v>6329142.17</v>
      </c>
      <c r="O3788" t="s" s="2">
        <v>305</v>
      </c>
      <c r="P3788" s="5">
        <v>41400100</v>
      </c>
      <c r="Q3788" t="s" s="2">
        <v>7023</v>
      </c>
      <c r="R3788" t="s" s="2">
        <f>_xlfn.IFERROR(INDEX('model_byCAP'!$D$2:$D$377,MATCH(Q3788,'model_byCAP'!$A$2:$A$377,0)),0)</f>
        <v>6270</v>
      </c>
    </row>
    <row r="3789" ht="15.35" customHeight="1">
      <c r="A3789" t="s" s="2">
        <v>7080</v>
      </c>
      <c r="B3789" s="4">
        <v>36100</v>
      </c>
      <c r="C3789" s="5">
        <v>600</v>
      </c>
      <c r="D3789" s="5">
        <v>42</v>
      </c>
      <c r="E3789" s="5">
        <v>43.5</v>
      </c>
      <c r="F3789" t="s" s="2">
        <v>4716</v>
      </c>
      <c r="G3789" t="s" s="2">
        <v>7021</v>
      </c>
      <c r="H3789" s="5">
        <v>787</v>
      </c>
      <c r="I3789" t="s" s="2">
        <v>21</v>
      </c>
      <c r="J3789" t="s" s="2">
        <v>22</v>
      </c>
      <c r="K3789" t="s" s="2">
        <v>7079</v>
      </c>
      <c r="L3789" t="s" s="2">
        <v>1145</v>
      </c>
      <c r="M3789" s="5">
        <v>479113.73</v>
      </c>
      <c r="N3789" s="5">
        <v>6329032.87</v>
      </c>
      <c r="O3789" t="s" s="2">
        <v>305</v>
      </c>
      <c r="P3789" s="5">
        <v>41400100</v>
      </c>
      <c r="Q3789" t="s" s="2">
        <v>7023</v>
      </c>
      <c r="R3789" t="s" s="2">
        <f>_xlfn.IFERROR(INDEX('model_byCAP'!$D$2:$D$377,MATCH(Q3789,'model_byCAP'!$A$2:$A$377,0)),0)</f>
        <v>6270</v>
      </c>
    </row>
    <row r="3790" ht="15.35" customHeight="1">
      <c r="A3790" t="s" s="2">
        <v>7081</v>
      </c>
      <c r="B3790" s="4">
        <v>36100</v>
      </c>
      <c r="C3790" s="5">
        <v>600</v>
      </c>
      <c r="D3790" s="5">
        <v>42</v>
      </c>
      <c r="E3790" s="5">
        <v>43.5</v>
      </c>
      <c r="F3790" t="s" s="2">
        <v>4716</v>
      </c>
      <c r="G3790" t="s" s="2">
        <v>7021</v>
      </c>
      <c r="H3790" s="5">
        <v>787</v>
      </c>
      <c r="I3790" t="s" s="2">
        <v>21</v>
      </c>
      <c r="J3790" t="s" s="2">
        <v>22</v>
      </c>
      <c r="K3790" t="s" s="2">
        <v>7079</v>
      </c>
      <c r="L3790" t="s" s="2">
        <v>1145</v>
      </c>
      <c r="M3790" s="5">
        <v>479196.9</v>
      </c>
      <c r="N3790" s="5">
        <v>6328931.44</v>
      </c>
      <c r="O3790" t="s" s="2">
        <v>305</v>
      </c>
      <c r="P3790" s="5">
        <v>41400100</v>
      </c>
      <c r="Q3790" t="s" s="2">
        <v>7023</v>
      </c>
      <c r="R3790" t="s" s="2">
        <f>_xlfn.IFERROR(INDEX('model_byCAP'!$D$2:$D$377,MATCH(Q3790,'model_byCAP'!$A$2:$A$377,0)),0)</f>
        <v>6270</v>
      </c>
    </row>
    <row r="3791" ht="15.35" customHeight="1">
      <c r="A3791" t="s" s="2">
        <v>7082</v>
      </c>
      <c r="B3791" s="4">
        <v>36846</v>
      </c>
      <c r="C3791" s="5">
        <v>600</v>
      </c>
      <c r="D3791" s="5">
        <v>42</v>
      </c>
      <c r="E3791" s="5">
        <v>43.5</v>
      </c>
      <c r="F3791" t="s" s="2">
        <v>4716</v>
      </c>
      <c r="G3791" t="s" s="2">
        <v>7021</v>
      </c>
      <c r="H3791" s="5">
        <v>787</v>
      </c>
      <c r="I3791" t="s" s="2">
        <v>21</v>
      </c>
      <c r="J3791" t="s" s="2">
        <v>22</v>
      </c>
      <c r="K3791" t="s" s="2">
        <v>7076</v>
      </c>
      <c r="L3791" t="s" s="2">
        <v>2809</v>
      </c>
      <c r="M3791" s="5">
        <v>478824.64</v>
      </c>
      <c r="N3791" s="5">
        <v>6329741.92</v>
      </c>
      <c r="O3791" t="s" s="2">
        <v>305</v>
      </c>
      <c r="P3791" s="5">
        <v>43100100</v>
      </c>
      <c r="Q3791" t="s" s="2">
        <v>7023</v>
      </c>
      <c r="R3791" t="s" s="2">
        <f>_xlfn.IFERROR(INDEX('model_byCAP'!$D$2:$D$377,MATCH(Q3791,'model_byCAP'!$A$2:$A$377,0)),0)</f>
        <v>6270</v>
      </c>
    </row>
    <row r="3792" ht="15.35" customHeight="1">
      <c r="A3792" t="s" s="2">
        <v>7083</v>
      </c>
      <c r="B3792" s="4">
        <v>34950</v>
      </c>
      <c r="C3792" s="5">
        <v>600</v>
      </c>
      <c r="D3792" s="5">
        <v>42</v>
      </c>
      <c r="E3792" s="5">
        <v>40.5</v>
      </c>
      <c r="F3792" t="s" s="2">
        <v>301</v>
      </c>
      <c r="G3792" t="s" s="2">
        <v>6100</v>
      </c>
      <c r="H3792" s="5">
        <v>787</v>
      </c>
      <c r="I3792" t="s" s="2">
        <v>21</v>
      </c>
      <c r="J3792" t="s" s="2">
        <v>22</v>
      </c>
      <c r="K3792" t="s" s="2">
        <v>7084</v>
      </c>
      <c r="L3792" t="s" s="2">
        <v>524</v>
      </c>
      <c r="M3792" s="5">
        <v>482680.44</v>
      </c>
      <c r="N3792" s="5">
        <v>6319646.66</v>
      </c>
      <c r="O3792" t="s" s="2">
        <v>305</v>
      </c>
      <c r="P3792" s="5">
        <v>39700100</v>
      </c>
      <c r="Q3792" t="s" s="2">
        <v>6102</v>
      </c>
      <c r="R3792" t="s" s="2">
        <f>_xlfn.IFERROR(INDEX('model_byCAP'!$D$2:$D$377,MATCH(Q3792,'model_byCAP'!$A$2:$A$377,0)),0)</f>
        <v>6103</v>
      </c>
    </row>
    <row r="3793" ht="15.35" customHeight="1">
      <c r="A3793" t="s" s="2">
        <v>7085</v>
      </c>
      <c r="B3793" s="4">
        <v>35045</v>
      </c>
      <c r="C3793" s="5">
        <v>600</v>
      </c>
      <c r="D3793" s="5">
        <v>42</v>
      </c>
      <c r="E3793" s="5">
        <v>40.5</v>
      </c>
      <c r="F3793" t="s" s="2">
        <v>301</v>
      </c>
      <c r="G3793" t="s" s="2">
        <v>6100</v>
      </c>
      <c r="H3793" s="5">
        <v>787</v>
      </c>
      <c r="I3793" t="s" s="2">
        <v>21</v>
      </c>
      <c r="J3793" t="s" s="2">
        <v>22</v>
      </c>
      <c r="K3793" t="s" s="2">
        <v>7086</v>
      </c>
      <c r="L3793" t="s" s="2">
        <v>7087</v>
      </c>
      <c r="M3793" s="5">
        <v>482087.75</v>
      </c>
      <c r="N3793" s="5">
        <v>6319753.33</v>
      </c>
      <c r="O3793" t="s" s="2">
        <v>305</v>
      </c>
      <c r="P3793" s="5">
        <v>40000100</v>
      </c>
      <c r="Q3793" t="s" s="2">
        <v>6102</v>
      </c>
      <c r="R3793" t="s" s="2">
        <f>_xlfn.IFERROR(INDEX('model_byCAP'!$D$2:$D$377,MATCH(Q3793,'model_byCAP'!$A$2:$A$377,0)),0)</f>
        <v>6103</v>
      </c>
    </row>
    <row r="3794" ht="15.35" customHeight="1">
      <c r="A3794" t="s" s="2">
        <v>7088</v>
      </c>
      <c r="B3794" s="4">
        <v>36100</v>
      </c>
      <c r="C3794" s="5">
        <v>600</v>
      </c>
      <c r="D3794" s="5">
        <v>42</v>
      </c>
      <c r="E3794" s="5">
        <v>43.5</v>
      </c>
      <c r="F3794" t="s" s="2">
        <v>4716</v>
      </c>
      <c r="G3794" t="s" s="2">
        <v>7021</v>
      </c>
      <c r="H3794" s="5">
        <v>787</v>
      </c>
      <c r="I3794" t="s" s="2">
        <v>21</v>
      </c>
      <c r="J3794" t="s" s="2">
        <v>22</v>
      </c>
      <c r="K3794" t="s" s="2">
        <v>7076</v>
      </c>
      <c r="L3794" t="s" s="2">
        <v>1196</v>
      </c>
      <c r="M3794" s="5">
        <v>478846.75</v>
      </c>
      <c r="N3794" s="5">
        <v>6329617.85</v>
      </c>
      <c r="O3794" t="s" s="2">
        <v>305</v>
      </c>
      <c r="P3794" s="5">
        <v>42000100</v>
      </c>
      <c r="Q3794" t="s" s="2">
        <v>7023</v>
      </c>
      <c r="R3794" t="s" s="2">
        <f>_xlfn.IFERROR(INDEX('model_byCAP'!$D$2:$D$377,MATCH(Q3794,'model_byCAP'!$A$2:$A$377,0)),0)</f>
        <v>6270</v>
      </c>
    </row>
    <row r="3795" ht="15.35" customHeight="1">
      <c r="A3795" t="s" s="2">
        <v>7089</v>
      </c>
      <c r="B3795" s="4">
        <v>36100</v>
      </c>
      <c r="C3795" s="5">
        <v>600</v>
      </c>
      <c r="D3795" s="5">
        <v>42</v>
      </c>
      <c r="E3795" s="5">
        <v>43.5</v>
      </c>
      <c r="F3795" t="s" s="2">
        <v>4716</v>
      </c>
      <c r="G3795" t="s" s="2">
        <v>7021</v>
      </c>
      <c r="H3795" s="5">
        <v>787</v>
      </c>
      <c r="I3795" t="s" s="2">
        <v>21</v>
      </c>
      <c r="J3795" t="s" s="2">
        <v>22</v>
      </c>
      <c r="K3795" t="s" s="2">
        <v>7076</v>
      </c>
      <c r="L3795" t="s" s="2">
        <v>1196</v>
      </c>
      <c r="M3795" s="5">
        <v>478876.23</v>
      </c>
      <c r="N3795" s="5">
        <v>6329494.96</v>
      </c>
      <c r="O3795" t="s" s="2">
        <v>305</v>
      </c>
      <c r="P3795" s="5">
        <v>41900100</v>
      </c>
      <c r="Q3795" t="s" s="2">
        <v>7023</v>
      </c>
      <c r="R3795" t="s" s="2">
        <f>_xlfn.IFERROR(INDEX('model_byCAP'!$D$2:$D$377,MATCH(Q3795,'model_byCAP'!$A$2:$A$377,0)),0)</f>
        <v>6270</v>
      </c>
    </row>
    <row r="3796" ht="15.35" customHeight="1">
      <c r="A3796" t="s" s="2">
        <v>7090</v>
      </c>
      <c r="B3796" s="4">
        <v>35217</v>
      </c>
      <c r="C3796" s="5">
        <v>600</v>
      </c>
      <c r="D3796" s="5">
        <v>44</v>
      </c>
      <c r="E3796" s="5">
        <v>44</v>
      </c>
      <c r="F3796" t="s" s="2">
        <v>301</v>
      </c>
      <c r="G3796" t="s" s="2">
        <v>5700</v>
      </c>
      <c r="H3796" s="5">
        <v>265</v>
      </c>
      <c r="I3796" t="s" s="2">
        <v>3920</v>
      </c>
      <c r="J3796" t="s" s="2">
        <v>22</v>
      </c>
      <c r="K3796" t="s" s="2">
        <v>7091</v>
      </c>
      <c r="L3796" t="s" s="2">
        <v>2348</v>
      </c>
      <c r="M3796" s="5">
        <v>693240.9300000001</v>
      </c>
      <c r="N3796" s="5">
        <v>6167868.22</v>
      </c>
      <c r="O3796" t="s" s="2">
        <v>305</v>
      </c>
      <c r="P3796" s="5">
        <v>60523688</v>
      </c>
      <c r="Q3796" t="s" s="2">
        <v>5701</v>
      </c>
      <c r="R3796" t="s" s="2">
        <f>_xlfn.IFERROR(INDEX('model_byCAP'!$D$2:$D$377,MATCH(Q3796,'model_byCAP'!$A$2:$A$377,0)),0)</f>
        <v>5702</v>
      </c>
    </row>
    <row r="3797" ht="15.35" customHeight="1">
      <c r="A3797" t="s" s="2">
        <v>7092</v>
      </c>
      <c r="B3797" s="4">
        <v>35712</v>
      </c>
      <c r="C3797" s="5">
        <v>600</v>
      </c>
      <c r="D3797" s="5">
        <v>48</v>
      </c>
      <c r="E3797" s="5">
        <v>46</v>
      </c>
      <c r="F3797" t="s" s="2">
        <v>3604</v>
      </c>
      <c r="G3797" t="s" s="2">
        <v>6070</v>
      </c>
      <c r="H3797" s="5">
        <v>270</v>
      </c>
      <c r="I3797" t="s" s="2">
        <v>7093</v>
      </c>
      <c r="J3797" t="s" s="2">
        <v>22</v>
      </c>
      <c r="K3797" t="s" s="2">
        <v>7094</v>
      </c>
      <c r="L3797" t="s" s="2">
        <v>551</v>
      </c>
      <c r="M3797" s="5">
        <v>698356.9</v>
      </c>
      <c r="N3797" s="5">
        <v>6218213.22</v>
      </c>
      <c r="O3797" t="s" s="2">
        <v>305</v>
      </c>
      <c r="P3797" t="s" s="2">
        <v>7095</v>
      </c>
      <c r="Q3797" t="s" s="2">
        <v>6073</v>
      </c>
      <c r="R3797" t="s" s="2">
        <f>_xlfn.IFERROR(INDEX('model_byCAP'!$D$2:$D$377,MATCH(Q3797,'model_byCAP'!$A$2:$A$377,0)),0)</f>
        <v>4042</v>
      </c>
    </row>
    <row r="3798" ht="15.35" customHeight="1">
      <c r="A3798" t="s" s="2">
        <v>7096</v>
      </c>
      <c r="B3798" s="4">
        <v>34988</v>
      </c>
      <c r="C3798" s="5">
        <v>600</v>
      </c>
      <c r="D3798" s="5">
        <v>42</v>
      </c>
      <c r="E3798" s="5">
        <v>40.5</v>
      </c>
      <c r="F3798" t="s" s="2">
        <v>301</v>
      </c>
      <c r="G3798" t="s" s="2">
        <v>6100</v>
      </c>
      <c r="H3798" s="5">
        <v>787</v>
      </c>
      <c r="I3798" t="s" s="2">
        <v>21</v>
      </c>
      <c r="J3798" t="s" s="2">
        <v>22</v>
      </c>
      <c r="K3798" t="s" s="2">
        <v>7097</v>
      </c>
      <c r="L3798" t="s" s="2">
        <v>481</v>
      </c>
      <c r="M3798" s="5">
        <v>458802.54</v>
      </c>
      <c r="N3798" s="5">
        <v>6288185.21</v>
      </c>
      <c r="O3798" t="s" s="2">
        <v>305</v>
      </c>
      <c r="P3798" s="5">
        <v>160208</v>
      </c>
      <c r="Q3798" t="s" s="2">
        <v>6102</v>
      </c>
      <c r="R3798" t="s" s="2">
        <f>_xlfn.IFERROR(INDEX('model_byCAP'!$D$2:$D$377,MATCH(Q3798,'model_byCAP'!$A$2:$A$377,0)),0)</f>
        <v>6103</v>
      </c>
    </row>
    <row r="3799" ht="15.35" customHeight="1">
      <c r="A3799" t="s" s="2">
        <v>7098</v>
      </c>
      <c r="B3799" s="4">
        <v>35023</v>
      </c>
      <c r="C3799" s="5">
        <v>600</v>
      </c>
      <c r="D3799" s="5">
        <v>42</v>
      </c>
      <c r="E3799" s="5">
        <v>45</v>
      </c>
      <c r="F3799" t="s" s="2">
        <v>301</v>
      </c>
      <c r="G3799" t="s" s="2">
        <v>6100</v>
      </c>
      <c r="H3799" s="5">
        <v>787</v>
      </c>
      <c r="I3799" t="s" s="2">
        <v>21</v>
      </c>
      <c r="J3799" t="s" s="2">
        <v>22</v>
      </c>
      <c r="K3799" t="s" s="2">
        <v>7099</v>
      </c>
      <c r="L3799" t="s" s="2">
        <v>858</v>
      </c>
      <c r="M3799" s="5">
        <v>472752.3</v>
      </c>
      <c r="N3799" s="5">
        <v>6309627.2</v>
      </c>
      <c r="O3799" t="s" s="2">
        <v>305</v>
      </c>
      <c r="P3799" s="5">
        <v>160210</v>
      </c>
      <c r="Q3799" t="s" s="2">
        <v>6102</v>
      </c>
      <c r="R3799" t="s" s="2">
        <f>_xlfn.IFERROR(INDEX('model_byCAP'!$D$2:$D$377,MATCH(Q3799,'model_byCAP'!$A$2:$A$377,0)),0)</f>
        <v>6103</v>
      </c>
    </row>
    <row r="3800" ht="15.35" customHeight="1">
      <c r="A3800" t="s" s="2">
        <v>7100</v>
      </c>
      <c r="B3800" s="4">
        <v>35032</v>
      </c>
      <c r="C3800" s="5">
        <v>600</v>
      </c>
      <c r="D3800" s="5">
        <v>42</v>
      </c>
      <c r="E3800" s="5">
        <v>45</v>
      </c>
      <c r="F3800" t="s" s="2">
        <v>301</v>
      </c>
      <c r="G3800" t="s" s="2">
        <v>6100</v>
      </c>
      <c r="H3800" s="5">
        <v>787</v>
      </c>
      <c r="I3800" t="s" s="2">
        <v>21</v>
      </c>
      <c r="J3800" t="s" s="2">
        <v>22</v>
      </c>
      <c r="K3800" t="s" s="2">
        <v>7101</v>
      </c>
      <c r="L3800" s="5">
        <v>15</v>
      </c>
      <c r="M3800" s="5">
        <v>463486.88</v>
      </c>
      <c r="N3800" s="5">
        <v>6292903.58</v>
      </c>
      <c r="O3800" t="s" s="2">
        <v>305</v>
      </c>
      <c r="P3800" s="5">
        <v>160212</v>
      </c>
      <c r="Q3800" t="s" s="2">
        <v>6102</v>
      </c>
      <c r="R3800" t="s" s="2">
        <f>_xlfn.IFERROR(INDEX('model_byCAP'!$D$2:$D$377,MATCH(Q3800,'model_byCAP'!$A$2:$A$377,0)),0)</f>
        <v>6103</v>
      </c>
    </row>
    <row r="3801" ht="15.35" customHeight="1">
      <c r="A3801" t="s" s="2">
        <v>7102</v>
      </c>
      <c r="B3801" s="4">
        <v>35032</v>
      </c>
      <c r="C3801" s="5">
        <v>600</v>
      </c>
      <c r="D3801" s="5">
        <v>43</v>
      </c>
      <c r="E3801" s="5">
        <v>46</v>
      </c>
      <c r="F3801" t="s" s="2">
        <v>1746</v>
      </c>
      <c r="G3801" t="s" s="2">
        <v>6286</v>
      </c>
      <c r="H3801" s="5">
        <v>787</v>
      </c>
      <c r="I3801" t="s" s="2">
        <v>21</v>
      </c>
      <c r="J3801" t="s" s="2">
        <v>22</v>
      </c>
      <c r="K3801" t="s" s="2">
        <v>7101</v>
      </c>
      <c r="L3801" s="5">
        <v>14</v>
      </c>
      <c r="M3801" s="5">
        <v>463480.66</v>
      </c>
      <c r="N3801" s="5">
        <v>6293104.1</v>
      </c>
      <c r="O3801" t="s" s="2">
        <v>305</v>
      </c>
      <c r="P3801" s="5">
        <v>160214</v>
      </c>
      <c r="Q3801" t="s" s="2">
        <v>6288</v>
      </c>
      <c r="R3801" t="s" s="2">
        <f>_xlfn.IFERROR(INDEX('model_byCAP'!$D$2:$D$377,MATCH(Q3801,'model_byCAP'!$A$2:$A$377,0)),0)</f>
        <v>2955</v>
      </c>
    </row>
    <row r="3802" ht="15.35" customHeight="1">
      <c r="A3802" t="s" s="2">
        <v>7103</v>
      </c>
      <c r="B3802" s="4">
        <v>35032</v>
      </c>
      <c r="C3802" s="5">
        <v>600</v>
      </c>
      <c r="D3802" s="5">
        <v>43</v>
      </c>
      <c r="E3802" s="5">
        <v>46</v>
      </c>
      <c r="F3802" t="s" s="2">
        <v>1746</v>
      </c>
      <c r="G3802" t="s" s="2">
        <v>6286</v>
      </c>
      <c r="H3802" s="5">
        <v>787</v>
      </c>
      <c r="I3802" t="s" s="2">
        <v>21</v>
      </c>
      <c r="J3802" t="s" s="2">
        <v>22</v>
      </c>
      <c r="K3802" t="s" s="2">
        <v>4918</v>
      </c>
      <c r="L3802" t="s" s="2">
        <v>2931</v>
      </c>
      <c r="M3802" s="5">
        <v>463469.53</v>
      </c>
      <c r="N3802" s="5">
        <v>6293503.71</v>
      </c>
      <c r="O3802" t="s" s="2">
        <v>305</v>
      </c>
      <c r="P3802" s="5">
        <v>160216</v>
      </c>
      <c r="Q3802" t="s" s="2">
        <v>6288</v>
      </c>
      <c r="R3802" t="s" s="2">
        <f>_xlfn.IFERROR(INDEX('model_byCAP'!$D$2:$D$377,MATCH(Q3802,'model_byCAP'!$A$2:$A$377,0)),0)</f>
        <v>2955</v>
      </c>
    </row>
    <row r="3803" ht="15.35" customHeight="1">
      <c r="A3803" t="s" s="2">
        <v>7104</v>
      </c>
      <c r="B3803" s="4">
        <v>35037</v>
      </c>
      <c r="C3803" s="5">
        <v>600</v>
      </c>
      <c r="D3803" s="5">
        <v>42</v>
      </c>
      <c r="E3803" s="5">
        <v>45</v>
      </c>
      <c r="F3803" t="s" s="2">
        <v>301</v>
      </c>
      <c r="G3803" t="s" s="2">
        <v>6100</v>
      </c>
      <c r="H3803" s="5">
        <v>787</v>
      </c>
      <c r="I3803" t="s" s="2">
        <v>21</v>
      </c>
      <c r="J3803" t="s" s="2">
        <v>22</v>
      </c>
      <c r="K3803" t="s" s="2">
        <v>4918</v>
      </c>
      <c r="L3803" t="s" s="2">
        <v>2348</v>
      </c>
      <c r="M3803" s="5">
        <v>463464.76</v>
      </c>
      <c r="N3803" s="5">
        <v>6293702.66</v>
      </c>
      <c r="O3803" t="s" s="2">
        <v>305</v>
      </c>
      <c r="P3803" s="5">
        <v>160218</v>
      </c>
      <c r="Q3803" t="s" s="2">
        <v>6102</v>
      </c>
      <c r="R3803" t="s" s="2">
        <f>_xlfn.IFERROR(INDEX('model_byCAP'!$D$2:$D$377,MATCH(Q3803,'model_byCAP'!$A$2:$A$377,0)),0)</f>
        <v>6103</v>
      </c>
    </row>
    <row r="3804" ht="15.35" customHeight="1">
      <c r="A3804" t="s" s="2">
        <v>7105</v>
      </c>
      <c r="B3804" s="4">
        <v>35038</v>
      </c>
      <c r="C3804" s="5">
        <v>600</v>
      </c>
      <c r="D3804" s="5">
        <v>42</v>
      </c>
      <c r="E3804" s="5">
        <v>45</v>
      </c>
      <c r="F3804" t="s" s="2">
        <v>301</v>
      </c>
      <c r="G3804" t="s" s="2">
        <v>6100</v>
      </c>
      <c r="H3804" s="5">
        <v>787</v>
      </c>
      <c r="I3804" t="s" s="2">
        <v>21</v>
      </c>
      <c r="J3804" t="s" s="2">
        <v>22</v>
      </c>
      <c r="K3804" t="s" s="2">
        <v>7106</v>
      </c>
      <c r="L3804" t="s" s="2">
        <v>333</v>
      </c>
      <c r="M3804" s="5">
        <v>475673.28</v>
      </c>
      <c r="N3804" s="5">
        <v>6301028.73</v>
      </c>
      <c r="O3804" t="s" s="2">
        <v>305</v>
      </c>
      <c r="P3804" s="5">
        <v>160220</v>
      </c>
      <c r="Q3804" t="s" s="2">
        <v>6102</v>
      </c>
      <c r="R3804" t="s" s="2">
        <f>_xlfn.IFERROR(INDEX('model_byCAP'!$D$2:$D$377,MATCH(Q3804,'model_byCAP'!$A$2:$A$377,0)),0)</f>
        <v>6103</v>
      </c>
    </row>
    <row r="3805" ht="15.35" customHeight="1">
      <c r="A3805" t="s" s="2">
        <v>7107</v>
      </c>
      <c r="B3805" s="4">
        <v>35046</v>
      </c>
      <c r="C3805" s="5">
        <v>600</v>
      </c>
      <c r="D3805" s="5">
        <v>42</v>
      </c>
      <c r="E3805" s="5">
        <v>45</v>
      </c>
      <c r="F3805" t="s" s="2">
        <v>301</v>
      </c>
      <c r="G3805" t="s" s="2">
        <v>6100</v>
      </c>
      <c r="H3805" s="5">
        <v>787</v>
      </c>
      <c r="I3805" t="s" s="2">
        <v>21</v>
      </c>
      <c r="J3805" t="s" s="2">
        <v>22</v>
      </c>
      <c r="K3805" t="s" s="2">
        <v>7108</v>
      </c>
      <c r="L3805" t="s" s="2">
        <v>481</v>
      </c>
      <c r="M3805" s="5">
        <v>472462.02</v>
      </c>
      <c r="N3805" s="5">
        <v>6302934.15</v>
      </c>
      <c r="O3805" t="s" s="2">
        <v>305</v>
      </c>
      <c r="P3805" s="5">
        <v>160224</v>
      </c>
      <c r="Q3805" t="s" s="2">
        <v>6102</v>
      </c>
      <c r="R3805" t="s" s="2">
        <f>_xlfn.IFERROR(INDEX('model_byCAP'!$D$2:$D$377,MATCH(Q3805,'model_byCAP'!$A$2:$A$377,0)),0)</f>
        <v>6103</v>
      </c>
    </row>
    <row r="3806" ht="15.35" customHeight="1">
      <c r="A3806" t="s" s="2">
        <v>7109</v>
      </c>
      <c r="B3806" s="4">
        <v>35046</v>
      </c>
      <c r="C3806" s="5">
        <v>600</v>
      </c>
      <c r="D3806" s="5">
        <v>42</v>
      </c>
      <c r="E3806" s="5">
        <v>45</v>
      </c>
      <c r="F3806" t="s" s="2">
        <v>301</v>
      </c>
      <c r="G3806" t="s" s="2">
        <v>6100</v>
      </c>
      <c r="H3806" s="5">
        <v>787</v>
      </c>
      <c r="I3806" t="s" s="2">
        <v>21</v>
      </c>
      <c r="J3806" t="s" s="2">
        <v>22</v>
      </c>
      <c r="K3806" t="s" s="2">
        <v>7108</v>
      </c>
      <c r="L3806" t="s" s="2">
        <v>481</v>
      </c>
      <c r="M3806" s="5">
        <v>472531.92</v>
      </c>
      <c r="N3806" s="5">
        <v>6303110.95</v>
      </c>
      <c r="O3806" t="s" s="2">
        <v>305</v>
      </c>
      <c r="P3806" s="5">
        <v>160226</v>
      </c>
      <c r="Q3806" t="s" s="2">
        <v>6102</v>
      </c>
      <c r="R3806" t="s" s="2">
        <f>_xlfn.IFERROR(INDEX('model_byCAP'!$D$2:$D$377,MATCH(Q3806,'model_byCAP'!$A$2:$A$377,0)),0)</f>
        <v>6103</v>
      </c>
    </row>
    <row r="3807" ht="15.35" customHeight="1">
      <c r="A3807" t="s" s="2">
        <v>7110</v>
      </c>
      <c r="B3807" s="4">
        <v>35046</v>
      </c>
      <c r="C3807" s="5">
        <v>600</v>
      </c>
      <c r="D3807" s="5">
        <v>43</v>
      </c>
      <c r="E3807" s="5">
        <v>46</v>
      </c>
      <c r="F3807" t="s" s="2">
        <v>1746</v>
      </c>
      <c r="G3807" t="s" s="2">
        <v>6286</v>
      </c>
      <c r="H3807" s="5">
        <v>787</v>
      </c>
      <c r="I3807" t="s" s="2">
        <v>21</v>
      </c>
      <c r="J3807" t="s" s="2">
        <v>22</v>
      </c>
      <c r="K3807" t="s" s="2">
        <v>4918</v>
      </c>
      <c r="L3807" t="s" s="2">
        <v>4919</v>
      </c>
      <c r="M3807" s="5">
        <v>463457.78</v>
      </c>
      <c r="N3807" s="5">
        <v>6293902.53</v>
      </c>
      <c r="O3807" t="s" s="2">
        <v>305</v>
      </c>
      <c r="P3807" s="5">
        <v>160228</v>
      </c>
      <c r="Q3807" t="s" s="2">
        <v>6288</v>
      </c>
      <c r="R3807" t="s" s="2">
        <f>_xlfn.IFERROR(INDEX('model_byCAP'!$D$2:$D$377,MATCH(Q3807,'model_byCAP'!$A$2:$A$377,0)),0)</f>
        <v>2955</v>
      </c>
    </row>
    <row r="3808" ht="15.35" customHeight="1">
      <c r="A3808" t="s" s="2">
        <v>7111</v>
      </c>
      <c r="B3808" s="4">
        <v>35047</v>
      </c>
      <c r="C3808" s="5">
        <v>600</v>
      </c>
      <c r="D3808" s="5">
        <v>42</v>
      </c>
      <c r="E3808" s="5">
        <v>45</v>
      </c>
      <c r="F3808" t="s" s="2">
        <v>301</v>
      </c>
      <c r="G3808" t="s" s="2">
        <v>6100</v>
      </c>
      <c r="H3808" s="5">
        <v>787</v>
      </c>
      <c r="I3808" t="s" s="2">
        <v>21</v>
      </c>
      <c r="J3808" t="s" s="2">
        <v>22</v>
      </c>
      <c r="K3808" t="s" s="2">
        <v>7112</v>
      </c>
      <c r="L3808" t="s" s="2">
        <v>492</v>
      </c>
      <c r="M3808" s="5">
        <v>472772.71</v>
      </c>
      <c r="N3808" s="5">
        <v>6303858.36</v>
      </c>
      <c r="O3808" t="s" s="2">
        <v>305</v>
      </c>
      <c r="P3808" s="5">
        <v>160230</v>
      </c>
      <c r="Q3808" t="s" s="2">
        <v>6102</v>
      </c>
      <c r="R3808" t="s" s="2">
        <f>_xlfn.IFERROR(INDEX('model_byCAP'!$D$2:$D$377,MATCH(Q3808,'model_byCAP'!$A$2:$A$377,0)),0)</f>
        <v>6103</v>
      </c>
    </row>
    <row r="3809" ht="15.35" customHeight="1">
      <c r="A3809" t="s" s="2">
        <v>7113</v>
      </c>
      <c r="B3809" s="4">
        <v>35047</v>
      </c>
      <c r="C3809" s="5">
        <v>600</v>
      </c>
      <c r="D3809" s="5">
        <v>42</v>
      </c>
      <c r="E3809" s="5">
        <v>40.5</v>
      </c>
      <c r="F3809" t="s" s="2">
        <v>301</v>
      </c>
      <c r="G3809" t="s" s="2">
        <v>6100</v>
      </c>
      <c r="H3809" s="5">
        <v>787</v>
      </c>
      <c r="I3809" t="s" s="2">
        <v>21</v>
      </c>
      <c r="J3809" t="s" s="2">
        <v>22</v>
      </c>
      <c r="K3809" t="s" s="2">
        <v>7112</v>
      </c>
      <c r="L3809" t="s" s="2">
        <v>396</v>
      </c>
      <c r="M3809" s="5">
        <v>472823.13</v>
      </c>
      <c r="N3809" s="5">
        <v>6304040.98</v>
      </c>
      <c r="O3809" t="s" s="2">
        <v>305</v>
      </c>
      <c r="P3809" s="5">
        <v>160232</v>
      </c>
      <c r="Q3809" t="s" s="2">
        <v>6102</v>
      </c>
      <c r="R3809" t="s" s="2">
        <f>_xlfn.IFERROR(INDEX('model_byCAP'!$D$2:$D$377,MATCH(Q3809,'model_byCAP'!$A$2:$A$377,0)),0)</f>
        <v>6103</v>
      </c>
    </row>
    <row r="3810" ht="15.35" customHeight="1">
      <c r="A3810" t="s" s="2">
        <v>7114</v>
      </c>
      <c r="B3810" s="4">
        <v>35096</v>
      </c>
      <c r="C3810" s="5">
        <v>600</v>
      </c>
      <c r="D3810" s="5">
        <v>42</v>
      </c>
      <c r="E3810" s="5">
        <v>40.5</v>
      </c>
      <c r="F3810" t="s" s="2">
        <v>301</v>
      </c>
      <c r="G3810" t="s" s="2">
        <v>6100</v>
      </c>
      <c r="H3810" s="5">
        <v>787</v>
      </c>
      <c r="I3810" t="s" s="2">
        <v>21</v>
      </c>
      <c r="J3810" t="s" s="2">
        <v>22</v>
      </c>
      <c r="K3810" t="s" s="2">
        <v>7115</v>
      </c>
      <c r="L3810" t="s" s="2">
        <v>2872</v>
      </c>
      <c r="M3810" s="5">
        <v>464396.44</v>
      </c>
      <c r="N3810" s="5">
        <v>6287062.42</v>
      </c>
      <c r="O3810" t="s" s="2">
        <v>305</v>
      </c>
      <c r="P3810" s="5">
        <v>160234</v>
      </c>
      <c r="Q3810" t="s" s="2">
        <v>6102</v>
      </c>
      <c r="R3810" t="s" s="2">
        <f>_xlfn.IFERROR(INDEX('model_byCAP'!$D$2:$D$377,MATCH(Q3810,'model_byCAP'!$A$2:$A$377,0)),0)</f>
        <v>6103</v>
      </c>
    </row>
    <row r="3811" ht="15.35" customHeight="1">
      <c r="A3811" t="s" s="2">
        <v>7116</v>
      </c>
      <c r="B3811" s="4">
        <v>35221</v>
      </c>
      <c r="C3811" s="5">
        <v>600</v>
      </c>
      <c r="D3811" s="5">
        <v>42</v>
      </c>
      <c r="E3811" s="5">
        <v>45</v>
      </c>
      <c r="F3811" t="s" s="2">
        <v>301</v>
      </c>
      <c r="G3811" t="s" s="2">
        <v>6100</v>
      </c>
      <c r="H3811" s="5">
        <v>787</v>
      </c>
      <c r="I3811" t="s" s="2">
        <v>21</v>
      </c>
      <c r="J3811" t="s" s="2">
        <v>22</v>
      </c>
      <c r="K3811" t="s" s="2">
        <v>7117</v>
      </c>
      <c r="L3811" t="s" s="2">
        <v>1504</v>
      </c>
      <c r="M3811" s="5">
        <v>469329.07</v>
      </c>
      <c r="N3811" s="5">
        <v>6308087.26</v>
      </c>
      <c r="O3811" t="s" s="2">
        <v>305</v>
      </c>
      <c r="P3811" s="5">
        <v>160238</v>
      </c>
      <c r="Q3811" t="s" s="2">
        <v>6102</v>
      </c>
      <c r="R3811" t="s" s="2">
        <f>_xlfn.IFERROR(INDEX('model_byCAP'!$D$2:$D$377,MATCH(Q3811,'model_byCAP'!$A$2:$A$377,0)),0)</f>
        <v>6103</v>
      </c>
    </row>
    <row r="3812" ht="15.35" customHeight="1">
      <c r="A3812" t="s" s="2">
        <v>7118</v>
      </c>
      <c r="B3812" s="4">
        <v>35221</v>
      </c>
      <c r="C3812" s="5">
        <v>600</v>
      </c>
      <c r="D3812" s="5">
        <v>42</v>
      </c>
      <c r="E3812" s="5">
        <v>45</v>
      </c>
      <c r="F3812" t="s" s="2">
        <v>301</v>
      </c>
      <c r="G3812" t="s" s="2">
        <v>6100</v>
      </c>
      <c r="H3812" s="5">
        <v>787</v>
      </c>
      <c r="I3812" t="s" s="2">
        <v>21</v>
      </c>
      <c r="J3812" t="s" s="2">
        <v>22</v>
      </c>
      <c r="K3812" t="s" s="2">
        <v>7117</v>
      </c>
      <c r="L3812" t="s" s="2">
        <v>1057</v>
      </c>
      <c r="M3812" s="5">
        <v>469276.2</v>
      </c>
      <c r="N3812" s="5">
        <v>6307923.17</v>
      </c>
      <c r="O3812" t="s" s="2">
        <v>305</v>
      </c>
      <c r="P3812" s="5">
        <v>160240</v>
      </c>
      <c r="Q3812" t="s" s="2">
        <v>6102</v>
      </c>
      <c r="R3812" t="s" s="2">
        <f>_xlfn.IFERROR(INDEX('model_byCAP'!$D$2:$D$377,MATCH(Q3812,'model_byCAP'!$A$2:$A$377,0)),0)</f>
        <v>6103</v>
      </c>
    </row>
    <row r="3813" ht="15.35" customHeight="1">
      <c r="A3813" t="s" s="2">
        <v>7119</v>
      </c>
      <c r="B3813" s="4">
        <v>35221</v>
      </c>
      <c r="C3813" s="5">
        <v>600</v>
      </c>
      <c r="D3813" s="5">
        <v>42</v>
      </c>
      <c r="E3813" s="5">
        <v>45</v>
      </c>
      <c r="F3813" t="s" s="2">
        <v>301</v>
      </c>
      <c r="G3813" t="s" s="2">
        <v>6100</v>
      </c>
      <c r="H3813" s="5">
        <v>787</v>
      </c>
      <c r="I3813" t="s" s="2">
        <v>21</v>
      </c>
      <c r="J3813" t="s" s="2">
        <v>22</v>
      </c>
      <c r="K3813" t="s" s="2">
        <v>7117</v>
      </c>
      <c r="L3813" t="s" s="2">
        <v>1310</v>
      </c>
      <c r="M3813" s="5">
        <v>469160.73</v>
      </c>
      <c r="N3813" s="5">
        <v>6307603.88</v>
      </c>
      <c r="O3813" t="s" s="2">
        <v>305</v>
      </c>
      <c r="P3813" s="5">
        <v>160242</v>
      </c>
      <c r="Q3813" t="s" s="2">
        <v>6102</v>
      </c>
      <c r="R3813" t="s" s="2">
        <f>_xlfn.IFERROR(INDEX('model_byCAP'!$D$2:$D$377,MATCH(Q3813,'model_byCAP'!$A$2:$A$377,0)),0)</f>
        <v>6103</v>
      </c>
    </row>
    <row r="3814" ht="15.35" customHeight="1">
      <c r="A3814" t="s" s="2">
        <v>7120</v>
      </c>
      <c r="B3814" s="4">
        <v>35221</v>
      </c>
      <c r="C3814" s="5">
        <v>600</v>
      </c>
      <c r="D3814" s="5">
        <v>42</v>
      </c>
      <c r="E3814" s="5">
        <v>45</v>
      </c>
      <c r="F3814" t="s" s="2">
        <v>301</v>
      </c>
      <c r="G3814" t="s" s="2">
        <v>6100</v>
      </c>
      <c r="H3814" s="5">
        <v>787</v>
      </c>
      <c r="I3814" t="s" s="2">
        <v>21</v>
      </c>
      <c r="J3814" t="s" s="2">
        <v>22</v>
      </c>
      <c r="K3814" t="s" s="2">
        <v>7117</v>
      </c>
      <c r="L3814" t="s" s="2">
        <v>1744</v>
      </c>
      <c r="M3814" s="5">
        <v>469219.11</v>
      </c>
      <c r="N3814" s="5">
        <v>6307763.37</v>
      </c>
      <c r="O3814" t="s" s="2">
        <v>305</v>
      </c>
      <c r="P3814" s="5">
        <v>160244</v>
      </c>
      <c r="Q3814" t="s" s="2">
        <v>6102</v>
      </c>
      <c r="R3814" t="s" s="2">
        <f>_xlfn.IFERROR(INDEX('model_byCAP'!$D$2:$D$377,MATCH(Q3814,'model_byCAP'!$A$2:$A$377,0)),0)</f>
        <v>6103</v>
      </c>
    </row>
    <row r="3815" ht="15.35" customHeight="1">
      <c r="A3815" t="s" s="2">
        <v>7121</v>
      </c>
      <c r="B3815" s="4">
        <v>35248</v>
      </c>
      <c r="C3815" s="5">
        <v>600</v>
      </c>
      <c r="D3815" s="5">
        <v>42</v>
      </c>
      <c r="E3815" s="5">
        <v>45</v>
      </c>
      <c r="F3815" t="s" s="2">
        <v>301</v>
      </c>
      <c r="G3815" t="s" s="2">
        <v>6100</v>
      </c>
      <c r="H3815" s="5">
        <v>787</v>
      </c>
      <c r="I3815" t="s" s="2">
        <v>21</v>
      </c>
      <c r="J3815" t="s" s="2">
        <v>22</v>
      </c>
      <c r="K3815" t="s" s="2">
        <v>7097</v>
      </c>
      <c r="L3815" t="s" s="2">
        <v>1260</v>
      </c>
      <c r="M3815" s="5">
        <v>460749.11</v>
      </c>
      <c r="N3815" s="5">
        <v>6291277.37</v>
      </c>
      <c r="O3815" t="s" s="2">
        <v>305</v>
      </c>
      <c r="P3815" s="5">
        <v>160248</v>
      </c>
      <c r="Q3815" t="s" s="2">
        <v>6102</v>
      </c>
      <c r="R3815" t="s" s="2">
        <f>_xlfn.IFERROR(INDEX('model_byCAP'!$D$2:$D$377,MATCH(Q3815,'model_byCAP'!$A$2:$A$377,0)),0)</f>
        <v>6103</v>
      </c>
    </row>
    <row r="3816" ht="15.35" customHeight="1">
      <c r="A3816" t="s" s="2">
        <v>7122</v>
      </c>
      <c r="B3816" s="4">
        <v>35313</v>
      </c>
      <c r="C3816" s="5">
        <v>600</v>
      </c>
      <c r="D3816" s="5">
        <v>42</v>
      </c>
      <c r="E3816" s="5">
        <v>45</v>
      </c>
      <c r="F3816" t="s" s="2">
        <v>301</v>
      </c>
      <c r="G3816" t="s" s="2">
        <v>6100</v>
      </c>
      <c r="H3816" s="5">
        <v>787</v>
      </c>
      <c r="I3816" t="s" s="2">
        <v>21</v>
      </c>
      <c r="J3816" t="s" s="2">
        <v>22</v>
      </c>
      <c r="K3816" t="s" s="2">
        <v>7101</v>
      </c>
      <c r="L3816" s="5">
        <v>16</v>
      </c>
      <c r="M3816" s="5">
        <v>463493.02</v>
      </c>
      <c r="N3816" s="5">
        <v>6292709.94</v>
      </c>
      <c r="O3816" t="s" s="2">
        <v>305</v>
      </c>
      <c r="P3816" s="5">
        <v>160258</v>
      </c>
      <c r="Q3816" t="s" s="2">
        <v>6102</v>
      </c>
      <c r="R3816" t="s" s="2">
        <f>_xlfn.IFERROR(INDEX('model_byCAP'!$D$2:$D$377,MATCH(Q3816,'model_byCAP'!$A$2:$A$377,0)),0)</f>
        <v>6103</v>
      </c>
    </row>
    <row r="3817" ht="15.35" customHeight="1">
      <c r="A3817" t="s" s="2">
        <v>7123</v>
      </c>
      <c r="B3817" s="4">
        <v>35374</v>
      </c>
      <c r="C3817" s="5">
        <v>600</v>
      </c>
      <c r="D3817" s="5">
        <v>44</v>
      </c>
      <c r="E3817" s="5">
        <v>46</v>
      </c>
      <c r="F3817" t="s" s="2">
        <v>1989</v>
      </c>
      <c r="G3817" t="s" s="2">
        <v>6085</v>
      </c>
      <c r="H3817" s="5">
        <v>787</v>
      </c>
      <c r="I3817" t="s" s="2">
        <v>21</v>
      </c>
      <c r="J3817" t="s" s="2">
        <v>22</v>
      </c>
      <c r="K3817" t="s" s="2">
        <v>7124</v>
      </c>
      <c r="L3817" t="s" s="2">
        <v>1744</v>
      </c>
      <c r="M3817" s="5">
        <v>461362.33</v>
      </c>
      <c r="N3817" s="5">
        <v>6296257.28</v>
      </c>
      <c r="O3817" t="s" s="2">
        <v>305</v>
      </c>
      <c r="P3817" s="5">
        <v>160266</v>
      </c>
      <c r="Q3817" t="s" s="2">
        <v>6087</v>
      </c>
      <c r="R3817" t="s" s="2">
        <f>_xlfn.IFERROR(INDEX('model_byCAP'!$D$2:$D$377,MATCH(Q3817,'model_byCAP'!$A$2:$A$377,0)),0)</f>
        <v>5955</v>
      </c>
    </row>
    <row r="3818" ht="15.35" customHeight="1">
      <c r="A3818" t="s" s="2">
        <v>7125</v>
      </c>
      <c r="B3818" s="4">
        <v>35374</v>
      </c>
      <c r="C3818" s="5">
        <v>600</v>
      </c>
      <c r="D3818" s="5">
        <v>44</v>
      </c>
      <c r="E3818" s="5">
        <v>46</v>
      </c>
      <c r="F3818" t="s" s="2">
        <v>1989</v>
      </c>
      <c r="G3818" t="s" s="2">
        <v>6085</v>
      </c>
      <c r="H3818" s="5">
        <v>787</v>
      </c>
      <c r="I3818" t="s" s="2">
        <v>21</v>
      </c>
      <c r="J3818" t="s" s="2">
        <v>22</v>
      </c>
      <c r="K3818" t="s" s="2">
        <v>7124</v>
      </c>
      <c r="L3818" t="s" s="2">
        <v>1504</v>
      </c>
      <c r="M3818" s="5">
        <v>461247.23</v>
      </c>
      <c r="N3818" s="5">
        <v>6296389.81</v>
      </c>
      <c r="O3818" t="s" s="2">
        <v>305</v>
      </c>
      <c r="P3818" s="5">
        <v>160268</v>
      </c>
      <c r="Q3818" t="s" s="2">
        <v>6087</v>
      </c>
      <c r="R3818" t="s" s="2">
        <f>_xlfn.IFERROR(INDEX('model_byCAP'!$D$2:$D$377,MATCH(Q3818,'model_byCAP'!$A$2:$A$377,0)),0)</f>
        <v>5955</v>
      </c>
    </row>
    <row r="3819" ht="15.35" customHeight="1">
      <c r="A3819" t="s" s="2">
        <v>7126</v>
      </c>
      <c r="B3819" s="4">
        <v>35374</v>
      </c>
      <c r="C3819" s="5">
        <v>600</v>
      </c>
      <c r="D3819" s="5">
        <v>44</v>
      </c>
      <c r="E3819" s="5">
        <v>46</v>
      </c>
      <c r="F3819" t="s" s="2">
        <v>1989</v>
      </c>
      <c r="G3819" t="s" s="2">
        <v>6085</v>
      </c>
      <c r="H3819" s="5">
        <v>787</v>
      </c>
      <c r="I3819" t="s" s="2">
        <v>21</v>
      </c>
      <c r="J3819" t="s" s="2">
        <v>22</v>
      </c>
      <c r="K3819" t="s" s="2">
        <v>7124</v>
      </c>
      <c r="L3819" t="s" s="2">
        <v>582</v>
      </c>
      <c r="M3819" s="5">
        <v>461127.94</v>
      </c>
      <c r="N3819" s="5">
        <v>6296299.24</v>
      </c>
      <c r="O3819" t="s" s="2">
        <v>305</v>
      </c>
      <c r="P3819" s="5">
        <v>160270</v>
      </c>
      <c r="Q3819" t="s" s="2">
        <v>6087</v>
      </c>
      <c r="R3819" t="s" s="2">
        <f>_xlfn.IFERROR(INDEX('model_byCAP'!$D$2:$D$377,MATCH(Q3819,'model_byCAP'!$A$2:$A$377,0)),0)</f>
        <v>5955</v>
      </c>
    </row>
    <row r="3820" ht="15.35" customHeight="1">
      <c r="A3820" t="s" s="2">
        <v>7127</v>
      </c>
      <c r="B3820" s="4">
        <v>35387</v>
      </c>
      <c r="C3820" s="5">
        <v>600</v>
      </c>
      <c r="D3820" s="5">
        <v>44</v>
      </c>
      <c r="E3820" s="5">
        <v>46</v>
      </c>
      <c r="F3820" t="s" s="2">
        <v>1989</v>
      </c>
      <c r="G3820" t="s" s="2">
        <v>6085</v>
      </c>
      <c r="H3820" s="5">
        <v>787</v>
      </c>
      <c r="I3820" t="s" s="2">
        <v>21</v>
      </c>
      <c r="J3820" t="s" s="2">
        <v>22</v>
      </c>
      <c r="K3820" t="s" s="2">
        <v>7124</v>
      </c>
      <c r="L3820" t="s" s="2">
        <v>546</v>
      </c>
      <c r="M3820" s="5">
        <v>461007.57</v>
      </c>
      <c r="N3820" s="5">
        <v>6296208.79</v>
      </c>
      <c r="O3820" t="s" s="2">
        <v>305</v>
      </c>
      <c r="P3820" s="5">
        <v>160272</v>
      </c>
      <c r="Q3820" t="s" s="2">
        <v>6087</v>
      </c>
      <c r="R3820" t="s" s="2">
        <f>_xlfn.IFERROR(INDEX('model_byCAP'!$D$2:$D$377,MATCH(Q3820,'model_byCAP'!$A$2:$A$377,0)),0)</f>
        <v>5955</v>
      </c>
    </row>
    <row r="3821" ht="15.35" customHeight="1">
      <c r="A3821" t="s" s="2">
        <v>7128</v>
      </c>
      <c r="B3821" s="4">
        <v>35376</v>
      </c>
      <c r="C3821" s="5">
        <v>600</v>
      </c>
      <c r="D3821" s="5">
        <v>44</v>
      </c>
      <c r="E3821" s="5">
        <v>46</v>
      </c>
      <c r="F3821" t="s" s="2">
        <v>1989</v>
      </c>
      <c r="G3821" t="s" s="2">
        <v>6085</v>
      </c>
      <c r="H3821" s="5">
        <v>787</v>
      </c>
      <c r="I3821" t="s" s="2">
        <v>21</v>
      </c>
      <c r="J3821" t="s" s="2">
        <v>22</v>
      </c>
      <c r="K3821" t="s" s="2">
        <v>7124</v>
      </c>
      <c r="L3821" t="s" s="2">
        <v>869</v>
      </c>
      <c r="M3821" s="5">
        <v>461596.61</v>
      </c>
      <c r="N3821" s="5">
        <v>6296214.36</v>
      </c>
      <c r="O3821" t="s" s="2">
        <v>305</v>
      </c>
      <c r="P3821" s="5">
        <v>160274</v>
      </c>
      <c r="Q3821" t="s" s="2">
        <v>6087</v>
      </c>
      <c r="R3821" t="s" s="2">
        <f>_xlfn.IFERROR(INDEX('model_byCAP'!$D$2:$D$377,MATCH(Q3821,'model_byCAP'!$A$2:$A$377,0)),0)</f>
        <v>5955</v>
      </c>
    </row>
    <row r="3822" ht="15.35" customHeight="1">
      <c r="A3822" t="s" s="2">
        <v>7129</v>
      </c>
      <c r="B3822" s="4">
        <v>35387</v>
      </c>
      <c r="C3822" s="5">
        <v>600</v>
      </c>
      <c r="D3822" s="5">
        <v>44</v>
      </c>
      <c r="E3822" s="5">
        <v>46</v>
      </c>
      <c r="F3822" t="s" s="2">
        <v>1989</v>
      </c>
      <c r="G3822" t="s" s="2">
        <v>6085</v>
      </c>
      <c r="H3822" s="5">
        <v>787</v>
      </c>
      <c r="I3822" t="s" s="2">
        <v>21</v>
      </c>
      <c r="J3822" t="s" s="2">
        <v>22</v>
      </c>
      <c r="K3822" t="s" s="2">
        <v>7124</v>
      </c>
      <c r="L3822" t="s" s="2">
        <v>1310</v>
      </c>
      <c r="M3822" s="5">
        <v>461481.44</v>
      </c>
      <c r="N3822" s="5">
        <v>6296348.64</v>
      </c>
      <c r="O3822" t="s" s="2">
        <v>305</v>
      </c>
      <c r="P3822" s="5">
        <v>160276</v>
      </c>
      <c r="Q3822" t="s" s="2">
        <v>6087</v>
      </c>
      <c r="R3822" t="s" s="2">
        <f>_xlfn.IFERROR(INDEX('model_byCAP'!$D$2:$D$377,MATCH(Q3822,'model_byCAP'!$A$2:$A$377,0)),0)</f>
        <v>5955</v>
      </c>
    </row>
    <row r="3823" ht="15.35" customHeight="1">
      <c r="A3823" t="s" s="2">
        <v>7130</v>
      </c>
      <c r="B3823" s="4">
        <v>35376</v>
      </c>
      <c r="C3823" s="5">
        <v>600</v>
      </c>
      <c r="D3823" s="5">
        <v>44</v>
      </c>
      <c r="E3823" s="5">
        <v>46</v>
      </c>
      <c r="F3823" t="s" s="2">
        <v>1989</v>
      </c>
      <c r="G3823" t="s" s="2">
        <v>6085</v>
      </c>
      <c r="H3823" s="5">
        <v>787</v>
      </c>
      <c r="I3823" t="s" s="2">
        <v>21</v>
      </c>
      <c r="J3823" t="s" s="2">
        <v>22</v>
      </c>
      <c r="K3823" t="s" s="2">
        <v>7124</v>
      </c>
      <c r="L3823" t="s" s="2">
        <v>481</v>
      </c>
      <c r="M3823" s="5">
        <v>461476.42</v>
      </c>
      <c r="N3823" s="5">
        <v>6296125.17</v>
      </c>
      <c r="O3823" t="s" s="2">
        <v>305</v>
      </c>
      <c r="P3823" s="5">
        <v>160278</v>
      </c>
      <c r="Q3823" t="s" s="2">
        <v>6087</v>
      </c>
      <c r="R3823" t="s" s="2">
        <f>_xlfn.IFERROR(INDEX('model_byCAP'!$D$2:$D$377,MATCH(Q3823,'model_byCAP'!$A$2:$A$377,0)),0)</f>
        <v>5955</v>
      </c>
    </row>
    <row r="3824" ht="15.35" customHeight="1">
      <c r="A3824" t="s" s="2">
        <v>7131</v>
      </c>
      <c r="B3824" s="4">
        <v>35375</v>
      </c>
      <c r="C3824" s="5">
        <v>600</v>
      </c>
      <c r="D3824" s="5">
        <v>44</v>
      </c>
      <c r="E3824" s="5">
        <v>46</v>
      </c>
      <c r="F3824" t="s" s="2">
        <v>1989</v>
      </c>
      <c r="G3824" t="s" s="2">
        <v>6085</v>
      </c>
      <c r="H3824" s="5">
        <v>787</v>
      </c>
      <c r="I3824" t="s" s="2">
        <v>21</v>
      </c>
      <c r="J3824" t="s" s="2">
        <v>22</v>
      </c>
      <c r="K3824" t="s" s="2">
        <v>7124</v>
      </c>
      <c r="L3824" t="s" s="2">
        <v>582</v>
      </c>
      <c r="M3824" s="5">
        <v>461356.52</v>
      </c>
      <c r="N3824" s="5">
        <v>6296035.15</v>
      </c>
      <c r="O3824" t="s" s="2">
        <v>305</v>
      </c>
      <c r="P3824" s="5">
        <v>160280</v>
      </c>
      <c r="Q3824" t="s" s="2">
        <v>6087</v>
      </c>
      <c r="R3824" t="s" s="2">
        <f>_xlfn.IFERROR(INDEX('model_byCAP'!$D$2:$D$377,MATCH(Q3824,'model_byCAP'!$A$2:$A$377,0)),0)</f>
        <v>5955</v>
      </c>
    </row>
    <row r="3825" ht="15.35" customHeight="1">
      <c r="A3825" t="s" s="2">
        <v>7132</v>
      </c>
      <c r="B3825" s="4">
        <v>35387</v>
      </c>
      <c r="C3825" s="5">
        <v>600</v>
      </c>
      <c r="D3825" s="5">
        <v>44</v>
      </c>
      <c r="E3825" s="5">
        <v>46</v>
      </c>
      <c r="F3825" t="s" s="2">
        <v>1989</v>
      </c>
      <c r="G3825" t="s" s="2">
        <v>6085</v>
      </c>
      <c r="H3825" s="5">
        <v>787</v>
      </c>
      <c r="I3825" t="s" s="2">
        <v>21</v>
      </c>
      <c r="J3825" t="s" s="2">
        <v>22</v>
      </c>
      <c r="K3825" t="s" s="2">
        <v>7124</v>
      </c>
      <c r="L3825" t="s" s="2">
        <v>1057</v>
      </c>
      <c r="M3825" s="5">
        <v>461242.68</v>
      </c>
      <c r="N3825" s="5">
        <v>6296166.59</v>
      </c>
      <c r="O3825" t="s" s="2">
        <v>305</v>
      </c>
      <c r="P3825" s="5">
        <v>160282</v>
      </c>
      <c r="Q3825" t="s" s="2">
        <v>6087</v>
      </c>
      <c r="R3825" t="s" s="2">
        <f>_xlfn.IFERROR(INDEX('model_byCAP'!$D$2:$D$377,MATCH(Q3825,'model_byCAP'!$A$2:$A$377,0)),0)</f>
        <v>5955</v>
      </c>
    </row>
    <row r="3826" ht="15.35" customHeight="1">
      <c r="A3826" t="s" s="2">
        <v>7133</v>
      </c>
      <c r="B3826" s="4">
        <v>35416</v>
      </c>
      <c r="C3826" s="5">
        <v>600</v>
      </c>
      <c r="D3826" s="5">
        <v>44</v>
      </c>
      <c r="E3826" s="5">
        <v>40</v>
      </c>
      <c r="F3826" t="s" s="2">
        <v>1989</v>
      </c>
      <c r="G3826" t="s" s="2">
        <v>6085</v>
      </c>
      <c r="H3826" s="5">
        <v>787</v>
      </c>
      <c r="I3826" t="s" s="2">
        <v>21</v>
      </c>
      <c r="J3826" t="s" s="2">
        <v>22</v>
      </c>
      <c r="K3826" t="s" s="2">
        <v>7097</v>
      </c>
      <c r="L3826" t="s" s="2">
        <v>1469</v>
      </c>
      <c r="M3826" s="5">
        <v>459879.7</v>
      </c>
      <c r="N3826" s="5">
        <v>6294091.64</v>
      </c>
      <c r="O3826" t="s" s="2">
        <v>305</v>
      </c>
      <c r="P3826" s="5">
        <v>160288</v>
      </c>
      <c r="Q3826" t="s" s="2">
        <v>6087</v>
      </c>
      <c r="R3826" t="s" s="2">
        <f>_xlfn.IFERROR(INDEX('model_byCAP'!$D$2:$D$377,MATCH(Q3826,'model_byCAP'!$A$2:$A$377,0)),0)</f>
        <v>5955</v>
      </c>
    </row>
    <row r="3827" ht="15.35" customHeight="1">
      <c r="A3827" t="s" s="2">
        <v>7134</v>
      </c>
      <c r="B3827" s="4">
        <v>35571</v>
      </c>
      <c r="C3827" s="5">
        <v>600</v>
      </c>
      <c r="D3827" s="5">
        <v>44</v>
      </c>
      <c r="E3827" s="5">
        <v>42</v>
      </c>
      <c r="F3827" t="s" s="2">
        <v>301</v>
      </c>
      <c r="G3827" t="s" s="2">
        <v>5700</v>
      </c>
      <c r="H3827" s="5">
        <v>787</v>
      </c>
      <c r="I3827" t="s" s="2">
        <v>21</v>
      </c>
      <c r="J3827" t="s" s="2">
        <v>22</v>
      </c>
      <c r="K3827" t="s" s="2">
        <v>7135</v>
      </c>
      <c r="L3827" t="s" s="2">
        <v>582</v>
      </c>
      <c r="M3827" s="5">
        <v>467102.01</v>
      </c>
      <c r="N3827" s="5">
        <v>6303866.89</v>
      </c>
      <c r="O3827" t="s" s="2">
        <v>305</v>
      </c>
      <c r="P3827" s="5">
        <v>160291</v>
      </c>
      <c r="Q3827" t="s" s="2">
        <v>5701</v>
      </c>
      <c r="R3827" t="s" s="2">
        <f>_xlfn.IFERROR(INDEX('model_byCAP'!$D$2:$D$377,MATCH(Q3827,'model_byCAP'!$A$2:$A$377,0)),0)</f>
        <v>5702</v>
      </c>
    </row>
    <row r="3828" ht="15.35" customHeight="1">
      <c r="A3828" t="s" s="2">
        <v>7136</v>
      </c>
      <c r="B3828" s="4">
        <v>35571</v>
      </c>
      <c r="C3828" s="5">
        <v>600</v>
      </c>
      <c r="D3828" s="5">
        <v>44</v>
      </c>
      <c r="E3828" s="5">
        <v>42</v>
      </c>
      <c r="F3828" t="s" s="2">
        <v>301</v>
      </c>
      <c r="G3828" t="s" s="2">
        <v>5700</v>
      </c>
      <c r="H3828" s="5">
        <v>787</v>
      </c>
      <c r="I3828" t="s" s="2">
        <v>21</v>
      </c>
      <c r="J3828" t="s" s="2">
        <v>22</v>
      </c>
      <c r="K3828" t="s" s="2">
        <v>7135</v>
      </c>
      <c r="L3828" t="s" s="2">
        <v>2994</v>
      </c>
      <c r="M3828" s="5">
        <v>467316.33</v>
      </c>
      <c r="N3828" s="5">
        <v>6303819.85</v>
      </c>
      <c r="O3828" t="s" s="2">
        <v>305</v>
      </c>
      <c r="P3828" s="5">
        <v>160293</v>
      </c>
      <c r="Q3828" t="s" s="2">
        <v>5701</v>
      </c>
      <c r="R3828" t="s" s="2">
        <f>_xlfn.IFERROR(INDEX('model_byCAP'!$D$2:$D$377,MATCH(Q3828,'model_byCAP'!$A$2:$A$377,0)),0)</f>
        <v>5702</v>
      </c>
    </row>
    <row r="3829" ht="15.35" customHeight="1">
      <c r="A3829" t="s" s="2">
        <v>7137</v>
      </c>
      <c r="B3829" s="4">
        <v>35571</v>
      </c>
      <c r="C3829" s="5">
        <v>600</v>
      </c>
      <c r="D3829" s="5">
        <v>44</v>
      </c>
      <c r="E3829" s="5">
        <v>42</v>
      </c>
      <c r="F3829" t="s" s="2">
        <v>301</v>
      </c>
      <c r="G3829" t="s" s="2">
        <v>5700</v>
      </c>
      <c r="H3829" s="5">
        <v>787</v>
      </c>
      <c r="I3829" t="s" s="2">
        <v>21</v>
      </c>
      <c r="J3829" t="s" s="2">
        <v>22</v>
      </c>
      <c r="K3829" t="s" s="2">
        <v>7138</v>
      </c>
      <c r="L3829" t="s" s="2">
        <v>2872</v>
      </c>
      <c r="M3829" s="5">
        <v>468155.46</v>
      </c>
      <c r="N3829" s="5">
        <v>6303509.65</v>
      </c>
      <c r="O3829" t="s" s="2">
        <v>305</v>
      </c>
      <c r="P3829" s="5">
        <v>160295</v>
      </c>
      <c r="Q3829" t="s" s="2">
        <v>5701</v>
      </c>
      <c r="R3829" t="s" s="2">
        <f>_xlfn.IFERROR(INDEX('model_byCAP'!$D$2:$D$377,MATCH(Q3829,'model_byCAP'!$A$2:$A$377,0)),0)</f>
        <v>5702</v>
      </c>
    </row>
    <row r="3830" ht="15.35" customHeight="1">
      <c r="A3830" t="s" s="2">
        <v>7139</v>
      </c>
      <c r="B3830" s="4">
        <v>35571</v>
      </c>
      <c r="C3830" s="5">
        <v>600</v>
      </c>
      <c r="D3830" s="5">
        <v>44</v>
      </c>
      <c r="E3830" s="5">
        <v>42</v>
      </c>
      <c r="F3830" t="s" s="2">
        <v>301</v>
      </c>
      <c r="G3830" t="s" s="2">
        <v>5700</v>
      </c>
      <c r="H3830" s="5">
        <v>787</v>
      </c>
      <c r="I3830" t="s" s="2">
        <v>21</v>
      </c>
      <c r="J3830" t="s" s="2">
        <v>22</v>
      </c>
      <c r="K3830" t="s" s="2">
        <v>7138</v>
      </c>
      <c r="L3830" t="s" s="2">
        <v>2872</v>
      </c>
      <c r="M3830" s="5">
        <v>468370.17</v>
      </c>
      <c r="N3830" s="5">
        <v>6303462.29</v>
      </c>
      <c r="O3830" t="s" s="2">
        <v>305</v>
      </c>
      <c r="P3830" s="5">
        <v>160297</v>
      </c>
      <c r="Q3830" t="s" s="2">
        <v>5701</v>
      </c>
      <c r="R3830" t="s" s="2">
        <f>_xlfn.IFERROR(INDEX('model_byCAP'!$D$2:$D$377,MATCH(Q3830,'model_byCAP'!$A$2:$A$377,0)),0)</f>
        <v>5702</v>
      </c>
    </row>
    <row r="3831" ht="15.35" customHeight="1">
      <c r="A3831" t="s" s="2">
        <v>7140</v>
      </c>
      <c r="B3831" s="4">
        <v>34973</v>
      </c>
      <c r="C3831" s="5">
        <v>600</v>
      </c>
      <c r="D3831" s="5">
        <v>42</v>
      </c>
      <c r="E3831" s="5">
        <v>45</v>
      </c>
      <c r="F3831" t="s" s="2">
        <v>301</v>
      </c>
      <c r="G3831" t="s" s="2">
        <v>6100</v>
      </c>
      <c r="H3831" s="5">
        <v>787</v>
      </c>
      <c r="I3831" t="s" s="2">
        <v>21</v>
      </c>
      <c r="J3831" t="s" s="2">
        <v>22</v>
      </c>
      <c r="K3831" t="s" s="2">
        <v>7141</v>
      </c>
      <c r="L3831" t="s" s="2">
        <v>518</v>
      </c>
      <c r="M3831" s="5">
        <v>459405.86</v>
      </c>
      <c r="N3831" s="5">
        <v>6287227.78</v>
      </c>
      <c r="O3831" t="s" s="2">
        <v>305</v>
      </c>
      <c r="P3831" s="5">
        <v>160346</v>
      </c>
      <c r="Q3831" t="s" s="2">
        <v>6102</v>
      </c>
      <c r="R3831" t="s" s="2">
        <f>_xlfn.IFERROR(INDEX('model_byCAP'!$D$2:$D$377,MATCH(Q3831,'model_byCAP'!$A$2:$A$377,0)),0)</f>
        <v>6103</v>
      </c>
    </row>
    <row r="3832" ht="15.35" customHeight="1">
      <c r="A3832" t="s" s="2">
        <v>7142</v>
      </c>
      <c r="B3832" s="4">
        <v>34885</v>
      </c>
      <c r="C3832" s="5">
        <v>600</v>
      </c>
      <c r="D3832" s="5">
        <v>42</v>
      </c>
      <c r="E3832" s="5">
        <v>38.9</v>
      </c>
      <c r="F3832" t="s" s="2">
        <v>301</v>
      </c>
      <c r="G3832" t="s" s="2">
        <v>6100</v>
      </c>
      <c r="H3832" s="5">
        <v>787</v>
      </c>
      <c r="I3832" t="s" s="2">
        <v>21</v>
      </c>
      <c r="J3832" t="s" s="2">
        <v>22</v>
      </c>
      <c r="K3832" t="s" s="2">
        <v>7143</v>
      </c>
      <c r="L3832" t="s" s="2">
        <v>492</v>
      </c>
      <c r="M3832" s="5">
        <v>467049.36</v>
      </c>
      <c r="N3832" s="5">
        <v>6292249.36</v>
      </c>
      <c r="O3832" t="s" s="2">
        <v>305</v>
      </c>
      <c r="P3832" s="5">
        <v>60200</v>
      </c>
      <c r="Q3832" t="s" s="2">
        <v>6102</v>
      </c>
      <c r="R3832" t="s" s="2">
        <f>_xlfn.IFERROR(INDEX('model_byCAP'!$D$2:$D$377,MATCH(Q3832,'model_byCAP'!$A$2:$A$377,0)),0)</f>
        <v>6103</v>
      </c>
    </row>
    <row r="3833" ht="15.35" customHeight="1">
      <c r="A3833" t="s" s="2">
        <v>7144</v>
      </c>
      <c r="B3833" s="4">
        <v>35047</v>
      </c>
      <c r="C3833" s="5">
        <v>600</v>
      </c>
      <c r="D3833" s="5">
        <v>42</v>
      </c>
      <c r="E3833" s="5">
        <v>45</v>
      </c>
      <c r="F3833" t="s" s="2">
        <v>301</v>
      </c>
      <c r="G3833" t="s" s="2">
        <v>6100</v>
      </c>
      <c r="H3833" s="5">
        <v>787</v>
      </c>
      <c r="I3833" t="s" s="2">
        <v>21</v>
      </c>
      <c r="J3833" t="s" s="2">
        <v>22</v>
      </c>
      <c r="K3833" t="s" s="2">
        <v>7143</v>
      </c>
      <c r="L3833" t="s" s="2">
        <v>524</v>
      </c>
      <c r="M3833" s="5">
        <v>466148.04</v>
      </c>
      <c r="N3833" s="5">
        <v>6291414.64</v>
      </c>
      <c r="O3833" t="s" s="2">
        <v>305</v>
      </c>
      <c r="P3833" s="5">
        <v>60222</v>
      </c>
      <c r="Q3833" t="s" s="2">
        <v>6102</v>
      </c>
      <c r="R3833" t="s" s="2">
        <f>_xlfn.IFERROR(INDEX('model_byCAP'!$D$2:$D$377,MATCH(Q3833,'model_byCAP'!$A$2:$A$377,0)),0)</f>
        <v>6103</v>
      </c>
    </row>
    <row r="3834" ht="15.35" customHeight="1">
      <c r="A3834" t="s" s="2">
        <v>7145</v>
      </c>
      <c r="B3834" s="4">
        <v>35432</v>
      </c>
      <c r="C3834" s="5">
        <v>600</v>
      </c>
      <c r="D3834" s="5">
        <v>45</v>
      </c>
      <c r="E3834" s="5">
        <v>45</v>
      </c>
      <c r="F3834" t="s" s="2">
        <v>1746</v>
      </c>
      <c r="G3834" t="s" s="2">
        <v>4546</v>
      </c>
      <c r="H3834" s="5">
        <v>791</v>
      </c>
      <c r="I3834" t="s" s="2">
        <v>1447</v>
      </c>
      <c r="J3834" t="s" s="2">
        <v>22</v>
      </c>
      <c r="K3834" t="s" s="2">
        <v>7146</v>
      </c>
      <c r="L3834" t="s" s="2">
        <v>431</v>
      </c>
      <c r="M3834" s="5">
        <v>529610.9300000001</v>
      </c>
      <c r="N3834" s="5">
        <v>6244669.9</v>
      </c>
      <c r="O3834" t="s" s="2">
        <v>305</v>
      </c>
      <c r="P3834" s="5">
        <v>3122957</v>
      </c>
      <c r="Q3834" t="s" s="2">
        <v>4548</v>
      </c>
      <c r="R3834" t="s" s="2">
        <f>_xlfn.IFERROR(INDEX('model_byCAP'!$D$2:$D$377,MATCH(Q3834,'model_byCAP'!$A$2:$A$377,0)),0)</f>
        <v>2955</v>
      </c>
    </row>
    <row r="3835" ht="15.35" customHeight="1">
      <c r="A3835" t="s" s="2">
        <v>7147</v>
      </c>
      <c r="B3835" s="4">
        <v>35502</v>
      </c>
      <c r="C3835" s="5">
        <v>600</v>
      </c>
      <c r="D3835" s="5">
        <v>48</v>
      </c>
      <c r="E3835" s="5">
        <v>46</v>
      </c>
      <c r="F3835" t="s" s="2">
        <v>1746</v>
      </c>
      <c r="G3835" t="s" s="2">
        <v>6937</v>
      </c>
      <c r="H3835" s="5">
        <v>791</v>
      </c>
      <c r="I3835" t="s" s="2">
        <v>1447</v>
      </c>
      <c r="J3835" t="s" s="2">
        <v>22</v>
      </c>
      <c r="K3835" t="s" s="2">
        <v>7148</v>
      </c>
      <c r="L3835" t="s" s="2">
        <v>481</v>
      </c>
      <c r="M3835" s="5">
        <v>506367.8</v>
      </c>
      <c r="N3835" s="5">
        <v>6257973.02</v>
      </c>
      <c r="O3835" t="s" s="2">
        <v>305</v>
      </c>
      <c r="P3835" s="5">
        <v>2050275</v>
      </c>
      <c r="Q3835" t="s" s="2">
        <v>6938</v>
      </c>
      <c r="R3835" t="s" s="2">
        <f>_xlfn.IFERROR(INDEX('model_byCAP'!$D$2:$D$377,MATCH(Q3835,'model_byCAP'!$A$2:$A$377,0)),0)</f>
        <v>4042</v>
      </c>
    </row>
    <row r="3836" ht="15.35" customHeight="1">
      <c r="A3836" t="s" s="2">
        <v>7149</v>
      </c>
      <c r="B3836" s="4">
        <v>35502</v>
      </c>
      <c r="C3836" s="5">
        <v>600</v>
      </c>
      <c r="D3836" s="5">
        <v>48</v>
      </c>
      <c r="E3836" s="5">
        <v>46</v>
      </c>
      <c r="F3836" t="s" s="2">
        <v>1746</v>
      </c>
      <c r="G3836" t="s" s="2">
        <v>6937</v>
      </c>
      <c r="H3836" s="5">
        <v>791</v>
      </c>
      <c r="I3836" t="s" s="2">
        <v>1447</v>
      </c>
      <c r="J3836" t="s" s="2">
        <v>22</v>
      </c>
      <c r="K3836" t="s" s="2">
        <v>7150</v>
      </c>
      <c r="L3836" t="s" s="2">
        <v>481</v>
      </c>
      <c r="M3836" s="5">
        <v>506354.45</v>
      </c>
      <c r="N3836" s="5">
        <v>6258161.08</v>
      </c>
      <c r="O3836" t="s" s="2">
        <v>305</v>
      </c>
      <c r="P3836" s="5">
        <v>2050276</v>
      </c>
      <c r="Q3836" t="s" s="2">
        <v>6938</v>
      </c>
      <c r="R3836" t="s" s="2">
        <f>_xlfn.IFERROR(INDEX('model_byCAP'!$D$2:$D$377,MATCH(Q3836,'model_byCAP'!$A$2:$A$377,0)),0)</f>
        <v>4042</v>
      </c>
    </row>
    <row r="3837" ht="15.35" customHeight="1">
      <c r="A3837" t="s" s="2">
        <v>7151</v>
      </c>
      <c r="B3837" s="4">
        <v>35689</v>
      </c>
      <c r="C3837" s="5">
        <v>600</v>
      </c>
      <c r="D3837" s="5">
        <v>48</v>
      </c>
      <c r="E3837" s="5">
        <v>46</v>
      </c>
      <c r="F3837" t="s" s="2">
        <v>1746</v>
      </c>
      <c r="G3837" t="s" s="2">
        <v>6937</v>
      </c>
      <c r="H3837" s="5">
        <v>791</v>
      </c>
      <c r="I3837" t="s" s="2">
        <v>1447</v>
      </c>
      <c r="J3837" t="s" s="2">
        <v>22</v>
      </c>
      <c r="K3837" t="s" s="2">
        <v>7152</v>
      </c>
      <c r="L3837" t="s" s="2">
        <v>1611</v>
      </c>
      <c r="M3837" s="5">
        <v>503086.35</v>
      </c>
      <c r="N3837" s="5">
        <v>6254347.87</v>
      </c>
      <c r="O3837" t="s" s="2">
        <v>305</v>
      </c>
      <c r="P3837" s="5">
        <v>2050279</v>
      </c>
      <c r="Q3837" t="s" s="2">
        <v>6938</v>
      </c>
      <c r="R3837" t="s" s="2">
        <f>_xlfn.IFERROR(INDEX('model_byCAP'!$D$2:$D$377,MATCH(Q3837,'model_byCAP'!$A$2:$A$377,0)),0)</f>
        <v>4042</v>
      </c>
    </row>
    <row r="3838" ht="15.35" customHeight="1">
      <c r="A3838" t="s" s="2">
        <v>7153</v>
      </c>
      <c r="B3838" s="4">
        <v>35985</v>
      </c>
      <c r="C3838" s="5">
        <v>600</v>
      </c>
      <c r="D3838" s="5">
        <v>44</v>
      </c>
      <c r="E3838" s="5">
        <v>45</v>
      </c>
      <c r="F3838" t="s" s="2">
        <v>301</v>
      </c>
      <c r="G3838" t="s" s="2">
        <v>5700</v>
      </c>
      <c r="H3838" s="5">
        <v>813</v>
      </c>
      <c r="I3838" t="s" s="2">
        <v>1708</v>
      </c>
      <c r="J3838" t="s" s="2">
        <v>22</v>
      </c>
      <c r="K3838" t="s" s="2">
        <v>7154</v>
      </c>
      <c r="L3838" s="5">
        <v>36</v>
      </c>
      <c r="M3838" s="5">
        <v>578592.67</v>
      </c>
      <c r="N3838" s="5">
        <v>6365977.42</v>
      </c>
      <c r="O3838" t="s" s="2">
        <v>305</v>
      </c>
      <c r="P3838" t="s" s="2">
        <v>7155</v>
      </c>
      <c r="Q3838" t="s" s="2">
        <v>5701</v>
      </c>
      <c r="R3838" t="s" s="2">
        <f>_xlfn.IFERROR(INDEX('model_byCAP'!$D$2:$D$377,MATCH(Q3838,'model_byCAP'!$A$2:$A$377,0)),0)</f>
        <v>5702</v>
      </c>
    </row>
    <row r="3839" ht="15.35" customHeight="1">
      <c r="A3839" t="s" s="2">
        <v>7156</v>
      </c>
      <c r="B3839" s="4">
        <v>35985</v>
      </c>
      <c r="C3839" s="5">
        <v>600</v>
      </c>
      <c r="D3839" s="5">
        <v>44</v>
      </c>
      <c r="E3839" s="5">
        <v>45</v>
      </c>
      <c r="F3839" t="s" s="2">
        <v>301</v>
      </c>
      <c r="G3839" t="s" s="2">
        <v>5700</v>
      </c>
      <c r="H3839" s="5">
        <v>813</v>
      </c>
      <c r="I3839" t="s" s="2">
        <v>1708</v>
      </c>
      <c r="J3839" t="s" s="2">
        <v>22</v>
      </c>
      <c r="K3839" t="s" s="2">
        <v>7154</v>
      </c>
      <c r="L3839" s="5">
        <v>36</v>
      </c>
      <c r="M3839" s="5">
        <v>578495.1800000001</v>
      </c>
      <c r="N3839" s="5">
        <v>6366128.15</v>
      </c>
      <c r="O3839" t="s" s="2">
        <v>305</v>
      </c>
      <c r="P3839" t="s" s="2">
        <v>7157</v>
      </c>
      <c r="Q3839" t="s" s="2">
        <v>5701</v>
      </c>
      <c r="R3839" t="s" s="2">
        <f>_xlfn.IFERROR(INDEX('model_byCAP'!$D$2:$D$377,MATCH(Q3839,'model_byCAP'!$A$2:$A$377,0)),0)</f>
        <v>5702</v>
      </c>
    </row>
    <row r="3840" ht="15.35" customHeight="1">
      <c r="A3840" t="s" s="2">
        <v>7158</v>
      </c>
      <c r="B3840" s="4">
        <v>35677</v>
      </c>
      <c r="C3840" s="5">
        <v>600</v>
      </c>
      <c r="D3840" s="5">
        <v>44</v>
      </c>
      <c r="E3840" s="5">
        <v>45</v>
      </c>
      <c r="F3840" t="s" s="2">
        <v>301</v>
      </c>
      <c r="G3840" t="s" s="2">
        <v>5700</v>
      </c>
      <c r="H3840" s="5">
        <v>813</v>
      </c>
      <c r="I3840" t="s" s="2">
        <v>1708</v>
      </c>
      <c r="J3840" t="s" s="2">
        <v>22</v>
      </c>
      <c r="K3840" t="s" s="2">
        <v>7159</v>
      </c>
      <c r="L3840" t="s" s="2">
        <v>394</v>
      </c>
      <c r="M3840" s="5">
        <v>581280.71</v>
      </c>
      <c r="N3840" s="5">
        <v>6362860.89</v>
      </c>
      <c r="O3840" t="s" s="2">
        <v>305</v>
      </c>
      <c r="P3840" t="s" s="2">
        <v>7160</v>
      </c>
      <c r="Q3840" t="s" s="2">
        <v>5701</v>
      </c>
      <c r="R3840" t="s" s="2">
        <f>_xlfn.IFERROR(INDEX('model_byCAP'!$D$2:$D$377,MATCH(Q3840,'model_byCAP'!$A$2:$A$377,0)),0)</f>
        <v>5702</v>
      </c>
    </row>
    <row r="3841" ht="15.35" customHeight="1">
      <c r="A3841" t="s" s="2">
        <v>7161</v>
      </c>
      <c r="B3841" s="4">
        <v>35585</v>
      </c>
      <c r="C3841" s="5">
        <v>600</v>
      </c>
      <c r="D3841" s="5">
        <v>43</v>
      </c>
      <c r="E3841" s="5">
        <v>50</v>
      </c>
      <c r="F3841" t="s" s="2">
        <v>6608</v>
      </c>
      <c r="G3841" t="s" s="2">
        <v>7162</v>
      </c>
      <c r="H3841" s="5">
        <v>820</v>
      </c>
      <c r="I3841" t="s" s="2">
        <v>388</v>
      </c>
      <c r="J3841" t="s" s="2">
        <v>22</v>
      </c>
      <c r="K3841" t="s" s="2">
        <v>7163</v>
      </c>
      <c r="L3841" t="s" s="2">
        <v>1194</v>
      </c>
      <c r="M3841" s="5">
        <v>528053.9399999999</v>
      </c>
      <c r="N3841" s="5">
        <v>6292568.73</v>
      </c>
      <c r="O3841" t="s" s="2">
        <v>305</v>
      </c>
      <c r="P3841" s="5">
        <v>363</v>
      </c>
      <c r="Q3841" t="s" s="2">
        <v>7164</v>
      </c>
      <c r="R3841" t="s" s="2">
        <f>_xlfn.IFERROR(INDEX('model_byCAP'!$D$2:$D$377,MATCH(Q3841,'model_byCAP'!$A$2:$A$377,0)),0)</f>
        <v>6611</v>
      </c>
    </row>
    <row r="3842" ht="15.35" customHeight="1">
      <c r="A3842" t="s" s="2">
        <v>7165</v>
      </c>
      <c r="B3842" s="4">
        <v>35585</v>
      </c>
      <c r="C3842" s="5">
        <v>600</v>
      </c>
      <c r="D3842" s="5">
        <v>43</v>
      </c>
      <c r="E3842" s="5">
        <v>50</v>
      </c>
      <c r="F3842" t="s" s="2">
        <v>6608</v>
      </c>
      <c r="G3842" t="s" s="2">
        <v>7162</v>
      </c>
      <c r="H3842" s="5">
        <v>820</v>
      </c>
      <c r="I3842" t="s" s="2">
        <v>388</v>
      </c>
      <c r="J3842" t="s" s="2">
        <v>22</v>
      </c>
      <c r="K3842" t="s" s="2">
        <v>7163</v>
      </c>
      <c r="L3842" t="s" s="2">
        <v>2296</v>
      </c>
      <c r="M3842" s="5">
        <v>528014.8</v>
      </c>
      <c r="N3842" s="5">
        <v>6292414.45</v>
      </c>
      <c r="O3842" t="s" s="2">
        <v>305</v>
      </c>
      <c r="P3842" s="5">
        <v>364</v>
      </c>
      <c r="Q3842" t="s" s="2">
        <v>7164</v>
      </c>
      <c r="R3842" t="s" s="2">
        <f>_xlfn.IFERROR(INDEX('model_byCAP'!$D$2:$D$377,MATCH(Q3842,'model_byCAP'!$A$2:$A$377,0)),0)</f>
        <v>6611</v>
      </c>
    </row>
    <row r="3843" ht="15.35" customHeight="1">
      <c r="A3843" t="s" s="2">
        <v>7166</v>
      </c>
      <c r="B3843" s="4">
        <v>35585</v>
      </c>
      <c r="C3843" s="5">
        <v>600</v>
      </c>
      <c r="D3843" s="5">
        <v>43</v>
      </c>
      <c r="E3843" s="5">
        <v>50</v>
      </c>
      <c r="F3843" t="s" s="2">
        <v>6608</v>
      </c>
      <c r="G3843" t="s" s="2">
        <v>7162</v>
      </c>
      <c r="H3843" s="5">
        <v>820</v>
      </c>
      <c r="I3843" t="s" s="2">
        <v>388</v>
      </c>
      <c r="J3843" t="s" s="2">
        <v>22</v>
      </c>
      <c r="K3843" t="s" s="2">
        <v>7167</v>
      </c>
      <c r="L3843" t="s" s="2">
        <v>3355</v>
      </c>
      <c r="M3843" s="5">
        <v>529103.45</v>
      </c>
      <c r="N3843" s="5">
        <v>6293550.17</v>
      </c>
      <c r="O3843" t="s" s="2">
        <v>305</v>
      </c>
      <c r="P3843" s="5">
        <v>365</v>
      </c>
      <c r="Q3843" t="s" s="2">
        <v>7164</v>
      </c>
      <c r="R3843" t="s" s="2">
        <f>_xlfn.IFERROR(INDEX('model_byCAP'!$D$2:$D$377,MATCH(Q3843,'model_byCAP'!$A$2:$A$377,0)),0)</f>
        <v>6611</v>
      </c>
    </row>
    <row r="3844" ht="15.35" customHeight="1">
      <c r="A3844" t="s" s="2">
        <v>7168</v>
      </c>
      <c r="B3844" s="4">
        <v>35585</v>
      </c>
      <c r="C3844" s="5">
        <v>600</v>
      </c>
      <c r="D3844" s="5">
        <v>43</v>
      </c>
      <c r="E3844" s="5">
        <v>45</v>
      </c>
      <c r="F3844" t="s" s="2">
        <v>42</v>
      </c>
      <c r="G3844" t="s" s="2">
        <v>42</v>
      </c>
      <c r="H3844" s="5">
        <v>820</v>
      </c>
      <c r="I3844" t="s" s="2">
        <v>388</v>
      </c>
      <c r="J3844" t="s" s="2">
        <v>22</v>
      </c>
      <c r="K3844" t="s" s="2">
        <v>7167</v>
      </c>
      <c r="L3844" t="s" s="2">
        <v>502</v>
      </c>
      <c r="M3844" s="5">
        <v>529119.75</v>
      </c>
      <c r="N3844" s="5">
        <v>6293420.41</v>
      </c>
      <c r="O3844" t="s" s="2">
        <v>305</v>
      </c>
      <c r="P3844" s="5">
        <v>366</v>
      </c>
      <c r="Q3844" t="s" s="2">
        <v>43</v>
      </c>
      <c r="R3844" s="5">
        <f>_xlfn.IFERROR(INDEX('model_byCAP'!$D$2:$D$377,MATCH(Q3844,'model_byCAP'!$A$2:$A$377,0)),0)</f>
        <v>0</v>
      </c>
    </row>
    <row r="3845" ht="15.35" customHeight="1">
      <c r="A3845" t="s" s="2">
        <v>7169</v>
      </c>
      <c r="B3845" s="4">
        <v>35748</v>
      </c>
      <c r="C3845" s="5">
        <v>600</v>
      </c>
      <c r="D3845" s="5">
        <v>48</v>
      </c>
      <c r="E3845" s="5">
        <v>47.5</v>
      </c>
      <c r="F3845" t="s" s="2">
        <v>1746</v>
      </c>
      <c r="G3845" t="s" s="2">
        <v>6024</v>
      </c>
      <c r="H3845" s="5">
        <v>820</v>
      </c>
      <c r="I3845" t="s" s="2">
        <v>388</v>
      </c>
      <c r="J3845" t="s" s="2">
        <v>22</v>
      </c>
      <c r="K3845" t="s" s="2">
        <v>7170</v>
      </c>
      <c r="L3845" t="s" s="2">
        <v>403</v>
      </c>
      <c r="M3845" s="5">
        <v>527740.73</v>
      </c>
      <c r="N3845" s="5">
        <v>6288669.42</v>
      </c>
      <c r="O3845" t="s" s="2">
        <v>305</v>
      </c>
      <c r="P3845" s="5">
        <v>369</v>
      </c>
      <c r="Q3845" t="s" s="2">
        <v>6025</v>
      </c>
      <c r="R3845" t="s" s="2">
        <f>_xlfn.IFERROR(INDEX('model_byCAP'!$D$2:$D$377,MATCH(Q3845,'model_byCAP'!$A$2:$A$377,0)),0)</f>
        <v>2955</v>
      </c>
    </row>
    <row r="3846" ht="15.35" customHeight="1">
      <c r="A3846" t="s" s="2">
        <v>7171</v>
      </c>
      <c r="B3846" s="4">
        <v>35781</v>
      </c>
      <c r="C3846" s="5">
        <v>600</v>
      </c>
      <c r="D3846" s="5">
        <v>44</v>
      </c>
      <c r="E3846" s="5">
        <v>45</v>
      </c>
      <c r="F3846" t="s" s="2">
        <v>301</v>
      </c>
      <c r="G3846" t="s" s="2">
        <v>5700</v>
      </c>
      <c r="H3846" s="5">
        <v>820</v>
      </c>
      <c r="I3846" t="s" s="2">
        <v>388</v>
      </c>
      <c r="J3846" t="s" s="2">
        <v>22</v>
      </c>
      <c r="K3846" t="s" s="2">
        <v>7172</v>
      </c>
      <c r="L3846" t="s" s="2">
        <v>1161</v>
      </c>
      <c r="M3846" s="5">
        <v>520368.84</v>
      </c>
      <c r="N3846" s="5">
        <v>6288430.31</v>
      </c>
      <c r="O3846" t="s" s="2">
        <v>305</v>
      </c>
      <c r="P3846" s="5">
        <v>498</v>
      </c>
      <c r="Q3846" t="s" s="2">
        <v>5701</v>
      </c>
      <c r="R3846" t="s" s="2">
        <f>_xlfn.IFERROR(INDEX('model_byCAP'!$D$2:$D$377,MATCH(Q3846,'model_byCAP'!$A$2:$A$377,0)),0)</f>
        <v>5702</v>
      </c>
    </row>
    <row r="3847" ht="15.35" customHeight="1">
      <c r="A3847" t="s" s="2">
        <v>7173</v>
      </c>
      <c r="B3847" s="4">
        <v>35781</v>
      </c>
      <c r="C3847" s="5">
        <v>600</v>
      </c>
      <c r="D3847" s="5">
        <v>44</v>
      </c>
      <c r="E3847" s="5">
        <v>45</v>
      </c>
      <c r="F3847" t="s" s="2">
        <v>301</v>
      </c>
      <c r="G3847" t="s" s="2">
        <v>5700</v>
      </c>
      <c r="H3847" s="5">
        <v>820</v>
      </c>
      <c r="I3847" t="s" s="2">
        <v>388</v>
      </c>
      <c r="J3847" t="s" s="2">
        <v>22</v>
      </c>
      <c r="K3847" t="s" s="2">
        <v>7172</v>
      </c>
      <c r="L3847" t="s" s="2">
        <v>7174</v>
      </c>
      <c r="M3847" s="5">
        <v>520128.03</v>
      </c>
      <c r="N3847" s="5">
        <v>6288473.66</v>
      </c>
      <c r="O3847" t="s" s="2">
        <v>305</v>
      </c>
      <c r="P3847" s="5">
        <v>499</v>
      </c>
      <c r="Q3847" t="s" s="2">
        <v>5701</v>
      </c>
      <c r="R3847" t="s" s="2">
        <f>_xlfn.IFERROR(INDEX('model_byCAP'!$D$2:$D$377,MATCH(Q3847,'model_byCAP'!$A$2:$A$377,0)),0)</f>
        <v>5702</v>
      </c>
    </row>
    <row r="3848" ht="15.35" customHeight="1">
      <c r="A3848" t="s" s="2">
        <v>7175</v>
      </c>
      <c r="B3848" s="4">
        <v>35781</v>
      </c>
      <c r="C3848" s="5">
        <v>600</v>
      </c>
      <c r="D3848" s="5">
        <v>44</v>
      </c>
      <c r="E3848" s="5">
        <v>45</v>
      </c>
      <c r="F3848" t="s" s="2">
        <v>301</v>
      </c>
      <c r="G3848" t="s" s="2">
        <v>5700</v>
      </c>
      <c r="H3848" s="5">
        <v>820</v>
      </c>
      <c r="I3848" t="s" s="2">
        <v>388</v>
      </c>
      <c r="J3848" t="s" s="2">
        <v>22</v>
      </c>
      <c r="K3848" t="s" s="2">
        <v>7172</v>
      </c>
      <c r="L3848" t="s" s="2">
        <v>7176</v>
      </c>
      <c r="M3848" s="5">
        <v>519890.16</v>
      </c>
      <c r="N3848" s="5">
        <v>6288515.31</v>
      </c>
      <c r="O3848" t="s" s="2">
        <v>305</v>
      </c>
      <c r="P3848" s="5">
        <v>500</v>
      </c>
      <c r="Q3848" t="s" s="2">
        <v>5701</v>
      </c>
      <c r="R3848" t="s" s="2">
        <f>_xlfn.IFERROR(INDEX('model_byCAP'!$D$2:$D$377,MATCH(Q3848,'model_byCAP'!$A$2:$A$377,0)),0)</f>
        <v>5702</v>
      </c>
    </row>
    <row r="3849" ht="15.35" customHeight="1">
      <c r="A3849" t="s" s="2">
        <v>7177</v>
      </c>
      <c r="B3849" s="4">
        <v>35781</v>
      </c>
      <c r="C3849" s="5">
        <v>600</v>
      </c>
      <c r="D3849" s="5">
        <v>44</v>
      </c>
      <c r="E3849" s="5">
        <v>45</v>
      </c>
      <c r="F3849" t="s" s="2">
        <v>301</v>
      </c>
      <c r="G3849" t="s" s="2">
        <v>5700</v>
      </c>
      <c r="H3849" s="5">
        <v>820</v>
      </c>
      <c r="I3849" t="s" s="2">
        <v>388</v>
      </c>
      <c r="J3849" t="s" s="2">
        <v>22</v>
      </c>
      <c r="K3849" t="s" s="2">
        <v>7172</v>
      </c>
      <c r="L3849" t="s" s="2">
        <v>7178</v>
      </c>
      <c r="M3849" s="5">
        <v>519948.65</v>
      </c>
      <c r="N3849" s="5">
        <v>6288728.81</v>
      </c>
      <c r="O3849" t="s" s="2">
        <v>305</v>
      </c>
      <c r="P3849" s="5">
        <v>501</v>
      </c>
      <c r="Q3849" t="s" s="2">
        <v>5701</v>
      </c>
      <c r="R3849" t="s" s="2">
        <f>_xlfn.IFERROR(INDEX('model_byCAP'!$D$2:$D$377,MATCH(Q3849,'model_byCAP'!$A$2:$A$377,0)),0)</f>
        <v>5702</v>
      </c>
    </row>
    <row r="3850" ht="15.35" customHeight="1">
      <c r="A3850" t="s" s="2">
        <v>7179</v>
      </c>
      <c r="B3850" s="4">
        <v>35781</v>
      </c>
      <c r="C3850" s="5">
        <v>600</v>
      </c>
      <c r="D3850" s="5">
        <v>44</v>
      </c>
      <c r="E3850" s="5">
        <v>45</v>
      </c>
      <c r="F3850" t="s" s="2">
        <v>301</v>
      </c>
      <c r="G3850" t="s" s="2">
        <v>5700</v>
      </c>
      <c r="H3850" s="5">
        <v>820</v>
      </c>
      <c r="I3850" t="s" s="2">
        <v>388</v>
      </c>
      <c r="J3850" t="s" s="2">
        <v>22</v>
      </c>
      <c r="K3850" t="s" s="2">
        <v>7172</v>
      </c>
      <c r="L3850" t="s" s="2">
        <v>7180</v>
      </c>
      <c r="M3850" s="5">
        <v>520187.33</v>
      </c>
      <c r="N3850" s="5">
        <v>6288687.38</v>
      </c>
      <c r="O3850" t="s" s="2">
        <v>305</v>
      </c>
      <c r="P3850" s="5">
        <v>502</v>
      </c>
      <c r="Q3850" t="s" s="2">
        <v>5701</v>
      </c>
      <c r="R3850" t="s" s="2">
        <f>_xlfn.IFERROR(INDEX('model_byCAP'!$D$2:$D$377,MATCH(Q3850,'model_byCAP'!$A$2:$A$377,0)),0)</f>
        <v>5702</v>
      </c>
    </row>
    <row r="3851" ht="15.35" customHeight="1">
      <c r="A3851" t="s" s="2">
        <v>7181</v>
      </c>
      <c r="B3851" s="4">
        <v>35781</v>
      </c>
      <c r="C3851" s="5">
        <v>600</v>
      </c>
      <c r="D3851" s="5">
        <v>44</v>
      </c>
      <c r="E3851" s="5">
        <v>45</v>
      </c>
      <c r="F3851" t="s" s="2">
        <v>301</v>
      </c>
      <c r="G3851" t="s" s="2">
        <v>5700</v>
      </c>
      <c r="H3851" s="5">
        <v>820</v>
      </c>
      <c r="I3851" t="s" s="2">
        <v>388</v>
      </c>
      <c r="J3851" t="s" s="2">
        <v>22</v>
      </c>
      <c r="K3851" t="s" s="2">
        <v>7172</v>
      </c>
      <c r="L3851" t="s" s="2">
        <v>7182</v>
      </c>
      <c r="M3851" s="5">
        <v>520427.17</v>
      </c>
      <c r="N3851" s="5">
        <v>6288643.88</v>
      </c>
      <c r="O3851" t="s" s="2">
        <v>305</v>
      </c>
      <c r="P3851" s="5">
        <v>503</v>
      </c>
      <c r="Q3851" t="s" s="2">
        <v>5701</v>
      </c>
      <c r="R3851" t="s" s="2">
        <f>_xlfn.IFERROR(INDEX('model_byCAP'!$D$2:$D$377,MATCH(Q3851,'model_byCAP'!$A$2:$A$377,0)),0)</f>
        <v>5702</v>
      </c>
    </row>
    <row r="3852" ht="15.35" customHeight="1">
      <c r="A3852" t="s" s="2">
        <v>7183</v>
      </c>
      <c r="B3852" s="4">
        <v>35947</v>
      </c>
      <c r="C3852" s="5">
        <v>600</v>
      </c>
      <c r="D3852" s="5">
        <v>44</v>
      </c>
      <c r="E3852" s="5">
        <v>45</v>
      </c>
      <c r="F3852" t="s" s="2">
        <v>301</v>
      </c>
      <c r="G3852" t="s" s="2">
        <v>5700</v>
      </c>
      <c r="H3852" s="5">
        <v>820</v>
      </c>
      <c r="I3852" t="s" s="2">
        <v>388</v>
      </c>
      <c r="J3852" t="s" s="2">
        <v>22</v>
      </c>
      <c r="K3852" t="s" s="2">
        <v>4977</v>
      </c>
      <c r="L3852" t="s" s="2">
        <v>7184</v>
      </c>
      <c r="M3852" s="5">
        <v>522163.24</v>
      </c>
      <c r="N3852" s="5">
        <v>6294895.55</v>
      </c>
      <c r="O3852" t="s" s="2">
        <v>305</v>
      </c>
      <c r="P3852" s="5">
        <v>504</v>
      </c>
      <c r="Q3852" t="s" s="2">
        <v>5701</v>
      </c>
      <c r="R3852" t="s" s="2">
        <f>_xlfn.IFERROR(INDEX('model_byCAP'!$D$2:$D$377,MATCH(Q3852,'model_byCAP'!$A$2:$A$377,0)),0)</f>
        <v>5702</v>
      </c>
    </row>
    <row r="3853" ht="15.35" customHeight="1">
      <c r="A3853" t="s" s="2">
        <v>7185</v>
      </c>
      <c r="B3853" s="4">
        <v>35947</v>
      </c>
      <c r="C3853" s="5">
        <v>600</v>
      </c>
      <c r="D3853" s="5">
        <v>44</v>
      </c>
      <c r="E3853" s="5">
        <v>45</v>
      </c>
      <c r="F3853" t="s" s="2">
        <v>301</v>
      </c>
      <c r="G3853" t="s" s="2">
        <v>5700</v>
      </c>
      <c r="H3853" s="5">
        <v>820</v>
      </c>
      <c r="I3853" t="s" s="2">
        <v>388</v>
      </c>
      <c r="J3853" t="s" s="2">
        <v>22</v>
      </c>
      <c r="K3853" t="s" s="2">
        <v>4977</v>
      </c>
      <c r="L3853" t="s" s="2">
        <v>1285</v>
      </c>
      <c r="M3853" s="5">
        <v>522264.72</v>
      </c>
      <c r="N3853" s="5">
        <v>6295090.29</v>
      </c>
      <c r="O3853" t="s" s="2">
        <v>305</v>
      </c>
      <c r="P3853" s="5">
        <v>505</v>
      </c>
      <c r="Q3853" t="s" s="2">
        <v>5701</v>
      </c>
      <c r="R3853" t="s" s="2">
        <f>_xlfn.IFERROR(INDEX('model_byCAP'!$D$2:$D$377,MATCH(Q3853,'model_byCAP'!$A$2:$A$377,0)),0)</f>
        <v>5702</v>
      </c>
    </row>
    <row r="3854" ht="15.35" customHeight="1">
      <c r="A3854" t="s" s="2">
        <v>7186</v>
      </c>
      <c r="B3854" s="4">
        <v>35947</v>
      </c>
      <c r="C3854" s="5">
        <v>600</v>
      </c>
      <c r="D3854" s="5">
        <v>44</v>
      </c>
      <c r="E3854" s="5">
        <v>45</v>
      </c>
      <c r="F3854" t="s" s="2">
        <v>301</v>
      </c>
      <c r="G3854" t="s" s="2">
        <v>5700</v>
      </c>
      <c r="H3854" s="5">
        <v>820</v>
      </c>
      <c r="I3854" t="s" s="2">
        <v>388</v>
      </c>
      <c r="J3854" t="s" s="2">
        <v>22</v>
      </c>
      <c r="K3854" t="s" s="2">
        <v>4977</v>
      </c>
      <c r="L3854" t="s" s="2">
        <v>1287</v>
      </c>
      <c r="M3854" s="5">
        <v>522069.87</v>
      </c>
      <c r="N3854" s="5">
        <v>6295191.74</v>
      </c>
      <c r="O3854" t="s" s="2">
        <v>305</v>
      </c>
      <c r="P3854" s="5">
        <v>506</v>
      </c>
      <c r="Q3854" t="s" s="2">
        <v>5701</v>
      </c>
      <c r="R3854" t="s" s="2">
        <f>_xlfn.IFERROR(INDEX('model_byCAP'!$D$2:$D$377,MATCH(Q3854,'model_byCAP'!$A$2:$A$377,0)),0)</f>
        <v>5702</v>
      </c>
    </row>
    <row r="3855" ht="15.35" customHeight="1">
      <c r="A3855" t="s" s="2">
        <v>7187</v>
      </c>
      <c r="B3855" s="4">
        <v>36060</v>
      </c>
      <c r="C3855" s="5">
        <v>600</v>
      </c>
      <c r="D3855" s="5">
        <v>44</v>
      </c>
      <c r="E3855" s="5">
        <v>40</v>
      </c>
      <c r="F3855" t="s" s="2">
        <v>301</v>
      </c>
      <c r="G3855" t="s" s="2">
        <v>5700</v>
      </c>
      <c r="H3855" s="5">
        <v>820</v>
      </c>
      <c r="I3855" t="s" s="2">
        <v>388</v>
      </c>
      <c r="J3855" t="s" s="2">
        <v>22</v>
      </c>
      <c r="K3855" t="s" s="2">
        <v>7188</v>
      </c>
      <c r="L3855" t="s" s="2">
        <v>1196</v>
      </c>
      <c r="M3855" s="5">
        <v>520573.69</v>
      </c>
      <c r="N3855" s="5">
        <v>6312085.84</v>
      </c>
      <c r="O3855" t="s" s="2">
        <v>305</v>
      </c>
      <c r="P3855" s="5">
        <v>392</v>
      </c>
      <c r="Q3855" t="s" s="2">
        <v>5701</v>
      </c>
      <c r="R3855" t="s" s="2">
        <f>_xlfn.IFERROR(INDEX('model_byCAP'!$D$2:$D$377,MATCH(Q3855,'model_byCAP'!$A$2:$A$377,0)),0)</f>
        <v>5702</v>
      </c>
    </row>
    <row r="3856" ht="15.35" customHeight="1">
      <c r="A3856" t="s" s="2">
        <v>7189</v>
      </c>
      <c r="B3856" s="4">
        <v>35521</v>
      </c>
      <c r="C3856" s="5">
        <v>600</v>
      </c>
      <c r="D3856" s="5">
        <v>43</v>
      </c>
      <c r="E3856" s="5">
        <v>50</v>
      </c>
      <c r="F3856" t="s" s="2">
        <v>6608</v>
      </c>
      <c r="G3856" t="s" s="2">
        <v>7162</v>
      </c>
      <c r="H3856" s="5">
        <v>840</v>
      </c>
      <c r="I3856" t="s" s="2">
        <v>973</v>
      </c>
      <c r="J3856" t="s" s="2">
        <v>22</v>
      </c>
      <c r="K3856" t="s" s="2">
        <v>7190</v>
      </c>
      <c r="L3856" t="s" s="2">
        <v>7191</v>
      </c>
      <c r="M3856" s="5">
        <v>546087.1899999999</v>
      </c>
      <c r="N3856" s="5">
        <v>6305941.33</v>
      </c>
      <c r="O3856" t="s" s="2">
        <v>305</v>
      </c>
      <c r="P3856" s="5">
        <v>486</v>
      </c>
      <c r="Q3856" t="s" s="2">
        <v>7164</v>
      </c>
      <c r="R3856" t="s" s="2">
        <f>_xlfn.IFERROR(INDEX('model_byCAP'!$D$2:$D$377,MATCH(Q3856,'model_byCAP'!$A$2:$A$377,0)),0)</f>
        <v>6611</v>
      </c>
    </row>
    <row r="3857" ht="15.35" customHeight="1">
      <c r="A3857" t="s" s="2">
        <v>7192</v>
      </c>
      <c r="B3857" s="4">
        <v>35521</v>
      </c>
      <c r="C3857" s="5">
        <v>600</v>
      </c>
      <c r="D3857" s="5">
        <v>43</v>
      </c>
      <c r="E3857" s="5">
        <v>50</v>
      </c>
      <c r="F3857" t="s" s="2">
        <v>6608</v>
      </c>
      <c r="G3857" t="s" s="2">
        <v>7162</v>
      </c>
      <c r="H3857" s="5">
        <v>840</v>
      </c>
      <c r="I3857" t="s" s="2">
        <v>973</v>
      </c>
      <c r="J3857" t="s" s="2">
        <v>22</v>
      </c>
      <c r="K3857" t="s" s="2">
        <v>7190</v>
      </c>
      <c r="L3857" t="s" s="2">
        <v>1451</v>
      </c>
      <c r="M3857" s="5">
        <v>546079.51</v>
      </c>
      <c r="N3857" s="5">
        <v>6305841.34</v>
      </c>
      <c r="O3857" t="s" s="2">
        <v>305</v>
      </c>
      <c r="P3857" s="5">
        <v>487</v>
      </c>
      <c r="Q3857" t="s" s="2">
        <v>7164</v>
      </c>
      <c r="R3857" t="s" s="2">
        <f>_xlfn.IFERROR(INDEX('model_byCAP'!$D$2:$D$377,MATCH(Q3857,'model_byCAP'!$A$2:$A$377,0)),0)</f>
        <v>6611</v>
      </c>
    </row>
    <row r="3858" ht="15.35" customHeight="1">
      <c r="A3858" t="s" s="2">
        <v>7193</v>
      </c>
      <c r="B3858" s="4">
        <v>35521</v>
      </c>
      <c r="C3858" s="5">
        <v>600</v>
      </c>
      <c r="D3858" s="5">
        <v>43</v>
      </c>
      <c r="E3858" s="5">
        <v>50</v>
      </c>
      <c r="F3858" t="s" s="2">
        <v>6608</v>
      </c>
      <c r="G3858" t="s" s="2">
        <v>7162</v>
      </c>
      <c r="H3858" s="5">
        <v>840</v>
      </c>
      <c r="I3858" t="s" s="2">
        <v>973</v>
      </c>
      <c r="J3858" t="s" s="2">
        <v>22</v>
      </c>
      <c r="K3858" t="s" s="2">
        <v>7190</v>
      </c>
      <c r="L3858" t="s" s="2">
        <v>7194</v>
      </c>
      <c r="M3858" s="5">
        <v>546069.14</v>
      </c>
      <c r="N3858" s="5">
        <v>6305739.95</v>
      </c>
      <c r="O3858" t="s" s="2">
        <v>305</v>
      </c>
      <c r="P3858" s="5">
        <v>488</v>
      </c>
      <c r="Q3858" t="s" s="2">
        <v>7164</v>
      </c>
      <c r="R3858" t="s" s="2">
        <f>_xlfn.IFERROR(INDEX('model_byCAP'!$D$2:$D$377,MATCH(Q3858,'model_byCAP'!$A$2:$A$377,0)),0)</f>
        <v>6611</v>
      </c>
    </row>
    <row r="3859" ht="15.35" customHeight="1">
      <c r="A3859" t="s" s="2">
        <v>7195</v>
      </c>
      <c r="B3859" s="4">
        <v>35515</v>
      </c>
      <c r="C3859" s="5">
        <v>600</v>
      </c>
      <c r="D3859" s="5">
        <v>43</v>
      </c>
      <c r="E3859" s="5">
        <v>44.5</v>
      </c>
      <c r="F3859" t="s" s="2">
        <v>42</v>
      </c>
      <c r="G3859" t="s" s="2">
        <v>42</v>
      </c>
      <c r="H3859" s="5">
        <v>840</v>
      </c>
      <c r="I3859" t="s" s="2">
        <v>973</v>
      </c>
      <c r="J3859" t="s" s="2">
        <v>22</v>
      </c>
      <c r="K3859" t="s" s="2">
        <v>5044</v>
      </c>
      <c r="L3859" t="s" s="2">
        <v>518</v>
      </c>
      <c r="M3859" s="5">
        <v>542624.64</v>
      </c>
      <c r="N3859" s="5">
        <v>6291169.7</v>
      </c>
      <c r="O3859" t="s" s="2">
        <v>305</v>
      </c>
      <c r="P3859" s="5">
        <v>361</v>
      </c>
      <c r="Q3859" t="s" s="2">
        <v>43</v>
      </c>
      <c r="R3859" s="5">
        <f>_xlfn.IFERROR(INDEX('model_byCAP'!$D$2:$D$377,MATCH(Q3859,'model_byCAP'!$A$2:$A$377,0)),0)</f>
        <v>0</v>
      </c>
    </row>
    <row r="3860" ht="15.35" customHeight="1">
      <c r="A3860" t="s" s="2">
        <v>7196</v>
      </c>
      <c r="B3860" s="4">
        <v>35515</v>
      </c>
      <c r="C3860" s="5">
        <v>600</v>
      </c>
      <c r="D3860" s="5">
        <v>43</v>
      </c>
      <c r="E3860" s="5">
        <v>44.5</v>
      </c>
      <c r="F3860" t="s" s="2">
        <v>42</v>
      </c>
      <c r="G3860" t="s" s="2">
        <v>42</v>
      </c>
      <c r="H3860" s="5">
        <v>840</v>
      </c>
      <c r="I3860" t="s" s="2">
        <v>973</v>
      </c>
      <c r="J3860" t="s" s="2">
        <v>22</v>
      </c>
      <c r="K3860" t="s" s="2">
        <v>5044</v>
      </c>
      <c r="L3860" t="s" s="2">
        <v>518</v>
      </c>
      <c r="M3860" s="5">
        <v>542639.3</v>
      </c>
      <c r="N3860" s="5">
        <v>6290997.32</v>
      </c>
      <c r="O3860" t="s" s="2">
        <v>305</v>
      </c>
      <c r="P3860" s="5">
        <v>362</v>
      </c>
      <c r="Q3860" t="s" s="2">
        <v>43</v>
      </c>
      <c r="R3860" s="5">
        <f>_xlfn.IFERROR(INDEX('model_byCAP'!$D$2:$D$377,MATCH(Q3860,'model_byCAP'!$A$2:$A$377,0)),0)</f>
        <v>0</v>
      </c>
    </row>
    <row r="3861" ht="15.35" customHeight="1">
      <c r="A3861" t="s" s="2">
        <v>7197</v>
      </c>
      <c r="B3861" s="4">
        <v>35713</v>
      </c>
      <c r="C3861" s="5">
        <v>600</v>
      </c>
      <c r="D3861" s="5">
        <v>48</v>
      </c>
      <c r="E3861" s="5">
        <v>46.4</v>
      </c>
      <c r="F3861" t="s" s="2">
        <v>1746</v>
      </c>
      <c r="G3861" t="s" s="2">
        <v>4302</v>
      </c>
      <c r="H3861" s="5">
        <v>840</v>
      </c>
      <c r="I3861" t="s" s="2">
        <v>973</v>
      </c>
      <c r="J3861" t="s" s="2">
        <v>22</v>
      </c>
      <c r="K3861" t="s" s="2">
        <v>7198</v>
      </c>
      <c r="L3861" t="s" s="2">
        <v>396</v>
      </c>
      <c r="M3861" s="5">
        <v>543953.8100000001</v>
      </c>
      <c r="N3861" s="5">
        <v>6309477.16</v>
      </c>
      <c r="O3861" t="s" s="2">
        <v>305</v>
      </c>
      <c r="P3861" s="5">
        <v>496</v>
      </c>
      <c r="Q3861" t="s" s="2">
        <v>4304</v>
      </c>
      <c r="R3861" t="s" s="2">
        <f>_xlfn.IFERROR(INDEX('model_byCAP'!$D$2:$D$377,MATCH(Q3861,'model_byCAP'!$A$2:$A$377,0)),0)</f>
        <v>2955</v>
      </c>
    </row>
    <row r="3862" ht="15.35" customHeight="1">
      <c r="A3862" t="s" s="2">
        <v>7199</v>
      </c>
      <c r="B3862" s="4">
        <v>35713</v>
      </c>
      <c r="C3862" s="5">
        <v>600</v>
      </c>
      <c r="D3862" s="5">
        <v>48</v>
      </c>
      <c r="E3862" s="5">
        <v>46.4</v>
      </c>
      <c r="F3862" t="s" s="2">
        <v>1746</v>
      </c>
      <c r="G3862" t="s" s="2">
        <v>4302</v>
      </c>
      <c r="H3862" s="5">
        <v>840</v>
      </c>
      <c r="I3862" t="s" s="2">
        <v>973</v>
      </c>
      <c r="J3862" t="s" s="2">
        <v>22</v>
      </c>
      <c r="K3862" t="s" s="2">
        <v>7198</v>
      </c>
      <c r="L3862" t="s" s="2">
        <v>1059</v>
      </c>
      <c r="M3862" s="5">
        <v>543967.71</v>
      </c>
      <c r="N3862" s="5">
        <v>6309646.04</v>
      </c>
      <c r="O3862" t="s" s="2">
        <v>305</v>
      </c>
      <c r="P3862" s="5">
        <v>497</v>
      </c>
      <c r="Q3862" t="s" s="2">
        <v>4304</v>
      </c>
      <c r="R3862" t="s" s="2">
        <f>_xlfn.IFERROR(INDEX('model_byCAP'!$D$2:$D$377,MATCH(Q3862,'model_byCAP'!$A$2:$A$377,0)),0)</f>
        <v>2955</v>
      </c>
    </row>
    <row r="3863" ht="15.35" customHeight="1">
      <c r="A3863" t="s" s="2">
        <v>7200</v>
      </c>
      <c r="B3863" s="4">
        <v>35713</v>
      </c>
      <c r="C3863" s="5">
        <v>600</v>
      </c>
      <c r="D3863" s="5">
        <v>48</v>
      </c>
      <c r="E3863" s="5">
        <v>46.4</v>
      </c>
      <c r="F3863" t="s" s="2">
        <v>1746</v>
      </c>
      <c r="G3863" t="s" s="2">
        <v>4302</v>
      </c>
      <c r="H3863" s="5">
        <v>840</v>
      </c>
      <c r="I3863" t="s" s="2">
        <v>973</v>
      </c>
      <c r="J3863" t="s" s="2">
        <v>22</v>
      </c>
      <c r="K3863" t="s" s="2">
        <v>7198</v>
      </c>
      <c r="L3863" t="s" s="2">
        <v>524</v>
      </c>
      <c r="M3863" s="5">
        <v>543939.77</v>
      </c>
      <c r="N3863" s="5">
        <v>6309302.19</v>
      </c>
      <c r="O3863" t="s" s="2">
        <v>305</v>
      </c>
      <c r="P3863" s="5">
        <v>497</v>
      </c>
      <c r="Q3863" t="s" s="2">
        <v>4304</v>
      </c>
      <c r="R3863" t="s" s="2">
        <f>_xlfn.IFERROR(INDEX('model_byCAP'!$D$2:$D$377,MATCH(Q3863,'model_byCAP'!$A$2:$A$377,0)),0)</f>
        <v>2955</v>
      </c>
    </row>
    <row r="3864" ht="15.35" customHeight="1">
      <c r="A3864" t="s" s="2">
        <v>7201</v>
      </c>
      <c r="B3864" s="4">
        <v>35400</v>
      </c>
      <c r="C3864" s="5">
        <v>600</v>
      </c>
      <c r="D3864" s="5">
        <v>43</v>
      </c>
      <c r="E3864" s="5">
        <v>44.5</v>
      </c>
      <c r="F3864" t="s" s="2">
        <v>42</v>
      </c>
      <c r="G3864" t="s" s="2">
        <v>42</v>
      </c>
      <c r="H3864" s="5">
        <v>846</v>
      </c>
      <c r="I3864" t="s" s="2">
        <v>429</v>
      </c>
      <c r="J3864" t="s" s="2">
        <v>22</v>
      </c>
      <c r="K3864" t="s" s="2">
        <v>7202</v>
      </c>
      <c r="L3864" t="s" s="2">
        <v>7203</v>
      </c>
      <c r="M3864" s="5">
        <v>552865.26</v>
      </c>
      <c r="N3864" s="5">
        <v>6284725.39</v>
      </c>
      <c r="O3864" t="s" s="2">
        <v>305</v>
      </c>
      <c r="P3864" s="5">
        <v>335</v>
      </c>
      <c r="Q3864" t="s" s="2">
        <v>43</v>
      </c>
      <c r="R3864" s="5">
        <f>_xlfn.IFERROR(INDEX('model_byCAP'!$D$2:$D$377,MATCH(Q3864,'model_byCAP'!$A$2:$A$377,0)),0)</f>
        <v>0</v>
      </c>
    </row>
    <row r="3865" ht="15.35" customHeight="1">
      <c r="A3865" t="s" s="2">
        <v>7204</v>
      </c>
      <c r="B3865" s="4">
        <v>35400</v>
      </c>
      <c r="C3865" s="5">
        <v>600</v>
      </c>
      <c r="D3865" s="5">
        <v>43</v>
      </c>
      <c r="E3865" s="5">
        <v>44.5</v>
      </c>
      <c r="F3865" t="s" s="2">
        <v>42</v>
      </c>
      <c r="G3865" t="s" s="2">
        <v>42</v>
      </c>
      <c r="H3865" s="5">
        <v>846</v>
      </c>
      <c r="I3865" t="s" s="2">
        <v>429</v>
      </c>
      <c r="J3865" t="s" s="2">
        <v>22</v>
      </c>
      <c r="K3865" t="s" s="2">
        <v>7202</v>
      </c>
      <c r="L3865" t="s" s="2">
        <v>5109</v>
      </c>
      <c r="M3865" s="5">
        <v>552998.22</v>
      </c>
      <c r="N3865" s="5">
        <v>6284695.45</v>
      </c>
      <c r="O3865" t="s" s="2">
        <v>305</v>
      </c>
      <c r="P3865" s="5">
        <v>336</v>
      </c>
      <c r="Q3865" t="s" s="2">
        <v>43</v>
      </c>
      <c r="R3865" s="5">
        <f>_xlfn.IFERROR(INDEX('model_byCAP'!$D$2:$D$377,MATCH(Q3865,'model_byCAP'!$A$2:$A$377,0)),0)</f>
        <v>0</v>
      </c>
    </row>
    <row r="3866" ht="15.35" customHeight="1">
      <c r="A3866" t="s" s="2">
        <v>7205</v>
      </c>
      <c r="B3866" s="4">
        <v>35462</v>
      </c>
      <c r="C3866" s="5">
        <v>600</v>
      </c>
      <c r="D3866" s="5">
        <v>43</v>
      </c>
      <c r="E3866" s="5">
        <v>44.5</v>
      </c>
      <c r="F3866" t="s" s="2">
        <v>42</v>
      </c>
      <c r="G3866" t="s" s="2">
        <v>42</v>
      </c>
      <c r="H3866" s="5">
        <v>846</v>
      </c>
      <c r="I3866" t="s" s="2">
        <v>429</v>
      </c>
      <c r="J3866" t="s" s="2">
        <v>22</v>
      </c>
      <c r="K3866" t="s" s="2">
        <v>7206</v>
      </c>
      <c r="L3866" t="s" s="2">
        <v>582</v>
      </c>
      <c r="M3866" s="5">
        <v>553992.23</v>
      </c>
      <c r="N3866" s="5">
        <v>6285748.11</v>
      </c>
      <c r="O3866" t="s" s="2">
        <v>305</v>
      </c>
      <c r="P3866" s="5">
        <v>341</v>
      </c>
      <c r="Q3866" t="s" s="2">
        <v>43</v>
      </c>
      <c r="R3866" s="5">
        <f>_xlfn.IFERROR(INDEX('model_byCAP'!$D$2:$D$377,MATCH(Q3866,'model_byCAP'!$A$2:$A$377,0)),0)</f>
        <v>0</v>
      </c>
    </row>
    <row r="3867" ht="15.35" customHeight="1">
      <c r="A3867" t="s" s="2">
        <v>7207</v>
      </c>
      <c r="B3867" s="4">
        <v>35462</v>
      </c>
      <c r="C3867" s="5">
        <v>600</v>
      </c>
      <c r="D3867" s="5">
        <v>43</v>
      </c>
      <c r="E3867" s="5">
        <v>44.5</v>
      </c>
      <c r="F3867" t="s" s="2">
        <v>42</v>
      </c>
      <c r="G3867" t="s" s="2">
        <v>42</v>
      </c>
      <c r="H3867" s="5">
        <v>846</v>
      </c>
      <c r="I3867" t="s" s="2">
        <v>429</v>
      </c>
      <c r="J3867" t="s" s="2">
        <v>22</v>
      </c>
      <c r="K3867" t="s" s="2">
        <v>7206</v>
      </c>
      <c r="L3867" t="s" s="2">
        <v>1165</v>
      </c>
      <c r="M3867" s="5">
        <v>554151.61</v>
      </c>
      <c r="N3867" s="5">
        <v>6285688.32</v>
      </c>
      <c r="O3867" t="s" s="2">
        <v>305</v>
      </c>
      <c r="P3867" s="5">
        <v>342</v>
      </c>
      <c r="Q3867" t="s" s="2">
        <v>43</v>
      </c>
      <c r="R3867" s="5">
        <f>_xlfn.IFERROR(INDEX('model_byCAP'!$D$2:$D$377,MATCH(Q3867,'model_byCAP'!$A$2:$A$377,0)),0)</f>
        <v>0</v>
      </c>
    </row>
    <row r="3868" ht="15.35" customHeight="1">
      <c r="A3868" t="s" s="2">
        <v>7208</v>
      </c>
      <c r="B3868" s="4">
        <v>35400</v>
      </c>
      <c r="C3868" s="5">
        <v>600</v>
      </c>
      <c r="D3868" s="5">
        <v>43</v>
      </c>
      <c r="E3868" s="5">
        <v>44.5</v>
      </c>
      <c r="F3868" t="s" s="2">
        <v>42</v>
      </c>
      <c r="G3868" t="s" s="2">
        <v>42</v>
      </c>
      <c r="H3868" s="5">
        <v>846</v>
      </c>
      <c r="I3868" t="s" s="2">
        <v>429</v>
      </c>
      <c r="J3868" t="s" s="2">
        <v>22</v>
      </c>
      <c r="K3868" t="s" s="2">
        <v>7209</v>
      </c>
      <c r="L3868" t="s" s="2">
        <v>7210</v>
      </c>
      <c r="M3868" s="5">
        <v>553141.41</v>
      </c>
      <c r="N3868" s="5">
        <v>6284188.36</v>
      </c>
      <c r="O3868" t="s" s="2">
        <v>305</v>
      </c>
      <c r="P3868" s="5">
        <v>343</v>
      </c>
      <c r="Q3868" t="s" s="2">
        <v>43</v>
      </c>
      <c r="R3868" s="5">
        <f>_xlfn.IFERROR(INDEX('model_byCAP'!$D$2:$D$377,MATCH(Q3868,'model_byCAP'!$A$2:$A$377,0)),0)</f>
        <v>0</v>
      </c>
    </row>
    <row r="3869" ht="15.35" customHeight="1">
      <c r="A3869" t="s" s="2">
        <v>7211</v>
      </c>
      <c r="B3869" s="4">
        <v>35400</v>
      </c>
      <c r="C3869" s="5">
        <v>600</v>
      </c>
      <c r="D3869" s="5">
        <v>43</v>
      </c>
      <c r="E3869" s="5">
        <v>44.5</v>
      </c>
      <c r="F3869" t="s" s="2">
        <v>42</v>
      </c>
      <c r="G3869" t="s" s="2">
        <v>42</v>
      </c>
      <c r="H3869" s="5">
        <v>846</v>
      </c>
      <c r="I3869" t="s" s="2">
        <v>429</v>
      </c>
      <c r="J3869" t="s" s="2">
        <v>22</v>
      </c>
      <c r="K3869" t="s" s="2">
        <v>7209</v>
      </c>
      <c r="L3869" t="s" s="2">
        <v>4983</v>
      </c>
      <c r="M3869" s="5">
        <v>553343.92</v>
      </c>
      <c r="N3869" s="5">
        <v>6284201.04</v>
      </c>
      <c r="O3869" t="s" s="2">
        <v>305</v>
      </c>
      <c r="P3869" s="5">
        <v>344</v>
      </c>
      <c r="Q3869" t="s" s="2">
        <v>43</v>
      </c>
      <c r="R3869" s="5">
        <f>_xlfn.IFERROR(INDEX('model_byCAP'!$D$2:$D$377,MATCH(Q3869,'model_byCAP'!$A$2:$A$377,0)),0)</f>
        <v>0</v>
      </c>
    </row>
    <row r="3870" ht="15.35" customHeight="1">
      <c r="A3870" t="s" s="2">
        <v>7212</v>
      </c>
      <c r="B3870" s="4">
        <v>35430</v>
      </c>
      <c r="C3870" s="5">
        <v>600</v>
      </c>
      <c r="D3870" s="5">
        <v>44</v>
      </c>
      <c r="E3870" s="5">
        <v>46</v>
      </c>
      <c r="F3870" t="s" s="2">
        <v>3604</v>
      </c>
      <c r="G3870" t="s" s="2">
        <v>6916</v>
      </c>
      <c r="H3870" s="5">
        <v>846</v>
      </c>
      <c r="I3870" t="s" s="2">
        <v>429</v>
      </c>
      <c r="J3870" t="s" s="2">
        <v>22</v>
      </c>
      <c r="K3870" t="s" s="2">
        <v>7213</v>
      </c>
      <c r="L3870" t="s" s="2">
        <v>405</v>
      </c>
      <c r="M3870" s="5">
        <v>548932.04</v>
      </c>
      <c r="N3870" s="5">
        <v>6283146.65</v>
      </c>
      <c r="O3870" t="s" s="2">
        <v>305</v>
      </c>
      <c r="P3870" s="5">
        <v>476</v>
      </c>
      <c r="Q3870" t="s" s="2">
        <v>6918</v>
      </c>
      <c r="R3870" t="s" s="2">
        <f>_xlfn.IFERROR(INDEX('model_byCAP'!$D$2:$D$377,MATCH(Q3870,'model_byCAP'!$A$2:$A$377,0)),0)</f>
        <v>2955</v>
      </c>
    </row>
    <row r="3871" ht="15.35" customHeight="1">
      <c r="A3871" t="s" s="2">
        <v>7214</v>
      </c>
      <c r="B3871" s="4">
        <v>35430</v>
      </c>
      <c r="C3871" s="5">
        <v>600</v>
      </c>
      <c r="D3871" s="5">
        <v>48</v>
      </c>
      <c r="E3871" s="5">
        <v>46</v>
      </c>
      <c r="F3871" t="s" s="2">
        <v>3604</v>
      </c>
      <c r="G3871" t="s" s="2">
        <v>6916</v>
      </c>
      <c r="H3871" s="5">
        <v>846</v>
      </c>
      <c r="I3871" t="s" s="2">
        <v>429</v>
      </c>
      <c r="J3871" t="s" s="2">
        <v>22</v>
      </c>
      <c r="K3871" t="s" s="2">
        <v>7213</v>
      </c>
      <c r="L3871" t="s" s="2">
        <v>1504</v>
      </c>
      <c r="M3871" s="5">
        <v>549160.97</v>
      </c>
      <c r="N3871" s="5">
        <v>6283169.44</v>
      </c>
      <c r="O3871" t="s" s="2">
        <v>305</v>
      </c>
      <c r="P3871" s="5">
        <v>477</v>
      </c>
      <c r="Q3871" t="s" s="2">
        <v>6918</v>
      </c>
      <c r="R3871" t="s" s="2">
        <f>_xlfn.IFERROR(INDEX('model_byCAP'!$D$2:$D$377,MATCH(Q3871,'model_byCAP'!$A$2:$A$377,0)),0)</f>
        <v>2955</v>
      </c>
    </row>
    <row r="3872" ht="15.35" customHeight="1">
      <c r="A3872" t="s" s="2">
        <v>7215</v>
      </c>
      <c r="B3872" s="4">
        <v>35430</v>
      </c>
      <c r="C3872" s="5">
        <v>600</v>
      </c>
      <c r="D3872" s="5">
        <v>48</v>
      </c>
      <c r="E3872" s="5">
        <v>46</v>
      </c>
      <c r="F3872" t="s" s="2">
        <v>3604</v>
      </c>
      <c r="G3872" t="s" s="2">
        <v>6916</v>
      </c>
      <c r="H3872" s="5">
        <v>846</v>
      </c>
      <c r="I3872" t="s" s="2">
        <v>429</v>
      </c>
      <c r="J3872" t="s" s="2">
        <v>22</v>
      </c>
      <c r="K3872" t="s" s="2">
        <v>7213</v>
      </c>
      <c r="L3872" t="s" s="2">
        <v>1057</v>
      </c>
      <c r="M3872" s="5">
        <v>549389.05</v>
      </c>
      <c r="N3872" s="5">
        <v>6283192.47</v>
      </c>
      <c r="O3872" t="s" s="2">
        <v>305</v>
      </c>
      <c r="P3872" s="5">
        <v>478</v>
      </c>
      <c r="Q3872" t="s" s="2">
        <v>6918</v>
      </c>
      <c r="R3872" t="s" s="2">
        <f>_xlfn.IFERROR(INDEX('model_byCAP'!$D$2:$D$377,MATCH(Q3872,'model_byCAP'!$A$2:$A$377,0)),0)</f>
        <v>2955</v>
      </c>
    </row>
    <row r="3873" ht="15.35" customHeight="1">
      <c r="A3873" t="s" s="2">
        <v>7216</v>
      </c>
      <c r="B3873" s="4">
        <v>35430</v>
      </c>
      <c r="C3873" s="5">
        <v>600</v>
      </c>
      <c r="D3873" s="5">
        <v>44</v>
      </c>
      <c r="E3873" s="5">
        <v>46</v>
      </c>
      <c r="F3873" t="s" s="2">
        <v>3604</v>
      </c>
      <c r="G3873" t="s" s="2">
        <v>6916</v>
      </c>
      <c r="H3873" s="5">
        <v>846</v>
      </c>
      <c r="I3873" t="s" s="2">
        <v>429</v>
      </c>
      <c r="J3873" t="s" s="2">
        <v>22</v>
      </c>
      <c r="K3873" t="s" s="2">
        <v>7213</v>
      </c>
      <c r="L3873" t="s" s="2">
        <v>1744</v>
      </c>
      <c r="M3873" s="5">
        <v>549616.8199999999</v>
      </c>
      <c r="N3873" s="5">
        <v>6283215.61</v>
      </c>
      <c r="O3873" t="s" s="2">
        <v>305</v>
      </c>
      <c r="P3873" s="5">
        <v>479</v>
      </c>
      <c r="Q3873" t="s" s="2">
        <v>6918</v>
      </c>
      <c r="R3873" t="s" s="2">
        <f>_xlfn.IFERROR(INDEX('model_byCAP'!$D$2:$D$377,MATCH(Q3873,'model_byCAP'!$A$2:$A$377,0)),0)</f>
        <v>2955</v>
      </c>
    </row>
    <row r="3874" ht="15.35" customHeight="1">
      <c r="A3874" t="s" s="2">
        <v>7217</v>
      </c>
      <c r="B3874" s="4">
        <v>35430</v>
      </c>
      <c r="C3874" s="5">
        <v>600</v>
      </c>
      <c r="D3874" s="5">
        <v>44</v>
      </c>
      <c r="E3874" s="5">
        <v>46</v>
      </c>
      <c r="F3874" t="s" s="2">
        <v>3604</v>
      </c>
      <c r="G3874" t="s" s="2">
        <v>6916</v>
      </c>
      <c r="H3874" s="5">
        <v>846</v>
      </c>
      <c r="I3874" t="s" s="2">
        <v>429</v>
      </c>
      <c r="J3874" t="s" s="2">
        <v>22</v>
      </c>
      <c r="K3874" t="s" s="2">
        <v>7213</v>
      </c>
      <c r="L3874" t="s" s="2">
        <v>1310</v>
      </c>
      <c r="M3874" s="5">
        <v>549843.99</v>
      </c>
      <c r="N3874" s="5">
        <v>6283237.72</v>
      </c>
      <c r="O3874" t="s" s="2">
        <v>305</v>
      </c>
      <c r="P3874" s="5">
        <v>480</v>
      </c>
      <c r="Q3874" t="s" s="2">
        <v>6918</v>
      </c>
      <c r="R3874" t="s" s="2">
        <f>_xlfn.IFERROR(INDEX('model_byCAP'!$D$2:$D$377,MATCH(Q3874,'model_byCAP'!$A$2:$A$377,0)),0)</f>
        <v>2955</v>
      </c>
    </row>
    <row r="3875" ht="15.35" customHeight="1">
      <c r="A3875" t="s" s="2">
        <v>7218</v>
      </c>
      <c r="B3875" s="4">
        <v>35746</v>
      </c>
      <c r="C3875" s="5">
        <v>600</v>
      </c>
      <c r="D3875" s="5">
        <v>43</v>
      </c>
      <c r="E3875" s="5">
        <v>50</v>
      </c>
      <c r="F3875" t="s" s="2">
        <v>6608</v>
      </c>
      <c r="G3875" t="s" s="2">
        <v>7162</v>
      </c>
      <c r="H3875" s="5">
        <v>846</v>
      </c>
      <c r="I3875" t="s" s="2">
        <v>429</v>
      </c>
      <c r="J3875" t="s" s="2">
        <v>22</v>
      </c>
      <c r="K3875" t="s" s="2">
        <v>7206</v>
      </c>
      <c r="L3875" t="s" s="2">
        <v>7219</v>
      </c>
      <c r="M3875" s="5">
        <v>553994.26</v>
      </c>
      <c r="N3875" s="5">
        <v>6287596.85</v>
      </c>
      <c r="O3875" t="s" s="2">
        <v>305</v>
      </c>
      <c r="P3875" s="5">
        <v>374</v>
      </c>
      <c r="Q3875" t="s" s="2">
        <v>7164</v>
      </c>
      <c r="R3875" t="s" s="2">
        <f>_xlfn.IFERROR(INDEX('model_byCAP'!$D$2:$D$377,MATCH(Q3875,'model_byCAP'!$A$2:$A$377,0)),0)</f>
        <v>6611</v>
      </c>
    </row>
    <row r="3876" ht="15.35" customHeight="1">
      <c r="A3876" t="s" s="2">
        <v>7220</v>
      </c>
      <c r="B3876" s="4">
        <v>35746</v>
      </c>
      <c r="C3876" s="5">
        <v>600</v>
      </c>
      <c r="D3876" s="5">
        <v>43</v>
      </c>
      <c r="E3876" s="5">
        <v>50</v>
      </c>
      <c r="F3876" t="s" s="2">
        <v>6608</v>
      </c>
      <c r="G3876" t="s" s="2">
        <v>7162</v>
      </c>
      <c r="H3876" s="5">
        <v>846</v>
      </c>
      <c r="I3876" t="s" s="2">
        <v>429</v>
      </c>
      <c r="J3876" t="s" s="2">
        <v>22</v>
      </c>
      <c r="K3876" t="s" s="2">
        <v>7206</v>
      </c>
      <c r="L3876" t="s" s="2">
        <v>7221</v>
      </c>
      <c r="M3876" s="5">
        <v>553848.5600000001</v>
      </c>
      <c r="N3876" s="5">
        <v>6287631.5</v>
      </c>
      <c r="O3876" t="s" s="2">
        <v>305</v>
      </c>
      <c r="P3876" s="5">
        <v>375</v>
      </c>
      <c r="Q3876" t="s" s="2">
        <v>7164</v>
      </c>
      <c r="R3876" t="s" s="2">
        <f>_xlfn.IFERROR(INDEX('model_byCAP'!$D$2:$D$377,MATCH(Q3876,'model_byCAP'!$A$2:$A$377,0)),0)</f>
        <v>6611</v>
      </c>
    </row>
    <row r="3877" ht="15.35" customHeight="1">
      <c r="A3877" t="s" s="2">
        <v>7222</v>
      </c>
      <c r="B3877" s="4">
        <v>35766</v>
      </c>
      <c r="C3877" s="5">
        <v>600</v>
      </c>
      <c r="D3877" s="5">
        <v>43</v>
      </c>
      <c r="E3877" s="5">
        <v>50</v>
      </c>
      <c r="F3877" t="s" s="2">
        <v>6608</v>
      </c>
      <c r="G3877" t="s" s="2">
        <v>7162</v>
      </c>
      <c r="H3877" s="5">
        <v>846</v>
      </c>
      <c r="I3877" t="s" s="2">
        <v>429</v>
      </c>
      <c r="J3877" t="s" s="2">
        <v>22</v>
      </c>
      <c r="K3877" t="s" s="2">
        <v>7223</v>
      </c>
      <c r="L3877" t="s" s="2">
        <v>481</v>
      </c>
      <c r="M3877" s="5">
        <v>552017.85</v>
      </c>
      <c r="N3877" s="5">
        <v>6286943.62</v>
      </c>
      <c r="O3877" t="s" s="2">
        <v>305</v>
      </c>
      <c r="P3877" s="5">
        <v>376</v>
      </c>
      <c r="Q3877" t="s" s="2">
        <v>7164</v>
      </c>
      <c r="R3877" t="s" s="2">
        <f>_xlfn.IFERROR(INDEX('model_byCAP'!$D$2:$D$377,MATCH(Q3877,'model_byCAP'!$A$2:$A$377,0)),0)</f>
        <v>6611</v>
      </c>
    </row>
    <row r="3878" ht="15.35" customHeight="1">
      <c r="A3878" t="s" s="2">
        <v>7224</v>
      </c>
      <c r="B3878" s="4">
        <v>35766</v>
      </c>
      <c r="C3878" s="5">
        <v>600</v>
      </c>
      <c r="D3878" s="5">
        <v>43</v>
      </c>
      <c r="E3878" s="5">
        <v>50</v>
      </c>
      <c r="F3878" t="s" s="2">
        <v>6608</v>
      </c>
      <c r="G3878" t="s" s="2">
        <v>7162</v>
      </c>
      <c r="H3878" s="5">
        <v>846</v>
      </c>
      <c r="I3878" t="s" s="2">
        <v>429</v>
      </c>
      <c r="J3878" t="s" s="2">
        <v>22</v>
      </c>
      <c r="K3878" t="s" s="2">
        <v>7223</v>
      </c>
      <c r="L3878" t="s" s="2">
        <v>481</v>
      </c>
      <c r="M3878" s="5">
        <v>552093.28</v>
      </c>
      <c r="N3878" s="5">
        <v>6286781.04</v>
      </c>
      <c r="O3878" t="s" s="2">
        <v>305</v>
      </c>
      <c r="P3878" s="5">
        <v>377</v>
      </c>
      <c r="Q3878" t="s" s="2">
        <v>7164</v>
      </c>
      <c r="R3878" t="s" s="2">
        <f>_xlfn.IFERROR(INDEX('model_byCAP'!$D$2:$D$377,MATCH(Q3878,'model_byCAP'!$A$2:$A$377,0)),0)</f>
        <v>6611</v>
      </c>
    </row>
    <row r="3879" ht="15.35" customHeight="1">
      <c r="A3879" t="s" s="2">
        <v>7225</v>
      </c>
      <c r="B3879" s="4">
        <v>35411</v>
      </c>
      <c r="C3879" s="5">
        <v>600</v>
      </c>
      <c r="D3879" s="5">
        <v>43</v>
      </c>
      <c r="E3879" s="5">
        <v>39</v>
      </c>
      <c r="F3879" t="s" s="2">
        <v>3604</v>
      </c>
      <c r="G3879" t="s" s="2">
        <v>6190</v>
      </c>
      <c r="H3879" s="5">
        <v>849</v>
      </c>
      <c r="I3879" t="s" s="2">
        <v>411</v>
      </c>
      <c r="J3879" t="s" s="2">
        <v>22</v>
      </c>
      <c r="K3879" t="s" s="2">
        <v>7226</v>
      </c>
      <c r="L3879" t="s" s="2">
        <v>7227</v>
      </c>
      <c r="M3879" s="5">
        <v>546534.0699999999</v>
      </c>
      <c r="N3879" s="5">
        <v>6333897.96</v>
      </c>
      <c r="O3879" t="s" s="2">
        <v>305</v>
      </c>
      <c r="P3879" t="s" s="2">
        <v>7228</v>
      </c>
      <c r="Q3879" t="s" s="2">
        <v>6192</v>
      </c>
      <c r="R3879" t="s" s="2">
        <f>_xlfn.IFERROR(INDEX('model_byCAP'!$D$2:$D$377,MATCH(Q3879,'model_byCAP'!$A$2:$A$377,0)),0)</f>
        <v>4115</v>
      </c>
    </row>
    <row r="3880" ht="15.35" customHeight="1">
      <c r="A3880" t="s" s="2">
        <v>7229</v>
      </c>
      <c r="B3880" s="4">
        <v>35613</v>
      </c>
      <c r="C3880" s="5">
        <v>600</v>
      </c>
      <c r="D3880" s="5">
        <v>43</v>
      </c>
      <c r="E3880" s="5">
        <v>43.3</v>
      </c>
      <c r="F3880" t="s" s="2">
        <v>42</v>
      </c>
      <c r="G3880" t="s" s="2">
        <v>42</v>
      </c>
      <c r="H3880" s="5">
        <v>849</v>
      </c>
      <c r="I3880" t="s" s="2">
        <v>411</v>
      </c>
      <c r="J3880" t="s" s="2">
        <v>22</v>
      </c>
      <c r="K3880" t="s" s="2">
        <v>5850</v>
      </c>
      <c r="L3880" t="s" s="2">
        <v>1608</v>
      </c>
      <c r="M3880" s="5">
        <v>539732.48</v>
      </c>
      <c r="N3880" s="5">
        <v>6331164.8</v>
      </c>
      <c r="O3880" t="s" s="2">
        <v>305</v>
      </c>
      <c r="P3880" t="s" s="2">
        <v>7230</v>
      </c>
      <c r="Q3880" t="s" s="2">
        <v>43</v>
      </c>
      <c r="R3880" s="5">
        <f>_xlfn.IFERROR(INDEX('model_byCAP'!$D$2:$D$377,MATCH(Q3880,'model_byCAP'!$A$2:$A$377,0)),0)</f>
        <v>0</v>
      </c>
    </row>
    <row r="3881" ht="15.35" customHeight="1">
      <c r="A3881" t="s" s="2">
        <v>7231</v>
      </c>
      <c r="B3881" s="4">
        <v>35613</v>
      </c>
      <c r="C3881" s="5">
        <v>600</v>
      </c>
      <c r="D3881" s="5">
        <v>43</v>
      </c>
      <c r="E3881" s="5">
        <v>44.5</v>
      </c>
      <c r="F3881" t="s" s="2">
        <v>42</v>
      </c>
      <c r="G3881" t="s" s="2">
        <v>42</v>
      </c>
      <c r="H3881" s="5">
        <v>849</v>
      </c>
      <c r="I3881" t="s" s="2">
        <v>411</v>
      </c>
      <c r="J3881" t="s" s="2">
        <v>22</v>
      </c>
      <c r="K3881" t="s" s="2">
        <v>5850</v>
      </c>
      <c r="L3881" t="s" s="2">
        <v>403</v>
      </c>
      <c r="M3881" s="5">
        <v>539882.92</v>
      </c>
      <c r="N3881" s="5">
        <v>6331040.2</v>
      </c>
      <c r="O3881" t="s" s="2">
        <v>305</v>
      </c>
      <c r="P3881" t="s" s="2">
        <v>7232</v>
      </c>
      <c r="Q3881" t="s" s="2">
        <v>43</v>
      </c>
      <c r="R3881" s="5">
        <f>_xlfn.IFERROR(INDEX('model_byCAP'!$D$2:$D$377,MATCH(Q3881,'model_byCAP'!$A$2:$A$377,0)),0)</f>
        <v>0</v>
      </c>
    </row>
    <row r="3882" ht="15.35" customHeight="1">
      <c r="A3882" t="s" s="2">
        <v>7233</v>
      </c>
      <c r="B3882" s="4">
        <v>35782</v>
      </c>
      <c r="C3882" s="5">
        <v>600</v>
      </c>
      <c r="D3882" s="5">
        <v>44</v>
      </c>
      <c r="E3882" s="5">
        <v>45</v>
      </c>
      <c r="F3882" t="s" s="2">
        <v>301</v>
      </c>
      <c r="G3882" t="s" s="2">
        <v>5700</v>
      </c>
      <c r="H3882" s="5">
        <v>849</v>
      </c>
      <c r="I3882" t="s" s="2">
        <v>411</v>
      </c>
      <c r="J3882" t="s" s="2">
        <v>22</v>
      </c>
      <c r="K3882" t="s" s="2">
        <v>5850</v>
      </c>
      <c r="L3882" t="s" s="2">
        <v>394</v>
      </c>
      <c r="M3882" s="5">
        <v>539496.48</v>
      </c>
      <c r="N3882" s="5">
        <v>6331096.94</v>
      </c>
      <c r="O3882" t="s" s="2">
        <v>305</v>
      </c>
      <c r="P3882" t="s" s="2">
        <v>7234</v>
      </c>
      <c r="Q3882" t="s" s="2">
        <v>5701</v>
      </c>
      <c r="R3882" t="s" s="2">
        <f>_xlfn.IFERROR(INDEX('model_byCAP'!$D$2:$D$377,MATCH(Q3882,'model_byCAP'!$A$2:$A$377,0)),0)</f>
        <v>5702</v>
      </c>
    </row>
    <row r="3883" ht="15.35" customHeight="1">
      <c r="A3883" t="s" s="2">
        <v>7235</v>
      </c>
      <c r="B3883" s="4">
        <v>35628</v>
      </c>
      <c r="C3883" s="5">
        <v>600</v>
      </c>
      <c r="D3883" s="5">
        <v>44</v>
      </c>
      <c r="E3883" s="5">
        <v>45</v>
      </c>
      <c r="F3883" t="s" s="2">
        <v>301</v>
      </c>
      <c r="G3883" t="s" s="2">
        <v>5700</v>
      </c>
      <c r="H3883" s="5">
        <v>849</v>
      </c>
      <c r="I3883" t="s" s="2">
        <v>411</v>
      </c>
      <c r="J3883" t="s" s="2">
        <v>22</v>
      </c>
      <c r="K3883" t="s" s="2">
        <v>5850</v>
      </c>
      <c r="L3883" t="s" s="2">
        <v>511</v>
      </c>
      <c r="M3883" s="5">
        <v>539647.01</v>
      </c>
      <c r="N3883" s="5">
        <v>6330971.78</v>
      </c>
      <c r="O3883" t="s" s="2">
        <v>305</v>
      </c>
      <c r="P3883" t="s" s="2">
        <v>7236</v>
      </c>
      <c r="Q3883" t="s" s="2">
        <v>5701</v>
      </c>
      <c r="R3883" t="s" s="2">
        <f>_xlfn.IFERROR(INDEX('model_byCAP'!$D$2:$D$377,MATCH(Q3883,'model_byCAP'!$A$2:$A$377,0)),0)</f>
        <v>5702</v>
      </c>
    </row>
    <row r="3884" ht="15.35" customHeight="1">
      <c r="A3884" t="s" s="2">
        <v>7237</v>
      </c>
      <c r="B3884" s="4">
        <v>35706</v>
      </c>
      <c r="C3884" s="5">
        <v>600</v>
      </c>
      <c r="D3884" s="5">
        <v>44</v>
      </c>
      <c r="E3884" s="5">
        <v>45</v>
      </c>
      <c r="F3884" t="s" s="2">
        <v>301</v>
      </c>
      <c r="G3884" t="s" s="2">
        <v>5700</v>
      </c>
      <c r="H3884" s="5">
        <v>849</v>
      </c>
      <c r="I3884" t="s" s="2">
        <v>411</v>
      </c>
      <c r="J3884" t="s" s="2">
        <v>22</v>
      </c>
      <c r="K3884" t="s" s="2">
        <v>5850</v>
      </c>
      <c r="L3884" t="s" s="2">
        <v>1271</v>
      </c>
      <c r="M3884" s="5">
        <v>539797.45</v>
      </c>
      <c r="N3884" s="5">
        <v>6330846.32</v>
      </c>
      <c r="O3884" t="s" s="2">
        <v>305</v>
      </c>
      <c r="P3884" t="s" s="2">
        <v>7238</v>
      </c>
      <c r="Q3884" t="s" s="2">
        <v>5701</v>
      </c>
      <c r="R3884" t="s" s="2">
        <f>_xlfn.IFERROR(INDEX('model_byCAP'!$D$2:$D$377,MATCH(Q3884,'model_byCAP'!$A$2:$A$377,0)),0)</f>
        <v>5702</v>
      </c>
    </row>
    <row r="3885" ht="15.35" customHeight="1">
      <c r="A3885" t="s" s="2">
        <v>7239</v>
      </c>
      <c r="B3885" s="4">
        <v>35628</v>
      </c>
      <c r="C3885" s="5">
        <v>600</v>
      </c>
      <c r="D3885" s="5">
        <v>44</v>
      </c>
      <c r="E3885" s="5">
        <v>43.4</v>
      </c>
      <c r="F3885" t="s" s="2">
        <v>301</v>
      </c>
      <c r="G3885" t="s" s="2">
        <v>5700</v>
      </c>
      <c r="H3885" s="5">
        <v>849</v>
      </c>
      <c r="I3885" t="s" s="2">
        <v>411</v>
      </c>
      <c r="J3885" t="s" s="2">
        <v>22</v>
      </c>
      <c r="K3885" t="s" s="2">
        <v>5850</v>
      </c>
      <c r="L3885" t="s" s="2">
        <v>1165</v>
      </c>
      <c r="M3885" s="5">
        <v>539561.3100000001</v>
      </c>
      <c r="N3885" s="5">
        <v>6330778.48</v>
      </c>
      <c r="O3885" t="s" s="2">
        <v>305</v>
      </c>
      <c r="P3885" t="s" s="2">
        <v>7240</v>
      </c>
      <c r="Q3885" t="s" s="2">
        <v>5701</v>
      </c>
      <c r="R3885" t="s" s="2">
        <f>_xlfn.IFERROR(INDEX('model_byCAP'!$D$2:$D$377,MATCH(Q3885,'model_byCAP'!$A$2:$A$377,0)),0)</f>
        <v>5702</v>
      </c>
    </row>
    <row r="3886" ht="15.35" customHeight="1">
      <c r="A3886" t="s" s="2">
        <v>7241</v>
      </c>
      <c r="B3886" s="4">
        <v>35628</v>
      </c>
      <c r="C3886" s="5">
        <v>600</v>
      </c>
      <c r="D3886" s="5">
        <v>44</v>
      </c>
      <c r="E3886" s="5">
        <v>43.4</v>
      </c>
      <c r="F3886" t="s" s="2">
        <v>301</v>
      </c>
      <c r="G3886" t="s" s="2">
        <v>5700</v>
      </c>
      <c r="H3886" s="5">
        <v>849</v>
      </c>
      <c r="I3886" t="s" s="2">
        <v>411</v>
      </c>
      <c r="J3886" t="s" s="2">
        <v>22</v>
      </c>
      <c r="K3886" t="s" s="2">
        <v>5850</v>
      </c>
      <c r="L3886" t="s" s="2">
        <v>1744</v>
      </c>
      <c r="M3886" s="5">
        <v>539410.37</v>
      </c>
      <c r="N3886" s="5">
        <v>6330904.84</v>
      </c>
      <c r="O3886" t="s" s="2">
        <v>305</v>
      </c>
      <c r="P3886" t="s" s="2">
        <v>7242</v>
      </c>
      <c r="Q3886" t="s" s="2">
        <v>5701</v>
      </c>
      <c r="R3886" t="s" s="2">
        <f>_xlfn.IFERROR(INDEX('model_byCAP'!$D$2:$D$377,MATCH(Q3886,'model_byCAP'!$A$2:$A$377,0)),0)</f>
        <v>5702</v>
      </c>
    </row>
    <row r="3887" ht="15.35" customHeight="1">
      <c r="A3887" t="s" s="2">
        <v>7243</v>
      </c>
      <c r="B3887" s="4">
        <v>35647</v>
      </c>
      <c r="C3887" s="5">
        <v>600</v>
      </c>
      <c r="D3887" s="5">
        <v>44</v>
      </c>
      <c r="E3887" s="5">
        <v>45</v>
      </c>
      <c r="F3887" t="s" s="2">
        <v>301</v>
      </c>
      <c r="G3887" t="s" s="2">
        <v>5700</v>
      </c>
      <c r="H3887" s="5">
        <v>849</v>
      </c>
      <c r="I3887" t="s" s="2">
        <v>411</v>
      </c>
      <c r="J3887" t="s" s="2">
        <v>22</v>
      </c>
      <c r="K3887" t="s" s="2">
        <v>7244</v>
      </c>
      <c r="L3887" t="s" s="2">
        <v>7245</v>
      </c>
      <c r="M3887" s="5">
        <v>538918.52</v>
      </c>
      <c r="N3887" s="5">
        <v>6330619.75</v>
      </c>
      <c r="O3887" t="s" s="2">
        <v>305</v>
      </c>
      <c r="P3887" t="s" s="2">
        <v>7246</v>
      </c>
      <c r="Q3887" t="s" s="2">
        <v>5701</v>
      </c>
      <c r="R3887" t="s" s="2">
        <f>_xlfn.IFERROR(INDEX('model_byCAP'!$D$2:$D$377,MATCH(Q3887,'model_byCAP'!$A$2:$A$377,0)),0)</f>
        <v>5702</v>
      </c>
    </row>
    <row r="3888" ht="15.35" customHeight="1">
      <c r="A3888" t="s" s="2">
        <v>7247</v>
      </c>
      <c r="B3888" s="4">
        <v>35662</v>
      </c>
      <c r="C3888" s="5">
        <v>600</v>
      </c>
      <c r="D3888" s="5">
        <v>44</v>
      </c>
      <c r="E3888" s="5">
        <v>45</v>
      </c>
      <c r="F3888" t="s" s="2">
        <v>301</v>
      </c>
      <c r="G3888" t="s" s="2">
        <v>5700</v>
      </c>
      <c r="H3888" s="5">
        <v>849</v>
      </c>
      <c r="I3888" t="s" s="2">
        <v>411</v>
      </c>
      <c r="J3888" t="s" s="2">
        <v>22</v>
      </c>
      <c r="K3888" t="s" s="2">
        <v>7244</v>
      </c>
      <c r="L3888" t="s" s="2">
        <v>7248</v>
      </c>
      <c r="M3888" s="5">
        <v>539111.53</v>
      </c>
      <c r="N3888" s="5">
        <v>6330404.17</v>
      </c>
      <c r="O3888" t="s" s="2">
        <v>305</v>
      </c>
      <c r="P3888" t="s" s="2">
        <v>7249</v>
      </c>
      <c r="Q3888" t="s" s="2">
        <v>5701</v>
      </c>
      <c r="R3888" t="s" s="2">
        <f>_xlfn.IFERROR(INDEX('model_byCAP'!$D$2:$D$377,MATCH(Q3888,'model_byCAP'!$A$2:$A$377,0)),0)</f>
        <v>5702</v>
      </c>
    </row>
    <row r="3889" ht="15.35" customHeight="1">
      <c r="A3889" t="s" s="2">
        <v>7250</v>
      </c>
      <c r="B3889" s="4">
        <v>36395</v>
      </c>
      <c r="C3889" s="5">
        <v>600</v>
      </c>
      <c r="D3889" s="5">
        <v>43</v>
      </c>
      <c r="E3889" s="5">
        <v>40</v>
      </c>
      <c r="F3889" t="s" s="2">
        <v>42</v>
      </c>
      <c r="G3889" t="s" s="2">
        <v>42</v>
      </c>
      <c r="H3889" s="5">
        <v>849</v>
      </c>
      <c r="I3889" t="s" s="2">
        <v>411</v>
      </c>
      <c r="J3889" t="s" s="2">
        <v>22</v>
      </c>
      <c r="K3889" t="s" s="2">
        <v>2358</v>
      </c>
      <c r="L3889" t="s" s="2">
        <v>7251</v>
      </c>
      <c r="M3889" s="5">
        <v>543915.96</v>
      </c>
      <c r="N3889" s="5">
        <v>6343611.8</v>
      </c>
      <c r="O3889" t="s" s="2">
        <v>305</v>
      </c>
      <c r="P3889" s="5">
        <v>23102883</v>
      </c>
      <c r="Q3889" t="s" s="2">
        <v>43</v>
      </c>
      <c r="R3889" s="5">
        <f>_xlfn.IFERROR(INDEX('model_byCAP'!$D$2:$D$377,MATCH(Q3889,'model_byCAP'!$A$2:$A$377,0)),0)</f>
        <v>0</v>
      </c>
    </row>
    <row r="3890" ht="15.35" customHeight="1">
      <c r="A3890" t="s" s="2">
        <v>7252</v>
      </c>
      <c r="B3890" s="4">
        <v>36396</v>
      </c>
      <c r="C3890" s="5">
        <v>600</v>
      </c>
      <c r="D3890" s="5">
        <v>43</v>
      </c>
      <c r="E3890" s="5">
        <v>40</v>
      </c>
      <c r="F3890" t="s" s="2">
        <v>42</v>
      </c>
      <c r="G3890" t="s" s="2">
        <v>42</v>
      </c>
      <c r="H3890" s="5">
        <v>849</v>
      </c>
      <c r="I3890" t="s" s="2">
        <v>411</v>
      </c>
      <c r="J3890" t="s" s="2">
        <v>22</v>
      </c>
      <c r="K3890" t="s" s="2">
        <v>2358</v>
      </c>
      <c r="L3890" t="s" s="2">
        <v>7253</v>
      </c>
      <c r="M3890" s="5">
        <v>543730.21</v>
      </c>
      <c r="N3890" s="5">
        <v>6343660.14</v>
      </c>
      <c r="O3890" t="s" s="2">
        <v>305</v>
      </c>
      <c r="P3890" s="5">
        <v>23102895</v>
      </c>
      <c r="Q3890" t="s" s="2">
        <v>43</v>
      </c>
      <c r="R3890" s="5">
        <f>_xlfn.IFERROR(INDEX('model_byCAP'!$D$2:$D$377,MATCH(Q3890,'model_byCAP'!$A$2:$A$377,0)),0)</f>
        <v>0</v>
      </c>
    </row>
    <row r="3891" ht="15.35" customHeight="1">
      <c r="A3891" t="s" s="2">
        <v>7254</v>
      </c>
      <c r="B3891" s="4">
        <v>36181</v>
      </c>
      <c r="C3891" s="5">
        <v>600</v>
      </c>
      <c r="D3891" s="5">
        <v>43</v>
      </c>
      <c r="E3891" s="5">
        <v>40</v>
      </c>
      <c r="F3891" t="s" s="2">
        <v>42</v>
      </c>
      <c r="G3891" t="s" s="2">
        <v>42</v>
      </c>
      <c r="H3891" s="5">
        <v>849</v>
      </c>
      <c r="I3891" t="s" s="2">
        <v>411</v>
      </c>
      <c r="J3891" t="s" s="2">
        <v>22</v>
      </c>
      <c r="K3891" t="s" s="2">
        <v>2358</v>
      </c>
      <c r="L3891" t="s" s="2">
        <v>3638</v>
      </c>
      <c r="M3891" s="5">
        <v>543544.27</v>
      </c>
      <c r="N3891" s="5">
        <v>6343708.46</v>
      </c>
      <c r="O3891" t="s" s="2">
        <v>305</v>
      </c>
      <c r="P3891" s="5">
        <v>23102894</v>
      </c>
      <c r="Q3891" t="s" s="2">
        <v>43</v>
      </c>
      <c r="R3891" s="5">
        <f>_xlfn.IFERROR(INDEX('model_byCAP'!$D$2:$D$377,MATCH(Q3891,'model_byCAP'!$A$2:$A$377,0)),0)</f>
        <v>0</v>
      </c>
    </row>
    <row r="3892" ht="15.35" customHeight="1">
      <c r="A3892" t="s" s="2">
        <v>7255</v>
      </c>
      <c r="B3892" s="4">
        <v>36100</v>
      </c>
      <c r="C3892" s="5">
        <v>600</v>
      </c>
      <c r="D3892" s="5">
        <v>43</v>
      </c>
      <c r="E3892" s="5">
        <v>40</v>
      </c>
      <c r="F3892" t="s" s="2">
        <v>42</v>
      </c>
      <c r="G3892" t="s" s="2">
        <v>42</v>
      </c>
      <c r="H3892" s="5">
        <v>849</v>
      </c>
      <c r="I3892" t="s" s="2">
        <v>411</v>
      </c>
      <c r="J3892" t="s" s="2">
        <v>22</v>
      </c>
      <c r="K3892" t="s" s="2">
        <v>2358</v>
      </c>
      <c r="L3892" t="s" s="2">
        <v>7256</v>
      </c>
      <c r="M3892" s="5">
        <v>543762.8100000001</v>
      </c>
      <c r="N3892" s="5">
        <v>6343470.92</v>
      </c>
      <c r="O3892" t="s" s="2">
        <v>305</v>
      </c>
      <c r="P3892" s="5">
        <v>23102869</v>
      </c>
      <c r="Q3892" t="s" s="2">
        <v>43</v>
      </c>
      <c r="R3892" s="5">
        <f>_xlfn.IFERROR(INDEX('model_byCAP'!$D$2:$D$377,MATCH(Q3892,'model_byCAP'!$A$2:$A$377,0)),0)</f>
        <v>0</v>
      </c>
    </row>
    <row r="3893" ht="15.35" customHeight="1">
      <c r="A3893" t="s" s="2">
        <v>7257</v>
      </c>
      <c r="B3893" s="4">
        <v>36100</v>
      </c>
      <c r="C3893" s="5">
        <v>600</v>
      </c>
      <c r="D3893" s="5">
        <v>43</v>
      </c>
      <c r="E3893" s="5">
        <v>40</v>
      </c>
      <c r="F3893" t="s" s="2">
        <v>42</v>
      </c>
      <c r="G3893" t="s" s="2">
        <v>42</v>
      </c>
      <c r="H3893" s="5">
        <v>849</v>
      </c>
      <c r="I3893" t="s" s="2">
        <v>411</v>
      </c>
      <c r="J3893" t="s" s="2">
        <v>22</v>
      </c>
      <c r="K3893" t="s" s="2">
        <v>2358</v>
      </c>
      <c r="L3893" t="s" s="2">
        <v>7258</v>
      </c>
      <c r="M3893" s="5">
        <v>543577.1899999999</v>
      </c>
      <c r="N3893" s="5">
        <v>6343518.94</v>
      </c>
      <c r="O3893" t="s" s="2">
        <v>305</v>
      </c>
      <c r="P3893" s="5">
        <v>23102868</v>
      </c>
      <c r="Q3893" t="s" s="2">
        <v>43</v>
      </c>
      <c r="R3893" s="5">
        <f>_xlfn.IFERROR(INDEX('model_byCAP'!$D$2:$D$377,MATCH(Q3893,'model_byCAP'!$A$2:$A$377,0)),0)</f>
        <v>0</v>
      </c>
    </row>
    <row r="3894" ht="15.35" customHeight="1">
      <c r="A3894" t="s" s="2">
        <v>7259</v>
      </c>
      <c r="B3894" s="4">
        <v>36100</v>
      </c>
      <c r="C3894" s="5">
        <v>600</v>
      </c>
      <c r="D3894" s="5">
        <v>43</v>
      </c>
      <c r="E3894" s="5">
        <v>40</v>
      </c>
      <c r="F3894" t="s" s="2">
        <v>42</v>
      </c>
      <c r="G3894" t="s" s="2">
        <v>42</v>
      </c>
      <c r="H3894" s="5">
        <v>849</v>
      </c>
      <c r="I3894" t="s" s="2">
        <v>411</v>
      </c>
      <c r="J3894" t="s" s="2">
        <v>22</v>
      </c>
      <c r="K3894" t="s" s="2">
        <v>2358</v>
      </c>
      <c r="L3894" t="s" s="2">
        <v>7260</v>
      </c>
      <c r="M3894" s="5">
        <v>543391.4300000001</v>
      </c>
      <c r="N3894" s="5">
        <v>6343567.22</v>
      </c>
      <c r="O3894" t="s" s="2">
        <v>305</v>
      </c>
      <c r="P3894" s="5">
        <v>23102867</v>
      </c>
      <c r="Q3894" t="s" s="2">
        <v>43</v>
      </c>
      <c r="R3894" s="5">
        <f>_xlfn.IFERROR(INDEX('model_byCAP'!$D$2:$D$377,MATCH(Q3894,'model_byCAP'!$A$2:$A$377,0)),0)</f>
        <v>0</v>
      </c>
    </row>
    <row r="3895" ht="15.35" customHeight="1">
      <c r="A3895" t="s" s="2">
        <v>7261</v>
      </c>
      <c r="B3895" s="4">
        <v>36100</v>
      </c>
      <c r="C3895" s="5">
        <v>600</v>
      </c>
      <c r="D3895" s="5">
        <v>43</v>
      </c>
      <c r="E3895" s="5">
        <v>40</v>
      </c>
      <c r="F3895" t="s" s="2">
        <v>42</v>
      </c>
      <c r="G3895" t="s" s="2">
        <v>42</v>
      </c>
      <c r="H3895" s="5">
        <v>849</v>
      </c>
      <c r="I3895" t="s" s="2">
        <v>411</v>
      </c>
      <c r="J3895" t="s" s="2">
        <v>22</v>
      </c>
      <c r="K3895" t="s" s="2">
        <v>2358</v>
      </c>
      <c r="L3895" t="s" s="2">
        <v>7262</v>
      </c>
      <c r="M3895" s="5">
        <v>543423.67</v>
      </c>
      <c r="N3895" s="5">
        <v>6343378.27</v>
      </c>
      <c r="O3895" t="s" s="2">
        <v>305</v>
      </c>
      <c r="P3895" s="5">
        <v>23102871</v>
      </c>
      <c r="Q3895" t="s" s="2">
        <v>43</v>
      </c>
      <c r="R3895" s="5">
        <f>_xlfn.IFERROR(INDEX('model_byCAP'!$D$2:$D$377,MATCH(Q3895,'model_byCAP'!$A$2:$A$377,0)),0)</f>
        <v>0</v>
      </c>
    </row>
    <row r="3896" ht="15.35" customHeight="1">
      <c r="A3896" t="s" s="2">
        <v>7263</v>
      </c>
      <c r="B3896" s="4">
        <v>36100</v>
      </c>
      <c r="C3896" s="5">
        <v>600</v>
      </c>
      <c r="D3896" s="5">
        <v>43</v>
      </c>
      <c r="E3896" s="5">
        <v>40</v>
      </c>
      <c r="F3896" t="s" s="2">
        <v>42</v>
      </c>
      <c r="G3896" t="s" s="2">
        <v>42</v>
      </c>
      <c r="H3896" s="5">
        <v>849</v>
      </c>
      <c r="I3896" t="s" s="2">
        <v>411</v>
      </c>
      <c r="J3896" t="s" s="2">
        <v>22</v>
      </c>
      <c r="K3896" t="s" s="2">
        <v>2358</v>
      </c>
      <c r="L3896" t="s" s="2">
        <v>7262</v>
      </c>
      <c r="M3896" s="5">
        <v>543238.02</v>
      </c>
      <c r="N3896" s="5">
        <v>6343426.48</v>
      </c>
      <c r="O3896" t="s" s="2">
        <v>305</v>
      </c>
      <c r="P3896" s="5">
        <v>23102870</v>
      </c>
      <c r="Q3896" t="s" s="2">
        <v>43</v>
      </c>
      <c r="R3896" s="5">
        <f>_xlfn.IFERROR(INDEX('model_byCAP'!$D$2:$D$377,MATCH(Q3896,'model_byCAP'!$A$2:$A$377,0)),0)</f>
        <v>0</v>
      </c>
    </row>
    <row r="3897" ht="15.35" customHeight="1">
      <c r="A3897" t="s" s="2">
        <v>7264</v>
      </c>
      <c r="B3897" s="4">
        <v>36100</v>
      </c>
      <c r="C3897" s="5">
        <v>600</v>
      </c>
      <c r="D3897" s="5">
        <v>43</v>
      </c>
      <c r="E3897" s="5">
        <v>40</v>
      </c>
      <c r="F3897" t="s" s="2">
        <v>42</v>
      </c>
      <c r="G3897" t="s" s="2">
        <v>42</v>
      </c>
      <c r="H3897" s="5">
        <v>849</v>
      </c>
      <c r="I3897" t="s" s="2">
        <v>411</v>
      </c>
      <c r="J3897" t="s" s="2">
        <v>22</v>
      </c>
      <c r="K3897" t="s" s="2">
        <v>2358</v>
      </c>
      <c r="L3897" t="s" s="2">
        <v>7265</v>
      </c>
      <c r="M3897" s="5">
        <v>543456.3199999999</v>
      </c>
      <c r="N3897" s="5">
        <v>6343189.17</v>
      </c>
      <c r="O3897" t="s" s="2">
        <v>305</v>
      </c>
      <c r="P3897" s="5">
        <v>23102873</v>
      </c>
      <c r="Q3897" t="s" s="2">
        <v>43</v>
      </c>
      <c r="R3897" s="5">
        <f>_xlfn.IFERROR(INDEX('model_byCAP'!$D$2:$D$377,MATCH(Q3897,'model_byCAP'!$A$2:$A$377,0)),0)</f>
        <v>0</v>
      </c>
    </row>
    <row r="3898" ht="15.35" customHeight="1">
      <c r="A3898" t="s" s="2">
        <v>7266</v>
      </c>
      <c r="B3898" s="4">
        <v>36100</v>
      </c>
      <c r="C3898" s="5">
        <v>600</v>
      </c>
      <c r="D3898" s="5">
        <v>43</v>
      </c>
      <c r="E3898" s="5">
        <v>40</v>
      </c>
      <c r="F3898" t="s" s="2">
        <v>42</v>
      </c>
      <c r="G3898" t="s" s="2">
        <v>42</v>
      </c>
      <c r="H3898" s="5">
        <v>849</v>
      </c>
      <c r="I3898" t="s" s="2">
        <v>411</v>
      </c>
      <c r="J3898" t="s" s="2">
        <v>22</v>
      </c>
      <c r="K3898" t="s" s="2">
        <v>2358</v>
      </c>
      <c r="L3898" t="s" s="2">
        <v>7265</v>
      </c>
      <c r="M3898" s="5">
        <v>543270.51</v>
      </c>
      <c r="N3898" s="5">
        <v>6343237.45</v>
      </c>
      <c r="O3898" t="s" s="2">
        <v>305</v>
      </c>
      <c r="P3898" s="5">
        <v>23102872</v>
      </c>
      <c r="Q3898" t="s" s="2">
        <v>43</v>
      </c>
      <c r="R3898" s="5">
        <f>_xlfn.IFERROR(INDEX('model_byCAP'!$D$2:$D$377,MATCH(Q3898,'model_byCAP'!$A$2:$A$377,0)),0)</f>
        <v>0</v>
      </c>
    </row>
    <row r="3899" ht="15.35" customHeight="1">
      <c r="A3899" t="s" s="2">
        <v>7267</v>
      </c>
      <c r="B3899" s="4">
        <v>36787</v>
      </c>
      <c r="C3899" s="5">
        <v>600</v>
      </c>
      <c r="D3899" s="5">
        <v>43</v>
      </c>
      <c r="E3899" s="5">
        <v>40</v>
      </c>
      <c r="F3899" t="s" s="2">
        <v>42</v>
      </c>
      <c r="G3899" t="s" s="2">
        <v>42</v>
      </c>
      <c r="H3899" s="5">
        <v>849</v>
      </c>
      <c r="I3899" t="s" s="2">
        <v>411</v>
      </c>
      <c r="J3899" t="s" s="2">
        <v>22</v>
      </c>
      <c r="K3899" t="s" s="2">
        <v>2358</v>
      </c>
      <c r="L3899" t="s" s="2">
        <v>7268</v>
      </c>
      <c r="M3899" s="5">
        <v>543302.9</v>
      </c>
      <c r="N3899" s="5">
        <v>6343048.36</v>
      </c>
      <c r="O3899" t="s" s="2">
        <v>305</v>
      </c>
      <c r="P3899" s="5">
        <v>68</v>
      </c>
      <c r="Q3899" t="s" s="2">
        <v>43</v>
      </c>
      <c r="R3899" s="5">
        <f>_xlfn.IFERROR(INDEX('model_byCAP'!$D$2:$D$377,MATCH(Q3899,'model_byCAP'!$A$2:$A$377,0)),0)</f>
        <v>0</v>
      </c>
    </row>
    <row r="3900" ht="15.35" customHeight="1">
      <c r="A3900" t="s" s="2">
        <v>7269</v>
      </c>
      <c r="B3900" s="4">
        <v>36787</v>
      </c>
      <c r="C3900" s="5">
        <v>600</v>
      </c>
      <c r="D3900" s="5">
        <v>43</v>
      </c>
      <c r="E3900" s="5">
        <v>40</v>
      </c>
      <c r="F3900" t="s" s="2">
        <v>42</v>
      </c>
      <c r="G3900" t="s" s="2">
        <v>42</v>
      </c>
      <c r="H3900" s="5">
        <v>849</v>
      </c>
      <c r="I3900" t="s" s="2">
        <v>411</v>
      </c>
      <c r="J3900" t="s" s="2">
        <v>22</v>
      </c>
      <c r="K3900" t="s" s="2">
        <v>2358</v>
      </c>
      <c r="L3900" t="s" s="2">
        <v>7268</v>
      </c>
      <c r="M3900" s="5">
        <v>543117.36</v>
      </c>
      <c r="N3900" s="5">
        <v>6343096.51</v>
      </c>
      <c r="O3900" t="s" s="2">
        <v>305</v>
      </c>
      <c r="P3900" s="5">
        <v>69</v>
      </c>
      <c r="Q3900" t="s" s="2">
        <v>43</v>
      </c>
      <c r="R3900" s="5">
        <f>_xlfn.IFERROR(INDEX('model_byCAP'!$D$2:$D$377,MATCH(Q3900,'model_byCAP'!$A$2:$A$377,0)),0)</f>
        <v>0</v>
      </c>
    </row>
    <row r="3901" ht="15.35" customHeight="1">
      <c r="A3901" t="s" s="2">
        <v>7270</v>
      </c>
      <c r="B3901" s="4">
        <v>35430</v>
      </c>
      <c r="C3901" s="5">
        <v>600</v>
      </c>
      <c r="D3901" s="5">
        <v>44</v>
      </c>
      <c r="E3901" s="5">
        <v>52</v>
      </c>
      <c r="F3901" t="s" s="2">
        <v>301</v>
      </c>
      <c r="G3901" t="s" s="2">
        <v>5700</v>
      </c>
      <c r="H3901" s="5">
        <v>851</v>
      </c>
      <c r="I3901" t="s" s="2">
        <v>1139</v>
      </c>
      <c r="J3901" t="s" s="2">
        <v>22</v>
      </c>
      <c r="K3901" t="s" s="2">
        <v>5104</v>
      </c>
      <c r="L3901" t="s" s="2">
        <v>2348</v>
      </c>
      <c r="M3901" s="5">
        <v>542210.48</v>
      </c>
      <c r="N3901" s="5">
        <v>6315778.32</v>
      </c>
      <c r="O3901" t="s" s="2">
        <v>305</v>
      </c>
      <c r="P3901" s="5">
        <v>484</v>
      </c>
      <c r="Q3901" t="s" s="2">
        <v>5701</v>
      </c>
      <c r="R3901" t="s" s="2">
        <f>_xlfn.IFERROR(INDEX('model_byCAP'!$D$2:$D$377,MATCH(Q3901,'model_byCAP'!$A$2:$A$377,0)),0)</f>
        <v>5702</v>
      </c>
    </row>
    <row r="3902" ht="15.35" customHeight="1">
      <c r="A3902" t="s" s="2">
        <v>7271</v>
      </c>
      <c r="B3902" s="4">
        <v>35158</v>
      </c>
      <c r="C3902" s="5">
        <v>600</v>
      </c>
      <c r="D3902" s="5">
        <v>42</v>
      </c>
      <c r="E3902" s="5">
        <v>45</v>
      </c>
      <c r="F3902" t="s" s="2">
        <v>301</v>
      </c>
      <c r="G3902" t="s" s="2">
        <v>6100</v>
      </c>
      <c r="H3902" s="5">
        <v>851</v>
      </c>
      <c r="I3902" t="s" s="2">
        <v>1139</v>
      </c>
      <c r="J3902" t="s" s="2">
        <v>22</v>
      </c>
      <c r="K3902" t="s" s="2">
        <v>7272</v>
      </c>
      <c r="L3902" t="s" s="2">
        <v>2969</v>
      </c>
      <c r="M3902" s="5">
        <v>560190.23</v>
      </c>
      <c r="N3902" s="5">
        <v>6338523.27</v>
      </c>
      <c r="O3902" t="s" s="2">
        <v>305</v>
      </c>
      <c r="P3902" t="s" s="2">
        <v>7273</v>
      </c>
      <c r="Q3902" t="s" s="2">
        <v>6102</v>
      </c>
      <c r="R3902" t="s" s="2">
        <f>_xlfn.IFERROR(INDEX('model_byCAP'!$D$2:$D$377,MATCH(Q3902,'model_byCAP'!$A$2:$A$377,0)),0)</f>
        <v>6103</v>
      </c>
    </row>
    <row r="3903" ht="15.35" customHeight="1">
      <c r="A3903" t="s" s="2">
        <v>7274</v>
      </c>
      <c r="B3903" s="4">
        <v>35228</v>
      </c>
      <c r="C3903" s="5">
        <v>600</v>
      </c>
      <c r="D3903" s="5">
        <v>43</v>
      </c>
      <c r="E3903" s="5">
        <v>46</v>
      </c>
      <c r="F3903" t="s" s="2">
        <v>1746</v>
      </c>
      <c r="G3903" t="s" s="2">
        <v>7275</v>
      </c>
      <c r="H3903" s="5">
        <v>851</v>
      </c>
      <c r="I3903" t="s" s="2">
        <v>1139</v>
      </c>
      <c r="J3903" t="s" s="2">
        <v>22</v>
      </c>
      <c r="K3903" t="s" s="2">
        <v>7276</v>
      </c>
      <c r="L3903" t="s" s="2">
        <v>7277</v>
      </c>
      <c r="M3903" s="5">
        <v>571106.5</v>
      </c>
      <c r="N3903" s="5">
        <v>6321977.98</v>
      </c>
      <c r="O3903" t="s" s="2">
        <v>305</v>
      </c>
      <c r="P3903" s="5">
        <v>70063</v>
      </c>
      <c r="Q3903" t="s" s="2">
        <v>7278</v>
      </c>
      <c r="R3903" t="s" s="2">
        <f>_xlfn.IFERROR(INDEX('model_byCAP'!$D$2:$D$377,MATCH(Q3903,'model_byCAP'!$A$2:$A$377,0)),0)</f>
        <v>4115</v>
      </c>
    </row>
    <row r="3904" ht="15.35" customHeight="1">
      <c r="A3904" t="s" s="2">
        <v>7279</v>
      </c>
      <c r="B3904" s="4">
        <v>35251</v>
      </c>
      <c r="C3904" s="5">
        <v>600</v>
      </c>
      <c r="D3904" s="5">
        <v>43</v>
      </c>
      <c r="E3904" s="5">
        <v>46</v>
      </c>
      <c r="F3904" t="s" s="2">
        <v>1746</v>
      </c>
      <c r="G3904" t="s" s="2">
        <v>7275</v>
      </c>
      <c r="H3904" s="5">
        <v>851</v>
      </c>
      <c r="I3904" t="s" s="2">
        <v>1139</v>
      </c>
      <c r="J3904" t="s" s="2">
        <v>22</v>
      </c>
      <c r="K3904" t="s" s="2">
        <v>7276</v>
      </c>
      <c r="L3904" t="s" s="2">
        <v>7277</v>
      </c>
      <c r="M3904" s="5">
        <v>571139.72</v>
      </c>
      <c r="N3904" s="5">
        <v>6322057.34</v>
      </c>
      <c r="O3904" t="s" s="2">
        <v>305</v>
      </c>
      <c r="P3904" s="5">
        <v>70092</v>
      </c>
      <c r="Q3904" t="s" s="2">
        <v>7278</v>
      </c>
      <c r="R3904" t="s" s="2">
        <f>_xlfn.IFERROR(INDEX('model_byCAP'!$D$2:$D$377,MATCH(Q3904,'model_byCAP'!$A$2:$A$377,0)),0)</f>
        <v>4115</v>
      </c>
    </row>
    <row r="3905" ht="15.35" customHeight="1">
      <c r="A3905" t="s" s="2">
        <v>7280</v>
      </c>
      <c r="B3905" s="4">
        <v>35977</v>
      </c>
      <c r="C3905" s="5">
        <v>600</v>
      </c>
      <c r="D3905" s="5">
        <v>44</v>
      </c>
      <c r="E3905" s="5">
        <v>45</v>
      </c>
      <c r="F3905" t="s" s="2">
        <v>301</v>
      </c>
      <c r="G3905" t="s" s="2">
        <v>5700</v>
      </c>
      <c r="H3905" s="5">
        <v>851</v>
      </c>
      <c r="I3905" t="s" s="2">
        <v>1139</v>
      </c>
      <c r="J3905" t="s" s="2">
        <v>22</v>
      </c>
      <c r="K3905" t="s" s="2">
        <v>7281</v>
      </c>
      <c r="L3905" t="s" s="2">
        <v>469</v>
      </c>
      <c r="M3905" s="5">
        <v>561453.88</v>
      </c>
      <c r="N3905" s="5">
        <v>6337582.27</v>
      </c>
      <c r="O3905" t="s" s="2">
        <v>305</v>
      </c>
      <c r="P3905" t="s" s="2">
        <v>7282</v>
      </c>
      <c r="Q3905" t="s" s="2">
        <v>5701</v>
      </c>
      <c r="R3905" t="s" s="2">
        <f>_xlfn.IFERROR(INDEX('model_byCAP'!$D$2:$D$377,MATCH(Q3905,'model_byCAP'!$A$2:$A$377,0)),0)</f>
        <v>5702</v>
      </c>
    </row>
    <row r="3906" ht="15.35" customHeight="1">
      <c r="A3906" t="s" s="2">
        <v>7283</v>
      </c>
      <c r="B3906" s="4">
        <v>36256</v>
      </c>
      <c r="C3906" s="5">
        <v>600</v>
      </c>
      <c r="D3906" s="5">
        <v>44</v>
      </c>
      <c r="E3906" s="5">
        <v>45</v>
      </c>
      <c r="F3906" t="s" s="2">
        <v>301</v>
      </c>
      <c r="G3906" t="s" s="2">
        <v>5700</v>
      </c>
      <c r="H3906" s="5">
        <v>851</v>
      </c>
      <c r="I3906" t="s" s="2">
        <v>1139</v>
      </c>
      <c r="J3906" t="s" s="2">
        <v>22</v>
      </c>
      <c r="K3906" t="s" s="2">
        <v>7284</v>
      </c>
      <c r="L3906" t="s" s="2">
        <v>481</v>
      </c>
      <c r="M3906" s="5">
        <v>561137.9300000001</v>
      </c>
      <c r="N3906" s="5">
        <v>6338855.72</v>
      </c>
      <c r="O3906" t="s" s="2">
        <v>305</v>
      </c>
      <c r="P3906" t="s" s="2">
        <v>7285</v>
      </c>
      <c r="Q3906" t="s" s="2">
        <v>5701</v>
      </c>
      <c r="R3906" t="s" s="2">
        <f>_xlfn.IFERROR(INDEX('model_byCAP'!$D$2:$D$377,MATCH(Q3906,'model_byCAP'!$A$2:$A$377,0)),0)</f>
        <v>5702</v>
      </c>
    </row>
    <row r="3907" ht="15.35" customHeight="1">
      <c r="A3907" t="s" s="2">
        <v>7286</v>
      </c>
      <c r="B3907" s="4">
        <v>36258</v>
      </c>
      <c r="C3907" s="5">
        <v>600</v>
      </c>
      <c r="D3907" s="5">
        <v>44</v>
      </c>
      <c r="E3907" s="5">
        <v>45</v>
      </c>
      <c r="F3907" t="s" s="2">
        <v>301</v>
      </c>
      <c r="G3907" t="s" s="2">
        <v>5700</v>
      </c>
      <c r="H3907" s="5">
        <v>851</v>
      </c>
      <c r="I3907" t="s" s="2">
        <v>1139</v>
      </c>
      <c r="J3907" t="s" s="2">
        <v>22</v>
      </c>
      <c r="K3907" t="s" s="2">
        <v>7284</v>
      </c>
      <c r="L3907" t="s" s="2">
        <v>481</v>
      </c>
      <c r="M3907" s="5">
        <v>561329.53</v>
      </c>
      <c r="N3907" s="5">
        <v>6338844.38</v>
      </c>
      <c r="O3907" t="s" s="2">
        <v>305</v>
      </c>
      <c r="P3907" t="s" s="2">
        <v>7287</v>
      </c>
      <c r="Q3907" t="s" s="2">
        <v>5701</v>
      </c>
      <c r="R3907" t="s" s="2">
        <f>_xlfn.IFERROR(INDEX('model_byCAP'!$D$2:$D$377,MATCH(Q3907,'model_byCAP'!$A$2:$A$377,0)),0)</f>
        <v>5702</v>
      </c>
    </row>
    <row r="3908" ht="15.35" customHeight="1">
      <c r="A3908" t="s" s="2">
        <v>7288</v>
      </c>
      <c r="B3908" s="4">
        <v>35430</v>
      </c>
      <c r="C3908" s="5">
        <v>600</v>
      </c>
      <c r="D3908" s="5">
        <v>42.3</v>
      </c>
      <c r="E3908" s="5">
        <v>45</v>
      </c>
      <c r="F3908" t="s" s="2">
        <v>4716</v>
      </c>
      <c r="G3908" t="s" s="2">
        <v>7021</v>
      </c>
      <c r="H3908" s="5">
        <v>851</v>
      </c>
      <c r="I3908" t="s" s="2">
        <v>1139</v>
      </c>
      <c r="J3908" t="s" s="2">
        <v>22</v>
      </c>
      <c r="K3908" t="s" s="2">
        <v>7289</v>
      </c>
      <c r="L3908" t="s" s="2">
        <v>7290</v>
      </c>
      <c r="M3908" s="5">
        <v>554051.78</v>
      </c>
      <c r="N3908" s="5">
        <v>6343114.78</v>
      </c>
      <c r="O3908" t="s" s="2">
        <v>305</v>
      </c>
      <c r="P3908" s="5">
        <v>71001</v>
      </c>
      <c r="Q3908" t="s" s="2">
        <v>7023</v>
      </c>
      <c r="R3908" t="s" s="2">
        <f>_xlfn.IFERROR(INDEX('model_byCAP'!$D$2:$D$377,MATCH(Q3908,'model_byCAP'!$A$2:$A$377,0)),0)</f>
        <v>6270</v>
      </c>
    </row>
    <row r="3909" ht="15.35" customHeight="1">
      <c r="A3909" t="s" s="2">
        <v>7291</v>
      </c>
      <c r="B3909" s="4">
        <v>35430</v>
      </c>
      <c r="C3909" s="5">
        <v>600</v>
      </c>
      <c r="D3909" s="5">
        <v>42.3</v>
      </c>
      <c r="E3909" s="5">
        <v>45</v>
      </c>
      <c r="F3909" t="s" s="2">
        <v>4716</v>
      </c>
      <c r="G3909" t="s" s="2">
        <v>7021</v>
      </c>
      <c r="H3909" s="5">
        <v>851</v>
      </c>
      <c r="I3909" t="s" s="2">
        <v>1139</v>
      </c>
      <c r="J3909" t="s" s="2">
        <v>22</v>
      </c>
      <c r="K3909" t="s" s="2">
        <v>7289</v>
      </c>
      <c r="L3909" t="s" s="2">
        <v>7292</v>
      </c>
      <c r="M3909" s="5">
        <v>554112.89</v>
      </c>
      <c r="N3909" s="5">
        <v>6342842.73</v>
      </c>
      <c r="O3909" t="s" s="2">
        <v>305</v>
      </c>
      <c r="P3909" s="5">
        <v>71002</v>
      </c>
      <c r="Q3909" t="s" s="2">
        <v>7023</v>
      </c>
      <c r="R3909" t="s" s="2">
        <f>_xlfn.IFERROR(INDEX('model_byCAP'!$D$2:$D$377,MATCH(Q3909,'model_byCAP'!$A$2:$A$377,0)),0)</f>
        <v>6270</v>
      </c>
    </row>
    <row r="3910" ht="15.35" customHeight="1">
      <c r="A3910" t="s" s="2">
        <v>7293</v>
      </c>
      <c r="B3910" s="4">
        <v>35451</v>
      </c>
      <c r="C3910" s="5">
        <v>600</v>
      </c>
      <c r="D3910" s="5">
        <v>42.3</v>
      </c>
      <c r="E3910" s="5">
        <v>45</v>
      </c>
      <c r="F3910" t="s" s="2">
        <v>4716</v>
      </c>
      <c r="G3910" t="s" s="2">
        <v>7021</v>
      </c>
      <c r="H3910" s="5">
        <v>851</v>
      </c>
      <c r="I3910" t="s" s="2">
        <v>1139</v>
      </c>
      <c r="J3910" t="s" s="2">
        <v>22</v>
      </c>
      <c r="K3910" t="s" s="2">
        <v>7289</v>
      </c>
      <c r="L3910" t="s" s="2">
        <v>7294</v>
      </c>
      <c r="M3910" s="5">
        <v>554173.9399999999</v>
      </c>
      <c r="N3910" s="5">
        <v>6342570.64</v>
      </c>
      <c r="O3910" t="s" s="2">
        <v>305</v>
      </c>
      <c r="P3910" s="5">
        <v>71003</v>
      </c>
      <c r="Q3910" t="s" s="2">
        <v>7023</v>
      </c>
      <c r="R3910" t="s" s="2">
        <f>_xlfn.IFERROR(INDEX('model_byCAP'!$D$2:$D$377,MATCH(Q3910,'model_byCAP'!$A$2:$A$377,0)),0)</f>
        <v>6270</v>
      </c>
    </row>
    <row r="3911" ht="15.35" customHeight="1">
      <c r="A3911" t="s" s="2">
        <v>7295</v>
      </c>
      <c r="B3911" s="4">
        <v>35430</v>
      </c>
      <c r="C3911" s="5">
        <v>600</v>
      </c>
      <c r="D3911" s="5">
        <v>42.3</v>
      </c>
      <c r="E3911" s="5">
        <v>45</v>
      </c>
      <c r="F3911" t="s" s="2">
        <v>4716</v>
      </c>
      <c r="G3911" t="s" s="2">
        <v>7021</v>
      </c>
      <c r="H3911" s="5">
        <v>851</v>
      </c>
      <c r="I3911" t="s" s="2">
        <v>1139</v>
      </c>
      <c r="J3911" t="s" s="2">
        <v>22</v>
      </c>
      <c r="K3911" t="s" s="2">
        <v>7289</v>
      </c>
      <c r="L3911" t="s" s="2">
        <v>7296</v>
      </c>
      <c r="M3911" s="5">
        <v>554346.27</v>
      </c>
      <c r="N3911" s="5">
        <v>6342958.63</v>
      </c>
      <c r="O3911" t="s" s="2">
        <v>305</v>
      </c>
      <c r="P3911" s="5">
        <v>71004</v>
      </c>
      <c r="Q3911" t="s" s="2">
        <v>7023</v>
      </c>
      <c r="R3911" t="s" s="2">
        <f>_xlfn.IFERROR(INDEX('model_byCAP'!$D$2:$D$377,MATCH(Q3911,'model_byCAP'!$A$2:$A$377,0)),0)</f>
        <v>6270</v>
      </c>
    </row>
    <row r="3912" ht="15.35" customHeight="1">
      <c r="A3912" t="s" s="2">
        <v>7297</v>
      </c>
      <c r="B3912" s="4">
        <v>35430</v>
      </c>
      <c r="C3912" s="5">
        <v>600</v>
      </c>
      <c r="D3912" s="5">
        <v>42.3</v>
      </c>
      <c r="E3912" s="5">
        <v>45</v>
      </c>
      <c r="F3912" t="s" s="2">
        <v>4716</v>
      </c>
      <c r="G3912" t="s" s="2">
        <v>7021</v>
      </c>
      <c r="H3912" s="5">
        <v>851</v>
      </c>
      <c r="I3912" t="s" s="2">
        <v>1139</v>
      </c>
      <c r="J3912" t="s" s="2">
        <v>22</v>
      </c>
      <c r="K3912" t="s" s="2">
        <v>7298</v>
      </c>
      <c r="L3912" t="s" s="2">
        <v>7299</v>
      </c>
      <c r="M3912" s="5">
        <v>554407.39</v>
      </c>
      <c r="N3912" s="5">
        <v>6342686.52</v>
      </c>
      <c r="O3912" t="s" s="2">
        <v>305</v>
      </c>
      <c r="P3912" s="5">
        <v>71005</v>
      </c>
      <c r="Q3912" t="s" s="2">
        <v>7023</v>
      </c>
      <c r="R3912" t="s" s="2">
        <f>_xlfn.IFERROR(INDEX('model_byCAP'!$D$2:$D$377,MATCH(Q3912,'model_byCAP'!$A$2:$A$377,0)),0)</f>
        <v>6270</v>
      </c>
    </row>
    <row r="3913" ht="15.35" customHeight="1">
      <c r="A3913" t="s" s="2">
        <v>7300</v>
      </c>
      <c r="B3913" s="4">
        <v>35496</v>
      </c>
      <c r="C3913" s="5">
        <v>600</v>
      </c>
      <c r="D3913" s="5">
        <v>42.3</v>
      </c>
      <c r="E3913" s="5">
        <v>45</v>
      </c>
      <c r="F3913" t="s" s="2">
        <v>4716</v>
      </c>
      <c r="G3913" t="s" s="2">
        <v>7021</v>
      </c>
      <c r="H3913" s="5">
        <v>851</v>
      </c>
      <c r="I3913" t="s" s="2">
        <v>1139</v>
      </c>
      <c r="J3913" t="s" s="2">
        <v>22</v>
      </c>
      <c r="K3913" t="s" s="2">
        <v>7289</v>
      </c>
      <c r="L3913" t="s" s="2">
        <v>7301</v>
      </c>
      <c r="M3913" s="5">
        <v>554468.27</v>
      </c>
      <c r="N3913" s="5">
        <v>6342414.49</v>
      </c>
      <c r="O3913" t="s" s="2">
        <v>305</v>
      </c>
      <c r="P3913" s="5">
        <v>71006</v>
      </c>
      <c r="Q3913" t="s" s="2">
        <v>7023</v>
      </c>
      <c r="R3913" t="s" s="2">
        <f>_xlfn.IFERROR(INDEX('model_byCAP'!$D$2:$D$377,MATCH(Q3913,'model_byCAP'!$A$2:$A$377,0)),0)</f>
        <v>6270</v>
      </c>
    </row>
    <row r="3914" ht="15.35" customHeight="1">
      <c r="A3914" t="s" s="2">
        <v>7302</v>
      </c>
      <c r="B3914" s="4">
        <v>35430</v>
      </c>
      <c r="C3914" s="5">
        <v>600</v>
      </c>
      <c r="D3914" s="5">
        <v>42.3</v>
      </c>
      <c r="E3914" s="5">
        <v>45</v>
      </c>
      <c r="F3914" t="s" s="2">
        <v>4716</v>
      </c>
      <c r="G3914" t="s" s="2">
        <v>7021</v>
      </c>
      <c r="H3914" s="5">
        <v>851</v>
      </c>
      <c r="I3914" t="s" s="2">
        <v>1139</v>
      </c>
      <c r="J3914" t="s" s="2">
        <v>22</v>
      </c>
      <c r="K3914" t="s" s="2">
        <v>7289</v>
      </c>
      <c r="L3914" t="s" s="2">
        <v>7303</v>
      </c>
      <c r="M3914" s="5">
        <v>554579.35</v>
      </c>
      <c r="N3914" s="5">
        <v>6343074.64</v>
      </c>
      <c r="O3914" t="s" s="2">
        <v>305</v>
      </c>
      <c r="P3914" s="5">
        <v>71007</v>
      </c>
      <c r="Q3914" t="s" s="2">
        <v>7023</v>
      </c>
      <c r="R3914" t="s" s="2">
        <f>_xlfn.IFERROR(INDEX('model_byCAP'!$D$2:$D$377,MATCH(Q3914,'model_byCAP'!$A$2:$A$377,0)),0)</f>
        <v>6270</v>
      </c>
    </row>
    <row r="3915" ht="15.35" customHeight="1">
      <c r="A3915" t="s" s="2">
        <v>7304</v>
      </c>
      <c r="B3915" s="4">
        <v>35461</v>
      </c>
      <c r="C3915" s="5">
        <v>600</v>
      </c>
      <c r="D3915" s="5">
        <v>42.3</v>
      </c>
      <c r="E3915" s="5">
        <v>45</v>
      </c>
      <c r="F3915" t="s" s="2">
        <v>4716</v>
      </c>
      <c r="G3915" t="s" s="2">
        <v>7021</v>
      </c>
      <c r="H3915" s="5">
        <v>851</v>
      </c>
      <c r="I3915" t="s" s="2">
        <v>1139</v>
      </c>
      <c r="J3915" t="s" s="2">
        <v>22</v>
      </c>
      <c r="K3915" t="s" s="2">
        <v>7289</v>
      </c>
      <c r="L3915" t="s" s="2">
        <v>543</v>
      </c>
      <c r="M3915" s="5">
        <v>554640.53</v>
      </c>
      <c r="N3915" s="5">
        <v>6342802.49</v>
      </c>
      <c r="O3915" t="s" s="2">
        <v>305</v>
      </c>
      <c r="P3915" s="5">
        <v>71008</v>
      </c>
      <c r="Q3915" t="s" s="2">
        <v>7023</v>
      </c>
      <c r="R3915" t="s" s="2">
        <f>_xlfn.IFERROR(INDEX('model_byCAP'!$D$2:$D$377,MATCH(Q3915,'model_byCAP'!$A$2:$A$377,0)),0)</f>
        <v>6270</v>
      </c>
    </row>
    <row r="3916" ht="15.35" customHeight="1">
      <c r="A3916" t="s" s="2">
        <v>7305</v>
      </c>
      <c r="B3916" s="4">
        <v>35431</v>
      </c>
      <c r="C3916" s="5">
        <v>600</v>
      </c>
      <c r="D3916" s="5">
        <v>42.3</v>
      </c>
      <c r="E3916" s="5">
        <v>45</v>
      </c>
      <c r="F3916" t="s" s="2">
        <v>4716</v>
      </c>
      <c r="G3916" t="s" s="2">
        <v>7021</v>
      </c>
      <c r="H3916" s="5">
        <v>851</v>
      </c>
      <c r="I3916" t="s" s="2">
        <v>1139</v>
      </c>
      <c r="J3916" t="s" s="2">
        <v>22</v>
      </c>
      <c r="K3916" t="s" s="2">
        <v>7289</v>
      </c>
      <c r="L3916" t="s" s="2">
        <v>7306</v>
      </c>
      <c r="M3916" s="5">
        <v>554701.76</v>
      </c>
      <c r="N3916" s="5">
        <v>6342530.32</v>
      </c>
      <c r="O3916" t="s" s="2">
        <v>305</v>
      </c>
      <c r="P3916" s="5">
        <v>71009</v>
      </c>
      <c r="Q3916" t="s" s="2">
        <v>7023</v>
      </c>
      <c r="R3916" t="s" s="2">
        <f>_xlfn.IFERROR(INDEX('model_byCAP'!$D$2:$D$377,MATCH(Q3916,'model_byCAP'!$A$2:$A$377,0)),0)</f>
        <v>6270</v>
      </c>
    </row>
    <row r="3917" ht="15.35" customHeight="1">
      <c r="A3917" t="s" s="2">
        <v>7307</v>
      </c>
      <c r="B3917" s="4">
        <v>35466</v>
      </c>
      <c r="C3917" s="5">
        <v>600</v>
      </c>
      <c r="D3917" s="5">
        <v>42.3</v>
      </c>
      <c r="E3917" s="5">
        <v>45</v>
      </c>
      <c r="F3917" t="s" s="2">
        <v>4716</v>
      </c>
      <c r="G3917" t="s" s="2">
        <v>7021</v>
      </c>
      <c r="H3917" s="5">
        <v>851</v>
      </c>
      <c r="I3917" t="s" s="2">
        <v>1139</v>
      </c>
      <c r="J3917" t="s" s="2">
        <v>22</v>
      </c>
      <c r="K3917" t="s" s="2">
        <v>7289</v>
      </c>
      <c r="L3917" t="s" s="2">
        <v>524</v>
      </c>
      <c r="M3917" s="5">
        <v>554873.62</v>
      </c>
      <c r="N3917" s="5">
        <v>6342918.72</v>
      </c>
      <c r="O3917" t="s" s="2">
        <v>305</v>
      </c>
      <c r="P3917" s="5">
        <v>71010</v>
      </c>
      <c r="Q3917" t="s" s="2">
        <v>7023</v>
      </c>
      <c r="R3917" t="s" s="2">
        <f>_xlfn.IFERROR(INDEX('model_byCAP'!$D$2:$D$377,MATCH(Q3917,'model_byCAP'!$A$2:$A$377,0)),0)</f>
        <v>6270</v>
      </c>
    </row>
    <row r="3918" ht="15.35" customHeight="1">
      <c r="A3918" t="s" s="2">
        <v>7308</v>
      </c>
      <c r="B3918" s="4">
        <v>35473</v>
      </c>
      <c r="C3918" s="5">
        <v>600</v>
      </c>
      <c r="D3918" s="5">
        <v>42.3</v>
      </c>
      <c r="E3918" s="5">
        <v>45</v>
      </c>
      <c r="F3918" t="s" s="2">
        <v>4716</v>
      </c>
      <c r="G3918" t="s" s="2">
        <v>7021</v>
      </c>
      <c r="H3918" s="5">
        <v>851</v>
      </c>
      <c r="I3918" t="s" s="2">
        <v>1139</v>
      </c>
      <c r="J3918" t="s" s="2">
        <v>22</v>
      </c>
      <c r="K3918" t="s" s="2">
        <v>7289</v>
      </c>
      <c r="L3918" t="s" s="2">
        <v>7309</v>
      </c>
      <c r="M3918" s="5">
        <v>554934.9</v>
      </c>
      <c r="N3918" s="5">
        <v>6342646.28</v>
      </c>
      <c r="O3918" t="s" s="2">
        <v>305</v>
      </c>
      <c r="P3918" s="5">
        <v>71011</v>
      </c>
      <c r="Q3918" t="s" s="2">
        <v>7023</v>
      </c>
      <c r="R3918" t="s" s="2">
        <f>_xlfn.IFERROR(INDEX('model_byCAP'!$D$2:$D$377,MATCH(Q3918,'model_byCAP'!$A$2:$A$377,0)),0)</f>
        <v>6270</v>
      </c>
    </row>
    <row r="3919" ht="15.35" customHeight="1">
      <c r="A3919" t="s" s="2">
        <v>7310</v>
      </c>
      <c r="B3919" s="4">
        <v>35430</v>
      </c>
      <c r="C3919" s="5">
        <v>600</v>
      </c>
      <c r="D3919" s="5">
        <v>42.3</v>
      </c>
      <c r="E3919" s="5">
        <v>45</v>
      </c>
      <c r="F3919" t="s" s="2">
        <v>4716</v>
      </c>
      <c r="G3919" t="s" s="2">
        <v>7021</v>
      </c>
      <c r="H3919" s="5">
        <v>851</v>
      </c>
      <c r="I3919" t="s" s="2">
        <v>1139</v>
      </c>
      <c r="J3919" t="s" s="2">
        <v>22</v>
      </c>
      <c r="K3919" t="s" s="2">
        <v>7289</v>
      </c>
      <c r="L3919" t="s" s="2">
        <v>7311</v>
      </c>
      <c r="M3919" s="5">
        <v>554995.48</v>
      </c>
      <c r="N3919" s="5">
        <v>6342373.79</v>
      </c>
      <c r="O3919" t="s" s="2">
        <v>305</v>
      </c>
      <c r="P3919" s="5">
        <v>71012</v>
      </c>
      <c r="Q3919" t="s" s="2">
        <v>7023</v>
      </c>
      <c r="R3919" t="s" s="2">
        <f>_xlfn.IFERROR(INDEX('model_byCAP'!$D$2:$D$377,MATCH(Q3919,'model_byCAP'!$A$2:$A$377,0)),0)</f>
        <v>6270</v>
      </c>
    </row>
    <row r="3920" ht="15.35" customHeight="1">
      <c r="A3920" t="s" s="2">
        <v>7312</v>
      </c>
      <c r="B3920" s="4">
        <v>35473</v>
      </c>
      <c r="C3920" s="5">
        <v>600</v>
      </c>
      <c r="D3920" s="5">
        <v>42.3</v>
      </c>
      <c r="E3920" s="5">
        <v>45</v>
      </c>
      <c r="F3920" t="s" s="2">
        <v>4716</v>
      </c>
      <c r="G3920" t="s" s="2">
        <v>7021</v>
      </c>
      <c r="H3920" s="5">
        <v>851</v>
      </c>
      <c r="I3920" t="s" s="2">
        <v>1139</v>
      </c>
      <c r="J3920" t="s" s="2">
        <v>22</v>
      </c>
      <c r="K3920" t="s" s="2">
        <v>7289</v>
      </c>
      <c r="L3920" t="s" s="2">
        <v>1626</v>
      </c>
      <c r="M3920" s="5">
        <v>555106.85</v>
      </c>
      <c r="N3920" s="5">
        <v>6343034.25</v>
      </c>
      <c r="O3920" t="s" s="2">
        <v>305</v>
      </c>
      <c r="P3920" s="5">
        <v>71013</v>
      </c>
      <c r="Q3920" t="s" s="2">
        <v>7023</v>
      </c>
      <c r="R3920" t="s" s="2">
        <f>_xlfn.IFERROR(INDEX('model_byCAP'!$D$2:$D$377,MATCH(Q3920,'model_byCAP'!$A$2:$A$377,0)),0)</f>
        <v>6270</v>
      </c>
    </row>
    <row r="3921" ht="15.35" customHeight="1">
      <c r="A3921" t="s" s="2">
        <v>7313</v>
      </c>
      <c r="B3921" s="4">
        <v>35430</v>
      </c>
      <c r="C3921" s="5">
        <v>600</v>
      </c>
      <c r="D3921" s="5">
        <v>42.3</v>
      </c>
      <c r="E3921" s="5">
        <v>45</v>
      </c>
      <c r="F3921" t="s" s="2">
        <v>4716</v>
      </c>
      <c r="G3921" t="s" s="2">
        <v>7021</v>
      </c>
      <c r="H3921" s="5">
        <v>851</v>
      </c>
      <c r="I3921" t="s" s="2">
        <v>1139</v>
      </c>
      <c r="J3921" t="s" s="2">
        <v>22</v>
      </c>
      <c r="K3921" t="s" s="2">
        <v>7314</v>
      </c>
      <c r="L3921" t="s" s="2">
        <v>518</v>
      </c>
      <c r="M3921" s="5">
        <v>555167.74</v>
      </c>
      <c r="N3921" s="5">
        <v>6342762.14</v>
      </c>
      <c r="O3921" t="s" s="2">
        <v>305</v>
      </c>
      <c r="P3921" s="5">
        <v>71014</v>
      </c>
      <c r="Q3921" t="s" s="2">
        <v>7023</v>
      </c>
      <c r="R3921" t="s" s="2">
        <f>_xlfn.IFERROR(INDEX('model_byCAP'!$D$2:$D$377,MATCH(Q3921,'model_byCAP'!$A$2:$A$377,0)),0)</f>
        <v>6270</v>
      </c>
    </row>
    <row r="3922" ht="15.35" customHeight="1">
      <c r="A3922" t="s" s="2">
        <v>7315</v>
      </c>
      <c r="B3922" s="4">
        <v>35430</v>
      </c>
      <c r="C3922" s="5">
        <v>600</v>
      </c>
      <c r="D3922" s="5">
        <v>42.3</v>
      </c>
      <c r="E3922" s="5">
        <v>45</v>
      </c>
      <c r="F3922" t="s" s="2">
        <v>4716</v>
      </c>
      <c r="G3922" t="s" s="2">
        <v>7021</v>
      </c>
      <c r="H3922" s="5">
        <v>851</v>
      </c>
      <c r="I3922" t="s" s="2">
        <v>1139</v>
      </c>
      <c r="J3922" t="s" s="2">
        <v>22</v>
      </c>
      <c r="K3922" t="s" s="2">
        <v>7289</v>
      </c>
      <c r="L3922" t="s" s="2">
        <v>7316</v>
      </c>
      <c r="M3922" s="5">
        <v>555229.15</v>
      </c>
      <c r="N3922" s="5">
        <v>6342489.81</v>
      </c>
      <c r="O3922" t="s" s="2">
        <v>305</v>
      </c>
      <c r="P3922" s="5">
        <v>71014</v>
      </c>
      <c r="Q3922" t="s" s="2">
        <v>7023</v>
      </c>
      <c r="R3922" t="s" s="2">
        <f>_xlfn.IFERROR(INDEX('model_byCAP'!$D$2:$D$377,MATCH(Q3922,'model_byCAP'!$A$2:$A$377,0)),0)</f>
        <v>6270</v>
      </c>
    </row>
    <row r="3923" ht="15.35" customHeight="1">
      <c r="A3923" t="s" s="2">
        <v>7317</v>
      </c>
      <c r="B3923" s="4">
        <v>35730</v>
      </c>
      <c r="C3923" s="5">
        <v>600</v>
      </c>
      <c r="D3923" s="5">
        <v>48</v>
      </c>
      <c r="E3923" s="5">
        <v>46</v>
      </c>
      <c r="F3923" t="s" s="2">
        <v>1746</v>
      </c>
      <c r="G3923" t="s" s="2">
        <v>6024</v>
      </c>
      <c r="H3923" s="5">
        <v>851</v>
      </c>
      <c r="I3923" t="s" s="2">
        <v>1139</v>
      </c>
      <c r="J3923" t="s" s="2">
        <v>22</v>
      </c>
      <c r="K3923" t="s" s="2">
        <v>7318</v>
      </c>
      <c r="L3923" t="s" s="2">
        <v>7319</v>
      </c>
      <c r="M3923" s="5">
        <v>573565.0699999999</v>
      </c>
      <c r="N3923" s="5">
        <v>6324221.56</v>
      </c>
      <c r="O3923" t="s" s="2">
        <v>305</v>
      </c>
      <c r="P3923" t="s" s="2">
        <v>7320</v>
      </c>
      <c r="Q3923" t="s" s="2">
        <v>6025</v>
      </c>
      <c r="R3923" t="s" s="2">
        <f>_xlfn.IFERROR(INDEX('model_byCAP'!$D$2:$D$377,MATCH(Q3923,'model_byCAP'!$A$2:$A$377,0)),0)</f>
        <v>2955</v>
      </c>
    </row>
    <row r="3924" ht="15.35" customHeight="1">
      <c r="A3924" t="s" s="2">
        <v>7321</v>
      </c>
      <c r="B3924" s="4">
        <v>35730</v>
      </c>
      <c r="C3924" s="5">
        <v>600</v>
      </c>
      <c r="D3924" s="5">
        <v>48</v>
      </c>
      <c r="E3924" s="5">
        <v>46</v>
      </c>
      <c r="F3924" t="s" s="2">
        <v>1746</v>
      </c>
      <c r="G3924" t="s" s="2">
        <v>6024</v>
      </c>
      <c r="H3924" s="5">
        <v>851</v>
      </c>
      <c r="I3924" t="s" s="2">
        <v>1139</v>
      </c>
      <c r="J3924" t="s" s="2">
        <v>22</v>
      </c>
      <c r="K3924" t="s" s="2">
        <v>7318</v>
      </c>
      <c r="L3924" s="5">
        <v>2</v>
      </c>
      <c r="M3924" s="5">
        <v>573629.0699999999</v>
      </c>
      <c r="N3924" s="5">
        <v>6324496.17</v>
      </c>
      <c r="O3924" t="s" s="2">
        <v>305</v>
      </c>
      <c r="P3924" t="s" s="2">
        <v>7320</v>
      </c>
      <c r="Q3924" t="s" s="2">
        <v>6025</v>
      </c>
      <c r="R3924" t="s" s="2">
        <f>_xlfn.IFERROR(INDEX('model_byCAP'!$D$2:$D$377,MATCH(Q3924,'model_byCAP'!$A$2:$A$377,0)),0)</f>
        <v>2955</v>
      </c>
    </row>
    <row r="3925" ht="15.35" customHeight="1">
      <c r="A3925" t="s" s="2">
        <v>7322</v>
      </c>
      <c r="B3925" s="4">
        <v>35730</v>
      </c>
      <c r="C3925" s="5">
        <v>600</v>
      </c>
      <c r="D3925" s="5">
        <v>48</v>
      </c>
      <c r="E3925" s="5">
        <v>46</v>
      </c>
      <c r="F3925" t="s" s="2">
        <v>1746</v>
      </c>
      <c r="G3925" t="s" s="2">
        <v>6024</v>
      </c>
      <c r="H3925" s="5">
        <v>851</v>
      </c>
      <c r="I3925" t="s" s="2">
        <v>1139</v>
      </c>
      <c r="J3925" t="s" s="2">
        <v>22</v>
      </c>
      <c r="K3925" t="s" s="2">
        <v>5205</v>
      </c>
      <c r="L3925" t="s" s="2">
        <v>481</v>
      </c>
      <c r="M3925" s="5">
        <v>573504.23</v>
      </c>
      <c r="N3925" s="5">
        <v>6323958.26</v>
      </c>
      <c r="O3925" t="s" s="2">
        <v>305</v>
      </c>
      <c r="P3925" t="s" s="2">
        <v>7320</v>
      </c>
      <c r="Q3925" t="s" s="2">
        <v>6025</v>
      </c>
      <c r="R3925" t="s" s="2">
        <f>_xlfn.IFERROR(INDEX('model_byCAP'!$D$2:$D$377,MATCH(Q3925,'model_byCAP'!$A$2:$A$377,0)),0)</f>
        <v>2955</v>
      </c>
    </row>
    <row r="3926" ht="15.35" customHeight="1">
      <c r="A3926" t="s" s="2">
        <v>7323</v>
      </c>
      <c r="B3926" s="4">
        <v>35730</v>
      </c>
      <c r="C3926" s="5">
        <v>600</v>
      </c>
      <c r="D3926" s="5">
        <v>48</v>
      </c>
      <c r="E3926" s="5">
        <v>46</v>
      </c>
      <c r="F3926" t="s" s="2">
        <v>1746</v>
      </c>
      <c r="G3926" t="s" s="2">
        <v>6024</v>
      </c>
      <c r="H3926" s="5">
        <v>851</v>
      </c>
      <c r="I3926" t="s" s="2">
        <v>1139</v>
      </c>
      <c r="J3926" t="s" s="2">
        <v>22</v>
      </c>
      <c r="K3926" t="s" s="2">
        <v>7318</v>
      </c>
      <c r="L3926" s="5">
        <v>4</v>
      </c>
      <c r="M3926" s="5">
        <v>573441.91</v>
      </c>
      <c r="N3926" s="5">
        <v>6323696.19</v>
      </c>
      <c r="O3926" t="s" s="2">
        <v>305</v>
      </c>
      <c r="P3926" t="s" s="2">
        <v>7320</v>
      </c>
      <c r="Q3926" t="s" s="2">
        <v>6025</v>
      </c>
      <c r="R3926" t="s" s="2">
        <f>_xlfn.IFERROR(INDEX('model_byCAP'!$D$2:$D$377,MATCH(Q3926,'model_byCAP'!$A$2:$A$377,0)),0)</f>
        <v>2955</v>
      </c>
    </row>
    <row r="3927" ht="15.35" customHeight="1">
      <c r="A3927" t="s" s="2">
        <v>7324</v>
      </c>
      <c r="B3927" s="4">
        <v>35789</v>
      </c>
      <c r="C3927" s="5">
        <v>600</v>
      </c>
      <c r="D3927" s="5">
        <v>48</v>
      </c>
      <c r="E3927" s="5">
        <v>46</v>
      </c>
      <c r="F3927" t="s" s="2">
        <v>1746</v>
      </c>
      <c r="G3927" t="s" s="2">
        <v>6024</v>
      </c>
      <c r="H3927" s="5">
        <v>851</v>
      </c>
      <c r="I3927" t="s" s="2">
        <v>1139</v>
      </c>
      <c r="J3927" t="s" s="2">
        <v>22</v>
      </c>
      <c r="K3927" t="s" s="2">
        <v>7318</v>
      </c>
      <c r="L3927" s="5">
        <v>5</v>
      </c>
      <c r="M3927" s="5">
        <v>573943.72</v>
      </c>
      <c r="N3927" s="5">
        <v>6324396.4</v>
      </c>
      <c r="O3927" t="s" s="2">
        <v>305</v>
      </c>
      <c r="P3927" t="s" s="2">
        <v>7320</v>
      </c>
      <c r="Q3927" t="s" s="2">
        <v>6025</v>
      </c>
      <c r="R3927" t="s" s="2">
        <f>_xlfn.IFERROR(INDEX('model_byCAP'!$D$2:$D$377,MATCH(Q3927,'model_byCAP'!$A$2:$A$377,0)),0)</f>
        <v>2955</v>
      </c>
    </row>
    <row r="3928" ht="15.35" customHeight="1">
      <c r="A3928" t="s" s="2">
        <v>7325</v>
      </c>
      <c r="B3928" s="4">
        <v>35730</v>
      </c>
      <c r="C3928" s="5">
        <v>600</v>
      </c>
      <c r="D3928" s="5">
        <v>48</v>
      </c>
      <c r="E3928" s="5">
        <v>46</v>
      </c>
      <c r="F3928" t="s" s="2">
        <v>1746</v>
      </c>
      <c r="G3928" t="s" s="2">
        <v>6024</v>
      </c>
      <c r="H3928" s="5">
        <v>851</v>
      </c>
      <c r="I3928" t="s" s="2">
        <v>1139</v>
      </c>
      <c r="J3928" t="s" s="2">
        <v>22</v>
      </c>
      <c r="K3928" t="s" s="2">
        <v>7326</v>
      </c>
      <c r="L3928" t="s" s="2">
        <v>1026</v>
      </c>
      <c r="M3928" s="5">
        <v>573882.6800000001</v>
      </c>
      <c r="N3928" s="5">
        <v>6324133.84</v>
      </c>
      <c r="O3928" t="s" s="2">
        <v>305</v>
      </c>
      <c r="P3928" t="s" s="2">
        <v>7320</v>
      </c>
      <c r="Q3928" t="s" s="2">
        <v>6025</v>
      </c>
      <c r="R3928" t="s" s="2">
        <f>_xlfn.IFERROR(INDEX('model_byCAP'!$D$2:$D$377,MATCH(Q3928,'model_byCAP'!$A$2:$A$377,0)),0)</f>
        <v>2955</v>
      </c>
    </row>
    <row r="3929" ht="15.35" customHeight="1">
      <c r="A3929" t="s" s="2">
        <v>7327</v>
      </c>
      <c r="B3929" s="4">
        <v>36078</v>
      </c>
      <c r="C3929" s="5">
        <v>600</v>
      </c>
      <c r="D3929" s="5">
        <v>48</v>
      </c>
      <c r="E3929" s="5">
        <v>46</v>
      </c>
      <c r="F3929" t="s" s="2">
        <v>1746</v>
      </c>
      <c r="G3929" t="s" s="2">
        <v>6024</v>
      </c>
      <c r="H3929" s="5">
        <v>851</v>
      </c>
      <c r="I3929" t="s" s="2">
        <v>1139</v>
      </c>
      <c r="J3929" t="s" s="2">
        <v>22</v>
      </c>
      <c r="K3929" t="s" s="2">
        <v>5205</v>
      </c>
      <c r="L3929" t="s" s="2">
        <v>481</v>
      </c>
      <c r="M3929" s="5">
        <v>573821.89</v>
      </c>
      <c r="N3929" s="5">
        <v>6323870.92</v>
      </c>
      <c r="O3929" t="s" s="2">
        <v>305</v>
      </c>
      <c r="P3929" t="s" s="2">
        <v>7320</v>
      </c>
      <c r="Q3929" t="s" s="2">
        <v>6025</v>
      </c>
      <c r="R3929" t="s" s="2">
        <f>_xlfn.IFERROR(INDEX('model_byCAP'!$D$2:$D$377,MATCH(Q3929,'model_byCAP'!$A$2:$A$377,0)),0)</f>
        <v>2955</v>
      </c>
    </row>
    <row r="3930" ht="15.35" customHeight="1">
      <c r="A3930" t="s" s="2">
        <v>7328</v>
      </c>
      <c r="B3930" s="4">
        <v>35780</v>
      </c>
      <c r="C3930" s="5">
        <v>600</v>
      </c>
      <c r="D3930" s="5">
        <v>48</v>
      </c>
      <c r="E3930" s="5">
        <v>46</v>
      </c>
      <c r="F3930" t="s" s="2">
        <v>1746</v>
      </c>
      <c r="G3930" t="s" s="2">
        <v>6024</v>
      </c>
      <c r="H3930" s="5">
        <v>851</v>
      </c>
      <c r="I3930" t="s" s="2">
        <v>1139</v>
      </c>
      <c r="J3930" t="s" s="2">
        <v>22</v>
      </c>
      <c r="K3930" t="s" s="2">
        <v>7318</v>
      </c>
      <c r="L3930" t="s" s="2">
        <v>5875</v>
      </c>
      <c r="M3930" s="5">
        <v>573760.67</v>
      </c>
      <c r="N3930" s="5">
        <v>6323607.45</v>
      </c>
      <c r="O3930" t="s" s="2">
        <v>305</v>
      </c>
      <c r="P3930" t="s" s="2">
        <v>7320</v>
      </c>
      <c r="Q3930" t="s" s="2">
        <v>6025</v>
      </c>
      <c r="R3930" t="s" s="2">
        <f>_xlfn.IFERROR(INDEX('model_byCAP'!$D$2:$D$377,MATCH(Q3930,'model_byCAP'!$A$2:$A$377,0)),0)</f>
        <v>2955</v>
      </c>
    </row>
    <row r="3931" ht="15.35" customHeight="1">
      <c r="A3931" t="s" s="2">
        <v>7329</v>
      </c>
      <c r="B3931" s="4">
        <v>35727</v>
      </c>
      <c r="C3931" s="5">
        <v>600</v>
      </c>
      <c r="D3931" s="5">
        <v>44</v>
      </c>
      <c r="E3931" s="5">
        <v>45</v>
      </c>
      <c r="F3931" t="s" s="2">
        <v>301</v>
      </c>
      <c r="G3931" t="s" s="2">
        <v>5700</v>
      </c>
      <c r="H3931" s="5">
        <v>860</v>
      </c>
      <c r="I3931" t="s" s="2">
        <v>449</v>
      </c>
      <c r="J3931" t="s" s="2">
        <v>22</v>
      </c>
      <c r="K3931" t="s" s="2">
        <v>7330</v>
      </c>
      <c r="L3931" t="s" s="2">
        <v>7331</v>
      </c>
      <c r="M3931" s="5">
        <v>550243.39</v>
      </c>
      <c r="N3931" s="5">
        <v>6361537.38</v>
      </c>
      <c r="O3931" t="s" s="2">
        <v>305</v>
      </c>
      <c r="P3931" t="s" s="2">
        <v>7332</v>
      </c>
      <c r="Q3931" t="s" s="2">
        <v>5701</v>
      </c>
      <c r="R3931" t="s" s="2">
        <f>_xlfn.IFERROR(INDEX('model_byCAP'!$D$2:$D$377,MATCH(Q3931,'model_byCAP'!$A$2:$A$377,0)),0)</f>
        <v>5702</v>
      </c>
    </row>
    <row r="3932" ht="15.35" customHeight="1">
      <c r="A3932" t="s" s="2">
        <v>7333</v>
      </c>
      <c r="B3932" s="4">
        <v>35727</v>
      </c>
      <c r="C3932" s="5">
        <v>600</v>
      </c>
      <c r="D3932" s="5">
        <v>44</v>
      </c>
      <c r="E3932" s="5">
        <v>45</v>
      </c>
      <c r="F3932" t="s" s="2">
        <v>301</v>
      </c>
      <c r="G3932" t="s" s="2">
        <v>5700</v>
      </c>
      <c r="H3932" s="5">
        <v>860</v>
      </c>
      <c r="I3932" t="s" s="2">
        <v>449</v>
      </c>
      <c r="J3932" t="s" s="2">
        <v>22</v>
      </c>
      <c r="K3932" t="s" s="2">
        <v>7330</v>
      </c>
      <c r="L3932" t="s" s="2">
        <v>1105</v>
      </c>
      <c r="M3932" s="5">
        <v>550306.75</v>
      </c>
      <c r="N3932" s="5">
        <v>6361748.17</v>
      </c>
      <c r="O3932" t="s" s="2">
        <v>305</v>
      </c>
      <c r="P3932" t="s" s="2">
        <v>7334</v>
      </c>
      <c r="Q3932" t="s" s="2">
        <v>5701</v>
      </c>
      <c r="R3932" t="s" s="2">
        <f>_xlfn.IFERROR(INDEX('model_byCAP'!$D$2:$D$377,MATCH(Q3932,'model_byCAP'!$A$2:$A$377,0)),0)</f>
        <v>5702</v>
      </c>
    </row>
    <row r="3933" ht="15.35" customHeight="1">
      <c r="A3933" t="s" s="2">
        <v>7335</v>
      </c>
      <c r="B3933" s="4">
        <v>35727</v>
      </c>
      <c r="C3933" s="5">
        <v>600</v>
      </c>
      <c r="D3933" s="5">
        <v>44</v>
      </c>
      <c r="E3933" s="5">
        <v>45</v>
      </c>
      <c r="F3933" t="s" s="2">
        <v>301</v>
      </c>
      <c r="G3933" t="s" s="2">
        <v>5700</v>
      </c>
      <c r="H3933" s="5">
        <v>860</v>
      </c>
      <c r="I3933" t="s" s="2">
        <v>449</v>
      </c>
      <c r="J3933" t="s" s="2">
        <v>22</v>
      </c>
      <c r="K3933" t="s" s="2">
        <v>7330</v>
      </c>
      <c r="L3933" t="s" s="2">
        <v>2078</v>
      </c>
      <c r="M3933" s="5">
        <v>550497.96</v>
      </c>
      <c r="N3933" s="5">
        <v>6361640.04</v>
      </c>
      <c r="O3933" t="s" s="2">
        <v>305</v>
      </c>
      <c r="P3933" t="s" s="2">
        <v>7336</v>
      </c>
      <c r="Q3933" t="s" s="2">
        <v>5701</v>
      </c>
      <c r="R3933" t="s" s="2">
        <f>_xlfn.IFERROR(INDEX('model_byCAP'!$D$2:$D$377,MATCH(Q3933,'model_byCAP'!$A$2:$A$377,0)),0)</f>
        <v>5702</v>
      </c>
    </row>
    <row r="3934" ht="15.35" customHeight="1">
      <c r="A3934" t="s" s="2">
        <v>7337</v>
      </c>
      <c r="B3934" s="4">
        <v>35727</v>
      </c>
      <c r="C3934" s="5">
        <v>600</v>
      </c>
      <c r="D3934" s="5">
        <v>44</v>
      </c>
      <c r="E3934" s="5">
        <v>45</v>
      </c>
      <c r="F3934" t="s" s="2">
        <v>301</v>
      </c>
      <c r="G3934" t="s" s="2">
        <v>5700</v>
      </c>
      <c r="H3934" s="5">
        <v>860</v>
      </c>
      <c r="I3934" t="s" s="2">
        <v>449</v>
      </c>
      <c r="J3934" t="s" s="2">
        <v>22</v>
      </c>
      <c r="K3934" t="s" s="2">
        <v>7330</v>
      </c>
      <c r="L3934" t="s" s="2">
        <v>1320</v>
      </c>
      <c r="M3934" s="5">
        <v>550434.8199999999</v>
      </c>
      <c r="N3934" s="5">
        <v>6361429.43</v>
      </c>
      <c r="O3934" t="s" s="2">
        <v>305</v>
      </c>
      <c r="P3934" t="s" s="2">
        <v>7338</v>
      </c>
      <c r="Q3934" t="s" s="2">
        <v>5701</v>
      </c>
      <c r="R3934" t="s" s="2">
        <f>_xlfn.IFERROR(INDEX('model_byCAP'!$D$2:$D$377,MATCH(Q3934,'model_byCAP'!$A$2:$A$377,0)),0)</f>
        <v>5702</v>
      </c>
    </row>
    <row r="3935" ht="15.35" customHeight="1">
      <c r="A3935" t="s" s="2">
        <v>7339</v>
      </c>
      <c r="B3935" s="4">
        <v>36503</v>
      </c>
      <c r="C3935" s="5">
        <v>600</v>
      </c>
      <c r="D3935" s="5">
        <v>44</v>
      </c>
      <c r="E3935" s="5">
        <v>40</v>
      </c>
      <c r="F3935" t="s" s="2">
        <v>301</v>
      </c>
      <c r="G3935" t="s" s="2">
        <v>5700</v>
      </c>
      <c r="H3935" s="5">
        <v>860</v>
      </c>
      <c r="I3935" t="s" s="2">
        <v>449</v>
      </c>
      <c r="J3935" t="s" s="2">
        <v>22</v>
      </c>
      <c r="K3935" t="s" s="2">
        <v>7340</v>
      </c>
      <c r="L3935" t="s" s="2">
        <v>4055</v>
      </c>
      <c r="M3935" s="5">
        <v>569740.34</v>
      </c>
      <c r="N3935" s="5">
        <v>6376062.43</v>
      </c>
      <c r="O3935" t="s" s="2">
        <v>305</v>
      </c>
      <c r="P3935" t="s" s="2">
        <v>7341</v>
      </c>
      <c r="Q3935" t="s" s="2">
        <v>5701</v>
      </c>
      <c r="R3935" t="s" s="2">
        <f>_xlfn.IFERROR(INDEX('model_byCAP'!$D$2:$D$377,MATCH(Q3935,'model_byCAP'!$A$2:$A$377,0)),0)</f>
        <v>5702</v>
      </c>
    </row>
    <row r="3936" ht="15.35" customHeight="1">
      <c r="A3936" t="s" s="2">
        <v>7342</v>
      </c>
      <c r="B3936" s="4">
        <v>36482</v>
      </c>
      <c r="C3936" s="5">
        <v>600</v>
      </c>
      <c r="D3936" s="5">
        <v>44</v>
      </c>
      <c r="E3936" s="5">
        <v>40</v>
      </c>
      <c r="F3936" t="s" s="2">
        <v>301</v>
      </c>
      <c r="G3936" t="s" s="2">
        <v>5700</v>
      </c>
      <c r="H3936" s="5">
        <v>860</v>
      </c>
      <c r="I3936" t="s" s="2">
        <v>449</v>
      </c>
      <c r="J3936" t="s" s="2">
        <v>22</v>
      </c>
      <c r="K3936" t="s" s="2">
        <v>7340</v>
      </c>
      <c r="L3936" t="s" s="2">
        <v>524</v>
      </c>
      <c r="M3936" s="5">
        <v>569954.28</v>
      </c>
      <c r="N3936" s="5">
        <v>6375993.1</v>
      </c>
      <c r="O3936" t="s" s="2">
        <v>305</v>
      </c>
      <c r="P3936" t="s" s="2">
        <v>7343</v>
      </c>
      <c r="Q3936" t="s" s="2">
        <v>5701</v>
      </c>
      <c r="R3936" t="s" s="2">
        <f>_xlfn.IFERROR(INDEX('model_byCAP'!$D$2:$D$377,MATCH(Q3936,'model_byCAP'!$A$2:$A$377,0)),0)</f>
        <v>5702</v>
      </c>
    </row>
    <row r="3937" ht="15.35" customHeight="1">
      <c r="A3937" t="s" s="2">
        <v>7344</v>
      </c>
      <c r="B3937" s="4">
        <v>36482</v>
      </c>
      <c r="C3937" s="5">
        <v>600</v>
      </c>
      <c r="D3937" s="5">
        <v>44</v>
      </c>
      <c r="E3937" s="5">
        <v>40</v>
      </c>
      <c r="F3937" t="s" s="2">
        <v>301</v>
      </c>
      <c r="G3937" t="s" s="2">
        <v>5700</v>
      </c>
      <c r="H3937" s="5">
        <v>860</v>
      </c>
      <c r="I3937" t="s" s="2">
        <v>449</v>
      </c>
      <c r="J3937" t="s" s="2">
        <v>22</v>
      </c>
      <c r="K3937" t="s" s="2">
        <v>7340</v>
      </c>
      <c r="L3937" t="s" s="2">
        <v>524</v>
      </c>
      <c r="M3937" s="5">
        <v>569786.84</v>
      </c>
      <c r="N3937" s="5">
        <v>6375842.76</v>
      </c>
      <c r="O3937" t="s" s="2">
        <v>305</v>
      </c>
      <c r="P3937" t="s" s="2">
        <v>7345</v>
      </c>
      <c r="Q3937" t="s" s="2">
        <v>5701</v>
      </c>
      <c r="R3937" t="s" s="2">
        <f>_xlfn.IFERROR(INDEX('model_byCAP'!$D$2:$D$377,MATCH(Q3937,'model_byCAP'!$A$2:$A$377,0)),0)</f>
        <v>5702</v>
      </c>
    </row>
    <row r="3938" ht="15.35" customHeight="1">
      <c r="A3938" t="s" s="2">
        <v>7346</v>
      </c>
      <c r="B3938" s="4">
        <v>36612</v>
      </c>
      <c r="C3938" s="5">
        <v>600</v>
      </c>
      <c r="D3938" s="5">
        <v>44</v>
      </c>
      <c r="E3938" s="5">
        <v>40</v>
      </c>
      <c r="F3938" t="s" s="2">
        <v>301</v>
      </c>
      <c r="G3938" t="s" s="2">
        <v>5700</v>
      </c>
      <c r="H3938" s="5">
        <v>860</v>
      </c>
      <c r="I3938" t="s" s="2">
        <v>449</v>
      </c>
      <c r="J3938" t="s" s="2">
        <v>22</v>
      </c>
      <c r="K3938" t="s" s="2">
        <v>7340</v>
      </c>
      <c r="L3938" t="s" s="2">
        <v>524</v>
      </c>
      <c r="M3938" s="5">
        <v>570001.29</v>
      </c>
      <c r="N3938" s="5">
        <v>6375773.09</v>
      </c>
      <c r="O3938" t="s" s="2">
        <v>305</v>
      </c>
      <c r="P3938" t="s" s="2">
        <v>7347</v>
      </c>
      <c r="Q3938" t="s" s="2">
        <v>5701</v>
      </c>
      <c r="R3938" t="s" s="2">
        <f>_xlfn.IFERROR(INDEX('model_byCAP'!$D$2:$D$377,MATCH(Q3938,'model_byCAP'!$A$2:$A$377,0)),0)</f>
        <v>5702</v>
      </c>
    </row>
    <row r="3939" ht="15.35" customHeight="1">
      <c r="A3939" t="s" s="2">
        <v>7348</v>
      </c>
      <c r="B3939" s="4">
        <v>36517</v>
      </c>
      <c r="C3939" s="5">
        <v>600</v>
      </c>
      <c r="D3939" s="5">
        <v>44</v>
      </c>
      <c r="E3939" s="5">
        <v>40</v>
      </c>
      <c r="F3939" t="s" s="2">
        <v>301</v>
      </c>
      <c r="G3939" t="s" s="2">
        <v>5700</v>
      </c>
      <c r="H3939" s="5">
        <v>860</v>
      </c>
      <c r="I3939" t="s" s="2">
        <v>449</v>
      </c>
      <c r="J3939" t="s" s="2">
        <v>22</v>
      </c>
      <c r="K3939" t="s" s="2">
        <v>7340</v>
      </c>
      <c r="L3939" t="s" s="2">
        <v>1608</v>
      </c>
      <c r="M3939" s="5">
        <v>569833.5699999999</v>
      </c>
      <c r="N3939" s="5">
        <v>6375622.52</v>
      </c>
      <c r="O3939" t="s" s="2">
        <v>305</v>
      </c>
      <c r="P3939" t="s" s="2">
        <v>7349</v>
      </c>
      <c r="Q3939" t="s" s="2">
        <v>5701</v>
      </c>
      <c r="R3939" t="s" s="2">
        <f>_xlfn.IFERROR(INDEX('model_byCAP'!$D$2:$D$377,MATCH(Q3939,'model_byCAP'!$A$2:$A$377,0)),0)</f>
        <v>5702</v>
      </c>
    </row>
    <row r="3940" ht="15.35" customHeight="1">
      <c r="A3940" t="s" s="2">
        <v>7350</v>
      </c>
      <c r="B3940" s="4">
        <v>36482</v>
      </c>
      <c r="C3940" s="5">
        <v>600</v>
      </c>
      <c r="D3940" s="5">
        <v>44</v>
      </c>
      <c r="E3940" s="5">
        <v>40</v>
      </c>
      <c r="F3940" t="s" s="2">
        <v>301</v>
      </c>
      <c r="G3940" t="s" s="2">
        <v>5700</v>
      </c>
      <c r="H3940" s="5">
        <v>860</v>
      </c>
      <c r="I3940" t="s" s="2">
        <v>449</v>
      </c>
      <c r="J3940" t="s" s="2">
        <v>22</v>
      </c>
      <c r="K3940" t="s" s="2">
        <v>7340</v>
      </c>
      <c r="L3940" t="s" s="2">
        <v>543</v>
      </c>
      <c r="M3940" s="5">
        <v>570048.0699999999</v>
      </c>
      <c r="N3940" s="5">
        <v>6375553.07</v>
      </c>
      <c r="O3940" t="s" s="2">
        <v>305</v>
      </c>
      <c r="P3940" t="s" s="2">
        <v>7351</v>
      </c>
      <c r="Q3940" t="s" s="2">
        <v>5701</v>
      </c>
      <c r="R3940" t="s" s="2">
        <f>_xlfn.IFERROR(INDEX('model_byCAP'!$D$2:$D$377,MATCH(Q3940,'model_byCAP'!$A$2:$A$377,0)),0)</f>
        <v>5702</v>
      </c>
    </row>
    <row r="3941" ht="15.35" customHeight="1">
      <c r="A3941" t="s" s="2">
        <v>7352</v>
      </c>
      <c r="B3941" s="4">
        <v>36545</v>
      </c>
      <c r="C3941" s="5">
        <v>599</v>
      </c>
      <c r="D3941" s="5">
        <v>46</v>
      </c>
      <c r="E3941" s="5">
        <v>35</v>
      </c>
      <c r="F3941" t="s" s="2">
        <v>7353</v>
      </c>
      <c r="G3941" t="s" s="2">
        <v>7354</v>
      </c>
      <c r="H3941" s="5">
        <v>320</v>
      </c>
      <c r="I3941" t="s" s="2">
        <v>1006</v>
      </c>
      <c r="J3941" t="s" s="2">
        <v>22</v>
      </c>
      <c r="K3941" t="s" s="2">
        <v>7355</v>
      </c>
      <c r="L3941" t="s" s="2">
        <v>492</v>
      </c>
      <c r="M3941" s="5">
        <v>700250.5699999999</v>
      </c>
      <c r="N3941" s="5">
        <v>6129444.69</v>
      </c>
      <c r="O3941" t="s" s="2">
        <v>305</v>
      </c>
      <c r="P3941" s="5">
        <v>194362</v>
      </c>
      <c r="Q3941" t="s" s="2">
        <v>7356</v>
      </c>
      <c r="R3941" s="5">
        <f>_xlfn.IFERROR(INDEX('model_byCAP'!$D$2:$D$377,MATCH(Q3941,'model_byCAP'!$A$2:$A$377,0)),0)</f>
        <v>0</v>
      </c>
    </row>
    <row r="3942" ht="15.35" customHeight="1">
      <c r="A3942" t="s" s="2">
        <v>7357</v>
      </c>
      <c r="B3942" s="4">
        <v>36145</v>
      </c>
      <c r="C3942" s="5">
        <v>599</v>
      </c>
      <c r="D3942" s="5">
        <v>46</v>
      </c>
      <c r="E3942" s="5">
        <v>45</v>
      </c>
      <c r="F3942" t="s" s="2">
        <v>7353</v>
      </c>
      <c r="G3942" t="s" s="2">
        <v>7358</v>
      </c>
      <c r="H3942" s="5">
        <v>265</v>
      </c>
      <c r="I3942" t="s" s="2">
        <v>3920</v>
      </c>
      <c r="J3942" t="s" s="2">
        <v>22</v>
      </c>
      <c r="K3942" t="s" s="2">
        <v>3220</v>
      </c>
      <c r="L3942" t="s" s="2">
        <v>7359</v>
      </c>
      <c r="M3942" s="5">
        <v>693325.05</v>
      </c>
      <c r="N3942" s="5">
        <v>6160013.43</v>
      </c>
      <c r="O3942" t="s" s="2">
        <v>305</v>
      </c>
      <c r="P3942" s="5">
        <v>191859</v>
      </c>
      <c r="Q3942" t="s" s="2">
        <v>7360</v>
      </c>
      <c r="R3942" s="5">
        <f>_xlfn.IFERROR(INDEX('model_byCAP'!$D$2:$D$377,MATCH(Q3942,'model_byCAP'!$A$2:$A$377,0)),0)</f>
        <v>0</v>
      </c>
    </row>
    <row r="3943" ht="15.35" customHeight="1">
      <c r="A3943" t="s" s="2">
        <v>7361</v>
      </c>
      <c r="B3943" s="4">
        <v>36145</v>
      </c>
      <c r="C3943" s="5">
        <v>599</v>
      </c>
      <c r="D3943" s="5">
        <v>46</v>
      </c>
      <c r="E3943" s="5">
        <v>45</v>
      </c>
      <c r="F3943" t="s" s="2">
        <v>7353</v>
      </c>
      <c r="G3943" t="s" s="2">
        <v>7362</v>
      </c>
      <c r="H3943" s="5">
        <v>265</v>
      </c>
      <c r="I3943" t="s" s="2">
        <v>3920</v>
      </c>
      <c r="J3943" t="s" s="2">
        <v>22</v>
      </c>
      <c r="K3943" t="s" s="2">
        <v>3220</v>
      </c>
      <c r="L3943" t="s" s="2">
        <v>7359</v>
      </c>
      <c r="M3943" s="5">
        <v>693492.65</v>
      </c>
      <c r="N3943" s="5">
        <v>6159908.13</v>
      </c>
      <c r="O3943" t="s" s="2">
        <v>305</v>
      </c>
      <c r="P3943" s="5">
        <v>191858</v>
      </c>
      <c r="Q3943" t="s" s="2">
        <v>7363</v>
      </c>
      <c r="R3943" s="5">
        <f>_xlfn.IFERROR(INDEX('model_byCAP'!$D$2:$D$377,MATCH(Q3943,'model_byCAP'!$A$2:$A$377,0)),0)</f>
        <v>0</v>
      </c>
    </row>
    <row r="3944" ht="15.35" customHeight="1">
      <c r="A3944" t="s" s="2">
        <v>7364</v>
      </c>
      <c r="B3944" s="4">
        <v>36272</v>
      </c>
      <c r="C3944" s="5">
        <v>550</v>
      </c>
      <c r="D3944" s="5">
        <v>41</v>
      </c>
      <c r="E3944" s="5">
        <v>35</v>
      </c>
      <c r="F3944" t="s" s="2">
        <v>6608</v>
      </c>
      <c r="G3944" t="s" s="2">
        <v>7365</v>
      </c>
      <c r="H3944" s="5">
        <v>316</v>
      </c>
      <c r="I3944" t="s" s="2">
        <v>1769</v>
      </c>
      <c r="J3944" t="s" s="2">
        <v>22</v>
      </c>
      <c r="K3944" t="s" s="2">
        <v>7366</v>
      </c>
      <c r="L3944" t="s" s="2">
        <v>500</v>
      </c>
      <c r="M3944" s="5">
        <v>653525.16</v>
      </c>
      <c r="N3944" s="5">
        <v>6175997.89</v>
      </c>
      <c r="O3944" t="s" s="2">
        <v>305</v>
      </c>
      <c r="P3944" t="s" s="2">
        <v>7367</v>
      </c>
      <c r="Q3944" t="s" s="2">
        <v>7368</v>
      </c>
      <c r="R3944" t="s" s="2">
        <f>_xlfn.IFERROR(INDEX('model_byCAP'!$D$2:$D$377,MATCH(Q3944,'model_byCAP'!$A$2:$A$377,0)),0)</f>
        <v>7369</v>
      </c>
    </row>
    <row r="3945" ht="15.35" customHeight="1">
      <c r="A3945" t="s" s="2">
        <v>7370</v>
      </c>
      <c r="B3945" s="4">
        <v>36272</v>
      </c>
      <c r="C3945" s="5">
        <v>550</v>
      </c>
      <c r="D3945" s="5">
        <v>41</v>
      </c>
      <c r="E3945" s="5">
        <v>35</v>
      </c>
      <c r="F3945" t="s" s="2">
        <v>6608</v>
      </c>
      <c r="G3945" t="s" s="2">
        <v>7365</v>
      </c>
      <c r="H3945" s="5">
        <v>316</v>
      </c>
      <c r="I3945" t="s" s="2">
        <v>1769</v>
      </c>
      <c r="J3945" t="s" s="2">
        <v>22</v>
      </c>
      <c r="K3945" t="s" s="2">
        <v>7366</v>
      </c>
      <c r="L3945" t="s" s="2">
        <v>856</v>
      </c>
      <c r="M3945" s="5">
        <v>653526.89</v>
      </c>
      <c r="N3945" s="5">
        <v>6175888.03</v>
      </c>
      <c r="O3945" t="s" s="2">
        <v>305</v>
      </c>
      <c r="P3945" t="s" s="2">
        <v>7371</v>
      </c>
      <c r="Q3945" t="s" s="2">
        <v>7368</v>
      </c>
      <c r="R3945" t="s" s="2">
        <f>_xlfn.IFERROR(INDEX('model_byCAP'!$D$2:$D$377,MATCH(Q3945,'model_byCAP'!$A$2:$A$377,0)),0)</f>
        <v>7369</v>
      </c>
    </row>
    <row r="3946" ht="15.35" customHeight="1">
      <c r="A3946" t="s" s="2">
        <v>7372</v>
      </c>
      <c r="B3946" s="4">
        <v>36272</v>
      </c>
      <c r="C3946" s="5">
        <v>550</v>
      </c>
      <c r="D3946" s="5">
        <v>41</v>
      </c>
      <c r="E3946" s="5">
        <v>35</v>
      </c>
      <c r="F3946" t="s" s="2">
        <v>6608</v>
      </c>
      <c r="G3946" t="s" s="2">
        <v>7365</v>
      </c>
      <c r="H3946" s="5">
        <v>316</v>
      </c>
      <c r="I3946" t="s" s="2">
        <v>1769</v>
      </c>
      <c r="J3946" t="s" s="2">
        <v>22</v>
      </c>
      <c r="K3946" t="s" s="2">
        <v>7366</v>
      </c>
      <c r="L3946" t="s" s="2">
        <v>582</v>
      </c>
      <c r="M3946" s="5">
        <v>653529.26</v>
      </c>
      <c r="N3946" s="5">
        <v>6175777.73</v>
      </c>
      <c r="O3946" t="s" s="2">
        <v>305</v>
      </c>
      <c r="P3946" t="s" s="2">
        <v>7371</v>
      </c>
      <c r="Q3946" t="s" s="2">
        <v>7368</v>
      </c>
      <c r="R3946" t="s" s="2">
        <f>_xlfn.IFERROR(INDEX('model_byCAP'!$D$2:$D$377,MATCH(Q3946,'model_byCAP'!$A$2:$A$377,0)),0)</f>
        <v>7369</v>
      </c>
    </row>
    <row r="3947" ht="15.35" customHeight="1">
      <c r="A3947" t="s" s="2">
        <v>7373</v>
      </c>
      <c r="B3947" s="4">
        <v>36812</v>
      </c>
      <c r="C3947" s="5">
        <v>550</v>
      </c>
      <c r="D3947" s="5">
        <v>37.3</v>
      </c>
      <c r="E3947" s="5">
        <v>35</v>
      </c>
      <c r="F3947" t="s" s="2">
        <v>42</v>
      </c>
      <c r="G3947" t="s" s="2">
        <v>42</v>
      </c>
      <c r="H3947" s="5">
        <v>306</v>
      </c>
      <c r="I3947" t="s" s="2">
        <v>5800</v>
      </c>
      <c r="J3947" t="s" s="2">
        <v>22</v>
      </c>
      <c r="K3947" t="s" s="2">
        <v>7374</v>
      </c>
      <c r="L3947" t="s" s="2">
        <v>2384</v>
      </c>
      <c r="M3947" s="5">
        <v>655729.48</v>
      </c>
      <c r="N3947" s="5">
        <v>6182928.25</v>
      </c>
      <c r="O3947" t="s" s="2">
        <v>305</v>
      </c>
      <c r="P3947" s="5">
        <v>40065560</v>
      </c>
      <c r="Q3947" t="s" s="2">
        <v>43</v>
      </c>
      <c r="R3947" s="5">
        <f>_xlfn.IFERROR(INDEX('model_byCAP'!$D$2:$D$377,MATCH(Q3947,'model_byCAP'!$A$2:$A$377,0)),0)</f>
        <v>0</v>
      </c>
    </row>
    <row r="3948" ht="15.35" customHeight="1">
      <c r="A3948" t="s" s="2">
        <v>7375</v>
      </c>
      <c r="B3948" s="4">
        <v>36812</v>
      </c>
      <c r="C3948" s="5">
        <v>550</v>
      </c>
      <c r="D3948" s="5">
        <v>37.3</v>
      </c>
      <c r="E3948" s="5">
        <v>35</v>
      </c>
      <c r="F3948" t="s" s="2">
        <v>42</v>
      </c>
      <c r="G3948" t="s" s="2">
        <v>42</v>
      </c>
      <c r="H3948" s="5">
        <v>306</v>
      </c>
      <c r="I3948" t="s" s="2">
        <v>5800</v>
      </c>
      <c r="J3948" t="s" s="2">
        <v>22</v>
      </c>
      <c r="K3948" t="s" s="2">
        <v>7374</v>
      </c>
      <c r="L3948" t="s" s="2">
        <v>2384</v>
      </c>
      <c r="M3948" s="5">
        <v>655834.73</v>
      </c>
      <c r="N3948" s="5">
        <v>6183029.88</v>
      </c>
      <c r="O3948" t="s" s="2">
        <v>305</v>
      </c>
      <c r="P3948" s="5">
        <v>40065567</v>
      </c>
      <c r="Q3948" t="s" s="2">
        <v>43</v>
      </c>
      <c r="R3948" s="5">
        <f>_xlfn.IFERROR(INDEX('model_byCAP'!$D$2:$D$377,MATCH(Q3948,'model_byCAP'!$A$2:$A$377,0)),0)</f>
        <v>0</v>
      </c>
    </row>
    <row r="3949" ht="15.35" customHeight="1">
      <c r="A3949" t="s" s="2">
        <v>7376</v>
      </c>
      <c r="B3949" s="4">
        <v>36829</v>
      </c>
      <c r="C3949" s="5">
        <v>550</v>
      </c>
      <c r="D3949" s="5">
        <v>37.3</v>
      </c>
      <c r="E3949" s="5">
        <v>35</v>
      </c>
      <c r="F3949" t="s" s="2">
        <v>42</v>
      </c>
      <c r="G3949" t="s" s="2">
        <v>42</v>
      </c>
      <c r="H3949" s="5">
        <v>306</v>
      </c>
      <c r="I3949" t="s" s="2">
        <v>5800</v>
      </c>
      <c r="J3949" t="s" s="2">
        <v>22</v>
      </c>
      <c r="K3949" t="s" s="2">
        <v>7374</v>
      </c>
      <c r="L3949" s="5">
        <v>36</v>
      </c>
      <c r="M3949" s="5">
        <v>655940.22</v>
      </c>
      <c r="N3949" s="5">
        <v>6183129.67</v>
      </c>
      <c r="O3949" t="s" s="2">
        <v>305</v>
      </c>
      <c r="P3949" s="5">
        <v>40065576</v>
      </c>
      <c r="Q3949" t="s" s="2">
        <v>43</v>
      </c>
      <c r="R3949" s="5">
        <f>_xlfn.IFERROR(INDEX('model_byCAP'!$D$2:$D$377,MATCH(Q3949,'model_byCAP'!$A$2:$A$377,0)),0)</f>
        <v>0</v>
      </c>
    </row>
    <row r="3950" ht="15.35" customHeight="1">
      <c r="A3950" t="s" s="2">
        <v>7377</v>
      </c>
      <c r="B3950" s="4">
        <v>35443</v>
      </c>
      <c r="C3950" s="5">
        <v>550</v>
      </c>
      <c r="D3950" s="5">
        <v>37</v>
      </c>
      <c r="E3950" s="5">
        <v>35</v>
      </c>
      <c r="F3950" t="s" s="2">
        <v>42</v>
      </c>
      <c r="G3950" t="s" s="2">
        <v>42</v>
      </c>
      <c r="H3950" s="5">
        <v>326</v>
      </c>
      <c r="I3950" t="s" s="2">
        <v>1263</v>
      </c>
      <c r="J3950" t="s" s="2">
        <v>22</v>
      </c>
      <c r="K3950" t="s" s="2">
        <v>7378</v>
      </c>
      <c r="L3950" t="s" s="2">
        <v>7379</v>
      </c>
      <c r="M3950" s="5">
        <v>648069.73</v>
      </c>
      <c r="N3950" s="5">
        <v>6180075.56</v>
      </c>
      <c r="O3950" t="s" s="2">
        <v>305</v>
      </c>
      <c r="P3950" s="5">
        <v>40076289</v>
      </c>
      <c r="Q3950" t="s" s="2">
        <v>43</v>
      </c>
      <c r="R3950" s="5">
        <f>_xlfn.IFERROR(INDEX('model_byCAP'!$D$2:$D$377,MATCH(Q3950,'model_byCAP'!$A$2:$A$377,0)),0)</f>
        <v>0</v>
      </c>
    </row>
    <row r="3951" ht="15.35" customHeight="1">
      <c r="A3951" t="s" s="2">
        <v>7380</v>
      </c>
      <c r="B3951" s="4">
        <v>35443</v>
      </c>
      <c r="C3951" s="5">
        <v>550</v>
      </c>
      <c r="D3951" s="5">
        <v>37</v>
      </c>
      <c r="E3951" s="5">
        <v>35</v>
      </c>
      <c r="F3951" t="s" s="2">
        <v>42</v>
      </c>
      <c r="G3951" t="s" s="2">
        <v>42</v>
      </c>
      <c r="H3951" s="5">
        <v>326</v>
      </c>
      <c r="I3951" t="s" s="2">
        <v>1263</v>
      </c>
      <c r="J3951" t="s" s="2">
        <v>22</v>
      </c>
      <c r="K3951" t="s" s="2">
        <v>7378</v>
      </c>
      <c r="L3951" t="s" s="2">
        <v>524</v>
      </c>
      <c r="M3951" s="5">
        <v>647928.64</v>
      </c>
      <c r="N3951" s="5">
        <v>6180222.66</v>
      </c>
      <c r="O3951" t="s" s="2">
        <v>305</v>
      </c>
      <c r="P3951" s="5">
        <v>40076297</v>
      </c>
      <c r="Q3951" t="s" s="2">
        <v>43</v>
      </c>
      <c r="R3951" s="5">
        <f>_xlfn.IFERROR(INDEX('model_byCAP'!$D$2:$D$377,MATCH(Q3951,'model_byCAP'!$A$2:$A$377,0)),0)</f>
        <v>0</v>
      </c>
    </row>
    <row r="3952" ht="15.35" customHeight="1">
      <c r="A3952" t="s" s="2">
        <v>7381</v>
      </c>
      <c r="B3952" s="4">
        <v>35443</v>
      </c>
      <c r="C3952" s="5">
        <v>550</v>
      </c>
      <c r="D3952" s="5">
        <v>37</v>
      </c>
      <c r="E3952" s="5">
        <v>35</v>
      </c>
      <c r="F3952" t="s" s="2">
        <v>42</v>
      </c>
      <c r="G3952" t="s" s="2">
        <v>42</v>
      </c>
      <c r="H3952" s="5">
        <v>326</v>
      </c>
      <c r="I3952" t="s" s="2">
        <v>1263</v>
      </c>
      <c r="J3952" t="s" s="2">
        <v>22</v>
      </c>
      <c r="K3952" t="s" s="2">
        <v>7378</v>
      </c>
      <c r="L3952" t="s" s="2">
        <v>7382</v>
      </c>
      <c r="M3952" s="5">
        <v>647793.77</v>
      </c>
      <c r="N3952" s="5">
        <v>6180376.3</v>
      </c>
      <c r="O3952" t="s" s="2">
        <v>305</v>
      </c>
      <c r="P3952" s="5">
        <v>40076280</v>
      </c>
      <c r="Q3952" t="s" s="2">
        <v>43</v>
      </c>
      <c r="R3952" s="5">
        <f>_xlfn.IFERROR(INDEX('model_byCAP'!$D$2:$D$377,MATCH(Q3952,'model_byCAP'!$A$2:$A$377,0)),0)</f>
        <v>0</v>
      </c>
    </row>
    <row r="3953" ht="15.35" customHeight="1">
      <c r="A3953" t="s" s="2">
        <v>7383</v>
      </c>
      <c r="B3953" s="4">
        <v>35823</v>
      </c>
      <c r="C3953" s="5">
        <v>550</v>
      </c>
      <c r="D3953" s="5">
        <v>41</v>
      </c>
      <c r="E3953" s="5">
        <v>35</v>
      </c>
      <c r="F3953" t="s" s="2">
        <v>6608</v>
      </c>
      <c r="G3953" t="s" s="2">
        <v>7384</v>
      </c>
      <c r="H3953" s="5">
        <v>330</v>
      </c>
      <c r="I3953" t="s" s="2">
        <v>1491</v>
      </c>
      <c r="J3953" t="s" s="2">
        <v>22</v>
      </c>
      <c r="K3953" t="s" s="2">
        <v>7385</v>
      </c>
      <c r="L3953" t="s" s="2">
        <v>2931</v>
      </c>
      <c r="M3953" s="5">
        <v>648976.85</v>
      </c>
      <c r="N3953" s="5">
        <v>6132292.15</v>
      </c>
      <c r="O3953" t="s" s="2">
        <v>305</v>
      </c>
      <c r="P3953" s="5">
        <v>190911</v>
      </c>
      <c r="Q3953" t="s" s="2">
        <v>7386</v>
      </c>
      <c r="R3953" t="s" s="2">
        <f>_xlfn.IFERROR(INDEX('model_byCAP'!$D$2:$D$377,MATCH(Q3953,'model_byCAP'!$A$2:$A$377,0)),0)</f>
        <v>7369</v>
      </c>
    </row>
    <row r="3954" ht="15.35" customHeight="1">
      <c r="A3954" t="s" s="2">
        <v>7387</v>
      </c>
      <c r="B3954" s="4">
        <v>35866</v>
      </c>
      <c r="C3954" s="5">
        <v>550</v>
      </c>
      <c r="D3954" s="5">
        <v>41</v>
      </c>
      <c r="E3954" s="5">
        <v>35</v>
      </c>
      <c r="F3954" t="s" s="2">
        <v>6608</v>
      </c>
      <c r="G3954" t="s" s="2">
        <v>7384</v>
      </c>
      <c r="H3954" s="5">
        <v>330</v>
      </c>
      <c r="I3954" t="s" s="2">
        <v>1491</v>
      </c>
      <c r="J3954" t="s" s="2">
        <v>22</v>
      </c>
      <c r="K3954" t="s" s="2">
        <v>7385</v>
      </c>
      <c r="L3954" t="s" s="2">
        <v>2931</v>
      </c>
      <c r="M3954" s="5">
        <v>648892.75</v>
      </c>
      <c r="N3954" s="5">
        <v>6132580.14</v>
      </c>
      <c r="O3954" t="s" s="2">
        <v>305</v>
      </c>
      <c r="P3954" s="5">
        <v>190988</v>
      </c>
      <c r="Q3954" t="s" s="2">
        <v>7386</v>
      </c>
      <c r="R3954" t="s" s="2">
        <f>_xlfn.IFERROR(INDEX('model_byCAP'!$D$2:$D$377,MATCH(Q3954,'model_byCAP'!$A$2:$A$377,0)),0)</f>
        <v>7369</v>
      </c>
    </row>
    <row r="3955" ht="15.35" customHeight="1">
      <c r="A3955" t="s" s="2">
        <v>7388</v>
      </c>
      <c r="B3955" s="4">
        <v>35836</v>
      </c>
      <c r="C3955" s="5">
        <v>550</v>
      </c>
      <c r="D3955" s="5">
        <v>41</v>
      </c>
      <c r="E3955" s="5">
        <v>35</v>
      </c>
      <c r="F3955" t="s" s="2">
        <v>6608</v>
      </c>
      <c r="G3955" t="s" s="2">
        <v>7384</v>
      </c>
      <c r="H3955" s="5">
        <v>330</v>
      </c>
      <c r="I3955" t="s" s="2">
        <v>1491</v>
      </c>
      <c r="J3955" t="s" s="2">
        <v>22</v>
      </c>
      <c r="K3955" t="s" s="2">
        <v>7385</v>
      </c>
      <c r="L3955" t="s" s="2">
        <v>2931</v>
      </c>
      <c r="M3955" s="5">
        <v>648934.6800000001</v>
      </c>
      <c r="N3955" s="5">
        <v>6132436.12</v>
      </c>
      <c r="O3955" t="s" s="2">
        <v>305</v>
      </c>
      <c r="P3955" s="5">
        <v>190912</v>
      </c>
      <c r="Q3955" t="s" s="2">
        <v>7386</v>
      </c>
      <c r="R3955" t="s" s="2">
        <f>_xlfn.IFERROR(INDEX('model_byCAP'!$D$2:$D$377,MATCH(Q3955,'model_byCAP'!$A$2:$A$377,0)),0)</f>
        <v>7369</v>
      </c>
    </row>
    <row r="3956" ht="15.35" customHeight="1">
      <c r="A3956" t="s" s="2">
        <v>7389</v>
      </c>
      <c r="B3956" s="4">
        <v>35621</v>
      </c>
      <c r="C3956" s="5">
        <v>550</v>
      </c>
      <c r="D3956" s="5">
        <v>37</v>
      </c>
      <c r="E3956" s="5">
        <v>35</v>
      </c>
      <c r="F3956" t="s" s="2">
        <v>6608</v>
      </c>
      <c r="G3956" t="s" s="2">
        <v>7390</v>
      </c>
      <c r="H3956" s="5">
        <v>340</v>
      </c>
      <c r="I3956" t="s" s="2">
        <v>1795</v>
      </c>
      <c r="J3956" t="s" s="2">
        <v>22</v>
      </c>
      <c r="K3956" t="s" s="2">
        <v>7391</v>
      </c>
      <c r="L3956" t="s" s="2">
        <v>481</v>
      </c>
      <c r="M3956" s="5">
        <v>648575.21</v>
      </c>
      <c r="N3956" s="5">
        <v>6157297.45</v>
      </c>
      <c r="O3956" t="s" s="2">
        <v>305</v>
      </c>
      <c r="P3956" s="5">
        <v>40053278</v>
      </c>
      <c r="Q3956" t="s" s="2">
        <v>7392</v>
      </c>
      <c r="R3956" t="s" s="2">
        <f>_xlfn.IFERROR(INDEX('model_byCAP'!$D$2:$D$377,MATCH(Q3956,'model_byCAP'!$A$2:$A$377,0)),0)</f>
        <v>7369</v>
      </c>
    </row>
    <row r="3957" ht="15.35" customHeight="1">
      <c r="A3957" t="s" s="2">
        <v>7393</v>
      </c>
      <c r="B3957" s="4">
        <v>35612</v>
      </c>
      <c r="C3957" s="5">
        <v>550</v>
      </c>
      <c r="D3957" s="5">
        <v>37</v>
      </c>
      <c r="E3957" s="5">
        <v>35</v>
      </c>
      <c r="F3957" t="s" s="2">
        <v>6608</v>
      </c>
      <c r="G3957" t="s" s="2">
        <v>7390</v>
      </c>
      <c r="H3957" s="5">
        <v>340</v>
      </c>
      <c r="I3957" t="s" s="2">
        <v>1795</v>
      </c>
      <c r="J3957" t="s" s="2">
        <v>22</v>
      </c>
      <c r="K3957" t="s" s="2">
        <v>7391</v>
      </c>
      <c r="L3957" t="s" s="2">
        <v>481</v>
      </c>
      <c r="M3957" s="5">
        <v>648584.88</v>
      </c>
      <c r="N3957" s="5">
        <v>6157407.57</v>
      </c>
      <c r="O3957" t="s" s="2">
        <v>305</v>
      </c>
      <c r="P3957" s="5">
        <v>40053295</v>
      </c>
      <c r="Q3957" t="s" s="2">
        <v>7392</v>
      </c>
      <c r="R3957" t="s" s="2">
        <f>_xlfn.IFERROR(INDEX('model_byCAP'!$D$2:$D$377,MATCH(Q3957,'model_byCAP'!$A$2:$A$377,0)),0)</f>
        <v>7369</v>
      </c>
    </row>
    <row r="3958" ht="15.35" customHeight="1">
      <c r="A3958" t="s" s="2">
        <v>7394</v>
      </c>
      <c r="B3958" s="4">
        <v>35726</v>
      </c>
      <c r="C3958" s="5">
        <v>550</v>
      </c>
      <c r="D3958" s="5">
        <v>37</v>
      </c>
      <c r="E3958" s="5">
        <v>35</v>
      </c>
      <c r="F3958" t="s" s="2">
        <v>6608</v>
      </c>
      <c r="G3958" t="s" s="2">
        <v>7390</v>
      </c>
      <c r="H3958" s="5">
        <v>340</v>
      </c>
      <c r="I3958" t="s" s="2">
        <v>1795</v>
      </c>
      <c r="J3958" t="s" s="2">
        <v>22</v>
      </c>
      <c r="K3958" t="s" s="2">
        <v>7391</v>
      </c>
      <c r="L3958" t="s" s="2">
        <v>481</v>
      </c>
      <c r="M3958" s="5">
        <v>648593.2</v>
      </c>
      <c r="N3958" s="5">
        <v>6157517.55</v>
      </c>
      <c r="O3958" t="s" s="2">
        <v>305</v>
      </c>
      <c r="P3958" s="5">
        <v>40053286</v>
      </c>
      <c r="Q3958" t="s" s="2">
        <v>7392</v>
      </c>
      <c r="R3958" t="s" s="2">
        <f>_xlfn.IFERROR(INDEX('model_byCAP'!$D$2:$D$377,MATCH(Q3958,'model_byCAP'!$A$2:$A$377,0)),0)</f>
        <v>7369</v>
      </c>
    </row>
    <row r="3959" ht="15.35" customHeight="1">
      <c r="A3959" t="s" s="2">
        <v>7395</v>
      </c>
      <c r="B3959" s="4">
        <v>36432</v>
      </c>
      <c r="C3959" s="5">
        <v>550</v>
      </c>
      <c r="D3959" s="5">
        <v>41</v>
      </c>
      <c r="E3959" s="5">
        <v>35</v>
      </c>
      <c r="F3959" t="s" s="2">
        <v>42</v>
      </c>
      <c r="G3959" t="s" s="2">
        <v>42</v>
      </c>
      <c r="H3959" s="5">
        <v>340</v>
      </c>
      <c r="I3959" t="s" s="2">
        <v>1795</v>
      </c>
      <c r="J3959" t="s" s="2">
        <v>22</v>
      </c>
      <c r="K3959" t="s" s="2">
        <v>7391</v>
      </c>
      <c r="L3959" t="s" s="2">
        <v>481</v>
      </c>
      <c r="M3959" s="5">
        <v>648603.78</v>
      </c>
      <c r="N3959" s="5">
        <v>6157640.35</v>
      </c>
      <c r="O3959" t="s" s="2">
        <v>305</v>
      </c>
      <c r="P3959" s="5">
        <v>40053333</v>
      </c>
      <c r="Q3959" t="s" s="2">
        <v>43</v>
      </c>
      <c r="R3959" s="5">
        <f>_xlfn.IFERROR(INDEX('model_byCAP'!$D$2:$D$377,MATCH(Q3959,'model_byCAP'!$A$2:$A$377,0)),0)</f>
        <v>0</v>
      </c>
    </row>
    <row r="3960" ht="15.35" customHeight="1">
      <c r="A3960" t="s" s="2">
        <v>7396</v>
      </c>
      <c r="B3960" s="4">
        <v>35215</v>
      </c>
      <c r="C3960" s="5">
        <v>550</v>
      </c>
      <c r="D3960" s="5">
        <v>41.1</v>
      </c>
      <c r="E3960" s="5">
        <v>42.3</v>
      </c>
      <c r="F3960" t="s" s="2">
        <v>42</v>
      </c>
      <c r="G3960" t="s" s="2">
        <v>42</v>
      </c>
      <c r="H3960" s="5">
        <v>360</v>
      </c>
      <c r="I3960" t="s" s="2">
        <v>463</v>
      </c>
      <c r="J3960" t="s" s="2">
        <v>22</v>
      </c>
      <c r="K3960" t="s" s="2">
        <v>7397</v>
      </c>
      <c r="L3960" t="s" s="2">
        <v>7398</v>
      </c>
      <c r="M3960" s="5">
        <v>650635.96</v>
      </c>
      <c r="N3960" s="5">
        <v>6064082.2</v>
      </c>
      <c r="O3960" t="s" s="2">
        <v>305</v>
      </c>
      <c r="P3960" s="5">
        <v>2059230</v>
      </c>
      <c r="Q3960" t="s" s="2">
        <v>43</v>
      </c>
      <c r="R3960" s="5">
        <f>_xlfn.IFERROR(INDEX('model_byCAP'!$D$2:$D$377,MATCH(Q3960,'model_byCAP'!$A$2:$A$377,0)),0)</f>
        <v>0</v>
      </c>
    </row>
    <row r="3961" ht="15.35" customHeight="1">
      <c r="A3961" t="s" s="2">
        <v>7399</v>
      </c>
      <c r="B3961" s="4">
        <v>35215</v>
      </c>
      <c r="C3961" s="5">
        <v>550</v>
      </c>
      <c r="D3961" s="5">
        <v>41.1</v>
      </c>
      <c r="E3961" s="5">
        <v>42.3</v>
      </c>
      <c r="F3961" t="s" s="2">
        <v>42</v>
      </c>
      <c r="G3961" t="s" s="2">
        <v>42</v>
      </c>
      <c r="H3961" s="5">
        <v>360</v>
      </c>
      <c r="I3961" t="s" s="2">
        <v>463</v>
      </c>
      <c r="J3961" t="s" s="2">
        <v>22</v>
      </c>
      <c r="K3961" t="s" s="2">
        <v>7397</v>
      </c>
      <c r="L3961" t="s" s="2">
        <v>7400</v>
      </c>
      <c r="M3961" s="5">
        <v>650811.6899999999</v>
      </c>
      <c r="N3961" s="5">
        <v>6064011.9</v>
      </c>
      <c r="O3961" t="s" s="2">
        <v>305</v>
      </c>
      <c r="P3961" s="5">
        <v>2059229</v>
      </c>
      <c r="Q3961" t="s" s="2">
        <v>43</v>
      </c>
      <c r="R3961" s="5">
        <f>_xlfn.IFERROR(INDEX('model_byCAP'!$D$2:$D$377,MATCH(Q3961,'model_byCAP'!$A$2:$A$377,0)),0)</f>
        <v>0</v>
      </c>
    </row>
    <row r="3962" ht="15.35" customHeight="1">
      <c r="A3962" t="s" s="2">
        <v>7401</v>
      </c>
      <c r="B3962" s="4">
        <v>35215</v>
      </c>
      <c r="C3962" s="5">
        <v>550</v>
      </c>
      <c r="D3962" s="5">
        <v>41.1</v>
      </c>
      <c r="E3962" s="5">
        <v>42.3</v>
      </c>
      <c r="F3962" t="s" s="2">
        <v>42</v>
      </c>
      <c r="G3962" t="s" s="2">
        <v>42</v>
      </c>
      <c r="H3962" s="5">
        <v>360</v>
      </c>
      <c r="I3962" t="s" s="2">
        <v>463</v>
      </c>
      <c r="J3962" t="s" s="2">
        <v>22</v>
      </c>
      <c r="K3962" t="s" s="2">
        <v>7397</v>
      </c>
      <c r="L3962" s="5">
        <v>11</v>
      </c>
      <c r="M3962" s="5">
        <v>650982.72</v>
      </c>
      <c r="N3962" s="5">
        <v>6063943.94</v>
      </c>
      <c r="O3962" t="s" s="2">
        <v>305</v>
      </c>
      <c r="P3962" s="5">
        <v>2059228</v>
      </c>
      <c r="Q3962" t="s" s="2">
        <v>43</v>
      </c>
      <c r="R3962" s="5">
        <f>_xlfn.IFERROR(INDEX('model_byCAP'!$D$2:$D$377,MATCH(Q3962,'model_byCAP'!$A$2:$A$377,0)),0)</f>
        <v>0</v>
      </c>
    </row>
    <row r="3963" ht="15.35" customHeight="1">
      <c r="A3963" t="s" s="2">
        <v>7402</v>
      </c>
      <c r="B3963" s="4">
        <v>35215</v>
      </c>
      <c r="C3963" s="5">
        <v>550</v>
      </c>
      <c r="D3963" s="5">
        <v>41.1</v>
      </c>
      <c r="E3963" s="5">
        <v>42.3</v>
      </c>
      <c r="F3963" t="s" s="2">
        <v>42</v>
      </c>
      <c r="G3963" t="s" s="2">
        <v>42</v>
      </c>
      <c r="H3963" s="5">
        <v>360</v>
      </c>
      <c r="I3963" t="s" s="2">
        <v>463</v>
      </c>
      <c r="J3963" t="s" s="2">
        <v>22</v>
      </c>
      <c r="K3963" t="s" s="2">
        <v>7397</v>
      </c>
      <c r="L3963" t="s" s="2">
        <v>7400</v>
      </c>
      <c r="M3963" s="5">
        <v>651155.85</v>
      </c>
      <c r="N3963" s="5">
        <v>6063874.74</v>
      </c>
      <c r="O3963" t="s" s="2">
        <v>305</v>
      </c>
      <c r="P3963" s="5">
        <v>2059235</v>
      </c>
      <c r="Q3963" t="s" s="2">
        <v>43</v>
      </c>
      <c r="R3963" s="5">
        <f>_xlfn.IFERROR(INDEX('model_byCAP'!$D$2:$D$377,MATCH(Q3963,'model_byCAP'!$A$2:$A$377,0)),0)</f>
        <v>0</v>
      </c>
    </row>
    <row r="3964" ht="15.35" customHeight="1">
      <c r="A3964" t="s" s="2">
        <v>7403</v>
      </c>
      <c r="B3964" s="4">
        <v>35215</v>
      </c>
      <c r="C3964" s="5">
        <v>550</v>
      </c>
      <c r="D3964" s="5">
        <v>41.1</v>
      </c>
      <c r="E3964" s="5">
        <v>42.3</v>
      </c>
      <c r="F3964" t="s" s="2">
        <v>42</v>
      </c>
      <c r="G3964" t="s" s="2">
        <v>42</v>
      </c>
      <c r="H3964" s="5">
        <v>360</v>
      </c>
      <c r="I3964" t="s" s="2">
        <v>463</v>
      </c>
      <c r="J3964" t="s" s="2">
        <v>22</v>
      </c>
      <c r="K3964" t="s" s="2">
        <v>7397</v>
      </c>
      <c r="L3964" t="s" s="2">
        <v>7400</v>
      </c>
      <c r="M3964" s="5">
        <v>651329.6800000001</v>
      </c>
      <c r="N3964" s="5">
        <v>6063806.36</v>
      </c>
      <c r="O3964" t="s" s="2">
        <v>305</v>
      </c>
      <c r="P3964" s="5">
        <v>2059218</v>
      </c>
      <c r="Q3964" t="s" s="2">
        <v>43</v>
      </c>
      <c r="R3964" s="5">
        <f>_xlfn.IFERROR(INDEX('model_byCAP'!$D$2:$D$377,MATCH(Q3964,'model_byCAP'!$A$2:$A$377,0)),0)</f>
        <v>0</v>
      </c>
    </row>
    <row r="3965" ht="15.35" customHeight="1">
      <c r="A3965" t="s" s="2">
        <v>7404</v>
      </c>
      <c r="B3965" s="4">
        <v>35215</v>
      </c>
      <c r="C3965" s="5">
        <v>550</v>
      </c>
      <c r="D3965" s="5">
        <v>41.1</v>
      </c>
      <c r="E3965" s="5">
        <v>42.3</v>
      </c>
      <c r="F3965" t="s" s="2">
        <v>42</v>
      </c>
      <c r="G3965" t="s" s="2">
        <v>42</v>
      </c>
      <c r="H3965" s="5">
        <v>360</v>
      </c>
      <c r="I3965" t="s" s="2">
        <v>463</v>
      </c>
      <c r="J3965" t="s" s="2">
        <v>22</v>
      </c>
      <c r="K3965" t="s" s="2">
        <v>7397</v>
      </c>
      <c r="L3965" s="5">
        <v>11</v>
      </c>
      <c r="M3965" s="5">
        <v>651502.14</v>
      </c>
      <c r="N3965" s="5">
        <v>6063736.82</v>
      </c>
      <c r="O3965" t="s" s="2">
        <v>305</v>
      </c>
      <c r="P3965" s="5">
        <v>2059232</v>
      </c>
      <c r="Q3965" t="s" s="2">
        <v>43</v>
      </c>
      <c r="R3965" s="5">
        <f>_xlfn.IFERROR(INDEX('model_byCAP'!$D$2:$D$377,MATCH(Q3965,'model_byCAP'!$A$2:$A$377,0)),0)</f>
        <v>0</v>
      </c>
    </row>
    <row r="3966" ht="15.35" customHeight="1">
      <c r="A3966" t="s" s="2">
        <v>7405</v>
      </c>
      <c r="B3966" s="4">
        <v>35215</v>
      </c>
      <c r="C3966" s="5">
        <v>550</v>
      </c>
      <c r="D3966" s="5">
        <v>41.1</v>
      </c>
      <c r="E3966" s="5">
        <v>42.3</v>
      </c>
      <c r="F3966" t="s" s="2">
        <v>42</v>
      </c>
      <c r="G3966" t="s" s="2">
        <v>42</v>
      </c>
      <c r="H3966" s="5">
        <v>360</v>
      </c>
      <c r="I3966" t="s" s="2">
        <v>463</v>
      </c>
      <c r="J3966" t="s" s="2">
        <v>22</v>
      </c>
      <c r="K3966" t="s" s="2">
        <v>7397</v>
      </c>
      <c r="L3966" t="s" s="2">
        <v>7400</v>
      </c>
      <c r="M3966" s="5">
        <v>651676.17</v>
      </c>
      <c r="N3966" s="5">
        <v>6063668.44</v>
      </c>
      <c r="O3966" t="s" s="2">
        <v>305</v>
      </c>
      <c r="P3966" s="5">
        <v>2059231</v>
      </c>
      <c r="Q3966" t="s" s="2">
        <v>43</v>
      </c>
      <c r="R3966" s="5">
        <f>_xlfn.IFERROR(INDEX('model_byCAP'!$D$2:$D$377,MATCH(Q3966,'model_byCAP'!$A$2:$A$377,0)),0)</f>
        <v>0</v>
      </c>
    </row>
    <row r="3967" ht="15.35" customHeight="1">
      <c r="A3967" t="s" s="2">
        <v>7406</v>
      </c>
      <c r="B3967" s="4">
        <v>35215</v>
      </c>
      <c r="C3967" s="5">
        <v>550</v>
      </c>
      <c r="D3967" s="5">
        <v>41.1</v>
      </c>
      <c r="E3967" s="5">
        <v>42.3</v>
      </c>
      <c r="F3967" t="s" s="2">
        <v>42</v>
      </c>
      <c r="G3967" t="s" s="2">
        <v>42</v>
      </c>
      <c r="H3967" s="5">
        <v>360</v>
      </c>
      <c r="I3967" t="s" s="2">
        <v>463</v>
      </c>
      <c r="J3967" t="s" s="2">
        <v>22</v>
      </c>
      <c r="K3967" t="s" s="2">
        <v>7397</v>
      </c>
      <c r="L3967" s="5">
        <v>11</v>
      </c>
      <c r="M3967" s="5">
        <v>651849.24</v>
      </c>
      <c r="N3967" s="5">
        <v>6063599.1</v>
      </c>
      <c r="O3967" t="s" s="2">
        <v>305</v>
      </c>
      <c r="P3967" s="5">
        <v>2059233</v>
      </c>
      <c r="Q3967" t="s" s="2">
        <v>43</v>
      </c>
      <c r="R3967" s="5">
        <f>_xlfn.IFERROR(INDEX('model_byCAP'!$D$2:$D$377,MATCH(Q3967,'model_byCAP'!$A$2:$A$377,0)),0)</f>
        <v>0</v>
      </c>
    </row>
    <row r="3968" ht="15.35" customHeight="1">
      <c r="A3968" t="s" s="2">
        <v>7407</v>
      </c>
      <c r="B3968" s="4">
        <v>35832</v>
      </c>
      <c r="C3968" s="5">
        <v>550</v>
      </c>
      <c r="D3968" s="5">
        <v>41</v>
      </c>
      <c r="E3968" s="5">
        <v>42.3</v>
      </c>
      <c r="F3968" t="s" s="2">
        <v>42</v>
      </c>
      <c r="G3968" t="s" s="2">
        <v>42</v>
      </c>
      <c r="H3968" s="5">
        <v>360</v>
      </c>
      <c r="I3968" t="s" s="2">
        <v>463</v>
      </c>
      <c r="J3968" t="s" s="2">
        <v>22</v>
      </c>
      <c r="K3968" t="s" s="2">
        <v>6109</v>
      </c>
      <c r="L3968" t="s" s="2">
        <v>3414</v>
      </c>
      <c r="M3968" s="5">
        <v>645625.14</v>
      </c>
      <c r="N3968" s="5">
        <v>6087719.43</v>
      </c>
      <c r="O3968" t="s" s="2">
        <v>305</v>
      </c>
      <c r="P3968" s="5">
        <v>190886</v>
      </c>
      <c r="Q3968" t="s" s="2">
        <v>43</v>
      </c>
      <c r="R3968" s="5">
        <f>_xlfn.IFERROR(INDEX('model_byCAP'!$D$2:$D$377,MATCH(Q3968,'model_byCAP'!$A$2:$A$377,0)),0)</f>
        <v>0</v>
      </c>
    </row>
    <row r="3969" ht="15.35" customHeight="1">
      <c r="A3969" t="s" s="2">
        <v>7408</v>
      </c>
      <c r="B3969" s="4">
        <v>36301</v>
      </c>
      <c r="C3969" s="5">
        <v>550</v>
      </c>
      <c r="D3969" s="5">
        <v>41</v>
      </c>
      <c r="E3969" s="5">
        <v>35</v>
      </c>
      <c r="F3969" t="s" s="2">
        <v>42</v>
      </c>
      <c r="G3969" t="s" s="2">
        <v>42</v>
      </c>
      <c r="H3969" s="5">
        <v>360</v>
      </c>
      <c r="I3969" t="s" s="2">
        <v>463</v>
      </c>
      <c r="J3969" t="s" s="2">
        <v>22</v>
      </c>
      <c r="K3969" t="s" s="2">
        <v>7409</v>
      </c>
      <c r="L3969" t="s" s="2">
        <v>5365</v>
      </c>
      <c r="M3969" s="5">
        <v>651341.11</v>
      </c>
      <c r="N3969" s="5">
        <v>6078517.87</v>
      </c>
      <c r="O3969" t="s" s="2">
        <v>305</v>
      </c>
      <c r="P3969" s="5">
        <v>192775</v>
      </c>
      <c r="Q3969" t="s" s="2">
        <v>43</v>
      </c>
      <c r="R3969" s="5">
        <f>_xlfn.IFERROR(INDEX('model_byCAP'!$D$2:$D$377,MATCH(Q3969,'model_byCAP'!$A$2:$A$377,0)),0)</f>
        <v>0</v>
      </c>
    </row>
    <row r="3970" ht="15.35" customHeight="1">
      <c r="A3970" t="s" s="2">
        <v>7410</v>
      </c>
      <c r="B3970" s="4">
        <v>35900</v>
      </c>
      <c r="C3970" s="5">
        <v>550</v>
      </c>
      <c r="D3970" s="5">
        <v>41</v>
      </c>
      <c r="E3970" s="5">
        <v>35</v>
      </c>
      <c r="F3970" t="s" s="2">
        <v>42</v>
      </c>
      <c r="G3970" t="s" s="2">
        <v>42</v>
      </c>
      <c r="H3970" s="5">
        <v>370</v>
      </c>
      <c r="I3970" t="s" s="2">
        <v>520</v>
      </c>
      <c r="J3970" t="s" s="2">
        <v>22</v>
      </c>
      <c r="K3970" t="s" s="2">
        <v>7411</v>
      </c>
      <c r="L3970" t="s" s="2">
        <v>394</v>
      </c>
      <c r="M3970" s="5">
        <v>660538.22</v>
      </c>
      <c r="N3970" s="5">
        <v>6128018.49</v>
      </c>
      <c r="O3970" t="s" s="2">
        <v>305</v>
      </c>
      <c r="P3970" s="5">
        <v>191326</v>
      </c>
      <c r="Q3970" t="s" s="2">
        <v>43</v>
      </c>
      <c r="R3970" s="5">
        <f>_xlfn.IFERROR(INDEX('model_byCAP'!$D$2:$D$377,MATCH(Q3970,'model_byCAP'!$A$2:$A$377,0)),0)</f>
        <v>0</v>
      </c>
    </row>
    <row r="3971" ht="15.35" customHeight="1">
      <c r="A3971" t="s" s="2">
        <v>7412</v>
      </c>
      <c r="B3971" s="4">
        <v>36297</v>
      </c>
      <c r="C3971" s="5">
        <v>550</v>
      </c>
      <c r="D3971" s="5">
        <v>41</v>
      </c>
      <c r="E3971" s="5">
        <v>35</v>
      </c>
      <c r="F3971" t="s" s="2">
        <v>42</v>
      </c>
      <c r="G3971" t="s" s="2">
        <v>42</v>
      </c>
      <c r="H3971" s="5">
        <v>370</v>
      </c>
      <c r="I3971" t="s" s="2">
        <v>520</v>
      </c>
      <c r="J3971" t="s" s="2">
        <v>22</v>
      </c>
      <c r="K3971" t="s" s="2">
        <v>5342</v>
      </c>
      <c r="L3971" t="s" s="2">
        <v>511</v>
      </c>
      <c r="M3971" s="5">
        <v>660623.42</v>
      </c>
      <c r="N3971" s="5">
        <v>6128465.56</v>
      </c>
      <c r="O3971" t="s" s="2">
        <v>305</v>
      </c>
      <c r="P3971" s="5">
        <v>192675</v>
      </c>
      <c r="Q3971" t="s" s="2">
        <v>43</v>
      </c>
      <c r="R3971" s="5">
        <f>_xlfn.IFERROR(INDEX('model_byCAP'!$D$2:$D$377,MATCH(Q3971,'model_byCAP'!$A$2:$A$377,0)),0)</f>
        <v>0</v>
      </c>
    </row>
    <row r="3972" ht="15.35" customHeight="1">
      <c r="A3972" t="s" s="2">
        <v>7413</v>
      </c>
      <c r="B3972" s="4">
        <v>35072</v>
      </c>
      <c r="C3972" s="5">
        <v>550</v>
      </c>
      <c r="D3972" s="5">
        <v>41.1</v>
      </c>
      <c r="E3972" s="5">
        <v>42.3</v>
      </c>
      <c r="F3972" t="s" s="2">
        <v>42</v>
      </c>
      <c r="G3972" t="s" s="2">
        <v>42</v>
      </c>
      <c r="H3972" s="5">
        <v>376</v>
      </c>
      <c r="I3972" t="s" s="2">
        <v>1991</v>
      </c>
      <c r="J3972" t="s" s="2">
        <v>22</v>
      </c>
      <c r="K3972" t="s" s="2">
        <v>7414</v>
      </c>
      <c r="L3972" s="5">
        <v>1</v>
      </c>
      <c r="M3972" s="5">
        <v>663517.13</v>
      </c>
      <c r="N3972" s="5">
        <v>6076190.86</v>
      </c>
      <c r="O3972" t="s" s="2">
        <v>305</v>
      </c>
      <c r="P3972" t="s" s="2">
        <v>7415</v>
      </c>
      <c r="Q3972" t="s" s="2">
        <v>43</v>
      </c>
      <c r="R3972" s="5">
        <f>_xlfn.IFERROR(INDEX('model_byCAP'!$D$2:$D$377,MATCH(Q3972,'model_byCAP'!$A$2:$A$377,0)),0)</f>
        <v>0</v>
      </c>
    </row>
    <row r="3973" ht="15.35" customHeight="1">
      <c r="A3973" t="s" s="2">
        <v>7416</v>
      </c>
      <c r="B3973" s="4">
        <v>35072</v>
      </c>
      <c r="C3973" s="5">
        <v>550</v>
      </c>
      <c r="D3973" s="5">
        <v>41.1</v>
      </c>
      <c r="E3973" s="5">
        <v>42.3</v>
      </c>
      <c r="F3973" t="s" s="2">
        <v>42</v>
      </c>
      <c r="G3973" t="s" s="2">
        <v>42</v>
      </c>
      <c r="H3973" s="5">
        <v>376</v>
      </c>
      <c r="I3973" t="s" s="2">
        <v>1991</v>
      </c>
      <c r="J3973" t="s" s="2">
        <v>22</v>
      </c>
      <c r="K3973" t="s" s="2">
        <v>7414</v>
      </c>
      <c r="L3973" s="5">
        <v>1</v>
      </c>
      <c r="M3973" s="5">
        <v>663323.02</v>
      </c>
      <c r="N3973" s="5">
        <v>6076209.43</v>
      </c>
      <c r="O3973" t="s" s="2">
        <v>305</v>
      </c>
      <c r="P3973" t="s" s="2">
        <v>7415</v>
      </c>
      <c r="Q3973" t="s" s="2">
        <v>43</v>
      </c>
      <c r="R3973" s="5">
        <f>_xlfn.IFERROR(INDEX('model_byCAP'!$D$2:$D$377,MATCH(Q3973,'model_byCAP'!$A$2:$A$377,0)),0)</f>
        <v>0</v>
      </c>
    </row>
    <row r="3974" ht="15.35" customHeight="1">
      <c r="A3974" t="s" s="2">
        <v>7417</v>
      </c>
      <c r="B3974" s="4">
        <v>35348</v>
      </c>
      <c r="C3974" s="5">
        <v>550</v>
      </c>
      <c r="D3974" s="5">
        <v>41.1</v>
      </c>
      <c r="E3974" s="5">
        <v>42.3</v>
      </c>
      <c r="F3974" t="s" s="2">
        <v>42</v>
      </c>
      <c r="G3974" t="s" s="2">
        <v>42</v>
      </c>
      <c r="H3974" s="5">
        <v>376</v>
      </c>
      <c r="I3974" t="s" s="2">
        <v>1991</v>
      </c>
      <c r="J3974" t="s" s="2">
        <v>22</v>
      </c>
      <c r="K3974" t="s" s="2">
        <v>7414</v>
      </c>
      <c r="L3974" s="5">
        <v>1</v>
      </c>
      <c r="M3974" s="5">
        <v>663379.83</v>
      </c>
      <c r="N3974" s="5">
        <v>6076391.62</v>
      </c>
      <c r="O3974" t="s" s="2">
        <v>305</v>
      </c>
      <c r="P3974" t="s" s="2">
        <v>7418</v>
      </c>
      <c r="Q3974" t="s" s="2">
        <v>43</v>
      </c>
      <c r="R3974" s="5">
        <f>_xlfn.IFERROR(INDEX('model_byCAP'!$D$2:$D$377,MATCH(Q3974,'model_byCAP'!$A$2:$A$377,0)),0)</f>
        <v>0</v>
      </c>
    </row>
    <row r="3975" ht="15.35" customHeight="1">
      <c r="A3975" t="s" s="2">
        <v>7419</v>
      </c>
      <c r="B3975" s="4">
        <v>35776</v>
      </c>
      <c r="C3975" s="5">
        <v>550</v>
      </c>
      <c r="D3975" s="5">
        <v>41.1</v>
      </c>
      <c r="E3975" s="5">
        <v>42.3</v>
      </c>
      <c r="F3975" t="s" s="2">
        <v>42</v>
      </c>
      <c r="G3975" t="s" s="2">
        <v>42</v>
      </c>
      <c r="H3975" s="5">
        <v>376</v>
      </c>
      <c r="I3975" t="s" s="2">
        <v>1991</v>
      </c>
      <c r="J3975" t="s" s="2">
        <v>22</v>
      </c>
      <c r="K3975" t="s" s="2">
        <v>7414</v>
      </c>
      <c r="L3975" s="5">
        <v>1</v>
      </c>
      <c r="M3975" s="5">
        <v>663569.23</v>
      </c>
      <c r="N3975" s="5">
        <v>6076372.21</v>
      </c>
      <c r="O3975" t="s" s="2">
        <v>305</v>
      </c>
      <c r="P3975" t="s" s="2">
        <v>7420</v>
      </c>
      <c r="Q3975" t="s" s="2">
        <v>43</v>
      </c>
      <c r="R3975" s="5">
        <f>_xlfn.IFERROR(INDEX('model_byCAP'!$D$2:$D$377,MATCH(Q3975,'model_byCAP'!$A$2:$A$377,0)),0)</f>
        <v>0</v>
      </c>
    </row>
    <row r="3976" ht="15.35" customHeight="1">
      <c r="A3976" t="s" s="2">
        <v>7421</v>
      </c>
      <c r="B3976" s="4">
        <v>35952</v>
      </c>
      <c r="C3976" s="5">
        <v>550</v>
      </c>
      <c r="D3976" s="5">
        <v>41.1</v>
      </c>
      <c r="E3976" s="5">
        <v>42.3</v>
      </c>
      <c r="F3976" t="s" s="2">
        <v>42</v>
      </c>
      <c r="G3976" t="s" s="2">
        <v>42</v>
      </c>
      <c r="H3976" s="5">
        <v>376</v>
      </c>
      <c r="I3976" t="s" s="2">
        <v>1991</v>
      </c>
      <c r="J3976" t="s" s="2">
        <v>22</v>
      </c>
      <c r="K3976" t="s" s="2">
        <v>7414</v>
      </c>
      <c r="L3976" t="s" s="2">
        <v>1196</v>
      </c>
      <c r="M3976" s="5">
        <v>663436.98</v>
      </c>
      <c r="N3976" s="5">
        <v>6076573.77</v>
      </c>
      <c r="O3976" t="s" s="2">
        <v>305</v>
      </c>
      <c r="P3976" t="s" s="2">
        <v>7422</v>
      </c>
      <c r="Q3976" t="s" s="2">
        <v>43</v>
      </c>
      <c r="R3976" s="5">
        <f>_xlfn.IFERROR(INDEX('model_byCAP'!$D$2:$D$377,MATCH(Q3976,'model_byCAP'!$A$2:$A$377,0)),0)</f>
        <v>0</v>
      </c>
    </row>
    <row r="3977" ht="15.35" customHeight="1">
      <c r="A3977" t="s" s="2">
        <v>7423</v>
      </c>
      <c r="B3977" s="4">
        <v>35952</v>
      </c>
      <c r="C3977" s="5">
        <v>550</v>
      </c>
      <c r="D3977" s="5">
        <v>41.1</v>
      </c>
      <c r="E3977" s="5">
        <v>42.3</v>
      </c>
      <c r="F3977" t="s" s="2">
        <v>42</v>
      </c>
      <c r="G3977" t="s" s="2">
        <v>42</v>
      </c>
      <c r="H3977" s="5">
        <v>376</v>
      </c>
      <c r="I3977" t="s" s="2">
        <v>1991</v>
      </c>
      <c r="J3977" t="s" s="2">
        <v>22</v>
      </c>
      <c r="K3977" t="s" s="2">
        <v>7414</v>
      </c>
      <c r="L3977" t="s" s="2">
        <v>1196</v>
      </c>
      <c r="M3977" s="5">
        <v>663620.9300000001</v>
      </c>
      <c r="N3977" s="5">
        <v>6076555.05</v>
      </c>
      <c r="O3977" t="s" s="2">
        <v>305</v>
      </c>
      <c r="P3977" t="s" s="2">
        <v>7424</v>
      </c>
      <c r="Q3977" t="s" s="2">
        <v>43</v>
      </c>
      <c r="R3977" s="5">
        <f>_xlfn.IFERROR(INDEX('model_byCAP'!$D$2:$D$377,MATCH(Q3977,'model_byCAP'!$A$2:$A$377,0)),0)</f>
        <v>0</v>
      </c>
    </row>
    <row r="3978" ht="15.35" customHeight="1">
      <c r="A3978" t="s" s="2">
        <v>7425</v>
      </c>
      <c r="B3978" s="4">
        <v>35332</v>
      </c>
      <c r="C3978" s="5">
        <v>550</v>
      </c>
      <c r="D3978" s="5">
        <v>41</v>
      </c>
      <c r="E3978" s="5">
        <v>42</v>
      </c>
      <c r="F3978" t="s" s="2">
        <v>42</v>
      </c>
      <c r="G3978" t="s" s="2">
        <v>42</v>
      </c>
      <c r="H3978" s="5">
        <v>376</v>
      </c>
      <c r="I3978" t="s" s="2">
        <v>1991</v>
      </c>
      <c r="J3978" t="s" s="2">
        <v>22</v>
      </c>
      <c r="K3978" t="s" s="2">
        <v>6212</v>
      </c>
      <c r="L3978" t="s" s="2">
        <v>7426</v>
      </c>
      <c r="M3978" s="5">
        <v>681896.4399999999</v>
      </c>
      <c r="N3978" s="5">
        <v>6083784.92</v>
      </c>
      <c r="O3978" t="s" s="2">
        <v>305</v>
      </c>
      <c r="P3978" s="5">
        <v>183911</v>
      </c>
      <c r="Q3978" t="s" s="2">
        <v>43</v>
      </c>
      <c r="R3978" s="5">
        <f>_xlfn.IFERROR(INDEX('model_byCAP'!$D$2:$D$377,MATCH(Q3978,'model_byCAP'!$A$2:$A$377,0)),0)</f>
        <v>0</v>
      </c>
    </row>
    <row r="3979" ht="15.35" customHeight="1">
      <c r="A3979" t="s" s="2">
        <v>7427</v>
      </c>
      <c r="B3979" s="4">
        <v>35209</v>
      </c>
      <c r="C3979" s="5">
        <v>550</v>
      </c>
      <c r="D3979" s="5">
        <v>41</v>
      </c>
      <c r="E3979" s="5">
        <v>42</v>
      </c>
      <c r="F3979" t="s" s="2">
        <v>42</v>
      </c>
      <c r="G3979" t="s" s="2">
        <v>42</v>
      </c>
      <c r="H3979" s="5">
        <v>376</v>
      </c>
      <c r="I3979" t="s" s="2">
        <v>1991</v>
      </c>
      <c r="J3979" t="s" s="2">
        <v>22</v>
      </c>
      <c r="K3979" t="s" s="2">
        <v>6212</v>
      </c>
      <c r="L3979" t="s" s="2">
        <v>7426</v>
      </c>
      <c r="M3979" s="5">
        <v>682173.2</v>
      </c>
      <c r="N3979" s="5">
        <v>6083677.01</v>
      </c>
      <c r="O3979" t="s" s="2">
        <v>305</v>
      </c>
      <c r="P3979" s="5">
        <v>183912</v>
      </c>
      <c r="Q3979" t="s" s="2">
        <v>43</v>
      </c>
      <c r="R3979" s="5">
        <f>_xlfn.IFERROR(INDEX('model_byCAP'!$D$2:$D$377,MATCH(Q3979,'model_byCAP'!$A$2:$A$377,0)),0)</f>
        <v>0</v>
      </c>
    </row>
    <row r="3980" ht="15.35" customHeight="1">
      <c r="A3980" t="s" s="2">
        <v>7428</v>
      </c>
      <c r="B3980" s="4">
        <v>35240</v>
      </c>
      <c r="C3980" s="5">
        <v>550</v>
      </c>
      <c r="D3980" s="5">
        <v>41</v>
      </c>
      <c r="E3980" s="5">
        <v>42.5</v>
      </c>
      <c r="F3980" t="s" s="2">
        <v>42</v>
      </c>
      <c r="G3980" t="s" s="2">
        <v>42</v>
      </c>
      <c r="H3980" s="5">
        <v>376</v>
      </c>
      <c r="I3980" t="s" s="2">
        <v>1991</v>
      </c>
      <c r="J3980" t="s" s="2">
        <v>22</v>
      </c>
      <c r="K3980" t="s" s="2">
        <v>6212</v>
      </c>
      <c r="L3980" t="s" s="2">
        <v>2931</v>
      </c>
      <c r="M3980" s="5">
        <v>682451.6800000001</v>
      </c>
      <c r="N3980" s="5">
        <v>6083565.33</v>
      </c>
      <c r="O3980" t="s" s="2">
        <v>305</v>
      </c>
      <c r="P3980" s="5">
        <v>183913</v>
      </c>
      <c r="Q3980" t="s" s="2">
        <v>43</v>
      </c>
      <c r="R3980" s="5">
        <f>_xlfn.IFERROR(INDEX('model_byCAP'!$D$2:$D$377,MATCH(Q3980,'model_byCAP'!$A$2:$A$377,0)),0)</f>
        <v>0</v>
      </c>
    </row>
    <row r="3981" ht="15.35" customHeight="1">
      <c r="A3981" t="s" s="2">
        <v>7429</v>
      </c>
      <c r="B3981" s="4">
        <v>35347</v>
      </c>
      <c r="C3981" s="5">
        <v>550</v>
      </c>
      <c r="D3981" s="5">
        <v>41</v>
      </c>
      <c r="E3981" s="5">
        <v>40.9</v>
      </c>
      <c r="F3981" t="s" s="2">
        <v>42</v>
      </c>
      <c r="G3981" t="s" s="2">
        <v>42</v>
      </c>
      <c r="H3981" s="5">
        <v>376</v>
      </c>
      <c r="I3981" t="s" s="2">
        <v>1991</v>
      </c>
      <c r="J3981" t="s" s="2">
        <v>22</v>
      </c>
      <c r="K3981" t="s" s="2">
        <v>7430</v>
      </c>
      <c r="L3981" t="s" s="2">
        <v>7431</v>
      </c>
      <c r="M3981" s="5">
        <v>677825.0699999999</v>
      </c>
      <c r="N3981" s="5">
        <v>6087308.59</v>
      </c>
      <c r="O3981" t="s" s="2">
        <v>305</v>
      </c>
      <c r="P3981" s="5">
        <v>184078</v>
      </c>
      <c r="Q3981" t="s" s="2">
        <v>43</v>
      </c>
      <c r="R3981" s="5">
        <f>_xlfn.IFERROR(INDEX('model_byCAP'!$D$2:$D$377,MATCH(Q3981,'model_byCAP'!$A$2:$A$377,0)),0)</f>
        <v>0</v>
      </c>
    </row>
    <row r="3982" ht="15.35" customHeight="1">
      <c r="A3982" t="s" s="2">
        <v>7432</v>
      </c>
      <c r="B3982" s="4">
        <v>35347</v>
      </c>
      <c r="C3982" s="5">
        <v>550</v>
      </c>
      <c r="D3982" s="5">
        <v>41</v>
      </c>
      <c r="E3982" s="5">
        <v>42</v>
      </c>
      <c r="F3982" t="s" s="2">
        <v>42</v>
      </c>
      <c r="G3982" t="s" s="2">
        <v>42</v>
      </c>
      <c r="H3982" s="5">
        <v>376</v>
      </c>
      <c r="I3982" t="s" s="2">
        <v>1991</v>
      </c>
      <c r="J3982" t="s" s="2">
        <v>22</v>
      </c>
      <c r="K3982" t="s" s="2">
        <v>7430</v>
      </c>
      <c r="L3982" t="s" s="2">
        <v>1122</v>
      </c>
      <c r="M3982" s="5">
        <v>677830.67</v>
      </c>
      <c r="N3982" s="5">
        <v>6087156.56</v>
      </c>
      <c r="O3982" t="s" s="2">
        <v>305</v>
      </c>
      <c r="P3982" s="5">
        <v>184079</v>
      </c>
      <c r="Q3982" t="s" s="2">
        <v>43</v>
      </c>
      <c r="R3982" s="5">
        <f>_xlfn.IFERROR(INDEX('model_byCAP'!$D$2:$D$377,MATCH(Q3982,'model_byCAP'!$A$2:$A$377,0)),0)</f>
        <v>0</v>
      </c>
    </row>
    <row r="3983" ht="15.35" customHeight="1">
      <c r="A3983" t="s" s="2">
        <v>7433</v>
      </c>
      <c r="B3983" s="4">
        <v>35712</v>
      </c>
      <c r="C3983" s="5">
        <v>550</v>
      </c>
      <c r="D3983" s="5">
        <v>41</v>
      </c>
      <c r="E3983" s="5">
        <v>42</v>
      </c>
      <c r="F3983" t="s" s="2">
        <v>42</v>
      </c>
      <c r="G3983" t="s" s="2">
        <v>42</v>
      </c>
      <c r="H3983" s="5">
        <v>390</v>
      </c>
      <c r="I3983" t="s" s="2">
        <v>46</v>
      </c>
      <c r="J3983" t="s" s="2">
        <v>22</v>
      </c>
      <c r="K3983" t="s" s="2">
        <v>7434</v>
      </c>
      <c r="L3983" t="s" s="2">
        <v>6112</v>
      </c>
      <c r="M3983" s="5">
        <v>694939.4399999999</v>
      </c>
      <c r="N3983" s="5">
        <v>6111097.78</v>
      </c>
      <c r="O3983" t="s" s="2">
        <v>305</v>
      </c>
      <c r="P3983" s="5">
        <v>190423</v>
      </c>
      <c r="Q3983" t="s" s="2">
        <v>43</v>
      </c>
      <c r="R3983" s="5">
        <f>_xlfn.IFERROR(INDEX('model_byCAP'!$D$2:$D$377,MATCH(Q3983,'model_byCAP'!$A$2:$A$377,0)),0)</f>
        <v>0</v>
      </c>
    </row>
    <row r="3984" ht="15.35" customHeight="1">
      <c r="A3984" t="s" s="2">
        <v>7435</v>
      </c>
      <c r="B3984" s="4">
        <v>35712</v>
      </c>
      <c r="C3984" s="5">
        <v>550</v>
      </c>
      <c r="D3984" s="5">
        <v>41</v>
      </c>
      <c r="E3984" s="5">
        <v>42.3</v>
      </c>
      <c r="F3984" t="s" s="2">
        <v>6608</v>
      </c>
      <c r="G3984" t="s" s="2">
        <v>7384</v>
      </c>
      <c r="H3984" s="5">
        <v>390</v>
      </c>
      <c r="I3984" t="s" s="2">
        <v>46</v>
      </c>
      <c r="J3984" t="s" s="2">
        <v>22</v>
      </c>
      <c r="K3984" t="s" s="2">
        <v>7436</v>
      </c>
      <c r="L3984" t="s" s="2">
        <v>7437</v>
      </c>
      <c r="M3984" s="5">
        <v>694978.61</v>
      </c>
      <c r="N3984" s="5">
        <v>6110984.58</v>
      </c>
      <c r="O3984" t="s" s="2">
        <v>305</v>
      </c>
      <c r="P3984" s="5">
        <v>190424</v>
      </c>
      <c r="Q3984" t="s" s="2">
        <v>7386</v>
      </c>
      <c r="R3984" t="s" s="2">
        <f>_xlfn.IFERROR(INDEX('model_byCAP'!$D$2:$D$377,MATCH(Q3984,'model_byCAP'!$A$2:$A$377,0)),0)</f>
        <v>7369</v>
      </c>
    </row>
    <row r="3985" ht="15.35" customHeight="1">
      <c r="A3985" t="s" s="2">
        <v>7438</v>
      </c>
      <c r="B3985" s="4">
        <v>35712</v>
      </c>
      <c r="C3985" s="5">
        <v>550</v>
      </c>
      <c r="D3985" s="5">
        <v>41</v>
      </c>
      <c r="E3985" s="5">
        <v>42</v>
      </c>
      <c r="F3985" t="s" s="2">
        <v>42</v>
      </c>
      <c r="G3985" t="s" s="2">
        <v>42</v>
      </c>
      <c r="H3985" s="5">
        <v>390</v>
      </c>
      <c r="I3985" t="s" s="2">
        <v>46</v>
      </c>
      <c r="J3985" t="s" s="2">
        <v>22</v>
      </c>
      <c r="K3985" t="s" s="2">
        <v>7436</v>
      </c>
      <c r="L3985" t="s" s="2">
        <v>524</v>
      </c>
      <c r="M3985" s="5">
        <v>695018.74</v>
      </c>
      <c r="N3985" s="5">
        <v>6110870.63</v>
      </c>
      <c r="O3985" t="s" s="2">
        <v>305</v>
      </c>
      <c r="P3985" s="5">
        <v>190425</v>
      </c>
      <c r="Q3985" t="s" s="2">
        <v>43</v>
      </c>
      <c r="R3985" s="5">
        <f>_xlfn.IFERROR(INDEX('model_byCAP'!$D$2:$D$377,MATCH(Q3985,'model_byCAP'!$A$2:$A$377,0)),0)</f>
        <v>0</v>
      </c>
    </row>
    <row r="3986" ht="15.35" customHeight="1">
      <c r="A3986" t="s" s="2">
        <v>7439</v>
      </c>
      <c r="B3986" s="4">
        <v>35415</v>
      </c>
      <c r="C3986" s="5">
        <v>550</v>
      </c>
      <c r="D3986" s="5">
        <v>0.1</v>
      </c>
      <c r="E3986" s="5">
        <v>40</v>
      </c>
      <c r="F3986" t="s" s="2">
        <v>4716</v>
      </c>
      <c r="G3986" t="s" s="2">
        <v>7440</v>
      </c>
      <c r="H3986" s="5">
        <v>561</v>
      </c>
      <c r="I3986" t="s" s="2">
        <v>196</v>
      </c>
      <c r="J3986" t="s" s="2">
        <v>22</v>
      </c>
      <c r="K3986" t="s" s="2">
        <v>7441</v>
      </c>
      <c r="L3986" s="5">
        <v>2</v>
      </c>
      <c r="M3986" s="5">
        <v>486366.12</v>
      </c>
      <c r="N3986" s="5">
        <v>6136609.9</v>
      </c>
      <c r="O3986" t="s" s="2">
        <v>305</v>
      </c>
      <c r="P3986" s="5">
        <v>32358</v>
      </c>
      <c r="Q3986" t="s" s="2">
        <v>7442</v>
      </c>
      <c r="R3986" t="s" s="2">
        <f>_xlfn.IFERROR(INDEX('model_byCAP'!$D$2:$D$377,MATCH(Q3986,'model_byCAP'!$A$2:$A$377,0)),0)</f>
        <v>7443</v>
      </c>
    </row>
    <row r="3987" ht="15.35" customHeight="1">
      <c r="A3987" t="s" s="2">
        <v>7444</v>
      </c>
      <c r="B3987" s="4">
        <v>35415</v>
      </c>
      <c r="C3987" s="5">
        <v>550</v>
      </c>
      <c r="D3987" s="5">
        <v>37.3</v>
      </c>
      <c r="E3987" s="5">
        <v>41.5</v>
      </c>
      <c r="F3987" t="s" s="2">
        <v>4716</v>
      </c>
      <c r="G3987" t="s" s="2">
        <v>7440</v>
      </c>
      <c r="H3987" s="5">
        <v>561</v>
      </c>
      <c r="I3987" t="s" s="2">
        <v>196</v>
      </c>
      <c r="J3987" t="s" s="2">
        <v>22</v>
      </c>
      <c r="K3987" t="s" s="2">
        <v>7441</v>
      </c>
      <c r="L3987" t="s" s="2">
        <v>585</v>
      </c>
      <c r="M3987" s="5">
        <v>486474.46</v>
      </c>
      <c r="N3987" s="5">
        <v>6136454.21</v>
      </c>
      <c r="O3987" t="s" s="2">
        <v>305</v>
      </c>
      <c r="P3987" s="5">
        <v>32359</v>
      </c>
      <c r="Q3987" t="s" s="2">
        <v>7442</v>
      </c>
      <c r="R3987" t="s" s="2">
        <f>_xlfn.IFERROR(INDEX('model_byCAP'!$D$2:$D$377,MATCH(Q3987,'model_byCAP'!$A$2:$A$377,0)),0)</f>
        <v>7443</v>
      </c>
    </row>
    <row r="3988" ht="15.35" customHeight="1">
      <c r="A3988" t="s" s="2">
        <v>7445</v>
      </c>
      <c r="B3988" s="4">
        <v>35415</v>
      </c>
      <c r="C3988" s="5">
        <v>550</v>
      </c>
      <c r="D3988" s="5">
        <v>37.3</v>
      </c>
      <c r="E3988" s="5">
        <v>41.5</v>
      </c>
      <c r="F3988" t="s" s="2">
        <v>4716</v>
      </c>
      <c r="G3988" t="s" s="2">
        <v>7440</v>
      </c>
      <c r="H3988" s="5">
        <v>561</v>
      </c>
      <c r="I3988" t="s" s="2">
        <v>196</v>
      </c>
      <c r="J3988" t="s" s="2">
        <v>22</v>
      </c>
      <c r="K3988" t="s" s="2">
        <v>7441</v>
      </c>
      <c r="L3988" t="s" s="2">
        <v>585</v>
      </c>
      <c r="M3988" s="5">
        <v>486584.92</v>
      </c>
      <c r="N3988" s="5">
        <v>6136299.26</v>
      </c>
      <c r="O3988" t="s" s="2">
        <v>305</v>
      </c>
      <c r="P3988" s="5">
        <v>32360</v>
      </c>
      <c r="Q3988" t="s" s="2">
        <v>7442</v>
      </c>
      <c r="R3988" t="s" s="2">
        <f>_xlfn.IFERROR(INDEX('model_byCAP'!$D$2:$D$377,MATCH(Q3988,'model_byCAP'!$A$2:$A$377,0)),0)</f>
        <v>7443</v>
      </c>
    </row>
    <row r="3989" ht="15.35" customHeight="1">
      <c r="A3989" t="s" s="2">
        <v>7446</v>
      </c>
      <c r="B3989" s="4">
        <v>35309</v>
      </c>
      <c r="C3989" s="5">
        <v>550</v>
      </c>
      <c r="D3989" s="5">
        <v>37</v>
      </c>
      <c r="E3989" s="5">
        <v>41.5</v>
      </c>
      <c r="F3989" t="s" s="2">
        <v>4716</v>
      </c>
      <c r="G3989" t="s" s="2">
        <v>7447</v>
      </c>
      <c r="H3989" s="5">
        <v>766</v>
      </c>
      <c r="I3989" t="s" s="2">
        <v>3363</v>
      </c>
      <c r="J3989" t="s" s="2">
        <v>22</v>
      </c>
      <c r="K3989" t="s" s="2">
        <v>7448</v>
      </c>
      <c r="L3989" t="s" s="2">
        <v>2939</v>
      </c>
      <c r="M3989" s="5">
        <v>529987.75</v>
      </c>
      <c r="N3989" s="5">
        <v>6192542.78</v>
      </c>
      <c r="O3989" t="s" s="2">
        <v>305</v>
      </c>
      <c r="P3989" s="5">
        <v>1030077</v>
      </c>
      <c r="Q3989" t="s" s="2">
        <v>7449</v>
      </c>
      <c r="R3989" t="s" s="2">
        <f>_xlfn.IFERROR(INDEX('model_byCAP'!$D$2:$D$377,MATCH(Q3989,'model_byCAP'!$A$2:$A$377,0)),0)</f>
        <v>7443</v>
      </c>
    </row>
    <row r="3990" ht="15.35" customHeight="1">
      <c r="A3990" t="s" s="2">
        <v>7450</v>
      </c>
      <c r="B3990" s="4">
        <v>35165</v>
      </c>
      <c r="C3990" s="5">
        <v>550</v>
      </c>
      <c r="D3990" s="5">
        <v>37</v>
      </c>
      <c r="E3990" s="5">
        <v>35</v>
      </c>
      <c r="F3990" t="s" s="2">
        <v>42</v>
      </c>
      <c r="G3990" t="s" s="2">
        <v>42</v>
      </c>
      <c r="H3990" s="5">
        <v>259</v>
      </c>
      <c r="I3990" t="s" s="2">
        <v>4904</v>
      </c>
      <c r="J3990" t="s" s="2">
        <v>22</v>
      </c>
      <c r="K3990" t="s" s="2">
        <v>7451</v>
      </c>
      <c r="L3990" t="s" s="2">
        <v>481</v>
      </c>
      <c r="M3990" s="5">
        <v>695839.22</v>
      </c>
      <c r="N3990" s="5">
        <v>6156733.99</v>
      </c>
      <c r="O3990" t="s" s="2">
        <v>305</v>
      </c>
      <c r="P3990" s="5">
        <v>183331</v>
      </c>
      <c r="Q3990" t="s" s="2">
        <v>43</v>
      </c>
      <c r="R3990" s="5">
        <f>_xlfn.IFERROR(INDEX('model_byCAP'!$D$2:$D$377,MATCH(Q3990,'model_byCAP'!$A$2:$A$377,0)),0)</f>
        <v>0</v>
      </c>
    </row>
    <row r="3991" ht="15.35" customHeight="1">
      <c r="A3991" t="s" s="2">
        <v>7452</v>
      </c>
      <c r="B3991" s="4">
        <v>35165</v>
      </c>
      <c r="C3991" s="5">
        <v>550</v>
      </c>
      <c r="D3991" s="5">
        <v>37</v>
      </c>
      <c r="E3991" s="5">
        <v>35</v>
      </c>
      <c r="F3991" t="s" s="2">
        <v>42</v>
      </c>
      <c r="G3991" t="s" s="2">
        <v>42</v>
      </c>
      <c r="H3991" s="5">
        <v>259</v>
      </c>
      <c r="I3991" t="s" s="2">
        <v>4904</v>
      </c>
      <c r="J3991" t="s" s="2">
        <v>22</v>
      </c>
      <c r="K3991" t="s" s="2">
        <v>7451</v>
      </c>
      <c r="L3991" t="s" s="2">
        <v>481</v>
      </c>
      <c r="M3991" s="5">
        <v>695707.63</v>
      </c>
      <c r="N3991" s="5">
        <v>6156769.89</v>
      </c>
      <c r="O3991" t="s" s="2">
        <v>305</v>
      </c>
      <c r="P3991" s="5">
        <v>183332</v>
      </c>
      <c r="Q3991" t="s" s="2">
        <v>43</v>
      </c>
      <c r="R3991" s="5">
        <f>_xlfn.IFERROR(INDEX('model_byCAP'!$D$2:$D$377,MATCH(Q3991,'model_byCAP'!$A$2:$A$377,0)),0)</f>
        <v>0</v>
      </c>
    </row>
    <row r="3992" ht="15.35" customHeight="1">
      <c r="A3992" t="s" s="2">
        <v>7453</v>
      </c>
      <c r="B3992" s="4">
        <v>35735</v>
      </c>
      <c r="C3992" s="5">
        <v>550</v>
      </c>
      <c r="D3992" s="5">
        <v>41</v>
      </c>
      <c r="E3992" s="5">
        <v>42</v>
      </c>
      <c r="F3992" t="s" s="2">
        <v>6608</v>
      </c>
      <c r="G3992" t="s" s="2">
        <v>7454</v>
      </c>
      <c r="H3992" s="5">
        <v>260</v>
      </c>
      <c r="I3992" t="s" s="2">
        <v>4907</v>
      </c>
      <c r="J3992" t="s" s="2">
        <v>22</v>
      </c>
      <c r="K3992" t="s" s="2">
        <v>7455</v>
      </c>
      <c r="L3992" t="s" s="2">
        <v>2348</v>
      </c>
      <c r="M3992" s="5">
        <v>684608.03</v>
      </c>
      <c r="N3992" s="5">
        <v>6206961.7</v>
      </c>
      <c r="O3992" t="s" s="2">
        <v>305</v>
      </c>
      <c r="P3992" t="s" s="2">
        <v>7456</v>
      </c>
      <c r="Q3992" t="s" s="2">
        <v>7457</v>
      </c>
      <c r="R3992" t="s" s="2">
        <f>_xlfn.IFERROR(INDEX('model_byCAP'!$D$2:$D$377,MATCH(Q3992,'model_byCAP'!$A$2:$A$377,0)),0)</f>
        <v>7369</v>
      </c>
    </row>
    <row r="3993" ht="15.35" customHeight="1">
      <c r="A3993" t="s" s="2">
        <v>7458</v>
      </c>
      <c r="B3993" s="4">
        <v>35593</v>
      </c>
      <c r="C3993" s="5">
        <v>550</v>
      </c>
      <c r="D3993" s="5">
        <v>41</v>
      </c>
      <c r="E3993" s="5">
        <v>42</v>
      </c>
      <c r="F3993" t="s" s="2">
        <v>6608</v>
      </c>
      <c r="G3993" t="s" s="2">
        <v>7454</v>
      </c>
      <c r="H3993" s="5">
        <v>260</v>
      </c>
      <c r="I3993" t="s" s="2">
        <v>4907</v>
      </c>
      <c r="J3993" t="s" s="2">
        <v>22</v>
      </c>
      <c r="K3993" t="s" s="2">
        <v>7455</v>
      </c>
      <c r="L3993" t="s" s="2">
        <v>941</v>
      </c>
      <c r="M3993" s="5">
        <v>684703.95</v>
      </c>
      <c r="N3993" s="5">
        <v>6206858.54</v>
      </c>
      <c r="O3993" t="s" s="2">
        <v>305</v>
      </c>
      <c r="P3993" t="s" s="2">
        <v>7459</v>
      </c>
      <c r="Q3993" t="s" s="2">
        <v>7457</v>
      </c>
      <c r="R3993" t="s" s="2">
        <f>_xlfn.IFERROR(INDEX('model_byCAP'!$D$2:$D$377,MATCH(Q3993,'model_byCAP'!$A$2:$A$377,0)),0)</f>
        <v>7369</v>
      </c>
    </row>
    <row r="3994" ht="15.35" customHeight="1">
      <c r="A3994" t="s" s="2">
        <v>7460</v>
      </c>
      <c r="B3994" s="4">
        <v>35735</v>
      </c>
      <c r="C3994" s="5">
        <v>550</v>
      </c>
      <c r="D3994" s="5">
        <v>41</v>
      </c>
      <c r="E3994" s="5">
        <v>42</v>
      </c>
      <c r="F3994" t="s" s="2">
        <v>6608</v>
      </c>
      <c r="G3994" t="s" s="2">
        <v>7454</v>
      </c>
      <c r="H3994" s="5">
        <v>260</v>
      </c>
      <c r="I3994" t="s" s="2">
        <v>4907</v>
      </c>
      <c r="J3994" t="s" s="2">
        <v>22</v>
      </c>
      <c r="K3994" t="s" s="2">
        <v>7455</v>
      </c>
      <c r="L3994" t="s" s="2">
        <v>2348</v>
      </c>
      <c r="M3994" s="5">
        <v>684797.0600000001</v>
      </c>
      <c r="N3994" s="5">
        <v>6206753.96</v>
      </c>
      <c r="O3994" t="s" s="2">
        <v>305</v>
      </c>
      <c r="P3994" t="s" s="2">
        <v>7461</v>
      </c>
      <c r="Q3994" t="s" s="2">
        <v>7457</v>
      </c>
      <c r="R3994" t="s" s="2">
        <f>_xlfn.IFERROR(INDEX('model_byCAP'!$D$2:$D$377,MATCH(Q3994,'model_byCAP'!$A$2:$A$377,0)),0)</f>
        <v>7369</v>
      </c>
    </row>
    <row r="3995" ht="15.35" customHeight="1">
      <c r="A3995" t="s" s="2">
        <v>7462</v>
      </c>
      <c r="B3995" s="4">
        <v>35593</v>
      </c>
      <c r="C3995" s="5">
        <v>550</v>
      </c>
      <c r="D3995" s="5">
        <v>41</v>
      </c>
      <c r="E3995" s="5">
        <v>42</v>
      </c>
      <c r="F3995" t="s" s="2">
        <v>6608</v>
      </c>
      <c r="G3995" t="s" s="2">
        <v>7454</v>
      </c>
      <c r="H3995" s="5">
        <v>260</v>
      </c>
      <c r="I3995" t="s" s="2">
        <v>4907</v>
      </c>
      <c r="J3995" t="s" s="2">
        <v>22</v>
      </c>
      <c r="K3995" t="s" s="2">
        <v>7455</v>
      </c>
      <c r="L3995" t="s" s="2">
        <v>2348</v>
      </c>
      <c r="M3995" s="5">
        <v>684890.05</v>
      </c>
      <c r="N3995" s="5">
        <v>6206649.45</v>
      </c>
      <c r="O3995" t="s" s="2">
        <v>305</v>
      </c>
      <c r="P3995" t="s" s="2">
        <v>7463</v>
      </c>
      <c r="Q3995" t="s" s="2">
        <v>7457</v>
      </c>
      <c r="R3995" t="s" s="2">
        <f>_xlfn.IFERROR(INDEX('model_byCAP'!$D$2:$D$377,MATCH(Q3995,'model_byCAP'!$A$2:$A$377,0)),0)</f>
        <v>7369</v>
      </c>
    </row>
    <row r="3996" ht="15.35" customHeight="1">
      <c r="A3996" t="s" s="2">
        <v>7464</v>
      </c>
      <c r="B3996" s="4">
        <v>35234</v>
      </c>
      <c r="C3996" s="5">
        <v>550</v>
      </c>
      <c r="D3996" s="5">
        <v>37</v>
      </c>
      <c r="E3996" s="5">
        <v>33</v>
      </c>
      <c r="F3996" t="s" s="2">
        <v>42</v>
      </c>
      <c r="G3996" t="s" s="2">
        <v>42</v>
      </c>
      <c r="H3996" s="5">
        <v>265</v>
      </c>
      <c r="I3996" t="s" s="2">
        <v>3920</v>
      </c>
      <c r="J3996" t="s" s="2">
        <v>22</v>
      </c>
      <c r="K3996" t="s" s="2">
        <v>7465</v>
      </c>
      <c r="L3996" t="s" s="2">
        <v>1258</v>
      </c>
      <c r="M3996" s="5">
        <v>694946.51</v>
      </c>
      <c r="N3996" s="5">
        <v>6163918.49</v>
      </c>
      <c r="O3996" t="s" s="2">
        <v>305</v>
      </c>
      <c r="P3996" t="s" s="2">
        <v>7466</v>
      </c>
      <c r="Q3996" t="s" s="2">
        <v>43</v>
      </c>
      <c r="R3996" s="5">
        <f>_xlfn.IFERROR(INDEX('model_byCAP'!$D$2:$D$377,MATCH(Q3996,'model_byCAP'!$A$2:$A$377,0)),0)</f>
        <v>0</v>
      </c>
    </row>
    <row r="3997" ht="15.35" customHeight="1">
      <c r="A3997" t="s" s="2">
        <v>7467</v>
      </c>
      <c r="B3997" s="4">
        <v>35185</v>
      </c>
      <c r="C3997" s="5">
        <v>550</v>
      </c>
      <c r="D3997" s="5">
        <v>41</v>
      </c>
      <c r="E3997" s="5">
        <v>42</v>
      </c>
      <c r="F3997" t="s" s="2">
        <v>6608</v>
      </c>
      <c r="G3997" t="s" s="2">
        <v>7384</v>
      </c>
      <c r="H3997" s="5">
        <v>820</v>
      </c>
      <c r="I3997" t="s" s="2">
        <v>388</v>
      </c>
      <c r="J3997" t="s" s="2">
        <v>22</v>
      </c>
      <c r="K3997" t="s" s="2">
        <v>7163</v>
      </c>
      <c r="L3997" t="s" s="2">
        <v>4273</v>
      </c>
      <c r="M3997" s="5">
        <v>527981.3100000001</v>
      </c>
      <c r="N3997" s="5">
        <v>6293209.48</v>
      </c>
      <c r="O3997" t="s" s="2">
        <v>305</v>
      </c>
      <c r="P3997" s="5">
        <v>333</v>
      </c>
      <c r="Q3997" t="s" s="2">
        <v>7386</v>
      </c>
      <c r="R3997" t="s" s="2">
        <f>_xlfn.IFERROR(INDEX('model_byCAP'!$D$2:$D$377,MATCH(Q3997,'model_byCAP'!$A$2:$A$377,0)),0)</f>
        <v>7369</v>
      </c>
    </row>
    <row r="3998" ht="15.35" customHeight="1">
      <c r="A3998" t="s" s="2">
        <v>7468</v>
      </c>
      <c r="B3998" s="4">
        <v>35185</v>
      </c>
      <c r="C3998" s="5">
        <v>550</v>
      </c>
      <c r="D3998" s="5">
        <v>41</v>
      </c>
      <c r="E3998" s="5">
        <v>42</v>
      </c>
      <c r="F3998" t="s" s="2">
        <v>6608</v>
      </c>
      <c r="G3998" t="s" s="2">
        <v>7384</v>
      </c>
      <c r="H3998" s="5">
        <v>820</v>
      </c>
      <c r="I3998" t="s" s="2">
        <v>388</v>
      </c>
      <c r="J3998" t="s" s="2">
        <v>22</v>
      </c>
      <c r="K3998" t="s" s="2">
        <v>7163</v>
      </c>
      <c r="L3998" t="s" s="2">
        <v>6935</v>
      </c>
      <c r="M3998" s="5">
        <v>528459.5699999999</v>
      </c>
      <c r="N3998" s="5">
        <v>6292895.77</v>
      </c>
      <c r="O3998" t="s" s="2">
        <v>305</v>
      </c>
      <c r="P3998" s="5">
        <v>334</v>
      </c>
      <c r="Q3998" t="s" s="2">
        <v>7386</v>
      </c>
      <c r="R3998" t="s" s="2">
        <f>_xlfn.IFERROR(INDEX('model_byCAP'!$D$2:$D$377,MATCH(Q3998,'model_byCAP'!$A$2:$A$377,0)),0)</f>
        <v>7369</v>
      </c>
    </row>
    <row r="3999" ht="15.35" customHeight="1">
      <c r="A3999" t="s" s="2">
        <v>7469</v>
      </c>
      <c r="B3999" s="4">
        <v>34506</v>
      </c>
      <c r="C3999" s="5">
        <v>500</v>
      </c>
      <c r="D3999" s="5">
        <v>39</v>
      </c>
      <c r="E3999" s="5">
        <v>40.5</v>
      </c>
      <c r="F3999" t="s" s="2">
        <v>301</v>
      </c>
      <c r="G3999" t="s" s="2">
        <v>7470</v>
      </c>
      <c r="H3999" s="5">
        <v>330</v>
      </c>
      <c r="I3999" t="s" s="2">
        <v>1491</v>
      </c>
      <c r="J3999" t="s" s="2">
        <v>22</v>
      </c>
      <c r="K3999" t="s" s="2">
        <v>4141</v>
      </c>
      <c r="L3999" t="s" s="2">
        <v>2872</v>
      </c>
      <c r="M3999" s="5">
        <v>644332.4399999999</v>
      </c>
      <c r="N3999" s="5">
        <v>6135921.29</v>
      </c>
      <c r="O3999" t="s" s="2">
        <v>305</v>
      </c>
      <c r="P3999" s="5">
        <v>60466281</v>
      </c>
      <c r="Q3999" t="s" s="2">
        <v>7471</v>
      </c>
      <c r="R3999" t="s" s="2">
        <f>_xlfn.IFERROR(INDEX('model_byCAP'!$D$2:$D$377,MATCH(Q3999,'model_byCAP'!$A$2:$A$377,0)),0)</f>
        <v>7472</v>
      </c>
    </row>
    <row r="4000" ht="15.35" customHeight="1">
      <c r="A4000" t="s" s="2">
        <v>7473</v>
      </c>
      <c r="B4000" s="4">
        <v>34506</v>
      </c>
      <c r="C4000" s="5">
        <v>500</v>
      </c>
      <c r="D4000" s="5">
        <v>39</v>
      </c>
      <c r="E4000" s="5">
        <v>40.5</v>
      </c>
      <c r="F4000" t="s" s="2">
        <v>301</v>
      </c>
      <c r="G4000" t="s" s="2">
        <v>7470</v>
      </c>
      <c r="H4000" s="5">
        <v>330</v>
      </c>
      <c r="I4000" t="s" s="2">
        <v>1491</v>
      </c>
      <c r="J4000" t="s" s="2">
        <v>22</v>
      </c>
      <c r="K4000" t="s" s="2">
        <v>4141</v>
      </c>
      <c r="L4000" t="s" s="2">
        <v>2872</v>
      </c>
      <c r="M4000" s="5">
        <v>644465.51</v>
      </c>
      <c r="N4000" s="5">
        <v>6135849.97</v>
      </c>
      <c r="O4000" t="s" s="2">
        <v>305</v>
      </c>
      <c r="P4000" t="s" s="2">
        <v>7474</v>
      </c>
      <c r="Q4000" t="s" s="2">
        <v>7471</v>
      </c>
      <c r="R4000" t="s" s="2">
        <f>_xlfn.IFERROR(INDEX('model_byCAP'!$D$2:$D$377,MATCH(Q4000,'model_byCAP'!$A$2:$A$377,0)),0)</f>
        <v>7472</v>
      </c>
    </row>
    <row r="4001" ht="15.35" customHeight="1">
      <c r="A4001" t="s" s="2">
        <v>7475</v>
      </c>
      <c r="B4001" s="4">
        <v>34506</v>
      </c>
      <c r="C4001" s="5">
        <v>500</v>
      </c>
      <c r="D4001" s="5">
        <v>39</v>
      </c>
      <c r="E4001" s="5">
        <v>40.5</v>
      </c>
      <c r="F4001" t="s" s="2">
        <v>301</v>
      </c>
      <c r="G4001" t="s" s="2">
        <v>7470</v>
      </c>
      <c r="H4001" s="5">
        <v>330</v>
      </c>
      <c r="I4001" t="s" s="2">
        <v>1491</v>
      </c>
      <c r="J4001" t="s" s="2">
        <v>22</v>
      </c>
      <c r="K4001" t="s" s="2">
        <v>4141</v>
      </c>
      <c r="L4001" t="s" s="2">
        <v>2872</v>
      </c>
      <c r="M4001" s="5">
        <v>644599.86</v>
      </c>
      <c r="N4001" s="5">
        <v>6135785.8</v>
      </c>
      <c r="O4001" t="s" s="2">
        <v>305</v>
      </c>
      <c r="P4001" t="s" s="2">
        <v>7474</v>
      </c>
      <c r="Q4001" t="s" s="2">
        <v>7471</v>
      </c>
      <c r="R4001" t="s" s="2">
        <f>_xlfn.IFERROR(INDEX('model_byCAP'!$D$2:$D$377,MATCH(Q4001,'model_byCAP'!$A$2:$A$377,0)),0)</f>
        <v>7472</v>
      </c>
    </row>
    <row r="4002" ht="15.35" customHeight="1">
      <c r="A4002" t="s" s="2">
        <v>7476</v>
      </c>
      <c r="B4002" s="4">
        <v>35125</v>
      </c>
      <c r="C4002" s="5">
        <v>500</v>
      </c>
      <c r="D4002" s="5">
        <v>39</v>
      </c>
      <c r="E4002" s="5">
        <v>35</v>
      </c>
      <c r="F4002" t="s" s="2">
        <v>301</v>
      </c>
      <c r="G4002" t="s" s="2">
        <v>7477</v>
      </c>
      <c r="H4002" s="5">
        <v>330</v>
      </c>
      <c r="I4002" t="s" s="2">
        <v>1491</v>
      </c>
      <c r="J4002" t="s" s="2">
        <v>22</v>
      </c>
      <c r="K4002" t="s" s="2">
        <v>1992</v>
      </c>
      <c r="L4002" t="s" s="2">
        <v>524</v>
      </c>
      <c r="M4002" s="5">
        <v>640731.7</v>
      </c>
      <c r="N4002" s="5">
        <v>6133225.08</v>
      </c>
      <c r="O4002" t="s" s="2">
        <v>305</v>
      </c>
      <c r="P4002" s="5">
        <v>183149</v>
      </c>
      <c r="Q4002" t="s" s="2">
        <v>7478</v>
      </c>
      <c r="R4002" t="s" s="2">
        <f>_xlfn.IFERROR(INDEX('model_byCAP'!$D$2:$D$377,MATCH(Q4002,'model_byCAP'!$A$2:$A$377,0)),0)</f>
        <v>7472</v>
      </c>
    </row>
    <row r="4003" ht="15.35" customHeight="1">
      <c r="A4003" t="s" s="2">
        <v>7479</v>
      </c>
      <c r="B4003" s="4">
        <v>35125</v>
      </c>
      <c r="C4003" s="5">
        <v>500</v>
      </c>
      <c r="D4003" s="5">
        <v>39</v>
      </c>
      <c r="E4003" s="5">
        <v>35</v>
      </c>
      <c r="F4003" t="s" s="2">
        <v>301</v>
      </c>
      <c r="G4003" t="s" s="2">
        <v>7477</v>
      </c>
      <c r="H4003" s="5">
        <v>330</v>
      </c>
      <c r="I4003" t="s" s="2">
        <v>1491</v>
      </c>
      <c r="J4003" t="s" s="2">
        <v>22</v>
      </c>
      <c r="K4003" t="s" s="2">
        <v>1992</v>
      </c>
      <c r="L4003" t="s" s="2">
        <v>551</v>
      </c>
      <c r="M4003" s="5">
        <v>640873.35</v>
      </c>
      <c r="N4003" s="5">
        <v>6133083.88</v>
      </c>
      <c r="O4003" t="s" s="2">
        <v>305</v>
      </c>
      <c r="P4003" s="5">
        <v>183150</v>
      </c>
      <c r="Q4003" t="s" s="2">
        <v>7478</v>
      </c>
      <c r="R4003" t="s" s="2">
        <f>_xlfn.IFERROR(INDEX('model_byCAP'!$D$2:$D$377,MATCH(Q4003,'model_byCAP'!$A$2:$A$377,0)),0)</f>
        <v>7472</v>
      </c>
    </row>
    <row r="4004" ht="15.35" customHeight="1">
      <c r="A4004" t="s" s="2">
        <v>7480</v>
      </c>
      <c r="B4004" s="4">
        <v>35125</v>
      </c>
      <c r="C4004" s="5">
        <v>500</v>
      </c>
      <c r="D4004" s="5">
        <v>39</v>
      </c>
      <c r="E4004" s="5">
        <v>35</v>
      </c>
      <c r="F4004" t="s" s="2">
        <v>301</v>
      </c>
      <c r="G4004" t="s" s="2">
        <v>7477</v>
      </c>
      <c r="H4004" s="5">
        <v>330</v>
      </c>
      <c r="I4004" t="s" s="2">
        <v>1491</v>
      </c>
      <c r="J4004" t="s" s="2">
        <v>22</v>
      </c>
      <c r="K4004" t="s" s="2">
        <v>1992</v>
      </c>
      <c r="L4004" t="s" s="2">
        <v>551</v>
      </c>
      <c r="M4004" s="5">
        <v>641014.8</v>
      </c>
      <c r="N4004" s="5">
        <v>6132942.65</v>
      </c>
      <c r="O4004" t="s" s="2">
        <v>305</v>
      </c>
      <c r="P4004" s="5">
        <v>183151</v>
      </c>
      <c r="Q4004" t="s" s="2">
        <v>7478</v>
      </c>
      <c r="R4004" t="s" s="2">
        <f>_xlfn.IFERROR(INDEX('model_byCAP'!$D$2:$D$377,MATCH(Q4004,'model_byCAP'!$A$2:$A$377,0)),0)</f>
        <v>7472</v>
      </c>
    </row>
    <row r="4005" ht="15.35" customHeight="1">
      <c r="A4005" t="s" s="2">
        <v>7481</v>
      </c>
      <c r="B4005" s="4">
        <v>35125</v>
      </c>
      <c r="C4005" s="5">
        <v>500</v>
      </c>
      <c r="D4005" s="5">
        <v>39</v>
      </c>
      <c r="E4005" s="5">
        <v>35</v>
      </c>
      <c r="F4005" t="s" s="2">
        <v>301</v>
      </c>
      <c r="G4005" t="s" s="2">
        <v>7477</v>
      </c>
      <c r="H4005" s="5">
        <v>336</v>
      </c>
      <c r="I4005" t="s" s="2">
        <v>4152</v>
      </c>
      <c r="J4005" t="s" s="2">
        <v>22</v>
      </c>
      <c r="K4005" t="s" s="2">
        <v>1992</v>
      </c>
      <c r="L4005" t="s" s="2">
        <v>1717</v>
      </c>
      <c r="M4005" s="5">
        <v>717420.28</v>
      </c>
      <c r="N4005" s="5">
        <v>6137212.74</v>
      </c>
      <c r="O4005" t="s" s="2">
        <v>305</v>
      </c>
      <c r="P4005" t="s" s="2">
        <v>7482</v>
      </c>
      <c r="Q4005" t="s" s="2">
        <v>7478</v>
      </c>
      <c r="R4005" t="s" s="2">
        <f>_xlfn.IFERROR(INDEX('model_byCAP'!$D$2:$D$377,MATCH(Q4005,'model_byCAP'!$A$2:$A$377,0)),0)</f>
        <v>7472</v>
      </c>
    </row>
    <row r="4006" ht="15.35" customHeight="1">
      <c r="A4006" t="s" s="2">
        <v>7483</v>
      </c>
      <c r="B4006" s="4">
        <v>35125</v>
      </c>
      <c r="C4006" s="5">
        <v>500</v>
      </c>
      <c r="D4006" s="5">
        <v>39</v>
      </c>
      <c r="E4006" s="5">
        <v>35</v>
      </c>
      <c r="F4006" t="s" s="2">
        <v>301</v>
      </c>
      <c r="G4006" t="s" s="2">
        <v>7477</v>
      </c>
      <c r="H4006" s="5">
        <v>336</v>
      </c>
      <c r="I4006" t="s" s="2">
        <v>4152</v>
      </c>
      <c r="J4006" t="s" s="2">
        <v>22</v>
      </c>
      <c r="K4006" t="s" s="2">
        <v>1992</v>
      </c>
      <c r="L4006" t="s" s="2">
        <v>1717</v>
      </c>
      <c r="M4006" s="5">
        <v>717440.84</v>
      </c>
      <c r="N4006" s="5">
        <v>6137411.61</v>
      </c>
      <c r="O4006" t="s" s="2">
        <v>305</v>
      </c>
      <c r="P4006" t="s" s="2">
        <v>7482</v>
      </c>
      <c r="Q4006" t="s" s="2">
        <v>7478</v>
      </c>
      <c r="R4006" t="s" s="2">
        <f>_xlfn.IFERROR(INDEX('model_byCAP'!$D$2:$D$377,MATCH(Q4006,'model_byCAP'!$A$2:$A$377,0)),0)</f>
        <v>7472</v>
      </c>
    </row>
    <row r="4007" ht="15.35" customHeight="1">
      <c r="A4007" t="s" s="2">
        <v>7484</v>
      </c>
      <c r="B4007" s="4">
        <v>35082</v>
      </c>
      <c r="C4007" s="5">
        <v>500</v>
      </c>
      <c r="D4007" s="5">
        <v>39</v>
      </c>
      <c r="E4007" s="5">
        <v>35</v>
      </c>
      <c r="F4007" t="s" s="2">
        <v>301</v>
      </c>
      <c r="G4007" t="s" s="2">
        <v>7470</v>
      </c>
      <c r="H4007" s="5">
        <v>336</v>
      </c>
      <c r="I4007" t="s" s="2">
        <v>4152</v>
      </c>
      <c r="J4007" t="s" s="2">
        <v>22</v>
      </c>
      <c r="K4007" t="s" s="2">
        <v>7485</v>
      </c>
      <c r="L4007" t="s" s="2">
        <v>1717</v>
      </c>
      <c r="M4007" s="5">
        <v>717461.35</v>
      </c>
      <c r="N4007" s="5">
        <v>6137610.43</v>
      </c>
      <c r="O4007" t="s" s="2">
        <v>305</v>
      </c>
      <c r="P4007" s="5">
        <v>183274</v>
      </c>
      <c r="Q4007" t="s" s="2">
        <v>7471</v>
      </c>
      <c r="R4007" t="s" s="2">
        <f>_xlfn.IFERROR(INDEX('model_byCAP'!$D$2:$D$377,MATCH(Q4007,'model_byCAP'!$A$2:$A$377,0)),0)</f>
        <v>7472</v>
      </c>
    </row>
    <row r="4008" ht="15.35" customHeight="1">
      <c r="A4008" t="s" s="2">
        <v>7486</v>
      </c>
      <c r="B4008" s="4">
        <v>34654</v>
      </c>
      <c r="C4008" s="5">
        <v>500</v>
      </c>
      <c r="D4008" s="5">
        <v>39</v>
      </c>
      <c r="E4008" s="5">
        <v>40.5</v>
      </c>
      <c r="F4008" t="s" s="2">
        <v>301</v>
      </c>
      <c r="G4008" t="s" s="2">
        <v>7477</v>
      </c>
      <c r="H4008" s="5">
        <v>350</v>
      </c>
      <c r="I4008" t="s" s="2">
        <v>3451</v>
      </c>
      <c r="J4008" t="s" s="2">
        <v>22</v>
      </c>
      <c r="K4008" t="s" s="2">
        <v>7487</v>
      </c>
      <c r="L4008" t="s" s="2">
        <v>1196</v>
      </c>
      <c r="M4008" s="5">
        <v>691837.1899999999</v>
      </c>
      <c r="N4008" s="5">
        <v>6165775.44</v>
      </c>
      <c r="O4008" t="s" s="2">
        <v>305</v>
      </c>
      <c r="P4008" t="s" s="2">
        <v>7488</v>
      </c>
      <c r="Q4008" t="s" s="2">
        <v>7478</v>
      </c>
      <c r="R4008" t="s" s="2">
        <f>_xlfn.IFERROR(INDEX('model_byCAP'!$D$2:$D$377,MATCH(Q4008,'model_byCAP'!$A$2:$A$377,0)),0)</f>
        <v>7472</v>
      </c>
    </row>
    <row r="4009" ht="15.35" customHeight="1">
      <c r="A4009" t="s" s="2">
        <v>7489</v>
      </c>
      <c r="B4009" s="4">
        <v>34654</v>
      </c>
      <c r="C4009" s="5">
        <v>500</v>
      </c>
      <c r="D4009" s="5">
        <v>39</v>
      </c>
      <c r="E4009" s="5">
        <v>40.5</v>
      </c>
      <c r="F4009" t="s" s="2">
        <v>301</v>
      </c>
      <c r="G4009" t="s" s="2">
        <v>7477</v>
      </c>
      <c r="H4009" s="5">
        <v>350</v>
      </c>
      <c r="I4009" t="s" s="2">
        <v>3451</v>
      </c>
      <c r="J4009" t="s" s="2">
        <v>22</v>
      </c>
      <c r="K4009" t="s" s="2">
        <v>7487</v>
      </c>
      <c r="L4009" t="s" s="2">
        <v>1196</v>
      </c>
      <c r="M4009" s="5">
        <v>691962.65</v>
      </c>
      <c r="N4009" s="5">
        <v>6165675.53</v>
      </c>
      <c r="O4009" t="s" s="2">
        <v>305</v>
      </c>
      <c r="P4009" t="s" s="2">
        <v>7488</v>
      </c>
      <c r="Q4009" t="s" s="2">
        <v>7478</v>
      </c>
      <c r="R4009" t="s" s="2">
        <f>_xlfn.IFERROR(INDEX('model_byCAP'!$D$2:$D$377,MATCH(Q4009,'model_byCAP'!$A$2:$A$377,0)),0)</f>
        <v>7472</v>
      </c>
    </row>
    <row r="4010" ht="15.35" customHeight="1">
      <c r="A4010" t="s" s="2">
        <v>7490</v>
      </c>
      <c r="B4010" s="4">
        <v>34654</v>
      </c>
      <c r="C4010" s="5">
        <v>500</v>
      </c>
      <c r="D4010" s="5">
        <v>39</v>
      </c>
      <c r="E4010" s="5">
        <v>40.5</v>
      </c>
      <c r="F4010" t="s" s="2">
        <v>301</v>
      </c>
      <c r="G4010" t="s" s="2">
        <v>7477</v>
      </c>
      <c r="H4010" s="5">
        <v>350</v>
      </c>
      <c r="I4010" t="s" s="2">
        <v>3451</v>
      </c>
      <c r="J4010" t="s" s="2">
        <v>22</v>
      </c>
      <c r="K4010" t="s" s="2">
        <v>7487</v>
      </c>
      <c r="L4010" t="s" s="2">
        <v>1196</v>
      </c>
      <c r="M4010" s="5">
        <v>692086.0699999999</v>
      </c>
      <c r="N4010" s="5">
        <v>6165576.63</v>
      </c>
      <c r="O4010" t="s" s="2">
        <v>305</v>
      </c>
      <c r="P4010" t="s" s="2">
        <v>7488</v>
      </c>
      <c r="Q4010" t="s" s="2">
        <v>7478</v>
      </c>
      <c r="R4010" t="s" s="2">
        <f>_xlfn.IFERROR(INDEX('model_byCAP'!$D$2:$D$377,MATCH(Q4010,'model_byCAP'!$A$2:$A$377,0)),0)</f>
        <v>7472</v>
      </c>
    </row>
    <row r="4011" ht="15.35" customHeight="1">
      <c r="A4011" t="s" s="2">
        <v>7491</v>
      </c>
      <c r="B4011" s="4">
        <v>34213</v>
      </c>
      <c r="C4011" s="5">
        <v>500</v>
      </c>
      <c r="D4011" s="5">
        <v>39</v>
      </c>
      <c r="E4011" s="5">
        <v>35</v>
      </c>
      <c r="F4011" t="s" s="2">
        <v>301</v>
      </c>
      <c r="G4011" t="s" s="2">
        <v>7477</v>
      </c>
      <c r="H4011" s="5">
        <v>360</v>
      </c>
      <c r="I4011" t="s" s="2">
        <v>463</v>
      </c>
      <c r="J4011" t="s" s="2">
        <v>22</v>
      </c>
      <c r="K4011" t="s" s="2">
        <v>1992</v>
      </c>
      <c r="L4011" s="5">
        <v>14</v>
      </c>
      <c r="M4011" s="5">
        <v>642793.24</v>
      </c>
      <c r="N4011" s="5">
        <v>6092329.09</v>
      </c>
      <c r="O4011" t="s" s="2">
        <v>305</v>
      </c>
      <c r="P4011" t="s" s="2">
        <v>7492</v>
      </c>
      <c r="Q4011" t="s" s="2">
        <v>7478</v>
      </c>
      <c r="R4011" t="s" s="2">
        <f>_xlfn.IFERROR(INDEX('model_byCAP'!$D$2:$D$377,MATCH(Q4011,'model_byCAP'!$A$2:$A$377,0)),0)</f>
        <v>7472</v>
      </c>
    </row>
    <row r="4012" ht="15.35" customHeight="1">
      <c r="A4012" t="s" s="2">
        <v>7493</v>
      </c>
      <c r="B4012" s="4">
        <v>34213</v>
      </c>
      <c r="C4012" s="5">
        <v>500</v>
      </c>
      <c r="D4012" s="5">
        <v>39</v>
      </c>
      <c r="E4012" s="5">
        <v>35</v>
      </c>
      <c r="F4012" t="s" s="2">
        <v>301</v>
      </c>
      <c r="G4012" t="s" s="2">
        <v>7477</v>
      </c>
      <c r="H4012" s="5">
        <v>360</v>
      </c>
      <c r="I4012" t="s" s="2">
        <v>463</v>
      </c>
      <c r="J4012" t="s" s="2">
        <v>22</v>
      </c>
      <c r="K4012" t="s" s="2">
        <v>1992</v>
      </c>
      <c r="L4012" s="5">
        <v>14</v>
      </c>
      <c r="M4012" s="5">
        <v>642994.11</v>
      </c>
      <c r="N4012" s="5">
        <v>6092331.07</v>
      </c>
      <c r="O4012" t="s" s="2">
        <v>305</v>
      </c>
      <c r="P4012" t="s" s="2">
        <v>7492</v>
      </c>
      <c r="Q4012" t="s" s="2">
        <v>7478</v>
      </c>
      <c r="R4012" t="s" s="2">
        <f>_xlfn.IFERROR(INDEX('model_byCAP'!$D$2:$D$377,MATCH(Q4012,'model_byCAP'!$A$2:$A$377,0)),0)</f>
        <v>7472</v>
      </c>
    </row>
    <row r="4013" ht="15.35" customHeight="1">
      <c r="A4013" t="s" s="2">
        <v>7494</v>
      </c>
      <c r="B4013" s="4">
        <v>35004</v>
      </c>
      <c r="C4013" s="5">
        <v>500</v>
      </c>
      <c r="D4013" s="5">
        <v>37</v>
      </c>
      <c r="E4013" s="5">
        <v>35</v>
      </c>
      <c r="F4013" t="s" s="2">
        <v>4716</v>
      </c>
      <c r="G4013" t="s" s="2">
        <v>7447</v>
      </c>
      <c r="H4013" s="5">
        <v>360</v>
      </c>
      <c r="I4013" t="s" s="2">
        <v>463</v>
      </c>
      <c r="J4013" t="s" s="2">
        <v>22</v>
      </c>
      <c r="K4013" t="s" s="2">
        <v>1992</v>
      </c>
      <c r="L4013" t="s" s="2">
        <v>481</v>
      </c>
      <c r="M4013" s="5">
        <v>634348.8100000001</v>
      </c>
      <c r="N4013" s="5">
        <v>6074134.14</v>
      </c>
      <c r="O4013" t="s" s="2">
        <v>305</v>
      </c>
      <c r="P4013" s="5">
        <v>182903</v>
      </c>
      <c r="Q4013" t="s" s="2">
        <v>7449</v>
      </c>
      <c r="R4013" t="s" s="2">
        <f>_xlfn.IFERROR(INDEX('model_byCAP'!$D$2:$D$377,MATCH(Q4013,'model_byCAP'!$A$2:$A$377,0)),0)</f>
        <v>7443</v>
      </c>
    </row>
    <row r="4014" ht="15.35" customHeight="1">
      <c r="A4014" t="s" s="2">
        <v>7495</v>
      </c>
      <c r="B4014" s="4">
        <v>35004</v>
      </c>
      <c r="C4014" s="5">
        <v>500</v>
      </c>
      <c r="D4014" s="5">
        <v>37</v>
      </c>
      <c r="E4014" s="5">
        <v>35</v>
      </c>
      <c r="F4014" t="s" s="2">
        <v>4716</v>
      </c>
      <c r="G4014" t="s" s="2">
        <v>7447</v>
      </c>
      <c r="H4014" s="5">
        <v>360</v>
      </c>
      <c r="I4014" t="s" s="2">
        <v>463</v>
      </c>
      <c r="J4014" t="s" s="2">
        <v>22</v>
      </c>
      <c r="K4014" t="s" s="2">
        <v>1992</v>
      </c>
      <c r="L4014" t="s" s="2">
        <v>481</v>
      </c>
      <c r="M4014" s="5">
        <v>634337.6899999999</v>
      </c>
      <c r="N4014" s="5">
        <v>6073994.45</v>
      </c>
      <c r="O4014" t="s" s="2">
        <v>305</v>
      </c>
      <c r="P4014" s="5">
        <v>182904</v>
      </c>
      <c r="Q4014" t="s" s="2">
        <v>7449</v>
      </c>
      <c r="R4014" t="s" s="2">
        <f>_xlfn.IFERROR(INDEX('model_byCAP'!$D$2:$D$377,MATCH(Q4014,'model_byCAP'!$A$2:$A$377,0)),0)</f>
        <v>7443</v>
      </c>
    </row>
    <row r="4015" ht="15.35" customHeight="1">
      <c r="A4015" t="s" s="2">
        <v>7496</v>
      </c>
      <c r="B4015" s="4">
        <v>35004</v>
      </c>
      <c r="C4015" s="5">
        <v>500</v>
      </c>
      <c r="D4015" s="5">
        <v>37</v>
      </c>
      <c r="E4015" s="5">
        <v>35</v>
      </c>
      <c r="F4015" t="s" s="2">
        <v>4716</v>
      </c>
      <c r="G4015" t="s" s="2">
        <v>7447</v>
      </c>
      <c r="H4015" s="5">
        <v>360</v>
      </c>
      <c r="I4015" t="s" s="2">
        <v>463</v>
      </c>
      <c r="J4015" t="s" s="2">
        <v>22</v>
      </c>
      <c r="K4015" t="s" s="2">
        <v>1992</v>
      </c>
      <c r="L4015" t="s" s="2">
        <v>995</v>
      </c>
      <c r="M4015" s="5">
        <v>634325.41</v>
      </c>
      <c r="N4015" s="5">
        <v>6073854.45</v>
      </c>
      <c r="O4015" t="s" s="2">
        <v>305</v>
      </c>
      <c r="P4015" s="5">
        <v>182905</v>
      </c>
      <c r="Q4015" t="s" s="2">
        <v>7449</v>
      </c>
      <c r="R4015" t="s" s="2">
        <f>_xlfn.IFERROR(INDEX('model_byCAP'!$D$2:$D$377,MATCH(Q4015,'model_byCAP'!$A$2:$A$377,0)),0)</f>
        <v>7443</v>
      </c>
    </row>
    <row r="4016" ht="15.35" customHeight="1">
      <c r="A4016" t="s" s="2">
        <v>7497</v>
      </c>
      <c r="B4016" s="4">
        <v>35217</v>
      </c>
      <c r="C4016" s="5">
        <v>500</v>
      </c>
      <c r="D4016" s="5">
        <v>37.3</v>
      </c>
      <c r="E4016" s="5">
        <v>35</v>
      </c>
      <c r="F4016" t="s" s="2">
        <v>4716</v>
      </c>
      <c r="G4016" t="s" s="2">
        <v>7447</v>
      </c>
      <c r="H4016" s="5">
        <v>360</v>
      </c>
      <c r="I4016" t="s" s="2">
        <v>463</v>
      </c>
      <c r="J4016" t="s" s="2">
        <v>22</v>
      </c>
      <c r="K4016" t="s" s="2">
        <v>1992</v>
      </c>
      <c r="L4016" t="s" s="2">
        <v>997</v>
      </c>
      <c r="M4016" s="5">
        <v>632520.88</v>
      </c>
      <c r="N4016" s="5">
        <v>6073405.04</v>
      </c>
      <c r="O4016" t="s" s="2">
        <v>305</v>
      </c>
      <c r="P4016" s="5">
        <v>184551</v>
      </c>
      <c r="Q4016" t="s" s="2">
        <v>7449</v>
      </c>
      <c r="R4016" t="s" s="2">
        <f>_xlfn.IFERROR(INDEX('model_byCAP'!$D$2:$D$377,MATCH(Q4016,'model_byCAP'!$A$2:$A$377,0)),0)</f>
        <v>7443</v>
      </c>
    </row>
    <row r="4017" ht="15.35" customHeight="1">
      <c r="A4017" t="s" s="2">
        <v>7498</v>
      </c>
      <c r="B4017" s="4">
        <v>35217</v>
      </c>
      <c r="C4017" s="5">
        <v>500</v>
      </c>
      <c r="D4017" s="5">
        <v>37.3</v>
      </c>
      <c r="E4017" s="5">
        <v>35</v>
      </c>
      <c r="F4017" t="s" s="2">
        <v>4716</v>
      </c>
      <c r="G4017" t="s" s="2">
        <v>7499</v>
      </c>
      <c r="H4017" s="5">
        <v>360</v>
      </c>
      <c r="I4017" t="s" s="2">
        <v>463</v>
      </c>
      <c r="J4017" t="s" s="2">
        <v>22</v>
      </c>
      <c r="K4017" t="s" s="2">
        <v>1992</v>
      </c>
      <c r="L4017" t="s" s="2">
        <v>997</v>
      </c>
      <c r="M4017" s="5">
        <v>632731.28</v>
      </c>
      <c r="N4017" s="5">
        <v>6073417.59</v>
      </c>
      <c r="O4017" t="s" s="2">
        <v>305</v>
      </c>
      <c r="P4017" s="5">
        <v>184554</v>
      </c>
      <c r="Q4017" t="s" s="2">
        <v>7500</v>
      </c>
      <c r="R4017" t="s" s="2">
        <f>_xlfn.IFERROR(INDEX('model_byCAP'!$D$2:$D$377,MATCH(Q4017,'model_byCAP'!$A$2:$A$377,0)),0)</f>
        <v>7443</v>
      </c>
    </row>
    <row r="4018" ht="15.35" customHeight="1">
      <c r="A4018" t="s" s="2">
        <v>7501</v>
      </c>
      <c r="B4018" s="4">
        <v>35217</v>
      </c>
      <c r="C4018" s="5">
        <v>500</v>
      </c>
      <c r="D4018" s="5">
        <v>37.3</v>
      </c>
      <c r="E4018" s="5">
        <v>35</v>
      </c>
      <c r="F4018" t="s" s="2">
        <v>4716</v>
      </c>
      <c r="G4018" t="s" s="2">
        <v>7499</v>
      </c>
      <c r="H4018" s="5">
        <v>360</v>
      </c>
      <c r="I4018" t="s" s="2">
        <v>463</v>
      </c>
      <c r="J4018" t="s" s="2">
        <v>22</v>
      </c>
      <c r="K4018" t="s" s="2">
        <v>1992</v>
      </c>
      <c r="L4018" t="s" s="2">
        <v>997</v>
      </c>
      <c r="M4018" s="5">
        <v>632749.11</v>
      </c>
      <c r="N4018" s="5">
        <v>6073272.96</v>
      </c>
      <c r="O4018" t="s" s="2">
        <v>305</v>
      </c>
      <c r="P4018" s="5">
        <v>184557</v>
      </c>
      <c r="Q4018" t="s" s="2">
        <v>7500</v>
      </c>
      <c r="R4018" t="s" s="2">
        <f>_xlfn.IFERROR(INDEX('model_byCAP'!$D$2:$D$377,MATCH(Q4018,'model_byCAP'!$A$2:$A$377,0)),0)</f>
        <v>7443</v>
      </c>
    </row>
    <row r="4019" ht="15.35" customHeight="1">
      <c r="A4019" t="s" s="2">
        <v>7502</v>
      </c>
      <c r="B4019" s="4">
        <v>35608</v>
      </c>
      <c r="C4019" s="5">
        <v>500</v>
      </c>
      <c r="D4019" s="5">
        <v>38</v>
      </c>
      <c r="E4019" s="5">
        <v>45</v>
      </c>
      <c r="F4019" t="s" s="2">
        <v>301</v>
      </c>
      <c r="G4019" t="s" s="2">
        <v>7470</v>
      </c>
      <c r="H4019" s="5">
        <v>360</v>
      </c>
      <c r="I4019" t="s" s="2">
        <v>463</v>
      </c>
      <c r="J4019" t="s" s="2">
        <v>22</v>
      </c>
      <c r="K4019" t="s" s="2">
        <v>6082</v>
      </c>
      <c r="L4019" s="5">
        <v>6</v>
      </c>
      <c r="M4019" s="5">
        <v>659289.9</v>
      </c>
      <c r="N4019" s="5">
        <v>6058479.04</v>
      </c>
      <c r="O4019" t="s" s="2">
        <v>305</v>
      </c>
      <c r="P4019" s="5">
        <v>2061091</v>
      </c>
      <c r="Q4019" t="s" s="2">
        <v>7471</v>
      </c>
      <c r="R4019" t="s" s="2">
        <f>_xlfn.IFERROR(INDEX('model_byCAP'!$D$2:$D$377,MATCH(Q4019,'model_byCAP'!$A$2:$A$377,0)),0)</f>
        <v>7472</v>
      </c>
    </row>
    <row r="4020" ht="15.35" customHeight="1">
      <c r="A4020" t="s" s="2">
        <v>7503</v>
      </c>
      <c r="B4020" s="4">
        <v>34295</v>
      </c>
      <c r="C4020" s="5">
        <v>500</v>
      </c>
      <c r="D4020" s="5">
        <v>38</v>
      </c>
      <c r="E4020" s="5">
        <v>40</v>
      </c>
      <c r="F4020" t="s" s="2">
        <v>301</v>
      </c>
      <c r="G4020" t="s" s="2">
        <v>7470</v>
      </c>
      <c r="H4020" s="5">
        <v>360</v>
      </c>
      <c r="I4020" t="s" s="2">
        <v>463</v>
      </c>
      <c r="J4020" t="s" s="2">
        <v>22</v>
      </c>
      <c r="K4020" t="s" s="2">
        <v>7504</v>
      </c>
      <c r="L4020" t="s" s="2">
        <v>492</v>
      </c>
      <c r="M4020" s="5">
        <v>660985.7</v>
      </c>
      <c r="N4020" s="5">
        <v>6060101.26</v>
      </c>
      <c r="O4020" t="s" s="2">
        <v>305</v>
      </c>
      <c r="P4020" s="5">
        <v>2061084</v>
      </c>
      <c r="Q4020" t="s" s="2">
        <v>7471</v>
      </c>
      <c r="R4020" t="s" s="2">
        <f>_xlfn.IFERROR(INDEX('model_byCAP'!$D$2:$D$377,MATCH(Q4020,'model_byCAP'!$A$2:$A$377,0)),0)</f>
        <v>7472</v>
      </c>
    </row>
    <row r="4021" ht="15.35" customHeight="1">
      <c r="A4021" t="s" s="2">
        <v>7505</v>
      </c>
      <c r="B4021" s="4">
        <v>34221</v>
      </c>
      <c r="C4021" s="5">
        <v>500</v>
      </c>
      <c r="D4021" s="5">
        <v>39</v>
      </c>
      <c r="E4021" s="5">
        <v>35</v>
      </c>
      <c r="F4021" t="s" s="2">
        <v>301</v>
      </c>
      <c r="G4021" t="s" s="2">
        <v>7470</v>
      </c>
      <c r="H4021" s="5">
        <v>360</v>
      </c>
      <c r="I4021" t="s" s="2">
        <v>463</v>
      </c>
      <c r="J4021" t="s" s="2">
        <v>22</v>
      </c>
      <c r="K4021" t="s" s="2">
        <v>6182</v>
      </c>
      <c r="L4021" t="s" s="2">
        <v>887</v>
      </c>
      <c r="M4021" s="5">
        <v>642593.4</v>
      </c>
      <c r="N4021" s="5">
        <v>6092326.64</v>
      </c>
      <c r="O4021" t="s" s="2">
        <v>305</v>
      </c>
      <c r="P4021" s="5">
        <v>180875</v>
      </c>
      <c r="Q4021" t="s" s="2">
        <v>7471</v>
      </c>
      <c r="R4021" t="s" s="2">
        <f>_xlfn.IFERROR(INDEX('model_byCAP'!$D$2:$D$377,MATCH(Q4021,'model_byCAP'!$A$2:$A$377,0)),0)</f>
        <v>7472</v>
      </c>
    </row>
    <row r="4022" ht="15.35" customHeight="1">
      <c r="A4022" t="s" s="2">
        <v>7506</v>
      </c>
      <c r="B4022" s="4">
        <v>34886</v>
      </c>
      <c r="C4022" s="5">
        <v>500</v>
      </c>
      <c r="D4022" s="5">
        <v>41</v>
      </c>
      <c r="E4022" s="5">
        <v>35</v>
      </c>
      <c r="F4022" t="s" s="2">
        <v>1989</v>
      </c>
      <c r="G4022" t="s" s="2">
        <v>7507</v>
      </c>
      <c r="H4022" s="5">
        <v>360</v>
      </c>
      <c r="I4022" t="s" s="2">
        <v>463</v>
      </c>
      <c r="J4022" t="s" s="2">
        <v>22</v>
      </c>
      <c r="K4022" t="s" s="2">
        <v>7508</v>
      </c>
      <c r="L4022" t="s" s="2">
        <v>7509</v>
      </c>
      <c r="M4022" s="5">
        <v>633463.04</v>
      </c>
      <c r="N4022" s="5">
        <v>6081126.76</v>
      </c>
      <c r="O4022" t="s" s="2">
        <v>305</v>
      </c>
      <c r="P4022" s="5">
        <v>182769</v>
      </c>
      <c r="Q4022" t="s" s="2">
        <v>7510</v>
      </c>
      <c r="R4022" t="s" s="2">
        <f>_xlfn.IFERROR(INDEX('model_byCAP'!$D$2:$D$377,MATCH(Q4022,'model_byCAP'!$A$2:$A$377,0)),0)</f>
        <v>7511</v>
      </c>
    </row>
    <row r="4023" ht="15.35" customHeight="1">
      <c r="A4023" t="s" s="2">
        <v>7512</v>
      </c>
      <c r="B4023" s="4">
        <v>35312</v>
      </c>
      <c r="C4023" s="5">
        <v>500</v>
      </c>
      <c r="D4023" s="5">
        <v>37</v>
      </c>
      <c r="E4023" s="5">
        <v>35</v>
      </c>
      <c r="F4023" t="s" s="2">
        <v>4716</v>
      </c>
      <c r="G4023" t="s" s="2">
        <v>7447</v>
      </c>
      <c r="H4023" s="5">
        <v>360</v>
      </c>
      <c r="I4023" t="s" s="2">
        <v>463</v>
      </c>
      <c r="J4023" t="s" s="2">
        <v>22</v>
      </c>
      <c r="K4023" t="s" s="2">
        <v>7513</v>
      </c>
      <c r="L4023" t="s" s="2">
        <v>1359</v>
      </c>
      <c r="M4023" s="5">
        <v>641279.51</v>
      </c>
      <c r="N4023" s="5">
        <v>6066812.44</v>
      </c>
      <c r="O4023" t="s" s="2">
        <v>305</v>
      </c>
      <c r="P4023" s="5">
        <v>183667</v>
      </c>
      <c r="Q4023" t="s" s="2">
        <v>7449</v>
      </c>
      <c r="R4023" t="s" s="2">
        <f>_xlfn.IFERROR(INDEX('model_byCAP'!$D$2:$D$377,MATCH(Q4023,'model_byCAP'!$A$2:$A$377,0)),0)</f>
        <v>7443</v>
      </c>
    </row>
    <row r="4024" ht="15.35" customHeight="1">
      <c r="A4024" t="s" s="2">
        <v>7514</v>
      </c>
      <c r="B4024" s="4">
        <v>35419</v>
      </c>
      <c r="C4024" s="5">
        <v>500</v>
      </c>
      <c r="D4024" s="5">
        <v>37.3</v>
      </c>
      <c r="E4024" s="5">
        <v>35</v>
      </c>
      <c r="F4024" t="s" s="2">
        <v>4716</v>
      </c>
      <c r="G4024" t="s" s="2">
        <v>7447</v>
      </c>
      <c r="H4024" s="5">
        <v>360</v>
      </c>
      <c r="I4024" t="s" s="2">
        <v>463</v>
      </c>
      <c r="J4024" t="s" s="2">
        <v>22</v>
      </c>
      <c r="K4024" t="s" s="2">
        <v>7515</v>
      </c>
      <c r="L4024" t="s" s="2">
        <v>582</v>
      </c>
      <c r="M4024" s="5">
        <v>632540.28</v>
      </c>
      <c r="N4024" s="5">
        <v>6073260.15</v>
      </c>
      <c r="O4024" t="s" s="2">
        <v>305</v>
      </c>
      <c r="P4024" s="5">
        <v>184544</v>
      </c>
      <c r="Q4024" t="s" s="2">
        <v>7449</v>
      </c>
      <c r="R4024" t="s" s="2">
        <f>_xlfn.IFERROR(INDEX('model_byCAP'!$D$2:$D$377,MATCH(Q4024,'model_byCAP'!$A$2:$A$377,0)),0)</f>
        <v>7443</v>
      </c>
    </row>
    <row r="4025" ht="15.35" customHeight="1">
      <c r="A4025" t="s" s="2">
        <v>7516</v>
      </c>
      <c r="B4025" s="4">
        <v>34696</v>
      </c>
      <c r="C4025" s="5">
        <v>500</v>
      </c>
      <c r="D4025" s="5">
        <v>39</v>
      </c>
      <c r="E4025" s="5">
        <v>35</v>
      </c>
      <c r="F4025" t="s" s="2">
        <v>301</v>
      </c>
      <c r="G4025" t="s" s="2">
        <v>7470</v>
      </c>
      <c r="H4025" s="5">
        <v>360</v>
      </c>
      <c r="I4025" t="s" s="2">
        <v>463</v>
      </c>
      <c r="J4025" t="s" s="2">
        <v>22</v>
      </c>
      <c r="K4025" t="s" s="2">
        <v>6127</v>
      </c>
      <c r="L4025" t="s" s="2">
        <v>518</v>
      </c>
      <c r="M4025" s="5">
        <v>638001.58</v>
      </c>
      <c r="N4025" s="5">
        <v>6091588.62</v>
      </c>
      <c r="O4025" t="s" s="2">
        <v>305</v>
      </c>
      <c r="P4025" s="5">
        <v>182319</v>
      </c>
      <c r="Q4025" t="s" s="2">
        <v>7471</v>
      </c>
      <c r="R4025" t="s" s="2">
        <f>_xlfn.IFERROR(INDEX('model_byCAP'!$D$2:$D$377,MATCH(Q4025,'model_byCAP'!$A$2:$A$377,0)),0)</f>
        <v>7472</v>
      </c>
    </row>
    <row r="4026" ht="15.35" customHeight="1">
      <c r="A4026" t="s" s="2">
        <v>7517</v>
      </c>
      <c r="B4026" s="4">
        <v>34547</v>
      </c>
      <c r="C4026" s="5">
        <v>500</v>
      </c>
      <c r="D4026" s="5">
        <v>37</v>
      </c>
      <c r="E4026" s="5">
        <v>35</v>
      </c>
      <c r="F4026" t="s" s="2">
        <v>42</v>
      </c>
      <c r="G4026" t="s" s="2">
        <v>42</v>
      </c>
      <c r="H4026" s="5">
        <v>370</v>
      </c>
      <c r="I4026" t="s" s="2">
        <v>520</v>
      </c>
      <c r="J4026" t="s" s="2">
        <v>22</v>
      </c>
      <c r="K4026" t="s" s="2">
        <v>1992</v>
      </c>
      <c r="L4026" t="s" s="2">
        <v>431</v>
      </c>
      <c r="M4026" s="5">
        <v>658719.37</v>
      </c>
      <c r="N4026" s="5">
        <v>6127967.85</v>
      </c>
      <c r="O4026" t="s" s="2">
        <v>305</v>
      </c>
      <c r="P4026" t="s" s="2">
        <v>42</v>
      </c>
      <c r="Q4026" t="s" s="2">
        <v>43</v>
      </c>
      <c r="R4026" s="5">
        <f>_xlfn.IFERROR(INDEX('model_byCAP'!$D$2:$D$377,MATCH(Q4026,'model_byCAP'!$A$2:$A$377,0)),0)</f>
        <v>0</v>
      </c>
    </row>
    <row r="4027" ht="15.35" customHeight="1">
      <c r="A4027" t="s" s="2">
        <v>7518</v>
      </c>
      <c r="B4027" s="4">
        <v>34547</v>
      </c>
      <c r="C4027" s="5">
        <v>500</v>
      </c>
      <c r="D4027" s="5">
        <v>37</v>
      </c>
      <c r="E4027" s="5">
        <v>35</v>
      </c>
      <c r="F4027" t="s" s="2">
        <v>42</v>
      </c>
      <c r="G4027" t="s" s="2">
        <v>42</v>
      </c>
      <c r="H4027" s="5">
        <v>370</v>
      </c>
      <c r="I4027" t="s" s="2">
        <v>520</v>
      </c>
      <c r="J4027" t="s" s="2">
        <v>22</v>
      </c>
      <c r="K4027" t="s" s="2">
        <v>1992</v>
      </c>
      <c r="L4027" t="s" s="2">
        <v>431</v>
      </c>
      <c r="M4027" s="5">
        <v>658752.36</v>
      </c>
      <c r="N4027" s="5">
        <v>6127796.87</v>
      </c>
      <c r="O4027" t="s" s="2">
        <v>305</v>
      </c>
      <c r="P4027" t="s" s="2">
        <v>42</v>
      </c>
      <c r="Q4027" t="s" s="2">
        <v>43</v>
      </c>
      <c r="R4027" s="5">
        <f>_xlfn.IFERROR(INDEX('model_byCAP'!$D$2:$D$377,MATCH(Q4027,'model_byCAP'!$A$2:$A$377,0)),0)</f>
        <v>0</v>
      </c>
    </row>
    <row r="4028" ht="15.35" customHeight="1">
      <c r="A4028" t="s" s="2">
        <v>7519</v>
      </c>
      <c r="B4028" s="4">
        <v>34474</v>
      </c>
      <c r="C4028" s="5">
        <v>500</v>
      </c>
      <c r="D4028" s="5">
        <v>37</v>
      </c>
      <c r="E4028" s="5">
        <v>32</v>
      </c>
      <c r="F4028" t="s" s="2">
        <v>42</v>
      </c>
      <c r="G4028" t="s" s="2">
        <v>42</v>
      </c>
      <c r="H4028" s="5">
        <v>370</v>
      </c>
      <c r="I4028" t="s" s="2">
        <v>520</v>
      </c>
      <c r="J4028" t="s" s="2">
        <v>22</v>
      </c>
      <c r="K4028" t="s" s="2">
        <v>7520</v>
      </c>
      <c r="L4028" t="s" s="2">
        <v>431</v>
      </c>
      <c r="M4028" s="5">
        <v>658686.05</v>
      </c>
      <c r="N4028" s="5">
        <v>6128139.57</v>
      </c>
      <c r="O4028" t="s" s="2">
        <v>305</v>
      </c>
      <c r="P4028" s="5">
        <v>181151</v>
      </c>
      <c r="Q4028" t="s" s="2">
        <v>43</v>
      </c>
      <c r="R4028" s="5">
        <f>_xlfn.IFERROR(INDEX('model_byCAP'!$D$2:$D$377,MATCH(Q4028,'model_byCAP'!$A$2:$A$377,0)),0)</f>
        <v>0</v>
      </c>
    </row>
    <row r="4029" ht="15.35" customHeight="1">
      <c r="A4029" t="s" s="2">
        <v>7521</v>
      </c>
      <c r="B4029" s="4">
        <v>34724</v>
      </c>
      <c r="C4029" s="5">
        <v>500</v>
      </c>
      <c r="D4029" s="5">
        <v>37</v>
      </c>
      <c r="E4029" s="5">
        <v>35</v>
      </c>
      <c r="F4029" t="s" s="2">
        <v>42</v>
      </c>
      <c r="G4029" t="s" s="2">
        <v>42</v>
      </c>
      <c r="H4029" s="5">
        <v>370</v>
      </c>
      <c r="I4029" t="s" s="2">
        <v>520</v>
      </c>
      <c r="J4029" t="s" s="2">
        <v>22</v>
      </c>
      <c r="K4029" t="s" s="2">
        <v>7522</v>
      </c>
      <c r="L4029" t="s" s="2">
        <v>1105</v>
      </c>
      <c r="M4029" s="5">
        <v>674137.3199999999</v>
      </c>
      <c r="N4029" s="5">
        <v>6115776.53</v>
      </c>
      <c r="O4029" t="s" s="2">
        <v>305</v>
      </c>
      <c r="P4029" s="5">
        <v>182395</v>
      </c>
      <c r="Q4029" t="s" s="2">
        <v>43</v>
      </c>
      <c r="R4029" s="5">
        <f>_xlfn.IFERROR(INDEX('model_byCAP'!$D$2:$D$377,MATCH(Q4029,'model_byCAP'!$A$2:$A$377,0)),0)</f>
        <v>0</v>
      </c>
    </row>
    <row r="4030" ht="15.35" customHeight="1">
      <c r="A4030" t="s" s="2">
        <v>7523</v>
      </c>
      <c r="B4030" s="4">
        <v>35384</v>
      </c>
      <c r="C4030" s="5">
        <v>500</v>
      </c>
      <c r="D4030" s="5">
        <v>37</v>
      </c>
      <c r="E4030" s="5">
        <v>35</v>
      </c>
      <c r="F4030" t="s" s="2">
        <v>42</v>
      </c>
      <c r="G4030" t="s" s="2">
        <v>42</v>
      </c>
      <c r="H4030" s="5">
        <v>370</v>
      </c>
      <c r="I4030" t="s" s="2">
        <v>520</v>
      </c>
      <c r="J4030" t="s" s="2">
        <v>22</v>
      </c>
      <c r="K4030" t="s" s="2">
        <v>7524</v>
      </c>
      <c r="L4030" t="s" s="2">
        <v>1196</v>
      </c>
      <c r="M4030" s="5">
        <v>661468.9300000001</v>
      </c>
      <c r="N4030" s="5">
        <v>6127723.77</v>
      </c>
      <c r="O4030" t="s" s="2">
        <v>305</v>
      </c>
      <c r="P4030" s="5">
        <v>184144</v>
      </c>
      <c r="Q4030" t="s" s="2">
        <v>43</v>
      </c>
      <c r="R4030" s="5">
        <f>_xlfn.IFERROR(INDEX('model_byCAP'!$D$2:$D$377,MATCH(Q4030,'model_byCAP'!$A$2:$A$377,0)),0)</f>
        <v>0</v>
      </c>
    </row>
    <row r="4031" ht="15.35" customHeight="1">
      <c r="A4031" t="s" s="2">
        <v>7525</v>
      </c>
      <c r="B4031" s="4">
        <v>35384</v>
      </c>
      <c r="C4031" s="5">
        <v>500</v>
      </c>
      <c r="D4031" s="5">
        <v>37.5</v>
      </c>
      <c r="E4031" s="5">
        <v>35</v>
      </c>
      <c r="F4031" t="s" s="2">
        <v>42</v>
      </c>
      <c r="G4031" t="s" s="2">
        <v>42</v>
      </c>
      <c r="H4031" s="5">
        <v>370</v>
      </c>
      <c r="I4031" t="s" s="2">
        <v>520</v>
      </c>
      <c r="J4031" t="s" s="2">
        <v>22</v>
      </c>
      <c r="K4031" t="s" s="2">
        <v>7524</v>
      </c>
      <c r="L4031" t="s" s="2">
        <v>7526</v>
      </c>
      <c r="M4031" s="5">
        <v>661480.4399999999</v>
      </c>
      <c r="N4031" s="5">
        <v>6127478.15</v>
      </c>
      <c r="O4031" t="s" s="2">
        <v>305</v>
      </c>
      <c r="P4031" s="5">
        <v>184146</v>
      </c>
      <c r="Q4031" t="s" s="2">
        <v>43</v>
      </c>
      <c r="R4031" s="5">
        <f>_xlfn.IFERROR(INDEX('model_byCAP'!$D$2:$D$377,MATCH(Q4031,'model_byCAP'!$A$2:$A$377,0)),0)</f>
        <v>0</v>
      </c>
    </row>
    <row r="4032" ht="15.35" customHeight="1">
      <c r="A4032" t="s" s="2">
        <v>7527</v>
      </c>
      <c r="B4032" s="4">
        <v>35384</v>
      </c>
      <c r="C4032" s="5">
        <v>500</v>
      </c>
      <c r="D4032" s="5">
        <v>37.3</v>
      </c>
      <c r="E4032" s="5">
        <v>35</v>
      </c>
      <c r="F4032" t="s" s="2">
        <v>42</v>
      </c>
      <c r="G4032" t="s" s="2">
        <v>42</v>
      </c>
      <c r="H4032" s="5">
        <v>370</v>
      </c>
      <c r="I4032" t="s" s="2">
        <v>520</v>
      </c>
      <c r="J4032" t="s" s="2">
        <v>22</v>
      </c>
      <c r="K4032" t="s" s="2">
        <v>7524</v>
      </c>
      <c r="L4032" t="s" s="2">
        <v>7528</v>
      </c>
      <c r="M4032" s="5">
        <v>661474.87</v>
      </c>
      <c r="N4032" s="5">
        <v>6127601.47</v>
      </c>
      <c r="O4032" t="s" s="2">
        <v>305</v>
      </c>
      <c r="P4032" s="5">
        <v>184147</v>
      </c>
      <c r="Q4032" t="s" s="2">
        <v>43</v>
      </c>
      <c r="R4032" s="5">
        <f>_xlfn.IFERROR(INDEX('model_byCAP'!$D$2:$D$377,MATCH(Q4032,'model_byCAP'!$A$2:$A$377,0)),0)</f>
        <v>0</v>
      </c>
    </row>
    <row r="4033" ht="15.35" customHeight="1">
      <c r="A4033" t="s" s="2">
        <v>7529</v>
      </c>
      <c r="B4033" s="4">
        <v>34724</v>
      </c>
      <c r="C4033" s="5">
        <v>500</v>
      </c>
      <c r="D4033" s="5">
        <v>37</v>
      </c>
      <c r="E4033" s="5">
        <v>35</v>
      </c>
      <c r="F4033" t="s" s="2">
        <v>42</v>
      </c>
      <c r="G4033" t="s" s="2">
        <v>42</v>
      </c>
      <c r="H4033" s="5">
        <v>370</v>
      </c>
      <c r="I4033" t="s" s="2">
        <v>520</v>
      </c>
      <c r="J4033" t="s" s="2">
        <v>22</v>
      </c>
      <c r="K4033" t="s" s="2">
        <v>7522</v>
      </c>
      <c r="L4033" t="s" s="2">
        <v>1105</v>
      </c>
      <c r="M4033" s="5">
        <v>674287.4399999999</v>
      </c>
      <c r="N4033" s="5">
        <v>6115771.57</v>
      </c>
      <c r="O4033" t="s" s="2">
        <v>305</v>
      </c>
      <c r="P4033" s="5">
        <v>182396</v>
      </c>
      <c r="Q4033" t="s" s="2">
        <v>43</v>
      </c>
      <c r="R4033" s="5">
        <f>_xlfn.IFERROR(INDEX('model_byCAP'!$D$2:$D$377,MATCH(Q4033,'model_byCAP'!$A$2:$A$377,0)),0)</f>
        <v>0</v>
      </c>
    </row>
    <row r="4034" ht="15.35" customHeight="1">
      <c r="A4034" t="s" s="2">
        <v>7530</v>
      </c>
      <c r="B4034" s="4">
        <v>34724</v>
      </c>
      <c r="C4034" s="5">
        <v>500</v>
      </c>
      <c r="D4034" s="5">
        <v>37</v>
      </c>
      <c r="E4034" s="5">
        <v>35</v>
      </c>
      <c r="F4034" t="s" s="2">
        <v>42</v>
      </c>
      <c r="G4034" t="s" s="2">
        <v>42</v>
      </c>
      <c r="H4034" s="5">
        <v>370</v>
      </c>
      <c r="I4034" t="s" s="2">
        <v>520</v>
      </c>
      <c r="J4034" t="s" s="2">
        <v>22</v>
      </c>
      <c r="K4034" t="s" s="2">
        <v>7522</v>
      </c>
      <c r="L4034" t="s" s="2">
        <v>1105</v>
      </c>
      <c r="M4034" s="5">
        <v>674437.55</v>
      </c>
      <c r="N4034" s="5">
        <v>6115766.06</v>
      </c>
      <c r="O4034" t="s" s="2">
        <v>305</v>
      </c>
      <c r="P4034" s="5">
        <v>182397</v>
      </c>
      <c r="Q4034" t="s" s="2">
        <v>43</v>
      </c>
      <c r="R4034" s="5">
        <f>_xlfn.IFERROR(INDEX('model_byCAP'!$D$2:$D$377,MATCH(Q4034,'model_byCAP'!$A$2:$A$377,0)),0)</f>
        <v>0</v>
      </c>
    </row>
    <row r="4035" ht="15.35" customHeight="1">
      <c r="A4035" t="s" s="2">
        <v>7531</v>
      </c>
      <c r="B4035" s="4">
        <v>33878</v>
      </c>
      <c r="C4035" s="5">
        <v>500</v>
      </c>
      <c r="D4035" s="5">
        <v>37</v>
      </c>
      <c r="E4035" s="5">
        <v>35</v>
      </c>
      <c r="F4035" t="s" s="2">
        <v>4716</v>
      </c>
      <c r="G4035" t="s" s="2">
        <v>7447</v>
      </c>
      <c r="H4035" s="5">
        <v>376</v>
      </c>
      <c r="I4035" t="s" s="2">
        <v>1991</v>
      </c>
      <c r="J4035" t="s" s="2">
        <v>22</v>
      </c>
      <c r="K4035" t="s" s="2">
        <v>1992</v>
      </c>
      <c r="L4035" t="s" s="2">
        <v>585</v>
      </c>
      <c r="M4035" s="5">
        <v>689977.23</v>
      </c>
      <c r="N4035" s="5">
        <v>6068071.23</v>
      </c>
      <c r="O4035" t="s" s="2">
        <v>305</v>
      </c>
      <c r="P4035" s="5">
        <v>60607444</v>
      </c>
      <c r="Q4035" t="s" s="2">
        <v>7449</v>
      </c>
      <c r="R4035" t="s" s="2">
        <f>_xlfn.IFERROR(INDEX('model_byCAP'!$D$2:$D$377,MATCH(Q4035,'model_byCAP'!$A$2:$A$377,0)),0)</f>
        <v>7443</v>
      </c>
    </row>
    <row r="4036" ht="15.35" customHeight="1">
      <c r="A4036" t="s" s="2">
        <v>7532</v>
      </c>
      <c r="B4036" s="4">
        <v>34516</v>
      </c>
      <c r="C4036" s="5">
        <v>500</v>
      </c>
      <c r="D4036" s="5">
        <v>37</v>
      </c>
      <c r="E4036" s="5">
        <v>35</v>
      </c>
      <c r="F4036" t="s" s="2">
        <v>4716</v>
      </c>
      <c r="G4036" t="s" s="2">
        <v>7447</v>
      </c>
      <c r="H4036" s="5">
        <v>376</v>
      </c>
      <c r="I4036" t="s" s="2">
        <v>1991</v>
      </c>
      <c r="J4036" t="s" s="2">
        <v>22</v>
      </c>
      <c r="K4036" t="s" s="2">
        <v>1992</v>
      </c>
      <c r="L4036" t="s" s="2">
        <v>585</v>
      </c>
      <c r="M4036" s="5">
        <v>689884.48</v>
      </c>
      <c r="N4036" s="5">
        <v>6067714.93</v>
      </c>
      <c r="O4036" t="s" s="2">
        <v>305</v>
      </c>
      <c r="P4036" s="5">
        <v>182768</v>
      </c>
      <c r="Q4036" t="s" s="2">
        <v>7449</v>
      </c>
      <c r="R4036" t="s" s="2">
        <f>_xlfn.IFERROR(INDEX('model_byCAP'!$D$2:$D$377,MATCH(Q4036,'model_byCAP'!$A$2:$A$377,0)),0)</f>
        <v>7443</v>
      </c>
    </row>
    <row r="4037" ht="15.35" customHeight="1">
      <c r="A4037" t="s" s="2">
        <v>7533</v>
      </c>
      <c r="B4037" s="4">
        <v>35065</v>
      </c>
      <c r="C4037" s="5">
        <v>500</v>
      </c>
      <c r="D4037" s="5">
        <v>39</v>
      </c>
      <c r="E4037" s="5">
        <v>40.5</v>
      </c>
      <c r="F4037" t="s" s="2">
        <v>301</v>
      </c>
      <c r="G4037" t="s" s="2">
        <v>7477</v>
      </c>
      <c r="H4037" s="5">
        <v>376</v>
      </c>
      <c r="I4037" t="s" s="2">
        <v>1991</v>
      </c>
      <c r="J4037" t="s" s="2">
        <v>22</v>
      </c>
      <c r="K4037" t="s" s="2">
        <v>1992</v>
      </c>
      <c r="L4037" s="5">
        <v>9</v>
      </c>
      <c r="M4037" s="5">
        <v>669782.12</v>
      </c>
      <c r="N4037" s="5">
        <v>6081116.64</v>
      </c>
      <c r="O4037" t="s" s="2">
        <v>305</v>
      </c>
      <c r="P4037" s="5">
        <v>183277</v>
      </c>
      <c r="Q4037" t="s" s="2">
        <v>7478</v>
      </c>
      <c r="R4037" t="s" s="2">
        <f>_xlfn.IFERROR(INDEX('model_byCAP'!$D$2:$D$377,MATCH(Q4037,'model_byCAP'!$A$2:$A$377,0)),0)</f>
        <v>7472</v>
      </c>
    </row>
    <row r="4038" ht="15.35" customHeight="1">
      <c r="A4038" t="s" s="2">
        <v>7534</v>
      </c>
      <c r="B4038" s="4">
        <v>35065</v>
      </c>
      <c r="C4038" s="5">
        <v>500</v>
      </c>
      <c r="D4038" s="5">
        <v>39</v>
      </c>
      <c r="E4038" s="5">
        <v>40.5</v>
      </c>
      <c r="F4038" t="s" s="2">
        <v>301</v>
      </c>
      <c r="G4038" t="s" s="2">
        <v>7477</v>
      </c>
      <c r="H4038" s="5">
        <v>376</v>
      </c>
      <c r="I4038" t="s" s="2">
        <v>1991</v>
      </c>
      <c r="J4038" t="s" s="2">
        <v>22</v>
      </c>
      <c r="K4038" t="s" s="2">
        <v>1992</v>
      </c>
      <c r="L4038" t="s" s="2">
        <v>5062</v>
      </c>
      <c r="M4038" s="5">
        <v>669765.05</v>
      </c>
      <c r="N4038" s="5">
        <v>6080927.37</v>
      </c>
      <c r="O4038" t="s" s="2">
        <v>305</v>
      </c>
      <c r="P4038" s="5">
        <v>183276</v>
      </c>
      <c r="Q4038" t="s" s="2">
        <v>7478</v>
      </c>
      <c r="R4038" t="s" s="2">
        <f>_xlfn.IFERROR(INDEX('model_byCAP'!$D$2:$D$377,MATCH(Q4038,'model_byCAP'!$A$2:$A$377,0)),0)</f>
        <v>7472</v>
      </c>
    </row>
    <row r="4039" ht="15.35" customHeight="1">
      <c r="A4039" t="s" s="2">
        <v>7535</v>
      </c>
      <c r="B4039" s="4">
        <v>34690</v>
      </c>
      <c r="C4039" s="5">
        <v>500</v>
      </c>
      <c r="D4039" s="5">
        <v>39</v>
      </c>
      <c r="E4039" s="5">
        <v>40.5</v>
      </c>
      <c r="F4039" t="s" s="2">
        <v>301</v>
      </c>
      <c r="G4039" t="s" s="2">
        <v>7470</v>
      </c>
      <c r="H4039" s="5">
        <v>376</v>
      </c>
      <c r="I4039" t="s" s="2">
        <v>1991</v>
      </c>
      <c r="J4039" t="s" s="2">
        <v>22</v>
      </c>
      <c r="K4039" t="s" s="2">
        <v>5906</v>
      </c>
      <c r="L4039" t="s" s="2">
        <v>7536</v>
      </c>
      <c r="M4039" s="5">
        <v>669799.13</v>
      </c>
      <c r="N4039" s="5">
        <v>6081306.51</v>
      </c>
      <c r="O4039" t="s" s="2">
        <v>305</v>
      </c>
      <c r="P4039" s="5">
        <v>182387</v>
      </c>
      <c r="Q4039" t="s" s="2">
        <v>7471</v>
      </c>
      <c r="R4039" t="s" s="2">
        <f>_xlfn.IFERROR(INDEX('model_byCAP'!$D$2:$D$377,MATCH(Q4039,'model_byCAP'!$A$2:$A$377,0)),0)</f>
        <v>7472</v>
      </c>
    </row>
    <row r="4040" ht="15.35" customHeight="1">
      <c r="A4040" t="s" s="2">
        <v>7537</v>
      </c>
      <c r="B4040" s="4">
        <v>34925</v>
      </c>
      <c r="C4040" s="5">
        <v>500</v>
      </c>
      <c r="D4040" s="5">
        <v>41</v>
      </c>
      <c r="E4040" s="5">
        <v>35</v>
      </c>
      <c r="F4040" t="s" s="2">
        <v>1989</v>
      </c>
      <c r="G4040" t="s" s="2">
        <v>7507</v>
      </c>
      <c r="H4040" s="5">
        <v>376</v>
      </c>
      <c r="I4040" t="s" s="2">
        <v>1991</v>
      </c>
      <c r="J4040" t="s" s="2">
        <v>22</v>
      </c>
      <c r="K4040" t="s" s="2">
        <v>7538</v>
      </c>
      <c r="L4040" t="s" s="2">
        <v>3395</v>
      </c>
      <c r="M4040" s="5">
        <v>687653.58</v>
      </c>
      <c r="N4040" s="5">
        <v>6055777.81</v>
      </c>
      <c r="O4040" t="s" s="2">
        <v>305</v>
      </c>
      <c r="P4040" s="5">
        <v>182726</v>
      </c>
      <c r="Q4040" t="s" s="2">
        <v>7510</v>
      </c>
      <c r="R4040" t="s" s="2">
        <f>_xlfn.IFERROR(INDEX('model_byCAP'!$D$2:$D$377,MATCH(Q4040,'model_byCAP'!$A$2:$A$377,0)),0)</f>
        <v>7511</v>
      </c>
    </row>
    <row r="4041" ht="15.35" customHeight="1">
      <c r="A4041" t="s" s="2">
        <v>7539</v>
      </c>
      <c r="B4041" s="4">
        <v>35081</v>
      </c>
      <c r="C4041" s="5">
        <v>500</v>
      </c>
      <c r="D4041" s="5">
        <v>39</v>
      </c>
      <c r="E4041" s="5">
        <v>40</v>
      </c>
      <c r="F4041" t="s" s="2">
        <v>301</v>
      </c>
      <c r="G4041" t="s" s="2">
        <v>7470</v>
      </c>
      <c r="H4041" s="5">
        <v>376</v>
      </c>
      <c r="I4041" t="s" s="2">
        <v>1991</v>
      </c>
      <c r="J4041" t="s" s="2">
        <v>22</v>
      </c>
      <c r="K4041" t="s" s="2">
        <v>7540</v>
      </c>
      <c r="L4041" s="5">
        <v>9</v>
      </c>
      <c r="M4041" s="5">
        <v>669816.0699999999</v>
      </c>
      <c r="N4041" s="5">
        <v>6081494.92</v>
      </c>
      <c r="O4041" t="s" s="2">
        <v>305</v>
      </c>
      <c r="P4041" s="5">
        <v>183284</v>
      </c>
      <c r="Q4041" t="s" s="2">
        <v>7471</v>
      </c>
      <c r="R4041" t="s" s="2">
        <f>_xlfn.IFERROR(INDEX('model_byCAP'!$D$2:$D$377,MATCH(Q4041,'model_byCAP'!$A$2:$A$377,0)),0)</f>
        <v>7472</v>
      </c>
    </row>
    <row r="4042" ht="15.35" customHeight="1">
      <c r="A4042" t="s" s="2">
        <v>7541</v>
      </c>
      <c r="B4042" s="4">
        <v>34827</v>
      </c>
      <c r="C4042" s="5">
        <v>500</v>
      </c>
      <c r="D4042" s="5">
        <v>37</v>
      </c>
      <c r="E4042" s="5">
        <v>35</v>
      </c>
      <c r="F4042" t="s" s="2">
        <v>42</v>
      </c>
      <c r="G4042" t="s" s="2">
        <v>42</v>
      </c>
      <c r="H4042" s="5">
        <v>390</v>
      </c>
      <c r="I4042" t="s" s="2">
        <v>46</v>
      </c>
      <c r="J4042" t="s" s="2">
        <v>22</v>
      </c>
      <c r="K4042" t="s" s="2">
        <v>7542</v>
      </c>
      <c r="L4042" t="s" s="2">
        <v>551</v>
      </c>
      <c r="M4042" s="5">
        <v>707452.46</v>
      </c>
      <c r="N4042" s="5">
        <v>6095858.48</v>
      </c>
      <c r="O4042" t="s" s="2">
        <v>305</v>
      </c>
      <c r="P4042" s="5">
        <v>182430</v>
      </c>
      <c r="Q4042" t="s" s="2">
        <v>43</v>
      </c>
      <c r="R4042" s="5">
        <f>_xlfn.IFERROR(INDEX('model_byCAP'!$D$2:$D$377,MATCH(Q4042,'model_byCAP'!$A$2:$A$377,0)),0)</f>
        <v>0</v>
      </c>
    </row>
    <row r="4043" ht="15.35" customHeight="1">
      <c r="A4043" t="s" s="2">
        <v>7543</v>
      </c>
      <c r="B4043" s="4">
        <v>35326</v>
      </c>
      <c r="C4043" s="5">
        <v>500</v>
      </c>
      <c r="D4043" s="5">
        <v>37.3</v>
      </c>
      <c r="E4043" s="5">
        <v>35</v>
      </c>
      <c r="F4043" t="s" s="2">
        <v>42</v>
      </c>
      <c r="G4043" t="s" s="2">
        <v>42</v>
      </c>
      <c r="H4043" s="5">
        <v>482</v>
      </c>
      <c r="I4043" t="s" s="2">
        <v>1523</v>
      </c>
      <c r="J4043" t="s" s="2">
        <v>22</v>
      </c>
      <c r="K4043" t="s" s="2">
        <v>7544</v>
      </c>
      <c r="L4043" s="5">
        <v>9</v>
      </c>
      <c r="M4043" s="5">
        <v>619559.8199999999</v>
      </c>
      <c r="N4043" s="5">
        <v>6103846.28</v>
      </c>
      <c r="O4043" t="s" s="2">
        <v>305</v>
      </c>
      <c r="P4043" s="5">
        <v>34140229</v>
      </c>
      <c r="Q4043" t="s" s="2">
        <v>43</v>
      </c>
      <c r="R4043" s="5">
        <f>_xlfn.IFERROR(INDEX('model_byCAP'!$D$2:$D$377,MATCH(Q4043,'model_byCAP'!$A$2:$A$377,0)),0)</f>
        <v>0</v>
      </c>
    </row>
    <row r="4044" ht="15.35" customHeight="1">
      <c r="A4044" t="s" s="2">
        <v>7545</v>
      </c>
      <c r="B4044" s="4">
        <v>41627</v>
      </c>
      <c r="C4044" s="5">
        <v>500</v>
      </c>
      <c r="D4044" s="5">
        <v>37</v>
      </c>
      <c r="E4044" s="5">
        <v>35</v>
      </c>
      <c r="F4044" t="s" s="2">
        <v>42</v>
      </c>
      <c r="G4044" t="s" s="2">
        <v>42</v>
      </c>
      <c r="H4044" s="5">
        <v>482</v>
      </c>
      <c r="I4044" t="s" s="2">
        <v>1523</v>
      </c>
      <c r="J4044" t="s" s="2">
        <v>22</v>
      </c>
      <c r="K4044" t="s" s="2">
        <v>7546</v>
      </c>
      <c r="L4044" s="5">
        <v>8</v>
      </c>
      <c r="M4044" s="5">
        <v>619571.3100000001</v>
      </c>
      <c r="N4044" s="5">
        <v>6103939.07</v>
      </c>
      <c r="O4044" t="s" s="2">
        <v>305</v>
      </c>
      <c r="P4044" s="5">
        <v>34140829</v>
      </c>
      <c r="Q4044" t="s" s="2">
        <v>43</v>
      </c>
      <c r="R4044" s="5">
        <f>_xlfn.IFERROR(INDEX('model_byCAP'!$D$2:$D$377,MATCH(Q4044,'model_byCAP'!$A$2:$A$377,0)),0)</f>
        <v>0</v>
      </c>
    </row>
    <row r="4045" ht="15.35" customHeight="1">
      <c r="A4045" t="s" s="2">
        <v>7547</v>
      </c>
      <c r="B4045" s="4">
        <v>34622</v>
      </c>
      <c r="C4045" s="5">
        <v>500</v>
      </c>
      <c r="D4045" s="5">
        <v>39</v>
      </c>
      <c r="E4045" s="5">
        <v>40</v>
      </c>
      <c r="F4045" t="s" s="2">
        <v>301</v>
      </c>
      <c r="G4045" t="s" s="2">
        <v>7477</v>
      </c>
      <c r="H4045" s="5">
        <v>550</v>
      </c>
      <c r="I4045" t="s" s="2">
        <v>526</v>
      </c>
      <c r="J4045" t="s" s="2">
        <v>22</v>
      </c>
      <c r="K4045" t="s" s="2">
        <v>6472</v>
      </c>
      <c r="L4045" s="5">
        <v>236</v>
      </c>
      <c r="M4045" s="5">
        <v>484576.12</v>
      </c>
      <c r="N4045" s="5">
        <v>6094209.6</v>
      </c>
      <c r="O4045" t="s" s="2">
        <v>305</v>
      </c>
      <c r="P4045" s="5">
        <v>31780</v>
      </c>
      <c r="Q4045" t="s" s="2">
        <v>7478</v>
      </c>
      <c r="R4045" t="s" s="2">
        <f>_xlfn.IFERROR(INDEX('model_byCAP'!$D$2:$D$377,MATCH(Q4045,'model_byCAP'!$A$2:$A$377,0)),0)</f>
        <v>7472</v>
      </c>
    </row>
    <row r="4046" ht="15.35" customHeight="1">
      <c r="A4046" t="s" s="2">
        <v>7548</v>
      </c>
      <c r="B4046" s="4">
        <v>34648</v>
      </c>
      <c r="C4046" s="5">
        <v>500</v>
      </c>
      <c r="D4046" s="5">
        <v>37</v>
      </c>
      <c r="E4046" s="5">
        <v>41.5</v>
      </c>
      <c r="F4046" t="s" s="2">
        <v>4716</v>
      </c>
      <c r="G4046" t="s" s="2">
        <v>7447</v>
      </c>
      <c r="H4046" s="5">
        <v>550</v>
      </c>
      <c r="I4046" t="s" s="2">
        <v>526</v>
      </c>
      <c r="J4046" t="s" s="2">
        <v>22</v>
      </c>
      <c r="K4046" t="s" s="2">
        <v>6521</v>
      </c>
      <c r="L4046" s="5">
        <v>3</v>
      </c>
      <c r="M4046" s="5">
        <v>492999.2</v>
      </c>
      <c r="N4046" s="5">
        <v>6093553.01</v>
      </c>
      <c r="O4046" t="s" s="2">
        <v>305</v>
      </c>
      <c r="P4046" t="s" s="2">
        <v>7549</v>
      </c>
      <c r="Q4046" t="s" s="2">
        <v>7449</v>
      </c>
      <c r="R4046" t="s" s="2">
        <f>_xlfn.IFERROR(INDEX('model_byCAP'!$D$2:$D$377,MATCH(Q4046,'model_byCAP'!$A$2:$A$377,0)),0)</f>
        <v>7443</v>
      </c>
    </row>
    <row r="4047" ht="15.35" customHeight="1">
      <c r="A4047" t="s" s="2">
        <v>7550</v>
      </c>
      <c r="B4047" s="4">
        <v>34648</v>
      </c>
      <c r="C4047" s="5">
        <v>500</v>
      </c>
      <c r="D4047" s="5">
        <v>37</v>
      </c>
      <c r="E4047" s="5">
        <v>41.5</v>
      </c>
      <c r="F4047" t="s" s="2">
        <v>4716</v>
      </c>
      <c r="G4047" t="s" s="2">
        <v>7447</v>
      </c>
      <c r="H4047" s="5">
        <v>550</v>
      </c>
      <c r="I4047" t="s" s="2">
        <v>526</v>
      </c>
      <c r="J4047" t="s" s="2">
        <v>22</v>
      </c>
      <c r="K4047" t="s" s="2">
        <v>6521</v>
      </c>
      <c r="L4047" s="5">
        <v>3</v>
      </c>
      <c r="M4047" s="5">
        <v>493074.78</v>
      </c>
      <c r="N4047" s="5">
        <v>6092958.5</v>
      </c>
      <c r="O4047" t="s" s="2">
        <v>305</v>
      </c>
      <c r="P4047" t="s" s="2">
        <v>7549</v>
      </c>
      <c r="Q4047" t="s" s="2">
        <v>7449</v>
      </c>
      <c r="R4047" t="s" s="2">
        <f>_xlfn.IFERROR(INDEX('model_byCAP'!$D$2:$D$377,MATCH(Q4047,'model_byCAP'!$A$2:$A$377,0)),0)</f>
        <v>7443</v>
      </c>
    </row>
    <row r="4048" ht="15.35" customHeight="1">
      <c r="A4048" t="s" s="2">
        <v>7551</v>
      </c>
      <c r="B4048" s="4">
        <v>34648</v>
      </c>
      <c r="C4048" s="5">
        <v>500</v>
      </c>
      <c r="D4048" s="5">
        <v>37</v>
      </c>
      <c r="E4048" s="5">
        <v>41.5</v>
      </c>
      <c r="F4048" t="s" s="2">
        <v>4716</v>
      </c>
      <c r="G4048" t="s" s="2">
        <v>7447</v>
      </c>
      <c r="H4048" s="5">
        <v>550</v>
      </c>
      <c r="I4048" t="s" s="2">
        <v>526</v>
      </c>
      <c r="J4048" t="s" s="2">
        <v>22</v>
      </c>
      <c r="K4048" t="s" s="2">
        <v>6521</v>
      </c>
      <c r="L4048" s="5">
        <v>3</v>
      </c>
      <c r="M4048" s="5">
        <v>493131.29</v>
      </c>
      <c r="N4048" s="5">
        <v>6093422.2</v>
      </c>
      <c r="O4048" t="s" s="2">
        <v>305</v>
      </c>
      <c r="P4048" t="s" s="2">
        <v>7549</v>
      </c>
      <c r="Q4048" t="s" s="2">
        <v>7449</v>
      </c>
      <c r="R4048" t="s" s="2">
        <f>_xlfn.IFERROR(INDEX('model_byCAP'!$D$2:$D$377,MATCH(Q4048,'model_byCAP'!$A$2:$A$377,0)),0)</f>
        <v>7443</v>
      </c>
    </row>
    <row r="4049" ht="15.35" customHeight="1">
      <c r="A4049" t="s" s="2">
        <v>7552</v>
      </c>
      <c r="B4049" s="4">
        <v>34648</v>
      </c>
      <c r="C4049" s="5">
        <v>500</v>
      </c>
      <c r="D4049" s="5">
        <v>37</v>
      </c>
      <c r="E4049" s="5">
        <v>41.5</v>
      </c>
      <c r="F4049" t="s" s="2">
        <v>4716</v>
      </c>
      <c r="G4049" t="s" s="2">
        <v>7447</v>
      </c>
      <c r="H4049" s="5">
        <v>550</v>
      </c>
      <c r="I4049" t="s" s="2">
        <v>526</v>
      </c>
      <c r="J4049" t="s" s="2">
        <v>22</v>
      </c>
      <c r="K4049" t="s" s="2">
        <v>6521</v>
      </c>
      <c r="L4049" s="5">
        <v>3</v>
      </c>
      <c r="M4049" s="5">
        <v>493169.61</v>
      </c>
      <c r="N4049" s="5">
        <v>6093125.51</v>
      </c>
      <c r="O4049" t="s" s="2">
        <v>305</v>
      </c>
      <c r="P4049" t="s" s="2">
        <v>7549</v>
      </c>
      <c r="Q4049" t="s" s="2">
        <v>7449</v>
      </c>
      <c r="R4049" t="s" s="2">
        <f>_xlfn.IFERROR(INDEX('model_byCAP'!$D$2:$D$377,MATCH(Q4049,'model_byCAP'!$A$2:$A$377,0)),0)</f>
        <v>7443</v>
      </c>
    </row>
    <row r="4050" ht="15.35" customHeight="1">
      <c r="A4050" t="s" s="2">
        <v>7553</v>
      </c>
      <c r="B4050" s="4">
        <v>35012</v>
      </c>
      <c r="C4050" s="5">
        <v>500</v>
      </c>
      <c r="D4050" s="5">
        <v>37</v>
      </c>
      <c r="E4050" s="5">
        <v>35</v>
      </c>
      <c r="F4050" t="s" s="2">
        <v>42</v>
      </c>
      <c r="G4050" t="s" s="2">
        <v>42</v>
      </c>
      <c r="H4050" s="5">
        <v>561</v>
      </c>
      <c r="I4050" t="s" s="2">
        <v>196</v>
      </c>
      <c r="J4050" t="s" s="2">
        <v>22</v>
      </c>
      <c r="K4050" t="s" s="2">
        <v>6606</v>
      </c>
      <c r="L4050" s="5">
        <v>120</v>
      </c>
      <c r="M4050" s="5">
        <v>470229.32</v>
      </c>
      <c r="N4050" s="5">
        <v>6146125.49</v>
      </c>
      <c r="O4050" t="s" s="2">
        <v>305</v>
      </c>
      <c r="P4050" t="s" s="2">
        <v>7554</v>
      </c>
      <c r="Q4050" t="s" s="2">
        <v>43</v>
      </c>
      <c r="R4050" s="5">
        <f>_xlfn.IFERROR(INDEX('model_byCAP'!$D$2:$D$377,MATCH(Q4050,'model_byCAP'!$A$2:$A$377,0)),0)</f>
        <v>0</v>
      </c>
    </row>
    <row r="4051" ht="15.35" customHeight="1">
      <c r="A4051" t="s" s="2">
        <v>7555</v>
      </c>
      <c r="B4051" s="4">
        <v>35012</v>
      </c>
      <c r="C4051" s="5">
        <v>500</v>
      </c>
      <c r="D4051" s="5">
        <v>37</v>
      </c>
      <c r="E4051" s="5">
        <v>35</v>
      </c>
      <c r="F4051" t="s" s="2">
        <v>42</v>
      </c>
      <c r="G4051" t="s" s="2">
        <v>42</v>
      </c>
      <c r="H4051" s="5">
        <v>561</v>
      </c>
      <c r="I4051" t="s" s="2">
        <v>196</v>
      </c>
      <c r="J4051" t="s" s="2">
        <v>22</v>
      </c>
      <c r="K4051" t="s" s="2">
        <v>6606</v>
      </c>
      <c r="L4051" t="s" s="2">
        <v>1165</v>
      </c>
      <c r="M4051" s="5">
        <v>470120.76</v>
      </c>
      <c r="N4051" s="5">
        <v>6146292.24</v>
      </c>
      <c r="O4051" t="s" s="2">
        <v>305</v>
      </c>
      <c r="P4051" t="s" s="2">
        <v>7554</v>
      </c>
      <c r="Q4051" t="s" s="2">
        <v>43</v>
      </c>
      <c r="R4051" s="5">
        <f>_xlfn.IFERROR(INDEX('model_byCAP'!$D$2:$D$377,MATCH(Q4051,'model_byCAP'!$A$2:$A$377,0)),0)</f>
        <v>0</v>
      </c>
    </row>
    <row r="4052" ht="15.35" customHeight="1">
      <c r="A4052" t="s" s="2">
        <v>7556</v>
      </c>
      <c r="B4052" s="4">
        <v>35012</v>
      </c>
      <c r="C4052" s="5">
        <v>500</v>
      </c>
      <c r="D4052" s="5">
        <v>37</v>
      </c>
      <c r="E4052" s="5">
        <v>35</v>
      </c>
      <c r="F4052" t="s" s="2">
        <v>42</v>
      </c>
      <c r="G4052" t="s" s="2">
        <v>42</v>
      </c>
      <c r="H4052" s="5">
        <v>561</v>
      </c>
      <c r="I4052" t="s" s="2">
        <v>196</v>
      </c>
      <c r="J4052" t="s" s="2">
        <v>22</v>
      </c>
      <c r="K4052" t="s" s="2">
        <v>6606</v>
      </c>
      <c r="L4052" t="s" s="2">
        <v>1165</v>
      </c>
      <c r="M4052" s="5">
        <v>470011.52</v>
      </c>
      <c r="N4052" s="5">
        <v>6146459.88</v>
      </c>
      <c r="O4052" t="s" s="2">
        <v>305</v>
      </c>
      <c r="P4052" t="s" s="2">
        <v>7554</v>
      </c>
      <c r="Q4052" t="s" s="2">
        <v>43</v>
      </c>
      <c r="R4052" s="5">
        <f>_xlfn.IFERROR(INDEX('model_byCAP'!$D$2:$D$377,MATCH(Q4052,'model_byCAP'!$A$2:$A$377,0)),0)</f>
        <v>0</v>
      </c>
    </row>
    <row r="4053" ht="15.35" customHeight="1">
      <c r="A4053" t="s" s="2">
        <v>7557</v>
      </c>
      <c r="B4053" s="4">
        <v>35242</v>
      </c>
      <c r="C4053" s="5">
        <v>500</v>
      </c>
      <c r="D4053" s="5">
        <v>39</v>
      </c>
      <c r="E4053" s="5">
        <v>40</v>
      </c>
      <c r="F4053" t="s" s="2">
        <v>301</v>
      </c>
      <c r="G4053" t="s" s="2">
        <v>7470</v>
      </c>
      <c r="H4053" s="5">
        <v>657</v>
      </c>
      <c r="I4053" t="s" s="2">
        <v>541</v>
      </c>
      <c r="J4053" t="s" s="2">
        <v>22</v>
      </c>
      <c r="K4053" t="s" s="2">
        <v>7558</v>
      </c>
      <c r="L4053" t="s" s="2">
        <v>7559</v>
      </c>
      <c r="M4053" s="5">
        <v>474287.12</v>
      </c>
      <c r="N4053" s="5">
        <v>6223291.51</v>
      </c>
      <c r="O4053" t="s" s="2">
        <v>305</v>
      </c>
      <c r="P4053" s="5">
        <v>8503301</v>
      </c>
      <c r="Q4053" t="s" s="2">
        <v>7471</v>
      </c>
      <c r="R4053" t="s" s="2">
        <f>_xlfn.IFERROR(INDEX('model_byCAP'!$D$2:$D$377,MATCH(Q4053,'model_byCAP'!$A$2:$A$377,0)),0)</f>
        <v>7472</v>
      </c>
    </row>
    <row r="4054" ht="15.35" customHeight="1">
      <c r="A4054" t="s" s="2">
        <v>7560</v>
      </c>
      <c r="B4054" s="4">
        <v>35242</v>
      </c>
      <c r="C4054" s="5">
        <v>500</v>
      </c>
      <c r="D4054" s="5">
        <v>39</v>
      </c>
      <c r="E4054" s="5">
        <v>40</v>
      </c>
      <c r="F4054" t="s" s="2">
        <v>301</v>
      </c>
      <c r="G4054" t="s" s="2">
        <v>7470</v>
      </c>
      <c r="H4054" s="5">
        <v>657</v>
      </c>
      <c r="I4054" t="s" s="2">
        <v>541</v>
      </c>
      <c r="J4054" t="s" s="2">
        <v>22</v>
      </c>
      <c r="K4054" t="s" s="2">
        <v>7558</v>
      </c>
      <c r="L4054" t="s" s="2">
        <v>401</v>
      </c>
      <c r="M4054" s="5">
        <v>474119.43</v>
      </c>
      <c r="N4054" s="5">
        <v>6223376.54</v>
      </c>
      <c r="O4054" t="s" s="2">
        <v>305</v>
      </c>
      <c r="P4054" s="5">
        <v>8503301</v>
      </c>
      <c r="Q4054" t="s" s="2">
        <v>7471</v>
      </c>
      <c r="R4054" t="s" s="2">
        <f>_xlfn.IFERROR(INDEX('model_byCAP'!$D$2:$D$377,MATCH(Q4054,'model_byCAP'!$A$2:$A$377,0)),0)</f>
        <v>7472</v>
      </c>
    </row>
    <row r="4055" ht="15.35" customHeight="1">
      <c r="A4055" t="s" s="2">
        <v>7561</v>
      </c>
      <c r="B4055" s="4">
        <v>34690</v>
      </c>
      <c r="C4055" s="5">
        <v>500</v>
      </c>
      <c r="D4055" s="5">
        <v>39</v>
      </c>
      <c r="E4055" s="5">
        <v>40.5</v>
      </c>
      <c r="F4055" t="s" s="2">
        <v>301</v>
      </c>
      <c r="G4055" t="s" s="2">
        <v>7470</v>
      </c>
      <c r="H4055" s="5">
        <v>657</v>
      </c>
      <c r="I4055" t="s" s="2">
        <v>541</v>
      </c>
      <c r="J4055" t="s" s="2">
        <v>22</v>
      </c>
      <c r="K4055" t="s" s="2">
        <v>7562</v>
      </c>
      <c r="L4055" t="s" s="2">
        <v>401</v>
      </c>
      <c r="M4055" s="5">
        <v>473896.72</v>
      </c>
      <c r="N4055" s="5">
        <v>6222839.23</v>
      </c>
      <c r="O4055" t="s" s="2">
        <v>305</v>
      </c>
      <c r="P4055" t="s" s="2">
        <v>7563</v>
      </c>
      <c r="Q4055" t="s" s="2">
        <v>7471</v>
      </c>
      <c r="R4055" t="s" s="2">
        <f>_xlfn.IFERROR(INDEX('model_byCAP'!$D$2:$D$377,MATCH(Q4055,'model_byCAP'!$A$2:$A$377,0)),0)</f>
        <v>7472</v>
      </c>
    </row>
    <row r="4056" ht="15.35" customHeight="1">
      <c r="A4056" t="s" s="2">
        <v>7564</v>
      </c>
      <c r="B4056" s="4">
        <v>35031</v>
      </c>
      <c r="C4056" s="5">
        <v>500</v>
      </c>
      <c r="D4056" s="5">
        <v>41</v>
      </c>
      <c r="E4056" s="5">
        <v>40</v>
      </c>
      <c r="F4056" t="s" s="2">
        <v>1989</v>
      </c>
      <c r="G4056" t="s" s="2">
        <v>7565</v>
      </c>
      <c r="H4056" s="5">
        <v>657</v>
      </c>
      <c r="I4056" t="s" s="2">
        <v>541</v>
      </c>
      <c r="J4056" t="s" s="2">
        <v>22</v>
      </c>
      <c r="K4056" t="s" s="2">
        <v>7566</v>
      </c>
      <c r="L4056" t="s" s="2">
        <v>5790</v>
      </c>
      <c r="M4056" s="5">
        <v>493381.16</v>
      </c>
      <c r="N4056" s="5">
        <v>6202420.28</v>
      </c>
      <c r="O4056" t="s" s="2">
        <v>305</v>
      </c>
      <c r="P4056" s="5">
        <v>7141227</v>
      </c>
      <c r="Q4056" t="s" s="2">
        <v>7567</v>
      </c>
      <c r="R4056" t="s" s="2">
        <f>_xlfn.IFERROR(INDEX('model_byCAP'!$D$2:$D$377,MATCH(Q4056,'model_byCAP'!$A$2:$A$377,0)),0)</f>
        <v>7511</v>
      </c>
    </row>
    <row r="4057" ht="15.35" customHeight="1">
      <c r="A4057" t="s" s="2">
        <v>7568</v>
      </c>
      <c r="B4057" s="4">
        <v>35177</v>
      </c>
      <c r="C4057" s="5">
        <v>500</v>
      </c>
      <c r="D4057" s="5">
        <v>39</v>
      </c>
      <c r="E4057" s="5">
        <v>40.5</v>
      </c>
      <c r="F4057" t="s" s="2">
        <v>301</v>
      </c>
      <c r="G4057" t="s" s="2">
        <v>7470</v>
      </c>
      <c r="H4057" s="5">
        <v>661</v>
      </c>
      <c r="I4057" t="s" s="2">
        <v>562</v>
      </c>
      <c r="J4057" t="s" s="2">
        <v>22</v>
      </c>
      <c r="K4057" t="s" s="2">
        <v>1557</v>
      </c>
      <c r="L4057" t="s" s="2">
        <v>3383</v>
      </c>
      <c r="M4057" s="5">
        <v>451376.92</v>
      </c>
      <c r="N4057" s="5">
        <v>6248715.47</v>
      </c>
      <c r="O4057" t="s" s="2">
        <v>305</v>
      </c>
      <c r="P4057" s="5">
        <v>40111164</v>
      </c>
      <c r="Q4057" t="s" s="2">
        <v>7471</v>
      </c>
      <c r="R4057" t="s" s="2">
        <f>_xlfn.IFERROR(INDEX('model_byCAP'!$D$2:$D$377,MATCH(Q4057,'model_byCAP'!$A$2:$A$377,0)),0)</f>
        <v>7472</v>
      </c>
    </row>
    <row r="4058" ht="15.35" customHeight="1">
      <c r="A4058" t="s" s="2">
        <v>7569</v>
      </c>
      <c r="B4058" s="4">
        <v>35374</v>
      </c>
      <c r="C4058" s="5">
        <v>500</v>
      </c>
      <c r="D4058" s="5">
        <v>39</v>
      </c>
      <c r="E4058" s="5">
        <v>40.5</v>
      </c>
      <c r="F4058" t="s" s="2">
        <v>301</v>
      </c>
      <c r="G4058" t="s" s="2">
        <v>7470</v>
      </c>
      <c r="H4058" s="5">
        <v>661</v>
      </c>
      <c r="I4058" t="s" s="2">
        <v>562</v>
      </c>
      <c r="J4058" t="s" s="2">
        <v>22</v>
      </c>
      <c r="K4058" t="s" s="2">
        <v>7570</v>
      </c>
      <c r="L4058" t="s" s="2">
        <v>947</v>
      </c>
      <c r="M4058" s="5">
        <v>456720.18</v>
      </c>
      <c r="N4058" s="5">
        <v>6240947.69</v>
      </c>
      <c r="O4058" t="s" s="2">
        <v>305</v>
      </c>
      <c r="P4058" s="5">
        <v>8502001</v>
      </c>
      <c r="Q4058" t="s" s="2">
        <v>7471</v>
      </c>
      <c r="R4058" t="s" s="2">
        <f>_xlfn.IFERROR(INDEX('model_byCAP'!$D$2:$D$377,MATCH(Q4058,'model_byCAP'!$A$2:$A$377,0)),0)</f>
        <v>7472</v>
      </c>
    </row>
    <row r="4059" ht="15.35" customHeight="1">
      <c r="A4059" t="s" s="2">
        <v>7571</v>
      </c>
      <c r="B4059" s="4">
        <v>35040</v>
      </c>
      <c r="C4059" s="5">
        <v>500</v>
      </c>
      <c r="D4059" s="5">
        <v>39</v>
      </c>
      <c r="E4059" s="5">
        <v>40.5</v>
      </c>
      <c r="F4059" t="s" s="2">
        <v>301</v>
      </c>
      <c r="G4059" t="s" s="2">
        <v>7470</v>
      </c>
      <c r="H4059" s="5">
        <v>661</v>
      </c>
      <c r="I4059" t="s" s="2">
        <v>562</v>
      </c>
      <c r="J4059" t="s" s="2">
        <v>22</v>
      </c>
      <c r="K4059" t="s" s="2">
        <v>7572</v>
      </c>
      <c r="L4059" t="s" s="2">
        <v>7573</v>
      </c>
      <c r="M4059" s="5">
        <v>456807.29</v>
      </c>
      <c r="N4059" s="5">
        <v>6241107.8</v>
      </c>
      <c r="O4059" t="s" s="2">
        <v>305</v>
      </c>
      <c r="P4059" s="5">
        <v>8504951</v>
      </c>
      <c r="Q4059" t="s" s="2">
        <v>7471</v>
      </c>
      <c r="R4059" t="s" s="2">
        <f>_xlfn.IFERROR(INDEX('model_byCAP'!$D$2:$D$377,MATCH(Q4059,'model_byCAP'!$A$2:$A$377,0)),0)</f>
        <v>7472</v>
      </c>
    </row>
    <row r="4060" ht="15.35" customHeight="1">
      <c r="A4060" t="s" s="2">
        <v>7574</v>
      </c>
      <c r="B4060" s="4">
        <v>35016</v>
      </c>
      <c r="C4060" s="5">
        <v>500</v>
      </c>
      <c r="D4060" s="5">
        <v>39</v>
      </c>
      <c r="E4060" s="5">
        <v>40</v>
      </c>
      <c r="F4060" t="s" s="2">
        <v>301</v>
      </c>
      <c r="G4060" t="s" s="2">
        <v>7470</v>
      </c>
      <c r="H4060" s="5">
        <v>665</v>
      </c>
      <c r="I4060" t="s" s="2">
        <v>316</v>
      </c>
      <c r="J4060" t="s" s="2">
        <v>22</v>
      </c>
      <c r="K4060" t="s" s="2">
        <v>4649</v>
      </c>
      <c r="L4060" t="s" s="2">
        <v>887</v>
      </c>
      <c r="M4060" s="5">
        <v>456064.88</v>
      </c>
      <c r="N4060" s="5">
        <v>6264343.97</v>
      </c>
      <c r="O4060" t="s" s="2">
        <v>305</v>
      </c>
      <c r="P4060" s="5">
        <v>40104142</v>
      </c>
      <c r="Q4060" t="s" s="2">
        <v>7471</v>
      </c>
      <c r="R4060" t="s" s="2">
        <f>_xlfn.IFERROR(INDEX('model_byCAP'!$D$2:$D$377,MATCH(Q4060,'model_byCAP'!$A$2:$A$377,0)),0)</f>
        <v>7472</v>
      </c>
    </row>
    <row r="4061" ht="15.35" customHeight="1">
      <c r="A4061" t="s" s="2">
        <v>7575</v>
      </c>
      <c r="B4061" s="4">
        <v>34682</v>
      </c>
      <c r="C4061" s="5">
        <v>500</v>
      </c>
      <c r="D4061" s="5">
        <v>41</v>
      </c>
      <c r="E4061" s="5">
        <v>35</v>
      </c>
      <c r="F4061" t="s" s="2">
        <v>1989</v>
      </c>
      <c r="G4061" t="s" s="2">
        <v>7565</v>
      </c>
      <c r="H4061" s="5">
        <v>706</v>
      </c>
      <c r="I4061" t="s" s="2">
        <v>3155</v>
      </c>
      <c r="J4061" t="s" s="2">
        <v>22</v>
      </c>
      <c r="K4061" t="s" s="2">
        <v>6840</v>
      </c>
      <c r="L4061" t="s" s="2">
        <v>7576</v>
      </c>
      <c r="M4061" s="5">
        <v>607478.01</v>
      </c>
      <c r="N4061" s="5">
        <v>6228358.29</v>
      </c>
      <c r="O4061" t="s" s="2">
        <v>305</v>
      </c>
      <c r="P4061" s="5">
        <v>257978</v>
      </c>
      <c r="Q4061" t="s" s="2">
        <v>7567</v>
      </c>
      <c r="R4061" t="s" s="2">
        <f>_xlfn.IFERROR(INDEX('model_byCAP'!$D$2:$D$377,MATCH(Q4061,'model_byCAP'!$A$2:$A$377,0)),0)</f>
        <v>7511</v>
      </c>
    </row>
    <row r="4062" ht="15.35" customHeight="1">
      <c r="A4062" t="s" s="2">
        <v>7577</v>
      </c>
      <c r="B4062" s="4">
        <v>34690</v>
      </c>
      <c r="C4062" s="5">
        <v>500</v>
      </c>
      <c r="D4062" s="5">
        <v>41</v>
      </c>
      <c r="E4062" s="5">
        <v>35</v>
      </c>
      <c r="F4062" t="s" s="2">
        <v>1989</v>
      </c>
      <c r="G4062" t="s" s="2">
        <v>7578</v>
      </c>
      <c r="H4062" s="5">
        <v>710</v>
      </c>
      <c r="I4062" t="s" s="2">
        <v>3630</v>
      </c>
      <c r="J4062" t="s" s="2">
        <v>22</v>
      </c>
      <c r="K4062" t="s" s="2">
        <v>7579</v>
      </c>
      <c r="L4062" t="s" s="2">
        <v>492</v>
      </c>
      <c r="M4062" s="5">
        <v>565345.26</v>
      </c>
      <c r="N4062" s="5">
        <v>6239002.89</v>
      </c>
      <c r="O4062" t="s" s="2">
        <v>305</v>
      </c>
      <c r="P4062" s="5">
        <v>95086</v>
      </c>
      <c r="Q4062" t="s" s="2">
        <v>7580</v>
      </c>
      <c r="R4062" t="s" s="2">
        <f>_xlfn.IFERROR(INDEX('model_byCAP'!$D$2:$D$377,MATCH(Q4062,'model_byCAP'!$A$2:$A$377,0)),0)</f>
        <v>3178</v>
      </c>
    </row>
    <row r="4063" ht="15.35" customHeight="1">
      <c r="A4063" t="s" s="2">
        <v>7581</v>
      </c>
      <c r="B4063" s="4">
        <v>34690</v>
      </c>
      <c r="C4063" s="5">
        <v>500</v>
      </c>
      <c r="D4063" s="5">
        <v>41</v>
      </c>
      <c r="E4063" s="5">
        <v>35</v>
      </c>
      <c r="F4063" t="s" s="2">
        <v>1989</v>
      </c>
      <c r="G4063" t="s" s="2">
        <v>7578</v>
      </c>
      <c r="H4063" s="5">
        <v>710</v>
      </c>
      <c r="I4063" t="s" s="2">
        <v>3630</v>
      </c>
      <c r="J4063" t="s" s="2">
        <v>22</v>
      </c>
      <c r="K4063" t="s" s="2">
        <v>7579</v>
      </c>
      <c r="L4063" t="s" s="2">
        <v>492</v>
      </c>
      <c r="M4063" s="5">
        <v>565118.25</v>
      </c>
      <c r="N4063" s="5">
        <v>6239082.29</v>
      </c>
      <c r="O4063" t="s" s="2">
        <v>305</v>
      </c>
      <c r="P4063" s="5">
        <v>95096</v>
      </c>
      <c r="Q4063" t="s" s="2">
        <v>7580</v>
      </c>
      <c r="R4063" t="s" s="2">
        <f>_xlfn.IFERROR(INDEX('model_byCAP'!$D$2:$D$377,MATCH(Q4063,'model_byCAP'!$A$2:$A$377,0)),0)</f>
        <v>3178</v>
      </c>
    </row>
    <row r="4064" ht="15.35" customHeight="1">
      <c r="A4064" t="s" s="2">
        <v>7582</v>
      </c>
      <c r="B4064" s="4">
        <v>34849</v>
      </c>
      <c r="C4064" s="5">
        <v>500</v>
      </c>
      <c r="D4064" s="5">
        <v>39</v>
      </c>
      <c r="E4064" s="5">
        <v>45</v>
      </c>
      <c r="F4064" t="s" s="2">
        <v>301</v>
      </c>
      <c r="G4064" t="s" s="2">
        <v>7477</v>
      </c>
      <c r="H4064" s="5">
        <v>727</v>
      </c>
      <c r="I4064" t="s" s="2">
        <v>2452</v>
      </c>
      <c r="J4064" t="s" s="2">
        <v>47</v>
      </c>
      <c r="K4064" t="s" s="2">
        <v>42</v>
      </c>
      <c r="L4064" s="5">
        <v>0</v>
      </c>
      <c r="M4064" s="5">
        <v>584396.42</v>
      </c>
      <c r="N4064" s="5">
        <v>6203076.76</v>
      </c>
      <c r="O4064" t="s" s="2">
        <v>305</v>
      </c>
      <c r="P4064" t="s" s="2">
        <v>7583</v>
      </c>
      <c r="Q4064" t="s" s="2">
        <v>7478</v>
      </c>
      <c r="R4064" t="s" s="2">
        <f>_xlfn.IFERROR(INDEX('model_byCAP'!$D$2:$D$377,MATCH(Q4064,'model_byCAP'!$A$2:$A$377,0)),0)</f>
        <v>7472</v>
      </c>
    </row>
    <row r="4065" ht="15.35" customHeight="1">
      <c r="A4065" t="s" s="2">
        <v>7584</v>
      </c>
      <c r="B4065" s="4">
        <v>34849</v>
      </c>
      <c r="C4065" s="5">
        <v>500</v>
      </c>
      <c r="D4065" s="5">
        <v>39</v>
      </c>
      <c r="E4065" s="5">
        <v>45</v>
      </c>
      <c r="F4065" t="s" s="2">
        <v>301</v>
      </c>
      <c r="G4065" t="s" s="2">
        <v>7477</v>
      </c>
      <c r="H4065" s="5">
        <v>727</v>
      </c>
      <c r="I4065" t="s" s="2">
        <v>2452</v>
      </c>
      <c r="J4065" t="s" s="2">
        <v>47</v>
      </c>
      <c r="K4065" t="s" s="2">
        <v>42</v>
      </c>
      <c r="L4065" s="5">
        <v>0</v>
      </c>
      <c r="M4065" s="5">
        <v>584395.5600000001</v>
      </c>
      <c r="N4065" s="5">
        <v>6203276.59</v>
      </c>
      <c r="O4065" t="s" s="2">
        <v>305</v>
      </c>
      <c r="P4065" t="s" s="2">
        <v>7583</v>
      </c>
      <c r="Q4065" t="s" s="2">
        <v>7478</v>
      </c>
      <c r="R4065" t="s" s="2">
        <f>_xlfn.IFERROR(INDEX('model_byCAP'!$D$2:$D$377,MATCH(Q4065,'model_byCAP'!$A$2:$A$377,0)),0)</f>
        <v>7472</v>
      </c>
    </row>
    <row r="4066" ht="15.35" customHeight="1">
      <c r="A4066" t="s" s="2">
        <v>7585</v>
      </c>
      <c r="B4066" s="4">
        <v>34849</v>
      </c>
      <c r="C4066" s="5">
        <v>500</v>
      </c>
      <c r="D4066" s="5">
        <v>39</v>
      </c>
      <c r="E4066" s="5">
        <v>45</v>
      </c>
      <c r="F4066" t="s" s="2">
        <v>301</v>
      </c>
      <c r="G4066" t="s" s="2">
        <v>7477</v>
      </c>
      <c r="H4066" s="5">
        <v>727</v>
      </c>
      <c r="I4066" t="s" s="2">
        <v>2452</v>
      </c>
      <c r="J4066" t="s" s="2">
        <v>47</v>
      </c>
      <c r="K4066" t="s" s="2">
        <v>42</v>
      </c>
      <c r="L4066" s="5">
        <v>0</v>
      </c>
      <c r="M4066" s="5">
        <v>584394.55</v>
      </c>
      <c r="N4066" s="5">
        <v>6203476.67</v>
      </c>
      <c r="O4066" t="s" s="2">
        <v>305</v>
      </c>
      <c r="P4066" t="s" s="2">
        <v>7583</v>
      </c>
      <c r="Q4066" t="s" s="2">
        <v>7478</v>
      </c>
      <c r="R4066" t="s" s="2">
        <f>_xlfn.IFERROR(INDEX('model_byCAP'!$D$2:$D$377,MATCH(Q4066,'model_byCAP'!$A$2:$A$377,0)),0)</f>
        <v>7472</v>
      </c>
    </row>
    <row r="4067" ht="15.35" customHeight="1">
      <c r="A4067" t="s" s="2">
        <v>7586</v>
      </c>
      <c r="B4067" s="4">
        <v>34849</v>
      </c>
      <c r="C4067" s="5">
        <v>500</v>
      </c>
      <c r="D4067" s="5">
        <v>39</v>
      </c>
      <c r="E4067" s="5">
        <v>45</v>
      </c>
      <c r="F4067" t="s" s="2">
        <v>301</v>
      </c>
      <c r="G4067" t="s" s="2">
        <v>7477</v>
      </c>
      <c r="H4067" s="5">
        <v>727</v>
      </c>
      <c r="I4067" t="s" s="2">
        <v>2452</v>
      </c>
      <c r="J4067" t="s" s="2">
        <v>47</v>
      </c>
      <c r="K4067" t="s" s="2">
        <v>42</v>
      </c>
      <c r="L4067" s="5">
        <v>0</v>
      </c>
      <c r="M4067" s="5">
        <v>584391.03</v>
      </c>
      <c r="N4067" s="5">
        <v>6203678.75</v>
      </c>
      <c r="O4067" t="s" s="2">
        <v>305</v>
      </c>
      <c r="P4067" t="s" s="2">
        <v>7583</v>
      </c>
      <c r="Q4067" t="s" s="2">
        <v>7478</v>
      </c>
      <c r="R4067" t="s" s="2">
        <f>_xlfn.IFERROR(INDEX('model_byCAP'!$D$2:$D$377,MATCH(Q4067,'model_byCAP'!$A$2:$A$377,0)),0)</f>
        <v>7472</v>
      </c>
    </row>
    <row r="4068" ht="15.35" customHeight="1">
      <c r="A4068" t="s" s="2">
        <v>7587</v>
      </c>
      <c r="B4068" s="4">
        <v>34849</v>
      </c>
      <c r="C4068" s="5">
        <v>500</v>
      </c>
      <c r="D4068" s="5">
        <v>39</v>
      </c>
      <c r="E4068" s="5">
        <v>45</v>
      </c>
      <c r="F4068" t="s" s="2">
        <v>301</v>
      </c>
      <c r="G4068" t="s" s="2">
        <v>7477</v>
      </c>
      <c r="H4068" s="5">
        <v>727</v>
      </c>
      <c r="I4068" t="s" s="2">
        <v>2452</v>
      </c>
      <c r="J4068" t="s" s="2">
        <v>47</v>
      </c>
      <c r="K4068" t="s" s="2">
        <v>42</v>
      </c>
      <c r="L4068" s="5">
        <v>0</v>
      </c>
      <c r="M4068" s="5">
        <v>584390.02</v>
      </c>
      <c r="N4068" s="5">
        <v>6203878.82</v>
      </c>
      <c r="O4068" t="s" s="2">
        <v>305</v>
      </c>
      <c r="P4068" t="s" s="2">
        <v>7583</v>
      </c>
      <c r="Q4068" t="s" s="2">
        <v>7478</v>
      </c>
      <c r="R4068" t="s" s="2">
        <f>_xlfn.IFERROR(INDEX('model_byCAP'!$D$2:$D$377,MATCH(Q4068,'model_byCAP'!$A$2:$A$377,0)),0)</f>
        <v>7472</v>
      </c>
    </row>
    <row r="4069" ht="15.35" customHeight="1">
      <c r="A4069" t="s" s="2">
        <v>7588</v>
      </c>
      <c r="B4069" s="4">
        <v>34849</v>
      </c>
      <c r="C4069" s="5">
        <v>500</v>
      </c>
      <c r="D4069" s="5">
        <v>39</v>
      </c>
      <c r="E4069" s="5">
        <v>45</v>
      </c>
      <c r="F4069" t="s" s="2">
        <v>301</v>
      </c>
      <c r="G4069" t="s" s="2">
        <v>7477</v>
      </c>
      <c r="H4069" s="5">
        <v>727</v>
      </c>
      <c r="I4069" t="s" s="2">
        <v>2452</v>
      </c>
      <c r="J4069" t="s" s="2">
        <v>47</v>
      </c>
      <c r="K4069" t="s" s="2">
        <v>42</v>
      </c>
      <c r="L4069" s="5">
        <v>0</v>
      </c>
      <c r="M4069" s="5">
        <v>584795.8100000001</v>
      </c>
      <c r="N4069" s="5">
        <v>6203010.34</v>
      </c>
      <c r="O4069" t="s" s="2">
        <v>305</v>
      </c>
      <c r="P4069" t="s" s="2">
        <v>7583</v>
      </c>
      <c r="Q4069" t="s" s="2">
        <v>7478</v>
      </c>
      <c r="R4069" t="s" s="2">
        <f>_xlfn.IFERROR(INDEX('model_byCAP'!$D$2:$D$377,MATCH(Q4069,'model_byCAP'!$A$2:$A$377,0)),0)</f>
        <v>7472</v>
      </c>
    </row>
    <row r="4070" ht="15.35" customHeight="1">
      <c r="A4070" t="s" s="2">
        <v>7589</v>
      </c>
      <c r="B4070" s="4">
        <v>34849</v>
      </c>
      <c r="C4070" s="5">
        <v>500</v>
      </c>
      <c r="D4070" s="5">
        <v>39</v>
      </c>
      <c r="E4070" s="5">
        <v>45</v>
      </c>
      <c r="F4070" t="s" s="2">
        <v>301</v>
      </c>
      <c r="G4070" t="s" s="2">
        <v>7477</v>
      </c>
      <c r="H4070" s="5">
        <v>727</v>
      </c>
      <c r="I4070" t="s" s="2">
        <v>2452</v>
      </c>
      <c r="J4070" t="s" s="2">
        <v>47</v>
      </c>
      <c r="K4070" t="s" s="2">
        <v>42</v>
      </c>
      <c r="L4070" s="5">
        <v>0</v>
      </c>
      <c r="M4070" s="5">
        <v>584794.66</v>
      </c>
      <c r="N4070" s="5">
        <v>6203210.65</v>
      </c>
      <c r="O4070" t="s" s="2">
        <v>305</v>
      </c>
      <c r="P4070" t="s" s="2">
        <v>7583</v>
      </c>
      <c r="Q4070" t="s" s="2">
        <v>7478</v>
      </c>
      <c r="R4070" t="s" s="2">
        <f>_xlfn.IFERROR(INDEX('model_byCAP'!$D$2:$D$377,MATCH(Q4070,'model_byCAP'!$A$2:$A$377,0)),0)</f>
        <v>7472</v>
      </c>
    </row>
    <row r="4071" ht="15.35" customHeight="1">
      <c r="A4071" t="s" s="2">
        <v>7590</v>
      </c>
      <c r="B4071" s="4">
        <v>34849</v>
      </c>
      <c r="C4071" s="5">
        <v>500</v>
      </c>
      <c r="D4071" s="5">
        <v>39</v>
      </c>
      <c r="E4071" s="5">
        <v>45</v>
      </c>
      <c r="F4071" t="s" s="2">
        <v>301</v>
      </c>
      <c r="G4071" t="s" s="2">
        <v>7477</v>
      </c>
      <c r="H4071" s="5">
        <v>727</v>
      </c>
      <c r="I4071" t="s" s="2">
        <v>2452</v>
      </c>
      <c r="J4071" t="s" s="2">
        <v>47</v>
      </c>
      <c r="K4071" t="s" s="2">
        <v>42</v>
      </c>
      <c r="L4071" s="5">
        <v>0</v>
      </c>
      <c r="M4071" s="5">
        <v>584793.42</v>
      </c>
      <c r="N4071" s="5">
        <v>6203410.58</v>
      </c>
      <c r="O4071" t="s" s="2">
        <v>305</v>
      </c>
      <c r="P4071" t="s" s="2">
        <v>7583</v>
      </c>
      <c r="Q4071" t="s" s="2">
        <v>7478</v>
      </c>
      <c r="R4071" t="s" s="2">
        <f>_xlfn.IFERROR(INDEX('model_byCAP'!$D$2:$D$377,MATCH(Q4071,'model_byCAP'!$A$2:$A$377,0)),0)</f>
        <v>7472</v>
      </c>
    </row>
    <row r="4072" ht="15.35" customHeight="1">
      <c r="A4072" t="s" s="2">
        <v>7591</v>
      </c>
      <c r="B4072" s="4">
        <v>34849</v>
      </c>
      <c r="C4072" s="5">
        <v>500</v>
      </c>
      <c r="D4072" s="5">
        <v>39</v>
      </c>
      <c r="E4072" s="5">
        <v>45</v>
      </c>
      <c r="F4072" t="s" s="2">
        <v>301</v>
      </c>
      <c r="G4072" t="s" s="2">
        <v>7477</v>
      </c>
      <c r="H4072" s="5">
        <v>727</v>
      </c>
      <c r="I4072" t="s" s="2">
        <v>2452</v>
      </c>
      <c r="J4072" t="s" s="2">
        <v>47</v>
      </c>
      <c r="K4072" t="s" s="2">
        <v>42</v>
      </c>
      <c r="L4072" s="5">
        <v>0</v>
      </c>
      <c r="M4072" s="5">
        <v>584791.8</v>
      </c>
      <c r="N4072" s="5">
        <v>6203610.6</v>
      </c>
      <c r="O4072" t="s" s="2">
        <v>305</v>
      </c>
      <c r="P4072" t="s" s="2">
        <v>7583</v>
      </c>
      <c r="Q4072" t="s" s="2">
        <v>7478</v>
      </c>
      <c r="R4072" t="s" s="2">
        <f>_xlfn.IFERROR(INDEX('model_byCAP'!$D$2:$D$377,MATCH(Q4072,'model_byCAP'!$A$2:$A$377,0)),0)</f>
        <v>7472</v>
      </c>
    </row>
    <row r="4073" ht="15.35" customHeight="1">
      <c r="A4073" t="s" s="2">
        <v>7592</v>
      </c>
      <c r="B4073" s="4">
        <v>34849</v>
      </c>
      <c r="C4073" s="5">
        <v>500</v>
      </c>
      <c r="D4073" s="5">
        <v>39</v>
      </c>
      <c r="E4073" s="5">
        <v>45</v>
      </c>
      <c r="F4073" t="s" s="2">
        <v>301</v>
      </c>
      <c r="G4073" t="s" s="2">
        <v>7477</v>
      </c>
      <c r="H4073" s="5">
        <v>727</v>
      </c>
      <c r="I4073" t="s" s="2">
        <v>2452</v>
      </c>
      <c r="J4073" t="s" s="2">
        <v>47</v>
      </c>
      <c r="K4073" t="s" s="2">
        <v>42</v>
      </c>
      <c r="L4073" s="5">
        <v>0</v>
      </c>
      <c r="M4073" s="5">
        <v>584791.26</v>
      </c>
      <c r="N4073" s="5">
        <v>6203810.96</v>
      </c>
      <c r="O4073" t="s" s="2">
        <v>305</v>
      </c>
      <c r="P4073" t="s" s="2">
        <v>7583</v>
      </c>
      <c r="Q4073" t="s" s="2">
        <v>7478</v>
      </c>
      <c r="R4073" t="s" s="2">
        <f>_xlfn.IFERROR(INDEX('model_byCAP'!$D$2:$D$377,MATCH(Q4073,'model_byCAP'!$A$2:$A$377,0)),0)</f>
        <v>7472</v>
      </c>
    </row>
    <row r="4074" ht="15.35" customHeight="1">
      <c r="A4074" t="s" s="2">
        <v>7593</v>
      </c>
      <c r="B4074" s="4">
        <v>34982</v>
      </c>
      <c r="C4074" s="5">
        <v>500</v>
      </c>
      <c r="D4074" s="5">
        <v>39</v>
      </c>
      <c r="E4074" s="5">
        <v>40</v>
      </c>
      <c r="F4074" t="s" s="2">
        <v>301</v>
      </c>
      <c r="G4074" t="s" s="2">
        <v>7470</v>
      </c>
      <c r="H4074" s="5">
        <v>760</v>
      </c>
      <c r="I4074" t="s" s="2">
        <v>331</v>
      </c>
      <c r="J4074" t="s" s="2">
        <v>22</v>
      </c>
      <c r="K4074" t="s" s="2">
        <v>7594</v>
      </c>
      <c r="L4074" t="s" s="2">
        <v>1256</v>
      </c>
      <c r="M4074" s="5">
        <v>460439.16</v>
      </c>
      <c r="N4074" s="5">
        <v>6191474.21</v>
      </c>
      <c r="O4074" t="s" s="2">
        <v>305</v>
      </c>
      <c r="P4074" s="5">
        <v>59536</v>
      </c>
      <c r="Q4074" t="s" s="2">
        <v>7471</v>
      </c>
      <c r="R4074" t="s" s="2">
        <f>_xlfn.IFERROR(INDEX('model_byCAP'!$D$2:$D$377,MATCH(Q4074,'model_byCAP'!$A$2:$A$377,0)),0)</f>
        <v>7472</v>
      </c>
    </row>
    <row r="4075" ht="15.35" customHeight="1">
      <c r="A4075" t="s" s="2">
        <v>7595</v>
      </c>
      <c r="B4075" s="4">
        <v>35230</v>
      </c>
      <c r="C4075" s="5">
        <v>500</v>
      </c>
      <c r="D4075" s="5">
        <v>39</v>
      </c>
      <c r="E4075" s="5">
        <v>40</v>
      </c>
      <c r="F4075" t="s" s="2">
        <v>301</v>
      </c>
      <c r="G4075" t="s" s="2">
        <v>7470</v>
      </c>
      <c r="H4075" s="5">
        <v>760</v>
      </c>
      <c r="I4075" t="s" s="2">
        <v>331</v>
      </c>
      <c r="J4075" t="s" s="2">
        <v>22</v>
      </c>
      <c r="K4075" t="s" s="2">
        <v>7594</v>
      </c>
      <c r="L4075" t="s" s="2">
        <v>1256</v>
      </c>
      <c r="M4075" s="5">
        <v>460298.81</v>
      </c>
      <c r="N4075" s="5">
        <v>6191503.43</v>
      </c>
      <c r="O4075" t="s" s="2">
        <v>305</v>
      </c>
      <c r="P4075" s="5">
        <v>59768</v>
      </c>
      <c r="Q4075" t="s" s="2">
        <v>7471</v>
      </c>
      <c r="R4075" t="s" s="2">
        <f>_xlfn.IFERROR(INDEX('model_byCAP'!$D$2:$D$377,MATCH(Q4075,'model_byCAP'!$A$2:$A$377,0)),0)</f>
        <v>7472</v>
      </c>
    </row>
    <row r="4076" ht="15.35" customHeight="1">
      <c r="A4076" t="s" s="2">
        <v>7596</v>
      </c>
      <c r="B4076" s="4">
        <v>35230</v>
      </c>
      <c r="C4076" s="5">
        <v>500</v>
      </c>
      <c r="D4076" s="5">
        <v>39</v>
      </c>
      <c r="E4076" s="5">
        <v>40</v>
      </c>
      <c r="F4076" t="s" s="2">
        <v>301</v>
      </c>
      <c r="G4076" t="s" s="2">
        <v>7470</v>
      </c>
      <c r="H4076" s="5">
        <v>760</v>
      </c>
      <c r="I4076" t="s" s="2">
        <v>331</v>
      </c>
      <c r="J4076" t="s" s="2">
        <v>22</v>
      </c>
      <c r="K4076" t="s" s="2">
        <v>7594</v>
      </c>
      <c r="L4076" t="s" s="2">
        <v>1256</v>
      </c>
      <c r="M4076" s="5">
        <v>460393.58</v>
      </c>
      <c r="N4076" s="5">
        <v>6191610.28</v>
      </c>
      <c r="O4076" t="s" s="2">
        <v>305</v>
      </c>
      <c r="P4076" s="5">
        <v>59769</v>
      </c>
      <c r="Q4076" t="s" s="2">
        <v>7471</v>
      </c>
      <c r="R4076" t="s" s="2">
        <f>_xlfn.IFERROR(INDEX('model_byCAP'!$D$2:$D$377,MATCH(Q4076,'model_byCAP'!$A$2:$A$377,0)),0)</f>
        <v>7472</v>
      </c>
    </row>
    <row r="4077" ht="15.35" customHeight="1">
      <c r="A4077" t="s" s="2">
        <v>7597</v>
      </c>
      <c r="B4077" s="4">
        <v>35230</v>
      </c>
      <c r="C4077" s="5">
        <v>500</v>
      </c>
      <c r="D4077" s="5">
        <v>39</v>
      </c>
      <c r="E4077" s="5">
        <v>40</v>
      </c>
      <c r="F4077" t="s" s="2">
        <v>301</v>
      </c>
      <c r="G4077" t="s" s="2">
        <v>7470</v>
      </c>
      <c r="H4077" s="5">
        <v>760</v>
      </c>
      <c r="I4077" t="s" s="2">
        <v>331</v>
      </c>
      <c r="J4077" t="s" s="2">
        <v>22</v>
      </c>
      <c r="K4077" t="s" s="2">
        <v>7594</v>
      </c>
      <c r="L4077" t="s" s="2">
        <v>1256</v>
      </c>
      <c r="M4077" s="5">
        <v>460488.17</v>
      </c>
      <c r="N4077" s="5">
        <v>6191718.25</v>
      </c>
      <c r="O4077" t="s" s="2">
        <v>305</v>
      </c>
      <c r="P4077" s="5">
        <v>59770</v>
      </c>
      <c r="Q4077" t="s" s="2">
        <v>7471</v>
      </c>
      <c r="R4077" t="s" s="2">
        <f>_xlfn.IFERROR(INDEX('model_byCAP'!$D$2:$D$377,MATCH(Q4077,'model_byCAP'!$A$2:$A$377,0)),0)</f>
        <v>7472</v>
      </c>
    </row>
    <row r="4078" ht="15.35" customHeight="1">
      <c r="A4078" t="s" s="2">
        <v>7598</v>
      </c>
      <c r="B4078" s="4">
        <v>35230</v>
      </c>
      <c r="C4078" s="5">
        <v>500</v>
      </c>
      <c r="D4078" s="5">
        <v>39</v>
      </c>
      <c r="E4078" s="5">
        <v>40</v>
      </c>
      <c r="F4078" t="s" s="2">
        <v>301</v>
      </c>
      <c r="G4078" t="s" s="2">
        <v>7470</v>
      </c>
      <c r="H4078" s="5">
        <v>760</v>
      </c>
      <c r="I4078" t="s" s="2">
        <v>331</v>
      </c>
      <c r="J4078" t="s" s="2">
        <v>22</v>
      </c>
      <c r="K4078" t="s" s="2">
        <v>7594</v>
      </c>
      <c r="L4078" t="s" s="2">
        <v>1256</v>
      </c>
      <c r="M4078" s="5">
        <v>460530.45</v>
      </c>
      <c r="N4078" s="5">
        <v>6191584.45</v>
      </c>
      <c r="O4078" t="s" s="2">
        <v>305</v>
      </c>
      <c r="P4078" s="5">
        <v>59771</v>
      </c>
      <c r="Q4078" t="s" s="2">
        <v>7471</v>
      </c>
      <c r="R4078" t="s" s="2">
        <f>_xlfn.IFERROR(INDEX('model_byCAP'!$D$2:$D$377,MATCH(Q4078,'model_byCAP'!$A$2:$A$377,0)),0)</f>
        <v>7472</v>
      </c>
    </row>
    <row r="4079" ht="15.35" customHeight="1">
      <c r="A4079" t="s" s="2">
        <v>7599</v>
      </c>
      <c r="B4079" s="4">
        <v>35242</v>
      </c>
      <c r="C4079" s="5">
        <v>500</v>
      </c>
      <c r="D4079" s="5">
        <v>39</v>
      </c>
      <c r="E4079" s="5">
        <v>40</v>
      </c>
      <c r="F4079" t="s" s="2">
        <v>301</v>
      </c>
      <c r="G4079" t="s" s="2">
        <v>7470</v>
      </c>
      <c r="H4079" s="5">
        <v>760</v>
      </c>
      <c r="I4079" t="s" s="2">
        <v>331</v>
      </c>
      <c r="J4079" t="s" s="2">
        <v>22</v>
      </c>
      <c r="K4079" t="s" s="2">
        <v>7558</v>
      </c>
      <c r="L4079" t="s" s="2">
        <v>7600</v>
      </c>
      <c r="M4079" s="5">
        <v>474231.64</v>
      </c>
      <c r="N4079" s="5">
        <v>6222669.73</v>
      </c>
      <c r="O4079" t="s" s="2">
        <v>305</v>
      </c>
      <c r="P4079" s="5">
        <v>8503301</v>
      </c>
      <c r="Q4079" t="s" s="2">
        <v>7471</v>
      </c>
      <c r="R4079" t="s" s="2">
        <f>_xlfn.IFERROR(INDEX('model_byCAP'!$D$2:$D$377,MATCH(Q4079,'model_byCAP'!$A$2:$A$377,0)),0)</f>
        <v>7472</v>
      </c>
    </row>
    <row r="4080" ht="15.35" customHeight="1">
      <c r="A4080" t="s" s="2">
        <v>7601</v>
      </c>
      <c r="B4080" s="4">
        <v>35242</v>
      </c>
      <c r="C4080" s="5">
        <v>500</v>
      </c>
      <c r="D4080" s="5">
        <v>39</v>
      </c>
      <c r="E4080" s="5">
        <v>40</v>
      </c>
      <c r="F4080" t="s" s="2">
        <v>301</v>
      </c>
      <c r="G4080" t="s" s="2">
        <v>7470</v>
      </c>
      <c r="H4080" s="5">
        <v>760</v>
      </c>
      <c r="I4080" t="s" s="2">
        <v>331</v>
      </c>
      <c r="J4080" t="s" s="2">
        <v>22</v>
      </c>
      <c r="K4080" t="s" s="2">
        <v>7558</v>
      </c>
      <c r="L4080" t="s" s="2">
        <v>436</v>
      </c>
      <c r="M4080" s="5">
        <v>474065.58</v>
      </c>
      <c r="N4080" s="5">
        <v>6222753.66</v>
      </c>
      <c r="O4080" t="s" s="2">
        <v>305</v>
      </c>
      <c r="P4080" s="5">
        <v>8503301</v>
      </c>
      <c r="Q4080" t="s" s="2">
        <v>7471</v>
      </c>
      <c r="R4080" t="s" s="2">
        <f>_xlfn.IFERROR(INDEX('model_byCAP'!$D$2:$D$377,MATCH(Q4080,'model_byCAP'!$A$2:$A$377,0)),0)</f>
        <v>7472</v>
      </c>
    </row>
    <row r="4081" ht="15.35" customHeight="1">
      <c r="A4081" t="s" s="2">
        <v>7602</v>
      </c>
      <c r="B4081" s="4">
        <v>34700</v>
      </c>
      <c r="C4081" s="5">
        <v>500</v>
      </c>
      <c r="D4081" s="5">
        <v>39</v>
      </c>
      <c r="E4081" s="5">
        <v>40</v>
      </c>
      <c r="F4081" t="s" s="2">
        <v>301</v>
      </c>
      <c r="G4081" t="s" s="2">
        <v>7470</v>
      </c>
      <c r="H4081" s="5">
        <v>760</v>
      </c>
      <c r="I4081" t="s" s="2">
        <v>331</v>
      </c>
      <c r="J4081" t="s" s="2">
        <v>22</v>
      </c>
      <c r="K4081" t="s" s="2">
        <v>7558</v>
      </c>
      <c r="L4081" t="s" s="2">
        <v>7603</v>
      </c>
      <c r="M4081" s="5">
        <v>473729.49</v>
      </c>
      <c r="N4081" s="5">
        <v>6222923.83</v>
      </c>
      <c r="O4081" t="s" s="2">
        <v>305</v>
      </c>
      <c r="P4081" s="5">
        <v>85081</v>
      </c>
      <c r="Q4081" t="s" s="2">
        <v>7471</v>
      </c>
      <c r="R4081" t="s" s="2">
        <f>_xlfn.IFERROR(INDEX('model_byCAP'!$D$2:$D$377,MATCH(Q4081,'model_byCAP'!$A$2:$A$377,0)),0)</f>
        <v>7472</v>
      </c>
    </row>
    <row r="4082" ht="15.35" customHeight="1">
      <c r="A4082" t="s" s="2">
        <v>7604</v>
      </c>
      <c r="B4082" s="4">
        <v>34690</v>
      </c>
      <c r="C4082" s="5">
        <v>500</v>
      </c>
      <c r="D4082" s="5">
        <v>39</v>
      </c>
      <c r="E4082" s="5">
        <v>40.5</v>
      </c>
      <c r="F4082" t="s" s="2">
        <v>301</v>
      </c>
      <c r="G4082" t="s" s="2">
        <v>7470</v>
      </c>
      <c r="H4082" s="5">
        <v>760</v>
      </c>
      <c r="I4082" t="s" s="2">
        <v>331</v>
      </c>
      <c r="J4082" t="s" s="2">
        <v>22</v>
      </c>
      <c r="K4082" t="s" s="2">
        <v>7562</v>
      </c>
      <c r="L4082" t="s" s="2">
        <v>7605</v>
      </c>
      <c r="M4082" s="5">
        <v>472892.34</v>
      </c>
      <c r="N4082" s="5">
        <v>6223347.07</v>
      </c>
      <c r="O4082" t="s" s="2">
        <v>305</v>
      </c>
      <c r="P4082" t="s" s="2">
        <v>7563</v>
      </c>
      <c r="Q4082" t="s" s="2">
        <v>7471</v>
      </c>
      <c r="R4082" t="s" s="2">
        <f>_xlfn.IFERROR(INDEX('model_byCAP'!$D$2:$D$377,MATCH(Q4082,'model_byCAP'!$A$2:$A$377,0)),0)</f>
        <v>7472</v>
      </c>
    </row>
    <row r="4083" ht="15.35" customHeight="1">
      <c r="A4083" t="s" s="2">
        <v>7606</v>
      </c>
      <c r="B4083" s="4">
        <v>34690</v>
      </c>
      <c r="C4083" s="5">
        <v>500</v>
      </c>
      <c r="D4083" s="5">
        <v>39</v>
      </c>
      <c r="E4083" s="5">
        <v>40.5</v>
      </c>
      <c r="F4083" t="s" s="2">
        <v>301</v>
      </c>
      <c r="G4083" t="s" s="2">
        <v>7470</v>
      </c>
      <c r="H4083" s="5">
        <v>760</v>
      </c>
      <c r="I4083" t="s" s="2">
        <v>331</v>
      </c>
      <c r="J4083" t="s" s="2">
        <v>22</v>
      </c>
      <c r="K4083" t="s" s="2">
        <v>7562</v>
      </c>
      <c r="L4083" t="s" s="2">
        <v>7607</v>
      </c>
      <c r="M4083" s="5">
        <v>473060.14</v>
      </c>
      <c r="N4083" s="5">
        <v>6223262.27</v>
      </c>
      <c r="O4083" t="s" s="2">
        <v>305</v>
      </c>
      <c r="P4083" t="s" s="2">
        <v>7563</v>
      </c>
      <c r="Q4083" t="s" s="2">
        <v>7471</v>
      </c>
      <c r="R4083" t="s" s="2">
        <f>_xlfn.IFERROR(INDEX('model_byCAP'!$D$2:$D$377,MATCH(Q4083,'model_byCAP'!$A$2:$A$377,0)),0)</f>
        <v>7472</v>
      </c>
    </row>
    <row r="4084" ht="15.35" customHeight="1">
      <c r="A4084" t="s" s="2">
        <v>7608</v>
      </c>
      <c r="B4084" s="4">
        <v>34690</v>
      </c>
      <c r="C4084" s="5">
        <v>500</v>
      </c>
      <c r="D4084" s="5">
        <v>39</v>
      </c>
      <c r="E4084" s="5">
        <v>40.5</v>
      </c>
      <c r="F4084" t="s" s="2">
        <v>301</v>
      </c>
      <c r="G4084" t="s" s="2">
        <v>7470</v>
      </c>
      <c r="H4084" s="5">
        <v>760</v>
      </c>
      <c r="I4084" t="s" s="2">
        <v>331</v>
      </c>
      <c r="J4084" t="s" s="2">
        <v>22</v>
      </c>
      <c r="K4084" t="s" s="2">
        <v>7562</v>
      </c>
      <c r="L4084" t="s" s="2">
        <v>7607</v>
      </c>
      <c r="M4084" s="5">
        <v>473227.33</v>
      </c>
      <c r="N4084" s="5">
        <v>6223177.75</v>
      </c>
      <c r="O4084" t="s" s="2">
        <v>305</v>
      </c>
      <c r="P4084" t="s" s="2">
        <v>7563</v>
      </c>
      <c r="Q4084" t="s" s="2">
        <v>7471</v>
      </c>
      <c r="R4084" t="s" s="2">
        <f>_xlfn.IFERROR(INDEX('model_byCAP'!$D$2:$D$377,MATCH(Q4084,'model_byCAP'!$A$2:$A$377,0)),0)</f>
        <v>7472</v>
      </c>
    </row>
    <row r="4085" ht="15.35" customHeight="1">
      <c r="A4085" t="s" s="2">
        <v>7609</v>
      </c>
      <c r="B4085" s="4">
        <v>34690</v>
      </c>
      <c r="C4085" s="5">
        <v>500</v>
      </c>
      <c r="D4085" s="5">
        <v>39</v>
      </c>
      <c r="E4085" s="5">
        <v>40.5</v>
      </c>
      <c r="F4085" t="s" s="2">
        <v>301</v>
      </c>
      <c r="G4085" t="s" s="2">
        <v>7470</v>
      </c>
      <c r="H4085" s="5">
        <v>760</v>
      </c>
      <c r="I4085" t="s" s="2">
        <v>331</v>
      </c>
      <c r="J4085" t="s" s="2">
        <v>22</v>
      </c>
      <c r="K4085" t="s" s="2">
        <v>7562</v>
      </c>
      <c r="L4085" t="s" s="2">
        <v>7603</v>
      </c>
      <c r="M4085" s="5">
        <v>473394.43</v>
      </c>
      <c r="N4085" s="5">
        <v>6223093.15</v>
      </c>
      <c r="O4085" t="s" s="2">
        <v>305</v>
      </c>
      <c r="P4085" t="s" s="2">
        <v>7563</v>
      </c>
      <c r="Q4085" t="s" s="2">
        <v>7471</v>
      </c>
      <c r="R4085" t="s" s="2">
        <f>_xlfn.IFERROR(INDEX('model_byCAP'!$D$2:$D$377,MATCH(Q4085,'model_byCAP'!$A$2:$A$377,0)),0)</f>
        <v>7472</v>
      </c>
    </row>
    <row r="4086" ht="15.35" customHeight="1">
      <c r="A4086" t="s" s="2">
        <v>7610</v>
      </c>
      <c r="B4086" s="4">
        <v>34690</v>
      </c>
      <c r="C4086" s="5">
        <v>500</v>
      </c>
      <c r="D4086" s="5">
        <v>39</v>
      </c>
      <c r="E4086" s="5">
        <v>40.5</v>
      </c>
      <c r="F4086" t="s" s="2">
        <v>301</v>
      </c>
      <c r="G4086" t="s" s="2">
        <v>7470</v>
      </c>
      <c r="H4086" s="5">
        <v>760</v>
      </c>
      <c r="I4086" t="s" s="2">
        <v>331</v>
      </c>
      <c r="J4086" t="s" s="2">
        <v>22</v>
      </c>
      <c r="K4086" t="s" s="2">
        <v>7562</v>
      </c>
      <c r="L4086" t="s" s="2">
        <v>7603</v>
      </c>
      <c r="M4086" s="5">
        <v>473562.04</v>
      </c>
      <c r="N4086" s="5">
        <v>6223008.41</v>
      </c>
      <c r="O4086" t="s" s="2">
        <v>305</v>
      </c>
      <c r="P4086" t="s" s="2">
        <v>7563</v>
      </c>
      <c r="Q4086" t="s" s="2">
        <v>7471</v>
      </c>
      <c r="R4086" t="s" s="2">
        <f>_xlfn.IFERROR(INDEX('model_byCAP'!$D$2:$D$377,MATCH(Q4086,'model_byCAP'!$A$2:$A$377,0)),0)</f>
        <v>7472</v>
      </c>
    </row>
    <row r="4087" ht="15.35" customHeight="1">
      <c r="A4087" t="s" s="2">
        <v>7611</v>
      </c>
      <c r="B4087" s="4">
        <v>34690</v>
      </c>
      <c r="C4087" s="5">
        <v>500</v>
      </c>
      <c r="D4087" s="5">
        <v>39</v>
      </c>
      <c r="E4087" s="5">
        <v>40.5</v>
      </c>
      <c r="F4087" t="s" s="2">
        <v>301</v>
      </c>
      <c r="G4087" t="s" s="2">
        <v>7470</v>
      </c>
      <c r="H4087" s="5">
        <v>760</v>
      </c>
      <c r="I4087" t="s" s="2">
        <v>331</v>
      </c>
      <c r="J4087" t="s" s="2">
        <v>22</v>
      </c>
      <c r="K4087" t="s" s="2">
        <v>7562</v>
      </c>
      <c r="L4087" t="s" s="2">
        <v>1328</v>
      </c>
      <c r="M4087" s="5">
        <v>472947.99</v>
      </c>
      <c r="N4087" s="5">
        <v>6223968.54</v>
      </c>
      <c r="O4087" t="s" s="2">
        <v>305</v>
      </c>
      <c r="P4087" t="s" s="2">
        <v>7563</v>
      </c>
      <c r="Q4087" t="s" s="2">
        <v>7471</v>
      </c>
      <c r="R4087" t="s" s="2">
        <f>_xlfn.IFERROR(INDEX('model_byCAP'!$D$2:$D$377,MATCH(Q4087,'model_byCAP'!$A$2:$A$377,0)),0)</f>
        <v>7472</v>
      </c>
    </row>
    <row r="4088" ht="15.35" customHeight="1">
      <c r="A4088" t="s" s="2">
        <v>7612</v>
      </c>
      <c r="B4088" s="4">
        <v>34690</v>
      </c>
      <c r="C4088" s="5">
        <v>500</v>
      </c>
      <c r="D4088" s="5">
        <v>39</v>
      </c>
      <c r="E4088" s="5">
        <v>40.5</v>
      </c>
      <c r="F4088" t="s" s="2">
        <v>301</v>
      </c>
      <c r="G4088" t="s" s="2">
        <v>7470</v>
      </c>
      <c r="H4088" s="5">
        <v>760</v>
      </c>
      <c r="I4088" t="s" s="2">
        <v>331</v>
      </c>
      <c r="J4088" t="s" s="2">
        <v>22</v>
      </c>
      <c r="K4088" t="s" s="2">
        <v>7562</v>
      </c>
      <c r="L4088" t="s" s="2">
        <v>1328</v>
      </c>
      <c r="M4088" s="5">
        <v>473115.16</v>
      </c>
      <c r="N4088" s="5">
        <v>6223883.8</v>
      </c>
      <c r="O4088" t="s" s="2">
        <v>305</v>
      </c>
      <c r="P4088" t="s" s="2">
        <v>7563</v>
      </c>
      <c r="Q4088" t="s" s="2">
        <v>7471</v>
      </c>
      <c r="R4088" t="s" s="2">
        <f>_xlfn.IFERROR(INDEX('model_byCAP'!$D$2:$D$377,MATCH(Q4088,'model_byCAP'!$A$2:$A$377,0)),0)</f>
        <v>7472</v>
      </c>
    </row>
    <row r="4089" ht="15.35" customHeight="1">
      <c r="A4089" t="s" s="2">
        <v>7613</v>
      </c>
      <c r="B4089" s="4">
        <v>34690</v>
      </c>
      <c r="C4089" s="5">
        <v>500</v>
      </c>
      <c r="D4089" s="5">
        <v>39</v>
      </c>
      <c r="E4089" s="5">
        <v>40.5</v>
      </c>
      <c r="F4089" t="s" s="2">
        <v>301</v>
      </c>
      <c r="G4089" t="s" s="2">
        <v>7470</v>
      </c>
      <c r="H4089" s="5">
        <v>760</v>
      </c>
      <c r="I4089" t="s" s="2">
        <v>331</v>
      </c>
      <c r="J4089" t="s" s="2">
        <v>22</v>
      </c>
      <c r="K4089" t="s" s="2">
        <v>7562</v>
      </c>
      <c r="L4089" t="s" s="2">
        <v>1328</v>
      </c>
      <c r="M4089" s="5">
        <v>473282.63</v>
      </c>
      <c r="N4089" s="5">
        <v>6223799.43</v>
      </c>
      <c r="O4089" t="s" s="2">
        <v>305</v>
      </c>
      <c r="P4089" t="s" s="2">
        <v>7563</v>
      </c>
      <c r="Q4089" t="s" s="2">
        <v>7471</v>
      </c>
      <c r="R4089" t="s" s="2">
        <f>_xlfn.IFERROR(INDEX('model_byCAP'!$D$2:$D$377,MATCH(Q4089,'model_byCAP'!$A$2:$A$377,0)),0)</f>
        <v>7472</v>
      </c>
    </row>
    <row r="4090" ht="15.35" customHeight="1">
      <c r="A4090" t="s" s="2">
        <v>7614</v>
      </c>
      <c r="B4090" s="4">
        <v>34690</v>
      </c>
      <c r="C4090" s="5">
        <v>500</v>
      </c>
      <c r="D4090" s="5">
        <v>39</v>
      </c>
      <c r="E4090" s="5">
        <v>40.5</v>
      </c>
      <c r="F4090" t="s" s="2">
        <v>301</v>
      </c>
      <c r="G4090" t="s" s="2">
        <v>7470</v>
      </c>
      <c r="H4090" s="5">
        <v>760</v>
      </c>
      <c r="I4090" t="s" s="2">
        <v>331</v>
      </c>
      <c r="J4090" t="s" s="2">
        <v>22</v>
      </c>
      <c r="K4090" t="s" s="2">
        <v>7562</v>
      </c>
      <c r="L4090" t="s" s="2">
        <v>1328</v>
      </c>
      <c r="M4090" s="5">
        <v>473449.95</v>
      </c>
      <c r="N4090" s="5">
        <v>6223714.69</v>
      </c>
      <c r="O4090" t="s" s="2">
        <v>305</v>
      </c>
      <c r="P4090" t="s" s="2">
        <v>7563</v>
      </c>
      <c r="Q4090" t="s" s="2">
        <v>7471</v>
      </c>
      <c r="R4090" t="s" s="2">
        <f>_xlfn.IFERROR(INDEX('model_byCAP'!$D$2:$D$377,MATCH(Q4090,'model_byCAP'!$A$2:$A$377,0)),0)</f>
        <v>7472</v>
      </c>
    </row>
    <row r="4091" ht="15.35" customHeight="1">
      <c r="A4091" t="s" s="2">
        <v>7615</v>
      </c>
      <c r="B4091" s="4">
        <v>34690</v>
      </c>
      <c r="C4091" s="5">
        <v>500</v>
      </c>
      <c r="D4091" s="5">
        <v>39</v>
      </c>
      <c r="E4091" s="5">
        <v>40.5</v>
      </c>
      <c r="F4091" t="s" s="2">
        <v>301</v>
      </c>
      <c r="G4091" t="s" s="2">
        <v>7470</v>
      </c>
      <c r="H4091" s="5">
        <v>760</v>
      </c>
      <c r="I4091" t="s" s="2">
        <v>331</v>
      </c>
      <c r="J4091" t="s" s="2">
        <v>22</v>
      </c>
      <c r="K4091" t="s" s="2">
        <v>7562</v>
      </c>
      <c r="L4091" t="s" s="2">
        <v>7616</v>
      </c>
      <c r="M4091" s="5">
        <v>473617.32</v>
      </c>
      <c r="N4091" s="5">
        <v>6223630.23</v>
      </c>
      <c r="O4091" t="s" s="2">
        <v>305</v>
      </c>
      <c r="P4091" t="s" s="2">
        <v>7563</v>
      </c>
      <c r="Q4091" t="s" s="2">
        <v>7471</v>
      </c>
      <c r="R4091" t="s" s="2">
        <f>_xlfn.IFERROR(INDEX('model_byCAP'!$D$2:$D$377,MATCH(Q4091,'model_byCAP'!$A$2:$A$377,0)),0)</f>
        <v>7472</v>
      </c>
    </row>
    <row r="4092" ht="15.35" customHeight="1">
      <c r="A4092" t="s" s="2">
        <v>7617</v>
      </c>
      <c r="B4092" s="4">
        <v>34690</v>
      </c>
      <c r="C4092" s="5">
        <v>500</v>
      </c>
      <c r="D4092" s="5">
        <v>39</v>
      </c>
      <c r="E4092" s="5">
        <v>40.5</v>
      </c>
      <c r="F4092" t="s" s="2">
        <v>301</v>
      </c>
      <c r="G4092" t="s" s="2">
        <v>7470</v>
      </c>
      <c r="H4092" s="5">
        <v>760</v>
      </c>
      <c r="I4092" t="s" s="2">
        <v>331</v>
      </c>
      <c r="J4092" t="s" s="2">
        <v>22</v>
      </c>
      <c r="K4092" t="s" s="2">
        <v>7562</v>
      </c>
      <c r="L4092" t="s" s="2">
        <v>7616</v>
      </c>
      <c r="M4092" s="5">
        <v>473784.74</v>
      </c>
      <c r="N4092" s="5">
        <v>6223545.48</v>
      </c>
      <c r="O4092" t="s" s="2">
        <v>305</v>
      </c>
      <c r="P4092" t="s" s="2">
        <v>7563</v>
      </c>
      <c r="Q4092" t="s" s="2">
        <v>7471</v>
      </c>
      <c r="R4092" t="s" s="2">
        <f>_xlfn.IFERROR(INDEX('model_byCAP'!$D$2:$D$377,MATCH(Q4092,'model_byCAP'!$A$2:$A$377,0)),0)</f>
        <v>7472</v>
      </c>
    </row>
    <row r="4093" ht="15.35" customHeight="1">
      <c r="A4093" t="s" s="2">
        <v>7618</v>
      </c>
      <c r="B4093" s="4">
        <v>34690</v>
      </c>
      <c r="C4093" s="5">
        <v>500</v>
      </c>
      <c r="D4093" s="5">
        <v>39</v>
      </c>
      <c r="E4093" s="5">
        <v>40.5</v>
      </c>
      <c r="F4093" t="s" s="2">
        <v>301</v>
      </c>
      <c r="G4093" t="s" s="2">
        <v>7470</v>
      </c>
      <c r="H4093" s="5">
        <v>760</v>
      </c>
      <c r="I4093" t="s" s="2">
        <v>331</v>
      </c>
      <c r="J4093" t="s" s="2">
        <v>22</v>
      </c>
      <c r="K4093" t="s" s="2">
        <v>7562</v>
      </c>
      <c r="L4093" t="s" s="2">
        <v>7616</v>
      </c>
      <c r="M4093" s="5">
        <v>473952.18</v>
      </c>
      <c r="N4093" s="5">
        <v>6223460.84</v>
      </c>
      <c r="O4093" t="s" s="2">
        <v>305</v>
      </c>
      <c r="P4093" t="s" s="2">
        <v>7563</v>
      </c>
      <c r="Q4093" t="s" s="2">
        <v>7471</v>
      </c>
      <c r="R4093" t="s" s="2">
        <f>_xlfn.IFERROR(INDEX('model_byCAP'!$D$2:$D$377,MATCH(Q4093,'model_byCAP'!$A$2:$A$377,0)),0)</f>
        <v>7472</v>
      </c>
    </row>
    <row r="4094" ht="15.35" customHeight="1">
      <c r="A4094" t="s" s="2">
        <v>7619</v>
      </c>
      <c r="B4094" s="4">
        <v>34687</v>
      </c>
      <c r="C4094" s="5">
        <v>500</v>
      </c>
      <c r="D4094" s="5">
        <v>39</v>
      </c>
      <c r="E4094" s="5">
        <v>40.5</v>
      </c>
      <c r="F4094" t="s" s="2">
        <v>301</v>
      </c>
      <c r="G4094" t="s" s="2">
        <v>7470</v>
      </c>
      <c r="H4094" s="5">
        <v>773</v>
      </c>
      <c r="I4094" t="s" s="2">
        <v>1648</v>
      </c>
      <c r="J4094" t="s" s="2">
        <v>22</v>
      </c>
      <c r="K4094" t="s" s="2">
        <v>4153</v>
      </c>
      <c r="L4094" t="s" s="2">
        <v>2994</v>
      </c>
      <c r="M4094" s="5">
        <v>485477.13</v>
      </c>
      <c r="N4094" s="5">
        <v>6294957.96</v>
      </c>
      <c r="O4094" t="s" s="2">
        <v>305</v>
      </c>
      <c r="P4094" s="5">
        <v>223367</v>
      </c>
      <c r="Q4094" t="s" s="2">
        <v>7471</v>
      </c>
      <c r="R4094" t="s" s="2">
        <f>_xlfn.IFERROR(INDEX('model_byCAP'!$D$2:$D$377,MATCH(Q4094,'model_byCAP'!$A$2:$A$377,0)),0)</f>
        <v>7472</v>
      </c>
    </row>
    <row r="4095" ht="15.35" customHeight="1">
      <c r="A4095" t="s" s="2">
        <v>7620</v>
      </c>
      <c r="B4095" s="4">
        <v>34687</v>
      </c>
      <c r="C4095" s="5">
        <v>500</v>
      </c>
      <c r="D4095" s="5">
        <v>39</v>
      </c>
      <c r="E4095" s="5">
        <v>40.5</v>
      </c>
      <c r="F4095" t="s" s="2">
        <v>301</v>
      </c>
      <c r="G4095" t="s" s="2">
        <v>7470</v>
      </c>
      <c r="H4095" s="5">
        <v>773</v>
      </c>
      <c r="I4095" t="s" s="2">
        <v>1648</v>
      </c>
      <c r="J4095" t="s" s="2">
        <v>22</v>
      </c>
      <c r="K4095" t="s" s="2">
        <v>4153</v>
      </c>
      <c r="L4095" t="s" s="2">
        <v>2994</v>
      </c>
      <c r="M4095" s="5">
        <v>485477.96</v>
      </c>
      <c r="N4095" s="5">
        <v>6295119.8</v>
      </c>
      <c r="O4095" t="s" s="2">
        <v>305</v>
      </c>
      <c r="P4095" s="5">
        <v>223367</v>
      </c>
      <c r="Q4095" t="s" s="2">
        <v>7471</v>
      </c>
      <c r="R4095" t="s" s="2">
        <f>_xlfn.IFERROR(INDEX('model_byCAP'!$D$2:$D$377,MATCH(Q4095,'model_byCAP'!$A$2:$A$377,0)),0)</f>
        <v>7472</v>
      </c>
    </row>
    <row r="4096" ht="15.35" customHeight="1">
      <c r="A4096" t="s" s="2">
        <v>7621</v>
      </c>
      <c r="B4096" s="4">
        <v>34276</v>
      </c>
      <c r="C4096" s="5">
        <v>500</v>
      </c>
      <c r="D4096" s="5">
        <v>39</v>
      </c>
      <c r="E4096" s="5">
        <v>40.5</v>
      </c>
      <c r="F4096" t="s" s="2">
        <v>301</v>
      </c>
      <c r="G4096" t="s" s="2">
        <v>7470</v>
      </c>
      <c r="H4096" s="5">
        <v>779</v>
      </c>
      <c r="I4096" t="s" s="2">
        <v>1308</v>
      </c>
      <c r="J4096" t="s" s="2">
        <v>22</v>
      </c>
      <c r="K4096" t="s" s="2">
        <v>7622</v>
      </c>
      <c r="L4096" t="s" s="2">
        <v>585</v>
      </c>
      <c r="M4096" s="5">
        <v>500278.28</v>
      </c>
      <c r="N4096" s="5">
        <v>6276144.58</v>
      </c>
      <c r="O4096" t="s" s="2">
        <v>305</v>
      </c>
      <c r="P4096" s="5">
        <v>2050222</v>
      </c>
      <c r="Q4096" t="s" s="2">
        <v>7471</v>
      </c>
      <c r="R4096" t="s" s="2">
        <f>_xlfn.IFERROR(INDEX('model_byCAP'!$D$2:$D$377,MATCH(Q4096,'model_byCAP'!$A$2:$A$377,0)),0)</f>
        <v>7472</v>
      </c>
    </row>
    <row r="4097" ht="15.35" customHeight="1">
      <c r="A4097" t="s" s="2">
        <v>7623</v>
      </c>
      <c r="B4097" s="4">
        <v>34632</v>
      </c>
      <c r="C4097" s="5">
        <v>500</v>
      </c>
      <c r="D4097" s="5">
        <v>39</v>
      </c>
      <c r="E4097" s="5">
        <v>40.5</v>
      </c>
      <c r="F4097" t="s" s="2">
        <v>301</v>
      </c>
      <c r="G4097" t="s" s="2">
        <v>7470</v>
      </c>
      <c r="H4097" s="5">
        <v>779</v>
      </c>
      <c r="I4097" t="s" s="2">
        <v>1308</v>
      </c>
      <c r="J4097" t="s" s="2">
        <v>22</v>
      </c>
      <c r="K4097" t="s" s="2">
        <v>7019</v>
      </c>
      <c r="L4097" t="s" s="2">
        <v>1194</v>
      </c>
      <c r="M4097" s="5">
        <v>495214.56</v>
      </c>
      <c r="N4097" s="5">
        <v>6276481.46</v>
      </c>
      <c r="O4097" t="s" s="2">
        <v>305</v>
      </c>
      <c r="P4097" s="5">
        <v>2050227</v>
      </c>
      <c r="Q4097" t="s" s="2">
        <v>7471</v>
      </c>
      <c r="R4097" t="s" s="2">
        <f>_xlfn.IFERROR(INDEX('model_byCAP'!$D$2:$D$377,MATCH(Q4097,'model_byCAP'!$A$2:$A$377,0)),0)</f>
        <v>7472</v>
      </c>
    </row>
    <row r="4098" ht="15.35" customHeight="1">
      <c r="A4098" t="s" s="2">
        <v>7624</v>
      </c>
      <c r="B4098" s="4">
        <v>34690</v>
      </c>
      <c r="C4098" s="5">
        <v>500</v>
      </c>
      <c r="D4098" s="5">
        <v>39</v>
      </c>
      <c r="E4098" s="5">
        <v>40.5</v>
      </c>
      <c r="F4098" t="s" s="2">
        <v>301</v>
      </c>
      <c r="G4098" t="s" s="2">
        <v>7470</v>
      </c>
      <c r="H4098" s="5">
        <v>779</v>
      </c>
      <c r="I4098" t="s" s="2">
        <v>1308</v>
      </c>
      <c r="J4098" t="s" s="2">
        <v>22</v>
      </c>
      <c r="K4098" t="s" s="2">
        <v>7625</v>
      </c>
      <c r="L4098" t="s" s="2">
        <v>7626</v>
      </c>
      <c r="M4098" s="5">
        <v>491288.5</v>
      </c>
      <c r="N4098" s="5">
        <v>6280386.25</v>
      </c>
      <c r="O4098" t="s" s="2">
        <v>305</v>
      </c>
      <c r="P4098" s="5">
        <v>2050229</v>
      </c>
      <c r="Q4098" t="s" s="2">
        <v>7471</v>
      </c>
      <c r="R4098" t="s" s="2">
        <f>_xlfn.IFERROR(INDEX('model_byCAP'!$D$2:$D$377,MATCH(Q4098,'model_byCAP'!$A$2:$A$377,0)),0)</f>
        <v>7472</v>
      </c>
    </row>
    <row r="4099" ht="15.35" customHeight="1">
      <c r="A4099" t="s" s="2">
        <v>7627</v>
      </c>
      <c r="B4099" s="4">
        <v>34801</v>
      </c>
      <c r="C4099" s="5">
        <v>500</v>
      </c>
      <c r="D4099" s="5">
        <v>39</v>
      </c>
      <c r="E4099" s="5">
        <v>40.5</v>
      </c>
      <c r="F4099" t="s" s="2">
        <v>301</v>
      </c>
      <c r="G4099" t="s" s="2">
        <v>7470</v>
      </c>
      <c r="H4099" s="5">
        <v>779</v>
      </c>
      <c r="I4099" t="s" s="2">
        <v>1308</v>
      </c>
      <c r="J4099" t="s" s="2">
        <v>22</v>
      </c>
      <c r="K4099" t="s" s="2">
        <v>7628</v>
      </c>
      <c r="L4099" t="s" s="2">
        <v>2348</v>
      </c>
      <c r="M4099" s="5">
        <v>500958.5</v>
      </c>
      <c r="N4099" s="5">
        <v>6284809.11</v>
      </c>
      <c r="O4099" t="s" s="2">
        <v>305</v>
      </c>
      <c r="P4099" s="5">
        <v>2050231</v>
      </c>
      <c r="Q4099" t="s" s="2">
        <v>7471</v>
      </c>
      <c r="R4099" t="s" s="2">
        <f>_xlfn.IFERROR(INDEX('model_byCAP'!$D$2:$D$377,MATCH(Q4099,'model_byCAP'!$A$2:$A$377,0)),0)</f>
        <v>7472</v>
      </c>
    </row>
    <row r="4100" ht="15.35" customHeight="1">
      <c r="A4100" t="s" s="2">
        <v>7629</v>
      </c>
      <c r="B4100" s="4">
        <v>33989</v>
      </c>
      <c r="C4100" s="5">
        <v>500</v>
      </c>
      <c r="D4100" s="5">
        <v>39</v>
      </c>
      <c r="E4100" s="5">
        <v>40.5</v>
      </c>
      <c r="F4100" t="s" s="2">
        <v>301</v>
      </c>
      <c r="G4100" t="s" s="2">
        <v>7477</v>
      </c>
      <c r="H4100" s="5">
        <v>201</v>
      </c>
      <c r="I4100" t="s" s="2">
        <v>2804</v>
      </c>
      <c r="J4100" t="s" s="2">
        <v>22</v>
      </c>
      <c r="K4100" t="s" s="2">
        <v>7630</v>
      </c>
      <c r="L4100" t="s" s="2">
        <v>2872</v>
      </c>
      <c r="M4100" s="5">
        <v>705673.78</v>
      </c>
      <c r="N4100" s="5">
        <v>6196241.93</v>
      </c>
      <c r="O4100" t="s" s="2">
        <v>305</v>
      </c>
      <c r="P4100" t="s" s="2">
        <v>7631</v>
      </c>
      <c r="Q4100" t="s" s="2">
        <v>7478</v>
      </c>
      <c r="R4100" t="s" s="2">
        <f>_xlfn.IFERROR(INDEX('model_byCAP'!$D$2:$D$377,MATCH(Q4100,'model_byCAP'!$A$2:$A$377,0)),0)</f>
        <v>7472</v>
      </c>
    </row>
    <row r="4101" ht="15.35" customHeight="1">
      <c r="A4101" t="s" s="2">
        <v>7632</v>
      </c>
      <c r="B4101" s="4">
        <v>34352</v>
      </c>
      <c r="C4101" s="5">
        <v>500</v>
      </c>
      <c r="D4101" s="5">
        <v>37</v>
      </c>
      <c r="E4101" s="5">
        <v>35</v>
      </c>
      <c r="F4101" t="s" s="2">
        <v>42</v>
      </c>
      <c r="G4101" t="s" s="2">
        <v>42</v>
      </c>
      <c r="H4101" s="5">
        <v>259</v>
      </c>
      <c r="I4101" t="s" s="2">
        <v>4904</v>
      </c>
      <c r="J4101" t="s" s="2">
        <v>22</v>
      </c>
      <c r="K4101" t="s" s="2">
        <v>7451</v>
      </c>
      <c r="L4101" t="s" s="2">
        <v>4147</v>
      </c>
      <c r="M4101" s="5">
        <v>696016.03</v>
      </c>
      <c r="N4101" s="5">
        <v>6156964</v>
      </c>
      <c r="O4101" t="s" s="2">
        <v>305</v>
      </c>
      <c r="P4101" s="5">
        <v>181300</v>
      </c>
      <c r="Q4101" t="s" s="2">
        <v>43</v>
      </c>
      <c r="R4101" s="5">
        <f>_xlfn.IFERROR(INDEX('model_byCAP'!$D$2:$D$377,MATCH(Q4101,'model_byCAP'!$A$2:$A$377,0)),0)</f>
        <v>0</v>
      </c>
    </row>
    <row r="4102" ht="15.35" customHeight="1">
      <c r="A4102" t="s" s="2">
        <v>7633</v>
      </c>
      <c r="B4102" s="4">
        <v>34352</v>
      </c>
      <c r="C4102" s="5">
        <v>500</v>
      </c>
      <c r="D4102" s="5">
        <v>37</v>
      </c>
      <c r="E4102" s="5">
        <v>35</v>
      </c>
      <c r="F4102" t="s" s="2">
        <v>42</v>
      </c>
      <c r="G4102" t="s" s="2">
        <v>42</v>
      </c>
      <c r="H4102" s="5">
        <v>259</v>
      </c>
      <c r="I4102" t="s" s="2">
        <v>4904</v>
      </c>
      <c r="J4102" t="s" s="2">
        <v>22</v>
      </c>
      <c r="K4102" t="s" s="2">
        <v>7451</v>
      </c>
      <c r="L4102" t="s" s="2">
        <v>4147</v>
      </c>
      <c r="M4102" s="5">
        <v>695993.22</v>
      </c>
      <c r="N4102" s="5">
        <v>6156832.08</v>
      </c>
      <c r="O4102" t="s" s="2">
        <v>305</v>
      </c>
      <c r="P4102" s="5">
        <v>181301</v>
      </c>
      <c r="Q4102" t="s" s="2">
        <v>43</v>
      </c>
      <c r="R4102" s="5">
        <f>_xlfn.IFERROR(INDEX('model_byCAP'!$D$2:$D$377,MATCH(Q4102,'model_byCAP'!$A$2:$A$377,0)),0)</f>
        <v>0</v>
      </c>
    </row>
    <row r="4103" ht="15.35" customHeight="1">
      <c r="A4103" t="s" s="2">
        <v>7634</v>
      </c>
      <c r="B4103" s="4">
        <v>34352</v>
      </c>
      <c r="C4103" s="5">
        <v>500</v>
      </c>
      <c r="D4103" s="5">
        <v>37</v>
      </c>
      <c r="E4103" s="5">
        <v>35</v>
      </c>
      <c r="F4103" t="s" s="2">
        <v>42</v>
      </c>
      <c r="G4103" t="s" s="2">
        <v>42</v>
      </c>
      <c r="H4103" s="5">
        <v>259</v>
      </c>
      <c r="I4103" t="s" s="2">
        <v>4904</v>
      </c>
      <c r="J4103" t="s" s="2">
        <v>22</v>
      </c>
      <c r="K4103" t="s" s="2">
        <v>7451</v>
      </c>
      <c r="L4103" t="s" s="2">
        <v>4147</v>
      </c>
      <c r="M4103" s="5">
        <v>695969.96</v>
      </c>
      <c r="N4103" s="5">
        <v>6156698.24</v>
      </c>
      <c r="O4103" t="s" s="2">
        <v>305</v>
      </c>
      <c r="P4103" s="5">
        <v>181302</v>
      </c>
      <c r="Q4103" t="s" s="2">
        <v>43</v>
      </c>
      <c r="R4103" s="5">
        <f>_xlfn.IFERROR(INDEX('model_byCAP'!$D$2:$D$377,MATCH(Q4103,'model_byCAP'!$A$2:$A$377,0)),0)</f>
        <v>0</v>
      </c>
    </row>
    <row r="4104" ht="15.35" customHeight="1">
      <c r="A4104" t="s" s="2">
        <v>7635</v>
      </c>
      <c r="B4104" s="4">
        <v>34365</v>
      </c>
      <c r="C4104" s="5">
        <v>500</v>
      </c>
      <c r="D4104" s="5">
        <v>37</v>
      </c>
      <c r="E4104" s="5">
        <v>33.8</v>
      </c>
      <c r="F4104" t="s" s="2">
        <v>42</v>
      </c>
      <c r="G4104" t="s" s="2">
        <v>42</v>
      </c>
      <c r="H4104" s="5">
        <v>787</v>
      </c>
      <c r="I4104" t="s" s="2">
        <v>21</v>
      </c>
      <c r="J4104" t="s" s="2">
        <v>22</v>
      </c>
      <c r="K4104" t="s" s="2">
        <v>7636</v>
      </c>
      <c r="L4104" t="s" s="2">
        <v>3414</v>
      </c>
      <c r="M4104" s="5">
        <v>483926.73</v>
      </c>
      <c r="N4104" s="5">
        <v>6316904.79</v>
      </c>
      <c r="O4104" t="s" s="2">
        <v>305</v>
      </c>
      <c r="P4104" s="5">
        <v>38500100</v>
      </c>
      <c r="Q4104" t="s" s="2">
        <v>43</v>
      </c>
      <c r="R4104" s="5">
        <f>_xlfn.IFERROR(INDEX('model_byCAP'!$D$2:$D$377,MATCH(Q4104,'model_byCAP'!$A$2:$A$377,0)),0)</f>
        <v>0</v>
      </c>
    </row>
    <row r="4105" ht="15.35" customHeight="1">
      <c r="A4105" t="s" s="2">
        <v>7637</v>
      </c>
      <c r="B4105" s="4">
        <v>33848</v>
      </c>
      <c r="C4105" s="5">
        <v>500</v>
      </c>
      <c r="D4105" s="5">
        <v>41</v>
      </c>
      <c r="E4105" s="5">
        <v>37</v>
      </c>
      <c r="F4105" t="s" s="2">
        <v>6608</v>
      </c>
      <c r="G4105" t="s" s="2">
        <v>7638</v>
      </c>
      <c r="H4105" s="5">
        <v>265</v>
      </c>
      <c r="I4105" t="s" s="2">
        <v>3920</v>
      </c>
      <c r="J4105" t="s" s="2">
        <v>22</v>
      </c>
      <c r="K4105" t="s" s="2">
        <v>3921</v>
      </c>
      <c r="L4105" t="s" s="2">
        <v>431</v>
      </c>
      <c r="M4105" s="5">
        <v>694759.92</v>
      </c>
      <c r="N4105" s="5">
        <v>6175799.5</v>
      </c>
      <c r="O4105" t="s" s="2">
        <v>305</v>
      </c>
      <c r="P4105" s="5">
        <v>15449927</v>
      </c>
      <c r="Q4105" t="s" s="2">
        <v>7639</v>
      </c>
      <c r="R4105" t="s" s="2">
        <f>_xlfn.IFERROR(INDEX('model_byCAP'!$D$2:$D$377,MATCH(Q4105,'model_byCAP'!$A$2:$A$377,0)),0)</f>
        <v>7369</v>
      </c>
    </row>
    <row r="4106" ht="15.35" customHeight="1">
      <c r="A4106" t="s" s="2">
        <v>7640</v>
      </c>
      <c r="B4106" s="4">
        <v>34043</v>
      </c>
      <c r="C4106" s="5">
        <v>500</v>
      </c>
      <c r="D4106" s="5">
        <v>39</v>
      </c>
      <c r="E4106" s="5">
        <v>40.5</v>
      </c>
      <c r="F4106" t="s" s="2">
        <v>301</v>
      </c>
      <c r="G4106" t="s" s="2">
        <v>7470</v>
      </c>
      <c r="H4106" s="5">
        <v>787</v>
      </c>
      <c r="I4106" t="s" s="2">
        <v>21</v>
      </c>
      <c r="J4106" t="s" s="2">
        <v>22</v>
      </c>
      <c r="K4106" t="s" s="2">
        <v>4918</v>
      </c>
      <c r="L4106" t="s" s="2">
        <v>1196</v>
      </c>
      <c r="M4106" s="5">
        <v>465067.76</v>
      </c>
      <c r="N4106" s="5">
        <v>6293961.05</v>
      </c>
      <c r="O4106" t="s" s="2">
        <v>305</v>
      </c>
      <c r="P4106" s="5">
        <v>160136</v>
      </c>
      <c r="Q4106" t="s" s="2">
        <v>7471</v>
      </c>
      <c r="R4106" t="s" s="2">
        <f>_xlfn.IFERROR(INDEX('model_byCAP'!$D$2:$D$377,MATCH(Q4106,'model_byCAP'!$A$2:$A$377,0)),0)</f>
        <v>7472</v>
      </c>
    </row>
    <row r="4107" ht="15.35" customHeight="1">
      <c r="A4107" t="s" s="2">
        <v>7641</v>
      </c>
      <c r="B4107" s="4">
        <v>34323</v>
      </c>
      <c r="C4107" s="5">
        <v>500</v>
      </c>
      <c r="D4107" s="5">
        <v>39</v>
      </c>
      <c r="E4107" s="5">
        <v>40.5</v>
      </c>
      <c r="F4107" t="s" s="2">
        <v>301</v>
      </c>
      <c r="G4107" t="s" s="2">
        <v>7470</v>
      </c>
      <c r="H4107" s="5">
        <v>787</v>
      </c>
      <c r="I4107" t="s" s="2">
        <v>21</v>
      </c>
      <c r="J4107" t="s" s="2">
        <v>22</v>
      </c>
      <c r="K4107" t="s" s="2">
        <v>7642</v>
      </c>
      <c r="L4107" t="s" s="2">
        <v>481</v>
      </c>
      <c r="M4107" s="5">
        <v>472536.23</v>
      </c>
      <c r="N4107" s="5">
        <v>6306112.48</v>
      </c>
      <c r="O4107" t="s" s="2">
        <v>305</v>
      </c>
      <c r="P4107" s="5">
        <v>160158</v>
      </c>
      <c r="Q4107" t="s" s="2">
        <v>7471</v>
      </c>
      <c r="R4107" t="s" s="2">
        <f>_xlfn.IFERROR(INDEX('model_byCAP'!$D$2:$D$377,MATCH(Q4107,'model_byCAP'!$A$2:$A$377,0)),0)</f>
        <v>7472</v>
      </c>
    </row>
    <row r="4108" ht="15.35" customHeight="1">
      <c r="A4108" t="s" s="2">
        <v>7643</v>
      </c>
      <c r="B4108" s="4">
        <v>34744</v>
      </c>
      <c r="C4108" s="5">
        <v>500</v>
      </c>
      <c r="D4108" s="5">
        <v>37</v>
      </c>
      <c r="E4108" s="5">
        <v>35</v>
      </c>
      <c r="F4108" t="s" s="2">
        <v>4716</v>
      </c>
      <c r="G4108" t="s" s="2">
        <v>7440</v>
      </c>
      <c r="H4108" s="5">
        <v>787</v>
      </c>
      <c r="I4108" t="s" s="2">
        <v>21</v>
      </c>
      <c r="J4108" t="s" s="2">
        <v>22</v>
      </c>
      <c r="K4108" t="s" s="2">
        <v>7644</v>
      </c>
      <c r="L4108" t="s" s="2">
        <v>941</v>
      </c>
      <c r="M4108" s="5">
        <v>475135.44</v>
      </c>
      <c r="N4108" s="5">
        <v>6301210.33</v>
      </c>
      <c r="O4108" t="s" s="2">
        <v>305</v>
      </c>
      <c r="P4108" s="5">
        <v>160185</v>
      </c>
      <c r="Q4108" t="s" s="2">
        <v>7442</v>
      </c>
      <c r="R4108" t="s" s="2">
        <f>_xlfn.IFERROR(INDEX('model_byCAP'!$D$2:$D$377,MATCH(Q4108,'model_byCAP'!$A$2:$A$377,0)),0)</f>
        <v>7443</v>
      </c>
    </row>
    <row r="4109" ht="15.35" customHeight="1">
      <c r="A4109" t="s" s="2">
        <v>7645</v>
      </c>
      <c r="B4109" s="4">
        <v>34785</v>
      </c>
      <c r="C4109" s="5">
        <v>500</v>
      </c>
      <c r="D4109" s="5">
        <v>39</v>
      </c>
      <c r="E4109" s="5">
        <v>40.5</v>
      </c>
      <c r="F4109" t="s" s="2">
        <v>301</v>
      </c>
      <c r="G4109" t="s" s="2">
        <v>7470</v>
      </c>
      <c r="H4109" s="5">
        <v>787</v>
      </c>
      <c r="I4109" t="s" s="2">
        <v>21</v>
      </c>
      <c r="J4109" t="s" s="2">
        <v>22</v>
      </c>
      <c r="K4109" t="s" s="2">
        <v>7646</v>
      </c>
      <c r="L4109" t="s" s="2">
        <v>2078</v>
      </c>
      <c r="M4109" s="5">
        <v>464556.33</v>
      </c>
      <c r="N4109" s="5">
        <v>6287202.5</v>
      </c>
      <c r="O4109" t="s" s="2">
        <v>305</v>
      </c>
      <c r="P4109" s="5">
        <v>160190</v>
      </c>
      <c r="Q4109" t="s" s="2">
        <v>7471</v>
      </c>
      <c r="R4109" t="s" s="2">
        <f>_xlfn.IFERROR(INDEX('model_byCAP'!$D$2:$D$377,MATCH(Q4109,'model_byCAP'!$A$2:$A$377,0)),0)</f>
        <v>7472</v>
      </c>
    </row>
    <row r="4110" ht="15.35" customHeight="1">
      <c r="A4110" t="s" s="2">
        <v>7647</v>
      </c>
      <c r="B4110" s="4">
        <v>34963</v>
      </c>
      <c r="C4110" s="5">
        <v>500</v>
      </c>
      <c r="D4110" s="5">
        <v>39</v>
      </c>
      <c r="E4110" s="5">
        <v>40.5</v>
      </c>
      <c r="F4110" t="s" s="2">
        <v>301</v>
      </c>
      <c r="G4110" t="s" s="2">
        <v>7470</v>
      </c>
      <c r="H4110" s="5">
        <v>787</v>
      </c>
      <c r="I4110" t="s" s="2">
        <v>21</v>
      </c>
      <c r="J4110" t="s" s="2">
        <v>22</v>
      </c>
      <c r="K4110" t="s" s="2">
        <v>7117</v>
      </c>
      <c r="L4110" t="s" s="2">
        <v>3830</v>
      </c>
      <c r="M4110" s="5">
        <v>469631.87</v>
      </c>
      <c r="N4110" s="5">
        <v>6306499.27</v>
      </c>
      <c r="O4110" t="s" s="2">
        <v>305</v>
      </c>
      <c r="P4110" s="5">
        <v>160202</v>
      </c>
      <c r="Q4110" t="s" s="2">
        <v>7471</v>
      </c>
      <c r="R4110" t="s" s="2">
        <f>_xlfn.IFERROR(INDEX('model_byCAP'!$D$2:$D$377,MATCH(Q4110,'model_byCAP'!$A$2:$A$377,0)),0)</f>
        <v>7472</v>
      </c>
    </row>
    <row r="4111" ht="15.35" customHeight="1">
      <c r="A4111" t="s" s="2">
        <v>7648</v>
      </c>
      <c r="B4111" s="4">
        <v>34600</v>
      </c>
      <c r="C4111" s="5">
        <v>500</v>
      </c>
      <c r="D4111" s="5">
        <v>39</v>
      </c>
      <c r="E4111" s="5">
        <v>40.5</v>
      </c>
      <c r="F4111" t="s" s="2">
        <v>301</v>
      </c>
      <c r="G4111" t="s" s="2">
        <v>7470</v>
      </c>
      <c r="H4111" s="5">
        <v>787</v>
      </c>
      <c r="I4111" t="s" s="2">
        <v>21</v>
      </c>
      <c r="J4111" t="s" s="2">
        <v>22</v>
      </c>
      <c r="K4111" t="s" s="2">
        <v>7115</v>
      </c>
      <c r="L4111" t="s" s="2">
        <v>2931</v>
      </c>
      <c r="M4111" s="5">
        <v>463487.5</v>
      </c>
      <c r="N4111" s="5">
        <v>6287937.21</v>
      </c>
      <c r="O4111" t="s" s="2">
        <v>305</v>
      </c>
      <c r="P4111" s="5">
        <v>160328</v>
      </c>
      <c r="Q4111" t="s" s="2">
        <v>7471</v>
      </c>
      <c r="R4111" t="s" s="2">
        <f>_xlfn.IFERROR(INDEX('model_byCAP'!$D$2:$D$377,MATCH(Q4111,'model_byCAP'!$A$2:$A$377,0)),0)</f>
        <v>7472</v>
      </c>
    </row>
    <row r="4112" ht="15.35" customHeight="1">
      <c r="A4112" t="s" s="2">
        <v>7649</v>
      </c>
      <c r="B4112" s="4">
        <v>34515</v>
      </c>
      <c r="C4112" s="5">
        <v>500</v>
      </c>
      <c r="D4112" s="5">
        <v>39</v>
      </c>
      <c r="E4112" s="5">
        <v>38</v>
      </c>
      <c r="F4112" t="s" s="2">
        <v>301</v>
      </c>
      <c r="G4112" t="s" s="2">
        <v>7470</v>
      </c>
      <c r="H4112" s="5">
        <v>787</v>
      </c>
      <c r="I4112" t="s" s="2">
        <v>21</v>
      </c>
      <c r="J4112" t="s" s="2">
        <v>22</v>
      </c>
      <c r="K4112" t="s" s="2">
        <v>7650</v>
      </c>
      <c r="L4112" s="5">
        <v>1</v>
      </c>
      <c r="M4112" s="5">
        <v>464377.48</v>
      </c>
      <c r="N4112" s="5">
        <v>6292453.3</v>
      </c>
      <c r="O4112" t="s" s="2">
        <v>305</v>
      </c>
      <c r="P4112" s="5">
        <v>60160</v>
      </c>
      <c r="Q4112" t="s" s="2">
        <v>7471</v>
      </c>
      <c r="R4112" t="s" s="2">
        <f>_xlfn.IFERROR(INDEX('model_byCAP'!$D$2:$D$377,MATCH(Q4112,'model_byCAP'!$A$2:$A$377,0)),0)</f>
        <v>7472</v>
      </c>
    </row>
    <row r="4113" ht="15.35" customHeight="1">
      <c r="A4113" t="s" s="2">
        <v>7651</v>
      </c>
      <c r="B4113" s="4">
        <v>34684</v>
      </c>
      <c r="C4113" s="5">
        <v>500</v>
      </c>
      <c r="D4113" s="5">
        <v>39</v>
      </c>
      <c r="E4113" s="5">
        <v>40</v>
      </c>
      <c r="F4113" t="s" s="2">
        <v>301</v>
      </c>
      <c r="G4113" t="s" s="2">
        <v>7470</v>
      </c>
      <c r="H4113" s="5">
        <v>791</v>
      </c>
      <c r="I4113" t="s" s="2">
        <v>1447</v>
      </c>
      <c r="J4113" t="s" s="2">
        <v>22</v>
      </c>
      <c r="K4113" t="s" s="2">
        <v>7652</v>
      </c>
      <c r="L4113" t="s" s="2">
        <v>3317</v>
      </c>
      <c r="M4113" s="5">
        <v>538701.21</v>
      </c>
      <c r="N4113" s="5">
        <v>6250469.33</v>
      </c>
      <c r="O4113" t="s" s="2">
        <v>305</v>
      </c>
      <c r="P4113" s="5">
        <v>3122202</v>
      </c>
      <c r="Q4113" t="s" s="2">
        <v>7471</v>
      </c>
      <c r="R4113" t="s" s="2">
        <f>_xlfn.IFERROR(INDEX('model_byCAP'!$D$2:$D$377,MATCH(Q4113,'model_byCAP'!$A$2:$A$377,0)),0)</f>
        <v>7472</v>
      </c>
    </row>
    <row r="4114" ht="15.35" customHeight="1">
      <c r="A4114" t="s" s="2">
        <v>7653</v>
      </c>
      <c r="B4114" s="4">
        <v>34247</v>
      </c>
      <c r="C4114" s="5">
        <v>500</v>
      </c>
      <c r="D4114" s="5">
        <v>42</v>
      </c>
      <c r="E4114" s="5">
        <v>40</v>
      </c>
      <c r="F4114" t="s" s="2">
        <v>301</v>
      </c>
      <c r="G4114" t="s" s="2">
        <v>6278</v>
      </c>
      <c r="H4114" s="5">
        <v>791</v>
      </c>
      <c r="I4114" t="s" s="2">
        <v>1447</v>
      </c>
      <c r="J4114" t="s" s="2">
        <v>22</v>
      </c>
      <c r="K4114" t="s" s="2">
        <v>7652</v>
      </c>
      <c r="L4114" t="s" s="2">
        <v>3317</v>
      </c>
      <c r="M4114" s="5">
        <v>538600.0699999999</v>
      </c>
      <c r="N4114" s="5">
        <v>6250633.56</v>
      </c>
      <c r="O4114" t="s" s="2">
        <v>305</v>
      </c>
      <c r="P4114" s="5">
        <v>3122871</v>
      </c>
      <c r="Q4114" t="s" s="2">
        <v>6280</v>
      </c>
      <c r="R4114" t="s" s="2">
        <f>_xlfn.IFERROR(INDEX('model_byCAP'!$D$2:$D$377,MATCH(Q4114,'model_byCAP'!$A$2:$A$377,0)),0)</f>
        <v>6103</v>
      </c>
    </row>
    <row r="4115" ht="15.35" customHeight="1">
      <c r="A4115" t="s" s="2">
        <v>7654</v>
      </c>
      <c r="B4115" s="4">
        <v>34471</v>
      </c>
      <c r="C4115" s="5">
        <v>500</v>
      </c>
      <c r="D4115" s="5">
        <v>39</v>
      </c>
      <c r="E4115" s="5">
        <v>40.5</v>
      </c>
      <c r="F4115" t="s" s="2">
        <v>301</v>
      </c>
      <c r="G4115" t="s" s="2">
        <v>7470</v>
      </c>
      <c r="H4115" s="5">
        <v>791</v>
      </c>
      <c r="I4115" t="s" s="2">
        <v>1447</v>
      </c>
      <c r="J4115" t="s" s="2">
        <v>22</v>
      </c>
      <c r="K4115" t="s" s="2">
        <v>4927</v>
      </c>
      <c r="L4115" t="s" s="2">
        <v>7655</v>
      </c>
      <c r="M4115" s="5">
        <v>501245.56</v>
      </c>
      <c r="N4115" s="5">
        <v>6253456.68</v>
      </c>
      <c r="O4115" t="s" s="2">
        <v>305</v>
      </c>
      <c r="P4115" s="5">
        <v>2050223</v>
      </c>
      <c r="Q4115" t="s" s="2">
        <v>7471</v>
      </c>
      <c r="R4115" t="s" s="2">
        <f>_xlfn.IFERROR(INDEX('model_byCAP'!$D$2:$D$377,MATCH(Q4115,'model_byCAP'!$A$2:$A$377,0)),0)</f>
        <v>7472</v>
      </c>
    </row>
    <row r="4116" ht="15.35" customHeight="1">
      <c r="A4116" t="s" s="2">
        <v>7656</v>
      </c>
      <c r="B4116" s="4">
        <v>34612</v>
      </c>
      <c r="C4116" s="5">
        <v>500</v>
      </c>
      <c r="D4116" s="5">
        <v>39</v>
      </c>
      <c r="E4116" s="5">
        <v>40.5</v>
      </c>
      <c r="F4116" t="s" s="2">
        <v>42</v>
      </c>
      <c r="G4116" t="s" s="2">
        <v>42</v>
      </c>
      <c r="H4116" s="5">
        <v>791</v>
      </c>
      <c r="I4116" t="s" s="2">
        <v>1447</v>
      </c>
      <c r="J4116" t="s" s="2">
        <v>22</v>
      </c>
      <c r="K4116" t="s" s="2">
        <v>4927</v>
      </c>
      <c r="L4116" t="s" s="2">
        <v>492</v>
      </c>
      <c r="M4116" s="5">
        <v>501748.63</v>
      </c>
      <c r="N4116" s="5">
        <v>6258150</v>
      </c>
      <c r="O4116" t="s" s="2">
        <v>305</v>
      </c>
      <c r="P4116" s="5">
        <v>2050225</v>
      </c>
      <c r="Q4116" t="s" s="2">
        <v>43</v>
      </c>
      <c r="R4116" s="5">
        <f>_xlfn.IFERROR(INDEX('model_byCAP'!$D$2:$D$377,MATCH(Q4116,'model_byCAP'!$A$2:$A$377,0)),0)</f>
        <v>0</v>
      </c>
    </row>
    <row r="4117" ht="15.35" customHeight="1">
      <c r="A4117" t="s" s="2">
        <v>7657</v>
      </c>
      <c r="B4117" s="4">
        <v>34816</v>
      </c>
      <c r="C4117" s="5">
        <v>500</v>
      </c>
      <c r="D4117" s="5">
        <v>37.2</v>
      </c>
      <c r="E4117" s="5">
        <v>35</v>
      </c>
      <c r="F4117" t="s" s="2">
        <v>6608</v>
      </c>
      <c r="G4117" t="s" s="2">
        <v>7658</v>
      </c>
      <c r="H4117" s="5">
        <v>820</v>
      </c>
      <c r="I4117" t="s" s="2">
        <v>388</v>
      </c>
      <c r="J4117" t="s" s="2">
        <v>22</v>
      </c>
      <c r="K4117" t="s" s="2">
        <v>7163</v>
      </c>
      <c r="L4117" t="s" s="2">
        <v>492</v>
      </c>
      <c r="M4117" s="5">
        <v>528109.55</v>
      </c>
      <c r="N4117" s="5">
        <v>6293097.09</v>
      </c>
      <c r="O4117" t="s" s="2">
        <v>305</v>
      </c>
      <c r="P4117" s="5">
        <v>324</v>
      </c>
      <c r="Q4117" t="s" s="2">
        <v>7659</v>
      </c>
      <c r="R4117" t="s" s="2">
        <f>_xlfn.IFERROR(INDEX('model_byCAP'!$D$2:$D$377,MATCH(Q4117,'model_byCAP'!$A$2:$A$377,0)),0)</f>
        <v>7369</v>
      </c>
    </row>
    <row r="4118" ht="15.35" customHeight="1">
      <c r="A4118" t="s" s="2">
        <v>7660</v>
      </c>
      <c r="B4118" s="4">
        <v>35179</v>
      </c>
      <c r="C4118" s="5">
        <v>500</v>
      </c>
      <c r="D4118" s="5">
        <v>39</v>
      </c>
      <c r="E4118" s="5">
        <v>45</v>
      </c>
      <c r="F4118" t="s" s="2">
        <v>301</v>
      </c>
      <c r="G4118" t="s" s="2">
        <v>7470</v>
      </c>
      <c r="H4118" s="5">
        <v>820</v>
      </c>
      <c r="I4118" t="s" s="2">
        <v>388</v>
      </c>
      <c r="J4118" t="s" s="2">
        <v>22</v>
      </c>
      <c r="K4118" t="s" s="2">
        <v>7188</v>
      </c>
      <c r="L4118" t="s" s="2">
        <v>1196</v>
      </c>
      <c r="M4118" s="5">
        <v>520663.72</v>
      </c>
      <c r="N4118" s="5">
        <v>6311873.73</v>
      </c>
      <c r="O4118" t="s" s="2">
        <v>305</v>
      </c>
      <c r="P4118" s="5">
        <v>331</v>
      </c>
      <c r="Q4118" t="s" s="2">
        <v>7471</v>
      </c>
      <c r="R4118" t="s" s="2">
        <f>_xlfn.IFERROR(INDEX('model_byCAP'!$D$2:$D$377,MATCH(Q4118,'model_byCAP'!$A$2:$A$377,0)),0)</f>
        <v>7472</v>
      </c>
    </row>
    <row r="4119" ht="15.35" customHeight="1">
      <c r="A4119" t="s" s="2">
        <v>7661</v>
      </c>
      <c r="B4119" s="4">
        <v>35179</v>
      </c>
      <c r="C4119" s="5">
        <v>500</v>
      </c>
      <c r="D4119" s="5">
        <v>39</v>
      </c>
      <c r="E4119" s="5">
        <v>45</v>
      </c>
      <c r="F4119" t="s" s="2">
        <v>301</v>
      </c>
      <c r="G4119" t="s" s="2">
        <v>7470</v>
      </c>
      <c r="H4119" s="5">
        <v>820</v>
      </c>
      <c r="I4119" t="s" s="2">
        <v>388</v>
      </c>
      <c r="J4119" t="s" s="2">
        <v>22</v>
      </c>
      <c r="K4119" t="s" s="2">
        <v>7188</v>
      </c>
      <c r="L4119" t="s" s="2">
        <v>1196</v>
      </c>
      <c r="M4119" s="5">
        <v>520435.65</v>
      </c>
      <c r="N4119" s="5">
        <v>6311901.47</v>
      </c>
      <c r="O4119" t="s" s="2">
        <v>305</v>
      </c>
      <c r="P4119" s="5">
        <v>332</v>
      </c>
      <c r="Q4119" t="s" s="2">
        <v>7471</v>
      </c>
      <c r="R4119" t="s" s="2">
        <f>_xlfn.IFERROR(INDEX('model_byCAP'!$D$2:$D$377,MATCH(Q4119,'model_byCAP'!$A$2:$A$377,0)),0)</f>
        <v>7472</v>
      </c>
    </row>
    <row r="4120" ht="15.35" customHeight="1">
      <c r="A4120" t="s" s="2">
        <v>7662</v>
      </c>
      <c r="B4120" s="4">
        <v>35411</v>
      </c>
      <c r="C4120" s="5">
        <v>500</v>
      </c>
      <c r="D4120" s="5">
        <v>37.2</v>
      </c>
      <c r="E4120" s="5">
        <v>35</v>
      </c>
      <c r="F4120" t="s" s="2">
        <v>6608</v>
      </c>
      <c r="G4120" t="s" s="2">
        <v>7658</v>
      </c>
      <c r="H4120" s="5">
        <v>851</v>
      </c>
      <c r="I4120" t="s" s="2">
        <v>1139</v>
      </c>
      <c r="J4120" t="s" s="2">
        <v>22</v>
      </c>
      <c r="K4120" t="s" s="2">
        <v>7663</v>
      </c>
      <c r="L4120" t="s" s="2">
        <v>1310</v>
      </c>
      <c r="M4120" s="5">
        <v>556964.62</v>
      </c>
      <c r="N4120" s="5">
        <v>6312831.84</v>
      </c>
      <c r="O4120" t="s" s="2">
        <v>305</v>
      </c>
      <c r="P4120" s="5">
        <v>339</v>
      </c>
      <c r="Q4120" t="s" s="2">
        <v>7659</v>
      </c>
      <c r="R4120" t="s" s="2">
        <f>_xlfn.IFERROR(INDEX('model_byCAP'!$D$2:$D$377,MATCH(Q4120,'model_byCAP'!$A$2:$A$377,0)),0)</f>
        <v>7369</v>
      </c>
    </row>
    <row r="4121" ht="15.35" customHeight="1">
      <c r="A4121" t="s" s="2">
        <v>7664</v>
      </c>
      <c r="B4121" s="4">
        <v>35411</v>
      </c>
      <c r="C4121" s="5">
        <v>500</v>
      </c>
      <c r="D4121" s="5">
        <v>37.2</v>
      </c>
      <c r="E4121" s="5">
        <v>35</v>
      </c>
      <c r="F4121" t="s" s="2">
        <v>6608</v>
      </c>
      <c r="G4121" t="s" s="2">
        <v>7658</v>
      </c>
      <c r="H4121" s="5">
        <v>851</v>
      </c>
      <c r="I4121" t="s" s="2">
        <v>1139</v>
      </c>
      <c r="J4121" t="s" s="2">
        <v>22</v>
      </c>
      <c r="K4121" t="s" s="2">
        <v>7663</v>
      </c>
      <c r="L4121" t="s" s="2">
        <v>546</v>
      </c>
      <c r="M4121" s="5">
        <v>557053.24</v>
      </c>
      <c r="N4121" s="5">
        <v>6312784.39</v>
      </c>
      <c r="O4121" t="s" s="2">
        <v>305</v>
      </c>
      <c r="P4121" s="5">
        <v>340</v>
      </c>
      <c r="Q4121" t="s" s="2">
        <v>7659</v>
      </c>
      <c r="R4121" t="s" s="2">
        <f>_xlfn.IFERROR(INDEX('model_byCAP'!$D$2:$D$377,MATCH(Q4121,'model_byCAP'!$A$2:$A$377,0)),0)</f>
        <v>7369</v>
      </c>
    </row>
    <row r="4122" ht="15.35" customHeight="1">
      <c r="A4122" t="s" s="2">
        <v>7665</v>
      </c>
      <c r="B4122" s="4">
        <v>36465</v>
      </c>
      <c r="C4122" s="5">
        <v>500</v>
      </c>
      <c r="D4122" s="5">
        <v>39</v>
      </c>
      <c r="E4122" s="5">
        <v>45</v>
      </c>
      <c r="F4122" t="s" s="2">
        <v>301</v>
      </c>
      <c r="G4122" t="s" s="2">
        <v>7470</v>
      </c>
      <c r="H4122" s="5">
        <v>851</v>
      </c>
      <c r="I4122" t="s" s="2">
        <v>1139</v>
      </c>
      <c r="J4122" t="s" s="2">
        <v>22</v>
      </c>
      <c r="K4122" t="s" s="2">
        <v>7666</v>
      </c>
      <c r="L4122" t="s" s="2">
        <v>1196</v>
      </c>
      <c r="M4122" s="5">
        <v>560595.21</v>
      </c>
      <c r="N4122" s="5">
        <v>6308785.93</v>
      </c>
      <c r="O4122" t="s" s="2">
        <v>305</v>
      </c>
      <c r="P4122" s="5">
        <v>407</v>
      </c>
      <c r="Q4122" t="s" s="2">
        <v>7471</v>
      </c>
      <c r="R4122" t="s" s="2">
        <f>_xlfn.IFERROR(INDEX('model_byCAP'!$D$2:$D$377,MATCH(Q4122,'model_byCAP'!$A$2:$A$377,0)),0)</f>
        <v>7472</v>
      </c>
    </row>
    <row r="4123" ht="15.35" customHeight="1">
      <c r="A4123" t="s" s="2">
        <v>7667</v>
      </c>
      <c r="B4123" s="4">
        <v>36514</v>
      </c>
      <c r="C4123" s="5">
        <v>500</v>
      </c>
      <c r="D4123" s="5">
        <v>39</v>
      </c>
      <c r="E4123" s="5">
        <v>40</v>
      </c>
      <c r="F4123" t="s" s="2">
        <v>301</v>
      </c>
      <c r="G4123" t="s" s="2">
        <v>7470</v>
      </c>
      <c r="H4123" s="5">
        <v>851</v>
      </c>
      <c r="I4123" t="s" s="2">
        <v>1139</v>
      </c>
      <c r="J4123" t="s" s="2">
        <v>22</v>
      </c>
      <c r="K4123" t="s" s="2">
        <v>7666</v>
      </c>
      <c r="L4123" t="s" s="2">
        <v>3164</v>
      </c>
      <c r="M4123" s="5">
        <v>560475.39</v>
      </c>
      <c r="N4123" s="5">
        <v>6308946.85</v>
      </c>
      <c r="O4123" t="s" s="2">
        <v>305</v>
      </c>
      <c r="P4123" s="5">
        <v>410</v>
      </c>
      <c r="Q4123" t="s" s="2">
        <v>7471</v>
      </c>
      <c r="R4123" t="s" s="2">
        <f>_xlfn.IFERROR(INDEX('model_byCAP'!$D$2:$D$377,MATCH(Q4123,'model_byCAP'!$A$2:$A$377,0)),0)</f>
        <v>7472</v>
      </c>
    </row>
    <row r="4124" ht="15.35" customHeight="1">
      <c r="A4124" t="s" s="2">
        <v>7668</v>
      </c>
      <c r="B4124" s="4">
        <v>36514</v>
      </c>
      <c r="C4124" s="5">
        <v>500</v>
      </c>
      <c r="D4124" s="5">
        <v>39</v>
      </c>
      <c r="E4124" s="5">
        <v>40</v>
      </c>
      <c r="F4124" t="s" s="2">
        <v>301</v>
      </c>
      <c r="G4124" t="s" s="2">
        <v>7470</v>
      </c>
      <c r="H4124" s="5">
        <v>851</v>
      </c>
      <c r="I4124" t="s" s="2">
        <v>1139</v>
      </c>
      <c r="J4124" t="s" s="2">
        <v>22</v>
      </c>
      <c r="K4124" t="s" s="2">
        <v>7669</v>
      </c>
      <c r="L4124" t="s" s="2">
        <v>1086</v>
      </c>
      <c r="M4124" s="5">
        <v>554052.99</v>
      </c>
      <c r="N4124" s="5">
        <v>6313740.76</v>
      </c>
      <c r="O4124" t="s" s="2">
        <v>305</v>
      </c>
      <c r="P4124" s="5">
        <v>411</v>
      </c>
      <c r="Q4124" t="s" s="2">
        <v>7471</v>
      </c>
      <c r="R4124" t="s" s="2">
        <f>_xlfn.IFERROR(INDEX('model_byCAP'!$D$2:$D$377,MATCH(Q4124,'model_byCAP'!$A$2:$A$377,0)),0)</f>
        <v>7472</v>
      </c>
    </row>
    <row r="4125" ht="15.35" customHeight="1">
      <c r="A4125" t="s" s="2">
        <v>7670</v>
      </c>
      <c r="B4125" s="4">
        <v>36514</v>
      </c>
      <c r="C4125" s="5">
        <v>500</v>
      </c>
      <c r="D4125" s="5">
        <v>39</v>
      </c>
      <c r="E4125" s="5">
        <v>40</v>
      </c>
      <c r="F4125" t="s" s="2">
        <v>301</v>
      </c>
      <c r="G4125" t="s" s="2">
        <v>7470</v>
      </c>
      <c r="H4125" s="5">
        <v>851</v>
      </c>
      <c r="I4125" t="s" s="2">
        <v>1139</v>
      </c>
      <c r="J4125" t="s" s="2">
        <v>22</v>
      </c>
      <c r="K4125" t="s" s="2">
        <v>7669</v>
      </c>
      <c r="L4125" t="s" s="2">
        <v>7431</v>
      </c>
      <c r="M4125" s="5">
        <v>554232.16</v>
      </c>
      <c r="N4125" s="5">
        <v>6313719.81</v>
      </c>
      <c r="O4125" t="s" s="2">
        <v>305</v>
      </c>
      <c r="P4125" s="5">
        <v>412</v>
      </c>
      <c r="Q4125" t="s" s="2">
        <v>7471</v>
      </c>
      <c r="R4125" t="s" s="2">
        <f>_xlfn.IFERROR(INDEX('model_byCAP'!$D$2:$D$377,MATCH(Q4125,'model_byCAP'!$A$2:$A$377,0)),0)</f>
        <v>7472</v>
      </c>
    </row>
    <row r="4126" ht="15.35" customHeight="1">
      <c r="A4126" t="s" s="2">
        <v>7671</v>
      </c>
      <c r="B4126" s="4">
        <v>34270</v>
      </c>
      <c r="C4126" s="5">
        <v>500</v>
      </c>
      <c r="D4126" s="5">
        <v>39</v>
      </c>
      <c r="E4126" s="5">
        <v>40</v>
      </c>
      <c r="F4126" t="s" s="2">
        <v>301</v>
      </c>
      <c r="G4126" t="s" s="2">
        <v>7470</v>
      </c>
      <c r="H4126" s="5">
        <v>851</v>
      </c>
      <c r="I4126" t="s" s="2">
        <v>1139</v>
      </c>
      <c r="J4126" t="s" s="2">
        <v>22</v>
      </c>
      <c r="K4126" t="s" s="2">
        <v>7281</v>
      </c>
      <c r="L4126" t="s" s="2">
        <v>4420</v>
      </c>
      <c r="M4126" s="5">
        <v>560101.0699999999</v>
      </c>
      <c r="N4126" s="5">
        <v>6338346.03</v>
      </c>
      <c r="O4126" t="s" s="2">
        <v>305</v>
      </c>
      <c r="P4126" t="s" s="2">
        <v>7672</v>
      </c>
      <c r="Q4126" t="s" s="2">
        <v>7471</v>
      </c>
      <c r="R4126" t="s" s="2">
        <f>_xlfn.IFERROR(INDEX('model_byCAP'!$D$2:$D$377,MATCH(Q4126,'model_byCAP'!$A$2:$A$377,0)),0)</f>
        <v>7472</v>
      </c>
    </row>
    <row r="4127" ht="15.35" customHeight="1">
      <c r="A4127" t="s" s="2">
        <v>7673</v>
      </c>
      <c r="B4127" s="4">
        <v>36503</v>
      </c>
      <c r="C4127" s="5">
        <v>500</v>
      </c>
      <c r="D4127" s="5">
        <v>39</v>
      </c>
      <c r="E4127" s="5">
        <v>37</v>
      </c>
      <c r="F4127" t="s" s="2">
        <v>301</v>
      </c>
      <c r="G4127" t="s" s="2">
        <v>7470</v>
      </c>
      <c r="H4127" s="5">
        <v>860</v>
      </c>
      <c r="I4127" t="s" s="2">
        <v>449</v>
      </c>
      <c r="J4127" t="s" s="2">
        <v>22</v>
      </c>
      <c r="K4127" t="s" s="2">
        <v>5228</v>
      </c>
      <c r="L4127" t="s" s="2">
        <v>5365</v>
      </c>
      <c r="M4127" s="5">
        <v>563110.64</v>
      </c>
      <c r="N4127" s="5">
        <v>6380182.05</v>
      </c>
      <c r="O4127" t="s" s="2">
        <v>305</v>
      </c>
      <c r="P4127" t="s" s="2">
        <v>7674</v>
      </c>
      <c r="Q4127" t="s" s="2">
        <v>7471</v>
      </c>
      <c r="R4127" t="s" s="2">
        <f>_xlfn.IFERROR(INDEX('model_byCAP'!$D$2:$D$377,MATCH(Q4127,'model_byCAP'!$A$2:$A$377,0)),0)</f>
        <v>7472</v>
      </c>
    </row>
    <row r="4128" ht="15.35" customHeight="1">
      <c r="A4128" t="s" s="2">
        <v>7675</v>
      </c>
      <c r="B4128" s="4">
        <v>36511</v>
      </c>
      <c r="C4128" s="5">
        <v>500</v>
      </c>
      <c r="D4128" s="5">
        <v>39</v>
      </c>
      <c r="E4128" s="5">
        <v>37</v>
      </c>
      <c r="F4128" t="s" s="2">
        <v>301</v>
      </c>
      <c r="G4128" t="s" s="2">
        <v>7470</v>
      </c>
      <c r="H4128" s="5">
        <v>860</v>
      </c>
      <c r="I4128" t="s" s="2">
        <v>449</v>
      </c>
      <c r="J4128" t="s" s="2">
        <v>22</v>
      </c>
      <c r="K4128" t="s" s="2">
        <v>5228</v>
      </c>
      <c r="L4128" t="s" s="2">
        <v>5365</v>
      </c>
      <c r="M4128" s="5">
        <v>563277.78</v>
      </c>
      <c r="N4128" s="5">
        <v>6380130.72</v>
      </c>
      <c r="O4128" t="s" s="2">
        <v>305</v>
      </c>
      <c r="P4128" t="s" s="2">
        <v>7676</v>
      </c>
      <c r="Q4128" t="s" s="2">
        <v>7471</v>
      </c>
      <c r="R4128" t="s" s="2">
        <f>_xlfn.IFERROR(INDEX('model_byCAP'!$D$2:$D$377,MATCH(Q4128,'model_byCAP'!$A$2:$A$377,0)),0)</f>
        <v>7472</v>
      </c>
    </row>
    <row r="4129" ht="15.35" customHeight="1">
      <c r="A4129" t="s" s="2">
        <v>7677</v>
      </c>
      <c r="B4129" s="4">
        <v>36509</v>
      </c>
      <c r="C4129" s="5">
        <v>500</v>
      </c>
      <c r="D4129" s="5">
        <v>39</v>
      </c>
      <c r="E4129" s="5">
        <v>37</v>
      </c>
      <c r="F4129" t="s" s="2">
        <v>301</v>
      </c>
      <c r="G4129" t="s" s="2">
        <v>7470</v>
      </c>
      <c r="H4129" s="5">
        <v>860</v>
      </c>
      <c r="I4129" t="s" s="2">
        <v>449</v>
      </c>
      <c r="J4129" t="s" s="2">
        <v>22</v>
      </c>
      <c r="K4129" t="s" s="2">
        <v>5228</v>
      </c>
      <c r="L4129" t="s" s="2">
        <v>7678</v>
      </c>
      <c r="M4129" s="5">
        <v>563149.86</v>
      </c>
      <c r="N4129" s="5">
        <v>6380011.67</v>
      </c>
      <c r="O4129" t="s" s="2">
        <v>305</v>
      </c>
      <c r="P4129" t="s" s="2">
        <v>7679</v>
      </c>
      <c r="Q4129" t="s" s="2">
        <v>7471</v>
      </c>
      <c r="R4129" t="s" s="2">
        <f>_xlfn.IFERROR(INDEX('model_byCAP'!$D$2:$D$377,MATCH(Q4129,'model_byCAP'!$A$2:$A$377,0)),0)</f>
        <v>7472</v>
      </c>
    </row>
    <row r="4130" ht="15.35" customHeight="1">
      <c r="A4130" t="s" s="2">
        <v>7680</v>
      </c>
      <c r="B4130" s="4">
        <v>36509</v>
      </c>
      <c r="C4130" s="5">
        <v>500</v>
      </c>
      <c r="D4130" s="5">
        <v>39</v>
      </c>
      <c r="E4130" s="5">
        <v>37</v>
      </c>
      <c r="F4130" t="s" s="2">
        <v>301</v>
      </c>
      <c r="G4130" t="s" s="2">
        <v>7470</v>
      </c>
      <c r="H4130" s="5">
        <v>860</v>
      </c>
      <c r="I4130" t="s" s="2">
        <v>449</v>
      </c>
      <c r="J4130" t="s" s="2">
        <v>22</v>
      </c>
      <c r="K4130" t="s" s="2">
        <v>5228</v>
      </c>
      <c r="L4130" t="s" s="2">
        <v>7678</v>
      </c>
      <c r="M4130" s="5">
        <v>563316.77</v>
      </c>
      <c r="N4130" s="5">
        <v>6379960.38</v>
      </c>
      <c r="O4130" t="s" s="2">
        <v>305</v>
      </c>
      <c r="P4130" t="s" s="2">
        <v>7681</v>
      </c>
      <c r="Q4130" t="s" s="2">
        <v>7471</v>
      </c>
      <c r="R4130" t="s" s="2">
        <f>_xlfn.IFERROR(INDEX('model_byCAP'!$D$2:$D$377,MATCH(Q4130,'model_byCAP'!$A$2:$A$377,0)),0)</f>
        <v>7472</v>
      </c>
    </row>
    <row r="4131" ht="15.35" customHeight="1">
      <c r="A4131" t="s" s="2">
        <v>7682</v>
      </c>
      <c r="B4131" s="4">
        <v>36503</v>
      </c>
      <c r="C4131" s="5">
        <v>500</v>
      </c>
      <c r="D4131" s="5">
        <v>39</v>
      </c>
      <c r="E4131" s="5">
        <v>37</v>
      </c>
      <c r="F4131" t="s" s="2">
        <v>301</v>
      </c>
      <c r="G4131" t="s" s="2">
        <v>7470</v>
      </c>
      <c r="H4131" s="5">
        <v>860</v>
      </c>
      <c r="I4131" t="s" s="2">
        <v>449</v>
      </c>
      <c r="J4131" t="s" s="2">
        <v>22</v>
      </c>
      <c r="K4131" t="s" s="2">
        <v>5228</v>
      </c>
      <c r="L4131" t="s" s="2">
        <v>5365</v>
      </c>
      <c r="M4131" s="5">
        <v>563188.64</v>
      </c>
      <c r="N4131" s="5">
        <v>6379841.01</v>
      </c>
      <c r="O4131" t="s" s="2">
        <v>305</v>
      </c>
      <c r="P4131" t="s" s="2">
        <v>7683</v>
      </c>
      <c r="Q4131" t="s" s="2">
        <v>7471</v>
      </c>
      <c r="R4131" t="s" s="2">
        <f>_xlfn.IFERROR(INDEX('model_byCAP'!$D$2:$D$377,MATCH(Q4131,'model_byCAP'!$A$2:$A$377,0)),0)</f>
        <v>7472</v>
      </c>
    </row>
    <row r="4132" ht="15.35" customHeight="1">
      <c r="A4132" t="s" s="2">
        <v>7684</v>
      </c>
      <c r="B4132" s="4">
        <v>34512</v>
      </c>
      <c r="C4132" s="5">
        <v>450</v>
      </c>
      <c r="D4132" s="5">
        <v>37</v>
      </c>
      <c r="E4132" s="5">
        <v>35</v>
      </c>
      <c r="F4132" t="s" s="2">
        <v>1989</v>
      </c>
      <c r="G4132" t="s" s="2">
        <v>7685</v>
      </c>
      <c r="H4132" s="5">
        <v>316</v>
      </c>
      <c r="I4132" t="s" s="2">
        <v>1769</v>
      </c>
      <c r="J4132" t="s" s="2">
        <v>22</v>
      </c>
      <c r="K4132" t="s" s="2">
        <v>7686</v>
      </c>
      <c r="L4132" t="s" s="2">
        <v>2356</v>
      </c>
      <c r="M4132" s="5">
        <v>653387.2</v>
      </c>
      <c r="N4132" s="5">
        <v>6179145.68</v>
      </c>
      <c r="O4132" t="s" s="2">
        <v>305</v>
      </c>
      <c r="P4132" s="5">
        <v>60421157</v>
      </c>
      <c r="Q4132" t="s" s="2">
        <v>7687</v>
      </c>
      <c r="R4132" t="s" s="2">
        <f>_xlfn.IFERROR(INDEX('model_byCAP'!$D$2:$D$377,MATCH(Q4132,'model_byCAP'!$A$2:$A$377,0)),0)</f>
        <v>6174</v>
      </c>
    </row>
    <row r="4133" ht="15.35" customHeight="1">
      <c r="A4133" t="s" s="2">
        <v>7688</v>
      </c>
      <c r="B4133" s="4">
        <v>34512</v>
      </c>
      <c r="C4133" s="5">
        <v>450</v>
      </c>
      <c r="D4133" s="5">
        <v>37</v>
      </c>
      <c r="E4133" s="5">
        <v>35</v>
      </c>
      <c r="F4133" t="s" s="2">
        <v>1989</v>
      </c>
      <c r="G4133" t="s" s="2">
        <v>7685</v>
      </c>
      <c r="H4133" s="5">
        <v>316</v>
      </c>
      <c r="I4133" t="s" s="2">
        <v>1769</v>
      </c>
      <c r="J4133" t="s" s="2">
        <v>22</v>
      </c>
      <c r="K4133" t="s" s="2">
        <v>7686</v>
      </c>
      <c r="L4133" t="s" s="2">
        <v>2356</v>
      </c>
      <c r="M4133" s="5">
        <v>653370.23</v>
      </c>
      <c r="N4133" s="5">
        <v>6179019.68</v>
      </c>
      <c r="O4133" t="s" s="2">
        <v>305</v>
      </c>
      <c r="P4133" s="5">
        <v>60421157</v>
      </c>
      <c r="Q4133" t="s" s="2">
        <v>7687</v>
      </c>
      <c r="R4133" t="s" s="2">
        <f>_xlfn.IFERROR(INDEX('model_byCAP'!$D$2:$D$377,MATCH(Q4133,'model_byCAP'!$A$2:$A$377,0)),0)</f>
        <v>6174</v>
      </c>
    </row>
    <row r="4134" ht="15.35" customHeight="1">
      <c r="A4134" t="s" s="2">
        <v>7689</v>
      </c>
      <c r="B4134" s="4">
        <v>34512</v>
      </c>
      <c r="C4134" s="5">
        <v>450</v>
      </c>
      <c r="D4134" s="5">
        <v>37</v>
      </c>
      <c r="E4134" s="5">
        <v>35</v>
      </c>
      <c r="F4134" t="s" s="2">
        <v>1989</v>
      </c>
      <c r="G4134" t="s" s="2">
        <v>7685</v>
      </c>
      <c r="H4134" s="5">
        <v>316</v>
      </c>
      <c r="I4134" t="s" s="2">
        <v>1769</v>
      </c>
      <c r="J4134" t="s" s="2">
        <v>22</v>
      </c>
      <c r="K4134" t="s" s="2">
        <v>7686</v>
      </c>
      <c r="L4134" t="s" s="2">
        <v>2356</v>
      </c>
      <c r="M4134" s="5">
        <v>653353.39</v>
      </c>
      <c r="N4134" s="5">
        <v>6178896</v>
      </c>
      <c r="O4134" t="s" s="2">
        <v>305</v>
      </c>
      <c r="P4134" s="5">
        <v>60421158</v>
      </c>
      <c r="Q4134" t="s" s="2">
        <v>7687</v>
      </c>
      <c r="R4134" t="s" s="2">
        <f>_xlfn.IFERROR(INDEX('model_byCAP'!$D$2:$D$377,MATCH(Q4134,'model_byCAP'!$A$2:$A$377,0)),0)</f>
        <v>6174</v>
      </c>
    </row>
    <row r="4135" ht="15.35" customHeight="1">
      <c r="A4135" t="s" s="2">
        <v>7690</v>
      </c>
      <c r="B4135" s="4">
        <v>34352</v>
      </c>
      <c r="C4135" s="5">
        <v>450</v>
      </c>
      <c r="D4135" s="5">
        <v>37</v>
      </c>
      <c r="E4135" s="5">
        <v>35</v>
      </c>
      <c r="F4135" t="s" s="2">
        <v>1989</v>
      </c>
      <c r="G4135" t="s" s="2">
        <v>7685</v>
      </c>
      <c r="H4135" s="5">
        <v>330</v>
      </c>
      <c r="I4135" t="s" s="2">
        <v>1491</v>
      </c>
      <c r="J4135" t="s" s="2">
        <v>22</v>
      </c>
      <c r="K4135" t="s" s="2">
        <v>7691</v>
      </c>
      <c r="L4135" s="5">
        <v>2</v>
      </c>
      <c r="M4135" s="5">
        <v>648745.6800000001</v>
      </c>
      <c r="N4135" s="5">
        <v>6138094.4</v>
      </c>
      <c r="O4135" t="s" s="2">
        <v>305</v>
      </c>
      <c r="P4135" s="5">
        <v>60421169</v>
      </c>
      <c r="Q4135" t="s" s="2">
        <v>7687</v>
      </c>
      <c r="R4135" t="s" s="2">
        <f>_xlfn.IFERROR(INDEX('model_byCAP'!$D$2:$D$377,MATCH(Q4135,'model_byCAP'!$A$2:$A$377,0)),0)</f>
        <v>6174</v>
      </c>
    </row>
    <row r="4136" ht="15.35" customHeight="1">
      <c r="A4136" t="s" s="2">
        <v>7692</v>
      </c>
      <c r="B4136" s="4">
        <v>34352</v>
      </c>
      <c r="C4136" s="5">
        <v>450</v>
      </c>
      <c r="D4136" s="5">
        <v>37</v>
      </c>
      <c r="E4136" s="5">
        <v>35</v>
      </c>
      <c r="F4136" t="s" s="2">
        <v>1989</v>
      </c>
      <c r="G4136" t="s" s="2">
        <v>7685</v>
      </c>
      <c r="H4136" s="5">
        <v>330</v>
      </c>
      <c r="I4136" t="s" s="2">
        <v>1491</v>
      </c>
      <c r="J4136" t="s" s="2">
        <v>22</v>
      </c>
      <c r="K4136" t="s" s="2">
        <v>7691</v>
      </c>
      <c r="L4136" s="5">
        <v>2</v>
      </c>
      <c r="M4136" s="5">
        <v>648895.86</v>
      </c>
      <c r="N4136" s="5">
        <v>6138099.55</v>
      </c>
      <c r="O4136" t="s" s="2">
        <v>305</v>
      </c>
      <c r="P4136" s="5">
        <v>60421169</v>
      </c>
      <c r="Q4136" t="s" s="2">
        <v>7687</v>
      </c>
      <c r="R4136" t="s" s="2">
        <f>_xlfn.IFERROR(INDEX('model_byCAP'!$D$2:$D$377,MATCH(Q4136,'model_byCAP'!$A$2:$A$377,0)),0)</f>
        <v>6174</v>
      </c>
    </row>
    <row r="4137" ht="15.35" customHeight="1">
      <c r="A4137" t="s" s="2">
        <v>7693</v>
      </c>
      <c r="B4137" s="4">
        <v>34352</v>
      </c>
      <c r="C4137" s="5">
        <v>450</v>
      </c>
      <c r="D4137" s="5">
        <v>37</v>
      </c>
      <c r="E4137" s="5">
        <v>35</v>
      </c>
      <c r="F4137" t="s" s="2">
        <v>1989</v>
      </c>
      <c r="G4137" t="s" s="2">
        <v>7685</v>
      </c>
      <c r="H4137" s="5">
        <v>330</v>
      </c>
      <c r="I4137" t="s" s="2">
        <v>1491</v>
      </c>
      <c r="J4137" t="s" s="2">
        <v>22</v>
      </c>
      <c r="K4137" t="s" s="2">
        <v>7691</v>
      </c>
      <c r="L4137" s="5">
        <v>2</v>
      </c>
      <c r="M4137" s="5">
        <v>649045.2</v>
      </c>
      <c r="N4137" s="5">
        <v>6138104.13</v>
      </c>
      <c r="O4137" t="s" s="2">
        <v>305</v>
      </c>
      <c r="P4137" s="5">
        <v>60421169</v>
      </c>
      <c r="Q4137" t="s" s="2">
        <v>7687</v>
      </c>
      <c r="R4137" t="s" s="2">
        <f>_xlfn.IFERROR(INDEX('model_byCAP'!$D$2:$D$377,MATCH(Q4137,'model_byCAP'!$A$2:$A$377,0)),0)</f>
        <v>6174</v>
      </c>
    </row>
    <row r="4138" ht="15.35" customHeight="1">
      <c r="A4138" t="s" s="2">
        <v>7694</v>
      </c>
      <c r="B4138" s="4">
        <v>34535</v>
      </c>
      <c r="C4138" s="5">
        <v>450</v>
      </c>
      <c r="D4138" s="5">
        <v>37</v>
      </c>
      <c r="E4138" s="5">
        <v>35</v>
      </c>
      <c r="F4138" t="s" s="2">
        <v>1989</v>
      </c>
      <c r="G4138" t="s" s="2">
        <v>7685</v>
      </c>
      <c r="H4138" s="5">
        <v>330</v>
      </c>
      <c r="I4138" t="s" s="2">
        <v>1491</v>
      </c>
      <c r="J4138" t="s" s="2">
        <v>22</v>
      </c>
      <c r="K4138" t="s" s="2">
        <v>7695</v>
      </c>
      <c r="L4138" t="s" s="2">
        <v>2348</v>
      </c>
      <c r="M4138" s="5">
        <v>640800.02</v>
      </c>
      <c r="N4138" s="5">
        <v>6136608.57</v>
      </c>
      <c r="O4138" t="s" s="2">
        <v>305</v>
      </c>
      <c r="P4138" t="s" s="2">
        <v>7696</v>
      </c>
      <c r="Q4138" t="s" s="2">
        <v>7687</v>
      </c>
      <c r="R4138" t="s" s="2">
        <f>_xlfn.IFERROR(INDEX('model_byCAP'!$D$2:$D$377,MATCH(Q4138,'model_byCAP'!$A$2:$A$377,0)),0)</f>
        <v>6174</v>
      </c>
    </row>
    <row r="4139" ht="15.35" customHeight="1">
      <c r="A4139" t="s" s="2">
        <v>7697</v>
      </c>
      <c r="B4139" s="4">
        <v>34535</v>
      </c>
      <c r="C4139" s="5">
        <v>450</v>
      </c>
      <c r="D4139" s="5">
        <v>37</v>
      </c>
      <c r="E4139" s="5">
        <v>35</v>
      </c>
      <c r="F4139" t="s" s="2">
        <v>1989</v>
      </c>
      <c r="G4139" t="s" s="2">
        <v>7685</v>
      </c>
      <c r="H4139" s="5">
        <v>330</v>
      </c>
      <c r="I4139" t="s" s="2">
        <v>1491</v>
      </c>
      <c r="J4139" t="s" s="2">
        <v>22</v>
      </c>
      <c r="K4139" t="s" s="2">
        <v>7695</v>
      </c>
      <c r="L4139" t="s" s="2">
        <v>2809</v>
      </c>
      <c r="M4139" s="5">
        <v>641020.0699999999</v>
      </c>
      <c r="N4139" s="5">
        <v>6136625.51</v>
      </c>
      <c r="O4139" t="s" s="2">
        <v>305</v>
      </c>
      <c r="P4139" t="s" s="2">
        <v>7696</v>
      </c>
      <c r="Q4139" t="s" s="2">
        <v>7687</v>
      </c>
      <c r="R4139" t="s" s="2">
        <f>_xlfn.IFERROR(INDEX('model_byCAP'!$D$2:$D$377,MATCH(Q4139,'model_byCAP'!$A$2:$A$377,0)),0)</f>
        <v>6174</v>
      </c>
    </row>
    <row r="4140" ht="15.35" customHeight="1">
      <c r="A4140" t="s" s="2">
        <v>7698</v>
      </c>
      <c r="B4140" s="4">
        <v>34782</v>
      </c>
      <c r="C4140" s="5">
        <v>450</v>
      </c>
      <c r="D4140" s="5">
        <v>37</v>
      </c>
      <c r="E4140" s="5">
        <v>35</v>
      </c>
      <c r="F4140" t="s" s="2">
        <v>1989</v>
      </c>
      <c r="G4140" t="s" s="2">
        <v>7685</v>
      </c>
      <c r="H4140" s="5">
        <v>330</v>
      </c>
      <c r="I4140" t="s" s="2">
        <v>1491</v>
      </c>
      <c r="J4140" t="s" s="2">
        <v>22</v>
      </c>
      <c r="K4140" t="s" s="2">
        <v>7699</v>
      </c>
      <c r="L4140" t="s" s="2">
        <v>431</v>
      </c>
      <c r="M4140" s="5">
        <v>643049.16</v>
      </c>
      <c r="N4140" s="5">
        <v>6147882.92</v>
      </c>
      <c r="O4140" t="s" s="2">
        <v>305</v>
      </c>
      <c r="P4140" s="5">
        <v>60421148</v>
      </c>
      <c r="Q4140" t="s" s="2">
        <v>7687</v>
      </c>
      <c r="R4140" t="s" s="2">
        <f>_xlfn.IFERROR(INDEX('model_byCAP'!$D$2:$D$377,MATCH(Q4140,'model_byCAP'!$A$2:$A$377,0)),0)</f>
        <v>6174</v>
      </c>
    </row>
    <row r="4141" ht="15.35" customHeight="1">
      <c r="A4141" t="s" s="2">
        <v>7700</v>
      </c>
      <c r="B4141" s="4">
        <v>34782</v>
      </c>
      <c r="C4141" s="5">
        <v>450</v>
      </c>
      <c r="D4141" s="5">
        <v>37</v>
      </c>
      <c r="E4141" s="5">
        <v>35</v>
      </c>
      <c r="F4141" t="s" s="2">
        <v>1989</v>
      </c>
      <c r="G4141" t="s" s="2">
        <v>7685</v>
      </c>
      <c r="H4141" s="5">
        <v>330</v>
      </c>
      <c r="I4141" t="s" s="2">
        <v>1491</v>
      </c>
      <c r="J4141" t="s" s="2">
        <v>22</v>
      </c>
      <c r="K4141" t="s" s="2">
        <v>7699</v>
      </c>
      <c r="L4141" t="s" s="2">
        <v>431</v>
      </c>
      <c r="M4141" s="5">
        <v>643084.72</v>
      </c>
      <c r="N4141" s="5">
        <v>6147986.51</v>
      </c>
      <c r="O4141" t="s" s="2">
        <v>305</v>
      </c>
      <c r="P4141" s="5">
        <v>60421151</v>
      </c>
      <c r="Q4141" t="s" s="2">
        <v>7687</v>
      </c>
      <c r="R4141" t="s" s="2">
        <f>_xlfn.IFERROR(INDEX('model_byCAP'!$D$2:$D$377,MATCH(Q4141,'model_byCAP'!$A$2:$A$377,0)),0)</f>
        <v>6174</v>
      </c>
    </row>
    <row r="4142" ht="15.35" customHeight="1">
      <c r="A4142" t="s" s="2">
        <v>7701</v>
      </c>
      <c r="B4142" s="4">
        <v>34782</v>
      </c>
      <c r="C4142" s="5">
        <v>450</v>
      </c>
      <c r="D4142" s="5">
        <v>37</v>
      </c>
      <c r="E4142" s="5">
        <v>35</v>
      </c>
      <c r="F4142" t="s" s="2">
        <v>1989</v>
      </c>
      <c r="G4142" t="s" s="2">
        <v>7685</v>
      </c>
      <c r="H4142" s="5">
        <v>330</v>
      </c>
      <c r="I4142" t="s" s="2">
        <v>1491</v>
      </c>
      <c r="J4142" t="s" s="2">
        <v>22</v>
      </c>
      <c r="K4142" t="s" s="2">
        <v>7699</v>
      </c>
      <c r="L4142" t="s" s="2">
        <v>431</v>
      </c>
      <c r="M4142" s="5">
        <v>643122.33</v>
      </c>
      <c r="N4142" s="5">
        <v>6148091.35</v>
      </c>
      <c r="O4142" t="s" s="2">
        <v>305</v>
      </c>
      <c r="P4142" s="5">
        <v>60421151</v>
      </c>
      <c r="Q4142" t="s" s="2">
        <v>7687</v>
      </c>
      <c r="R4142" t="s" s="2">
        <f>_xlfn.IFERROR(INDEX('model_byCAP'!$D$2:$D$377,MATCH(Q4142,'model_byCAP'!$A$2:$A$377,0)),0)</f>
        <v>6174</v>
      </c>
    </row>
    <row r="4143" ht="15.35" customHeight="1">
      <c r="A4143" t="s" s="2">
        <v>7702</v>
      </c>
      <c r="B4143" s="4">
        <v>33756</v>
      </c>
      <c r="C4143" s="5">
        <v>450</v>
      </c>
      <c r="D4143" s="5">
        <v>36</v>
      </c>
      <c r="E4143" s="5">
        <v>35</v>
      </c>
      <c r="F4143" t="s" s="2">
        <v>1989</v>
      </c>
      <c r="G4143" t="s" s="2">
        <v>7703</v>
      </c>
      <c r="H4143" s="5">
        <v>330</v>
      </c>
      <c r="I4143" t="s" s="2">
        <v>1491</v>
      </c>
      <c r="J4143" t="s" s="2">
        <v>22</v>
      </c>
      <c r="K4143" t="s" s="2">
        <v>1992</v>
      </c>
      <c r="L4143" s="5">
        <v>9</v>
      </c>
      <c r="M4143" s="5">
        <v>648782</v>
      </c>
      <c r="N4143" s="5">
        <v>6124980.58</v>
      </c>
      <c r="O4143" t="s" s="2">
        <v>305</v>
      </c>
      <c r="P4143" t="s" s="2">
        <v>7704</v>
      </c>
      <c r="Q4143" t="s" s="2">
        <v>7705</v>
      </c>
      <c r="R4143" t="s" s="2">
        <f>_xlfn.IFERROR(INDEX('model_byCAP'!$D$2:$D$377,MATCH(Q4143,'model_byCAP'!$A$2:$A$377,0)),0)</f>
        <v>3178</v>
      </c>
    </row>
    <row r="4144" ht="15.35" customHeight="1">
      <c r="A4144" t="s" s="2">
        <v>7706</v>
      </c>
      <c r="B4144" s="4">
        <v>33756</v>
      </c>
      <c r="C4144" s="5">
        <v>450</v>
      </c>
      <c r="D4144" s="5">
        <v>36</v>
      </c>
      <c r="E4144" s="5">
        <v>35</v>
      </c>
      <c r="F4144" t="s" s="2">
        <v>1989</v>
      </c>
      <c r="G4144" t="s" s="2">
        <v>7703</v>
      </c>
      <c r="H4144" s="5">
        <v>330</v>
      </c>
      <c r="I4144" t="s" s="2">
        <v>1491</v>
      </c>
      <c r="J4144" t="s" s="2">
        <v>22</v>
      </c>
      <c r="K4144" t="s" s="2">
        <v>1992</v>
      </c>
      <c r="L4144" s="5">
        <v>9</v>
      </c>
      <c r="M4144" s="5">
        <v>648916.48</v>
      </c>
      <c r="N4144" s="5">
        <v>6124867.6</v>
      </c>
      <c r="O4144" t="s" s="2">
        <v>305</v>
      </c>
      <c r="P4144" t="s" s="2">
        <v>7704</v>
      </c>
      <c r="Q4144" t="s" s="2">
        <v>7705</v>
      </c>
      <c r="R4144" t="s" s="2">
        <f>_xlfn.IFERROR(INDEX('model_byCAP'!$D$2:$D$377,MATCH(Q4144,'model_byCAP'!$A$2:$A$377,0)),0)</f>
        <v>3178</v>
      </c>
    </row>
    <row r="4145" ht="15.35" customHeight="1">
      <c r="A4145" t="s" s="2">
        <v>7707</v>
      </c>
      <c r="B4145" s="4">
        <v>33756</v>
      </c>
      <c r="C4145" s="5">
        <v>450</v>
      </c>
      <c r="D4145" s="5">
        <v>36</v>
      </c>
      <c r="E4145" s="5">
        <v>35</v>
      </c>
      <c r="F4145" t="s" s="2">
        <v>1989</v>
      </c>
      <c r="G4145" t="s" s="2">
        <v>7703</v>
      </c>
      <c r="H4145" s="5">
        <v>330</v>
      </c>
      <c r="I4145" t="s" s="2">
        <v>1491</v>
      </c>
      <c r="J4145" t="s" s="2">
        <v>22</v>
      </c>
      <c r="K4145" t="s" s="2">
        <v>1992</v>
      </c>
      <c r="L4145" s="5">
        <v>9</v>
      </c>
      <c r="M4145" s="5">
        <v>649050.67</v>
      </c>
      <c r="N4145" s="5">
        <v>6124755.21</v>
      </c>
      <c r="O4145" t="s" s="2">
        <v>305</v>
      </c>
      <c r="P4145" t="s" s="2">
        <v>7704</v>
      </c>
      <c r="Q4145" t="s" s="2">
        <v>7705</v>
      </c>
      <c r="R4145" t="s" s="2">
        <f>_xlfn.IFERROR(INDEX('model_byCAP'!$D$2:$D$377,MATCH(Q4145,'model_byCAP'!$A$2:$A$377,0)),0)</f>
        <v>3178</v>
      </c>
    </row>
    <row r="4146" ht="15.35" customHeight="1">
      <c r="A4146" t="s" s="2">
        <v>7708</v>
      </c>
      <c r="B4146" s="4">
        <v>33049</v>
      </c>
      <c r="C4146" s="5">
        <v>450</v>
      </c>
      <c r="D4146" s="5">
        <v>35</v>
      </c>
      <c r="E4146" s="5">
        <v>35</v>
      </c>
      <c r="F4146" t="s" s="2">
        <v>1989</v>
      </c>
      <c r="G4146" t="s" s="2">
        <v>7709</v>
      </c>
      <c r="H4146" s="5">
        <v>360</v>
      </c>
      <c r="I4146" t="s" s="2">
        <v>463</v>
      </c>
      <c r="J4146" t="s" s="2">
        <v>22</v>
      </c>
      <c r="K4146" t="s" s="2">
        <v>7710</v>
      </c>
      <c r="L4146" t="s" s="2">
        <v>524</v>
      </c>
      <c r="M4146" s="5">
        <v>631381.5</v>
      </c>
      <c r="N4146" s="5">
        <v>6070099.9</v>
      </c>
      <c r="O4146" t="s" s="2">
        <v>305</v>
      </c>
      <c r="P4146" s="5">
        <v>174735</v>
      </c>
      <c r="Q4146" t="s" s="2">
        <v>7711</v>
      </c>
      <c r="R4146" t="s" s="2">
        <f>_xlfn.IFERROR(INDEX('model_byCAP'!$D$2:$D$377,MATCH(Q4146,'model_byCAP'!$A$2:$A$377,0)),0)</f>
        <v>7712</v>
      </c>
    </row>
    <row r="4147" ht="15.35" customHeight="1">
      <c r="A4147" t="s" s="2">
        <v>7713</v>
      </c>
      <c r="B4147" s="4">
        <v>34455</v>
      </c>
      <c r="C4147" s="5">
        <v>450</v>
      </c>
      <c r="D4147" s="5">
        <v>37</v>
      </c>
      <c r="E4147" s="5">
        <v>35</v>
      </c>
      <c r="F4147" t="s" s="2">
        <v>1989</v>
      </c>
      <c r="G4147" t="s" s="2">
        <v>6053</v>
      </c>
      <c r="H4147" s="5">
        <v>376</v>
      </c>
      <c r="I4147" t="s" s="2">
        <v>1991</v>
      </c>
      <c r="J4147" t="s" s="2">
        <v>22</v>
      </c>
      <c r="K4147" t="s" s="2">
        <v>1992</v>
      </c>
      <c r="L4147" s="5">
        <v>3</v>
      </c>
      <c r="M4147" s="5">
        <v>682172.5</v>
      </c>
      <c r="N4147" s="5">
        <v>6086435.92</v>
      </c>
      <c r="O4147" t="s" s="2">
        <v>305</v>
      </c>
      <c r="P4147" s="5">
        <v>182426</v>
      </c>
      <c r="Q4147" t="s" s="2">
        <v>6054</v>
      </c>
      <c r="R4147" t="s" s="2">
        <f>_xlfn.IFERROR(INDEX('model_byCAP'!$D$2:$D$377,MATCH(Q4147,'model_byCAP'!$A$2:$A$377,0)),0)</f>
        <v>3178</v>
      </c>
    </row>
    <row r="4148" ht="15.35" customHeight="1">
      <c r="A4148" t="s" s="2">
        <v>7714</v>
      </c>
      <c r="B4148" s="4">
        <v>34455</v>
      </c>
      <c r="C4148" s="5">
        <v>450</v>
      </c>
      <c r="D4148" s="5">
        <v>37</v>
      </c>
      <c r="E4148" s="5">
        <v>35</v>
      </c>
      <c r="F4148" t="s" s="2">
        <v>1989</v>
      </c>
      <c r="G4148" t="s" s="2">
        <v>6053</v>
      </c>
      <c r="H4148" s="5">
        <v>376</v>
      </c>
      <c r="I4148" t="s" s="2">
        <v>1991</v>
      </c>
      <c r="J4148" t="s" s="2">
        <v>22</v>
      </c>
      <c r="K4148" t="s" s="2">
        <v>1992</v>
      </c>
      <c r="L4148" s="5">
        <v>3</v>
      </c>
      <c r="M4148" s="5">
        <v>682318.3</v>
      </c>
      <c r="N4148" s="5">
        <v>6086346.83</v>
      </c>
      <c r="O4148" t="s" s="2">
        <v>305</v>
      </c>
      <c r="P4148" s="5">
        <v>182425</v>
      </c>
      <c r="Q4148" t="s" s="2">
        <v>6054</v>
      </c>
      <c r="R4148" t="s" s="2">
        <f>_xlfn.IFERROR(INDEX('model_byCAP'!$D$2:$D$377,MATCH(Q4148,'model_byCAP'!$A$2:$A$377,0)),0)</f>
        <v>3178</v>
      </c>
    </row>
    <row r="4149" ht="15.35" customHeight="1">
      <c r="A4149" t="s" s="2">
        <v>7715</v>
      </c>
      <c r="B4149" s="4">
        <v>34455</v>
      </c>
      <c r="C4149" s="5">
        <v>450</v>
      </c>
      <c r="D4149" s="5">
        <v>37</v>
      </c>
      <c r="E4149" s="5">
        <v>35</v>
      </c>
      <c r="F4149" t="s" s="2">
        <v>1989</v>
      </c>
      <c r="G4149" t="s" s="2">
        <v>6053</v>
      </c>
      <c r="H4149" s="5">
        <v>376</v>
      </c>
      <c r="I4149" t="s" s="2">
        <v>1991</v>
      </c>
      <c r="J4149" t="s" s="2">
        <v>22</v>
      </c>
      <c r="K4149" t="s" s="2">
        <v>1992</v>
      </c>
      <c r="L4149" s="5">
        <v>3</v>
      </c>
      <c r="M4149" s="5">
        <v>682250.49</v>
      </c>
      <c r="N4149" s="5">
        <v>6086201.95</v>
      </c>
      <c r="O4149" t="s" s="2">
        <v>305</v>
      </c>
      <c r="P4149" s="5">
        <v>182424</v>
      </c>
      <c r="Q4149" t="s" s="2">
        <v>6054</v>
      </c>
      <c r="R4149" t="s" s="2">
        <f>_xlfn.IFERROR(INDEX('model_byCAP'!$D$2:$D$377,MATCH(Q4149,'model_byCAP'!$A$2:$A$377,0)),0)</f>
        <v>3178</v>
      </c>
    </row>
    <row r="4150" ht="15.35" customHeight="1">
      <c r="A4150" t="s" s="2">
        <v>7716</v>
      </c>
      <c r="B4150" s="4">
        <v>34358</v>
      </c>
      <c r="C4150" s="5">
        <v>450</v>
      </c>
      <c r="D4150" s="5">
        <v>37</v>
      </c>
      <c r="E4150" s="5">
        <v>35</v>
      </c>
      <c r="F4150" t="s" s="2">
        <v>1989</v>
      </c>
      <c r="G4150" t="s" s="2">
        <v>7717</v>
      </c>
      <c r="H4150" s="5">
        <v>376</v>
      </c>
      <c r="I4150" t="s" s="2">
        <v>1991</v>
      </c>
      <c r="J4150" t="s" s="2">
        <v>22</v>
      </c>
      <c r="K4150" t="s" s="2">
        <v>7718</v>
      </c>
      <c r="L4150" t="s" s="2">
        <v>409</v>
      </c>
      <c r="M4150" s="5">
        <v>687839.86</v>
      </c>
      <c r="N4150" s="5">
        <v>6056040.56</v>
      </c>
      <c r="O4150" t="s" s="2">
        <v>305</v>
      </c>
      <c r="P4150" s="5">
        <v>181140</v>
      </c>
      <c r="Q4150" t="s" s="2">
        <v>7719</v>
      </c>
      <c r="R4150" t="s" s="2">
        <f>_xlfn.IFERROR(INDEX('model_byCAP'!$D$2:$D$377,MATCH(Q4150,'model_byCAP'!$A$2:$A$377,0)),0)</f>
        <v>7712</v>
      </c>
    </row>
    <row r="4151" ht="15.35" customHeight="1">
      <c r="A4151" t="s" s="2">
        <v>7720</v>
      </c>
      <c r="B4151" s="4">
        <v>34689</v>
      </c>
      <c r="C4151" s="5">
        <v>450</v>
      </c>
      <c r="D4151" s="5">
        <v>37</v>
      </c>
      <c r="E4151" s="5">
        <v>35</v>
      </c>
      <c r="F4151" t="s" s="2">
        <v>1989</v>
      </c>
      <c r="G4151" t="s" s="2">
        <v>7717</v>
      </c>
      <c r="H4151" s="5">
        <v>376</v>
      </c>
      <c r="I4151" t="s" s="2">
        <v>1991</v>
      </c>
      <c r="J4151" t="s" s="2">
        <v>22</v>
      </c>
      <c r="K4151" t="s" s="2">
        <v>7718</v>
      </c>
      <c r="L4151" t="s" s="2">
        <v>5650</v>
      </c>
      <c r="M4151" s="5">
        <v>685584.88</v>
      </c>
      <c r="N4151" s="5">
        <v>6061189.18</v>
      </c>
      <c r="O4151" t="s" s="2">
        <v>305</v>
      </c>
      <c r="P4151" s="5">
        <v>182086</v>
      </c>
      <c r="Q4151" t="s" s="2">
        <v>7719</v>
      </c>
      <c r="R4151" t="s" s="2">
        <f>_xlfn.IFERROR(INDEX('model_byCAP'!$D$2:$D$377,MATCH(Q4151,'model_byCAP'!$A$2:$A$377,0)),0)</f>
        <v>7712</v>
      </c>
    </row>
    <row r="4152" ht="15.35" customHeight="1">
      <c r="A4152" t="s" s="2">
        <v>7721</v>
      </c>
      <c r="B4152" s="4">
        <v>34687</v>
      </c>
      <c r="C4152" s="5">
        <v>450</v>
      </c>
      <c r="D4152" s="5">
        <v>37</v>
      </c>
      <c r="E4152" s="5">
        <v>35</v>
      </c>
      <c r="F4152" t="s" s="2">
        <v>1989</v>
      </c>
      <c r="G4152" t="s" s="2">
        <v>7717</v>
      </c>
      <c r="H4152" s="5">
        <v>376</v>
      </c>
      <c r="I4152" t="s" s="2">
        <v>1991</v>
      </c>
      <c r="J4152" t="s" s="2">
        <v>22</v>
      </c>
      <c r="K4152" t="s" s="2">
        <v>7722</v>
      </c>
      <c r="L4152" t="s" s="2">
        <v>394</v>
      </c>
      <c r="M4152" s="5">
        <v>682370.01</v>
      </c>
      <c r="N4152" s="5">
        <v>6086056.25</v>
      </c>
      <c r="O4152" t="s" s="2">
        <v>305</v>
      </c>
      <c r="P4152" s="5">
        <v>182190</v>
      </c>
      <c r="Q4152" t="s" s="2">
        <v>7719</v>
      </c>
      <c r="R4152" t="s" s="2">
        <f>_xlfn.IFERROR(INDEX('model_byCAP'!$D$2:$D$377,MATCH(Q4152,'model_byCAP'!$A$2:$A$377,0)),0)</f>
        <v>7712</v>
      </c>
    </row>
    <row r="4153" ht="15.35" customHeight="1">
      <c r="A4153" t="s" s="2">
        <v>7723</v>
      </c>
      <c r="B4153" s="4">
        <v>34088</v>
      </c>
      <c r="C4153" s="5">
        <v>450</v>
      </c>
      <c r="D4153" s="5">
        <v>35</v>
      </c>
      <c r="E4153" s="5">
        <v>35</v>
      </c>
      <c r="F4153" t="s" s="2">
        <v>1989</v>
      </c>
      <c r="G4153" t="s" s="2">
        <v>7724</v>
      </c>
      <c r="H4153" s="5">
        <v>540</v>
      </c>
      <c r="I4153" t="s" s="2">
        <v>2092</v>
      </c>
      <c r="J4153" t="s" s="2">
        <v>22</v>
      </c>
      <c r="K4153" t="s" s="2">
        <v>7725</v>
      </c>
      <c r="L4153" s="5">
        <v>23</v>
      </c>
      <c r="M4153" s="5">
        <v>562698.77</v>
      </c>
      <c r="N4153" s="5">
        <v>6079085.71</v>
      </c>
      <c r="O4153" t="s" s="2">
        <v>305</v>
      </c>
      <c r="P4153" s="5">
        <v>200218</v>
      </c>
      <c r="Q4153" t="s" s="2">
        <v>7726</v>
      </c>
      <c r="R4153" t="s" s="2">
        <f>_xlfn.IFERROR(INDEX('model_byCAP'!$D$2:$D$377,MATCH(Q4153,'model_byCAP'!$A$2:$A$377,0)),0)</f>
        <v>7712</v>
      </c>
    </row>
    <row r="4154" ht="15.35" customHeight="1">
      <c r="A4154" t="s" s="2">
        <v>7727</v>
      </c>
      <c r="B4154" s="4">
        <v>33046</v>
      </c>
      <c r="C4154" s="5">
        <v>450</v>
      </c>
      <c r="D4154" s="5">
        <v>35</v>
      </c>
      <c r="E4154" s="5">
        <v>35</v>
      </c>
      <c r="F4154" t="s" s="2">
        <v>1989</v>
      </c>
      <c r="G4154" t="s" s="2">
        <v>7724</v>
      </c>
      <c r="H4154" s="5">
        <v>540</v>
      </c>
      <c r="I4154" t="s" s="2">
        <v>2092</v>
      </c>
      <c r="J4154" t="s" s="2">
        <v>22</v>
      </c>
      <c r="K4154" t="s" s="2">
        <v>7728</v>
      </c>
      <c r="L4154" s="5">
        <v>2</v>
      </c>
      <c r="M4154" s="5">
        <v>555809.74</v>
      </c>
      <c r="N4154" s="5">
        <v>6081713.8</v>
      </c>
      <c r="O4154" t="s" s="2">
        <v>305</v>
      </c>
      <c r="P4154" s="5">
        <v>200225</v>
      </c>
      <c r="Q4154" t="s" s="2">
        <v>7726</v>
      </c>
      <c r="R4154" t="s" s="2">
        <f>_xlfn.IFERROR(INDEX('model_byCAP'!$D$2:$D$377,MATCH(Q4154,'model_byCAP'!$A$2:$A$377,0)),0)</f>
        <v>7712</v>
      </c>
    </row>
    <row r="4155" ht="15.35" customHeight="1">
      <c r="A4155" t="s" s="2">
        <v>7729</v>
      </c>
      <c r="B4155" s="4">
        <v>33046</v>
      </c>
      <c r="C4155" s="5">
        <v>450</v>
      </c>
      <c r="D4155" s="5">
        <v>35</v>
      </c>
      <c r="E4155" s="5">
        <v>35</v>
      </c>
      <c r="F4155" t="s" s="2">
        <v>1989</v>
      </c>
      <c r="G4155" t="s" s="2">
        <v>7724</v>
      </c>
      <c r="H4155" s="5">
        <v>540</v>
      </c>
      <c r="I4155" t="s" s="2">
        <v>2092</v>
      </c>
      <c r="J4155" t="s" s="2">
        <v>22</v>
      </c>
      <c r="K4155" t="s" s="2">
        <v>7728</v>
      </c>
      <c r="L4155" s="5">
        <v>2</v>
      </c>
      <c r="M4155" s="5">
        <v>555858.9399999999</v>
      </c>
      <c r="N4155" s="5">
        <v>6081619.18</v>
      </c>
      <c r="O4155" t="s" s="2">
        <v>305</v>
      </c>
      <c r="P4155" s="5">
        <v>200225</v>
      </c>
      <c r="Q4155" t="s" s="2">
        <v>7726</v>
      </c>
      <c r="R4155" t="s" s="2">
        <f>_xlfn.IFERROR(INDEX('model_byCAP'!$D$2:$D$377,MATCH(Q4155,'model_byCAP'!$A$2:$A$377,0)),0)</f>
        <v>7712</v>
      </c>
    </row>
    <row r="4156" ht="15.35" customHeight="1">
      <c r="A4156" t="s" s="2">
        <v>7730</v>
      </c>
      <c r="B4156" s="4">
        <v>32598</v>
      </c>
      <c r="C4156" s="5">
        <v>450</v>
      </c>
      <c r="D4156" s="5">
        <v>36</v>
      </c>
      <c r="E4156" s="5">
        <v>35</v>
      </c>
      <c r="F4156" t="s" s="2">
        <v>1989</v>
      </c>
      <c r="G4156" t="s" s="2">
        <v>7724</v>
      </c>
      <c r="H4156" s="5">
        <v>580</v>
      </c>
      <c r="I4156" t="s" s="2">
        <v>1542</v>
      </c>
      <c r="J4156" t="s" s="2">
        <v>22</v>
      </c>
      <c r="K4156" t="s" s="2">
        <v>7731</v>
      </c>
      <c r="L4156" s="5">
        <v>192</v>
      </c>
      <c r="M4156" s="5">
        <v>538079.88</v>
      </c>
      <c r="N4156" s="5">
        <v>6092301.38</v>
      </c>
      <c r="O4156" t="s" s="2">
        <v>305</v>
      </c>
      <c r="P4156" s="5">
        <v>200236</v>
      </c>
      <c r="Q4156" t="s" s="2">
        <v>7726</v>
      </c>
      <c r="R4156" t="s" s="2">
        <f>_xlfn.IFERROR(INDEX('model_byCAP'!$D$2:$D$377,MATCH(Q4156,'model_byCAP'!$A$2:$A$377,0)),0)</f>
        <v>7712</v>
      </c>
    </row>
    <row r="4157" ht="15.35" customHeight="1">
      <c r="A4157" t="s" s="2">
        <v>7732</v>
      </c>
      <c r="B4157" s="4">
        <v>32598</v>
      </c>
      <c r="C4157" s="5">
        <v>450</v>
      </c>
      <c r="D4157" s="5">
        <v>36</v>
      </c>
      <c r="E4157" s="5">
        <v>35</v>
      </c>
      <c r="F4157" t="s" s="2">
        <v>1989</v>
      </c>
      <c r="G4157" t="s" s="2">
        <v>7724</v>
      </c>
      <c r="H4157" s="5">
        <v>580</v>
      </c>
      <c r="I4157" t="s" s="2">
        <v>1542</v>
      </c>
      <c r="J4157" t="s" s="2">
        <v>22</v>
      </c>
      <c r="K4157" t="s" s="2">
        <v>7731</v>
      </c>
      <c r="L4157" s="5">
        <v>192</v>
      </c>
      <c r="M4157" s="5">
        <v>538072.47</v>
      </c>
      <c r="N4157" s="5">
        <v>6092403.02</v>
      </c>
      <c r="O4157" t="s" s="2">
        <v>305</v>
      </c>
      <c r="P4157" s="5">
        <v>200236</v>
      </c>
      <c r="Q4157" t="s" s="2">
        <v>7726</v>
      </c>
      <c r="R4157" t="s" s="2">
        <f>_xlfn.IFERROR(INDEX('model_byCAP'!$D$2:$D$377,MATCH(Q4157,'model_byCAP'!$A$2:$A$377,0)),0)</f>
        <v>7712</v>
      </c>
    </row>
    <row r="4158" ht="15.35" customHeight="1">
      <c r="A4158" t="s" s="2">
        <v>7733</v>
      </c>
      <c r="B4158" s="4">
        <v>34530</v>
      </c>
      <c r="C4158" s="5">
        <v>450</v>
      </c>
      <c r="D4158" s="5">
        <v>37</v>
      </c>
      <c r="E4158" s="5">
        <v>35</v>
      </c>
      <c r="F4158" t="s" s="2">
        <v>1989</v>
      </c>
      <c r="G4158" t="s" s="2">
        <v>7717</v>
      </c>
      <c r="H4158" s="5">
        <v>260</v>
      </c>
      <c r="I4158" t="s" s="2">
        <v>4907</v>
      </c>
      <c r="J4158" t="s" s="2">
        <v>22</v>
      </c>
      <c r="K4158" t="s" s="2">
        <v>7734</v>
      </c>
      <c r="L4158" t="s" s="2">
        <v>394</v>
      </c>
      <c r="M4158" s="5">
        <v>684113.85</v>
      </c>
      <c r="N4158" s="5">
        <v>6208528.93</v>
      </c>
      <c r="O4158" t="s" s="2">
        <v>305</v>
      </c>
      <c r="P4158" t="s" s="2">
        <v>7735</v>
      </c>
      <c r="Q4158" t="s" s="2">
        <v>7719</v>
      </c>
      <c r="R4158" t="s" s="2">
        <f>_xlfn.IFERROR(INDEX('model_byCAP'!$D$2:$D$377,MATCH(Q4158,'model_byCAP'!$A$2:$A$377,0)),0)</f>
        <v>7712</v>
      </c>
    </row>
    <row r="4159" ht="15.35" customHeight="1">
      <c r="A4159" t="s" s="2">
        <v>7736</v>
      </c>
      <c r="B4159" s="4">
        <v>34547</v>
      </c>
      <c r="C4159" s="5">
        <v>400</v>
      </c>
      <c r="D4159" s="5">
        <v>31</v>
      </c>
      <c r="E4159" s="5">
        <v>37</v>
      </c>
      <c r="F4159" t="s" s="2">
        <v>3604</v>
      </c>
      <c r="G4159" t="s" s="2">
        <v>7737</v>
      </c>
      <c r="H4159" s="5">
        <v>330</v>
      </c>
      <c r="I4159" t="s" s="2">
        <v>1491</v>
      </c>
      <c r="J4159" t="s" s="2">
        <v>22</v>
      </c>
      <c r="K4159" t="s" s="2">
        <v>1992</v>
      </c>
      <c r="L4159" t="s" s="2">
        <v>7738</v>
      </c>
      <c r="M4159" s="5">
        <v>651120.63</v>
      </c>
      <c r="N4159" s="5">
        <v>6123341.8</v>
      </c>
      <c r="O4159" t="s" s="2">
        <v>305</v>
      </c>
      <c r="P4159" t="s" s="2">
        <v>42</v>
      </c>
      <c r="Q4159" t="s" s="2">
        <v>7739</v>
      </c>
      <c r="R4159" t="s" s="2">
        <f>_xlfn.IFERROR(INDEX('model_byCAP'!$D$2:$D$377,MATCH(Q4159,'model_byCAP'!$A$2:$A$377,0)),0)</f>
        <v>4042</v>
      </c>
    </row>
    <row r="4160" ht="15.35" customHeight="1">
      <c r="A4160" t="s" s="2">
        <v>7740</v>
      </c>
      <c r="B4160" s="4">
        <v>34547</v>
      </c>
      <c r="C4160" s="5">
        <v>400</v>
      </c>
      <c r="D4160" s="5">
        <v>31</v>
      </c>
      <c r="E4160" s="5">
        <v>37</v>
      </c>
      <c r="F4160" t="s" s="2">
        <v>3604</v>
      </c>
      <c r="G4160" t="s" s="2">
        <v>7737</v>
      </c>
      <c r="H4160" s="5">
        <v>330</v>
      </c>
      <c r="I4160" t="s" s="2">
        <v>1491</v>
      </c>
      <c r="J4160" t="s" s="2">
        <v>22</v>
      </c>
      <c r="K4160" t="s" s="2">
        <v>1992</v>
      </c>
      <c r="L4160" t="s" s="2">
        <v>551</v>
      </c>
      <c r="M4160" s="5">
        <v>651047.72</v>
      </c>
      <c r="N4160" s="5">
        <v>6123088.25</v>
      </c>
      <c r="O4160" t="s" s="2">
        <v>305</v>
      </c>
      <c r="P4160" t="s" s="2">
        <v>42</v>
      </c>
      <c r="Q4160" t="s" s="2">
        <v>7739</v>
      </c>
      <c r="R4160" t="s" s="2">
        <f>_xlfn.IFERROR(INDEX('model_byCAP'!$D$2:$D$377,MATCH(Q4160,'model_byCAP'!$A$2:$A$377,0)),0)</f>
        <v>4042</v>
      </c>
    </row>
    <row r="4161" ht="15.35" customHeight="1">
      <c r="A4161" t="s" s="2">
        <v>7741</v>
      </c>
      <c r="B4161" s="4">
        <v>35582</v>
      </c>
      <c r="C4161" s="5">
        <v>400</v>
      </c>
      <c r="D4161" s="5">
        <v>31</v>
      </c>
      <c r="E4161" s="5">
        <v>36</v>
      </c>
      <c r="F4161" t="s" s="2">
        <v>3604</v>
      </c>
      <c r="G4161" t="s" s="2">
        <v>7737</v>
      </c>
      <c r="H4161" s="5">
        <v>390</v>
      </c>
      <c r="I4161" t="s" s="2">
        <v>46</v>
      </c>
      <c r="J4161" t="s" s="2">
        <v>22</v>
      </c>
      <c r="K4161" t="s" s="2">
        <v>1992</v>
      </c>
      <c r="L4161" t="s" s="2">
        <v>2809</v>
      </c>
      <c r="M4161" s="5">
        <v>681638.9300000001</v>
      </c>
      <c r="N4161" s="5">
        <v>6109753.4</v>
      </c>
      <c r="O4161" t="s" s="2">
        <v>305</v>
      </c>
      <c r="P4161" t="s" s="2">
        <v>7742</v>
      </c>
      <c r="Q4161" t="s" s="2">
        <v>7739</v>
      </c>
      <c r="R4161" t="s" s="2">
        <f>_xlfn.IFERROR(INDEX('model_byCAP'!$D$2:$D$377,MATCH(Q4161,'model_byCAP'!$A$2:$A$377,0)),0)</f>
        <v>4042</v>
      </c>
    </row>
    <row r="4162" ht="15.35" customHeight="1">
      <c r="A4162" t="s" s="2">
        <v>7743</v>
      </c>
      <c r="B4162" s="4">
        <v>35582</v>
      </c>
      <c r="C4162" s="5">
        <v>400</v>
      </c>
      <c r="D4162" s="5">
        <v>31</v>
      </c>
      <c r="E4162" s="5">
        <v>36</v>
      </c>
      <c r="F4162" t="s" s="2">
        <v>3604</v>
      </c>
      <c r="G4162" t="s" s="2">
        <v>7737</v>
      </c>
      <c r="H4162" s="5">
        <v>390</v>
      </c>
      <c r="I4162" t="s" s="2">
        <v>46</v>
      </c>
      <c r="J4162" t="s" s="2">
        <v>22</v>
      </c>
      <c r="K4162" t="s" s="2">
        <v>1992</v>
      </c>
      <c r="L4162" t="s" s="2">
        <v>2809</v>
      </c>
      <c r="M4162" s="5">
        <v>681547.15</v>
      </c>
      <c r="N4162" s="5">
        <v>6109566.73</v>
      </c>
      <c r="O4162" t="s" s="2">
        <v>305</v>
      </c>
      <c r="P4162" t="s" s="2">
        <v>7742</v>
      </c>
      <c r="Q4162" t="s" s="2">
        <v>7739</v>
      </c>
      <c r="R4162" t="s" s="2">
        <f>_xlfn.IFERROR(INDEX('model_byCAP'!$D$2:$D$377,MATCH(Q4162,'model_byCAP'!$A$2:$A$377,0)),0)</f>
        <v>4042</v>
      </c>
    </row>
    <row r="4163" ht="15.35" customHeight="1">
      <c r="A4163" t="s" s="2">
        <v>7744</v>
      </c>
      <c r="B4163" s="4">
        <v>35582</v>
      </c>
      <c r="C4163" s="5">
        <v>400</v>
      </c>
      <c r="D4163" s="5">
        <v>31</v>
      </c>
      <c r="E4163" s="5">
        <v>36</v>
      </c>
      <c r="F4163" t="s" s="2">
        <v>3604</v>
      </c>
      <c r="G4163" t="s" s="2">
        <v>7737</v>
      </c>
      <c r="H4163" s="5">
        <v>390</v>
      </c>
      <c r="I4163" t="s" s="2">
        <v>46</v>
      </c>
      <c r="J4163" t="s" s="2">
        <v>22</v>
      </c>
      <c r="K4163" t="s" s="2">
        <v>1992</v>
      </c>
      <c r="L4163" t="s" s="2">
        <v>2809</v>
      </c>
      <c r="M4163" s="5">
        <v>681413.53</v>
      </c>
      <c r="N4163" s="5">
        <v>6109565.64</v>
      </c>
      <c r="O4163" t="s" s="2">
        <v>305</v>
      </c>
      <c r="P4163" t="s" s="2">
        <v>7742</v>
      </c>
      <c r="Q4163" t="s" s="2">
        <v>7739</v>
      </c>
      <c r="R4163" t="s" s="2">
        <f>_xlfn.IFERROR(INDEX('model_byCAP'!$D$2:$D$377,MATCH(Q4163,'model_byCAP'!$A$2:$A$377,0)),0)</f>
        <v>4042</v>
      </c>
    </row>
    <row r="4164" ht="15.35" customHeight="1">
      <c r="A4164" t="s" s="2">
        <v>7745</v>
      </c>
      <c r="B4164" s="4">
        <v>35582</v>
      </c>
      <c r="C4164" s="5">
        <v>400</v>
      </c>
      <c r="D4164" s="5">
        <v>31</v>
      </c>
      <c r="E4164" s="5">
        <v>36</v>
      </c>
      <c r="F4164" t="s" s="2">
        <v>3604</v>
      </c>
      <c r="G4164" t="s" s="2">
        <v>7737</v>
      </c>
      <c r="H4164" s="5">
        <v>390</v>
      </c>
      <c r="I4164" t="s" s="2">
        <v>46</v>
      </c>
      <c r="J4164" t="s" s="2">
        <v>22</v>
      </c>
      <c r="K4164" t="s" s="2">
        <v>1992</v>
      </c>
      <c r="L4164" t="s" s="2">
        <v>2809</v>
      </c>
      <c r="M4164" s="5">
        <v>681491.84</v>
      </c>
      <c r="N4164" s="5">
        <v>6109453.6</v>
      </c>
      <c r="O4164" t="s" s="2">
        <v>305</v>
      </c>
      <c r="P4164" t="s" s="2">
        <v>7742</v>
      </c>
      <c r="Q4164" t="s" s="2">
        <v>7739</v>
      </c>
      <c r="R4164" t="s" s="2">
        <f>_xlfn.IFERROR(INDEX('model_byCAP'!$D$2:$D$377,MATCH(Q4164,'model_byCAP'!$A$2:$A$377,0)),0)</f>
        <v>4042</v>
      </c>
    </row>
    <row r="4165" ht="15.35" customHeight="1">
      <c r="A4165" t="s" s="2">
        <v>7746</v>
      </c>
      <c r="B4165" s="4">
        <v>35582</v>
      </c>
      <c r="C4165" s="5">
        <v>400</v>
      </c>
      <c r="D4165" s="5">
        <v>31</v>
      </c>
      <c r="E4165" s="5">
        <v>36</v>
      </c>
      <c r="F4165" t="s" s="2">
        <v>3604</v>
      </c>
      <c r="G4165" t="s" s="2">
        <v>7737</v>
      </c>
      <c r="H4165" s="5">
        <v>390</v>
      </c>
      <c r="I4165" t="s" s="2">
        <v>46</v>
      </c>
      <c r="J4165" t="s" s="2">
        <v>22</v>
      </c>
      <c r="K4165" t="s" s="2">
        <v>1992</v>
      </c>
      <c r="L4165" t="s" s="2">
        <v>2809</v>
      </c>
      <c r="M4165" s="5">
        <v>681625.51</v>
      </c>
      <c r="N4165" s="5">
        <v>6109449.03</v>
      </c>
      <c r="O4165" t="s" s="2">
        <v>305</v>
      </c>
      <c r="P4165" t="s" s="2">
        <v>7742</v>
      </c>
      <c r="Q4165" t="s" s="2">
        <v>7739</v>
      </c>
      <c r="R4165" t="s" s="2">
        <f>_xlfn.IFERROR(INDEX('model_byCAP'!$D$2:$D$377,MATCH(Q4165,'model_byCAP'!$A$2:$A$377,0)),0)</f>
        <v>4042</v>
      </c>
    </row>
    <row r="4166" ht="15.35" customHeight="1">
      <c r="A4166" t="s" s="2">
        <v>7747</v>
      </c>
      <c r="B4166" s="4">
        <v>35582</v>
      </c>
      <c r="C4166" s="5">
        <v>400</v>
      </c>
      <c r="D4166" s="5">
        <v>31</v>
      </c>
      <c r="E4166" s="5">
        <v>36</v>
      </c>
      <c r="F4166" t="s" s="2">
        <v>3604</v>
      </c>
      <c r="G4166" t="s" s="2">
        <v>7737</v>
      </c>
      <c r="H4166" s="5">
        <v>390</v>
      </c>
      <c r="I4166" t="s" s="2">
        <v>46</v>
      </c>
      <c r="J4166" t="s" s="2">
        <v>22</v>
      </c>
      <c r="K4166" t="s" s="2">
        <v>1992</v>
      </c>
      <c r="L4166" t="s" s="2">
        <v>7748</v>
      </c>
      <c r="M4166" s="5">
        <v>680867.89</v>
      </c>
      <c r="N4166" s="5">
        <v>6108650.96</v>
      </c>
      <c r="O4166" t="s" s="2">
        <v>305</v>
      </c>
      <c r="P4166" s="5">
        <v>182903</v>
      </c>
      <c r="Q4166" t="s" s="2">
        <v>7739</v>
      </c>
      <c r="R4166" t="s" s="2">
        <f>_xlfn.IFERROR(INDEX('model_byCAP'!$D$2:$D$377,MATCH(Q4166,'model_byCAP'!$A$2:$A$377,0)),0)</f>
        <v>4042</v>
      </c>
    </row>
    <row r="4167" ht="15.35" customHeight="1">
      <c r="A4167" t="s" s="2">
        <v>7749</v>
      </c>
      <c r="B4167" s="4">
        <v>35582</v>
      </c>
      <c r="C4167" s="5">
        <v>400</v>
      </c>
      <c r="D4167" s="5">
        <v>31</v>
      </c>
      <c r="E4167" s="5">
        <v>36</v>
      </c>
      <c r="F4167" t="s" s="2">
        <v>3604</v>
      </c>
      <c r="G4167" t="s" s="2">
        <v>7737</v>
      </c>
      <c r="H4167" s="5">
        <v>390</v>
      </c>
      <c r="I4167" t="s" s="2">
        <v>46</v>
      </c>
      <c r="J4167" t="s" s="2">
        <v>22</v>
      </c>
      <c r="K4167" t="s" s="2">
        <v>1992</v>
      </c>
      <c r="L4167" t="s" s="2">
        <v>7748</v>
      </c>
      <c r="M4167" s="5">
        <v>681086.74</v>
      </c>
      <c r="N4167" s="5">
        <v>6108564.54</v>
      </c>
      <c r="O4167" t="s" s="2">
        <v>305</v>
      </c>
      <c r="P4167" s="5">
        <v>182904</v>
      </c>
      <c r="Q4167" t="s" s="2">
        <v>7739</v>
      </c>
      <c r="R4167" t="s" s="2">
        <f>_xlfn.IFERROR(INDEX('model_byCAP'!$D$2:$D$377,MATCH(Q4167,'model_byCAP'!$A$2:$A$377,0)),0)</f>
        <v>4042</v>
      </c>
    </row>
    <row r="4168" ht="15.35" customHeight="1">
      <c r="A4168" t="s" s="2">
        <v>7750</v>
      </c>
      <c r="B4168" s="4">
        <v>35582</v>
      </c>
      <c r="C4168" s="5">
        <v>400</v>
      </c>
      <c r="D4168" s="5">
        <v>31</v>
      </c>
      <c r="E4168" s="5">
        <v>36</v>
      </c>
      <c r="F4168" t="s" s="2">
        <v>3604</v>
      </c>
      <c r="G4168" t="s" s="2">
        <v>7737</v>
      </c>
      <c r="H4168" s="5">
        <v>390</v>
      </c>
      <c r="I4168" t="s" s="2">
        <v>46</v>
      </c>
      <c r="J4168" t="s" s="2">
        <v>22</v>
      </c>
      <c r="K4168" t="s" s="2">
        <v>1992</v>
      </c>
      <c r="L4168" t="s" s="2">
        <v>7751</v>
      </c>
      <c r="M4168" s="5">
        <v>681305.9</v>
      </c>
      <c r="N4168" s="5">
        <v>6108478.93</v>
      </c>
      <c r="O4168" t="s" s="2">
        <v>305</v>
      </c>
      <c r="P4168" s="5">
        <v>182905</v>
      </c>
      <c r="Q4168" t="s" s="2">
        <v>7739</v>
      </c>
      <c r="R4168" t="s" s="2">
        <f>_xlfn.IFERROR(INDEX('model_byCAP'!$D$2:$D$377,MATCH(Q4168,'model_byCAP'!$A$2:$A$377,0)),0)</f>
        <v>4042</v>
      </c>
    </row>
    <row r="4169" ht="15.35" customHeight="1">
      <c r="A4169" t="s" s="2">
        <v>7752</v>
      </c>
      <c r="B4169" s="4">
        <v>35582</v>
      </c>
      <c r="C4169" s="5">
        <v>400</v>
      </c>
      <c r="D4169" s="5">
        <v>31</v>
      </c>
      <c r="E4169" s="5">
        <v>36</v>
      </c>
      <c r="F4169" t="s" s="2">
        <v>3604</v>
      </c>
      <c r="G4169" t="s" s="2">
        <v>7737</v>
      </c>
      <c r="H4169" s="5">
        <v>390</v>
      </c>
      <c r="I4169" t="s" s="2">
        <v>46</v>
      </c>
      <c r="J4169" t="s" s="2">
        <v>22</v>
      </c>
      <c r="K4169" t="s" s="2">
        <v>1992</v>
      </c>
      <c r="L4169" t="s" s="2">
        <v>7751</v>
      </c>
      <c r="M4169" s="5">
        <v>681523.9399999999</v>
      </c>
      <c r="N4169" s="5">
        <v>6108393</v>
      </c>
      <c r="O4169" t="s" s="2">
        <v>305</v>
      </c>
      <c r="P4169" t="s" s="2">
        <v>7742</v>
      </c>
      <c r="Q4169" t="s" s="2">
        <v>7739</v>
      </c>
      <c r="R4169" t="s" s="2">
        <f>_xlfn.IFERROR(INDEX('model_byCAP'!$D$2:$D$377,MATCH(Q4169,'model_byCAP'!$A$2:$A$377,0)),0)</f>
        <v>4042</v>
      </c>
    </row>
    <row r="4170" ht="15.35" customHeight="1">
      <c r="A4170" t="s" s="2">
        <v>7753</v>
      </c>
      <c r="B4170" s="4">
        <v>35582</v>
      </c>
      <c r="C4170" s="5">
        <v>400</v>
      </c>
      <c r="D4170" s="5">
        <v>31</v>
      </c>
      <c r="E4170" s="5">
        <v>36</v>
      </c>
      <c r="F4170" t="s" s="2">
        <v>3604</v>
      </c>
      <c r="G4170" t="s" s="2">
        <v>7737</v>
      </c>
      <c r="H4170" s="5">
        <v>390</v>
      </c>
      <c r="I4170" t="s" s="2">
        <v>46</v>
      </c>
      <c r="J4170" t="s" s="2">
        <v>22</v>
      </c>
      <c r="K4170" t="s" s="2">
        <v>1992</v>
      </c>
      <c r="L4170" t="s" s="2">
        <v>2348</v>
      </c>
      <c r="M4170" s="5">
        <v>681743.3</v>
      </c>
      <c r="N4170" s="5">
        <v>6108307.19</v>
      </c>
      <c r="O4170" t="s" s="2">
        <v>305</v>
      </c>
      <c r="P4170" t="s" s="2">
        <v>7742</v>
      </c>
      <c r="Q4170" t="s" s="2">
        <v>7739</v>
      </c>
      <c r="R4170" t="s" s="2">
        <f>_xlfn.IFERROR(INDEX('model_byCAP'!$D$2:$D$377,MATCH(Q4170,'model_byCAP'!$A$2:$A$377,0)),0)</f>
        <v>4042</v>
      </c>
    </row>
    <row r="4171" ht="15.35" customHeight="1">
      <c r="A4171" t="s" s="2">
        <v>7754</v>
      </c>
      <c r="B4171" s="4">
        <v>34454</v>
      </c>
      <c r="C4171" s="5">
        <v>400</v>
      </c>
      <c r="D4171" s="5">
        <v>31</v>
      </c>
      <c r="E4171" s="5">
        <v>36</v>
      </c>
      <c r="F4171" t="s" s="2">
        <v>1746</v>
      </c>
      <c r="G4171" t="s" s="2">
        <v>7755</v>
      </c>
      <c r="H4171" s="5">
        <v>420</v>
      </c>
      <c r="I4171" t="s" s="2">
        <v>3043</v>
      </c>
      <c r="J4171" t="s" s="2">
        <v>22</v>
      </c>
      <c r="K4171" t="s" s="2">
        <v>7756</v>
      </c>
      <c r="L4171" t="s" s="2">
        <v>1528</v>
      </c>
      <c r="M4171" s="5">
        <v>571135.3</v>
      </c>
      <c r="N4171" s="5">
        <v>6121314.69</v>
      </c>
      <c r="O4171" t="s" s="2">
        <v>305</v>
      </c>
      <c r="P4171" s="5">
        <v>99168</v>
      </c>
      <c r="Q4171" t="s" s="2">
        <v>7757</v>
      </c>
      <c r="R4171" t="s" s="2">
        <f>_xlfn.IFERROR(INDEX('model_byCAP'!$D$2:$D$377,MATCH(Q4171,'model_byCAP'!$A$2:$A$377,0)),0)</f>
        <v>4042</v>
      </c>
    </row>
    <row r="4172" ht="15.35" customHeight="1">
      <c r="A4172" t="s" s="2">
        <v>7758</v>
      </c>
      <c r="B4172" s="4">
        <v>33703</v>
      </c>
      <c r="C4172" s="5">
        <v>400</v>
      </c>
      <c r="D4172" s="5">
        <v>31</v>
      </c>
      <c r="E4172" s="5">
        <v>36</v>
      </c>
      <c r="F4172" t="s" s="2">
        <v>3604</v>
      </c>
      <c r="G4172" t="s" s="2">
        <v>7759</v>
      </c>
      <c r="H4172" s="5">
        <v>550</v>
      </c>
      <c r="I4172" t="s" s="2">
        <v>526</v>
      </c>
      <c r="J4172" t="s" s="2">
        <v>22</v>
      </c>
      <c r="K4172" t="s" s="2">
        <v>7760</v>
      </c>
      <c r="L4172" s="5">
        <v>36</v>
      </c>
      <c r="M4172" s="5">
        <v>505013.94</v>
      </c>
      <c r="N4172" s="5">
        <v>6110648.17</v>
      </c>
      <c r="O4172" t="s" s="2">
        <v>305</v>
      </c>
      <c r="P4172" t="s" s="2">
        <v>7761</v>
      </c>
      <c r="Q4172" t="s" s="2">
        <v>7762</v>
      </c>
      <c r="R4172" t="s" s="2">
        <f>_xlfn.IFERROR(INDEX('model_byCAP'!$D$2:$D$377,MATCH(Q4172,'model_byCAP'!$A$2:$A$377,0)),0)</f>
        <v>4042</v>
      </c>
    </row>
    <row r="4173" ht="15.35" customHeight="1">
      <c r="A4173" t="s" s="2">
        <v>7763</v>
      </c>
      <c r="B4173" s="4">
        <v>33756</v>
      </c>
      <c r="C4173" s="5">
        <v>400</v>
      </c>
      <c r="D4173" s="5">
        <v>31</v>
      </c>
      <c r="E4173" s="5">
        <v>36</v>
      </c>
      <c r="F4173" t="s" s="2">
        <v>3604</v>
      </c>
      <c r="G4173" t="s" s="2">
        <v>7759</v>
      </c>
      <c r="H4173" s="5">
        <v>550</v>
      </c>
      <c r="I4173" t="s" s="2">
        <v>526</v>
      </c>
      <c r="J4173" t="s" s="2">
        <v>22</v>
      </c>
      <c r="K4173" t="s" s="2">
        <v>4458</v>
      </c>
      <c r="L4173" s="5">
        <v>4</v>
      </c>
      <c r="M4173" s="5">
        <v>481940.91</v>
      </c>
      <c r="N4173" s="5">
        <v>6117815.23</v>
      </c>
      <c r="O4173" t="s" s="2">
        <v>305</v>
      </c>
      <c r="P4173" t="s" s="2">
        <v>7764</v>
      </c>
      <c r="Q4173" t="s" s="2">
        <v>7762</v>
      </c>
      <c r="R4173" t="s" s="2">
        <f>_xlfn.IFERROR(INDEX('model_byCAP'!$D$2:$D$377,MATCH(Q4173,'model_byCAP'!$A$2:$A$377,0)),0)</f>
        <v>4042</v>
      </c>
    </row>
    <row r="4174" ht="15.35" customHeight="1">
      <c r="A4174" t="s" s="2">
        <v>7765</v>
      </c>
      <c r="B4174" s="4">
        <v>33756</v>
      </c>
      <c r="C4174" s="5">
        <v>400</v>
      </c>
      <c r="D4174" s="5">
        <v>31</v>
      </c>
      <c r="E4174" s="5">
        <v>36</v>
      </c>
      <c r="F4174" t="s" s="2">
        <v>3604</v>
      </c>
      <c r="G4174" t="s" s="2">
        <v>7759</v>
      </c>
      <c r="H4174" s="5">
        <v>550</v>
      </c>
      <c r="I4174" t="s" s="2">
        <v>526</v>
      </c>
      <c r="J4174" t="s" s="2">
        <v>22</v>
      </c>
      <c r="K4174" t="s" s="2">
        <v>4458</v>
      </c>
      <c r="L4174" s="5">
        <v>670</v>
      </c>
      <c r="M4174" s="5">
        <v>481987.88</v>
      </c>
      <c r="N4174" s="5">
        <v>6117604.27</v>
      </c>
      <c r="O4174" t="s" s="2">
        <v>305</v>
      </c>
      <c r="P4174" t="s" s="2">
        <v>7764</v>
      </c>
      <c r="Q4174" t="s" s="2">
        <v>7762</v>
      </c>
      <c r="R4174" t="s" s="2">
        <f>_xlfn.IFERROR(INDEX('model_byCAP'!$D$2:$D$377,MATCH(Q4174,'model_byCAP'!$A$2:$A$377,0)),0)</f>
        <v>4042</v>
      </c>
    </row>
    <row r="4175" ht="15.35" customHeight="1">
      <c r="A4175" t="s" s="2">
        <v>7766</v>
      </c>
      <c r="B4175" s="4">
        <v>33756</v>
      </c>
      <c r="C4175" s="5">
        <v>400</v>
      </c>
      <c r="D4175" s="5">
        <v>31</v>
      </c>
      <c r="E4175" s="5">
        <v>36</v>
      </c>
      <c r="F4175" t="s" s="2">
        <v>3604</v>
      </c>
      <c r="G4175" t="s" s="2">
        <v>7759</v>
      </c>
      <c r="H4175" s="5">
        <v>550</v>
      </c>
      <c r="I4175" t="s" s="2">
        <v>526</v>
      </c>
      <c r="J4175" t="s" s="2">
        <v>22</v>
      </c>
      <c r="K4175" t="s" s="2">
        <v>4458</v>
      </c>
      <c r="L4175" s="5">
        <v>709</v>
      </c>
      <c r="M4175" s="5">
        <v>482035.35</v>
      </c>
      <c r="N4175" s="5">
        <v>6117393.37</v>
      </c>
      <c r="O4175" t="s" s="2">
        <v>305</v>
      </c>
      <c r="P4175" t="s" s="2">
        <v>7764</v>
      </c>
      <c r="Q4175" t="s" s="2">
        <v>7762</v>
      </c>
      <c r="R4175" t="s" s="2">
        <f>_xlfn.IFERROR(INDEX('model_byCAP'!$D$2:$D$377,MATCH(Q4175,'model_byCAP'!$A$2:$A$377,0)),0)</f>
        <v>4042</v>
      </c>
    </row>
    <row r="4176" ht="15.35" customHeight="1">
      <c r="A4176" t="s" s="2">
        <v>7767</v>
      </c>
      <c r="B4176" s="4">
        <v>33756</v>
      </c>
      <c r="C4176" s="5">
        <v>400</v>
      </c>
      <c r="D4176" s="5">
        <v>31</v>
      </c>
      <c r="E4176" s="5">
        <v>36</v>
      </c>
      <c r="F4176" t="s" s="2">
        <v>3604</v>
      </c>
      <c r="G4176" t="s" s="2">
        <v>7759</v>
      </c>
      <c r="H4176" s="5">
        <v>550</v>
      </c>
      <c r="I4176" t="s" s="2">
        <v>526</v>
      </c>
      <c r="J4176" t="s" s="2">
        <v>22</v>
      </c>
      <c r="K4176" t="s" s="2">
        <v>4458</v>
      </c>
      <c r="L4176" s="5">
        <v>12</v>
      </c>
      <c r="M4176" s="5">
        <v>482085.08</v>
      </c>
      <c r="N4176" s="5">
        <v>6117169.44</v>
      </c>
      <c r="O4176" t="s" s="2">
        <v>305</v>
      </c>
      <c r="P4176" t="s" s="2">
        <v>7764</v>
      </c>
      <c r="Q4176" t="s" s="2">
        <v>7762</v>
      </c>
      <c r="R4176" t="s" s="2">
        <f>_xlfn.IFERROR(INDEX('model_byCAP'!$D$2:$D$377,MATCH(Q4176,'model_byCAP'!$A$2:$A$377,0)),0)</f>
        <v>4042</v>
      </c>
    </row>
    <row r="4177" ht="15.35" customHeight="1">
      <c r="A4177" t="s" s="2">
        <v>7768</v>
      </c>
      <c r="B4177" s="4">
        <v>33756</v>
      </c>
      <c r="C4177" s="5">
        <v>400</v>
      </c>
      <c r="D4177" s="5">
        <v>31</v>
      </c>
      <c r="E4177" s="5">
        <v>36</v>
      </c>
      <c r="F4177" t="s" s="2">
        <v>3604</v>
      </c>
      <c r="G4177" t="s" s="2">
        <v>7759</v>
      </c>
      <c r="H4177" s="5">
        <v>550</v>
      </c>
      <c r="I4177" t="s" s="2">
        <v>526</v>
      </c>
      <c r="J4177" t="s" s="2">
        <v>22</v>
      </c>
      <c r="K4177" t="s" s="2">
        <v>4458</v>
      </c>
      <c r="L4177" s="5">
        <v>4</v>
      </c>
      <c r="M4177" s="5">
        <v>482228.06</v>
      </c>
      <c r="N4177" s="5">
        <v>6117811.83</v>
      </c>
      <c r="O4177" t="s" s="2">
        <v>305</v>
      </c>
      <c r="P4177" t="s" s="2">
        <v>7764</v>
      </c>
      <c r="Q4177" t="s" s="2">
        <v>7762</v>
      </c>
      <c r="R4177" t="s" s="2">
        <f>_xlfn.IFERROR(INDEX('model_byCAP'!$D$2:$D$377,MATCH(Q4177,'model_byCAP'!$A$2:$A$377,0)),0)</f>
        <v>4042</v>
      </c>
    </row>
    <row r="4178" ht="15.35" customHeight="1">
      <c r="A4178" t="s" s="2">
        <v>7769</v>
      </c>
      <c r="B4178" s="4">
        <v>33756</v>
      </c>
      <c r="C4178" s="5">
        <v>400</v>
      </c>
      <c r="D4178" s="5">
        <v>31</v>
      </c>
      <c r="E4178" s="5">
        <v>36</v>
      </c>
      <c r="F4178" t="s" s="2">
        <v>3604</v>
      </c>
      <c r="G4178" t="s" s="2">
        <v>7759</v>
      </c>
      <c r="H4178" s="5">
        <v>550</v>
      </c>
      <c r="I4178" t="s" s="2">
        <v>526</v>
      </c>
      <c r="J4178" t="s" s="2">
        <v>22</v>
      </c>
      <c r="K4178" t="s" s="2">
        <v>4458</v>
      </c>
      <c r="L4178" s="5">
        <v>4</v>
      </c>
      <c r="M4178" s="5">
        <v>482275.08</v>
      </c>
      <c r="N4178" s="5">
        <v>6117600.7</v>
      </c>
      <c r="O4178" t="s" s="2">
        <v>305</v>
      </c>
      <c r="P4178" t="s" s="2">
        <v>7764</v>
      </c>
      <c r="Q4178" t="s" s="2">
        <v>7762</v>
      </c>
      <c r="R4178" t="s" s="2">
        <f>_xlfn.IFERROR(INDEX('model_byCAP'!$D$2:$D$377,MATCH(Q4178,'model_byCAP'!$A$2:$A$377,0)),0)</f>
        <v>4042</v>
      </c>
    </row>
    <row r="4179" ht="15.35" customHeight="1">
      <c r="A4179" t="s" s="2">
        <v>7770</v>
      </c>
      <c r="B4179" s="4">
        <v>33756</v>
      </c>
      <c r="C4179" s="5">
        <v>400</v>
      </c>
      <c r="D4179" s="5">
        <v>31</v>
      </c>
      <c r="E4179" s="5">
        <v>36</v>
      </c>
      <c r="F4179" t="s" s="2">
        <v>3604</v>
      </c>
      <c r="G4179" t="s" s="2">
        <v>7759</v>
      </c>
      <c r="H4179" s="5">
        <v>550</v>
      </c>
      <c r="I4179" t="s" s="2">
        <v>526</v>
      </c>
      <c r="J4179" t="s" s="2">
        <v>22</v>
      </c>
      <c r="K4179" t="s" s="2">
        <v>4458</v>
      </c>
      <c r="L4179" s="5">
        <v>666</v>
      </c>
      <c r="M4179" s="5">
        <v>482322.16</v>
      </c>
      <c r="N4179" s="5">
        <v>6117389.47</v>
      </c>
      <c r="O4179" t="s" s="2">
        <v>305</v>
      </c>
      <c r="P4179" t="s" s="2">
        <v>7764</v>
      </c>
      <c r="Q4179" t="s" s="2">
        <v>7762</v>
      </c>
      <c r="R4179" t="s" s="2">
        <f>_xlfn.IFERROR(INDEX('model_byCAP'!$D$2:$D$377,MATCH(Q4179,'model_byCAP'!$A$2:$A$377,0)),0)</f>
        <v>4042</v>
      </c>
    </row>
    <row r="4180" ht="15.35" customHeight="1">
      <c r="A4180" t="s" s="2">
        <v>7771</v>
      </c>
      <c r="B4180" s="4">
        <v>33756</v>
      </c>
      <c r="C4180" s="5">
        <v>400</v>
      </c>
      <c r="D4180" s="5">
        <v>31</v>
      </c>
      <c r="E4180" s="5">
        <v>36</v>
      </c>
      <c r="F4180" t="s" s="2">
        <v>3604</v>
      </c>
      <c r="G4180" t="s" s="2">
        <v>7759</v>
      </c>
      <c r="H4180" s="5">
        <v>550</v>
      </c>
      <c r="I4180" t="s" s="2">
        <v>526</v>
      </c>
      <c r="J4180" t="s" s="2">
        <v>22</v>
      </c>
      <c r="K4180" t="s" s="2">
        <v>4458</v>
      </c>
      <c r="L4180" s="5">
        <v>12</v>
      </c>
      <c r="M4180" s="5">
        <v>482371.83</v>
      </c>
      <c r="N4180" s="5">
        <v>6117165.8</v>
      </c>
      <c r="O4180" t="s" s="2">
        <v>305</v>
      </c>
      <c r="P4180" t="s" s="2">
        <v>7764</v>
      </c>
      <c r="Q4180" t="s" s="2">
        <v>7762</v>
      </c>
      <c r="R4180" t="s" s="2">
        <f>_xlfn.IFERROR(INDEX('model_byCAP'!$D$2:$D$377,MATCH(Q4180,'model_byCAP'!$A$2:$A$377,0)),0)</f>
        <v>4042</v>
      </c>
    </row>
    <row r="4181" ht="15.35" customHeight="1">
      <c r="A4181" t="s" s="2">
        <v>7772</v>
      </c>
      <c r="B4181" s="4">
        <v>28642</v>
      </c>
      <c r="C4181" s="5">
        <v>400</v>
      </c>
      <c r="D4181" s="5">
        <v>54</v>
      </c>
      <c r="E4181" s="5">
        <v>54</v>
      </c>
      <c r="F4181" t="s" s="2">
        <v>42</v>
      </c>
      <c r="G4181" t="s" s="2">
        <v>42</v>
      </c>
      <c r="H4181" s="5">
        <v>661</v>
      </c>
      <c r="I4181" t="s" s="2">
        <v>562</v>
      </c>
      <c r="J4181" t="s" s="2">
        <v>22</v>
      </c>
      <c r="K4181" t="s" s="2">
        <v>7773</v>
      </c>
      <c r="L4181" t="s" s="2">
        <v>7774</v>
      </c>
      <c r="M4181" s="5">
        <v>455393.37</v>
      </c>
      <c r="N4181" s="5">
        <v>6234801.1</v>
      </c>
      <c r="O4181" t="s" s="2">
        <v>305</v>
      </c>
      <c r="P4181" s="5">
        <v>8505031</v>
      </c>
      <c r="Q4181" t="s" s="2">
        <v>43</v>
      </c>
      <c r="R4181" s="5">
        <f>_xlfn.IFERROR(INDEX('model_byCAP'!$D$2:$D$377,MATCH(Q4181,'model_byCAP'!$A$2:$A$377,0)),0)</f>
        <v>0</v>
      </c>
    </row>
    <row r="4182" ht="15.35" customHeight="1">
      <c r="A4182" t="s" s="2">
        <v>7775</v>
      </c>
      <c r="B4182" s="4">
        <v>34171</v>
      </c>
      <c r="C4182" s="5">
        <v>400</v>
      </c>
      <c r="D4182" s="5">
        <v>31</v>
      </c>
      <c r="E4182" s="5">
        <v>36</v>
      </c>
      <c r="F4182" t="s" s="2">
        <v>3604</v>
      </c>
      <c r="G4182" t="s" s="2">
        <v>7737</v>
      </c>
      <c r="H4182" s="5">
        <v>250</v>
      </c>
      <c r="I4182" t="s" s="2">
        <v>7069</v>
      </c>
      <c r="J4182" t="s" s="2">
        <v>22</v>
      </c>
      <c r="K4182" t="s" s="2">
        <v>7776</v>
      </c>
      <c r="L4182" s="5">
        <v>0</v>
      </c>
      <c r="M4182" s="5">
        <v>681246.2</v>
      </c>
      <c r="N4182" s="5">
        <v>6189356.07</v>
      </c>
      <c r="O4182" t="s" s="2">
        <v>305</v>
      </c>
      <c r="P4182" t="s" s="2">
        <v>7777</v>
      </c>
      <c r="Q4182" t="s" s="2">
        <v>7739</v>
      </c>
      <c r="R4182" t="s" s="2">
        <f>_xlfn.IFERROR(INDEX('model_byCAP'!$D$2:$D$377,MATCH(Q4182,'model_byCAP'!$A$2:$A$377,0)),0)</f>
        <v>4042</v>
      </c>
    </row>
    <row r="4183" ht="15.35" customHeight="1">
      <c r="A4183" t="s" s="2">
        <v>7778</v>
      </c>
      <c r="B4183" s="4">
        <v>34171</v>
      </c>
      <c r="C4183" s="5">
        <v>400</v>
      </c>
      <c r="D4183" s="5">
        <v>31</v>
      </c>
      <c r="E4183" s="5">
        <v>36</v>
      </c>
      <c r="F4183" t="s" s="2">
        <v>3604</v>
      </c>
      <c r="G4183" t="s" s="2">
        <v>7737</v>
      </c>
      <c r="H4183" s="5">
        <v>250</v>
      </c>
      <c r="I4183" t="s" s="2">
        <v>7069</v>
      </c>
      <c r="J4183" t="s" s="2">
        <v>22</v>
      </c>
      <c r="K4183" t="s" s="2">
        <v>7776</v>
      </c>
      <c r="L4183" s="5">
        <v>0</v>
      </c>
      <c r="M4183" s="5">
        <v>681105.21</v>
      </c>
      <c r="N4183" s="5">
        <v>6189427.54</v>
      </c>
      <c r="O4183" t="s" s="2">
        <v>305</v>
      </c>
      <c r="P4183" t="s" s="2">
        <v>7777</v>
      </c>
      <c r="Q4183" t="s" s="2">
        <v>7739</v>
      </c>
      <c r="R4183" t="s" s="2">
        <f>_xlfn.IFERROR(INDEX('model_byCAP'!$D$2:$D$377,MATCH(Q4183,'model_byCAP'!$A$2:$A$377,0)),0)</f>
        <v>4042</v>
      </c>
    </row>
    <row r="4184" ht="15.35" customHeight="1">
      <c r="A4184" t="s" s="2">
        <v>7779</v>
      </c>
      <c r="B4184" s="4">
        <v>34171</v>
      </c>
      <c r="C4184" s="5">
        <v>400</v>
      </c>
      <c r="D4184" s="5">
        <v>31</v>
      </c>
      <c r="E4184" s="5">
        <v>36</v>
      </c>
      <c r="F4184" t="s" s="2">
        <v>3604</v>
      </c>
      <c r="G4184" t="s" s="2">
        <v>7737</v>
      </c>
      <c r="H4184" s="5">
        <v>250</v>
      </c>
      <c r="I4184" t="s" s="2">
        <v>7069</v>
      </c>
      <c r="J4184" t="s" s="2">
        <v>22</v>
      </c>
      <c r="K4184" t="s" s="2">
        <v>7776</v>
      </c>
      <c r="L4184" s="5">
        <v>0</v>
      </c>
      <c r="M4184" s="5">
        <v>680973.96</v>
      </c>
      <c r="N4184" s="5">
        <v>6189376.13</v>
      </c>
      <c r="O4184" t="s" s="2">
        <v>305</v>
      </c>
      <c r="P4184" t="s" s="2">
        <v>7777</v>
      </c>
      <c r="Q4184" t="s" s="2">
        <v>7739</v>
      </c>
      <c r="R4184" t="s" s="2">
        <f>_xlfn.IFERROR(INDEX('model_byCAP'!$D$2:$D$377,MATCH(Q4184,'model_byCAP'!$A$2:$A$377,0)),0)</f>
        <v>4042</v>
      </c>
    </row>
    <row r="4185" ht="15.35" customHeight="1">
      <c r="A4185" t="s" s="2">
        <v>7780</v>
      </c>
      <c r="B4185" s="4">
        <v>35082</v>
      </c>
      <c r="C4185" s="5">
        <v>400</v>
      </c>
      <c r="D4185" s="5">
        <v>31</v>
      </c>
      <c r="E4185" s="5">
        <v>35</v>
      </c>
      <c r="F4185" t="s" s="2">
        <v>3604</v>
      </c>
      <c r="G4185" t="s" s="2">
        <v>7759</v>
      </c>
      <c r="H4185" s="5">
        <v>849</v>
      </c>
      <c r="I4185" t="s" s="2">
        <v>411</v>
      </c>
      <c r="J4185" t="s" s="2">
        <v>22</v>
      </c>
      <c r="K4185" t="s" s="2">
        <v>7781</v>
      </c>
      <c r="L4185" t="s" s="2">
        <v>7573</v>
      </c>
      <c r="M4185" s="5">
        <v>514814.01</v>
      </c>
      <c r="N4185" s="5">
        <v>6320305.85</v>
      </c>
      <c r="O4185" t="s" s="2">
        <v>305</v>
      </c>
      <c r="P4185" t="s" s="2">
        <v>7782</v>
      </c>
      <c r="Q4185" t="s" s="2">
        <v>7762</v>
      </c>
      <c r="R4185" t="s" s="2">
        <f>_xlfn.IFERROR(INDEX('model_byCAP'!$D$2:$D$377,MATCH(Q4185,'model_byCAP'!$A$2:$A$377,0)),0)</f>
        <v>4042</v>
      </c>
    </row>
    <row r="4186" ht="15.35" customHeight="1">
      <c r="A4186" t="s" s="2">
        <v>7783</v>
      </c>
      <c r="B4186" s="4">
        <v>34516</v>
      </c>
      <c r="C4186" s="5">
        <v>400</v>
      </c>
      <c r="D4186" s="5">
        <v>31</v>
      </c>
      <c r="E4186" s="5">
        <v>35</v>
      </c>
      <c r="F4186" t="s" s="2">
        <v>3604</v>
      </c>
      <c r="G4186" t="s" s="2">
        <v>7759</v>
      </c>
      <c r="H4186" s="5">
        <v>849</v>
      </c>
      <c r="I4186" t="s" s="2">
        <v>411</v>
      </c>
      <c r="J4186" t="s" s="2">
        <v>22</v>
      </c>
      <c r="K4186" t="s" s="2">
        <v>7784</v>
      </c>
      <c r="L4186" t="s" s="2">
        <v>7785</v>
      </c>
      <c r="M4186" s="5">
        <v>511006.74</v>
      </c>
      <c r="N4186" s="5">
        <v>6322476.42</v>
      </c>
      <c r="O4186" t="s" s="2">
        <v>305</v>
      </c>
      <c r="P4186" t="s" s="2">
        <v>7786</v>
      </c>
      <c r="Q4186" t="s" s="2">
        <v>7762</v>
      </c>
      <c r="R4186" t="s" s="2">
        <f>_xlfn.IFERROR(INDEX('model_byCAP'!$D$2:$D$377,MATCH(Q4186,'model_byCAP'!$A$2:$A$377,0)),0)</f>
        <v>4042</v>
      </c>
    </row>
    <row r="4187" ht="15.35" customHeight="1">
      <c r="A4187" t="s" s="2">
        <v>7787</v>
      </c>
      <c r="B4187" s="4">
        <v>34956</v>
      </c>
      <c r="C4187" s="5">
        <v>400</v>
      </c>
      <c r="D4187" s="5">
        <v>31</v>
      </c>
      <c r="E4187" s="5">
        <v>35</v>
      </c>
      <c r="F4187" t="s" s="2">
        <v>3604</v>
      </c>
      <c r="G4187" t="s" s="2">
        <v>7759</v>
      </c>
      <c r="H4187" s="5">
        <v>849</v>
      </c>
      <c r="I4187" t="s" s="2">
        <v>411</v>
      </c>
      <c r="J4187" t="s" s="2">
        <v>22</v>
      </c>
      <c r="K4187" t="s" s="2">
        <v>7784</v>
      </c>
      <c r="L4187" t="s" s="2">
        <v>7788</v>
      </c>
      <c r="M4187" s="5">
        <v>511171.2</v>
      </c>
      <c r="N4187" s="5">
        <v>6322390.51</v>
      </c>
      <c r="O4187" t="s" s="2">
        <v>305</v>
      </c>
      <c r="P4187" t="s" s="2">
        <v>7789</v>
      </c>
      <c r="Q4187" t="s" s="2">
        <v>7762</v>
      </c>
      <c r="R4187" t="s" s="2">
        <f>_xlfn.IFERROR(INDEX('model_byCAP'!$D$2:$D$377,MATCH(Q4187,'model_byCAP'!$A$2:$A$377,0)),0)</f>
        <v>4042</v>
      </c>
    </row>
    <row r="4188" ht="15.35" customHeight="1">
      <c r="A4188" t="s" s="2">
        <v>7790</v>
      </c>
      <c r="B4188" s="4">
        <v>34516</v>
      </c>
      <c r="C4188" s="5">
        <v>400</v>
      </c>
      <c r="D4188" s="5">
        <v>31</v>
      </c>
      <c r="E4188" s="5">
        <v>35</v>
      </c>
      <c r="F4188" t="s" s="2">
        <v>3604</v>
      </c>
      <c r="G4188" t="s" s="2">
        <v>7759</v>
      </c>
      <c r="H4188" s="5">
        <v>849</v>
      </c>
      <c r="I4188" t="s" s="2">
        <v>411</v>
      </c>
      <c r="J4188" t="s" s="2">
        <v>22</v>
      </c>
      <c r="K4188" t="s" s="2">
        <v>7784</v>
      </c>
      <c r="L4188" t="s" s="2">
        <v>2380</v>
      </c>
      <c r="M4188" s="5">
        <v>510843.19</v>
      </c>
      <c r="N4188" s="5">
        <v>6322563.95</v>
      </c>
      <c r="O4188" t="s" s="2">
        <v>305</v>
      </c>
      <c r="P4188" t="s" s="2">
        <v>7791</v>
      </c>
      <c r="Q4188" t="s" s="2">
        <v>7762</v>
      </c>
      <c r="R4188" t="s" s="2">
        <f>_xlfn.IFERROR(INDEX('model_byCAP'!$D$2:$D$377,MATCH(Q4188,'model_byCAP'!$A$2:$A$377,0)),0)</f>
        <v>4042</v>
      </c>
    </row>
    <row r="4189" ht="15.35" customHeight="1">
      <c r="A4189" t="s" s="2">
        <v>7792</v>
      </c>
      <c r="B4189" s="4">
        <v>35054</v>
      </c>
      <c r="C4189" s="5">
        <v>400</v>
      </c>
      <c r="D4189" s="5">
        <v>31</v>
      </c>
      <c r="E4189" s="5">
        <v>35</v>
      </c>
      <c r="F4189" t="s" s="2">
        <v>3604</v>
      </c>
      <c r="G4189" t="s" s="2">
        <v>7759</v>
      </c>
      <c r="H4189" s="5">
        <v>849</v>
      </c>
      <c r="I4189" t="s" s="2">
        <v>411</v>
      </c>
      <c r="J4189" t="s" s="2">
        <v>22</v>
      </c>
      <c r="K4189" t="s" s="2">
        <v>7784</v>
      </c>
      <c r="L4189" t="s" s="2">
        <v>7793</v>
      </c>
      <c r="M4189" s="5">
        <v>511043.17</v>
      </c>
      <c r="N4189" s="5">
        <v>6322295.36</v>
      </c>
      <c r="O4189" t="s" s="2">
        <v>305</v>
      </c>
      <c r="P4189" t="s" s="2">
        <v>7794</v>
      </c>
      <c r="Q4189" t="s" s="2">
        <v>7762</v>
      </c>
      <c r="R4189" t="s" s="2">
        <f>_xlfn.IFERROR(INDEX('model_byCAP'!$D$2:$D$377,MATCH(Q4189,'model_byCAP'!$A$2:$A$377,0)),0)</f>
        <v>4042</v>
      </c>
    </row>
    <row r="4190" ht="15.35" customHeight="1">
      <c r="A4190" t="s" s="2">
        <v>7795</v>
      </c>
      <c r="B4190" s="4">
        <v>35293</v>
      </c>
      <c r="C4190" s="5">
        <v>400</v>
      </c>
      <c r="D4190" s="5">
        <v>31</v>
      </c>
      <c r="E4190" s="5">
        <v>36</v>
      </c>
      <c r="F4190" t="s" s="2">
        <v>3604</v>
      </c>
      <c r="G4190" t="s" s="2">
        <v>7796</v>
      </c>
      <c r="H4190" s="5">
        <v>849</v>
      </c>
      <c r="I4190" t="s" s="2">
        <v>411</v>
      </c>
      <c r="J4190" t="s" s="2">
        <v>22</v>
      </c>
      <c r="K4190" t="s" s="2">
        <v>7797</v>
      </c>
      <c r="L4190" t="s" s="2">
        <v>5306</v>
      </c>
      <c r="M4190" s="5">
        <v>519553.38</v>
      </c>
      <c r="N4190" s="5">
        <v>6319822.12</v>
      </c>
      <c r="O4190" t="s" s="2">
        <v>305</v>
      </c>
      <c r="P4190" t="s" s="2">
        <v>7798</v>
      </c>
      <c r="Q4190" t="s" s="2">
        <v>7799</v>
      </c>
      <c r="R4190" t="s" s="2">
        <f>_xlfn.IFERROR(INDEX('model_byCAP'!$D$2:$D$377,MATCH(Q4190,'model_byCAP'!$A$2:$A$377,0)),0)</f>
        <v>4042</v>
      </c>
    </row>
    <row r="4191" ht="15.35" customHeight="1">
      <c r="A4191" t="s" s="2">
        <v>7800</v>
      </c>
      <c r="B4191" s="4">
        <v>35293</v>
      </c>
      <c r="C4191" s="5">
        <v>400</v>
      </c>
      <c r="D4191" s="5">
        <v>31</v>
      </c>
      <c r="E4191" s="5">
        <v>36</v>
      </c>
      <c r="F4191" t="s" s="2">
        <v>3604</v>
      </c>
      <c r="G4191" t="s" s="2">
        <v>7796</v>
      </c>
      <c r="H4191" s="5">
        <v>849</v>
      </c>
      <c r="I4191" t="s" s="2">
        <v>411</v>
      </c>
      <c r="J4191" t="s" s="2">
        <v>22</v>
      </c>
      <c r="K4191" t="s" s="2">
        <v>7797</v>
      </c>
      <c r="L4191" t="s" s="2">
        <v>4650</v>
      </c>
      <c r="M4191" s="5">
        <v>519645.87</v>
      </c>
      <c r="N4191" s="5">
        <v>6319678.77</v>
      </c>
      <c r="O4191" t="s" s="2">
        <v>305</v>
      </c>
      <c r="P4191" t="s" s="2">
        <v>7801</v>
      </c>
      <c r="Q4191" t="s" s="2">
        <v>7799</v>
      </c>
      <c r="R4191" t="s" s="2">
        <f>_xlfn.IFERROR(INDEX('model_byCAP'!$D$2:$D$377,MATCH(Q4191,'model_byCAP'!$A$2:$A$377,0)),0)</f>
        <v>4042</v>
      </c>
    </row>
    <row r="4192" ht="15.35" customHeight="1">
      <c r="A4192" t="s" s="2">
        <v>7802</v>
      </c>
      <c r="B4192" s="4">
        <v>35293</v>
      </c>
      <c r="C4192" s="5">
        <v>400</v>
      </c>
      <c r="D4192" s="5">
        <v>31</v>
      </c>
      <c r="E4192" s="5">
        <v>36</v>
      </c>
      <c r="F4192" t="s" s="2">
        <v>3604</v>
      </c>
      <c r="G4192" t="s" s="2">
        <v>7796</v>
      </c>
      <c r="H4192" s="5">
        <v>849</v>
      </c>
      <c r="I4192" t="s" s="2">
        <v>411</v>
      </c>
      <c r="J4192" t="s" s="2">
        <v>22</v>
      </c>
      <c r="K4192" t="s" s="2">
        <v>7797</v>
      </c>
      <c r="L4192" t="s" s="2">
        <v>983</v>
      </c>
      <c r="M4192" s="5">
        <v>519739.54</v>
      </c>
      <c r="N4192" s="5">
        <v>6319537.08</v>
      </c>
      <c r="O4192" t="s" s="2">
        <v>305</v>
      </c>
      <c r="P4192" t="s" s="2">
        <v>7803</v>
      </c>
      <c r="Q4192" t="s" s="2">
        <v>7799</v>
      </c>
      <c r="R4192" t="s" s="2">
        <f>_xlfn.IFERROR(INDEX('model_byCAP'!$D$2:$D$377,MATCH(Q4192,'model_byCAP'!$A$2:$A$377,0)),0)</f>
        <v>4042</v>
      </c>
    </row>
    <row r="4193" ht="15.35" customHeight="1">
      <c r="A4193" t="s" s="2">
        <v>7804</v>
      </c>
      <c r="B4193" s="4">
        <v>35293</v>
      </c>
      <c r="C4193" s="5">
        <v>400</v>
      </c>
      <c r="D4193" s="5">
        <v>31</v>
      </c>
      <c r="E4193" s="5">
        <v>36</v>
      </c>
      <c r="F4193" t="s" s="2">
        <v>3604</v>
      </c>
      <c r="G4193" t="s" s="2">
        <v>7796</v>
      </c>
      <c r="H4193" s="5">
        <v>849</v>
      </c>
      <c r="I4193" t="s" s="2">
        <v>411</v>
      </c>
      <c r="J4193" t="s" s="2">
        <v>22</v>
      </c>
      <c r="K4193" t="s" s="2">
        <v>7797</v>
      </c>
      <c r="L4193" t="s" s="2">
        <v>3167</v>
      </c>
      <c r="M4193" s="5">
        <v>519722.45</v>
      </c>
      <c r="N4193" s="5">
        <v>6319829.64</v>
      </c>
      <c r="O4193" t="s" s="2">
        <v>305</v>
      </c>
      <c r="P4193" t="s" s="2">
        <v>7805</v>
      </c>
      <c r="Q4193" t="s" s="2">
        <v>7799</v>
      </c>
      <c r="R4193" t="s" s="2">
        <f>_xlfn.IFERROR(INDEX('model_byCAP'!$D$2:$D$377,MATCH(Q4193,'model_byCAP'!$A$2:$A$377,0)),0)</f>
        <v>4042</v>
      </c>
    </row>
    <row r="4194" ht="15.35" customHeight="1">
      <c r="A4194" t="s" s="2">
        <v>7806</v>
      </c>
      <c r="B4194" s="4">
        <v>35293</v>
      </c>
      <c r="C4194" s="5">
        <v>400</v>
      </c>
      <c r="D4194" s="5">
        <v>31</v>
      </c>
      <c r="E4194" s="5">
        <v>36</v>
      </c>
      <c r="F4194" t="s" s="2">
        <v>3604</v>
      </c>
      <c r="G4194" t="s" s="2">
        <v>7796</v>
      </c>
      <c r="H4194" s="5">
        <v>849</v>
      </c>
      <c r="I4194" t="s" s="2">
        <v>411</v>
      </c>
      <c r="J4194" t="s" s="2">
        <v>22</v>
      </c>
      <c r="K4194" t="s" s="2">
        <v>7797</v>
      </c>
      <c r="L4194" t="s" s="2">
        <v>7807</v>
      </c>
      <c r="M4194" s="5">
        <v>519816.88</v>
      </c>
      <c r="N4194" s="5">
        <v>6319688.55</v>
      </c>
      <c r="O4194" t="s" s="2">
        <v>305</v>
      </c>
      <c r="P4194" t="s" s="2">
        <v>7808</v>
      </c>
      <c r="Q4194" t="s" s="2">
        <v>7799</v>
      </c>
      <c r="R4194" t="s" s="2">
        <f>_xlfn.IFERROR(INDEX('model_byCAP'!$D$2:$D$377,MATCH(Q4194,'model_byCAP'!$A$2:$A$377,0)),0)</f>
        <v>4042</v>
      </c>
    </row>
    <row r="4195" ht="15.35" customHeight="1">
      <c r="A4195" t="s" s="2">
        <v>7809</v>
      </c>
      <c r="B4195" s="4">
        <v>35293</v>
      </c>
      <c r="C4195" s="5">
        <v>400</v>
      </c>
      <c r="D4195" s="5">
        <v>31</v>
      </c>
      <c r="E4195" s="5">
        <v>36</v>
      </c>
      <c r="F4195" t="s" s="2">
        <v>3604</v>
      </c>
      <c r="G4195" t="s" s="2">
        <v>7796</v>
      </c>
      <c r="H4195" s="5">
        <v>849</v>
      </c>
      <c r="I4195" t="s" s="2">
        <v>411</v>
      </c>
      <c r="J4195" t="s" s="2">
        <v>22</v>
      </c>
      <c r="K4195" t="s" s="2">
        <v>7797</v>
      </c>
      <c r="L4195" t="s" s="2">
        <v>7810</v>
      </c>
      <c r="M4195" s="5">
        <v>520662.62</v>
      </c>
      <c r="N4195" s="5">
        <v>6320204.32</v>
      </c>
      <c r="O4195" t="s" s="2">
        <v>305</v>
      </c>
      <c r="P4195" t="s" s="2">
        <v>7811</v>
      </c>
      <c r="Q4195" t="s" s="2">
        <v>7799</v>
      </c>
      <c r="R4195" t="s" s="2">
        <f>_xlfn.IFERROR(INDEX('model_byCAP'!$D$2:$D$377,MATCH(Q4195,'model_byCAP'!$A$2:$A$377,0)),0)</f>
        <v>4042</v>
      </c>
    </row>
    <row r="4196" ht="15.35" customHeight="1">
      <c r="A4196" t="s" s="2">
        <v>7812</v>
      </c>
      <c r="B4196" s="4">
        <v>35293</v>
      </c>
      <c r="C4196" s="5">
        <v>400</v>
      </c>
      <c r="D4196" s="5">
        <v>31</v>
      </c>
      <c r="E4196" s="5">
        <v>36</v>
      </c>
      <c r="F4196" t="s" s="2">
        <v>3604</v>
      </c>
      <c r="G4196" t="s" s="2">
        <v>7796</v>
      </c>
      <c r="H4196" s="5">
        <v>849</v>
      </c>
      <c r="I4196" t="s" s="2">
        <v>411</v>
      </c>
      <c r="J4196" t="s" s="2">
        <v>22</v>
      </c>
      <c r="K4196" t="s" s="2">
        <v>7797</v>
      </c>
      <c r="L4196" t="s" s="2">
        <v>7813</v>
      </c>
      <c r="M4196" s="5">
        <v>520682.29</v>
      </c>
      <c r="N4196" s="5">
        <v>6320031.83</v>
      </c>
      <c r="O4196" t="s" s="2">
        <v>305</v>
      </c>
      <c r="P4196" t="s" s="2">
        <v>7814</v>
      </c>
      <c r="Q4196" t="s" s="2">
        <v>7799</v>
      </c>
      <c r="R4196" t="s" s="2">
        <f>_xlfn.IFERROR(INDEX('model_byCAP'!$D$2:$D$377,MATCH(Q4196,'model_byCAP'!$A$2:$A$377,0)),0)</f>
        <v>4042</v>
      </c>
    </row>
    <row r="4197" ht="15.35" customHeight="1">
      <c r="A4197" t="s" s="2">
        <v>7815</v>
      </c>
      <c r="B4197" s="4">
        <v>35293</v>
      </c>
      <c r="C4197" s="5">
        <v>400</v>
      </c>
      <c r="D4197" s="5">
        <v>31</v>
      </c>
      <c r="E4197" s="5">
        <v>36</v>
      </c>
      <c r="F4197" t="s" s="2">
        <v>3604</v>
      </c>
      <c r="G4197" t="s" s="2">
        <v>7796</v>
      </c>
      <c r="H4197" s="5">
        <v>849</v>
      </c>
      <c r="I4197" t="s" s="2">
        <v>411</v>
      </c>
      <c r="J4197" t="s" s="2">
        <v>22</v>
      </c>
      <c r="K4197" t="s" s="2">
        <v>7797</v>
      </c>
      <c r="L4197" t="s" s="2">
        <v>1404</v>
      </c>
      <c r="M4197" s="5">
        <v>521313.76</v>
      </c>
      <c r="N4197" s="5">
        <v>6320508.62</v>
      </c>
      <c r="O4197" t="s" s="2">
        <v>305</v>
      </c>
      <c r="P4197" t="s" s="2">
        <v>7816</v>
      </c>
      <c r="Q4197" t="s" s="2">
        <v>7799</v>
      </c>
      <c r="R4197" t="s" s="2">
        <f>_xlfn.IFERROR(INDEX('model_byCAP'!$D$2:$D$377,MATCH(Q4197,'model_byCAP'!$A$2:$A$377,0)),0)</f>
        <v>4042</v>
      </c>
    </row>
    <row r="4198" ht="15.35" customHeight="1">
      <c r="A4198" t="s" s="2">
        <v>7817</v>
      </c>
      <c r="B4198" s="4">
        <v>35293</v>
      </c>
      <c r="C4198" s="5">
        <v>400</v>
      </c>
      <c r="D4198" s="5">
        <v>31</v>
      </c>
      <c r="E4198" s="5">
        <v>36</v>
      </c>
      <c r="F4198" t="s" s="2">
        <v>3604</v>
      </c>
      <c r="G4198" t="s" s="2">
        <v>7796</v>
      </c>
      <c r="H4198" s="5">
        <v>849</v>
      </c>
      <c r="I4198" t="s" s="2">
        <v>411</v>
      </c>
      <c r="J4198" t="s" s="2">
        <v>22</v>
      </c>
      <c r="K4198" t="s" s="2">
        <v>7797</v>
      </c>
      <c r="L4198" t="s" s="2">
        <v>7818</v>
      </c>
      <c r="M4198" s="5">
        <v>521377.86</v>
      </c>
      <c r="N4198" s="5">
        <v>6320318.94</v>
      </c>
      <c r="O4198" t="s" s="2">
        <v>305</v>
      </c>
      <c r="P4198" t="s" s="2">
        <v>7819</v>
      </c>
      <c r="Q4198" t="s" s="2">
        <v>7799</v>
      </c>
      <c r="R4198" t="s" s="2">
        <f>_xlfn.IFERROR(INDEX('model_byCAP'!$D$2:$D$377,MATCH(Q4198,'model_byCAP'!$A$2:$A$377,0)),0)</f>
        <v>4042</v>
      </c>
    </row>
    <row r="4199" ht="15.35" customHeight="1">
      <c r="A4199" t="s" s="2">
        <v>7820</v>
      </c>
      <c r="B4199" s="4">
        <v>35394</v>
      </c>
      <c r="C4199" s="5">
        <v>400</v>
      </c>
      <c r="D4199" s="5">
        <v>31</v>
      </c>
      <c r="E4199" s="5">
        <v>35</v>
      </c>
      <c r="F4199" t="s" s="2">
        <v>3604</v>
      </c>
      <c r="G4199" t="s" s="2">
        <v>7759</v>
      </c>
      <c r="H4199" s="5">
        <v>849</v>
      </c>
      <c r="I4199" t="s" s="2">
        <v>411</v>
      </c>
      <c r="J4199" t="s" s="2">
        <v>22</v>
      </c>
      <c r="K4199" t="s" s="2">
        <v>7821</v>
      </c>
      <c r="L4199" t="s" s="2">
        <v>546</v>
      </c>
      <c r="M4199" s="5">
        <v>516397</v>
      </c>
      <c r="N4199" s="5">
        <v>6328814</v>
      </c>
      <c r="O4199" t="s" s="2">
        <v>1492</v>
      </c>
      <c r="P4199" t="s" s="2">
        <v>7822</v>
      </c>
      <c r="Q4199" t="s" s="2">
        <v>7762</v>
      </c>
      <c r="R4199" t="s" s="2">
        <f>_xlfn.IFERROR(INDEX('model_byCAP'!$D$2:$D$377,MATCH(Q4199,'model_byCAP'!$A$2:$A$377,0)),0)</f>
        <v>4042</v>
      </c>
    </row>
    <row r="4200" ht="15.35" customHeight="1">
      <c r="A4200" t="s" s="2">
        <v>7823</v>
      </c>
      <c r="B4200" s="4">
        <v>35244</v>
      </c>
      <c r="C4200" s="5">
        <v>400</v>
      </c>
      <c r="D4200" s="5">
        <v>31</v>
      </c>
      <c r="E4200" s="5">
        <v>35</v>
      </c>
      <c r="F4200" t="s" s="2">
        <v>3604</v>
      </c>
      <c r="G4200" t="s" s="2">
        <v>7759</v>
      </c>
      <c r="H4200" s="5">
        <v>849</v>
      </c>
      <c r="I4200" t="s" s="2">
        <v>411</v>
      </c>
      <c r="J4200" t="s" s="2">
        <v>22</v>
      </c>
      <c r="K4200" t="s" s="2">
        <v>7824</v>
      </c>
      <c r="L4200" t="s" s="2">
        <v>7825</v>
      </c>
      <c r="M4200" s="5">
        <v>512222.91</v>
      </c>
      <c r="N4200" s="5">
        <v>6326518.19</v>
      </c>
      <c r="O4200" t="s" s="2">
        <v>305</v>
      </c>
      <c r="P4200" t="s" s="2">
        <v>7826</v>
      </c>
      <c r="Q4200" t="s" s="2">
        <v>7762</v>
      </c>
      <c r="R4200" t="s" s="2">
        <f>_xlfn.IFERROR(INDEX('model_byCAP'!$D$2:$D$377,MATCH(Q4200,'model_byCAP'!$A$2:$A$377,0)),0)</f>
        <v>4042</v>
      </c>
    </row>
    <row r="4201" ht="15.35" customHeight="1">
      <c r="A4201" t="s" s="2">
        <v>7827</v>
      </c>
      <c r="B4201" s="4">
        <v>35244</v>
      </c>
      <c r="C4201" s="5">
        <v>400</v>
      </c>
      <c r="D4201" s="5">
        <v>31</v>
      </c>
      <c r="E4201" s="5">
        <v>35</v>
      </c>
      <c r="F4201" t="s" s="2">
        <v>3604</v>
      </c>
      <c r="G4201" t="s" s="2">
        <v>7759</v>
      </c>
      <c r="H4201" s="5">
        <v>849</v>
      </c>
      <c r="I4201" t="s" s="2">
        <v>411</v>
      </c>
      <c r="J4201" t="s" s="2">
        <v>22</v>
      </c>
      <c r="K4201" t="s" s="2">
        <v>412</v>
      </c>
      <c r="L4201" t="s" s="2">
        <v>7828</v>
      </c>
      <c r="M4201" s="5">
        <v>512253.28</v>
      </c>
      <c r="N4201" s="5">
        <v>6326701.63</v>
      </c>
      <c r="O4201" t="s" s="2">
        <v>305</v>
      </c>
      <c r="P4201" t="s" s="2">
        <v>7829</v>
      </c>
      <c r="Q4201" t="s" s="2">
        <v>7762</v>
      </c>
      <c r="R4201" t="s" s="2">
        <f>_xlfn.IFERROR(INDEX('model_byCAP'!$D$2:$D$377,MATCH(Q4201,'model_byCAP'!$A$2:$A$377,0)),0)</f>
        <v>4042</v>
      </c>
    </row>
    <row r="4202" ht="15.35" customHeight="1">
      <c r="A4202" t="s" s="2">
        <v>7830</v>
      </c>
      <c r="B4202" s="4">
        <v>35244</v>
      </c>
      <c r="C4202" s="5">
        <v>400</v>
      </c>
      <c r="D4202" s="5">
        <v>31</v>
      </c>
      <c r="E4202" s="5">
        <v>35</v>
      </c>
      <c r="F4202" t="s" s="2">
        <v>3604</v>
      </c>
      <c r="G4202" t="s" s="2">
        <v>7759</v>
      </c>
      <c r="H4202" s="5">
        <v>849</v>
      </c>
      <c r="I4202" t="s" s="2">
        <v>411</v>
      </c>
      <c r="J4202" t="s" s="2">
        <v>22</v>
      </c>
      <c r="K4202" t="s" s="2">
        <v>7831</v>
      </c>
      <c r="L4202" t="s" s="2">
        <v>1008</v>
      </c>
      <c r="M4202" s="5">
        <v>512450.75</v>
      </c>
      <c r="N4202" s="5">
        <v>6326719.59</v>
      </c>
      <c r="O4202" t="s" s="2">
        <v>305</v>
      </c>
      <c r="P4202" t="s" s="2">
        <v>7832</v>
      </c>
      <c r="Q4202" t="s" s="2">
        <v>7762</v>
      </c>
      <c r="R4202" t="s" s="2">
        <f>_xlfn.IFERROR(INDEX('model_byCAP'!$D$2:$D$377,MATCH(Q4202,'model_byCAP'!$A$2:$A$377,0)),0)</f>
        <v>4042</v>
      </c>
    </row>
    <row r="4203" ht="15.35" customHeight="1">
      <c r="A4203" t="s" s="2">
        <v>7833</v>
      </c>
      <c r="B4203" s="4">
        <v>35244</v>
      </c>
      <c r="C4203" s="5">
        <v>400</v>
      </c>
      <c r="D4203" s="5">
        <v>31</v>
      </c>
      <c r="E4203" s="5">
        <v>35</v>
      </c>
      <c r="F4203" t="s" s="2">
        <v>3604</v>
      </c>
      <c r="G4203" t="s" s="2">
        <v>7759</v>
      </c>
      <c r="H4203" s="5">
        <v>849</v>
      </c>
      <c r="I4203" t="s" s="2">
        <v>411</v>
      </c>
      <c r="J4203" t="s" s="2">
        <v>22</v>
      </c>
      <c r="K4203" t="s" s="2">
        <v>7831</v>
      </c>
      <c r="L4203" t="s" s="2">
        <v>1315</v>
      </c>
      <c r="M4203" s="5">
        <v>512479.32</v>
      </c>
      <c r="N4203" s="5">
        <v>6326904.57</v>
      </c>
      <c r="O4203" t="s" s="2">
        <v>305</v>
      </c>
      <c r="P4203" t="s" s="2">
        <v>7834</v>
      </c>
      <c r="Q4203" t="s" s="2">
        <v>7762</v>
      </c>
      <c r="R4203" t="s" s="2">
        <f>_xlfn.IFERROR(INDEX('model_byCAP'!$D$2:$D$377,MATCH(Q4203,'model_byCAP'!$A$2:$A$377,0)),0)</f>
        <v>4042</v>
      </c>
    </row>
    <row r="4204" ht="15.35" customHeight="1">
      <c r="A4204" t="s" s="2">
        <v>7835</v>
      </c>
      <c r="B4204" s="4">
        <v>35244</v>
      </c>
      <c r="C4204" s="5">
        <v>400</v>
      </c>
      <c r="D4204" s="5">
        <v>31</v>
      </c>
      <c r="E4204" s="5">
        <v>35</v>
      </c>
      <c r="F4204" t="s" s="2">
        <v>3604</v>
      </c>
      <c r="G4204" t="s" s="2">
        <v>7759</v>
      </c>
      <c r="H4204" s="5">
        <v>849</v>
      </c>
      <c r="I4204" t="s" s="2">
        <v>411</v>
      </c>
      <c r="J4204" t="s" s="2">
        <v>22</v>
      </c>
      <c r="K4204" t="s" s="2">
        <v>7831</v>
      </c>
      <c r="L4204" t="s" s="2">
        <v>1318</v>
      </c>
      <c r="M4204" s="5">
        <v>512510.67</v>
      </c>
      <c r="N4204" s="5">
        <v>6327087.49</v>
      </c>
      <c r="O4204" t="s" s="2">
        <v>305</v>
      </c>
      <c r="P4204" t="s" s="2">
        <v>7836</v>
      </c>
      <c r="Q4204" t="s" s="2">
        <v>7762</v>
      </c>
      <c r="R4204" t="s" s="2">
        <f>_xlfn.IFERROR(INDEX('model_byCAP'!$D$2:$D$377,MATCH(Q4204,'model_byCAP'!$A$2:$A$377,0)),0)</f>
        <v>4042</v>
      </c>
    </row>
    <row r="4205" ht="15.35" customHeight="1">
      <c r="A4205" t="s" s="2">
        <v>7837</v>
      </c>
      <c r="B4205" s="4">
        <v>35341</v>
      </c>
      <c r="C4205" s="5">
        <v>400</v>
      </c>
      <c r="D4205" s="5">
        <v>31</v>
      </c>
      <c r="E4205" s="5">
        <v>36</v>
      </c>
      <c r="F4205" t="s" s="2">
        <v>3604</v>
      </c>
      <c r="G4205" t="s" s="2">
        <v>7838</v>
      </c>
      <c r="H4205" s="5">
        <v>849</v>
      </c>
      <c r="I4205" t="s" s="2">
        <v>411</v>
      </c>
      <c r="J4205" t="s" s="2">
        <v>22</v>
      </c>
      <c r="K4205" t="s" s="2">
        <v>7784</v>
      </c>
      <c r="L4205" t="s" s="2">
        <v>7839</v>
      </c>
      <c r="M4205" s="5">
        <v>511425.14</v>
      </c>
      <c r="N4205" s="5">
        <v>6325861.79</v>
      </c>
      <c r="O4205" t="s" s="2">
        <v>305</v>
      </c>
      <c r="P4205" t="s" s="2">
        <v>7840</v>
      </c>
      <c r="Q4205" t="s" s="2">
        <v>7841</v>
      </c>
      <c r="R4205" t="s" s="2">
        <f>_xlfn.IFERROR(INDEX('model_byCAP'!$D$2:$D$377,MATCH(Q4205,'model_byCAP'!$A$2:$A$377,0)),0)</f>
        <v>4042</v>
      </c>
    </row>
    <row r="4206" ht="15.35" customHeight="1">
      <c r="A4206" t="s" s="2">
        <v>7842</v>
      </c>
      <c r="B4206" s="4">
        <v>35340</v>
      </c>
      <c r="C4206" s="5">
        <v>400</v>
      </c>
      <c r="D4206" s="5">
        <v>31</v>
      </c>
      <c r="E4206" s="5">
        <v>36</v>
      </c>
      <c r="F4206" t="s" s="2">
        <v>3604</v>
      </c>
      <c r="G4206" t="s" s="2">
        <v>7759</v>
      </c>
      <c r="H4206" s="5">
        <v>849</v>
      </c>
      <c r="I4206" t="s" s="2">
        <v>411</v>
      </c>
      <c r="J4206" t="s" s="2">
        <v>22</v>
      </c>
      <c r="K4206" t="s" s="2">
        <v>7784</v>
      </c>
      <c r="L4206" t="s" s="2">
        <v>5922</v>
      </c>
      <c r="M4206" s="5">
        <v>511588.29</v>
      </c>
      <c r="N4206" s="5">
        <v>6325888.5</v>
      </c>
      <c r="O4206" t="s" s="2">
        <v>305</v>
      </c>
      <c r="P4206" t="s" s="2">
        <v>7843</v>
      </c>
      <c r="Q4206" t="s" s="2">
        <v>7762</v>
      </c>
      <c r="R4206" t="s" s="2">
        <f>_xlfn.IFERROR(INDEX('model_byCAP'!$D$2:$D$377,MATCH(Q4206,'model_byCAP'!$A$2:$A$377,0)),0)</f>
        <v>4042</v>
      </c>
    </row>
    <row r="4207" ht="15.35" customHeight="1">
      <c r="A4207" t="s" s="2">
        <v>7844</v>
      </c>
      <c r="B4207" s="4">
        <v>35338</v>
      </c>
      <c r="C4207" s="5">
        <v>400</v>
      </c>
      <c r="D4207" s="5">
        <v>31</v>
      </c>
      <c r="E4207" s="5">
        <v>37</v>
      </c>
      <c r="F4207" t="s" s="2">
        <v>3604</v>
      </c>
      <c r="G4207" t="s" s="2">
        <v>7759</v>
      </c>
      <c r="H4207" s="5">
        <v>849</v>
      </c>
      <c r="I4207" t="s" s="2">
        <v>411</v>
      </c>
      <c r="J4207" t="s" s="2">
        <v>22</v>
      </c>
      <c r="K4207" t="s" s="2">
        <v>7845</v>
      </c>
      <c r="L4207" t="s" s="2">
        <v>7846</v>
      </c>
      <c r="M4207" s="5">
        <v>511728.88</v>
      </c>
      <c r="N4207" s="5">
        <v>6325801.72</v>
      </c>
      <c r="O4207" t="s" s="2">
        <v>305</v>
      </c>
      <c r="P4207" t="s" s="2">
        <v>7847</v>
      </c>
      <c r="Q4207" t="s" s="2">
        <v>7762</v>
      </c>
      <c r="R4207" t="s" s="2">
        <f>_xlfn.IFERROR(INDEX('model_byCAP'!$D$2:$D$377,MATCH(Q4207,'model_byCAP'!$A$2:$A$377,0)),0)</f>
        <v>4042</v>
      </c>
    </row>
    <row r="4208" ht="15.35" customHeight="1">
      <c r="A4208" t="s" s="2">
        <v>7848</v>
      </c>
      <c r="B4208" s="4">
        <v>35391</v>
      </c>
      <c r="C4208" s="5">
        <v>400</v>
      </c>
      <c r="D4208" s="5">
        <v>31</v>
      </c>
      <c r="E4208" s="5">
        <v>36</v>
      </c>
      <c r="F4208" t="s" s="2">
        <v>3604</v>
      </c>
      <c r="G4208" t="s" s="2">
        <v>7838</v>
      </c>
      <c r="H4208" s="5">
        <v>849</v>
      </c>
      <c r="I4208" t="s" s="2">
        <v>411</v>
      </c>
      <c r="J4208" t="s" s="2">
        <v>22</v>
      </c>
      <c r="K4208" t="s" s="2">
        <v>7849</v>
      </c>
      <c r="L4208" t="s" s="2">
        <v>492</v>
      </c>
      <c r="M4208" s="5">
        <v>513272.86</v>
      </c>
      <c r="N4208" s="5">
        <v>6327789.68</v>
      </c>
      <c r="O4208" t="s" s="2">
        <v>305</v>
      </c>
      <c r="P4208" t="s" s="2">
        <v>7850</v>
      </c>
      <c r="Q4208" t="s" s="2">
        <v>7841</v>
      </c>
      <c r="R4208" t="s" s="2">
        <f>_xlfn.IFERROR(INDEX('model_byCAP'!$D$2:$D$377,MATCH(Q4208,'model_byCAP'!$A$2:$A$377,0)),0)</f>
        <v>4042</v>
      </c>
    </row>
    <row r="4209" ht="15.35" customHeight="1">
      <c r="A4209" t="s" s="2">
        <v>7851</v>
      </c>
      <c r="B4209" s="4">
        <v>35391</v>
      </c>
      <c r="C4209" s="5">
        <v>400</v>
      </c>
      <c r="D4209" s="5">
        <v>31</v>
      </c>
      <c r="E4209" s="5">
        <v>35</v>
      </c>
      <c r="F4209" t="s" s="2">
        <v>3604</v>
      </c>
      <c r="G4209" t="s" s="2">
        <v>7759</v>
      </c>
      <c r="H4209" s="5">
        <v>849</v>
      </c>
      <c r="I4209" t="s" s="2">
        <v>411</v>
      </c>
      <c r="J4209" t="s" s="2">
        <v>22</v>
      </c>
      <c r="K4209" t="s" s="2">
        <v>7849</v>
      </c>
      <c r="L4209" t="s" s="2">
        <v>492</v>
      </c>
      <c r="M4209" s="5">
        <v>513269.47</v>
      </c>
      <c r="N4209" s="5">
        <v>6327975.96</v>
      </c>
      <c r="O4209" t="s" s="2">
        <v>305</v>
      </c>
      <c r="P4209" t="s" s="2">
        <v>7852</v>
      </c>
      <c r="Q4209" t="s" s="2">
        <v>7762</v>
      </c>
      <c r="R4209" t="s" s="2">
        <f>_xlfn.IFERROR(INDEX('model_byCAP'!$D$2:$D$377,MATCH(Q4209,'model_byCAP'!$A$2:$A$377,0)),0)</f>
        <v>4042</v>
      </c>
    </row>
    <row r="4210" ht="15.35" customHeight="1">
      <c r="A4210" t="s" s="2">
        <v>7853</v>
      </c>
      <c r="B4210" s="4">
        <v>35390</v>
      </c>
      <c r="C4210" s="5">
        <v>400</v>
      </c>
      <c r="D4210" s="5">
        <v>31</v>
      </c>
      <c r="E4210" s="5">
        <v>36</v>
      </c>
      <c r="F4210" t="s" s="2">
        <v>3604</v>
      </c>
      <c r="G4210" t="s" s="2">
        <v>7838</v>
      </c>
      <c r="H4210" s="5">
        <v>849</v>
      </c>
      <c r="I4210" t="s" s="2">
        <v>411</v>
      </c>
      <c r="J4210" t="s" s="2">
        <v>22</v>
      </c>
      <c r="K4210" t="s" s="2">
        <v>7854</v>
      </c>
      <c r="L4210" t="s" s="2">
        <v>858</v>
      </c>
      <c r="M4210" s="5">
        <v>504879.23</v>
      </c>
      <c r="N4210" s="5">
        <v>6328992.2</v>
      </c>
      <c r="O4210" t="s" s="2">
        <v>305</v>
      </c>
      <c r="P4210" t="s" s="2">
        <v>7855</v>
      </c>
      <c r="Q4210" t="s" s="2">
        <v>7841</v>
      </c>
      <c r="R4210" t="s" s="2">
        <f>_xlfn.IFERROR(INDEX('model_byCAP'!$D$2:$D$377,MATCH(Q4210,'model_byCAP'!$A$2:$A$377,0)),0)</f>
        <v>4042</v>
      </c>
    </row>
    <row r="4211" ht="15.35" customHeight="1">
      <c r="A4211" t="s" s="2">
        <v>7856</v>
      </c>
      <c r="B4211" s="4">
        <v>35391</v>
      </c>
      <c r="C4211" s="5">
        <v>400</v>
      </c>
      <c r="D4211" s="5">
        <v>31</v>
      </c>
      <c r="E4211" s="5">
        <v>36</v>
      </c>
      <c r="F4211" t="s" s="2">
        <v>3604</v>
      </c>
      <c r="G4211" t="s" s="2">
        <v>7838</v>
      </c>
      <c r="H4211" s="5">
        <v>849</v>
      </c>
      <c r="I4211" t="s" s="2">
        <v>411</v>
      </c>
      <c r="J4211" t="s" s="2">
        <v>22</v>
      </c>
      <c r="K4211" t="s" s="2">
        <v>7854</v>
      </c>
      <c r="L4211" t="s" s="2">
        <v>6663</v>
      </c>
      <c r="M4211" s="5">
        <v>505024.89</v>
      </c>
      <c r="N4211" s="5">
        <v>6328957.61</v>
      </c>
      <c r="O4211" t="s" s="2">
        <v>305</v>
      </c>
      <c r="P4211" t="s" s="2">
        <v>7857</v>
      </c>
      <c r="Q4211" t="s" s="2">
        <v>7841</v>
      </c>
      <c r="R4211" t="s" s="2">
        <f>_xlfn.IFERROR(INDEX('model_byCAP'!$D$2:$D$377,MATCH(Q4211,'model_byCAP'!$A$2:$A$377,0)),0)</f>
        <v>4042</v>
      </c>
    </row>
    <row r="4212" ht="15.35" customHeight="1">
      <c r="A4212" t="s" s="2">
        <v>7858</v>
      </c>
      <c r="B4212" s="4">
        <v>35391</v>
      </c>
      <c r="C4212" s="5">
        <v>400</v>
      </c>
      <c r="D4212" s="5">
        <v>31</v>
      </c>
      <c r="E4212" s="5">
        <v>36</v>
      </c>
      <c r="F4212" t="s" s="2">
        <v>3604</v>
      </c>
      <c r="G4212" t="s" s="2">
        <v>7838</v>
      </c>
      <c r="H4212" s="5">
        <v>849</v>
      </c>
      <c r="I4212" t="s" s="2">
        <v>411</v>
      </c>
      <c r="J4212" t="s" s="2">
        <v>22</v>
      </c>
      <c r="K4212" t="s" s="2">
        <v>7854</v>
      </c>
      <c r="L4212" t="s" s="2">
        <v>7398</v>
      </c>
      <c r="M4212" s="5">
        <v>505170.41</v>
      </c>
      <c r="N4212" s="5">
        <v>6328922.93</v>
      </c>
      <c r="O4212" t="s" s="2">
        <v>305</v>
      </c>
      <c r="P4212" t="s" s="2">
        <v>7859</v>
      </c>
      <c r="Q4212" t="s" s="2">
        <v>7841</v>
      </c>
      <c r="R4212" t="s" s="2">
        <f>_xlfn.IFERROR(INDEX('model_byCAP'!$D$2:$D$377,MATCH(Q4212,'model_byCAP'!$A$2:$A$377,0)),0)</f>
        <v>4042</v>
      </c>
    </row>
    <row r="4213" ht="15.35" customHeight="1">
      <c r="A4213" t="s" s="2">
        <v>7860</v>
      </c>
      <c r="B4213" s="4">
        <v>35394</v>
      </c>
      <c r="C4213" s="5">
        <v>400</v>
      </c>
      <c r="D4213" s="5">
        <v>31</v>
      </c>
      <c r="E4213" s="5">
        <v>36</v>
      </c>
      <c r="F4213" t="s" s="2">
        <v>3604</v>
      </c>
      <c r="G4213" t="s" s="2">
        <v>7838</v>
      </c>
      <c r="H4213" s="5">
        <v>849</v>
      </c>
      <c r="I4213" t="s" s="2">
        <v>411</v>
      </c>
      <c r="J4213" t="s" s="2">
        <v>22</v>
      </c>
      <c r="K4213" t="s" s="2">
        <v>7861</v>
      </c>
      <c r="L4213" t="s" s="2">
        <v>1090</v>
      </c>
      <c r="M4213" s="5">
        <v>505316.88</v>
      </c>
      <c r="N4213" s="5">
        <v>6328888.17</v>
      </c>
      <c r="O4213" t="s" s="2">
        <v>305</v>
      </c>
      <c r="P4213" t="s" s="2">
        <v>7862</v>
      </c>
      <c r="Q4213" t="s" s="2">
        <v>7841</v>
      </c>
      <c r="R4213" t="s" s="2">
        <f>_xlfn.IFERROR(INDEX('model_byCAP'!$D$2:$D$377,MATCH(Q4213,'model_byCAP'!$A$2:$A$377,0)),0)</f>
        <v>4042</v>
      </c>
    </row>
    <row r="4214" ht="15.35" customHeight="1">
      <c r="A4214" t="s" s="2">
        <v>7863</v>
      </c>
      <c r="B4214" s="4">
        <v>35394</v>
      </c>
      <c r="C4214" s="5">
        <v>400</v>
      </c>
      <c r="D4214" s="5">
        <v>31</v>
      </c>
      <c r="E4214" s="5">
        <v>36</v>
      </c>
      <c r="F4214" t="s" s="2">
        <v>3604</v>
      </c>
      <c r="G4214" t="s" s="2">
        <v>7838</v>
      </c>
      <c r="H4214" s="5">
        <v>849</v>
      </c>
      <c r="I4214" t="s" s="2">
        <v>411</v>
      </c>
      <c r="J4214" t="s" s="2">
        <v>22</v>
      </c>
      <c r="K4214" t="s" s="2">
        <v>7861</v>
      </c>
      <c r="L4214" t="s" s="2">
        <v>2723</v>
      </c>
      <c r="M4214" s="5">
        <v>505462.52</v>
      </c>
      <c r="N4214" s="5">
        <v>6328853.75</v>
      </c>
      <c r="O4214" t="s" s="2">
        <v>305</v>
      </c>
      <c r="P4214" t="s" s="2">
        <v>7864</v>
      </c>
      <c r="Q4214" t="s" s="2">
        <v>7841</v>
      </c>
      <c r="R4214" t="s" s="2">
        <f>_xlfn.IFERROR(INDEX('model_byCAP'!$D$2:$D$377,MATCH(Q4214,'model_byCAP'!$A$2:$A$377,0)),0)</f>
        <v>4042</v>
      </c>
    </row>
    <row r="4215" ht="15.35" customHeight="1">
      <c r="A4215" t="s" s="2">
        <v>7865</v>
      </c>
      <c r="B4215" s="4">
        <v>34081</v>
      </c>
      <c r="C4215" s="5">
        <v>300</v>
      </c>
      <c r="D4215" s="5">
        <v>31</v>
      </c>
      <c r="E4215" s="5">
        <v>30</v>
      </c>
      <c r="F4215" t="s" s="2">
        <v>1989</v>
      </c>
      <c r="G4215" t="s" s="2">
        <v>7866</v>
      </c>
      <c r="H4215" s="5">
        <v>360</v>
      </c>
      <c r="I4215" t="s" s="2">
        <v>463</v>
      </c>
      <c r="J4215" t="s" s="2">
        <v>22</v>
      </c>
      <c r="K4215" t="s" s="2">
        <v>7867</v>
      </c>
      <c r="L4215" t="s" s="2">
        <v>594</v>
      </c>
      <c r="M4215" s="5">
        <v>637906.05</v>
      </c>
      <c r="N4215" s="5">
        <v>6072142.21</v>
      </c>
      <c r="O4215" t="s" s="2">
        <v>305</v>
      </c>
      <c r="P4215" s="5">
        <v>180190</v>
      </c>
      <c r="Q4215" t="s" s="2">
        <v>7868</v>
      </c>
      <c r="R4215" t="s" s="2">
        <f>_xlfn.IFERROR(INDEX('model_byCAP'!$D$2:$D$377,MATCH(Q4215,'model_byCAP'!$A$2:$A$377,0)),0)</f>
        <v>7869</v>
      </c>
    </row>
    <row r="4216" ht="15.35" customHeight="1">
      <c r="A4216" t="s" s="2">
        <v>7870</v>
      </c>
      <c r="B4216" s="4">
        <v>34074</v>
      </c>
      <c r="C4216" s="5">
        <v>300</v>
      </c>
      <c r="D4216" s="5">
        <v>31</v>
      </c>
      <c r="E4216" s="5">
        <v>30</v>
      </c>
      <c r="F4216" t="s" s="2">
        <v>1989</v>
      </c>
      <c r="G4216" t="s" s="2">
        <v>7866</v>
      </c>
      <c r="H4216" s="5">
        <v>360</v>
      </c>
      <c r="I4216" t="s" s="2">
        <v>463</v>
      </c>
      <c r="J4216" t="s" s="2">
        <v>22</v>
      </c>
      <c r="K4216" t="s" s="2">
        <v>7871</v>
      </c>
      <c r="L4216" t="s" s="2">
        <v>7872</v>
      </c>
      <c r="M4216" s="5">
        <v>635681.26</v>
      </c>
      <c r="N4216" s="5">
        <v>6072630</v>
      </c>
      <c r="O4216" t="s" s="2">
        <v>305</v>
      </c>
      <c r="P4216" s="5">
        <v>180191</v>
      </c>
      <c r="Q4216" t="s" s="2">
        <v>7868</v>
      </c>
      <c r="R4216" t="s" s="2">
        <f>_xlfn.IFERROR(INDEX('model_byCAP'!$D$2:$D$377,MATCH(Q4216,'model_byCAP'!$A$2:$A$377,0)),0)</f>
        <v>7869</v>
      </c>
    </row>
    <row r="4217" ht="15.35" customHeight="1">
      <c r="A4217" t="s" s="2">
        <v>7873</v>
      </c>
      <c r="B4217" s="4">
        <v>34527</v>
      </c>
      <c r="C4217" s="5">
        <v>300</v>
      </c>
      <c r="D4217" s="5">
        <v>31</v>
      </c>
      <c r="E4217" s="5">
        <v>30</v>
      </c>
      <c r="F4217" t="s" s="2">
        <v>1989</v>
      </c>
      <c r="G4217" t="s" s="2">
        <v>7866</v>
      </c>
      <c r="H4217" s="5">
        <v>360</v>
      </c>
      <c r="I4217" t="s" s="2">
        <v>463</v>
      </c>
      <c r="J4217" t="s" s="2">
        <v>22</v>
      </c>
      <c r="K4217" t="s" s="2">
        <v>7874</v>
      </c>
      <c r="L4217" s="5">
        <v>5</v>
      </c>
      <c r="M4217" s="5">
        <v>639451.09</v>
      </c>
      <c r="N4217" s="5">
        <v>6070603.6</v>
      </c>
      <c r="O4217" t="s" s="2">
        <v>305</v>
      </c>
      <c r="P4217" s="5">
        <v>181797</v>
      </c>
      <c r="Q4217" t="s" s="2">
        <v>7868</v>
      </c>
      <c r="R4217" t="s" s="2">
        <f>_xlfn.IFERROR(INDEX('model_byCAP'!$D$2:$D$377,MATCH(Q4217,'model_byCAP'!$A$2:$A$377,0)),0)</f>
        <v>7869</v>
      </c>
    </row>
    <row r="4218" ht="15.35" customHeight="1">
      <c r="A4218" t="s" s="2">
        <v>7875</v>
      </c>
      <c r="B4218" s="4">
        <v>34663</v>
      </c>
      <c r="C4218" s="5">
        <v>300</v>
      </c>
      <c r="D4218" s="5">
        <v>31</v>
      </c>
      <c r="E4218" s="5">
        <v>31</v>
      </c>
      <c r="F4218" t="s" s="2">
        <v>1989</v>
      </c>
      <c r="G4218" t="s" s="2">
        <v>7876</v>
      </c>
      <c r="H4218" s="5">
        <v>360</v>
      </c>
      <c r="I4218" t="s" s="2">
        <v>463</v>
      </c>
      <c r="J4218" t="s" s="2">
        <v>22</v>
      </c>
      <c r="K4218" t="s" s="2">
        <v>7877</v>
      </c>
      <c r="L4218" s="5">
        <v>4</v>
      </c>
      <c r="M4218" s="5">
        <v>635598.77</v>
      </c>
      <c r="N4218" s="5">
        <v>6073182.01</v>
      </c>
      <c r="O4218" t="s" s="2">
        <v>305</v>
      </c>
      <c r="P4218" s="5">
        <v>182209</v>
      </c>
      <c r="Q4218" t="s" s="2">
        <v>7878</v>
      </c>
      <c r="R4218" t="s" s="2">
        <f>_xlfn.IFERROR(INDEX('model_byCAP'!$D$2:$D$377,MATCH(Q4218,'model_byCAP'!$A$2:$A$377,0)),0)</f>
        <v>7869</v>
      </c>
    </row>
    <row r="4219" ht="15.35" customHeight="1">
      <c r="A4219" t="s" s="2">
        <v>7879</v>
      </c>
      <c r="B4219" s="4">
        <v>34663</v>
      </c>
      <c r="C4219" s="5">
        <v>300</v>
      </c>
      <c r="D4219" s="5">
        <v>31</v>
      </c>
      <c r="E4219" s="5">
        <v>30</v>
      </c>
      <c r="F4219" t="s" s="2">
        <v>1989</v>
      </c>
      <c r="G4219" t="s" s="2">
        <v>7866</v>
      </c>
      <c r="H4219" s="5">
        <v>360</v>
      </c>
      <c r="I4219" t="s" s="2">
        <v>463</v>
      </c>
      <c r="J4219" t="s" s="2">
        <v>22</v>
      </c>
      <c r="K4219" t="s" s="2">
        <v>6095</v>
      </c>
      <c r="L4219" t="s" s="2">
        <v>937</v>
      </c>
      <c r="M4219" s="5">
        <v>640472.71</v>
      </c>
      <c r="N4219" s="5">
        <v>6071398.6</v>
      </c>
      <c r="O4219" t="s" s="2">
        <v>305</v>
      </c>
      <c r="P4219" s="5">
        <v>182210</v>
      </c>
      <c r="Q4219" t="s" s="2">
        <v>7868</v>
      </c>
      <c r="R4219" t="s" s="2">
        <f>_xlfn.IFERROR(INDEX('model_byCAP'!$D$2:$D$377,MATCH(Q4219,'model_byCAP'!$A$2:$A$377,0)),0)</f>
        <v>7869</v>
      </c>
    </row>
    <row r="4220" ht="15.35" customHeight="1">
      <c r="A4220" t="s" s="2">
        <v>7880</v>
      </c>
      <c r="B4220" s="4">
        <v>34689</v>
      </c>
      <c r="C4220" s="5">
        <v>300</v>
      </c>
      <c r="D4220" s="5">
        <v>31</v>
      </c>
      <c r="E4220" s="5">
        <v>30</v>
      </c>
      <c r="F4220" t="s" s="2">
        <v>1989</v>
      </c>
      <c r="G4220" t="s" s="2">
        <v>7876</v>
      </c>
      <c r="H4220" s="5">
        <v>360</v>
      </c>
      <c r="I4220" t="s" s="2">
        <v>463</v>
      </c>
      <c r="J4220" t="s" s="2">
        <v>22</v>
      </c>
      <c r="K4220" t="s" s="2">
        <v>6095</v>
      </c>
      <c r="L4220" t="s" s="2">
        <v>1373</v>
      </c>
      <c r="M4220" s="5">
        <v>638937.45</v>
      </c>
      <c r="N4220" s="5">
        <v>6067037.23</v>
      </c>
      <c r="O4220" t="s" s="2">
        <v>305</v>
      </c>
      <c r="P4220" s="5">
        <v>182212</v>
      </c>
      <c r="Q4220" t="s" s="2">
        <v>7878</v>
      </c>
      <c r="R4220" t="s" s="2">
        <f>_xlfn.IFERROR(INDEX('model_byCAP'!$D$2:$D$377,MATCH(Q4220,'model_byCAP'!$A$2:$A$377,0)),0)</f>
        <v>7869</v>
      </c>
    </row>
    <row r="4221" ht="15.35" customHeight="1">
      <c r="A4221" t="s" s="2">
        <v>7881</v>
      </c>
      <c r="B4221" s="4">
        <v>34689</v>
      </c>
      <c r="C4221" s="5">
        <v>300</v>
      </c>
      <c r="D4221" s="5">
        <v>31</v>
      </c>
      <c r="E4221" s="5">
        <v>30</v>
      </c>
      <c r="F4221" t="s" s="2">
        <v>1989</v>
      </c>
      <c r="G4221" t="s" s="2">
        <v>3105</v>
      </c>
      <c r="H4221" s="5">
        <v>360</v>
      </c>
      <c r="I4221" t="s" s="2">
        <v>463</v>
      </c>
      <c r="J4221" t="s" s="2">
        <v>22</v>
      </c>
      <c r="K4221" t="s" s="2">
        <v>6095</v>
      </c>
      <c r="L4221" t="s" s="2">
        <v>1373</v>
      </c>
      <c r="M4221" s="5">
        <v>638778.59</v>
      </c>
      <c r="N4221" s="5">
        <v>6067047.58</v>
      </c>
      <c r="O4221" t="s" s="2">
        <v>305</v>
      </c>
      <c r="P4221" s="5">
        <v>182213</v>
      </c>
      <c r="Q4221" t="s" s="2">
        <v>3107</v>
      </c>
      <c r="R4221" t="s" s="2">
        <f>_xlfn.IFERROR(INDEX('model_byCAP'!$D$2:$D$377,MATCH(Q4221,'model_byCAP'!$A$2:$A$377,0)),0)</f>
        <v>3047</v>
      </c>
    </row>
    <row r="4222" ht="15.35" customHeight="1">
      <c r="A4222" t="s" s="2">
        <v>7882</v>
      </c>
      <c r="B4222" s="4">
        <v>34760</v>
      </c>
      <c r="C4222" s="5">
        <v>300</v>
      </c>
      <c r="D4222" s="5">
        <v>31</v>
      </c>
      <c r="E4222" s="5">
        <v>30</v>
      </c>
      <c r="F4222" t="s" s="2">
        <v>1989</v>
      </c>
      <c r="G4222" t="s" s="2">
        <v>7866</v>
      </c>
      <c r="H4222" s="5">
        <v>360</v>
      </c>
      <c r="I4222" t="s" s="2">
        <v>463</v>
      </c>
      <c r="J4222" t="s" s="2">
        <v>22</v>
      </c>
      <c r="K4222" t="s" s="2">
        <v>7883</v>
      </c>
      <c r="L4222" t="s" s="2">
        <v>2931</v>
      </c>
      <c r="M4222" s="5">
        <v>644826.88</v>
      </c>
      <c r="N4222" s="5">
        <v>6071424.25</v>
      </c>
      <c r="O4222" t="s" s="2">
        <v>305</v>
      </c>
      <c r="P4222" s="5">
        <v>182363</v>
      </c>
      <c r="Q4222" t="s" s="2">
        <v>7868</v>
      </c>
      <c r="R4222" t="s" s="2">
        <f>_xlfn.IFERROR(INDEX('model_byCAP'!$D$2:$D$377,MATCH(Q4222,'model_byCAP'!$A$2:$A$377,0)),0)</f>
        <v>7869</v>
      </c>
    </row>
    <row r="4223" ht="15.35" customHeight="1">
      <c r="A4223" t="s" s="2">
        <v>7884</v>
      </c>
      <c r="B4223" s="4">
        <v>34752</v>
      </c>
      <c r="C4223" s="5">
        <v>300</v>
      </c>
      <c r="D4223" s="5">
        <v>31</v>
      </c>
      <c r="E4223" s="5">
        <v>31</v>
      </c>
      <c r="F4223" t="s" s="2">
        <v>1989</v>
      </c>
      <c r="G4223" t="s" s="2">
        <v>7866</v>
      </c>
      <c r="H4223" s="5">
        <v>360</v>
      </c>
      <c r="I4223" t="s" s="2">
        <v>463</v>
      </c>
      <c r="J4223" t="s" s="2">
        <v>22</v>
      </c>
      <c r="K4223" t="s" s="2">
        <v>7885</v>
      </c>
      <c r="L4223" t="s" s="2">
        <v>2348</v>
      </c>
      <c r="M4223" s="5">
        <v>635595.96</v>
      </c>
      <c r="N4223" s="5">
        <v>6071240.6</v>
      </c>
      <c r="O4223" t="s" s="2">
        <v>305</v>
      </c>
      <c r="P4223" s="5">
        <v>182399</v>
      </c>
      <c r="Q4223" t="s" s="2">
        <v>7868</v>
      </c>
      <c r="R4223" t="s" s="2">
        <f>_xlfn.IFERROR(INDEX('model_byCAP'!$D$2:$D$377,MATCH(Q4223,'model_byCAP'!$A$2:$A$377,0)),0)</f>
        <v>7869</v>
      </c>
    </row>
    <row r="4224" ht="15.35" customHeight="1">
      <c r="A4224" t="s" s="2">
        <v>7886</v>
      </c>
      <c r="B4224" s="4">
        <v>34969</v>
      </c>
      <c r="C4224" s="5">
        <v>300</v>
      </c>
      <c r="D4224" s="5">
        <v>31</v>
      </c>
      <c r="E4224" s="5">
        <v>30</v>
      </c>
      <c r="F4224" t="s" s="2">
        <v>1989</v>
      </c>
      <c r="G4224" t="s" s="2">
        <v>7866</v>
      </c>
      <c r="H4224" s="5">
        <v>360</v>
      </c>
      <c r="I4224" t="s" s="2">
        <v>463</v>
      </c>
      <c r="J4224" t="s" s="2">
        <v>22</v>
      </c>
      <c r="K4224" t="s" s="2">
        <v>7887</v>
      </c>
      <c r="L4224" t="s" s="2">
        <v>481</v>
      </c>
      <c r="M4224" s="5">
        <v>648017.6899999999</v>
      </c>
      <c r="N4224" s="5">
        <v>6070453.78</v>
      </c>
      <c r="O4224" t="s" s="2">
        <v>305</v>
      </c>
      <c r="P4224" s="5">
        <v>183035</v>
      </c>
      <c r="Q4224" t="s" s="2">
        <v>7868</v>
      </c>
      <c r="R4224" t="s" s="2">
        <f>_xlfn.IFERROR(INDEX('model_byCAP'!$D$2:$D$377,MATCH(Q4224,'model_byCAP'!$A$2:$A$377,0)),0)</f>
        <v>7869</v>
      </c>
    </row>
    <row r="4225" ht="15.35" customHeight="1">
      <c r="A4225" t="s" s="2">
        <v>7888</v>
      </c>
      <c r="B4225" s="4">
        <v>35312</v>
      </c>
      <c r="C4225" s="5">
        <v>300</v>
      </c>
      <c r="D4225" s="5">
        <v>33</v>
      </c>
      <c r="E4225" s="5">
        <v>31</v>
      </c>
      <c r="F4225" t="s" s="2">
        <v>1989</v>
      </c>
      <c r="G4225" t="s" s="2">
        <v>7889</v>
      </c>
      <c r="H4225" s="5">
        <v>360</v>
      </c>
      <c r="I4225" t="s" s="2">
        <v>463</v>
      </c>
      <c r="J4225" t="s" s="2">
        <v>22</v>
      </c>
      <c r="K4225" t="s" s="2">
        <v>6095</v>
      </c>
      <c r="L4225" t="s" s="2">
        <v>1596</v>
      </c>
      <c r="M4225" s="5">
        <v>640525.71</v>
      </c>
      <c r="N4225" s="5">
        <v>6067029.23</v>
      </c>
      <c r="O4225" t="s" s="2">
        <v>305</v>
      </c>
      <c r="P4225" s="5">
        <v>183668</v>
      </c>
      <c r="Q4225" t="s" s="2">
        <v>7890</v>
      </c>
      <c r="R4225" t="s" s="2">
        <f>_xlfn.IFERROR(INDEX('model_byCAP'!$D$2:$D$377,MATCH(Q4225,'model_byCAP'!$A$2:$A$377,0)),0)</f>
        <v>7869</v>
      </c>
    </row>
    <row r="4226" ht="15.35" customHeight="1">
      <c r="A4226" t="s" s="2">
        <v>7891</v>
      </c>
      <c r="B4226" s="4">
        <v>34240</v>
      </c>
      <c r="C4226" s="5">
        <v>300</v>
      </c>
      <c r="D4226" s="5">
        <v>31</v>
      </c>
      <c r="E4226" s="5">
        <v>30</v>
      </c>
      <c r="F4226" t="s" s="2">
        <v>1989</v>
      </c>
      <c r="G4226" t="s" s="2">
        <v>7876</v>
      </c>
      <c r="H4226" s="5">
        <v>376</v>
      </c>
      <c r="I4226" t="s" s="2">
        <v>1991</v>
      </c>
      <c r="J4226" t="s" s="2">
        <v>22</v>
      </c>
      <c r="K4226" t="s" s="2">
        <v>7892</v>
      </c>
      <c r="L4226" t="s" s="2">
        <v>1161</v>
      </c>
      <c r="M4226" s="5">
        <v>688503.87</v>
      </c>
      <c r="N4226" s="5">
        <v>6055170.4</v>
      </c>
      <c r="O4226" t="s" s="2">
        <v>305</v>
      </c>
      <c r="P4226" s="5">
        <v>180658</v>
      </c>
      <c r="Q4226" t="s" s="2">
        <v>7878</v>
      </c>
      <c r="R4226" t="s" s="2">
        <f>_xlfn.IFERROR(INDEX('model_byCAP'!$D$2:$D$377,MATCH(Q4226,'model_byCAP'!$A$2:$A$377,0)),0)</f>
        <v>7869</v>
      </c>
    </row>
    <row r="4227" ht="15.35" customHeight="1">
      <c r="A4227" t="s" s="2">
        <v>7893</v>
      </c>
      <c r="B4227" s="4">
        <v>33764</v>
      </c>
      <c r="C4227" s="5">
        <v>300</v>
      </c>
      <c r="D4227" s="5">
        <v>31</v>
      </c>
      <c r="E4227" s="5">
        <v>30</v>
      </c>
      <c r="F4227" t="s" s="2">
        <v>42</v>
      </c>
      <c r="G4227" t="s" s="2">
        <v>42</v>
      </c>
      <c r="H4227" s="5">
        <v>390</v>
      </c>
      <c r="I4227" t="s" s="2">
        <v>46</v>
      </c>
      <c r="J4227" t="s" s="2">
        <v>22</v>
      </c>
      <c r="K4227" t="s" s="2">
        <v>7894</v>
      </c>
      <c r="L4227" t="s" s="2">
        <v>471</v>
      </c>
      <c r="M4227" s="5">
        <v>710895.28</v>
      </c>
      <c r="N4227" s="5">
        <v>6102131.23</v>
      </c>
      <c r="O4227" t="s" s="2">
        <v>305</v>
      </c>
      <c r="P4227" s="5">
        <v>179254</v>
      </c>
      <c r="Q4227" t="s" s="2">
        <v>43</v>
      </c>
      <c r="R4227" s="5">
        <f>_xlfn.IFERROR(INDEX('model_byCAP'!$D$2:$D$377,MATCH(Q4227,'model_byCAP'!$A$2:$A$377,0)),0)</f>
        <v>0</v>
      </c>
    </row>
    <row r="4228" ht="15.35" customHeight="1">
      <c r="A4228" t="s" s="2">
        <v>7895</v>
      </c>
      <c r="B4228" s="4">
        <v>33769</v>
      </c>
      <c r="C4228" s="5">
        <v>300</v>
      </c>
      <c r="D4228" s="5">
        <v>31</v>
      </c>
      <c r="E4228" s="5">
        <v>30</v>
      </c>
      <c r="F4228" t="s" s="2">
        <v>42</v>
      </c>
      <c r="G4228" t="s" s="2">
        <v>42</v>
      </c>
      <c r="H4228" s="5">
        <v>410</v>
      </c>
      <c r="I4228" t="s" s="2">
        <v>4278</v>
      </c>
      <c r="J4228" t="s" s="2">
        <v>22</v>
      </c>
      <c r="K4228" t="s" s="2">
        <v>7896</v>
      </c>
      <c r="L4228" t="s" s="2">
        <v>2809</v>
      </c>
      <c r="M4228" s="5">
        <v>556411.8</v>
      </c>
      <c r="N4228" s="5">
        <v>6149575.17</v>
      </c>
      <c r="O4228" t="s" s="2">
        <v>305</v>
      </c>
      <c r="P4228" s="5">
        <v>99054</v>
      </c>
      <c r="Q4228" t="s" s="2">
        <v>43</v>
      </c>
      <c r="R4228" s="5">
        <f>_xlfn.IFERROR(INDEX('model_byCAP'!$D$2:$D$377,MATCH(Q4228,'model_byCAP'!$A$2:$A$377,0)),0)</f>
        <v>0</v>
      </c>
    </row>
    <row r="4229" ht="15.35" customHeight="1">
      <c r="A4229" t="s" s="2">
        <v>7897</v>
      </c>
      <c r="B4229" s="4">
        <v>34325</v>
      </c>
      <c r="C4229" s="5">
        <v>300</v>
      </c>
      <c r="D4229" s="5">
        <v>31</v>
      </c>
      <c r="E4229" s="5">
        <v>30</v>
      </c>
      <c r="F4229" t="s" s="2">
        <v>42</v>
      </c>
      <c r="G4229" t="s" s="2">
        <v>42</v>
      </c>
      <c r="H4229" s="5">
        <v>430</v>
      </c>
      <c r="I4229" t="s" s="2">
        <v>3470</v>
      </c>
      <c r="J4229" t="s" s="2">
        <v>22</v>
      </c>
      <c r="K4229" t="s" s="2">
        <v>7898</v>
      </c>
      <c r="L4229" s="5">
        <v>48</v>
      </c>
      <c r="M4229" s="5">
        <v>571681.74</v>
      </c>
      <c r="N4229" s="5">
        <v>6106619</v>
      </c>
      <c r="O4229" t="s" s="2">
        <v>305</v>
      </c>
      <c r="P4229" s="5">
        <v>4649</v>
      </c>
      <c r="Q4229" t="s" s="2">
        <v>43</v>
      </c>
      <c r="R4229" s="5">
        <f>_xlfn.IFERROR(INDEX('model_byCAP'!$D$2:$D$377,MATCH(Q4229,'model_byCAP'!$A$2:$A$377,0)),0)</f>
        <v>0</v>
      </c>
    </row>
    <row r="4230" ht="15.35" customHeight="1">
      <c r="A4230" t="s" s="2">
        <v>7899</v>
      </c>
      <c r="B4230" s="4">
        <v>34395</v>
      </c>
      <c r="C4230" s="5">
        <v>300</v>
      </c>
      <c r="D4230" s="5">
        <v>31</v>
      </c>
      <c r="E4230" s="5">
        <v>30</v>
      </c>
      <c r="F4230" t="s" s="2">
        <v>42</v>
      </c>
      <c r="G4230" t="s" s="2">
        <v>42</v>
      </c>
      <c r="H4230" s="5">
        <v>430</v>
      </c>
      <c r="I4230" t="s" s="2">
        <v>3470</v>
      </c>
      <c r="J4230" t="s" s="2">
        <v>22</v>
      </c>
      <c r="K4230" t="s" s="2">
        <v>7898</v>
      </c>
      <c r="L4230" t="s" s="2">
        <v>2861</v>
      </c>
      <c r="M4230" s="5">
        <v>571680.39</v>
      </c>
      <c r="N4230" s="5">
        <v>6106728.68</v>
      </c>
      <c r="O4230" t="s" s="2">
        <v>305</v>
      </c>
      <c r="P4230" s="5">
        <v>9710</v>
      </c>
      <c r="Q4230" t="s" s="2">
        <v>43</v>
      </c>
      <c r="R4230" s="5">
        <f>_xlfn.IFERROR(INDEX('model_byCAP'!$D$2:$D$377,MATCH(Q4230,'model_byCAP'!$A$2:$A$377,0)),0)</f>
        <v>0</v>
      </c>
    </row>
    <row r="4231" ht="15.35" customHeight="1">
      <c r="A4231" t="s" s="2">
        <v>7900</v>
      </c>
      <c r="B4231" s="4">
        <v>34438</v>
      </c>
      <c r="C4231" s="5">
        <v>300</v>
      </c>
      <c r="D4231" s="5">
        <v>31</v>
      </c>
      <c r="E4231" s="5">
        <v>30</v>
      </c>
      <c r="F4231" t="s" s="2">
        <v>42</v>
      </c>
      <c r="G4231" t="s" s="2">
        <v>42</v>
      </c>
      <c r="H4231" s="5">
        <v>430</v>
      </c>
      <c r="I4231" t="s" s="2">
        <v>3470</v>
      </c>
      <c r="J4231" t="s" s="2">
        <v>22</v>
      </c>
      <c r="K4231" t="s" s="2">
        <v>7898</v>
      </c>
      <c r="L4231" s="5">
        <v>51</v>
      </c>
      <c r="M4231" s="5">
        <v>571684.5</v>
      </c>
      <c r="N4231" s="5">
        <v>6106509.47</v>
      </c>
      <c r="O4231" t="s" s="2">
        <v>305</v>
      </c>
      <c r="P4231" s="5">
        <v>1125</v>
      </c>
      <c r="Q4231" t="s" s="2">
        <v>43</v>
      </c>
      <c r="R4231" s="5">
        <f>_xlfn.IFERROR(INDEX('model_byCAP'!$D$2:$D$377,MATCH(Q4231,'model_byCAP'!$A$2:$A$377,0)),0)</f>
        <v>0</v>
      </c>
    </row>
    <row r="4232" ht="15.35" customHeight="1">
      <c r="A4232" t="s" s="2">
        <v>7901</v>
      </c>
      <c r="B4232" s="4">
        <v>33788</v>
      </c>
      <c r="C4232" s="5">
        <v>300</v>
      </c>
      <c r="D4232" s="5">
        <v>31</v>
      </c>
      <c r="E4232" s="5">
        <v>30</v>
      </c>
      <c r="F4232" t="s" s="2">
        <v>1989</v>
      </c>
      <c r="G4232" t="s" s="2">
        <v>7876</v>
      </c>
      <c r="H4232" s="5">
        <v>607</v>
      </c>
      <c r="I4232" t="s" s="2">
        <v>4566</v>
      </c>
      <c r="J4232" t="s" s="2">
        <v>22</v>
      </c>
      <c r="K4232" t="s" s="2">
        <v>7902</v>
      </c>
      <c r="L4232" t="s" s="2">
        <v>3918</v>
      </c>
      <c r="M4232" s="5">
        <v>548760.6800000001</v>
      </c>
      <c r="N4232" s="5">
        <v>6162992.63</v>
      </c>
      <c r="O4232" t="s" s="2">
        <v>305</v>
      </c>
      <c r="P4232" s="8">
        <v>134896</v>
      </c>
      <c r="Q4232" t="s" s="2">
        <v>7878</v>
      </c>
      <c r="R4232" t="s" s="2">
        <f>_xlfn.IFERROR(INDEX('model_byCAP'!$D$2:$D$377,MATCH(Q4232,'model_byCAP'!$A$2:$A$377,0)),0)</f>
        <v>7869</v>
      </c>
    </row>
    <row r="4233" ht="15.35" customHeight="1">
      <c r="A4233" t="s" s="2">
        <v>7903</v>
      </c>
      <c r="B4233" s="4">
        <v>34513</v>
      </c>
      <c r="C4233" s="5">
        <v>300</v>
      </c>
      <c r="D4233" s="5">
        <v>31</v>
      </c>
      <c r="E4233" s="5">
        <v>30</v>
      </c>
      <c r="F4233" t="s" s="2">
        <v>42</v>
      </c>
      <c r="G4233" t="s" s="2">
        <v>42</v>
      </c>
      <c r="H4233" s="5">
        <v>630</v>
      </c>
      <c r="I4233" t="s" s="2">
        <v>1268</v>
      </c>
      <c r="J4233" t="s" s="2">
        <v>22</v>
      </c>
      <c r="K4233" t="s" s="2">
        <v>7904</v>
      </c>
      <c r="L4233" t="s" s="2">
        <v>431</v>
      </c>
      <c r="M4233" s="5">
        <v>544529.28</v>
      </c>
      <c r="N4233" s="5">
        <v>6167243.33</v>
      </c>
      <c r="O4233" t="s" s="2">
        <v>305</v>
      </c>
      <c r="P4233" s="8">
        <v>135201</v>
      </c>
      <c r="Q4233" t="s" s="2">
        <v>43</v>
      </c>
      <c r="R4233" s="5">
        <f>_xlfn.IFERROR(INDEX('model_byCAP'!$D$2:$D$377,MATCH(Q4233,'model_byCAP'!$A$2:$A$377,0)),0)</f>
        <v>0</v>
      </c>
    </row>
    <row r="4234" ht="15.35" customHeight="1">
      <c r="A4234" t="s" s="2">
        <v>7905</v>
      </c>
      <c r="B4234" s="4">
        <v>34306</v>
      </c>
      <c r="C4234" s="5">
        <v>300</v>
      </c>
      <c r="D4234" s="5">
        <v>33.4</v>
      </c>
      <c r="E4234" s="5">
        <v>30</v>
      </c>
      <c r="F4234" t="s" s="2">
        <v>1989</v>
      </c>
      <c r="G4234" t="s" s="2">
        <v>7889</v>
      </c>
      <c r="H4234" s="5">
        <v>665</v>
      </c>
      <c r="I4234" t="s" s="2">
        <v>316</v>
      </c>
      <c r="J4234" t="s" s="2">
        <v>22</v>
      </c>
      <c r="K4234" t="s" s="2">
        <v>4659</v>
      </c>
      <c r="L4234" t="s" s="2">
        <v>6663</v>
      </c>
      <c r="M4234" s="5">
        <v>452220.16</v>
      </c>
      <c r="N4234" s="5">
        <v>6260290.67</v>
      </c>
      <c r="O4234" t="s" s="2">
        <v>305</v>
      </c>
      <c r="P4234" s="5">
        <v>40097137</v>
      </c>
      <c r="Q4234" t="s" s="2">
        <v>7890</v>
      </c>
      <c r="R4234" t="s" s="2">
        <f>_xlfn.IFERROR(INDEX('model_byCAP'!$D$2:$D$377,MATCH(Q4234,'model_byCAP'!$A$2:$A$377,0)),0)</f>
        <v>7869</v>
      </c>
    </row>
    <row r="4235" ht="15.35" customHeight="1">
      <c r="A4235" t="s" s="2">
        <v>7906</v>
      </c>
      <c r="B4235" s="4">
        <v>34594</v>
      </c>
      <c r="C4235" s="5">
        <v>300</v>
      </c>
      <c r="D4235" s="5">
        <v>31</v>
      </c>
      <c r="E4235" s="5">
        <v>30</v>
      </c>
      <c r="F4235" t="s" s="2">
        <v>42</v>
      </c>
      <c r="G4235" t="s" s="2">
        <v>42</v>
      </c>
      <c r="H4235" s="5">
        <v>665</v>
      </c>
      <c r="I4235" t="s" s="2">
        <v>316</v>
      </c>
      <c r="J4235" t="s" s="2">
        <v>22</v>
      </c>
      <c r="K4235" t="s" s="2">
        <v>7907</v>
      </c>
      <c r="L4235" t="s" s="2">
        <v>7908</v>
      </c>
      <c r="M4235" s="5">
        <v>459967.06</v>
      </c>
      <c r="N4235" s="5">
        <v>6265980.04</v>
      </c>
      <c r="O4235" t="s" s="2">
        <v>305</v>
      </c>
      <c r="P4235" s="5">
        <v>40098139</v>
      </c>
      <c r="Q4235" t="s" s="2">
        <v>43</v>
      </c>
      <c r="R4235" s="5">
        <f>_xlfn.IFERROR(INDEX('model_byCAP'!$D$2:$D$377,MATCH(Q4235,'model_byCAP'!$A$2:$A$377,0)),0)</f>
        <v>0</v>
      </c>
    </row>
    <row r="4236" ht="15.35" customHeight="1">
      <c r="A4236" t="s" s="2">
        <v>7909</v>
      </c>
      <c r="B4236" s="4">
        <v>35178</v>
      </c>
      <c r="C4236" s="5">
        <v>300</v>
      </c>
      <c r="D4236" s="5">
        <v>33.4</v>
      </c>
      <c r="E4236" s="5">
        <v>30</v>
      </c>
      <c r="F4236" t="s" s="2">
        <v>1989</v>
      </c>
      <c r="G4236" t="s" s="2">
        <v>7889</v>
      </c>
      <c r="H4236" s="5">
        <v>665</v>
      </c>
      <c r="I4236" t="s" s="2">
        <v>316</v>
      </c>
      <c r="J4236" t="s" s="2">
        <v>22</v>
      </c>
      <c r="K4236" t="s" s="2">
        <v>4659</v>
      </c>
      <c r="L4236" t="s" s="2">
        <v>5306</v>
      </c>
      <c r="M4236" s="5">
        <v>452251.4</v>
      </c>
      <c r="N4236" s="5">
        <v>6260487.95</v>
      </c>
      <c r="O4236" t="s" s="2">
        <v>305</v>
      </c>
      <c r="P4236" s="5">
        <v>40108157</v>
      </c>
      <c r="Q4236" t="s" s="2">
        <v>7890</v>
      </c>
      <c r="R4236" t="s" s="2">
        <f>_xlfn.IFERROR(INDEX('model_byCAP'!$D$2:$D$377,MATCH(Q4236,'model_byCAP'!$A$2:$A$377,0)),0)</f>
        <v>7869</v>
      </c>
    </row>
    <row r="4237" ht="15.35" customHeight="1">
      <c r="A4237" t="s" s="2">
        <v>7910</v>
      </c>
      <c r="B4237" s="4">
        <v>35176</v>
      </c>
      <c r="C4237" s="5">
        <v>300</v>
      </c>
      <c r="D4237" s="5">
        <v>31</v>
      </c>
      <c r="E4237" s="5">
        <v>31</v>
      </c>
      <c r="F4237" t="s" s="2">
        <v>1989</v>
      </c>
      <c r="G4237" t="s" s="2">
        <v>7889</v>
      </c>
      <c r="H4237" s="5">
        <v>665</v>
      </c>
      <c r="I4237" t="s" s="2">
        <v>316</v>
      </c>
      <c r="J4237" t="s" s="2">
        <v>22</v>
      </c>
      <c r="K4237" t="s" s="2">
        <v>4659</v>
      </c>
      <c r="L4237" t="s" s="2">
        <v>4650</v>
      </c>
      <c r="M4237" s="5">
        <v>452369.93</v>
      </c>
      <c r="N4237" s="5">
        <v>6260570.62</v>
      </c>
      <c r="O4237" t="s" s="2">
        <v>305</v>
      </c>
      <c r="P4237" s="5">
        <v>40109158</v>
      </c>
      <c r="Q4237" t="s" s="2">
        <v>7890</v>
      </c>
      <c r="R4237" t="s" s="2">
        <f>_xlfn.IFERROR(INDEX('model_byCAP'!$D$2:$D$377,MATCH(Q4237,'model_byCAP'!$A$2:$A$377,0)),0)</f>
        <v>7869</v>
      </c>
    </row>
    <row r="4238" ht="15.35" customHeight="1">
      <c r="A4238" t="s" s="2">
        <v>7911</v>
      </c>
      <c r="B4238" s="4">
        <v>35176</v>
      </c>
      <c r="C4238" s="5">
        <v>300</v>
      </c>
      <c r="D4238" s="5">
        <v>31</v>
      </c>
      <c r="E4238" s="5">
        <v>31</v>
      </c>
      <c r="F4238" t="s" s="2">
        <v>1989</v>
      </c>
      <c r="G4238" t="s" s="2">
        <v>7889</v>
      </c>
      <c r="H4238" s="5">
        <v>665</v>
      </c>
      <c r="I4238" t="s" s="2">
        <v>316</v>
      </c>
      <c r="J4238" t="s" s="2">
        <v>22</v>
      </c>
      <c r="K4238" t="s" s="2">
        <v>4659</v>
      </c>
      <c r="L4238" t="s" s="2">
        <v>983</v>
      </c>
      <c r="M4238" s="5">
        <v>452338.43</v>
      </c>
      <c r="N4238" s="5">
        <v>6260372.71</v>
      </c>
      <c r="O4238" t="s" s="2">
        <v>305</v>
      </c>
      <c r="P4238" s="5">
        <v>40109158</v>
      </c>
      <c r="Q4238" t="s" s="2">
        <v>7890</v>
      </c>
      <c r="R4238" t="s" s="2">
        <f>_xlfn.IFERROR(INDEX('model_byCAP'!$D$2:$D$377,MATCH(Q4238,'model_byCAP'!$A$2:$A$377,0)),0)</f>
        <v>7869</v>
      </c>
    </row>
    <row r="4239" ht="15.35" customHeight="1">
      <c r="A4239" t="s" s="2">
        <v>7912</v>
      </c>
      <c r="B4239" s="4">
        <v>35176</v>
      </c>
      <c r="C4239" s="5">
        <v>300</v>
      </c>
      <c r="D4239" s="5">
        <v>31</v>
      </c>
      <c r="E4239" s="5">
        <v>31</v>
      </c>
      <c r="F4239" t="s" s="2">
        <v>1989</v>
      </c>
      <c r="G4239" t="s" s="2">
        <v>7889</v>
      </c>
      <c r="H4239" s="5">
        <v>665</v>
      </c>
      <c r="I4239" t="s" s="2">
        <v>316</v>
      </c>
      <c r="J4239" t="s" s="2">
        <v>22</v>
      </c>
      <c r="K4239" t="s" s="2">
        <v>4659</v>
      </c>
      <c r="L4239" t="s" s="2">
        <v>1586</v>
      </c>
      <c r="M4239" s="5">
        <v>452306.67</v>
      </c>
      <c r="N4239" s="5">
        <v>6260175.18</v>
      </c>
      <c r="O4239" t="s" s="2">
        <v>305</v>
      </c>
      <c r="P4239" s="5">
        <v>40109158</v>
      </c>
      <c r="Q4239" t="s" s="2">
        <v>7890</v>
      </c>
      <c r="R4239" t="s" s="2">
        <f>_xlfn.IFERROR(INDEX('model_byCAP'!$D$2:$D$377,MATCH(Q4239,'model_byCAP'!$A$2:$A$377,0)),0)</f>
        <v>7869</v>
      </c>
    </row>
    <row r="4240" ht="15.35" customHeight="1">
      <c r="A4240" t="s" s="2">
        <v>7913</v>
      </c>
      <c r="B4240" s="4">
        <v>36123</v>
      </c>
      <c r="C4240" s="5">
        <v>300</v>
      </c>
      <c r="D4240" s="5">
        <v>33</v>
      </c>
      <c r="E4240" s="5">
        <v>30</v>
      </c>
      <c r="F4240" t="s" s="2">
        <v>42</v>
      </c>
      <c r="G4240" t="s" s="2">
        <v>42</v>
      </c>
      <c r="H4240" s="5">
        <v>665</v>
      </c>
      <c r="I4240" t="s" s="2">
        <v>316</v>
      </c>
      <c r="J4240" t="s" s="2">
        <v>22</v>
      </c>
      <c r="K4240" t="s" s="2">
        <v>7907</v>
      </c>
      <c r="L4240" t="s" s="2">
        <v>858</v>
      </c>
      <c r="M4240" s="5">
        <v>460059.86</v>
      </c>
      <c r="N4240" s="5">
        <v>6266050.02</v>
      </c>
      <c r="O4240" t="s" s="2">
        <v>305</v>
      </c>
      <c r="P4240" s="5">
        <v>40135252</v>
      </c>
      <c r="Q4240" t="s" s="2">
        <v>43</v>
      </c>
      <c r="R4240" s="5">
        <f>_xlfn.IFERROR(INDEX('model_byCAP'!$D$2:$D$377,MATCH(Q4240,'model_byCAP'!$A$2:$A$377,0)),0)</f>
        <v>0</v>
      </c>
    </row>
    <row r="4241" ht="15.35" customHeight="1">
      <c r="A4241" t="s" s="2">
        <v>7914</v>
      </c>
      <c r="B4241" s="4">
        <v>36696</v>
      </c>
      <c r="C4241" s="5">
        <v>300</v>
      </c>
      <c r="D4241" s="5">
        <v>33.4</v>
      </c>
      <c r="E4241" s="5">
        <v>39</v>
      </c>
      <c r="F4241" t="s" s="2">
        <v>1989</v>
      </c>
      <c r="G4241" t="s" s="2">
        <v>7915</v>
      </c>
      <c r="H4241" s="5">
        <v>671</v>
      </c>
      <c r="I4241" t="s" s="2">
        <v>378</v>
      </c>
      <c r="J4241" t="s" s="2">
        <v>22</v>
      </c>
      <c r="K4241" t="s" s="2">
        <v>7916</v>
      </c>
      <c r="L4241" t="s" s="2">
        <v>7437</v>
      </c>
      <c r="M4241" s="5">
        <v>469908.3</v>
      </c>
      <c r="N4241" s="5">
        <v>6277907.38</v>
      </c>
      <c r="O4241" t="s" s="2">
        <v>305</v>
      </c>
      <c r="P4241" s="5">
        <v>160072</v>
      </c>
      <c r="Q4241" t="s" s="2">
        <v>7917</v>
      </c>
      <c r="R4241" t="s" s="2">
        <f>_xlfn.IFERROR(INDEX('model_byCAP'!$D$2:$D$377,MATCH(Q4241,'model_byCAP'!$A$2:$A$377,0)),0)</f>
        <v>7869</v>
      </c>
    </row>
    <row r="4242" ht="15.35" customHeight="1">
      <c r="A4242" t="s" s="2">
        <v>7918</v>
      </c>
      <c r="B4242" s="4">
        <v>33910</v>
      </c>
      <c r="C4242" s="5">
        <v>300</v>
      </c>
      <c r="D4242" s="5">
        <v>31</v>
      </c>
      <c r="E4242" s="5">
        <v>29.3</v>
      </c>
      <c r="F4242" t="s" s="2">
        <v>1989</v>
      </c>
      <c r="G4242" t="s" s="2">
        <v>7876</v>
      </c>
      <c r="H4242" s="5">
        <v>671</v>
      </c>
      <c r="I4242" t="s" s="2">
        <v>378</v>
      </c>
      <c r="J4242" t="s" s="2">
        <v>22</v>
      </c>
      <c r="K4242" t="s" s="2">
        <v>7919</v>
      </c>
      <c r="L4242" t="s" s="2">
        <v>995</v>
      </c>
      <c r="M4242" s="5">
        <v>473345.92</v>
      </c>
      <c r="N4242" s="5">
        <v>6278304.85</v>
      </c>
      <c r="O4242" t="s" s="2">
        <v>305</v>
      </c>
      <c r="P4242" s="5">
        <v>160122</v>
      </c>
      <c r="Q4242" t="s" s="2">
        <v>7878</v>
      </c>
      <c r="R4242" t="s" s="2">
        <f>_xlfn.IFERROR(INDEX('model_byCAP'!$D$2:$D$377,MATCH(Q4242,'model_byCAP'!$A$2:$A$377,0)),0)</f>
        <v>7869</v>
      </c>
    </row>
    <row r="4243" ht="15.35" customHeight="1">
      <c r="A4243" t="s" s="2">
        <v>7920</v>
      </c>
      <c r="B4243" s="4">
        <v>33910</v>
      </c>
      <c r="C4243" s="5">
        <v>300</v>
      </c>
      <c r="D4243" s="5">
        <v>31</v>
      </c>
      <c r="E4243" s="5">
        <v>29.3</v>
      </c>
      <c r="F4243" t="s" s="2">
        <v>1989</v>
      </c>
      <c r="G4243" t="s" s="2">
        <v>7876</v>
      </c>
      <c r="H4243" s="5">
        <v>671</v>
      </c>
      <c r="I4243" t="s" s="2">
        <v>378</v>
      </c>
      <c r="J4243" t="s" s="2">
        <v>22</v>
      </c>
      <c r="K4243" t="s" s="2">
        <v>7919</v>
      </c>
      <c r="L4243" t="s" s="2">
        <v>995</v>
      </c>
      <c r="M4243" s="5">
        <v>473371.88</v>
      </c>
      <c r="N4243" s="5">
        <v>6278401.02</v>
      </c>
      <c r="O4243" t="s" s="2">
        <v>305</v>
      </c>
      <c r="P4243" s="5">
        <v>160124</v>
      </c>
      <c r="Q4243" t="s" s="2">
        <v>7878</v>
      </c>
      <c r="R4243" t="s" s="2">
        <f>_xlfn.IFERROR(INDEX('model_byCAP'!$D$2:$D$377,MATCH(Q4243,'model_byCAP'!$A$2:$A$377,0)),0)</f>
        <v>7869</v>
      </c>
    </row>
    <row r="4244" ht="15.35" customHeight="1">
      <c r="A4244" t="s" s="2">
        <v>7921</v>
      </c>
      <c r="B4244" s="4">
        <v>35662</v>
      </c>
      <c r="C4244" s="5">
        <v>300</v>
      </c>
      <c r="D4244" s="5">
        <v>33.4</v>
      </c>
      <c r="E4244" s="5">
        <v>30</v>
      </c>
      <c r="F4244" t="s" s="2">
        <v>1989</v>
      </c>
      <c r="G4244" t="s" s="2">
        <v>7889</v>
      </c>
      <c r="H4244" s="5">
        <v>671</v>
      </c>
      <c r="I4244" t="s" s="2">
        <v>378</v>
      </c>
      <c r="J4244" t="s" s="2">
        <v>22</v>
      </c>
      <c r="K4244" t="s" s="2">
        <v>7916</v>
      </c>
      <c r="L4244" t="s" s="2">
        <v>1717</v>
      </c>
      <c r="M4244" s="5">
        <v>469886.09</v>
      </c>
      <c r="N4244" s="5">
        <v>6278088.09</v>
      </c>
      <c r="O4244" t="s" s="2">
        <v>305</v>
      </c>
      <c r="P4244" s="5">
        <v>160302</v>
      </c>
      <c r="Q4244" t="s" s="2">
        <v>7890</v>
      </c>
      <c r="R4244" t="s" s="2">
        <f>_xlfn.IFERROR(INDEX('model_byCAP'!$D$2:$D$377,MATCH(Q4244,'model_byCAP'!$A$2:$A$377,0)),0)</f>
        <v>7869</v>
      </c>
    </row>
    <row r="4245" ht="15.35" customHeight="1">
      <c r="A4245" t="s" s="2">
        <v>7922</v>
      </c>
      <c r="B4245" s="4">
        <v>35662</v>
      </c>
      <c r="C4245" s="5">
        <v>300</v>
      </c>
      <c r="D4245" s="5">
        <v>33.4</v>
      </c>
      <c r="E4245" s="5">
        <v>30</v>
      </c>
      <c r="F4245" t="s" s="2">
        <v>1989</v>
      </c>
      <c r="G4245" t="s" s="2">
        <v>7889</v>
      </c>
      <c r="H4245" s="5">
        <v>671</v>
      </c>
      <c r="I4245" t="s" s="2">
        <v>378</v>
      </c>
      <c r="J4245" t="s" s="2">
        <v>22</v>
      </c>
      <c r="K4245" t="s" s="2">
        <v>7916</v>
      </c>
      <c r="L4245" t="s" s="2">
        <v>3414</v>
      </c>
      <c r="M4245" s="5">
        <v>469864.05</v>
      </c>
      <c r="N4245" s="5">
        <v>6278240.84</v>
      </c>
      <c r="O4245" t="s" s="2">
        <v>305</v>
      </c>
      <c r="P4245" s="5">
        <v>160304</v>
      </c>
      <c r="Q4245" t="s" s="2">
        <v>7890</v>
      </c>
      <c r="R4245" t="s" s="2">
        <f>_xlfn.IFERROR(INDEX('model_byCAP'!$D$2:$D$377,MATCH(Q4245,'model_byCAP'!$A$2:$A$377,0)),0)</f>
        <v>7869</v>
      </c>
    </row>
    <row r="4246" ht="15.35" customHeight="1">
      <c r="A4246" t="s" s="2">
        <v>7923</v>
      </c>
      <c r="B4246" s="4">
        <v>35662</v>
      </c>
      <c r="C4246" s="5">
        <v>300</v>
      </c>
      <c r="D4246" s="5">
        <v>33.4</v>
      </c>
      <c r="E4246" s="5">
        <v>30</v>
      </c>
      <c r="F4246" t="s" s="2">
        <v>1989</v>
      </c>
      <c r="G4246" t="s" s="2">
        <v>7889</v>
      </c>
      <c r="H4246" s="5">
        <v>671</v>
      </c>
      <c r="I4246" t="s" s="2">
        <v>378</v>
      </c>
      <c r="J4246" t="s" s="2">
        <v>22</v>
      </c>
      <c r="K4246" t="s" s="2">
        <v>7916</v>
      </c>
      <c r="L4246" t="s" s="2">
        <v>1717</v>
      </c>
      <c r="M4246" s="5">
        <v>469797.42</v>
      </c>
      <c r="N4246" s="5">
        <v>6278133.15</v>
      </c>
      <c r="O4246" t="s" s="2">
        <v>305</v>
      </c>
      <c r="P4246" s="5">
        <v>160306</v>
      </c>
      <c r="Q4246" t="s" s="2">
        <v>7890</v>
      </c>
      <c r="R4246" t="s" s="2">
        <f>_xlfn.IFERROR(INDEX('model_byCAP'!$D$2:$D$377,MATCH(Q4246,'model_byCAP'!$A$2:$A$377,0)),0)</f>
        <v>7869</v>
      </c>
    </row>
    <row r="4247" ht="15.35" customHeight="1">
      <c r="A4247" t="s" s="2">
        <v>7924</v>
      </c>
      <c r="B4247" s="4">
        <v>36829</v>
      </c>
      <c r="C4247" s="5">
        <v>300</v>
      </c>
      <c r="D4247" s="5">
        <v>33.4</v>
      </c>
      <c r="E4247" s="5">
        <v>30</v>
      </c>
      <c r="F4247" t="s" s="2">
        <v>1989</v>
      </c>
      <c r="G4247" t="s" s="2">
        <v>7889</v>
      </c>
      <c r="H4247" s="5">
        <v>671</v>
      </c>
      <c r="I4247" t="s" s="2">
        <v>378</v>
      </c>
      <c r="J4247" t="s" s="2">
        <v>22</v>
      </c>
      <c r="K4247" t="s" s="2">
        <v>7916</v>
      </c>
      <c r="L4247" t="s" s="2">
        <v>1717</v>
      </c>
      <c r="M4247" s="5">
        <v>469817.69</v>
      </c>
      <c r="N4247" s="5">
        <v>6277980.94</v>
      </c>
      <c r="O4247" t="s" s="2">
        <v>305</v>
      </c>
      <c r="P4247" s="5">
        <v>160326</v>
      </c>
      <c r="Q4247" t="s" s="2">
        <v>7890</v>
      </c>
      <c r="R4247" t="s" s="2">
        <f>_xlfn.IFERROR(INDEX('model_byCAP'!$D$2:$D$377,MATCH(Q4247,'model_byCAP'!$A$2:$A$377,0)),0)</f>
        <v>7869</v>
      </c>
    </row>
    <row r="4248" ht="15.35" customHeight="1">
      <c r="A4248" t="s" s="2">
        <v>7925</v>
      </c>
      <c r="B4248" s="4">
        <v>34233</v>
      </c>
      <c r="C4248" s="5">
        <v>300</v>
      </c>
      <c r="D4248" s="5">
        <v>31</v>
      </c>
      <c r="E4248" s="5">
        <v>30</v>
      </c>
      <c r="F4248" t="s" s="2">
        <v>1989</v>
      </c>
      <c r="G4248" t="s" s="2">
        <v>7926</v>
      </c>
      <c r="H4248" s="5">
        <v>253</v>
      </c>
      <c r="I4248" t="s" s="2">
        <v>7927</v>
      </c>
      <c r="J4248" t="s" s="2">
        <v>22</v>
      </c>
      <c r="K4248" t="s" s="2">
        <v>7928</v>
      </c>
      <c r="L4248" t="s" s="2">
        <v>4250</v>
      </c>
      <c r="M4248" s="5">
        <v>702315.0699999999</v>
      </c>
      <c r="N4248" s="5">
        <v>6164047.55</v>
      </c>
      <c r="O4248" t="s" s="2">
        <v>305</v>
      </c>
      <c r="P4248" t="s" s="2">
        <v>7929</v>
      </c>
      <c r="Q4248" t="s" s="2">
        <v>7930</v>
      </c>
      <c r="R4248" t="s" s="2">
        <f>_xlfn.IFERROR(INDEX('model_byCAP'!$D$2:$D$377,MATCH(Q4248,'model_byCAP'!$A$2:$A$377,0)),0)</f>
        <v>6188</v>
      </c>
    </row>
    <row r="4249" ht="15.35" customHeight="1">
      <c r="A4249" t="s" s="2">
        <v>7931</v>
      </c>
      <c r="B4249" s="4">
        <v>34233</v>
      </c>
      <c r="C4249" s="5">
        <v>300</v>
      </c>
      <c r="D4249" s="5">
        <v>31</v>
      </c>
      <c r="E4249" s="5">
        <v>30</v>
      </c>
      <c r="F4249" t="s" s="2">
        <v>1989</v>
      </c>
      <c r="G4249" t="s" s="2">
        <v>7926</v>
      </c>
      <c r="H4249" s="5">
        <v>253</v>
      </c>
      <c r="I4249" t="s" s="2">
        <v>7927</v>
      </c>
      <c r="J4249" t="s" s="2">
        <v>22</v>
      </c>
      <c r="K4249" t="s" s="2">
        <v>7928</v>
      </c>
      <c r="L4249" t="s" s="2">
        <v>4250</v>
      </c>
      <c r="M4249" s="5">
        <v>702394.04</v>
      </c>
      <c r="N4249" s="5">
        <v>6163964.61</v>
      </c>
      <c r="O4249" t="s" s="2">
        <v>305</v>
      </c>
      <c r="P4249" t="s" s="2">
        <v>7929</v>
      </c>
      <c r="Q4249" t="s" s="2">
        <v>7930</v>
      </c>
      <c r="R4249" t="s" s="2">
        <f>_xlfn.IFERROR(INDEX('model_byCAP'!$D$2:$D$377,MATCH(Q4249,'model_byCAP'!$A$2:$A$377,0)),0)</f>
        <v>6188</v>
      </c>
    </row>
    <row r="4250" ht="15.35" customHeight="1">
      <c r="A4250" t="s" s="2">
        <v>7932</v>
      </c>
      <c r="B4250" s="4">
        <v>34233</v>
      </c>
      <c r="C4250" s="5">
        <v>300</v>
      </c>
      <c r="D4250" s="5">
        <v>31</v>
      </c>
      <c r="E4250" s="5">
        <v>30</v>
      </c>
      <c r="F4250" t="s" s="2">
        <v>1989</v>
      </c>
      <c r="G4250" t="s" s="2">
        <v>7926</v>
      </c>
      <c r="H4250" s="5">
        <v>253</v>
      </c>
      <c r="I4250" t="s" s="2">
        <v>7927</v>
      </c>
      <c r="J4250" t="s" s="2">
        <v>22</v>
      </c>
      <c r="K4250" t="s" s="2">
        <v>7928</v>
      </c>
      <c r="L4250" t="s" s="2">
        <v>4250</v>
      </c>
      <c r="M4250" s="5">
        <v>702472.14</v>
      </c>
      <c r="N4250" s="5">
        <v>6163883.59</v>
      </c>
      <c r="O4250" t="s" s="2">
        <v>305</v>
      </c>
      <c r="P4250" t="s" s="2">
        <v>7929</v>
      </c>
      <c r="Q4250" t="s" s="2">
        <v>7930</v>
      </c>
      <c r="R4250" t="s" s="2">
        <f>_xlfn.IFERROR(INDEX('model_byCAP'!$D$2:$D$377,MATCH(Q4250,'model_byCAP'!$A$2:$A$377,0)),0)</f>
        <v>6188</v>
      </c>
    </row>
    <row r="4251" ht="15.35" customHeight="1">
      <c r="A4251" t="s" s="2">
        <v>7933</v>
      </c>
      <c r="B4251" s="4">
        <v>34024</v>
      </c>
      <c r="C4251" s="5">
        <v>300</v>
      </c>
      <c r="D4251" s="5">
        <v>31</v>
      </c>
      <c r="E4251" s="5">
        <v>30</v>
      </c>
      <c r="F4251" t="s" s="2">
        <v>42</v>
      </c>
      <c r="G4251" t="s" s="2">
        <v>42</v>
      </c>
      <c r="H4251" s="5">
        <v>787</v>
      </c>
      <c r="I4251" t="s" s="2">
        <v>21</v>
      </c>
      <c r="J4251" t="s" s="2">
        <v>22</v>
      </c>
      <c r="K4251" t="s" s="2">
        <v>7934</v>
      </c>
      <c r="L4251" t="s" s="2">
        <v>2348</v>
      </c>
      <c r="M4251" s="5">
        <v>483397.24</v>
      </c>
      <c r="N4251" s="5">
        <v>6317259.86</v>
      </c>
      <c r="O4251" t="s" s="2">
        <v>305</v>
      </c>
      <c r="P4251" s="5">
        <v>3379002</v>
      </c>
      <c r="Q4251" t="s" s="2">
        <v>43</v>
      </c>
      <c r="R4251" s="5">
        <f>_xlfn.IFERROR(INDEX('model_byCAP'!$D$2:$D$377,MATCH(Q4251,'model_byCAP'!$A$2:$A$377,0)),0)</f>
        <v>0</v>
      </c>
    </row>
    <row r="4252" ht="15.35" customHeight="1">
      <c r="A4252" t="s" s="2">
        <v>7935</v>
      </c>
      <c r="B4252" s="4">
        <v>34024</v>
      </c>
      <c r="C4252" s="5">
        <v>300</v>
      </c>
      <c r="D4252" s="5">
        <v>31</v>
      </c>
      <c r="E4252" s="5">
        <v>30.5</v>
      </c>
      <c r="F4252" t="s" s="2">
        <v>42</v>
      </c>
      <c r="G4252" t="s" s="2">
        <v>42</v>
      </c>
      <c r="H4252" s="5">
        <v>787</v>
      </c>
      <c r="I4252" t="s" s="2">
        <v>21</v>
      </c>
      <c r="J4252" t="s" s="2">
        <v>22</v>
      </c>
      <c r="K4252" t="s" s="2">
        <v>7084</v>
      </c>
      <c r="L4252" t="s" s="2">
        <v>2348</v>
      </c>
      <c r="M4252" s="5">
        <v>483377.38</v>
      </c>
      <c r="N4252" s="5">
        <v>6317171.7</v>
      </c>
      <c r="O4252" t="s" s="2">
        <v>305</v>
      </c>
      <c r="P4252" s="5">
        <v>37900100</v>
      </c>
      <c r="Q4252" t="s" s="2">
        <v>43</v>
      </c>
      <c r="R4252" s="5">
        <f>_xlfn.IFERROR(INDEX('model_byCAP'!$D$2:$D$377,MATCH(Q4252,'model_byCAP'!$A$2:$A$377,0)),0)</f>
        <v>0</v>
      </c>
    </row>
    <row r="4253" ht="15.35" customHeight="1">
      <c r="A4253" t="s" s="2">
        <v>7936</v>
      </c>
      <c r="B4253" s="4">
        <v>34933</v>
      </c>
      <c r="C4253" s="5">
        <v>300</v>
      </c>
      <c r="D4253" s="5">
        <v>31</v>
      </c>
      <c r="E4253" s="5">
        <v>30.5</v>
      </c>
      <c r="F4253" t="s" s="2">
        <v>42</v>
      </c>
      <c r="G4253" t="s" s="2">
        <v>42</v>
      </c>
      <c r="H4253" s="5">
        <v>787</v>
      </c>
      <c r="I4253" t="s" s="2">
        <v>21</v>
      </c>
      <c r="J4253" t="s" s="2">
        <v>22</v>
      </c>
      <c r="K4253" t="s" s="2">
        <v>7937</v>
      </c>
      <c r="L4253" t="s" s="2">
        <v>498</v>
      </c>
      <c r="M4253" s="5">
        <v>483354.66</v>
      </c>
      <c r="N4253" s="5">
        <v>6316092.6</v>
      </c>
      <c r="O4253" t="s" s="2">
        <v>305</v>
      </c>
      <c r="P4253" s="5">
        <v>39600200</v>
      </c>
      <c r="Q4253" t="s" s="2">
        <v>43</v>
      </c>
      <c r="R4253" s="5">
        <f>_xlfn.IFERROR(INDEX('model_byCAP'!$D$2:$D$377,MATCH(Q4253,'model_byCAP'!$A$2:$A$377,0)),0)</f>
        <v>0</v>
      </c>
    </row>
    <row r="4254" ht="15.35" customHeight="1">
      <c r="A4254" t="s" s="2">
        <v>7938</v>
      </c>
      <c r="B4254" s="4">
        <v>34933</v>
      </c>
      <c r="C4254" s="5">
        <v>300</v>
      </c>
      <c r="D4254" s="5">
        <v>31</v>
      </c>
      <c r="E4254" s="5">
        <v>30.5</v>
      </c>
      <c r="F4254" t="s" s="2">
        <v>42</v>
      </c>
      <c r="G4254" t="s" s="2">
        <v>42</v>
      </c>
      <c r="H4254" s="5">
        <v>787</v>
      </c>
      <c r="I4254" t="s" s="2">
        <v>21</v>
      </c>
      <c r="J4254" t="s" s="2">
        <v>22</v>
      </c>
      <c r="K4254" t="s" s="2">
        <v>7939</v>
      </c>
      <c r="L4254" t="s" s="2">
        <v>524</v>
      </c>
      <c r="M4254" s="5">
        <v>483207.05</v>
      </c>
      <c r="N4254" s="5">
        <v>6316122.41</v>
      </c>
      <c r="O4254" t="s" s="2">
        <v>305</v>
      </c>
      <c r="P4254" s="5">
        <v>39600100</v>
      </c>
      <c r="Q4254" t="s" s="2">
        <v>43</v>
      </c>
      <c r="R4254" s="5">
        <f>_xlfn.IFERROR(INDEX('model_byCAP'!$D$2:$D$377,MATCH(Q4254,'model_byCAP'!$A$2:$A$377,0)),0)</f>
        <v>0</v>
      </c>
    </row>
    <row r="4255" ht="15.35" customHeight="1">
      <c r="A4255" t="s" s="2">
        <v>7940</v>
      </c>
      <c r="B4255" s="4">
        <v>35156</v>
      </c>
      <c r="C4255" s="5">
        <v>300</v>
      </c>
      <c r="D4255" s="5">
        <v>31</v>
      </c>
      <c r="E4255" s="5">
        <v>30.5</v>
      </c>
      <c r="F4255" t="s" s="2">
        <v>42</v>
      </c>
      <c r="G4255" t="s" s="2">
        <v>42</v>
      </c>
      <c r="H4255" s="5">
        <v>787</v>
      </c>
      <c r="I4255" t="s" s="2">
        <v>21</v>
      </c>
      <c r="J4255" t="s" s="2">
        <v>22</v>
      </c>
      <c r="K4255" t="s" s="2">
        <v>7939</v>
      </c>
      <c r="L4255" t="s" s="2">
        <v>518</v>
      </c>
      <c r="M4255" s="5">
        <v>483500.92</v>
      </c>
      <c r="N4255" s="5">
        <v>6316062.17</v>
      </c>
      <c r="O4255" t="s" s="2">
        <v>305</v>
      </c>
      <c r="P4255" s="5">
        <v>39600300</v>
      </c>
      <c r="Q4255" t="s" s="2">
        <v>43</v>
      </c>
      <c r="R4255" s="5">
        <f>_xlfn.IFERROR(INDEX('model_byCAP'!$D$2:$D$377,MATCH(Q4255,'model_byCAP'!$A$2:$A$377,0)),0)</f>
        <v>0</v>
      </c>
    </row>
    <row r="4256" ht="15.35" customHeight="1">
      <c r="A4256" t="s" s="2">
        <v>7941</v>
      </c>
      <c r="B4256" s="4">
        <v>34532</v>
      </c>
      <c r="C4256" s="5">
        <v>300</v>
      </c>
      <c r="D4256" s="5">
        <v>31</v>
      </c>
      <c r="E4256" s="5">
        <v>30</v>
      </c>
      <c r="F4256" t="s" s="2">
        <v>1989</v>
      </c>
      <c r="G4256" t="s" s="2">
        <v>7926</v>
      </c>
      <c r="H4256" s="5">
        <v>265</v>
      </c>
      <c r="I4256" t="s" s="2">
        <v>3920</v>
      </c>
      <c r="J4256" t="s" s="2">
        <v>22</v>
      </c>
      <c r="K4256" t="s" s="2">
        <v>7942</v>
      </c>
      <c r="L4256" t="s" s="2">
        <v>492</v>
      </c>
      <c r="M4256" s="5">
        <v>689295.6800000001</v>
      </c>
      <c r="N4256" s="5">
        <v>6168923.22</v>
      </c>
      <c r="O4256" t="s" s="2">
        <v>305</v>
      </c>
      <c r="P4256" t="s" s="2">
        <v>7943</v>
      </c>
      <c r="Q4256" t="s" s="2">
        <v>7930</v>
      </c>
      <c r="R4256" t="s" s="2">
        <f>_xlfn.IFERROR(INDEX('model_byCAP'!$D$2:$D$377,MATCH(Q4256,'model_byCAP'!$A$2:$A$377,0)),0)</f>
        <v>6188</v>
      </c>
    </row>
    <row r="4257" ht="15.35" customHeight="1">
      <c r="A4257" t="s" s="2">
        <v>7944</v>
      </c>
      <c r="B4257" s="4">
        <v>34529</v>
      </c>
      <c r="C4257" s="5">
        <v>300</v>
      </c>
      <c r="D4257" s="5">
        <v>31</v>
      </c>
      <c r="E4257" s="5">
        <v>30</v>
      </c>
      <c r="F4257" t="s" s="2">
        <v>1989</v>
      </c>
      <c r="G4257" t="s" s="2">
        <v>7926</v>
      </c>
      <c r="H4257" s="5">
        <v>265</v>
      </c>
      <c r="I4257" t="s" s="2">
        <v>3920</v>
      </c>
      <c r="J4257" t="s" s="2">
        <v>22</v>
      </c>
      <c r="K4257" t="s" s="2">
        <v>7942</v>
      </c>
      <c r="L4257" t="s" s="2">
        <v>492</v>
      </c>
      <c r="M4257" s="5">
        <v>689269.22</v>
      </c>
      <c r="N4257" s="5">
        <v>6168826.76</v>
      </c>
      <c r="O4257" t="s" s="2">
        <v>305</v>
      </c>
      <c r="P4257" t="s" s="2">
        <v>7943</v>
      </c>
      <c r="Q4257" t="s" s="2">
        <v>7930</v>
      </c>
      <c r="R4257" t="s" s="2">
        <f>_xlfn.IFERROR(INDEX('model_byCAP'!$D$2:$D$377,MATCH(Q4257,'model_byCAP'!$A$2:$A$377,0)),0)</f>
        <v>6188</v>
      </c>
    </row>
    <row r="4258" ht="15.35" customHeight="1">
      <c r="A4258" t="s" s="2">
        <v>7945</v>
      </c>
      <c r="B4258" s="4">
        <v>34529</v>
      </c>
      <c r="C4258" s="5">
        <v>300</v>
      </c>
      <c r="D4258" s="5">
        <v>31</v>
      </c>
      <c r="E4258" s="5">
        <v>30</v>
      </c>
      <c r="F4258" t="s" s="2">
        <v>1989</v>
      </c>
      <c r="G4258" t="s" s="2">
        <v>7926</v>
      </c>
      <c r="H4258" s="5">
        <v>265</v>
      </c>
      <c r="I4258" t="s" s="2">
        <v>3920</v>
      </c>
      <c r="J4258" t="s" s="2">
        <v>22</v>
      </c>
      <c r="K4258" t="s" s="2">
        <v>7942</v>
      </c>
      <c r="L4258" t="s" s="2">
        <v>394</v>
      </c>
      <c r="M4258" s="5">
        <v>689242.76</v>
      </c>
      <c r="N4258" s="5">
        <v>6168730.3</v>
      </c>
      <c r="O4258" t="s" s="2">
        <v>305</v>
      </c>
      <c r="P4258" t="s" s="2">
        <v>7943</v>
      </c>
      <c r="Q4258" t="s" s="2">
        <v>7930</v>
      </c>
      <c r="R4258" t="s" s="2">
        <f>_xlfn.IFERROR(INDEX('model_byCAP'!$D$2:$D$377,MATCH(Q4258,'model_byCAP'!$A$2:$A$377,0)),0)</f>
        <v>6188</v>
      </c>
    </row>
    <row r="4259" ht="15.35" customHeight="1">
      <c r="A4259" t="s" s="2">
        <v>7946</v>
      </c>
      <c r="B4259" s="4">
        <v>35614</v>
      </c>
      <c r="C4259" s="5">
        <v>300</v>
      </c>
      <c r="D4259" s="5">
        <v>31</v>
      </c>
      <c r="E4259" s="5">
        <v>30.5</v>
      </c>
      <c r="F4259" t="s" s="2">
        <v>42</v>
      </c>
      <c r="G4259" t="s" s="2">
        <v>42</v>
      </c>
      <c r="H4259" s="5">
        <v>269</v>
      </c>
      <c r="I4259" t="s" s="2">
        <v>7947</v>
      </c>
      <c r="J4259" t="s" s="2">
        <v>22</v>
      </c>
      <c r="K4259" t="s" s="2">
        <v>7947</v>
      </c>
      <c r="L4259" t="s" s="2">
        <v>1258</v>
      </c>
      <c r="M4259" s="5">
        <v>700290.38</v>
      </c>
      <c r="N4259" s="5">
        <v>6160086.86</v>
      </c>
      <c r="O4259" t="s" s="2">
        <v>305</v>
      </c>
      <c r="P4259" s="5">
        <v>184997</v>
      </c>
      <c r="Q4259" t="s" s="2">
        <v>43</v>
      </c>
      <c r="R4259" s="5">
        <f>_xlfn.IFERROR(INDEX('model_byCAP'!$D$2:$D$377,MATCH(Q4259,'model_byCAP'!$A$2:$A$377,0)),0)</f>
        <v>0</v>
      </c>
    </row>
    <row r="4260" ht="15.35" customHeight="1">
      <c r="A4260" t="s" s="2">
        <v>7948</v>
      </c>
      <c r="B4260" s="4">
        <v>35612</v>
      </c>
      <c r="C4260" s="5">
        <v>300</v>
      </c>
      <c r="D4260" s="5">
        <v>31</v>
      </c>
      <c r="E4260" s="5">
        <v>30.5</v>
      </c>
      <c r="F4260" t="s" s="2">
        <v>42</v>
      </c>
      <c r="G4260" t="s" s="2">
        <v>42</v>
      </c>
      <c r="H4260" s="5">
        <v>269</v>
      </c>
      <c r="I4260" t="s" s="2">
        <v>7947</v>
      </c>
      <c r="J4260" t="s" s="2">
        <v>22</v>
      </c>
      <c r="K4260" t="s" s="2">
        <v>7947</v>
      </c>
      <c r="L4260" t="s" s="2">
        <v>850</v>
      </c>
      <c r="M4260" s="5">
        <v>700481.1800000001</v>
      </c>
      <c r="N4260" s="5">
        <v>6160116.32</v>
      </c>
      <c r="O4260" t="s" s="2">
        <v>305</v>
      </c>
      <c r="P4260" s="5">
        <v>184998</v>
      </c>
      <c r="Q4260" t="s" s="2">
        <v>43</v>
      </c>
      <c r="R4260" s="5">
        <f>_xlfn.IFERROR(INDEX('model_byCAP'!$D$2:$D$377,MATCH(Q4260,'model_byCAP'!$A$2:$A$377,0)),0)</f>
        <v>0</v>
      </c>
    </row>
    <row r="4261" ht="15.35" customHeight="1">
      <c r="A4261" t="s" s="2">
        <v>7949</v>
      </c>
      <c r="B4261" s="4">
        <v>34653</v>
      </c>
      <c r="C4261" s="5">
        <v>300</v>
      </c>
      <c r="D4261" s="5">
        <v>31</v>
      </c>
      <c r="E4261" s="5">
        <v>32</v>
      </c>
      <c r="F4261" t="s" s="2">
        <v>42</v>
      </c>
      <c r="G4261" t="s" s="2">
        <v>42</v>
      </c>
      <c r="H4261" s="5">
        <v>787</v>
      </c>
      <c r="I4261" t="s" s="2">
        <v>21</v>
      </c>
      <c r="J4261" t="s" s="2">
        <v>22</v>
      </c>
      <c r="K4261" t="s" s="2">
        <v>7950</v>
      </c>
      <c r="L4261" t="s" s="2">
        <v>869</v>
      </c>
      <c r="M4261" s="5">
        <v>473593.83</v>
      </c>
      <c r="N4261" s="5">
        <v>6307994.61</v>
      </c>
      <c r="O4261" t="s" s="2">
        <v>305</v>
      </c>
      <c r="P4261" s="5">
        <v>160170</v>
      </c>
      <c r="Q4261" t="s" s="2">
        <v>43</v>
      </c>
      <c r="R4261" s="5">
        <f>_xlfn.IFERROR(INDEX('model_byCAP'!$D$2:$D$377,MATCH(Q4261,'model_byCAP'!$A$2:$A$377,0)),0)</f>
        <v>0</v>
      </c>
    </row>
    <row r="4262" ht="15.35" customHeight="1">
      <c r="A4262" t="s" s="2">
        <v>7951</v>
      </c>
      <c r="B4262" s="4">
        <v>34752</v>
      </c>
      <c r="C4262" s="5">
        <v>300</v>
      </c>
      <c r="D4262" s="5">
        <v>31</v>
      </c>
      <c r="E4262" s="5">
        <v>30</v>
      </c>
      <c r="F4262" t="s" s="2">
        <v>1989</v>
      </c>
      <c r="G4262" t="s" s="2">
        <v>7876</v>
      </c>
      <c r="H4262" s="5">
        <v>787</v>
      </c>
      <c r="I4262" t="s" s="2">
        <v>21</v>
      </c>
      <c r="J4262" t="s" s="2">
        <v>22</v>
      </c>
      <c r="K4262" t="s" s="2">
        <v>7952</v>
      </c>
      <c r="L4262" t="s" s="2">
        <v>3375</v>
      </c>
      <c r="M4262" s="5">
        <v>460704.26</v>
      </c>
      <c r="N4262" s="5">
        <v>6296984.57</v>
      </c>
      <c r="O4262" t="s" s="2">
        <v>305</v>
      </c>
      <c r="P4262" s="5">
        <v>160177</v>
      </c>
      <c r="Q4262" t="s" s="2">
        <v>7878</v>
      </c>
      <c r="R4262" t="s" s="2">
        <f>_xlfn.IFERROR(INDEX('model_byCAP'!$D$2:$D$377,MATCH(Q4262,'model_byCAP'!$A$2:$A$377,0)),0)</f>
        <v>7869</v>
      </c>
    </row>
    <row r="4263" ht="15.35" customHeight="1">
      <c r="A4263" t="s" s="2">
        <v>7953</v>
      </c>
      <c r="B4263" s="4">
        <v>34827</v>
      </c>
      <c r="C4263" s="5">
        <v>300</v>
      </c>
      <c r="D4263" s="5">
        <v>31</v>
      </c>
      <c r="E4263" s="5">
        <v>30</v>
      </c>
      <c r="F4263" t="s" s="2">
        <v>1989</v>
      </c>
      <c r="G4263" t="s" s="2">
        <v>7876</v>
      </c>
      <c r="H4263" s="5">
        <v>787</v>
      </c>
      <c r="I4263" t="s" s="2">
        <v>21</v>
      </c>
      <c r="J4263" t="s" s="2">
        <v>22</v>
      </c>
      <c r="K4263" t="s" s="2">
        <v>7644</v>
      </c>
      <c r="L4263" t="s" s="2">
        <v>1611</v>
      </c>
      <c r="M4263" s="5">
        <v>475772.96</v>
      </c>
      <c r="N4263" s="5">
        <v>6304840.54</v>
      </c>
      <c r="O4263" t="s" s="2">
        <v>305</v>
      </c>
      <c r="P4263" s="5">
        <v>160192</v>
      </c>
      <c r="Q4263" t="s" s="2">
        <v>7878</v>
      </c>
      <c r="R4263" t="s" s="2">
        <f>_xlfn.IFERROR(INDEX('model_byCAP'!$D$2:$D$377,MATCH(Q4263,'model_byCAP'!$A$2:$A$377,0)),0)</f>
        <v>7869</v>
      </c>
    </row>
    <row r="4264" ht="15.35" customHeight="1">
      <c r="A4264" t="s" s="2">
        <v>7954</v>
      </c>
      <c r="B4264" s="4">
        <v>35769</v>
      </c>
      <c r="C4264" s="5">
        <v>300</v>
      </c>
      <c r="D4264" s="5">
        <v>33.4</v>
      </c>
      <c r="E4264" s="5">
        <v>30</v>
      </c>
      <c r="F4264" t="s" s="2">
        <v>1989</v>
      </c>
      <c r="G4264" t="s" s="2">
        <v>7915</v>
      </c>
      <c r="H4264" s="5">
        <v>787</v>
      </c>
      <c r="I4264" t="s" s="2">
        <v>21</v>
      </c>
      <c r="J4264" t="s" s="2">
        <v>22</v>
      </c>
      <c r="K4264" t="s" s="2">
        <v>4921</v>
      </c>
      <c r="L4264" t="s" s="2">
        <v>2078</v>
      </c>
      <c r="M4264" s="5">
        <v>464441.38</v>
      </c>
      <c r="N4264" s="5">
        <v>6299141.12</v>
      </c>
      <c r="O4264" t="s" s="2">
        <v>305</v>
      </c>
      <c r="P4264" s="5">
        <v>160308</v>
      </c>
      <c r="Q4264" t="s" s="2">
        <v>7917</v>
      </c>
      <c r="R4264" t="s" s="2">
        <f>_xlfn.IFERROR(INDEX('model_byCAP'!$D$2:$D$377,MATCH(Q4264,'model_byCAP'!$A$2:$A$377,0)),0)</f>
        <v>7869</v>
      </c>
    </row>
    <row r="4265" ht="15.35" customHeight="1">
      <c r="A4265" t="s" s="2">
        <v>7955</v>
      </c>
      <c r="B4265" s="4">
        <v>35962</v>
      </c>
      <c r="C4265" s="5">
        <v>300</v>
      </c>
      <c r="D4265" s="5">
        <v>31</v>
      </c>
      <c r="E4265" s="5">
        <v>31</v>
      </c>
      <c r="F4265" t="s" s="2">
        <v>42</v>
      </c>
      <c r="G4265" t="s" s="2">
        <v>42</v>
      </c>
      <c r="H4265" s="5">
        <v>820</v>
      </c>
      <c r="I4265" t="s" s="2">
        <v>388</v>
      </c>
      <c r="J4265" t="s" s="2">
        <v>22</v>
      </c>
      <c r="K4265" t="s" s="2">
        <v>7956</v>
      </c>
      <c r="L4265" s="5">
        <v>13</v>
      </c>
      <c r="M4265" s="5">
        <v>521940.61</v>
      </c>
      <c r="N4265" s="5">
        <v>6314279.27</v>
      </c>
      <c r="O4265" t="s" s="2">
        <v>305</v>
      </c>
      <c r="P4265" s="5">
        <v>386</v>
      </c>
      <c r="Q4265" t="s" s="2">
        <v>43</v>
      </c>
      <c r="R4265" s="5">
        <f>_xlfn.IFERROR(INDEX('model_byCAP'!$D$2:$D$377,MATCH(Q4265,'model_byCAP'!$A$2:$A$377,0)),0)</f>
        <v>0</v>
      </c>
    </row>
    <row r="4266" ht="15.35" customHeight="1">
      <c r="A4266" t="s" s="2">
        <v>7957</v>
      </c>
      <c r="B4266" s="4">
        <v>35962</v>
      </c>
      <c r="C4266" s="5">
        <v>300</v>
      </c>
      <c r="D4266" s="5">
        <v>35</v>
      </c>
      <c r="E4266" s="5">
        <v>31</v>
      </c>
      <c r="F4266" t="s" s="2">
        <v>42</v>
      </c>
      <c r="G4266" t="s" s="2">
        <v>42</v>
      </c>
      <c r="H4266" s="5">
        <v>820</v>
      </c>
      <c r="I4266" t="s" s="2">
        <v>388</v>
      </c>
      <c r="J4266" t="s" s="2">
        <v>22</v>
      </c>
      <c r="K4266" t="s" s="2">
        <v>7956</v>
      </c>
      <c r="L4266" s="5">
        <v>13</v>
      </c>
      <c r="M4266" s="5">
        <v>521884.89</v>
      </c>
      <c r="N4266" s="5">
        <v>6314401.36</v>
      </c>
      <c r="O4266" t="s" s="2">
        <v>305</v>
      </c>
      <c r="P4266" s="5">
        <v>387</v>
      </c>
      <c r="Q4266" t="s" s="2">
        <v>43</v>
      </c>
      <c r="R4266" s="5">
        <f>_xlfn.IFERROR(INDEX('model_byCAP'!$D$2:$D$377,MATCH(Q4266,'model_byCAP'!$A$2:$A$377,0)),0)</f>
        <v>0</v>
      </c>
    </row>
    <row r="4267" ht="15.35" customHeight="1">
      <c r="A4267" t="s" s="2">
        <v>7958</v>
      </c>
      <c r="B4267" s="4">
        <v>33430</v>
      </c>
      <c r="C4267" s="5">
        <v>300</v>
      </c>
      <c r="D4267" s="5">
        <v>31</v>
      </c>
      <c r="E4267" s="5">
        <v>31</v>
      </c>
      <c r="F4267" t="s" s="2">
        <v>42</v>
      </c>
      <c r="G4267" t="s" s="2">
        <v>42</v>
      </c>
      <c r="H4267" s="5">
        <v>849</v>
      </c>
      <c r="I4267" t="s" s="2">
        <v>411</v>
      </c>
      <c r="J4267" t="s" s="2">
        <v>22</v>
      </c>
      <c r="K4267" t="s" s="2">
        <v>7959</v>
      </c>
      <c r="L4267" t="s" s="2">
        <v>7960</v>
      </c>
      <c r="M4267" s="5">
        <v>538722.67</v>
      </c>
      <c r="N4267" s="5">
        <v>6330837.64</v>
      </c>
      <c r="O4267" t="s" s="2">
        <v>305</v>
      </c>
      <c r="P4267" s="5">
        <v>2372023</v>
      </c>
      <c r="Q4267" t="s" s="2">
        <v>43</v>
      </c>
      <c r="R4267" s="5">
        <f>_xlfn.IFERROR(INDEX('model_byCAP'!$D$2:$D$377,MATCH(Q4267,'model_byCAP'!$A$2:$A$377,0)),0)</f>
        <v>0</v>
      </c>
    </row>
    <row r="4268" ht="15.35" customHeight="1">
      <c r="A4268" t="s" s="2">
        <v>7961</v>
      </c>
      <c r="B4268" s="4">
        <v>33423</v>
      </c>
      <c r="C4268" s="5">
        <v>300</v>
      </c>
      <c r="D4268" s="5">
        <v>31</v>
      </c>
      <c r="E4268" s="5">
        <v>31</v>
      </c>
      <c r="F4268" t="s" s="2">
        <v>42</v>
      </c>
      <c r="G4268" t="s" s="2">
        <v>42</v>
      </c>
      <c r="H4268" s="5">
        <v>849</v>
      </c>
      <c r="I4268" t="s" s="2">
        <v>411</v>
      </c>
      <c r="J4268" t="s" s="2">
        <v>22</v>
      </c>
      <c r="K4268" t="s" s="2">
        <v>7959</v>
      </c>
      <c r="L4268" t="s" s="2">
        <v>7962</v>
      </c>
      <c r="M4268" s="5">
        <v>538354.09</v>
      </c>
      <c r="N4268" s="5">
        <v>6330369.07</v>
      </c>
      <c r="O4268" t="s" s="2">
        <v>305</v>
      </c>
      <c r="P4268" s="5">
        <v>2372024</v>
      </c>
      <c r="Q4268" t="s" s="2">
        <v>43</v>
      </c>
      <c r="R4268" s="5">
        <f>_xlfn.IFERROR(INDEX('model_byCAP'!$D$2:$D$377,MATCH(Q4268,'model_byCAP'!$A$2:$A$377,0)),0)</f>
        <v>0</v>
      </c>
    </row>
    <row r="4269" ht="15.35" customHeight="1">
      <c r="A4269" t="s" s="2">
        <v>7963</v>
      </c>
      <c r="B4269" s="4">
        <v>33896</v>
      </c>
      <c r="C4269" s="5">
        <v>300</v>
      </c>
      <c r="D4269" s="5">
        <v>31</v>
      </c>
      <c r="E4269" s="5">
        <v>29.3</v>
      </c>
      <c r="F4269" t="s" s="2">
        <v>42</v>
      </c>
      <c r="G4269" t="s" s="2">
        <v>42</v>
      </c>
      <c r="H4269" s="5">
        <v>851</v>
      </c>
      <c r="I4269" t="s" s="2">
        <v>1139</v>
      </c>
      <c r="J4269" t="s" s="2">
        <v>22</v>
      </c>
      <c r="K4269" t="s" s="2">
        <v>7964</v>
      </c>
      <c r="L4269" s="5">
        <v>36</v>
      </c>
      <c r="M4269" s="5">
        <v>573605.71</v>
      </c>
      <c r="N4269" s="5">
        <v>6320798.52</v>
      </c>
      <c r="O4269" t="s" s="2">
        <v>305</v>
      </c>
      <c r="P4269" t="s" s="2">
        <v>7965</v>
      </c>
      <c r="Q4269" t="s" s="2">
        <v>43</v>
      </c>
      <c r="R4269" s="5">
        <f>_xlfn.IFERROR(INDEX('model_byCAP'!$D$2:$D$377,MATCH(Q4269,'model_byCAP'!$A$2:$A$377,0)),0)</f>
        <v>0</v>
      </c>
    </row>
    <row r="4270" ht="15.35" customHeight="1">
      <c r="A4270" t="s" s="2">
        <v>7966</v>
      </c>
      <c r="B4270" s="4">
        <v>34296</v>
      </c>
      <c r="C4270" s="5">
        <v>300</v>
      </c>
      <c r="D4270" s="5">
        <v>31</v>
      </c>
      <c r="E4270" s="5">
        <v>29.3</v>
      </c>
      <c r="F4270" t="s" s="2">
        <v>42</v>
      </c>
      <c r="G4270" t="s" s="2">
        <v>42</v>
      </c>
      <c r="H4270" s="5">
        <v>851</v>
      </c>
      <c r="I4270" t="s" s="2">
        <v>1139</v>
      </c>
      <c r="J4270" t="s" s="2">
        <v>22</v>
      </c>
      <c r="K4270" t="s" s="2">
        <v>7964</v>
      </c>
      <c r="L4270" s="5">
        <v>36</v>
      </c>
      <c r="M4270" s="5">
        <v>573708.86</v>
      </c>
      <c r="N4270" s="5">
        <v>6320690.01</v>
      </c>
      <c r="O4270" t="s" s="2">
        <v>305</v>
      </c>
      <c r="P4270" t="s" s="2">
        <v>7967</v>
      </c>
      <c r="Q4270" t="s" s="2">
        <v>43</v>
      </c>
      <c r="R4270" s="5">
        <f>_xlfn.IFERROR(INDEX('model_byCAP'!$D$2:$D$377,MATCH(Q4270,'model_byCAP'!$A$2:$A$377,0)),0)</f>
        <v>0</v>
      </c>
    </row>
    <row r="4271" ht="15.35" customHeight="1">
      <c r="A4271" t="s" s="2">
        <v>7968</v>
      </c>
      <c r="B4271" s="4">
        <v>32251</v>
      </c>
      <c r="C4271" s="5">
        <v>270</v>
      </c>
      <c r="D4271" s="5">
        <v>0.1</v>
      </c>
      <c r="E4271" s="5">
        <v>31</v>
      </c>
      <c r="F4271" t="s" s="2">
        <v>42</v>
      </c>
      <c r="G4271" t="s" s="2">
        <v>42</v>
      </c>
      <c r="H4271" s="5">
        <v>810</v>
      </c>
      <c r="I4271" t="s" s="2">
        <v>1102</v>
      </c>
      <c r="J4271" t="s" s="2">
        <v>22</v>
      </c>
      <c r="K4271" t="s" s="2">
        <v>7969</v>
      </c>
      <c r="L4271" t="s" s="2">
        <v>481</v>
      </c>
      <c r="M4271" s="5">
        <v>567036.4399999999</v>
      </c>
      <c r="N4271" s="5">
        <v>6348508.12</v>
      </c>
      <c r="O4271" t="s" s="2">
        <v>305</v>
      </c>
      <c r="P4271" s="5">
        <v>21</v>
      </c>
      <c r="Q4271" t="s" s="2">
        <v>43</v>
      </c>
      <c r="R4271" s="5">
        <f>_xlfn.IFERROR(INDEX('model_byCAP'!$D$2:$D$377,MATCH(Q4271,'model_byCAP'!$A$2:$A$377,0)),0)</f>
        <v>0</v>
      </c>
    </row>
    <row r="4272" ht="15.35" customHeight="1">
      <c r="A4272" t="s" s="2">
        <v>7970</v>
      </c>
      <c r="B4272" s="4">
        <v>34547</v>
      </c>
      <c r="C4272" s="5">
        <v>250</v>
      </c>
      <c r="D4272" s="5">
        <v>31</v>
      </c>
      <c r="E4272" s="5">
        <v>31</v>
      </c>
      <c r="F4272" t="s" s="2">
        <v>3604</v>
      </c>
      <c r="G4272" t="s" s="2">
        <v>7971</v>
      </c>
      <c r="H4272" s="5">
        <v>330</v>
      </c>
      <c r="I4272" t="s" s="2">
        <v>1491</v>
      </c>
      <c r="J4272" t="s" s="2">
        <v>22</v>
      </c>
      <c r="K4272" t="s" s="2">
        <v>1992</v>
      </c>
      <c r="L4272" t="s" s="2">
        <v>3393</v>
      </c>
      <c r="M4272" s="5">
        <v>650216.02</v>
      </c>
      <c r="N4272" s="5">
        <v>6123511.39</v>
      </c>
      <c r="O4272" t="s" s="2">
        <v>305</v>
      </c>
      <c r="P4272" t="s" s="2">
        <v>42</v>
      </c>
      <c r="Q4272" t="s" s="2">
        <v>7972</v>
      </c>
      <c r="R4272" t="s" s="2">
        <f>_xlfn.IFERROR(INDEX('model_byCAP'!$D$2:$D$377,MATCH(Q4272,'model_byCAP'!$A$2:$A$377,0)),0)</f>
        <v>4115</v>
      </c>
    </row>
    <row r="4273" ht="15.35" customHeight="1">
      <c r="A4273" t="s" s="2">
        <v>7973</v>
      </c>
      <c r="B4273" s="4">
        <v>32843</v>
      </c>
      <c r="C4273" s="5">
        <v>250</v>
      </c>
      <c r="D4273" s="5">
        <v>26</v>
      </c>
      <c r="E4273" s="5">
        <v>30</v>
      </c>
      <c r="F4273" t="s" s="2">
        <v>3604</v>
      </c>
      <c r="G4273" t="s" s="2">
        <v>7974</v>
      </c>
      <c r="H4273" s="5">
        <v>330</v>
      </c>
      <c r="I4273" t="s" s="2">
        <v>1491</v>
      </c>
      <c r="J4273" t="s" s="2">
        <v>22</v>
      </c>
      <c r="K4273" t="s" s="2">
        <v>7975</v>
      </c>
      <c r="L4273" t="s" s="2">
        <v>3393</v>
      </c>
      <c r="M4273" s="5">
        <v>650491.8199999999</v>
      </c>
      <c r="N4273" s="5">
        <v>6123479.49</v>
      </c>
      <c r="O4273" t="s" s="2">
        <v>305</v>
      </c>
      <c r="P4273" s="5">
        <v>174056</v>
      </c>
      <c r="Q4273" t="s" s="2">
        <v>7976</v>
      </c>
      <c r="R4273" t="s" s="2">
        <f>_xlfn.IFERROR(INDEX('model_byCAP'!$D$2:$D$377,MATCH(Q4273,'model_byCAP'!$A$2:$A$377,0)),0)</f>
        <v>4115</v>
      </c>
    </row>
    <row r="4274" ht="15.35" customHeight="1">
      <c r="A4274" t="s" s="2">
        <v>7977</v>
      </c>
      <c r="B4274" s="4">
        <v>32783</v>
      </c>
      <c r="C4274" s="5">
        <v>250</v>
      </c>
      <c r="D4274" s="5">
        <v>26</v>
      </c>
      <c r="E4274" s="5">
        <v>31.5</v>
      </c>
      <c r="F4274" t="s" s="2">
        <v>7978</v>
      </c>
      <c r="G4274" t="s" s="2">
        <v>7979</v>
      </c>
      <c r="H4274" s="5">
        <v>370</v>
      </c>
      <c r="I4274" t="s" s="2">
        <v>520</v>
      </c>
      <c r="J4274" t="s" s="2">
        <v>22</v>
      </c>
      <c r="K4274" t="s" s="2">
        <v>4226</v>
      </c>
      <c r="L4274" t="s" s="2">
        <v>1611</v>
      </c>
      <c r="M4274" s="5">
        <v>664383.54</v>
      </c>
      <c r="N4274" s="5">
        <v>6119156.88</v>
      </c>
      <c r="O4274" t="s" s="2">
        <v>305</v>
      </c>
      <c r="P4274" s="5">
        <v>164192</v>
      </c>
      <c r="Q4274" t="s" s="2">
        <v>7980</v>
      </c>
      <c r="R4274" t="s" s="2">
        <f>_xlfn.IFERROR(INDEX('model_byCAP'!$D$2:$D$377,MATCH(Q4274,'model_byCAP'!$A$2:$A$377,0)),0)</f>
        <v>7981</v>
      </c>
    </row>
    <row r="4275" ht="15.35" customHeight="1">
      <c r="A4275" t="s" s="2">
        <v>7982</v>
      </c>
      <c r="B4275" s="4">
        <v>32321</v>
      </c>
      <c r="C4275" s="5">
        <v>250</v>
      </c>
      <c r="D4275" s="5">
        <v>26</v>
      </c>
      <c r="E4275" s="5">
        <v>31.5</v>
      </c>
      <c r="F4275" t="s" s="2">
        <v>7978</v>
      </c>
      <c r="G4275" t="s" s="2">
        <v>7979</v>
      </c>
      <c r="H4275" s="5">
        <v>370</v>
      </c>
      <c r="I4275" t="s" s="2">
        <v>520</v>
      </c>
      <c r="J4275" t="s" s="2">
        <v>22</v>
      </c>
      <c r="K4275" t="s" s="2">
        <v>4226</v>
      </c>
      <c r="L4275" t="s" s="2">
        <v>1611</v>
      </c>
      <c r="M4275" s="5">
        <v>664503.5600000001</v>
      </c>
      <c r="N4275" s="5">
        <v>6119122.19</v>
      </c>
      <c r="O4275" t="s" s="2">
        <v>305</v>
      </c>
      <c r="P4275" s="5">
        <v>164192</v>
      </c>
      <c r="Q4275" t="s" s="2">
        <v>7980</v>
      </c>
      <c r="R4275" t="s" s="2">
        <f>_xlfn.IFERROR(INDEX('model_byCAP'!$D$2:$D$377,MATCH(Q4275,'model_byCAP'!$A$2:$A$377,0)),0)</f>
        <v>7981</v>
      </c>
    </row>
    <row r="4276" ht="15.35" customHeight="1">
      <c r="A4276" t="s" s="2">
        <v>7983</v>
      </c>
      <c r="B4276" s="4">
        <v>32321</v>
      </c>
      <c r="C4276" s="5">
        <v>250</v>
      </c>
      <c r="D4276" s="5">
        <v>26</v>
      </c>
      <c r="E4276" s="5">
        <v>31.5</v>
      </c>
      <c r="F4276" t="s" s="2">
        <v>7978</v>
      </c>
      <c r="G4276" t="s" s="2">
        <v>7979</v>
      </c>
      <c r="H4276" s="5">
        <v>370</v>
      </c>
      <c r="I4276" t="s" s="2">
        <v>520</v>
      </c>
      <c r="J4276" t="s" s="2">
        <v>22</v>
      </c>
      <c r="K4276" t="s" s="2">
        <v>4226</v>
      </c>
      <c r="L4276" t="s" s="2">
        <v>1611</v>
      </c>
      <c r="M4276" s="5">
        <v>664623.66</v>
      </c>
      <c r="N4276" s="5">
        <v>6119087.23</v>
      </c>
      <c r="O4276" t="s" s="2">
        <v>305</v>
      </c>
      <c r="P4276" s="5">
        <v>164193</v>
      </c>
      <c r="Q4276" t="s" s="2">
        <v>7980</v>
      </c>
      <c r="R4276" t="s" s="2">
        <f>_xlfn.IFERROR(INDEX('model_byCAP'!$D$2:$D$377,MATCH(Q4276,'model_byCAP'!$A$2:$A$377,0)),0)</f>
        <v>7981</v>
      </c>
    </row>
    <row r="4277" ht="15.35" customHeight="1">
      <c r="A4277" t="s" s="2">
        <v>7984</v>
      </c>
      <c r="B4277" s="4">
        <v>32321</v>
      </c>
      <c r="C4277" s="5">
        <v>250</v>
      </c>
      <c r="D4277" s="5">
        <v>26</v>
      </c>
      <c r="E4277" s="5">
        <v>31.5</v>
      </c>
      <c r="F4277" t="s" s="2">
        <v>7978</v>
      </c>
      <c r="G4277" t="s" s="2">
        <v>7979</v>
      </c>
      <c r="H4277" s="5">
        <v>370</v>
      </c>
      <c r="I4277" t="s" s="2">
        <v>520</v>
      </c>
      <c r="J4277" t="s" s="2">
        <v>22</v>
      </c>
      <c r="K4277" t="s" s="2">
        <v>4226</v>
      </c>
      <c r="L4277" t="s" s="2">
        <v>1611</v>
      </c>
      <c r="M4277" s="5">
        <v>664744.21</v>
      </c>
      <c r="N4277" s="5">
        <v>6119053.49</v>
      </c>
      <c r="O4277" t="s" s="2">
        <v>305</v>
      </c>
      <c r="P4277" s="5">
        <v>164193</v>
      </c>
      <c r="Q4277" t="s" s="2">
        <v>7980</v>
      </c>
      <c r="R4277" t="s" s="2">
        <f>_xlfn.IFERROR(INDEX('model_byCAP'!$D$2:$D$377,MATCH(Q4277,'model_byCAP'!$A$2:$A$377,0)),0)</f>
        <v>7981</v>
      </c>
    </row>
    <row r="4278" ht="15.35" customHeight="1">
      <c r="A4278" t="s" s="2">
        <v>7985</v>
      </c>
      <c r="B4278" s="4">
        <v>33133</v>
      </c>
      <c r="C4278" s="5">
        <v>250</v>
      </c>
      <c r="D4278" s="5">
        <v>26</v>
      </c>
      <c r="E4278" s="5">
        <v>30</v>
      </c>
      <c r="F4278" t="s" s="2">
        <v>1746</v>
      </c>
      <c r="G4278" t="s" s="2">
        <v>7986</v>
      </c>
      <c r="H4278" s="5">
        <v>540</v>
      </c>
      <c r="I4278" t="s" s="2">
        <v>2092</v>
      </c>
      <c r="J4278" t="s" s="2">
        <v>22</v>
      </c>
      <c r="K4278" t="s" s="2">
        <v>7987</v>
      </c>
      <c r="L4278" s="5">
        <v>10</v>
      </c>
      <c r="M4278" s="5">
        <v>551334.86</v>
      </c>
      <c r="N4278" s="5">
        <v>6093237.84</v>
      </c>
      <c r="O4278" t="s" s="2">
        <v>305</v>
      </c>
      <c r="P4278" s="5">
        <v>200223</v>
      </c>
      <c r="Q4278" t="s" s="2">
        <v>7988</v>
      </c>
      <c r="R4278" t="s" s="2">
        <f>_xlfn.IFERROR(INDEX('model_byCAP'!$D$2:$D$377,MATCH(Q4278,'model_byCAP'!$A$2:$A$377,0)),0)</f>
        <v>4115</v>
      </c>
    </row>
    <row r="4279" ht="15.35" customHeight="1">
      <c r="A4279" t="s" s="2">
        <v>7989</v>
      </c>
      <c r="B4279" s="4">
        <v>33163</v>
      </c>
      <c r="C4279" s="5">
        <v>250</v>
      </c>
      <c r="D4279" s="5">
        <v>26</v>
      </c>
      <c r="E4279" s="5">
        <v>30</v>
      </c>
      <c r="F4279" t="s" s="2">
        <v>1746</v>
      </c>
      <c r="G4279" t="s" s="2">
        <v>7986</v>
      </c>
      <c r="H4279" s="5">
        <v>540</v>
      </c>
      <c r="I4279" t="s" s="2">
        <v>2092</v>
      </c>
      <c r="J4279" t="s" s="2">
        <v>22</v>
      </c>
      <c r="K4279" t="s" s="2">
        <v>7987</v>
      </c>
      <c r="L4279" s="5">
        <v>10</v>
      </c>
      <c r="M4279" s="5">
        <v>551605.4</v>
      </c>
      <c r="N4279" s="5">
        <v>6093232.74</v>
      </c>
      <c r="O4279" t="s" s="2">
        <v>305</v>
      </c>
      <c r="P4279" s="5">
        <v>200223</v>
      </c>
      <c r="Q4279" t="s" s="2">
        <v>7988</v>
      </c>
      <c r="R4279" t="s" s="2">
        <f>_xlfn.IFERROR(INDEX('model_byCAP'!$D$2:$D$377,MATCH(Q4279,'model_byCAP'!$A$2:$A$377,0)),0)</f>
        <v>4115</v>
      </c>
    </row>
    <row r="4280" ht="15.35" customHeight="1">
      <c r="A4280" t="s" s="2">
        <v>7990</v>
      </c>
      <c r="B4280" s="4">
        <v>32559</v>
      </c>
      <c r="C4280" s="5">
        <v>250</v>
      </c>
      <c r="D4280" s="5">
        <v>24</v>
      </c>
      <c r="E4280" s="5">
        <v>30</v>
      </c>
      <c r="F4280" t="s" s="2">
        <v>1746</v>
      </c>
      <c r="G4280" t="s" s="2">
        <v>7991</v>
      </c>
      <c r="H4280" s="5">
        <v>550</v>
      </c>
      <c r="I4280" t="s" s="2">
        <v>526</v>
      </c>
      <c r="J4280" t="s" s="2">
        <v>22</v>
      </c>
      <c r="K4280" t="s" s="2">
        <v>3101</v>
      </c>
      <c r="L4280" s="5">
        <v>4</v>
      </c>
      <c r="M4280" s="5">
        <v>497431.17</v>
      </c>
      <c r="N4280" s="5">
        <v>6110805.07</v>
      </c>
      <c r="O4280" t="s" s="2">
        <v>305</v>
      </c>
      <c r="P4280" s="5">
        <v>21375</v>
      </c>
      <c r="Q4280" t="s" s="2">
        <v>7992</v>
      </c>
      <c r="R4280" t="s" s="2">
        <f>_xlfn.IFERROR(INDEX('model_byCAP'!$D$2:$D$377,MATCH(Q4280,'model_byCAP'!$A$2:$A$377,0)),0)</f>
        <v>4042</v>
      </c>
    </row>
    <row r="4281" ht="15.35" customHeight="1">
      <c r="A4281" t="s" s="2">
        <v>7993</v>
      </c>
      <c r="B4281" s="4">
        <v>32819</v>
      </c>
      <c r="C4281" s="5">
        <v>250</v>
      </c>
      <c r="D4281" s="5">
        <v>27</v>
      </c>
      <c r="E4281" s="5">
        <v>40</v>
      </c>
      <c r="F4281" t="s" s="2">
        <v>2328</v>
      </c>
      <c r="G4281" t="s" s="2">
        <v>7994</v>
      </c>
      <c r="H4281" s="5">
        <v>550</v>
      </c>
      <c r="I4281" t="s" s="2">
        <v>526</v>
      </c>
      <c r="J4281" t="s" s="2">
        <v>22</v>
      </c>
      <c r="K4281" t="s" s="2">
        <v>6458</v>
      </c>
      <c r="L4281" s="5">
        <v>216</v>
      </c>
      <c r="M4281" s="5">
        <v>502924.08</v>
      </c>
      <c r="N4281" s="5">
        <v>6106620.09</v>
      </c>
      <c r="O4281" t="s" s="2">
        <v>305</v>
      </c>
      <c r="P4281" s="5">
        <v>21457</v>
      </c>
      <c r="Q4281" t="s" s="2">
        <v>7995</v>
      </c>
      <c r="R4281" t="s" s="2">
        <f>_xlfn.IFERROR(INDEX('model_byCAP'!$D$2:$D$377,MATCH(Q4281,'model_byCAP'!$A$2:$A$377,0)),0)</f>
        <v>7996</v>
      </c>
    </row>
    <row r="4282" ht="15.35" customHeight="1">
      <c r="A4282" t="s" s="2">
        <v>7997</v>
      </c>
      <c r="B4282" s="4">
        <v>33928</v>
      </c>
      <c r="C4282" s="5">
        <v>250</v>
      </c>
      <c r="D4282" s="5">
        <v>0.1</v>
      </c>
      <c r="E4282" s="5">
        <v>0.1</v>
      </c>
      <c r="F4282" t="s" s="2">
        <v>42</v>
      </c>
      <c r="G4282" t="s" s="2">
        <v>42</v>
      </c>
      <c r="H4282" s="5">
        <v>550</v>
      </c>
      <c r="I4282" t="s" s="2">
        <v>526</v>
      </c>
      <c r="J4282" t="s" s="2">
        <v>22</v>
      </c>
      <c r="K4282" t="s" s="2">
        <v>6458</v>
      </c>
      <c r="L4282" s="5">
        <v>17</v>
      </c>
      <c r="M4282" s="5">
        <v>506160.21</v>
      </c>
      <c r="N4282" s="5">
        <v>6107020.14</v>
      </c>
      <c r="O4282" t="s" s="2">
        <v>305</v>
      </c>
      <c r="P4282" s="5">
        <v>22140</v>
      </c>
      <c r="Q4282" t="s" s="2">
        <v>43</v>
      </c>
      <c r="R4282" s="5">
        <f>_xlfn.IFERROR(INDEX('model_byCAP'!$D$2:$D$377,MATCH(Q4282,'model_byCAP'!$A$2:$A$377,0)),0)</f>
        <v>0</v>
      </c>
    </row>
    <row r="4283" ht="15.35" customHeight="1">
      <c r="A4283" t="s" s="2">
        <v>7998</v>
      </c>
      <c r="B4283" s="4">
        <v>34099</v>
      </c>
      <c r="C4283" s="5">
        <v>250</v>
      </c>
      <c r="D4283" s="5">
        <v>0.1</v>
      </c>
      <c r="E4283" s="5">
        <v>0.1</v>
      </c>
      <c r="F4283" t="s" s="2">
        <v>42</v>
      </c>
      <c r="G4283" t="s" s="2">
        <v>42</v>
      </c>
      <c r="H4283" s="5">
        <v>550</v>
      </c>
      <c r="I4283" t="s" s="2">
        <v>526</v>
      </c>
      <c r="J4283" t="s" s="2">
        <v>22</v>
      </c>
      <c r="K4283" t="s" s="2">
        <v>6458</v>
      </c>
      <c r="L4283" s="5">
        <v>17</v>
      </c>
      <c r="M4283" s="5">
        <v>506101.04</v>
      </c>
      <c r="N4283" s="5">
        <v>6106472.17</v>
      </c>
      <c r="O4283" t="s" s="2">
        <v>305</v>
      </c>
      <c r="P4283" s="5">
        <v>22149</v>
      </c>
      <c r="Q4283" t="s" s="2">
        <v>43</v>
      </c>
      <c r="R4283" s="5">
        <f>_xlfn.IFERROR(INDEX('model_byCAP'!$D$2:$D$377,MATCH(Q4283,'model_byCAP'!$A$2:$A$377,0)),0)</f>
        <v>0</v>
      </c>
    </row>
    <row r="4284" ht="15.35" customHeight="1">
      <c r="A4284" t="s" s="2">
        <v>7999</v>
      </c>
      <c r="B4284" s="4">
        <v>32951</v>
      </c>
      <c r="C4284" s="5">
        <v>250</v>
      </c>
      <c r="D4284" s="5">
        <v>0.1</v>
      </c>
      <c r="E4284" s="5">
        <v>0.1</v>
      </c>
      <c r="F4284" t="s" s="2">
        <v>42</v>
      </c>
      <c r="G4284" t="s" s="2">
        <v>42</v>
      </c>
      <c r="H4284" s="5">
        <v>550</v>
      </c>
      <c r="I4284" t="s" s="2">
        <v>526</v>
      </c>
      <c r="J4284" t="s" s="2">
        <v>22</v>
      </c>
      <c r="K4284" t="s" s="2">
        <v>8000</v>
      </c>
      <c r="L4284" s="5">
        <v>182</v>
      </c>
      <c r="M4284" s="5">
        <v>486313.66</v>
      </c>
      <c r="N4284" s="5">
        <v>6088483.37</v>
      </c>
      <c r="O4284" t="s" s="2">
        <v>305</v>
      </c>
      <c r="P4284" s="5">
        <v>30689</v>
      </c>
      <c r="Q4284" t="s" s="2">
        <v>43</v>
      </c>
      <c r="R4284" s="5">
        <f>_xlfn.IFERROR(INDEX('model_byCAP'!$D$2:$D$377,MATCH(Q4284,'model_byCAP'!$A$2:$A$377,0)),0)</f>
        <v>0</v>
      </c>
    </row>
    <row r="4285" ht="15.35" customHeight="1">
      <c r="A4285" t="s" s="2">
        <v>8001</v>
      </c>
      <c r="B4285" s="4">
        <v>32951</v>
      </c>
      <c r="C4285" s="5">
        <v>250</v>
      </c>
      <c r="D4285" s="5">
        <v>0.1</v>
      </c>
      <c r="E4285" s="5">
        <v>0.1</v>
      </c>
      <c r="F4285" t="s" s="2">
        <v>42</v>
      </c>
      <c r="G4285" t="s" s="2">
        <v>42</v>
      </c>
      <c r="H4285" s="5">
        <v>550</v>
      </c>
      <c r="I4285" t="s" s="2">
        <v>526</v>
      </c>
      <c r="J4285" t="s" s="2">
        <v>22</v>
      </c>
      <c r="K4285" t="s" s="2">
        <v>8000</v>
      </c>
      <c r="L4285" s="5">
        <v>182</v>
      </c>
      <c r="M4285" s="5">
        <v>486408.41</v>
      </c>
      <c r="N4285" s="5">
        <v>6088363.56</v>
      </c>
      <c r="O4285" t="s" s="2">
        <v>305</v>
      </c>
      <c r="P4285" s="5">
        <v>30690</v>
      </c>
      <c r="Q4285" t="s" s="2">
        <v>43</v>
      </c>
      <c r="R4285" s="5">
        <f>_xlfn.IFERROR(INDEX('model_byCAP'!$D$2:$D$377,MATCH(Q4285,'model_byCAP'!$A$2:$A$377,0)),0)</f>
        <v>0</v>
      </c>
    </row>
    <row r="4286" ht="15.35" customHeight="1">
      <c r="A4286" t="s" s="2">
        <v>8002</v>
      </c>
      <c r="B4286" s="4">
        <v>33239</v>
      </c>
      <c r="C4286" s="5">
        <v>250</v>
      </c>
      <c r="D4286" s="5">
        <v>0.1</v>
      </c>
      <c r="E4286" s="5">
        <v>0.1</v>
      </c>
      <c r="F4286" t="s" s="2">
        <v>42</v>
      </c>
      <c r="G4286" t="s" s="2">
        <v>42</v>
      </c>
      <c r="H4286" s="5">
        <v>550</v>
      </c>
      <c r="I4286" t="s" s="2">
        <v>526</v>
      </c>
      <c r="J4286" t="s" s="2">
        <v>22</v>
      </c>
      <c r="K4286" t="s" s="2">
        <v>6504</v>
      </c>
      <c r="L4286" s="5">
        <v>263</v>
      </c>
      <c r="M4286" s="5">
        <v>486519.23</v>
      </c>
      <c r="N4286" s="5">
        <v>6087997.02</v>
      </c>
      <c r="O4286" t="s" s="2">
        <v>305</v>
      </c>
      <c r="P4286" s="5">
        <v>68150</v>
      </c>
      <c r="Q4286" t="s" s="2">
        <v>43</v>
      </c>
      <c r="R4286" s="5">
        <f>_xlfn.IFERROR(INDEX('model_byCAP'!$D$2:$D$377,MATCH(Q4286,'model_byCAP'!$A$2:$A$377,0)),0)</f>
        <v>0</v>
      </c>
    </row>
    <row r="4287" ht="15.35" customHeight="1">
      <c r="A4287" t="s" s="2">
        <v>8003</v>
      </c>
      <c r="B4287" s="4">
        <v>35053</v>
      </c>
      <c r="C4287" s="5">
        <v>250</v>
      </c>
      <c r="D4287" s="5">
        <v>24</v>
      </c>
      <c r="E4287" s="5">
        <v>28.7</v>
      </c>
      <c r="F4287" t="s" s="2">
        <v>4038</v>
      </c>
      <c r="G4287" t="s" s="2">
        <v>8004</v>
      </c>
      <c r="H4287" s="5">
        <v>561</v>
      </c>
      <c r="I4287" t="s" s="2">
        <v>196</v>
      </c>
      <c r="J4287" t="s" s="2">
        <v>22</v>
      </c>
      <c r="K4287" t="s" s="2">
        <v>8005</v>
      </c>
      <c r="L4287" t="s" s="2">
        <v>8006</v>
      </c>
      <c r="M4287" s="5">
        <v>480181.28</v>
      </c>
      <c r="N4287" s="5">
        <v>6126154.78</v>
      </c>
      <c r="O4287" t="s" s="2">
        <v>305</v>
      </c>
      <c r="P4287" s="5">
        <v>32084</v>
      </c>
      <c r="Q4287" t="s" s="2">
        <v>8007</v>
      </c>
      <c r="R4287" s="5">
        <f>_xlfn.IFERROR(INDEX('model_byCAP'!$D$2:$D$377,MATCH(Q4287,'model_byCAP'!$A$2:$A$377,0)),0)</f>
        <v>0</v>
      </c>
    </row>
    <row r="4288" ht="15.35" customHeight="1">
      <c r="A4288" t="s" s="2">
        <v>8008</v>
      </c>
      <c r="B4288" s="4">
        <v>33242</v>
      </c>
      <c r="C4288" s="5">
        <v>250</v>
      </c>
      <c r="D4288" s="5">
        <v>27</v>
      </c>
      <c r="E4288" s="5">
        <v>40</v>
      </c>
      <c r="F4288" t="s" s="2">
        <v>2328</v>
      </c>
      <c r="G4288" t="s" s="2">
        <v>8009</v>
      </c>
      <c r="H4288" s="5">
        <v>580</v>
      </c>
      <c r="I4288" t="s" s="2">
        <v>1542</v>
      </c>
      <c r="J4288" t="s" s="2">
        <v>22</v>
      </c>
      <c r="K4288" t="s" s="2">
        <v>3126</v>
      </c>
      <c r="L4288" s="5">
        <v>30</v>
      </c>
      <c r="M4288" s="5">
        <v>515570.09</v>
      </c>
      <c r="N4288" s="5">
        <v>6098410.35</v>
      </c>
      <c r="O4288" t="s" s="2">
        <v>305</v>
      </c>
      <c r="P4288" s="5">
        <v>200222</v>
      </c>
      <c r="Q4288" t="s" s="2">
        <v>8010</v>
      </c>
      <c r="R4288" t="s" s="2">
        <f>_xlfn.IFERROR(INDEX('model_byCAP'!$D$2:$D$377,MATCH(Q4288,'model_byCAP'!$A$2:$A$377,0)),0)</f>
        <v>7996</v>
      </c>
    </row>
    <row r="4289" ht="15.35" customHeight="1">
      <c r="A4289" t="s" s="2">
        <v>8011</v>
      </c>
      <c r="B4289" s="4">
        <v>33587</v>
      </c>
      <c r="C4289" s="5">
        <v>250</v>
      </c>
      <c r="D4289" s="5">
        <v>31</v>
      </c>
      <c r="E4289" s="5">
        <v>30</v>
      </c>
      <c r="F4289" t="s" s="2">
        <v>1989</v>
      </c>
      <c r="G4289" t="s" s="2">
        <v>8012</v>
      </c>
      <c r="H4289" s="5">
        <v>671</v>
      </c>
      <c r="I4289" t="s" s="2">
        <v>378</v>
      </c>
      <c r="J4289" t="s" s="2">
        <v>22</v>
      </c>
      <c r="K4289" t="s" s="2">
        <v>8013</v>
      </c>
      <c r="L4289" t="s" s="2">
        <v>6935</v>
      </c>
      <c r="M4289" s="5">
        <v>472081.85</v>
      </c>
      <c r="N4289" s="5">
        <v>6275850.09</v>
      </c>
      <c r="O4289" t="s" s="2">
        <v>305</v>
      </c>
      <c r="P4289" s="5">
        <v>160094</v>
      </c>
      <c r="Q4289" t="s" s="2">
        <v>8014</v>
      </c>
      <c r="R4289" t="s" s="2">
        <f>_xlfn.IFERROR(INDEX('model_byCAP'!$D$2:$D$377,MATCH(Q4289,'model_byCAP'!$A$2:$A$377,0)),0)</f>
        <v>8015</v>
      </c>
    </row>
    <row r="4290" ht="15.35" customHeight="1">
      <c r="A4290" t="s" s="2">
        <v>8016</v>
      </c>
      <c r="B4290" s="4">
        <v>33140</v>
      </c>
      <c r="C4290" s="5">
        <v>250</v>
      </c>
      <c r="D4290" s="5">
        <v>26</v>
      </c>
      <c r="E4290" s="5">
        <v>30</v>
      </c>
      <c r="F4290" t="s" s="2">
        <v>1746</v>
      </c>
      <c r="G4290" t="s" s="2">
        <v>8017</v>
      </c>
      <c r="H4290" s="5">
        <v>779</v>
      </c>
      <c r="I4290" t="s" s="2">
        <v>1308</v>
      </c>
      <c r="J4290" t="s" s="2">
        <v>22</v>
      </c>
      <c r="K4290" t="s" s="2">
        <v>8018</v>
      </c>
      <c r="L4290" t="s" s="2">
        <v>8019</v>
      </c>
      <c r="M4290" s="5">
        <v>487658.25</v>
      </c>
      <c r="N4290" s="5">
        <v>6272764.52</v>
      </c>
      <c r="O4290" t="s" s="2">
        <v>305</v>
      </c>
      <c r="P4290" s="5">
        <v>2050153</v>
      </c>
      <c r="Q4290" t="s" s="2">
        <v>8020</v>
      </c>
      <c r="R4290" t="s" s="2">
        <f>_xlfn.IFERROR(INDEX('model_byCAP'!$D$2:$D$377,MATCH(Q4290,'model_byCAP'!$A$2:$A$377,0)),0)</f>
        <v>4115</v>
      </c>
    </row>
    <row r="4291" ht="15.35" customHeight="1">
      <c r="A4291" t="s" s="2">
        <v>8021</v>
      </c>
      <c r="B4291" s="4">
        <v>33140</v>
      </c>
      <c r="C4291" s="5">
        <v>250</v>
      </c>
      <c r="D4291" s="5">
        <v>26</v>
      </c>
      <c r="E4291" s="5">
        <v>30</v>
      </c>
      <c r="F4291" t="s" s="2">
        <v>1746</v>
      </c>
      <c r="G4291" t="s" s="2">
        <v>8017</v>
      </c>
      <c r="H4291" s="5">
        <v>779</v>
      </c>
      <c r="I4291" t="s" s="2">
        <v>1308</v>
      </c>
      <c r="J4291" t="s" s="2">
        <v>22</v>
      </c>
      <c r="K4291" t="s" s="2">
        <v>8018</v>
      </c>
      <c r="L4291" t="s" s="2">
        <v>8019</v>
      </c>
      <c r="M4291" s="5">
        <v>487784.08</v>
      </c>
      <c r="N4291" s="5">
        <v>6272731</v>
      </c>
      <c r="O4291" t="s" s="2">
        <v>305</v>
      </c>
      <c r="P4291" s="5">
        <v>2050154</v>
      </c>
      <c r="Q4291" t="s" s="2">
        <v>8020</v>
      </c>
      <c r="R4291" t="s" s="2">
        <f>_xlfn.IFERROR(INDEX('model_byCAP'!$D$2:$D$377,MATCH(Q4291,'model_byCAP'!$A$2:$A$377,0)),0)</f>
        <v>4115</v>
      </c>
    </row>
    <row r="4292" ht="15.35" customHeight="1">
      <c r="A4292" t="s" s="2">
        <v>8022</v>
      </c>
      <c r="B4292" s="4">
        <v>33504</v>
      </c>
      <c r="C4292" s="5">
        <v>250</v>
      </c>
      <c r="D4292" s="5">
        <v>24</v>
      </c>
      <c r="E4292" s="5">
        <v>30</v>
      </c>
      <c r="F4292" t="s" s="2">
        <v>1746</v>
      </c>
      <c r="G4292" t="s" s="2">
        <v>7986</v>
      </c>
      <c r="H4292" s="5">
        <v>779</v>
      </c>
      <c r="I4292" t="s" s="2">
        <v>1308</v>
      </c>
      <c r="J4292" t="s" s="2">
        <v>22</v>
      </c>
      <c r="K4292" t="s" s="2">
        <v>7007</v>
      </c>
      <c r="L4292" t="s" s="2">
        <v>1196</v>
      </c>
      <c r="M4292" s="5">
        <v>486820.22</v>
      </c>
      <c r="N4292" s="5">
        <v>6273215.77</v>
      </c>
      <c r="O4292" t="s" s="2">
        <v>305</v>
      </c>
      <c r="P4292" s="5">
        <v>2050166</v>
      </c>
      <c r="Q4292" t="s" s="2">
        <v>7988</v>
      </c>
      <c r="R4292" t="s" s="2">
        <f>_xlfn.IFERROR(INDEX('model_byCAP'!$D$2:$D$377,MATCH(Q4292,'model_byCAP'!$A$2:$A$377,0)),0)</f>
        <v>4115</v>
      </c>
    </row>
    <row r="4293" ht="15.35" customHeight="1">
      <c r="A4293" t="s" s="2">
        <v>8023</v>
      </c>
      <c r="B4293" s="4">
        <v>33504</v>
      </c>
      <c r="C4293" s="5">
        <v>250</v>
      </c>
      <c r="D4293" s="5">
        <v>24</v>
      </c>
      <c r="E4293" s="5">
        <v>30</v>
      </c>
      <c r="F4293" t="s" s="2">
        <v>1746</v>
      </c>
      <c r="G4293" t="s" s="2">
        <v>7986</v>
      </c>
      <c r="H4293" s="5">
        <v>779</v>
      </c>
      <c r="I4293" t="s" s="2">
        <v>1308</v>
      </c>
      <c r="J4293" t="s" s="2">
        <v>22</v>
      </c>
      <c r="K4293" t="s" s="2">
        <v>7007</v>
      </c>
      <c r="L4293" t="s" s="2">
        <v>1196</v>
      </c>
      <c r="M4293" s="5">
        <v>486835.58</v>
      </c>
      <c r="N4293" s="5">
        <v>6273342.15</v>
      </c>
      <c r="O4293" t="s" s="2">
        <v>305</v>
      </c>
      <c r="P4293" s="5">
        <v>2050167</v>
      </c>
      <c r="Q4293" t="s" s="2">
        <v>7988</v>
      </c>
      <c r="R4293" t="s" s="2">
        <f>_xlfn.IFERROR(INDEX('model_byCAP'!$D$2:$D$377,MATCH(Q4293,'model_byCAP'!$A$2:$A$377,0)),0)</f>
        <v>4115</v>
      </c>
    </row>
    <row r="4294" ht="15.35" customHeight="1">
      <c r="A4294" t="s" s="2">
        <v>8024</v>
      </c>
      <c r="B4294" s="4">
        <v>33994</v>
      </c>
      <c r="C4294" s="5">
        <v>250</v>
      </c>
      <c r="D4294" s="5">
        <v>30</v>
      </c>
      <c r="E4294" s="5">
        <v>36</v>
      </c>
      <c r="F4294" t="s" s="2">
        <v>301</v>
      </c>
      <c r="G4294" t="s" s="2">
        <v>8025</v>
      </c>
      <c r="H4294" s="5">
        <v>791</v>
      </c>
      <c r="I4294" t="s" s="2">
        <v>1447</v>
      </c>
      <c r="J4294" t="s" s="2">
        <v>22</v>
      </c>
      <c r="K4294" t="s" s="2">
        <v>8026</v>
      </c>
      <c r="L4294" t="s" s="2">
        <v>8027</v>
      </c>
      <c r="M4294" s="5">
        <v>501922.22</v>
      </c>
      <c r="N4294" s="5">
        <v>6257117.49</v>
      </c>
      <c r="O4294" t="s" s="2">
        <v>305</v>
      </c>
      <c r="P4294" s="5">
        <v>2050209</v>
      </c>
      <c r="Q4294" t="s" s="2">
        <v>8028</v>
      </c>
      <c r="R4294" t="s" s="2">
        <f>_xlfn.IFERROR(INDEX('model_byCAP'!$D$2:$D$377,MATCH(Q4294,'model_byCAP'!$A$2:$A$377,0)),0)</f>
        <v>8029</v>
      </c>
    </row>
    <row r="4295" ht="15.35" customHeight="1">
      <c r="A4295" t="s" s="2">
        <v>8030</v>
      </c>
      <c r="B4295" s="4">
        <v>32435</v>
      </c>
      <c r="C4295" s="5">
        <v>250</v>
      </c>
      <c r="D4295" s="5">
        <v>24</v>
      </c>
      <c r="E4295" s="5">
        <v>30</v>
      </c>
      <c r="F4295" t="s" s="2">
        <v>3604</v>
      </c>
      <c r="G4295" t="s" s="2">
        <v>8031</v>
      </c>
      <c r="H4295" s="5">
        <v>813</v>
      </c>
      <c r="I4295" t="s" s="2">
        <v>1708</v>
      </c>
      <c r="J4295" t="s" s="2">
        <v>22</v>
      </c>
      <c r="K4295" t="s" s="2">
        <v>8032</v>
      </c>
      <c r="L4295" t="s" s="2">
        <v>2809</v>
      </c>
      <c r="M4295" s="5">
        <v>586375.26</v>
      </c>
      <c r="N4295" s="5">
        <v>6369747.44</v>
      </c>
      <c r="O4295" t="s" s="2">
        <v>305</v>
      </c>
      <c r="P4295" t="s" s="2">
        <v>8033</v>
      </c>
      <c r="Q4295" t="s" s="2">
        <v>8034</v>
      </c>
      <c r="R4295" t="s" s="2">
        <f>_xlfn.IFERROR(INDEX('model_byCAP'!$D$2:$D$377,MATCH(Q4295,'model_byCAP'!$A$2:$A$377,0)),0)</f>
        <v>4115</v>
      </c>
    </row>
    <row r="4296" ht="15.35" customHeight="1">
      <c r="A4296" t="s" s="2">
        <v>8035</v>
      </c>
      <c r="B4296" s="4">
        <v>32435</v>
      </c>
      <c r="C4296" s="5">
        <v>250</v>
      </c>
      <c r="D4296" s="5">
        <v>24</v>
      </c>
      <c r="E4296" s="5">
        <v>30</v>
      </c>
      <c r="F4296" t="s" s="2">
        <v>3604</v>
      </c>
      <c r="G4296" t="s" s="2">
        <v>8031</v>
      </c>
      <c r="H4296" s="5">
        <v>813</v>
      </c>
      <c r="I4296" t="s" s="2">
        <v>1708</v>
      </c>
      <c r="J4296" t="s" s="2">
        <v>22</v>
      </c>
      <c r="K4296" t="s" s="2">
        <v>8032</v>
      </c>
      <c r="L4296" t="s" s="2">
        <v>2809</v>
      </c>
      <c r="M4296" s="5">
        <v>586326.9300000001</v>
      </c>
      <c r="N4296" s="5">
        <v>6369381.31</v>
      </c>
      <c r="O4296" t="s" s="2">
        <v>305</v>
      </c>
      <c r="P4296" t="s" s="2">
        <v>8036</v>
      </c>
      <c r="Q4296" t="s" s="2">
        <v>8034</v>
      </c>
      <c r="R4296" t="s" s="2">
        <f>_xlfn.IFERROR(INDEX('model_byCAP'!$D$2:$D$377,MATCH(Q4296,'model_byCAP'!$A$2:$A$377,0)),0)</f>
        <v>4115</v>
      </c>
    </row>
    <row r="4297" ht="15.35" customHeight="1">
      <c r="A4297" t="s" s="2">
        <v>8037</v>
      </c>
      <c r="B4297" s="4">
        <v>32546</v>
      </c>
      <c r="C4297" s="5">
        <v>250</v>
      </c>
      <c r="D4297" s="5">
        <v>24</v>
      </c>
      <c r="E4297" s="5">
        <v>30</v>
      </c>
      <c r="F4297" t="s" s="2">
        <v>1746</v>
      </c>
      <c r="G4297" t="s" s="2">
        <v>8017</v>
      </c>
      <c r="H4297" s="5">
        <v>849</v>
      </c>
      <c r="I4297" t="s" s="2">
        <v>411</v>
      </c>
      <c r="J4297" t="s" s="2">
        <v>22</v>
      </c>
      <c r="K4297" t="s" s="2">
        <v>8038</v>
      </c>
      <c r="L4297" t="s" s="2">
        <v>518</v>
      </c>
      <c r="M4297" s="5">
        <v>548692.83</v>
      </c>
      <c r="N4297" s="5">
        <v>6332732.65</v>
      </c>
      <c r="O4297" t="s" s="2">
        <v>305</v>
      </c>
      <c r="P4297" t="s" s="2">
        <v>8039</v>
      </c>
      <c r="Q4297" t="s" s="2">
        <v>8020</v>
      </c>
      <c r="R4297" t="s" s="2">
        <f>_xlfn.IFERROR(INDEX('model_byCAP'!$D$2:$D$377,MATCH(Q4297,'model_byCAP'!$A$2:$A$377,0)),0)</f>
        <v>4115</v>
      </c>
    </row>
    <row r="4298" ht="15.35" customHeight="1">
      <c r="A4298" t="s" s="2">
        <v>8040</v>
      </c>
      <c r="B4298" s="4">
        <v>32546</v>
      </c>
      <c r="C4298" s="5">
        <v>250</v>
      </c>
      <c r="D4298" s="5">
        <v>24</v>
      </c>
      <c r="E4298" s="5">
        <v>30</v>
      </c>
      <c r="F4298" t="s" s="2">
        <v>1746</v>
      </c>
      <c r="G4298" t="s" s="2">
        <v>8017</v>
      </c>
      <c r="H4298" s="5">
        <v>849</v>
      </c>
      <c r="I4298" t="s" s="2">
        <v>411</v>
      </c>
      <c r="J4298" t="s" s="2">
        <v>22</v>
      </c>
      <c r="K4298" t="s" s="2">
        <v>8041</v>
      </c>
      <c r="L4298" t="s" s="2">
        <v>518</v>
      </c>
      <c r="M4298" s="5">
        <v>548786.74</v>
      </c>
      <c r="N4298" s="5">
        <v>6332574.58</v>
      </c>
      <c r="O4298" t="s" s="2">
        <v>305</v>
      </c>
      <c r="P4298" t="s" s="2">
        <v>8042</v>
      </c>
      <c r="Q4298" t="s" s="2">
        <v>8020</v>
      </c>
      <c r="R4298" t="s" s="2">
        <f>_xlfn.IFERROR(INDEX('model_byCAP'!$D$2:$D$377,MATCH(Q4298,'model_byCAP'!$A$2:$A$377,0)),0)</f>
        <v>4115</v>
      </c>
    </row>
    <row r="4299" ht="15.35" customHeight="1">
      <c r="A4299" t="s" s="2">
        <v>8043</v>
      </c>
      <c r="B4299" s="4">
        <v>35377</v>
      </c>
      <c r="C4299" s="5">
        <v>250</v>
      </c>
      <c r="D4299" s="5">
        <v>29.2</v>
      </c>
      <c r="E4299" s="5">
        <v>31.5</v>
      </c>
      <c r="F4299" t="s" s="2">
        <v>4716</v>
      </c>
      <c r="G4299" t="s" s="2">
        <v>8044</v>
      </c>
      <c r="H4299" s="5">
        <v>860</v>
      </c>
      <c r="I4299" t="s" s="2">
        <v>449</v>
      </c>
      <c r="J4299" t="s" s="2">
        <v>22</v>
      </c>
      <c r="K4299" t="s" s="2">
        <v>8045</v>
      </c>
      <c r="L4299" t="s" s="2">
        <v>8046</v>
      </c>
      <c r="M4299" s="5">
        <v>562180.28</v>
      </c>
      <c r="N4299" s="5">
        <v>6362867.87</v>
      </c>
      <c r="O4299" t="s" s="2">
        <v>305</v>
      </c>
      <c r="P4299" t="s" s="2">
        <v>8047</v>
      </c>
      <c r="Q4299" t="s" s="2">
        <v>8048</v>
      </c>
      <c r="R4299" t="s" s="2">
        <f>_xlfn.IFERROR(INDEX('model_byCAP'!$D$2:$D$377,MATCH(Q4299,'model_byCAP'!$A$2:$A$377,0)),0)</f>
        <v>8049</v>
      </c>
    </row>
    <row r="4300" ht="15.35" customHeight="1">
      <c r="A4300" t="s" s="2">
        <v>8050</v>
      </c>
      <c r="B4300" s="4">
        <v>35377</v>
      </c>
      <c r="C4300" s="5">
        <v>250</v>
      </c>
      <c r="D4300" s="5">
        <v>29.2</v>
      </c>
      <c r="E4300" s="5">
        <v>31.5</v>
      </c>
      <c r="F4300" t="s" s="2">
        <v>4716</v>
      </c>
      <c r="G4300" t="s" s="2">
        <v>8044</v>
      </c>
      <c r="H4300" s="5">
        <v>860</v>
      </c>
      <c r="I4300" t="s" s="2">
        <v>449</v>
      </c>
      <c r="J4300" t="s" s="2">
        <v>22</v>
      </c>
      <c r="K4300" t="s" s="2">
        <v>8045</v>
      </c>
      <c r="L4300" t="s" s="2">
        <v>3424</v>
      </c>
      <c r="M4300" s="5">
        <v>562339.4300000001</v>
      </c>
      <c r="N4300" s="5">
        <v>6362843.72</v>
      </c>
      <c r="O4300" t="s" s="2">
        <v>305</v>
      </c>
      <c r="P4300" t="s" s="2">
        <v>8051</v>
      </c>
      <c r="Q4300" t="s" s="2">
        <v>8048</v>
      </c>
      <c r="R4300" t="s" s="2">
        <f>_xlfn.IFERROR(INDEX('model_byCAP'!$D$2:$D$377,MATCH(Q4300,'model_byCAP'!$A$2:$A$377,0)),0)</f>
        <v>8049</v>
      </c>
    </row>
    <row r="4301" ht="15.35" customHeight="1">
      <c r="A4301" t="s" s="2">
        <v>8052</v>
      </c>
      <c r="B4301" s="4">
        <v>35380</v>
      </c>
      <c r="C4301" s="5">
        <v>250</v>
      </c>
      <c r="D4301" s="5">
        <v>29.2</v>
      </c>
      <c r="E4301" s="5">
        <v>31.5</v>
      </c>
      <c r="F4301" t="s" s="2">
        <v>4716</v>
      </c>
      <c r="G4301" t="s" s="2">
        <v>8044</v>
      </c>
      <c r="H4301" s="5">
        <v>860</v>
      </c>
      <c r="I4301" t="s" s="2">
        <v>449</v>
      </c>
      <c r="J4301" t="s" s="2">
        <v>22</v>
      </c>
      <c r="K4301" t="s" s="2">
        <v>8045</v>
      </c>
      <c r="L4301" t="s" s="2">
        <v>8053</v>
      </c>
      <c r="M4301" s="5">
        <v>562498.65</v>
      </c>
      <c r="N4301" s="5">
        <v>6362819.65</v>
      </c>
      <c r="O4301" t="s" s="2">
        <v>305</v>
      </c>
      <c r="P4301" t="s" s="2">
        <v>8054</v>
      </c>
      <c r="Q4301" t="s" s="2">
        <v>8048</v>
      </c>
      <c r="R4301" t="s" s="2">
        <f>_xlfn.IFERROR(INDEX('model_byCAP'!$D$2:$D$377,MATCH(Q4301,'model_byCAP'!$A$2:$A$377,0)),0)</f>
        <v>8049</v>
      </c>
    </row>
    <row r="4302" ht="15.35" customHeight="1">
      <c r="A4302" t="s" s="2">
        <v>8055</v>
      </c>
      <c r="B4302" s="4">
        <v>35377</v>
      </c>
      <c r="C4302" s="5">
        <v>250</v>
      </c>
      <c r="D4302" s="5">
        <v>29.2</v>
      </c>
      <c r="E4302" s="5">
        <v>31.5</v>
      </c>
      <c r="F4302" t="s" s="2">
        <v>4716</v>
      </c>
      <c r="G4302" t="s" s="2">
        <v>8044</v>
      </c>
      <c r="H4302" s="5">
        <v>860</v>
      </c>
      <c r="I4302" t="s" s="2">
        <v>449</v>
      </c>
      <c r="J4302" t="s" s="2">
        <v>22</v>
      </c>
      <c r="K4302" t="s" s="2">
        <v>8045</v>
      </c>
      <c r="L4302" t="s" s="2">
        <v>8056</v>
      </c>
      <c r="M4302" s="5">
        <v>562657.6800000001</v>
      </c>
      <c r="N4302" s="5">
        <v>6362795.32</v>
      </c>
      <c r="O4302" t="s" s="2">
        <v>305</v>
      </c>
      <c r="P4302" t="s" s="2">
        <v>8057</v>
      </c>
      <c r="Q4302" t="s" s="2">
        <v>8048</v>
      </c>
      <c r="R4302" t="s" s="2">
        <f>_xlfn.IFERROR(INDEX('model_byCAP'!$D$2:$D$377,MATCH(Q4302,'model_byCAP'!$A$2:$A$377,0)),0)</f>
        <v>8049</v>
      </c>
    </row>
    <row r="4303" ht="15.35" customHeight="1">
      <c r="A4303" t="s" s="2">
        <v>8058</v>
      </c>
      <c r="B4303" s="4">
        <v>35377</v>
      </c>
      <c r="C4303" s="5">
        <v>250</v>
      </c>
      <c r="D4303" s="5">
        <v>29.2</v>
      </c>
      <c r="E4303" s="5">
        <v>31.5</v>
      </c>
      <c r="F4303" t="s" s="2">
        <v>4716</v>
      </c>
      <c r="G4303" t="s" s="2">
        <v>8044</v>
      </c>
      <c r="H4303" s="5">
        <v>860</v>
      </c>
      <c r="I4303" t="s" s="2">
        <v>449</v>
      </c>
      <c r="J4303" t="s" s="2">
        <v>22</v>
      </c>
      <c r="K4303" t="s" s="2">
        <v>8045</v>
      </c>
      <c r="L4303" t="s" s="2">
        <v>5151</v>
      </c>
      <c r="M4303" s="5">
        <v>562179.67</v>
      </c>
      <c r="N4303" s="5">
        <v>6362731.51</v>
      </c>
      <c r="O4303" t="s" s="2">
        <v>305</v>
      </c>
      <c r="P4303" t="s" s="2">
        <v>8059</v>
      </c>
      <c r="Q4303" t="s" s="2">
        <v>8048</v>
      </c>
      <c r="R4303" t="s" s="2">
        <f>_xlfn.IFERROR(INDEX('model_byCAP'!$D$2:$D$377,MATCH(Q4303,'model_byCAP'!$A$2:$A$377,0)),0)</f>
        <v>8049</v>
      </c>
    </row>
    <row r="4304" ht="15.35" customHeight="1">
      <c r="A4304" t="s" s="2">
        <v>8060</v>
      </c>
      <c r="B4304" s="4">
        <v>35377</v>
      </c>
      <c r="C4304" s="5">
        <v>250</v>
      </c>
      <c r="D4304" s="5">
        <v>29.2</v>
      </c>
      <c r="E4304" s="5">
        <v>31.5</v>
      </c>
      <c r="F4304" t="s" s="2">
        <v>4716</v>
      </c>
      <c r="G4304" t="s" s="2">
        <v>8044</v>
      </c>
      <c r="H4304" s="5">
        <v>860</v>
      </c>
      <c r="I4304" t="s" s="2">
        <v>449</v>
      </c>
      <c r="J4304" t="s" s="2">
        <v>22</v>
      </c>
      <c r="K4304" t="s" s="2">
        <v>8045</v>
      </c>
      <c r="L4304" t="s" s="2">
        <v>8061</v>
      </c>
      <c r="M4304" s="5">
        <v>562338.38</v>
      </c>
      <c r="N4304" s="5">
        <v>6362707.53</v>
      </c>
      <c r="O4304" t="s" s="2">
        <v>305</v>
      </c>
      <c r="P4304" t="s" s="2">
        <v>8062</v>
      </c>
      <c r="Q4304" t="s" s="2">
        <v>8048</v>
      </c>
      <c r="R4304" t="s" s="2">
        <f>_xlfn.IFERROR(INDEX('model_byCAP'!$D$2:$D$377,MATCH(Q4304,'model_byCAP'!$A$2:$A$377,0)),0)</f>
        <v>8049</v>
      </c>
    </row>
    <row r="4305" ht="15.35" customHeight="1">
      <c r="A4305" t="s" s="2">
        <v>8063</v>
      </c>
      <c r="B4305" s="4">
        <v>35377</v>
      </c>
      <c r="C4305" s="5">
        <v>250</v>
      </c>
      <c r="D4305" s="5">
        <v>29.2</v>
      </c>
      <c r="E4305" s="5">
        <v>31.5</v>
      </c>
      <c r="F4305" t="s" s="2">
        <v>4716</v>
      </c>
      <c r="G4305" t="s" s="2">
        <v>8044</v>
      </c>
      <c r="H4305" s="5">
        <v>860</v>
      </c>
      <c r="I4305" t="s" s="2">
        <v>449</v>
      </c>
      <c r="J4305" t="s" s="2">
        <v>22</v>
      </c>
      <c r="K4305" t="s" s="2">
        <v>8045</v>
      </c>
      <c r="L4305" t="s" s="2">
        <v>8064</v>
      </c>
      <c r="M4305" s="5">
        <v>562497.8199999999</v>
      </c>
      <c r="N4305" s="5">
        <v>6362683.06</v>
      </c>
      <c r="O4305" t="s" s="2">
        <v>305</v>
      </c>
      <c r="P4305" t="s" s="2">
        <v>8065</v>
      </c>
      <c r="Q4305" t="s" s="2">
        <v>8048</v>
      </c>
      <c r="R4305" t="s" s="2">
        <f>_xlfn.IFERROR(INDEX('model_byCAP'!$D$2:$D$377,MATCH(Q4305,'model_byCAP'!$A$2:$A$377,0)),0)</f>
        <v>8049</v>
      </c>
    </row>
    <row r="4306" ht="15.35" customHeight="1">
      <c r="A4306" t="s" s="2">
        <v>8066</v>
      </c>
      <c r="B4306" s="4">
        <v>35380</v>
      </c>
      <c r="C4306" s="5">
        <v>250</v>
      </c>
      <c r="D4306" s="5">
        <v>29.2</v>
      </c>
      <c r="E4306" s="5">
        <v>31.5</v>
      </c>
      <c r="F4306" t="s" s="2">
        <v>4716</v>
      </c>
      <c r="G4306" t="s" s="2">
        <v>8044</v>
      </c>
      <c r="H4306" s="5">
        <v>860</v>
      </c>
      <c r="I4306" t="s" s="2">
        <v>449</v>
      </c>
      <c r="J4306" t="s" s="2">
        <v>22</v>
      </c>
      <c r="K4306" t="s" s="2">
        <v>8045</v>
      </c>
      <c r="L4306" t="s" s="2">
        <v>8067</v>
      </c>
      <c r="M4306" s="5">
        <v>562657.6</v>
      </c>
      <c r="N4306" s="5">
        <v>6362659.05</v>
      </c>
      <c r="O4306" t="s" s="2">
        <v>305</v>
      </c>
      <c r="P4306" t="s" s="2">
        <v>8068</v>
      </c>
      <c r="Q4306" t="s" s="2">
        <v>8048</v>
      </c>
      <c r="R4306" t="s" s="2">
        <f>_xlfn.IFERROR(INDEX('model_byCAP'!$D$2:$D$377,MATCH(Q4306,'model_byCAP'!$A$2:$A$377,0)),0)</f>
        <v>8049</v>
      </c>
    </row>
    <row r="4307" ht="15.35" customHeight="1">
      <c r="A4307" t="s" s="2">
        <v>8069</v>
      </c>
      <c r="B4307" s="4">
        <v>35370</v>
      </c>
      <c r="C4307" s="5">
        <v>250</v>
      </c>
      <c r="D4307" s="5">
        <v>29</v>
      </c>
      <c r="E4307" s="5">
        <v>31.5</v>
      </c>
      <c r="F4307" t="s" s="2">
        <v>301</v>
      </c>
      <c r="G4307" t="s" s="2">
        <v>8070</v>
      </c>
      <c r="H4307" s="5">
        <v>860</v>
      </c>
      <c r="I4307" t="s" s="2">
        <v>449</v>
      </c>
      <c r="J4307" t="s" s="2">
        <v>22</v>
      </c>
      <c r="K4307" t="s" s="2">
        <v>8071</v>
      </c>
      <c r="L4307" s="5">
        <v>12</v>
      </c>
      <c r="M4307" s="5">
        <v>568711.76</v>
      </c>
      <c r="N4307" s="5">
        <v>6359448.65</v>
      </c>
      <c r="O4307" t="s" s="2">
        <v>305</v>
      </c>
      <c r="P4307" t="s" s="2">
        <v>8072</v>
      </c>
      <c r="Q4307" t="s" s="2">
        <v>8073</v>
      </c>
      <c r="R4307" t="s" s="2">
        <f>_xlfn.IFERROR(INDEX('model_byCAP'!$D$2:$D$377,MATCH(Q4307,'model_byCAP'!$A$2:$A$377,0)),0)</f>
        <v>8074</v>
      </c>
    </row>
    <row r="4308" ht="15.35" customHeight="1">
      <c r="A4308" t="s" s="2">
        <v>8075</v>
      </c>
      <c r="B4308" s="4">
        <v>43425</v>
      </c>
      <c r="C4308" s="5">
        <v>225</v>
      </c>
      <c r="D4308" s="5">
        <v>29</v>
      </c>
      <c r="E4308" s="5">
        <v>31.5</v>
      </c>
      <c r="F4308" t="s" s="2">
        <v>301</v>
      </c>
      <c r="G4308" t="s" s="2">
        <v>8070</v>
      </c>
      <c r="H4308" s="5">
        <v>320</v>
      </c>
      <c r="I4308" t="s" s="2">
        <v>1006</v>
      </c>
      <c r="J4308" t="s" s="2">
        <v>22</v>
      </c>
      <c r="K4308" t="s" s="2">
        <v>8076</v>
      </c>
      <c r="L4308" t="s" s="2">
        <v>481</v>
      </c>
      <c r="M4308" s="5">
        <v>702483</v>
      </c>
      <c r="N4308" s="5">
        <v>6132921</v>
      </c>
      <c r="O4308" t="s" s="2">
        <v>25</v>
      </c>
      <c r="P4308" s="6"/>
      <c r="Q4308" t="s" s="2">
        <v>8073</v>
      </c>
      <c r="R4308" t="s" s="2">
        <f>_xlfn.IFERROR(INDEX('model_byCAP'!$D$2:$D$377,MATCH(Q4308,'model_byCAP'!$A$2:$A$377,0)),0)</f>
        <v>8074</v>
      </c>
    </row>
    <row r="4309" ht="15.35" customHeight="1">
      <c r="A4309" t="s" s="2">
        <v>8077</v>
      </c>
      <c r="B4309" s="4">
        <v>32150</v>
      </c>
      <c r="C4309" s="5">
        <v>225</v>
      </c>
      <c r="D4309" s="5">
        <v>27</v>
      </c>
      <c r="E4309" s="5">
        <v>30</v>
      </c>
      <c r="F4309" t="s" s="2">
        <v>42</v>
      </c>
      <c r="G4309" t="s" s="2">
        <v>42</v>
      </c>
      <c r="H4309" s="5">
        <v>326</v>
      </c>
      <c r="I4309" t="s" s="2">
        <v>1263</v>
      </c>
      <c r="J4309" t="s" s="2">
        <v>22</v>
      </c>
      <c r="K4309" t="s" s="2">
        <v>4089</v>
      </c>
      <c r="L4309" t="s" s="2">
        <v>5759</v>
      </c>
      <c r="M4309" s="5">
        <v>634991.66</v>
      </c>
      <c r="N4309" s="5">
        <v>6164571.04</v>
      </c>
      <c r="O4309" t="s" s="2">
        <v>305</v>
      </c>
      <c r="P4309" s="5">
        <v>40015010</v>
      </c>
      <c r="Q4309" t="s" s="2">
        <v>43</v>
      </c>
      <c r="R4309" s="5">
        <f>_xlfn.IFERROR(INDEX('model_byCAP'!$D$2:$D$377,MATCH(Q4309,'model_byCAP'!$A$2:$A$377,0)),0)</f>
        <v>0</v>
      </c>
    </row>
    <row r="4310" ht="15.35" customHeight="1">
      <c r="A4310" t="s" s="2">
        <v>8078</v>
      </c>
      <c r="B4310" s="4">
        <v>34133</v>
      </c>
      <c r="C4310" s="5">
        <v>225</v>
      </c>
      <c r="D4310" s="5">
        <v>27</v>
      </c>
      <c r="E4310" s="5">
        <v>30</v>
      </c>
      <c r="F4310" t="s" s="2">
        <v>301</v>
      </c>
      <c r="G4310" t="s" s="2">
        <v>8079</v>
      </c>
      <c r="H4310" s="5">
        <v>326</v>
      </c>
      <c r="I4310" t="s" s="2">
        <v>1263</v>
      </c>
      <c r="J4310" t="s" s="2">
        <v>22</v>
      </c>
      <c r="K4310" t="s" s="2">
        <v>8080</v>
      </c>
      <c r="L4310" t="s" s="2">
        <v>937</v>
      </c>
      <c r="M4310" s="5">
        <v>638243.24</v>
      </c>
      <c r="N4310" s="5">
        <v>6160456.3</v>
      </c>
      <c r="O4310" t="s" s="2">
        <v>305</v>
      </c>
      <c r="P4310" s="5">
        <v>40015327</v>
      </c>
      <c r="Q4310" t="s" s="2">
        <v>8081</v>
      </c>
      <c r="R4310" t="s" s="2">
        <f>_xlfn.IFERROR(INDEX('model_byCAP'!$D$2:$D$377,MATCH(Q4310,'model_byCAP'!$A$2:$A$377,0)),0)</f>
        <v>8082</v>
      </c>
    </row>
    <row r="4311" ht="15.35" customHeight="1">
      <c r="A4311" t="s" s="2">
        <v>8083</v>
      </c>
      <c r="B4311" s="4">
        <v>34317</v>
      </c>
      <c r="C4311" s="5">
        <v>225</v>
      </c>
      <c r="D4311" s="5">
        <v>27</v>
      </c>
      <c r="E4311" s="5">
        <v>31</v>
      </c>
      <c r="F4311" t="s" s="2">
        <v>301</v>
      </c>
      <c r="G4311" t="s" s="2">
        <v>8084</v>
      </c>
      <c r="H4311" s="5">
        <v>350</v>
      </c>
      <c r="I4311" t="s" s="2">
        <v>3451</v>
      </c>
      <c r="J4311" t="s" s="2">
        <v>22</v>
      </c>
      <c r="K4311" t="s" s="2">
        <v>8085</v>
      </c>
      <c r="L4311" s="5">
        <v>10</v>
      </c>
      <c r="M4311" s="5">
        <v>682293</v>
      </c>
      <c r="N4311" s="5">
        <v>6173518.45</v>
      </c>
      <c r="O4311" t="s" s="2">
        <v>305</v>
      </c>
      <c r="P4311" t="s" s="2">
        <v>8086</v>
      </c>
      <c r="Q4311" t="s" s="2">
        <v>8087</v>
      </c>
      <c r="R4311" t="s" s="2">
        <f>_xlfn.IFERROR(INDEX('model_byCAP'!$D$2:$D$377,MATCH(Q4311,'model_byCAP'!$A$2:$A$377,0)),0)</f>
        <v>8082</v>
      </c>
    </row>
    <row r="4312" ht="15.35" customHeight="1">
      <c r="A4312" t="s" s="2">
        <v>8088</v>
      </c>
      <c r="B4312" s="4">
        <v>34317</v>
      </c>
      <c r="C4312" s="5">
        <v>225</v>
      </c>
      <c r="D4312" s="5">
        <v>27</v>
      </c>
      <c r="E4312" s="5">
        <v>31</v>
      </c>
      <c r="F4312" t="s" s="2">
        <v>301</v>
      </c>
      <c r="G4312" t="s" s="2">
        <v>8084</v>
      </c>
      <c r="H4312" s="5">
        <v>350</v>
      </c>
      <c r="I4312" t="s" s="2">
        <v>3451</v>
      </c>
      <c r="J4312" t="s" s="2">
        <v>22</v>
      </c>
      <c r="K4312" t="s" s="2">
        <v>8085</v>
      </c>
      <c r="L4312" s="5">
        <v>10</v>
      </c>
      <c r="M4312" s="5">
        <v>682314.1800000001</v>
      </c>
      <c r="N4312" s="5">
        <v>6173621.03</v>
      </c>
      <c r="O4312" t="s" s="2">
        <v>305</v>
      </c>
      <c r="P4312" t="s" s="2">
        <v>8086</v>
      </c>
      <c r="Q4312" t="s" s="2">
        <v>8087</v>
      </c>
      <c r="R4312" t="s" s="2">
        <f>_xlfn.IFERROR(INDEX('model_byCAP'!$D$2:$D$377,MATCH(Q4312,'model_byCAP'!$A$2:$A$377,0)),0)</f>
        <v>8082</v>
      </c>
    </row>
    <row r="4313" ht="15.35" customHeight="1">
      <c r="A4313" t="s" s="2">
        <v>8089</v>
      </c>
      <c r="B4313" s="4">
        <v>34317</v>
      </c>
      <c r="C4313" s="5">
        <v>225</v>
      </c>
      <c r="D4313" s="5">
        <v>27</v>
      </c>
      <c r="E4313" s="5">
        <v>31</v>
      </c>
      <c r="F4313" t="s" s="2">
        <v>301</v>
      </c>
      <c r="G4313" t="s" s="2">
        <v>8084</v>
      </c>
      <c r="H4313" s="5">
        <v>350</v>
      </c>
      <c r="I4313" t="s" s="2">
        <v>3451</v>
      </c>
      <c r="J4313" t="s" s="2">
        <v>22</v>
      </c>
      <c r="K4313" t="s" s="2">
        <v>8085</v>
      </c>
      <c r="L4313" s="5">
        <v>10</v>
      </c>
      <c r="M4313" s="5">
        <v>682335.1</v>
      </c>
      <c r="N4313" s="5">
        <v>6173723.56</v>
      </c>
      <c r="O4313" t="s" s="2">
        <v>305</v>
      </c>
      <c r="P4313" t="s" s="2">
        <v>8086</v>
      </c>
      <c r="Q4313" t="s" s="2">
        <v>8087</v>
      </c>
      <c r="R4313" t="s" s="2">
        <f>_xlfn.IFERROR(INDEX('model_byCAP'!$D$2:$D$377,MATCH(Q4313,'model_byCAP'!$A$2:$A$377,0)),0)</f>
        <v>8082</v>
      </c>
    </row>
    <row r="4314" ht="15.35" customHeight="1">
      <c r="A4314" t="s" s="2">
        <v>8090</v>
      </c>
      <c r="B4314" s="4">
        <v>34317</v>
      </c>
      <c r="C4314" s="5">
        <v>225</v>
      </c>
      <c r="D4314" s="5">
        <v>27</v>
      </c>
      <c r="E4314" s="5">
        <v>31</v>
      </c>
      <c r="F4314" t="s" s="2">
        <v>301</v>
      </c>
      <c r="G4314" t="s" s="2">
        <v>8084</v>
      </c>
      <c r="H4314" s="5">
        <v>350</v>
      </c>
      <c r="I4314" t="s" s="2">
        <v>3451</v>
      </c>
      <c r="J4314" t="s" s="2">
        <v>22</v>
      </c>
      <c r="K4314" t="s" s="2">
        <v>8085</v>
      </c>
      <c r="L4314" s="5">
        <v>30</v>
      </c>
      <c r="M4314" s="5">
        <v>682356.98</v>
      </c>
      <c r="N4314" s="5">
        <v>6173826.24</v>
      </c>
      <c r="O4314" t="s" s="2">
        <v>305</v>
      </c>
      <c r="P4314" t="s" s="2">
        <v>8091</v>
      </c>
      <c r="Q4314" t="s" s="2">
        <v>8087</v>
      </c>
      <c r="R4314" t="s" s="2">
        <f>_xlfn.IFERROR(INDEX('model_byCAP'!$D$2:$D$377,MATCH(Q4314,'model_byCAP'!$A$2:$A$377,0)),0)</f>
        <v>8082</v>
      </c>
    </row>
    <row r="4315" ht="15.35" customHeight="1">
      <c r="A4315" t="s" s="2">
        <v>8092</v>
      </c>
      <c r="B4315" s="4">
        <v>34317</v>
      </c>
      <c r="C4315" s="5">
        <v>225</v>
      </c>
      <c r="D4315" s="5">
        <v>27</v>
      </c>
      <c r="E4315" s="5">
        <v>31</v>
      </c>
      <c r="F4315" t="s" s="2">
        <v>301</v>
      </c>
      <c r="G4315" t="s" s="2">
        <v>8084</v>
      </c>
      <c r="H4315" s="5">
        <v>350</v>
      </c>
      <c r="I4315" t="s" s="2">
        <v>3451</v>
      </c>
      <c r="J4315" t="s" s="2">
        <v>22</v>
      </c>
      <c r="K4315" t="s" s="2">
        <v>8085</v>
      </c>
      <c r="L4315" s="5">
        <v>30</v>
      </c>
      <c r="M4315" s="5">
        <v>682380.38</v>
      </c>
      <c r="N4315" s="5">
        <v>6173927.79</v>
      </c>
      <c r="O4315" t="s" s="2">
        <v>305</v>
      </c>
      <c r="P4315" t="s" s="2">
        <v>8091</v>
      </c>
      <c r="Q4315" t="s" s="2">
        <v>8087</v>
      </c>
      <c r="R4315" t="s" s="2">
        <f>_xlfn.IFERROR(INDEX('model_byCAP'!$D$2:$D$377,MATCH(Q4315,'model_byCAP'!$A$2:$A$377,0)),0)</f>
        <v>8082</v>
      </c>
    </row>
    <row r="4316" ht="15.35" customHeight="1">
      <c r="A4316" t="s" s="2">
        <v>8093</v>
      </c>
      <c r="B4316" s="4">
        <v>33508</v>
      </c>
      <c r="C4316" s="5">
        <v>225</v>
      </c>
      <c r="D4316" s="5">
        <v>27</v>
      </c>
      <c r="E4316" s="5">
        <v>31.5</v>
      </c>
      <c r="F4316" t="s" s="2">
        <v>301</v>
      </c>
      <c r="G4316" t="s" s="2">
        <v>8079</v>
      </c>
      <c r="H4316" s="5">
        <v>360</v>
      </c>
      <c r="I4316" t="s" s="2">
        <v>463</v>
      </c>
      <c r="J4316" t="s" s="2">
        <v>22</v>
      </c>
      <c r="K4316" t="s" s="2">
        <v>1515</v>
      </c>
      <c r="L4316" t="s" s="2">
        <v>2809</v>
      </c>
      <c r="M4316" s="5">
        <v>637826.03</v>
      </c>
      <c r="N4316" s="5">
        <v>6090759.97</v>
      </c>
      <c r="O4316" t="s" s="2">
        <v>305</v>
      </c>
      <c r="P4316" s="5">
        <v>177692</v>
      </c>
      <c r="Q4316" t="s" s="2">
        <v>8081</v>
      </c>
      <c r="R4316" t="s" s="2">
        <f>_xlfn.IFERROR(INDEX('model_byCAP'!$D$2:$D$377,MATCH(Q4316,'model_byCAP'!$A$2:$A$377,0)),0)</f>
        <v>8082</v>
      </c>
    </row>
    <row r="4317" ht="15.35" customHeight="1">
      <c r="A4317" t="s" s="2">
        <v>8094</v>
      </c>
      <c r="B4317" s="4">
        <v>34118</v>
      </c>
      <c r="C4317" s="5">
        <v>225</v>
      </c>
      <c r="D4317" s="5">
        <v>27</v>
      </c>
      <c r="E4317" s="5">
        <v>34</v>
      </c>
      <c r="F4317" t="s" s="2">
        <v>301</v>
      </c>
      <c r="G4317" t="s" s="2">
        <v>8079</v>
      </c>
      <c r="H4317" s="5">
        <v>360</v>
      </c>
      <c r="I4317" t="s" s="2">
        <v>463</v>
      </c>
      <c r="J4317" t="s" s="2">
        <v>22</v>
      </c>
      <c r="K4317" t="s" s="2">
        <v>8095</v>
      </c>
      <c r="L4317" t="s" s="2">
        <v>511</v>
      </c>
      <c r="M4317" s="5">
        <v>661688.1</v>
      </c>
      <c r="N4317" s="5">
        <v>6064596.92</v>
      </c>
      <c r="O4317" t="s" s="2">
        <v>305</v>
      </c>
      <c r="P4317" s="5">
        <v>180299</v>
      </c>
      <c r="Q4317" t="s" s="2">
        <v>8081</v>
      </c>
      <c r="R4317" t="s" s="2">
        <f>_xlfn.IFERROR(INDEX('model_byCAP'!$D$2:$D$377,MATCH(Q4317,'model_byCAP'!$A$2:$A$377,0)),0)</f>
        <v>8082</v>
      </c>
    </row>
    <row r="4318" ht="15.35" customHeight="1">
      <c r="A4318" t="s" s="2">
        <v>8096</v>
      </c>
      <c r="B4318" s="4">
        <v>34140</v>
      </c>
      <c r="C4318" s="5">
        <v>225</v>
      </c>
      <c r="D4318" s="5">
        <v>27</v>
      </c>
      <c r="E4318" s="5">
        <v>34</v>
      </c>
      <c r="F4318" t="s" s="2">
        <v>301</v>
      </c>
      <c r="G4318" t="s" s="2">
        <v>8079</v>
      </c>
      <c r="H4318" s="5">
        <v>360</v>
      </c>
      <c r="I4318" t="s" s="2">
        <v>463</v>
      </c>
      <c r="J4318" t="s" s="2">
        <v>22</v>
      </c>
      <c r="K4318" t="s" s="2">
        <v>8097</v>
      </c>
      <c r="L4318" t="s" s="2">
        <v>8098</v>
      </c>
      <c r="M4318" s="5">
        <v>630243.9300000001</v>
      </c>
      <c r="N4318" s="5">
        <v>6073058.45</v>
      </c>
      <c r="O4318" t="s" s="2">
        <v>305</v>
      </c>
      <c r="P4318" s="5">
        <v>180632</v>
      </c>
      <c r="Q4318" t="s" s="2">
        <v>8081</v>
      </c>
      <c r="R4318" t="s" s="2">
        <f>_xlfn.IFERROR(INDEX('model_byCAP'!$D$2:$D$377,MATCH(Q4318,'model_byCAP'!$A$2:$A$377,0)),0)</f>
        <v>8082</v>
      </c>
    </row>
    <row r="4319" ht="15.35" customHeight="1">
      <c r="A4319" t="s" s="2">
        <v>8099</v>
      </c>
      <c r="B4319" s="4">
        <v>35481</v>
      </c>
      <c r="C4319" s="5">
        <v>225</v>
      </c>
      <c r="D4319" s="5">
        <v>29</v>
      </c>
      <c r="E4319" s="5">
        <v>31</v>
      </c>
      <c r="F4319" t="s" s="2">
        <v>301</v>
      </c>
      <c r="G4319" t="s" s="2">
        <v>8100</v>
      </c>
      <c r="H4319" s="5">
        <v>360</v>
      </c>
      <c r="I4319" t="s" s="2">
        <v>463</v>
      </c>
      <c r="J4319" t="s" s="2">
        <v>22</v>
      </c>
      <c r="K4319" t="s" s="2">
        <v>8101</v>
      </c>
      <c r="L4319" t="s" s="2">
        <v>3414</v>
      </c>
      <c r="M4319" s="5">
        <v>634459.99</v>
      </c>
      <c r="N4319" s="5">
        <v>6087649.44</v>
      </c>
      <c r="O4319" t="s" s="2">
        <v>305</v>
      </c>
      <c r="P4319" s="5">
        <v>184199</v>
      </c>
      <c r="Q4319" t="s" s="2">
        <v>8102</v>
      </c>
      <c r="R4319" t="s" s="2">
        <f>_xlfn.IFERROR(INDEX('model_byCAP'!$D$2:$D$377,MATCH(Q4319,'model_byCAP'!$A$2:$A$377,0)),0)</f>
        <v>8074</v>
      </c>
    </row>
    <row r="4320" ht="15.35" customHeight="1">
      <c r="A4320" t="s" s="2">
        <v>8103</v>
      </c>
      <c r="B4320" s="4">
        <v>35481</v>
      </c>
      <c r="C4320" s="5">
        <v>225</v>
      </c>
      <c r="D4320" s="5">
        <v>29</v>
      </c>
      <c r="E4320" s="5">
        <v>31.5</v>
      </c>
      <c r="F4320" t="s" s="2">
        <v>301</v>
      </c>
      <c r="G4320" t="s" s="2">
        <v>8100</v>
      </c>
      <c r="H4320" s="5">
        <v>360</v>
      </c>
      <c r="I4320" t="s" s="2">
        <v>463</v>
      </c>
      <c r="J4320" t="s" s="2">
        <v>22</v>
      </c>
      <c r="K4320" t="s" s="2">
        <v>6149</v>
      </c>
      <c r="L4320" t="s" s="2">
        <v>1196</v>
      </c>
      <c r="M4320" s="5">
        <v>634427.26</v>
      </c>
      <c r="N4320" s="5">
        <v>6088279.46</v>
      </c>
      <c r="O4320" t="s" s="2">
        <v>305</v>
      </c>
      <c r="P4320" s="5">
        <v>184202</v>
      </c>
      <c r="Q4320" t="s" s="2">
        <v>8102</v>
      </c>
      <c r="R4320" t="s" s="2">
        <f>_xlfn.IFERROR(INDEX('model_byCAP'!$D$2:$D$377,MATCH(Q4320,'model_byCAP'!$A$2:$A$377,0)),0)</f>
        <v>8074</v>
      </c>
    </row>
    <row r="4321" ht="15.35" customHeight="1">
      <c r="A4321" t="s" s="2">
        <v>8104</v>
      </c>
      <c r="B4321" s="4">
        <v>34249</v>
      </c>
      <c r="C4321" s="5">
        <v>225</v>
      </c>
      <c r="D4321" s="5">
        <v>27</v>
      </c>
      <c r="E4321" s="5">
        <v>30</v>
      </c>
      <c r="F4321" t="s" s="2">
        <v>301</v>
      </c>
      <c r="G4321" t="s" s="2">
        <v>8079</v>
      </c>
      <c r="H4321" s="5">
        <v>370</v>
      </c>
      <c r="I4321" t="s" s="2">
        <v>520</v>
      </c>
      <c r="J4321" t="s" s="2">
        <v>22</v>
      </c>
      <c r="K4321" t="s" s="2">
        <v>8105</v>
      </c>
      <c r="L4321" t="s" s="2">
        <v>518</v>
      </c>
      <c r="M4321" s="5">
        <v>660373.72</v>
      </c>
      <c r="N4321" s="5">
        <v>6130360.78</v>
      </c>
      <c r="O4321" t="s" s="2">
        <v>305</v>
      </c>
      <c r="P4321" s="5">
        <v>180827</v>
      </c>
      <c r="Q4321" t="s" s="2">
        <v>8081</v>
      </c>
      <c r="R4321" t="s" s="2">
        <f>_xlfn.IFERROR(INDEX('model_byCAP'!$D$2:$D$377,MATCH(Q4321,'model_byCAP'!$A$2:$A$377,0)),0)</f>
        <v>8082</v>
      </c>
    </row>
    <row r="4322" ht="15.35" customHeight="1">
      <c r="A4322" t="s" s="2">
        <v>8106</v>
      </c>
      <c r="B4322" s="4">
        <v>35685</v>
      </c>
      <c r="C4322" s="5">
        <v>225</v>
      </c>
      <c r="D4322" s="5">
        <v>27</v>
      </c>
      <c r="E4322" s="5">
        <v>31</v>
      </c>
      <c r="F4322" t="s" s="2">
        <v>301</v>
      </c>
      <c r="G4322" t="s" s="2">
        <v>8084</v>
      </c>
      <c r="H4322" s="5">
        <v>370</v>
      </c>
      <c r="I4322" t="s" s="2">
        <v>520</v>
      </c>
      <c r="J4322" t="s" s="2">
        <v>22</v>
      </c>
      <c r="K4322" t="s" s="2">
        <v>8107</v>
      </c>
      <c r="L4322" t="s" s="2">
        <v>1306</v>
      </c>
      <c r="M4322" s="5">
        <v>660860.05</v>
      </c>
      <c r="N4322" s="5">
        <v>6122067.15</v>
      </c>
      <c r="O4322" t="s" s="2">
        <v>305</v>
      </c>
      <c r="P4322" s="5">
        <v>190343</v>
      </c>
      <c r="Q4322" t="s" s="2">
        <v>8087</v>
      </c>
      <c r="R4322" t="s" s="2">
        <f>_xlfn.IFERROR(INDEX('model_byCAP'!$D$2:$D$377,MATCH(Q4322,'model_byCAP'!$A$2:$A$377,0)),0)</f>
        <v>8082</v>
      </c>
    </row>
    <row r="4323" ht="15.35" customHeight="1">
      <c r="A4323" t="s" s="2">
        <v>8108</v>
      </c>
      <c r="B4323" s="4">
        <v>33226</v>
      </c>
      <c r="C4323" s="5">
        <v>225</v>
      </c>
      <c r="D4323" s="5">
        <v>27</v>
      </c>
      <c r="E4323" s="5">
        <v>31</v>
      </c>
      <c r="F4323" t="s" s="2">
        <v>301</v>
      </c>
      <c r="G4323" t="s" s="2">
        <v>8109</v>
      </c>
      <c r="H4323" s="5">
        <v>376</v>
      </c>
      <c r="I4323" t="s" s="2">
        <v>1991</v>
      </c>
      <c r="J4323" t="s" s="2">
        <v>22</v>
      </c>
      <c r="K4323" t="s" s="2">
        <v>8110</v>
      </c>
      <c r="L4323" t="s" s="2">
        <v>8111</v>
      </c>
      <c r="M4323" s="5">
        <v>677464.46</v>
      </c>
      <c r="N4323" s="5">
        <v>6088353.89</v>
      </c>
      <c r="O4323" t="s" s="2">
        <v>305</v>
      </c>
      <c r="P4323" s="5">
        <v>175809</v>
      </c>
      <c r="Q4323" t="s" s="2">
        <v>8112</v>
      </c>
      <c r="R4323" t="s" s="2">
        <f>_xlfn.IFERROR(INDEX('model_byCAP'!$D$2:$D$377,MATCH(Q4323,'model_byCAP'!$A$2:$A$377,0)),0)</f>
        <v>8029</v>
      </c>
    </row>
    <row r="4324" ht="15.35" customHeight="1">
      <c r="A4324" t="s" s="2">
        <v>8113</v>
      </c>
      <c r="B4324" s="4">
        <v>32871</v>
      </c>
      <c r="C4324" s="5">
        <v>225</v>
      </c>
      <c r="D4324" s="5">
        <v>27</v>
      </c>
      <c r="E4324" s="5">
        <v>30</v>
      </c>
      <c r="F4324" t="s" s="2">
        <v>301</v>
      </c>
      <c r="G4324" t="s" s="2">
        <v>8079</v>
      </c>
      <c r="H4324" s="5">
        <v>390</v>
      </c>
      <c r="I4324" t="s" s="2">
        <v>46</v>
      </c>
      <c r="J4324" t="s" s="2">
        <v>22</v>
      </c>
      <c r="K4324" t="s" s="2">
        <v>8114</v>
      </c>
      <c r="L4324" s="5">
        <v>2</v>
      </c>
      <c r="M4324" s="5">
        <v>691593.35</v>
      </c>
      <c r="N4324" s="5">
        <v>6093514.38</v>
      </c>
      <c r="O4324" t="s" s="2">
        <v>305</v>
      </c>
      <c r="P4324" s="8">
        <v>173851</v>
      </c>
      <c r="Q4324" t="s" s="2">
        <v>8081</v>
      </c>
      <c r="R4324" t="s" s="2">
        <f>_xlfn.IFERROR(INDEX('model_byCAP'!$D$2:$D$377,MATCH(Q4324,'model_byCAP'!$A$2:$A$377,0)),0)</f>
        <v>8082</v>
      </c>
    </row>
    <row r="4325" ht="15.35" customHeight="1">
      <c r="A4325" t="s" s="2">
        <v>8115</v>
      </c>
      <c r="B4325" s="4">
        <v>33723</v>
      </c>
      <c r="C4325" s="5">
        <v>225</v>
      </c>
      <c r="D4325" s="5">
        <v>27</v>
      </c>
      <c r="E4325" s="5">
        <v>31.5</v>
      </c>
      <c r="F4325" t="s" s="2">
        <v>301</v>
      </c>
      <c r="G4325" t="s" s="2">
        <v>8084</v>
      </c>
      <c r="H4325" s="5">
        <v>400</v>
      </c>
      <c r="I4325" t="s" s="2">
        <v>2068</v>
      </c>
      <c r="J4325" t="s" s="2">
        <v>22</v>
      </c>
      <c r="K4325" t="s" s="2">
        <v>2860</v>
      </c>
      <c r="L4325" t="s" s="2">
        <v>6057</v>
      </c>
      <c r="M4325" s="5">
        <v>866807.47</v>
      </c>
      <c r="N4325" s="5">
        <v>6133080.43</v>
      </c>
      <c r="O4325" t="s" s="2">
        <v>305</v>
      </c>
      <c r="P4325" t="s" s="2">
        <v>8116</v>
      </c>
      <c r="Q4325" t="s" s="2">
        <v>8087</v>
      </c>
      <c r="R4325" t="s" s="2">
        <f>_xlfn.IFERROR(INDEX('model_byCAP'!$D$2:$D$377,MATCH(Q4325,'model_byCAP'!$A$2:$A$377,0)),0)</f>
        <v>8082</v>
      </c>
    </row>
    <row r="4326" ht="15.35" customHeight="1">
      <c r="A4326" t="s" s="2">
        <v>8117</v>
      </c>
      <c r="B4326" s="4">
        <v>33723</v>
      </c>
      <c r="C4326" s="5">
        <v>225</v>
      </c>
      <c r="D4326" s="5">
        <v>27</v>
      </c>
      <c r="E4326" s="5">
        <v>31.5</v>
      </c>
      <c r="F4326" t="s" s="2">
        <v>301</v>
      </c>
      <c r="G4326" t="s" s="2">
        <v>8084</v>
      </c>
      <c r="H4326" s="5">
        <v>400</v>
      </c>
      <c r="I4326" t="s" s="2">
        <v>2068</v>
      </c>
      <c r="J4326" t="s" s="2">
        <v>22</v>
      </c>
      <c r="K4326" t="s" s="2">
        <v>2860</v>
      </c>
      <c r="L4326" t="s" s="2">
        <v>6057</v>
      </c>
      <c r="M4326" s="5">
        <v>866999.24</v>
      </c>
      <c r="N4326" s="5">
        <v>6133138.3</v>
      </c>
      <c r="O4326" t="s" s="2">
        <v>305</v>
      </c>
      <c r="P4326" t="s" s="2">
        <v>8118</v>
      </c>
      <c r="Q4326" t="s" s="2">
        <v>8087</v>
      </c>
      <c r="R4326" t="s" s="2">
        <f>_xlfn.IFERROR(INDEX('model_byCAP'!$D$2:$D$377,MATCH(Q4326,'model_byCAP'!$A$2:$A$377,0)),0)</f>
        <v>8082</v>
      </c>
    </row>
    <row r="4327" ht="15.35" customHeight="1">
      <c r="A4327" t="s" s="2">
        <v>8119</v>
      </c>
      <c r="B4327" s="4">
        <v>33723</v>
      </c>
      <c r="C4327" s="5">
        <v>225</v>
      </c>
      <c r="D4327" s="5">
        <v>27</v>
      </c>
      <c r="E4327" s="5">
        <v>31.5</v>
      </c>
      <c r="F4327" t="s" s="2">
        <v>301</v>
      </c>
      <c r="G4327" t="s" s="2">
        <v>8084</v>
      </c>
      <c r="H4327" s="5">
        <v>400</v>
      </c>
      <c r="I4327" t="s" s="2">
        <v>2068</v>
      </c>
      <c r="J4327" t="s" s="2">
        <v>22</v>
      </c>
      <c r="K4327" t="s" s="2">
        <v>2860</v>
      </c>
      <c r="L4327" t="s" s="2">
        <v>6057</v>
      </c>
      <c r="M4327" s="5">
        <v>867191.01</v>
      </c>
      <c r="N4327" s="5">
        <v>6133196.29</v>
      </c>
      <c r="O4327" t="s" s="2">
        <v>305</v>
      </c>
      <c r="P4327" t="s" s="2">
        <v>8120</v>
      </c>
      <c r="Q4327" t="s" s="2">
        <v>8087</v>
      </c>
      <c r="R4327" t="s" s="2">
        <f>_xlfn.IFERROR(INDEX('model_byCAP'!$D$2:$D$377,MATCH(Q4327,'model_byCAP'!$A$2:$A$377,0)),0)</f>
        <v>8082</v>
      </c>
    </row>
    <row r="4328" ht="15.35" customHeight="1">
      <c r="A4328" t="s" s="2">
        <v>8121</v>
      </c>
      <c r="B4328" s="4">
        <v>35408</v>
      </c>
      <c r="C4328" s="5">
        <v>225</v>
      </c>
      <c r="D4328" s="5">
        <v>29</v>
      </c>
      <c r="E4328" s="5">
        <v>31.5</v>
      </c>
      <c r="F4328" t="s" s="2">
        <v>301</v>
      </c>
      <c r="G4328" t="s" s="2">
        <v>8070</v>
      </c>
      <c r="H4328" s="5">
        <v>400</v>
      </c>
      <c r="I4328" t="s" s="2">
        <v>2068</v>
      </c>
      <c r="J4328" t="s" s="2">
        <v>22</v>
      </c>
      <c r="K4328" t="s" s="2">
        <v>3462</v>
      </c>
      <c r="L4328" t="s" s="2">
        <v>394</v>
      </c>
      <c r="M4328" s="5">
        <v>885914.7</v>
      </c>
      <c r="N4328" s="5">
        <v>6115902.21</v>
      </c>
      <c r="O4328" t="s" s="2">
        <v>305</v>
      </c>
      <c r="P4328" t="s" s="2">
        <v>8122</v>
      </c>
      <c r="Q4328" t="s" s="2">
        <v>8073</v>
      </c>
      <c r="R4328" t="s" s="2">
        <f>_xlfn.IFERROR(INDEX('model_byCAP'!$D$2:$D$377,MATCH(Q4328,'model_byCAP'!$A$2:$A$377,0)),0)</f>
        <v>8074</v>
      </c>
    </row>
    <row r="4329" ht="15.35" customHeight="1">
      <c r="A4329" t="s" s="2">
        <v>8123</v>
      </c>
      <c r="B4329" s="4">
        <v>35408</v>
      </c>
      <c r="C4329" s="5">
        <v>225</v>
      </c>
      <c r="D4329" s="5">
        <v>29</v>
      </c>
      <c r="E4329" s="5">
        <v>31.5</v>
      </c>
      <c r="F4329" t="s" s="2">
        <v>301</v>
      </c>
      <c r="G4329" t="s" s="2">
        <v>8070</v>
      </c>
      <c r="H4329" s="5">
        <v>400</v>
      </c>
      <c r="I4329" t="s" s="2">
        <v>2068</v>
      </c>
      <c r="J4329" t="s" s="2">
        <v>22</v>
      </c>
      <c r="K4329" t="s" s="2">
        <v>3462</v>
      </c>
      <c r="L4329" t="s" s="2">
        <v>3595</v>
      </c>
      <c r="M4329" s="5">
        <v>886062.1800000001</v>
      </c>
      <c r="N4329" s="5">
        <v>6115987.42</v>
      </c>
      <c r="O4329" t="s" s="2">
        <v>305</v>
      </c>
      <c r="P4329" t="s" s="2">
        <v>8124</v>
      </c>
      <c r="Q4329" t="s" s="2">
        <v>8073</v>
      </c>
      <c r="R4329" t="s" s="2">
        <f>_xlfn.IFERROR(INDEX('model_byCAP'!$D$2:$D$377,MATCH(Q4329,'model_byCAP'!$A$2:$A$377,0)),0)</f>
        <v>8074</v>
      </c>
    </row>
    <row r="4330" ht="15.35" customHeight="1">
      <c r="A4330" t="s" s="2">
        <v>8125</v>
      </c>
      <c r="B4330" s="4">
        <v>35408</v>
      </c>
      <c r="C4330" s="5">
        <v>225</v>
      </c>
      <c r="D4330" s="5">
        <v>29</v>
      </c>
      <c r="E4330" s="5">
        <v>31.5</v>
      </c>
      <c r="F4330" t="s" s="2">
        <v>301</v>
      </c>
      <c r="G4330" t="s" s="2">
        <v>8070</v>
      </c>
      <c r="H4330" s="5">
        <v>400</v>
      </c>
      <c r="I4330" t="s" s="2">
        <v>2068</v>
      </c>
      <c r="J4330" t="s" s="2">
        <v>22</v>
      </c>
      <c r="K4330" t="s" s="2">
        <v>3462</v>
      </c>
      <c r="L4330" t="s" s="2">
        <v>8126</v>
      </c>
      <c r="M4330" s="5">
        <v>886209.5699999999</v>
      </c>
      <c r="N4330" s="5">
        <v>6116072.54</v>
      </c>
      <c r="O4330" t="s" s="2">
        <v>305</v>
      </c>
      <c r="P4330" t="s" s="2">
        <v>8127</v>
      </c>
      <c r="Q4330" t="s" s="2">
        <v>8073</v>
      </c>
      <c r="R4330" t="s" s="2">
        <f>_xlfn.IFERROR(INDEX('model_byCAP'!$D$2:$D$377,MATCH(Q4330,'model_byCAP'!$A$2:$A$377,0)),0)</f>
        <v>8074</v>
      </c>
    </row>
    <row r="4331" ht="15.35" customHeight="1">
      <c r="A4331" t="s" s="2">
        <v>8128</v>
      </c>
      <c r="B4331" s="4">
        <v>35178</v>
      </c>
      <c r="C4331" s="5">
        <v>225</v>
      </c>
      <c r="D4331" s="5">
        <v>27</v>
      </c>
      <c r="E4331" s="5">
        <v>31.5</v>
      </c>
      <c r="F4331" t="s" s="2">
        <v>301</v>
      </c>
      <c r="G4331" t="s" s="2">
        <v>8079</v>
      </c>
      <c r="H4331" s="5">
        <v>420</v>
      </c>
      <c r="I4331" t="s" s="2">
        <v>3043</v>
      </c>
      <c r="J4331" t="s" s="2">
        <v>22</v>
      </c>
      <c r="K4331" t="s" s="2">
        <v>8129</v>
      </c>
      <c r="L4331" t="s" s="2">
        <v>8130</v>
      </c>
      <c r="M4331" s="5">
        <v>573027.9399999999</v>
      </c>
      <c r="N4331" s="5">
        <v>6125761.27</v>
      </c>
      <c r="O4331" t="s" s="2">
        <v>305</v>
      </c>
      <c r="P4331" s="5">
        <v>99170</v>
      </c>
      <c r="Q4331" t="s" s="2">
        <v>8081</v>
      </c>
      <c r="R4331" t="s" s="2">
        <f>_xlfn.IFERROR(INDEX('model_byCAP'!$D$2:$D$377,MATCH(Q4331,'model_byCAP'!$A$2:$A$377,0)),0)</f>
        <v>8082</v>
      </c>
    </row>
    <row r="4332" ht="15.35" customHeight="1">
      <c r="A4332" t="s" s="2">
        <v>8131</v>
      </c>
      <c r="B4332" s="4">
        <v>33697</v>
      </c>
      <c r="C4332" s="5">
        <v>225</v>
      </c>
      <c r="D4332" s="5">
        <v>27</v>
      </c>
      <c r="E4332" s="5">
        <v>31.5</v>
      </c>
      <c r="F4332" t="s" s="2">
        <v>301</v>
      </c>
      <c r="G4332" t="s" s="2">
        <v>8079</v>
      </c>
      <c r="H4332" s="5">
        <v>482</v>
      </c>
      <c r="I4332" t="s" s="2">
        <v>1523</v>
      </c>
      <c r="J4332" t="s" s="2">
        <v>22</v>
      </c>
      <c r="K4332" t="s" s="2">
        <v>8132</v>
      </c>
      <c r="L4332" t="s" s="2">
        <v>481</v>
      </c>
      <c r="M4332" s="5">
        <v>618050</v>
      </c>
      <c r="N4332" s="5">
        <v>6099105</v>
      </c>
      <c r="O4332" t="s" s="2">
        <v>25</v>
      </c>
      <c r="P4332" s="5">
        <v>32104009</v>
      </c>
      <c r="Q4332" t="s" s="2">
        <v>8081</v>
      </c>
      <c r="R4332" t="s" s="2">
        <f>_xlfn.IFERROR(INDEX('model_byCAP'!$D$2:$D$377,MATCH(Q4332,'model_byCAP'!$A$2:$A$377,0)),0)</f>
        <v>8082</v>
      </c>
    </row>
    <row r="4333" ht="15.35" customHeight="1">
      <c r="A4333" t="s" s="2">
        <v>8133</v>
      </c>
      <c r="B4333" s="4">
        <v>35459</v>
      </c>
      <c r="C4333" s="5">
        <v>225</v>
      </c>
      <c r="D4333" s="5">
        <v>29</v>
      </c>
      <c r="E4333" s="5">
        <v>32</v>
      </c>
      <c r="F4333" t="s" s="2">
        <v>301</v>
      </c>
      <c r="G4333" t="s" s="2">
        <v>8070</v>
      </c>
      <c r="H4333" s="5">
        <v>561</v>
      </c>
      <c r="I4333" t="s" s="2">
        <v>196</v>
      </c>
      <c r="J4333" t="s" s="2">
        <v>22</v>
      </c>
      <c r="K4333" t="s" s="2">
        <v>8134</v>
      </c>
      <c r="L4333" t="s" s="2">
        <v>3569</v>
      </c>
      <c r="M4333" s="5">
        <v>475343.05</v>
      </c>
      <c r="N4333" s="5">
        <v>6146430.25</v>
      </c>
      <c r="O4333" t="s" s="2">
        <v>305</v>
      </c>
      <c r="P4333" s="5">
        <v>60304</v>
      </c>
      <c r="Q4333" t="s" s="2">
        <v>8073</v>
      </c>
      <c r="R4333" t="s" s="2">
        <f>_xlfn.IFERROR(INDEX('model_byCAP'!$D$2:$D$377,MATCH(Q4333,'model_byCAP'!$A$2:$A$377,0)),0)</f>
        <v>8074</v>
      </c>
    </row>
    <row r="4334" ht="15.35" customHeight="1">
      <c r="A4334" t="s" s="2">
        <v>8135</v>
      </c>
      <c r="B4334" s="4">
        <v>33324</v>
      </c>
      <c r="C4334" s="5">
        <v>225</v>
      </c>
      <c r="D4334" s="5">
        <v>0.1</v>
      </c>
      <c r="E4334" s="5">
        <v>0.1</v>
      </c>
      <c r="F4334" t="s" s="2">
        <v>42</v>
      </c>
      <c r="G4334" t="s" s="2">
        <v>42</v>
      </c>
      <c r="H4334" s="5">
        <v>573</v>
      </c>
      <c r="I4334" t="s" s="2">
        <v>1041</v>
      </c>
      <c r="J4334" t="s" s="2">
        <v>22</v>
      </c>
      <c r="K4334" t="s" s="2">
        <v>6633</v>
      </c>
      <c r="L4334" s="5">
        <v>190</v>
      </c>
      <c r="M4334" s="5">
        <v>456201.8</v>
      </c>
      <c r="N4334" s="5">
        <v>6183432.71</v>
      </c>
      <c r="O4334" t="s" s="2">
        <v>305</v>
      </c>
      <c r="P4334" s="5">
        <v>56917</v>
      </c>
      <c r="Q4334" t="s" s="2">
        <v>43</v>
      </c>
      <c r="R4334" s="5">
        <f>_xlfn.IFERROR(INDEX('model_byCAP'!$D$2:$D$377,MATCH(Q4334,'model_byCAP'!$A$2:$A$377,0)),0)</f>
        <v>0</v>
      </c>
    </row>
    <row r="4335" ht="15.35" customHeight="1">
      <c r="A4335" t="s" s="2">
        <v>8136</v>
      </c>
      <c r="B4335" s="4">
        <v>34578</v>
      </c>
      <c r="C4335" s="5">
        <v>225</v>
      </c>
      <c r="D4335" s="5">
        <v>0.1</v>
      </c>
      <c r="E4335" s="5">
        <v>0.1</v>
      </c>
      <c r="F4335" t="s" s="2">
        <v>42</v>
      </c>
      <c r="G4335" t="s" s="2">
        <v>42</v>
      </c>
      <c r="H4335" s="5">
        <v>573</v>
      </c>
      <c r="I4335" t="s" s="2">
        <v>1041</v>
      </c>
      <c r="J4335" t="s" s="2">
        <v>22</v>
      </c>
      <c r="K4335" t="s" s="2">
        <v>6633</v>
      </c>
      <c r="L4335" s="5">
        <v>190</v>
      </c>
      <c r="M4335" s="5">
        <v>456423.43</v>
      </c>
      <c r="N4335" s="5">
        <v>6183556.18</v>
      </c>
      <c r="O4335" t="s" s="2">
        <v>305</v>
      </c>
      <c r="P4335" s="5">
        <v>58730</v>
      </c>
      <c r="Q4335" t="s" s="2">
        <v>43</v>
      </c>
      <c r="R4335" s="5">
        <f>_xlfn.IFERROR(INDEX('model_byCAP'!$D$2:$D$377,MATCH(Q4335,'model_byCAP'!$A$2:$A$377,0)),0)</f>
        <v>0</v>
      </c>
    </row>
    <row r="4336" ht="15.35" customHeight="1">
      <c r="A4336" t="s" s="2">
        <v>8137</v>
      </c>
      <c r="B4336" s="4">
        <v>34241</v>
      </c>
      <c r="C4336" s="5">
        <v>225</v>
      </c>
      <c r="D4336" s="5">
        <v>27</v>
      </c>
      <c r="E4336" s="5">
        <v>31.5</v>
      </c>
      <c r="F4336" t="s" s="2">
        <v>301</v>
      </c>
      <c r="G4336" t="s" s="2">
        <v>8079</v>
      </c>
      <c r="H4336" s="5">
        <v>580</v>
      </c>
      <c r="I4336" t="s" s="2">
        <v>1542</v>
      </c>
      <c r="J4336" t="s" s="2">
        <v>22</v>
      </c>
      <c r="K4336" t="s" s="2">
        <v>8138</v>
      </c>
      <c r="L4336" s="5">
        <v>20</v>
      </c>
      <c r="M4336" s="5">
        <v>518428.45</v>
      </c>
      <c r="N4336" s="5">
        <v>6098441.87</v>
      </c>
      <c r="O4336" t="s" s="2">
        <v>305</v>
      </c>
      <c r="P4336" s="5">
        <v>200217</v>
      </c>
      <c r="Q4336" t="s" s="2">
        <v>8081</v>
      </c>
      <c r="R4336" t="s" s="2">
        <f>_xlfn.IFERROR(INDEX('model_byCAP'!$D$2:$D$377,MATCH(Q4336,'model_byCAP'!$A$2:$A$377,0)),0)</f>
        <v>8082</v>
      </c>
    </row>
    <row r="4337" ht="15.35" customHeight="1">
      <c r="A4337" t="s" s="2">
        <v>8139</v>
      </c>
      <c r="B4337" s="4">
        <v>32534</v>
      </c>
      <c r="C4337" s="5">
        <v>225</v>
      </c>
      <c r="D4337" s="5">
        <v>26</v>
      </c>
      <c r="E4337" s="5">
        <v>30</v>
      </c>
      <c r="F4337" t="s" s="2">
        <v>2328</v>
      </c>
      <c r="G4337" t="s" s="2">
        <v>8140</v>
      </c>
      <c r="H4337" s="5">
        <v>661</v>
      </c>
      <c r="I4337" t="s" s="2">
        <v>562</v>
      </c>
      <c r="J4337" t="s" s="2">
        <v>22</v>
      </c>
      <c r="K4337" t="s" s="2">
        <v>8141</v>
      </c>
      <c r="L4337" t="s" s="2">
        <v>394</v>
      </c>
      <c r="M4337" s="5">
        <v>484332.08</v>
      </c>
      <c r="N4337" s="5">
        <v>6263107.29</v>
      </c>
      <c r="O4337" t="s" s="2">
        <v>305</v>
      </c>
      <c r="P4337" s="5">
        <v>2050119</v>
      </c>
      <c r="Q4337" t="s" s="2">
        <v>8142</v>
      </c>
      <c r="R4337" t="s" s="2">
        <f>_xlfn.IFERROR(INDEX('model_byCAP'!$D$2:$D$377,MATCH(Q4337,'model_byCAP'!$A$2:$A$377,0)),0)</f>
        <v>7996</v>
      </c>
    </row>
    <row r="4338" ht="15.35" customHeight="1">
      <c r="A4338" t="s" s="2">
        <v>8143</v>
      </c>
      <c r="B4338" s="4">
        <v>43419</v>
      </c>
      <c r="C4338" s="5">
        <v>225</v>
      </c>
      <c r="D4338" s="5">
        <v>27</v>
      </c>
      <c r="E4338" s="5">
        <v>31.5</v>
      </c>
      <c r="F4338" t="s" s="2">
        <v>301</v>
      </c>
      <c r="G4338" t="s" s="2">
        <v>8079</v>
      </c>
      <c r="H4338" s="5">
        <v>661</v>
      </c>
      <c r="I4338" t="s" s="2">
        <v>562</v>
      </c>
      <c r="J4338" t="s" s="2">
        <v>22</v>
      </c>
      <c r="K4338" s="5">
        <v>0</v>
      </c>
      <c r="L4338" s="5">
        <v>0</v>
      </c>
      <c r="M4338" s="5">
        <v>458437</v>
      </c>
      <c r="N4338" s="5">
        <v>6242341</v>
      </c>
      <c r="O4338" t="s" s="2">
        <v>25</v>
      </c>
      <c r="P4338" s="5">
        <v>31800</v>
      </c>
      <c r="Q4338" t="s" s="2">
        <v>8081</v>
      </c>
      <c r="R4338" t="s" s="2">
        <f>_xlfn.IFERROR(INDEX('model_byCAP'!$D$2:$D$377,MATCH(Q4338,'model_byCAP'!$A$2:$A$377,0)),0)</f>
        <v>8082</v>
      </c>
    </row>
    <row r="4339" ht="15.35" customHeight="1">
      <c r="A4339" t="s" s="2">
        <v>8144</v>
      </c>
      <c r="B4339" s="4">
        <v>33694</v>
      </c>
      <c r="C4339" s="5">
        <v>225</v>
      </c>
      <c r="D4339" s="5">
        <v>27</v>
      </c>
      <c r="E4339" s="5">
        <v>30.6</v>
      </c>
      <c r="F4339" t="s" s="2">
        <v>301</v>
      </c>
      <c r="G4339" t="s" s="2">
        <v>8079</v>
      </c>
      <c r="H4339" s="5">
        <v>665</v>
      </c>
      <c r="I4339" t="s" s="2">
        <v>316</v>
      </c>
      <c r="J4339" t="s" s="2">
        <v>22</v>
      </c>
      <c r="K4339" t="s" s="2">
        <v>8145</v>
      </c>
      <c r="L4339" t="s" s="2">
        <v>394</v>
      </c>
      <c r="M4339" s="5">
        <v>465287.12</v>
      </c>
      <c r="N4339" s="5">
        <v>6267375.64</v>
      </c>
      <c r="O4339" t="s" s="2">
        <v>305</v>
      </c>
      <c r="P4339" s="5">
        <v>40044019</v>
      </c>
      <c r="Q4339" t="s" s="2">
        <v>8081</v>
      </c>
      <c r="R4339" t="s" s="2">
        <f>_xlfn.IFERROR(INDEX('model_byCAP'!$D$2:$D$377,MATCH(Q4339,'model_byCAP'!$A$2:$A$377,0)),0)</f>
        <v>8082</v>
      </c>
    </row>
    <row r="4340" ht="15.35" customHeight="1">
      <c r="A4340" t="s" s="2">
        <v>8146</v>
      </c>
      <c r="B4340" s="4">
        <v>33526</v>
      </c>
      <c r="C4340" s="5">
        <v>225</v>
      </c>
      <c r="D4340" s="5">
        <v>27</v>
      </c>
      <c r="E4340" s="5">
        <v>30.7</v>
      </c>
      <c r="F4340" t="s" s="2">
        <v>301</v>
      </c>
      <c r="G4340" t="s" s="2">
        <v>8079</v>
      </c>
      <c r="H4340" s="5">
        <v>665</v>
      </c>
      <c r="I4340" t="s" s="2">
        <v>316</v>
      </c>
      <c r="J4340" t="s" s="2">
        <v>22</v>
      </c>
      <c r="K4340" t="s" s="2">
        <v>8147</v>
      </c>
      <c r="L4340" t="s" s="2">
        <v>856</v>
      </c>
      <c r="M4340" s="5">
        <v>453284.83</v>
      </c>
      <c r="N4340" s="5">
        <v>6266409.34</v>
      </c>
      <c r="O4340" t="s" s="2">
        <v>305</v>
      </c>
      <c r="P4340" s="5">
        <v>40077107</v>
      </c>
      <c r="Q4340" t="s" s="2">
        <v>8081</v>
      </c>
      <c r="R4340" t="s" s="2">
        <f>_xlfn.IFERROR(INDEX('model_byCAP'!$D$2:$D$377,MATCH(Q4340,'model_byCAP'!$A$2:$A$377,0)),0)</f>
        <v>8082</v>
      </c>
    </row>
    <row r="4341" ht="15.35" customHeight="1">
      <c r="A4341" t="s" s="2">
        <v>8148</v>
      </c>
      <c r="B4341" s="4">
        <v>33526</v>
      </c>
      <c r="C4341" s="5">
        <v>225</v>
      </c>
      <c r="D4341" s="5">
        <v>27</v>
      </c>
      <c r="E4341" s="5">
        <v>31.5</v>
      </c>
      <c r="F4341" t="s" s="2">
        <v>301</v>
      </c>
      <c r="G4341" t="s" s="2">
        <v>8149</v>
      </c>
      <c r="H4341" s="5">
        <v>665</v>
      </c>
      <c r="I4341" t="s" s="2">
        <v>316</v>
      </c>
      <c r="J4341" t="s" s="2">
        <v>22</v>
      </c>
      <c r="K4341" t="s" s="2">
        <v>8150</v>
      </c>
      <c r="L4341" t="s" s="2">
        <v>1328</v>
      </c>
      <c r="M4341" s="5">
        <v>453141.52</v>
      </c>
      <c r="N4341" s="5">
        <v>6270498.7</v>
      </c>
      <c r="O4341" t="s" s="2">
        <v>305</v>
      </c>
      <c r="P4341" s="5">
        <v>40078108</v>
      </c>
      <c r="Q4341" t="s" s="2">
        <v>8151</v>
      </c>
      <c r="R4341" t="s" s="2">
        <f>_xlfn.IFERROR(INDEX('model_byCAP'!$D$2:$D$377,MATCH(Q4341,'model_byCAP'!$A$2:$A$377,0)),0)</f>
        <v>8082</v>
      </c>
    </row>
    <row r="4342" ht="15.35" customHeight="1">
      <c r="A4342" t="s" s="2">
        <v>8152</v>
      </c>
      <c r="B4342" s="4">
        <v>33526</v>
      </c>
      <c r="C4342" s="5">
        <v>225</v>
      </c>
      <c r="D4342" s="5">
        <v>27</v>
      </c>
      <c r="E4342" s="5">
        <v>31.5</v>
      </c>
      <c r="F4342" t="s" s="2">
        <v>301</v>
      </c>
      <c r="G4342" t="s" s="2">
        <v>8149</v>
      </c>
      <c r="H4342" s="5">
        <v>665</v>
      </c>
      <c r="I4342" t="s" s="2">
        <v>316</v>
      </c>
      <c r="J4342" t="s" s="2">
        <v>22</v>
      </c>
      <c r="K4342" t="s" s="2">
        <v>8150</v>
      </c>
      <c r="L4342" t="s" s="2">
        <v>1328</v>
      </c>
      <c r="M4342" s="5">
        <v>453099.25</v>
      </c>
      <c r="N4342" s="5">
        <v>6270555.07</v>
      </c>
      <c r="O4342" t="s" s="2">
        <v>305</v>
      </c>
      <c r="P4342" s="5">
        <v>40078108</v>
      </c>
      <c r="Q4342" t="s" s="2">
        <v>8151</v>
      </c>
      <c r="R4342" t="s" s="2">
        <f>_xlfn.IFERROR(INDEX('model_byCAP'!$D$2:$D$377,MATCH(Q4342,'model_byCAP'!$A$2:$A$377,0)),0)</f>
        <v>8082</v>
      </c>
    </row>
    <row r="4343" ht="15.35" customHeight="1">
      <c r="A4343" t="s" s="2">
        <v>8153</v>
      </c>
      <c r="B4343" s="4">
        <v>33526</v>
      </c>
      <c r="C4343" s="5">
        <v>225</v>
      </c>
      <c r="D4343" s="5">
        <v>27</v>
      </c>
      <c r="E4343" s="5">
        <v>31.5</v>
      </c>
      <c r="F4343" t="s" s="2">
        <v>301</v>
      </c>
      <c r="G4343" t="s" s="2">
        <v>8149</v>
      </c>
      <c r="H4343" s="5">
        <v>665</v>
      </c>
      <c r="I4343" t="s" s="2">
        <v>316</v>
      </c>
      <c r="J4343" t="s" s="2">
        <v>22</v>
      </c>
      <c r="K4343" t="s" s="2">
        <v>8150</v>
      </c>
      <c r="L4343" t="s" s="2">
        <v>1328</v>
      </c>
      <c r="M4343" s="5">
        <v>453054.97</v>
      </c>
      <c r="N4343" s="5">
        <v>6270611.17</v>
      </c>
      <c r="O4343" t="s" s="2">
        <v>305</v>
      </c>
      <c r="P4343" s="5">
        <v>40078108</v>
      </c>
      <c r="Q4343" t="s" s="2">
        <v>8151</v>
      </c>
      <c r="R4343" t="s" s="2">
        <f>_xlfn.IFERROR(INDEX('model_byCAP'!$D$2:$D$377,MATCH(Q4343,'model_byCAP'!$A$2:$A$377,0)),0)</f>
        <v>8082</v>
      </c>
    </row>
    <row r="4344" ht="15.35" customHeight="1">
      <c r="A4344" t="s" s="2">
        <v>8154</v>
      </c>
      <c r="B4344" s="4">
        <v>33526</v>
      </c>
      <c r="C4344" s="5">
        <v>225</v>
      </c>
      <c r="D4344" s="5">
        <v>27</v>
      </c>
      <c r="E4344" s="5">
        <v>31.5</v>
      </c>
      <c r="F4344" t="s" s="2">
        <v>301</v>
      </c>
      <c r="G4344" t="s" s="2">
        <v>8149</v>
      </c>
      <c r="H4344" s="5">
        <v>665</v>
      </c>
      <c r="I4344" t="s" s="2">
        <v>316</v>
      </c>
      <c r="J4344" t="s" s="2">
        <v>22</v>
      </c>
      <c r="K4344" t="s" s="2">
        <v>8150</v>
      </c>
      <c r="L4344" t="s" s="2">
        <v>1328</v>
      </c>
      <c r="M4344" s="5">
        <v>453011.81</v>
      </c>
      <c r="N4344" s="5">
        <v>6270667.35</v>
      </c>
      <c r="O4344" t="s" s="2">
        <v>305</v>
      </c>
      <c r="P4344" s="5">
        <v>40078108</v>
      </c>
      <c r="Q4344" t="s" s="2">
        <v>8151</v>
      </c>
      <c r="R4344" t="s" s="2">
        <f>_xlfn.IFERROR(INDEX('model_byCAP'!$D$2:$D$377,MATCH(Q4344,'model_byCAP'!$A$2:$A$377,0)),0)</f>
        <v>8082</v>
      </c>
    </row>
    <row r="4345" ht="15.35" customHeight="1">
      <c r="A4345" t="s" s="2">
        <v>8155</v>
      </c>
      <c r="B4345" s="4">
        <v>33618</v>
      </c>
      <c r="C4345" s="5">
        <v>225</v>
      </c>
      <c r="D4345" s="5">
        <v>27</v>
      </c>
      <c r="E4345" s="5">
        <v>30.9</v>
      </c>
      <c r="F4345" t="s" s="2">
        <v>301</v>
      </c>
      <c r="G4345" t="s" s="2">
        <v>8079</v>
      </c>
      <c r="H4345" s="5">
        <v>665</v>
      </c>
      <c r="I4345" t="s" s="2">
        <v>316</v>
      </c>
      <c r="J4345" t="s" s="2">
        <v>22</v>
      </c>
      <c r="K4345" t="s" s="2">
        <v>4649</v>
      </c>
      <c r="L4345" t="s" s="2">
        <v>5293</v>
      </c>
      <c r="M4345" s="5">
        <v>455998.26</v>
      </c>
      <c r="N4345" s="5">
        <v>6264152.2</v>
      </c>
      <c r="O4345" t="s" s="2">
        <v>305</v>
      </c>
      <c r="P4345" s="5">
        <v>40083119</v>
      </c>
      <c r="Q4345" t="s" s="2">
        <v>8081</v>
      </c>
      <c r="R4345" t="s" s="2">
        <f>_xlfn.IFERROR(INDEX('model_byCAP'!$D$2:$D$377,MATCH(Q4345,'model_byCAP'!$A$2:$A$377,0)),0)</f>
        <v>8082</v>
      </c>
    </row>
    <row r="4346" ht="15.35" customHeight="1">
      <c r="A4346" t="s" s="2">
        <v>8156</v>
      </c>
      <c r="B4346" s="4">
        <v>33757</v>
      </c>
      <c r="C4346" s="5">
        <v>225</v>
      </c>
      <c r="D4346" s="5">
        <v>27</v>
      </c>
      <c r="E4346" s="5">
        <v>31.5</v>
      </c>
      <c r="F4346" t="s" s="2">
        <v>301</v>
      </c>
      <c r="G4346" t="s" s="2">
        <v>8079</v>
      </c>
      <c r="H4346" s="5">
        <v>665</v>
      </c>
      <c r="I4346" t="s" s="2">
        <v>316</v>
      </c>
      <c r="J4346" t="s" s="2">
        <v>22</v>
      </c>
      <c r="K4346" t="s" s="2">
        <v>7907</v>
      </c>
      <c r="L4346" t="s" s="2">
        <v>2979</v>
      </c>
      <c r="M4346" s="5">
        <v>460902.74</v>
      </c>
      <c r="N4346" s="5">
        <v>6265021.14</v>
      </c>
      <c r="O4346" t="s" s="2">
        <v>305</v>
      </c>
      <c r="P4346" s="5">
        <v>40090</v>
      </c>
      <c r="Q4346" t="s" s="2">
        <v>8081</v>
      </c>
      <c r="R4346" t="s" s="2">
        <f>_xlfn.IFERROR(INDEX('model_byCAP'!$D$2:$D$377,MATCH(Q4346,'model_byCAP'!$A$2:$A$377,0)),0)</f>
        <v>8082</v>
      </c>
    </row>
    <row r="4347" ht="15.35" customHeight="1">
      <c r="A4347" t="s" s="2">
        <v>8157</v>
      </c>
      <c r="B4347" s="4">
        <v>34605</v>
      </c>
      <c r="C4347" s="5">
        <v>225</v>
      </c>
      <c r="D4347" s="5">
        <v>29</v>
      </c>
      <c r="E4347" s="5">
        <v>30.7</v>
      </c>
      <c r="F4347" t="s" s="2">
        <v>301</v>
      </c>
      <c r="G4347" t="s" s="2">
        <v>8070</v>
      </c>
      <c r="H4347" s="5">
        <v>665</v>
      </c>
      <c r="I4347" t="s" s="2">
        <v>316</v>
      </c>
      <c r="J4347" t="s" s="2">
        <v>22</v>
      </c>
      <c r="K4347" t="s" s="2">
        <v>8158</v>
      </c>
      <c r="L4347" t="s" s="2">
        <v>8159</v>
      </c>
      <c r="M4347" s="5">
        <v>452947.58</v>
      </c>
      <c r="N4347" s="5">
        <v>6266323.14</v>
      </c>
      <c r="O4347" t="s" s="2">
        <v>305</v>
      </c>
      <c r="P4347" s="5">
        <v>40099091</v>
      </c>
      <c r="Q4347" t="s" s="2">
        <v>8073</v>
      </c>
      <c r="R4347" t="s" s="2">
        <f>_xlfn.IFERROR(INDEX('model_byCAP'!$D$2:$D$377,MATCH(Q4347,'model_byCAP'!$A$2:$A$377,0)),0)</f>
        <v>8074</v>
      </c>
    </row>
    <row r="4348" ht="15.35" customHeight="1">
      <c r="A4348" t="s" s="2">
        <v>8160</v>
      </c>
      <c r="B4348" s="4">
        <v>33227</v>
      </c>
      <c r="C4348" s="5">
        <v>225</v>
      </c>
      <c r="D4348" s="5">
        <v>27</v>
      </c>
      <c r="E4348" s="5">
        <v>30.9</v>
      </c>
      <c r="F4348" t="s" s="2">
        <v>301</v>
      </c>
      <c r="G4348" t="s" s="2">
        <v>8079</v>
      </c>
      <c r="H4348" s="5">
        <v>665</v>
      </c>
      <c r="I4348" t="s" s="2">
        <v>316</v>
      </c>
      <c r="J4348" t="s" s="2">
        <v>22</v>
      </c>
      <c r="K4348" t="s" s="2">
        <v>4649</v>
      </c>
      <c r="L4348" t="s" s="2">
        <v>1196</v>
      </c>
      <c r="M4348" s="5">
        <v>455962.64</v>
      </c>
      <c r="N4348" s="5">
        <v>6263953.86</v>
      </c>
      <c r="O4348" t="s" s="2">
        <v>305</v>
      </c>
      <c r="P4348" s="5">
        <v>40100138</v>
      </c>
      <c r="Q4348" t="s" s="2">
        <v>8081</v>
      </c>
      <c r="R4348" t="s" s="2">
        <f>_xlfn.IFERROR(INDEX('model_byCAP'!$D$2:$D$377,MATCH(Q4348,'model_byCAP'!$A$2:$A$377,0)),0)</f>
        <v>8082</v>
      </c>
    </row>
    <row r="4349" ht="15.35" customHeight="1">
      <c r="A4349" t="s" s="2">
        <v>8161</v>
      </c>
      <c r="B4349" s="4">
        <v>34670</v>
      </c>
      <c r="C4349" s="5">
        <v>225</v>
      </c>
      <c r="D4349" s="5">
        <v>29</v>
      </c>
      <c r="E4349" s="5">
        <v>31.5</v>
      </c>
      <c r="F4349" t="s" s="2">
        <v>301</v>
      </c>
      <c r="G4349" t="s" s="2">
        <v>8070</v>
      </c>
      <c r="H4349" s="5">
        <v>665</v>
      </c>
      <c r="I4349" t="s" s="2">
        <v>316</v>
      </c>
      <c r="J4349" t="s" s="2">
        <v>22</v>
      </c>
      <c r="K4349" t="s" s="2">
        <v>7907</v>
      </c>
      <c r="L4349" t="s" s="2">
        <v>8162</v>
      </c>
      <c r="M4349" s="5">
        <v>462303.72</v>
      </c>
      <c r="N4349" s="5">
        <v>6265944.31</v>
      </c>
      <c r="O4349" t="s" s="2">
        <v>305</v>
      </c>
      <c r="P4349" s="5">
        <v>40101140</v>
      </c>
      <c r="Q4349" t="s" s="2">
        <v>8073</v>
      </c>
      <c r="R4349" t="s" s="2">
        <f>_xlfn.IFERROR(INDEX('model_byCAP'!$D$2:$D$377,MATCH(Q4349,'model_byCAP'!$A$2:$A$377,0)),0)</f>
        <v>8074</v>
      </c>
    </row>
    <row r="4350" ht="15.35" customHeight="1">
      <c r="A4350" t="s" s="2">
        <v>8163</v>
      </c>
      <c r="B4350" s="4">
        <v>33496</v>
      </c>
      <c r="C4350" s="5">
        <v>225</v>
      </c>
      <c r="D4350" s="5">
        <v>27</v>
      </c>
      <c r="E4350" s="5">
        <v>31.5</v>
      </c>
      <c r="F4350" t="s" s="2">
        <v>301</v>
      </c>
      <c r="G4350" t="s" s="2">
        <v>8079</v>
      </c>
      <c r="H4350" s="5">
        <v>671</v>
      </c>
      <c r="I4350" t="s" s="2">
        <v>378</v>
      </c>
      <c r="J4350" t="s" s="2">
        <v>22</v>
      </c>
      <c r="K4350" t="s" s="2">
        <v>8164</v>
      </c>
      <c r="L4350" t="s" s="2">
        <v>403</v>
      </c>
      <c r="M4350" s="5">
        <v>469751.76</v>
      </c>
      <c r="N4350" s="5">
        <v>6279541.21</v>
      </c>
      <c r="O4350" t="s" s="2">
        <v>305</v>
      </c>
      <c r="P4350" s="5">
        <v>160058</v>
      </c>
      <c r="Q4350" t="s" s="2">
        <v>8081</v>
      </c>
      <c r="R4350" t="s" s="2">
        <f>_xlfn.IFERROR(INDEX('model_byCAP'!$D$2:$D$377,MATCH(Q4350,'model_byCAP'!$A$2:$A$377,0)),0)</f>
        <v>8082</v>
      </c>
    </row>
    <row r="4351" ht="15.35" customHeight="1">
      <c r="A4351" t="s" s="2">
        <v>8165</v>
      </c>
      <c r="B4351" s="4">
        <v>33496</v>
      </c>
      <c r="C4351" s="5">
        <v>225</v>
      </c>
      <c r="D4351" s="5">
        <v>27</v>
      </c>
      <c r="E4351" s="5">
        <v>31.5</v>
      </c>
      <c r="F4351" t="s" s="2">
        <v>301</v>
      </c>
      <c r="G4351" t="s" s="2">
        <v>8079</v>
      </c>
      <c r="H4351" s="5">
        <v>671</v>
      </c>
      <c r="I4351" t="s" s="2">
        <v>378</v>
      </c>
      <c r="J4351" t="s" s="2">
        <v>22</v>
      </c>
      <c r="K4351" t="s" s="2">
        <v>8166</v>
      </c>
      <c r="L4351" t="s" s="2">
        <v>524</v>
      </c>
      <c r="M4351" s="5">
        <v>470265.18</v>
      </c>
      <c r="N4351" s="5">
        <v>6276071.78</v>
      </c>
      <c r="O4351" t="s" s="2">
        <v>305</v>
      </c>
      <c r="P4351" s="5">
        <v>160060</v>
      </c>
      <c r="Q4351" t="s" s="2">
        <v>8081</v>
      </c>
      <c r="R4351" t="s" s="2">
        <f>_xlfn.IFERROR(INDEX('model_byCAP'!$D$2:$D$377,MATCH(Q4351,'model_byCAP'!$A$2:$A$377,0)),0)</f>
        <v>8082</v>
      </c>
    </row>
    <row r="4352" ht="15.35" customHeight="1">
      <c r="A4352" t="s" s="2">
        <v>8167</v>
      </c>
      <c r="B4352" s="4">
        <v>33618</v>
      </c>
      <c r="C4352" s="5">
        <v>225</v>
      </c>
      <c r="D4352" s="5">
        <v>27</v>
      </c>
      <c r="E4352" s="5">
        <v>31.5</v>
      </c>
      <c r="F4352" t="s" s="2">
        <v>301</v>
      </c>
      <c r="G4352" t="s" s="2">
        <v>8079</v>
      </c>
      <c r="H4352" s="5">
        <v>671</v>
      </c>
      <c r="I4352" t="s" s="2">
        <v>378</v>
      </c>
      <c r="J4352" t="s" s="2">
        <v>22</v>
      </c>
      <c r="K4352" t="s" s="2">
        <v>8164</v>
      </c>
      <c r="L4352" t="s" s="2">
        <v>524</v>
      </c>
      <c r="M4352" s="5">
        <v>469108.17</v>
      </c>
      <c r="N4352" s="5">
        <v>6279673.96</v>
      </c>
      <c r="O4352" t="s" s="2">
        <v>305</v>
      </c>
      <c r="P4352" s="5">
        <v>160100</v>
      </c>
      <c r="Q4352" t="s" s="2">
        <v>8081</v>
      </c>
      <c r="R4352" t="s" s="2">
        <f>_xlfn.IFERROR(INDEX('model_byCAP'!$D$2:$D$377,MATCH(Q4352,'model_byCAP'!$A$2:$A$377,0)),0)</f>
        <v>8082</v>
      </c>
    </row>
    <row r="4353" ht="15.35" customHeight="1">
      <c r="A4353" t="s" s="2">
        <v>8168</v>
      </c>
      <c r="B4353" s="4">
        <v>34263</v>
      </c>
      <c r="C4353" s="5">
        <v>225</v>
      </c>
      <c r="D4353" s="5">
        <v>27</v>
      </c>
      <c r="E4353" s="5">
        <v>31.5</v>
      </c>
      <c r="F4353" t="s" s="2">
        <v>301</v>
      </c>
      <c r="G4353" t="s" s="2">
        <v>8079</v>
      </c>
      <c r="H4353" s="5">
        <v>671</v>
      </c>
      <c r="I4353" t="s" s="2">
        <v>378</v>
      </c>
      <c r="J4353" t="s" s="2">
        <v>22</v>
      </c>
      <c r="K4353" t="s" s="2">
        <v>7919</v>
      </c>
      <c r="L4353" t="s" s="2">
        <v>518</v>
      </c>
      <c r="M4353" s="5">
        <v>471203.77</v>
      </c>
      <c r="N4353" s="5">
        <v>6277375.33</v>
      </c>
      <c r="O4353" t="s" s="2">
        <v>305</v>
      </c>
      <c r="P4353" s="5">
        <v>160150</v>
      </c>
      <c r="Q4353" t="s" s="2">
        <v>8081</v>
      </c>
      <c r="R4353" t="s" s="2">
        <f>_xlfn.IFERROR(INDEX('model_byCAP'!$D$2:$D$377,MATCH(Q4353,'model_byCAP'!$A$2:$A$377,0)),0)</f>
        <v>8082</v>
      </c>
    </row>
    <row r="4354" ht="15.35" customHeight="1">
      <c r="A4354" t="s" s="2">
        <v>8169</v>
      </c>
      <c r="B4354" s="4">
        <v>33618</v>
      </c>
      <c r="C4354" s="5">
        <v>225</v>
      </c>
      <c r="D4354" s="5">
        <v>27</v>
      </c>
      <c r="E4354" s="5">
        <v>30.7</v>
      </c>
      <c r="F4354" t="s" s="2">
        <v>301</v>
      </c>
      <c r="G4354" t="s" s="2">
        <v>8079</v>
      </c>
      <c r="H4354" s="5">
        <v>671</v>
      </c>
      <c r="I4354" t="s" s="2">
        <v>378</v>
      </c>
      <c r="J4354" t="s" s="2">
        <v>22</v>
      </c>
      <c r="K4354" t="s" s="2">
        <v>8170</v>
      </c>
      <c r="L4354" t="s" s="2">
        <v>481</v>
      </c>
      <c r="M4354" s="5">
        <v>471539.39</v>
      </c>
      <c r="N4354" s="5">
        <v>6264930.74</v>
      </c>
      <c r="O4354" t="s" s="2">
        <v>305</v>
      </c>
      <c r="P4354" s="5">
        <v>40087122</v>
      </c>
      <c r="Q4354" t="s" s="2">
        <v>8081</v>
      </c>
      <c r="R4354" t="s" s="2">
        <f>_xlfn.IFERROR(INDEX('model_byCAP'!$D$2:$D$377,MATCH(Q4354,'model_byCAP'!$A$2:$A$377,0)),0)</f>
        <v>8082</v>
      </c>
    </row>
    <row r="4355" ht="15.35" customHeight="1">
      <c r="A4355" t="s" s="2">
        <v>8171</v>
      </c>
      <c r="B4355" s="4">
        <v>35677</v>
      </c>
      <c r="C4355" s="5">
        <v>225</v>
      </c>
      <c r="D4355" s="5">
        <v>29</v>
      </c>
      <c r="E4355" s="5">
        <v>30</v>
      </c>
      <c r="F4355" t="s" s="2">
        <v>301</v>
      </c>
      <c r="G4355" t="s" s="2">
        <v>8070</v>
      </c>
      <c r="H4355" s="5">
        <v>710</v>
      </c>
      <c r="I4355" t="s" s="2">
        <v>3630</v>
      </c>
      <c r="J4355" t="s" s="2">
        <v>22</v>
      </c>
      <c r="K4355" t="s" s="2">
        <v>8172</v>
      </c>
      <c r="L4355" t="s" s="2">
        <v>2348</v>
      </c>
      <c r="M4355" s="5">
        <v>567421.77</v>
      </c>
      <c r="N4355" s="5">
        <v>6234777.16</v>
      </c>
      <c r="O4355" t="s" s="2">
        <v>305</v>
      </c>
      <c r="P4355" s="5">
        <v>257197</v>
      </c>
      <c r="Q4355" t="s" s="2">
        <v>8073</v>
      </c>
      <c r="R4355" t="s" s="2">
        <f>_xlfn.IFERROR(INDEX('model_byCAP'!$D$2:$D$377,MATCH(Q4355,'model_byCAP'!$A$2:$A$377,0)),0)</f>
        <v>8074</v>
      </c>
    </row>
    <row r="4356" ht="15.35" customHeight="1">
      <c r="A4356" t="s" s="2">
        <v>8173</v>
      </c>
      <c r="B4356" s="4">
        <v>35431</v>
      </c>
      <c r="C4356" s="5">
        <v>225</v>
      </c>
      <c r="D4356" s="5">
        <v>29</v>
      </c>
      <c r="E4356" s="5">
        <v>30</v>
      </c>
      <c r="F4356" t="s" s="2">
        <v>301</v>
      </c>
      <c r="G4356" t="s" s="2">
        <v>8070</v>
      </c>
      <c r="H4356" s="5">
        <v>760</v>
      </c>
      <c r="I4356" t="s" s="2">
        <v>331</v>
      </c>
      <c r="J4356" t="s" s="2">
        <v>22</v>
      </c>
      <c r="K4356" t="s" s="2">
        <v>8174</v>
      </c>
      <c r="L4356" t="s" s="2">
        <v>8175</v>
      </c>
      <c r="M4356" s="5">
        <v>457153.58</v>
      </c>
      <c r="N4356" s="5">
        <v>6213565.19</v>
      </c>
      <c r="O4356" t="s" s="2">
        <v>305</v>
      </c>
      <c r="P4356" s="5">
        <v>8003001</v>
      </c>
      <c r="Q4356" t="s" s="2">
        <v>8073</v>
      </c>
      <c r="R4356" t="s" s="2">
        <f>_xlfn.IFERROR(INDEX('model_byCAP'!$D$2:$D$377,MATCH(Q4356,'model_byCAP'!$A$2:$A$377,0)),0)</f>
        <v>8074</v>
      </c>
    </row>
    <row r="4357" ht="15.35" customHeight="1">
      <c r="A4357" t="s" s="2">
        <v>8176</v>
      </c>
      <c r="B4357" s="4">
        <v>35411</v>
      </c>
      <c r="C4357" s="5">
        <v>225</v>
      </c>
      <c r="D4357" s="5">
        <v>29</v>
      </c>
      <c r="E4357" s="5">
        <v>30</v>
      </c>
      <c r="F4357" t="s" s="2">
        <v>301</v>
      </c>
      <c r="G4357" t="s" s="2">
        <v>8070</v>
      </c>
      <c r="H4357" s="5">
        <v>760</v>
      </c>
      <c r="I4357" t="s" s="2">
        <v>331</v>
      </c>
      <c r="J4357" t="s" s="2">
        <v>22</v>
      </c>
      <c r="K4357" t="s" s="2">
        <v>8177</v>
      </c>
      <c r="L4357" t="s" s="2">
        <v>3391</v>
      </c>
      <c r="M4357" s="5">
        <v>459848.29</v>
      </c>
      <c r="N4357" s="5">
        <v>6206381.54</v>
      </c>
      <c r="O4357" t="s" s="2">
        <v>305</v>
      </c>
      <c r="P4357" s="5">
        <v>8505291</v>
      </c>
      <c r="Q4357" t="s" s="2">
        <v>8073</v>
      </c>
      <c r="R4357" t="s" s="2">
        <f>_xlfn.IFERROR(INDEX('model_byCAP'!$D$2:$D$377,MATCH(Q4357,'model_byCAP'!$A$2:$A$377,0)),0)</f>
        <v>8074</v>
      </c>
    </row>
    <row r="4358" ht="15.35" customHeight="1">
      <c r="A4358" t="s" s="2">
        <v>8178</v>
      </c>
      <c r="B4358" s="4">
        <v>35400</v>
      </c>
      <c r="C4358" s="5">
        <v>225</v>
      </c>
      <c r="D4358" s="5">
        <v>29</v>
      </c>
      <c r="E4358" s="5">
        <v>30</v>
      </c>
      <c r="F4358" t="s" s="2">
        <v>301</v>
      </c>
      <c r="G4358" t="s" s="2">
        <v>8070</v>
      </c>
      <c r="H4358" s="5">
        <v>760</v>
      </c>
      <c r="I4358" t="s" s="2">
        <v>331</v>
      </c>
      <c r="J4358" t="s" s="2">
        <v>22</v>
      </c>
      <c r="K4358" t="s" s="2">
        <v>8177</v>
      </c>
      <c r="L4358" t="s" s="2">
        <v>7203</v>
      </c>
      <c r="M4358" s="5">
        <v>460005.94</v>
      </c>
      <c r="N4358" s="5">
        <v>6206241.03</v>
      </c>
      <c r="O4358" t="s" s="2">
        <v>305</v>
      </c>
      <c r="P4358" s="5">
        <v>8505291</v>
      </c>
      <c r="Q4358" t="s" s="2">
        <v>8073</v>
      </c>
      <c r="R4358" t="s" s="2">
        <f>_xlfn.IFERROR(INDEX('model_byCAP'!$D$2:$D$377,MATCH(Q4358,'model_byCAP'!$A$2:$A$377,0)),0)</f>
        <v>8074</v>
      </c>
    </row>
    <row r="4359" ht="15.35" customHeight="1">
      <c r="A4359" t="s" s="2">
        <v>8179</v>
      </c>
      <c r="B4359" s="4">
        <v>35685</v>
      </c>
      <c r="C4359" s="5">
        <v>225</v>
      </c>
      <c r="D4359" s="5">
        <v>29</v>
      </c>
      <c r="E4359" s="5">
        <v>31</v>
      </c>
      <c r="F4359" t="s" s="2">
        <v>301</v>
      </c>
      <c r="G4359" t="s" s="2">
        <v>8070</v>
      </c>
      <c r="H4359" s="5">
        <v>760</v>
      </c>
      <c r="I4359" t="s" s="2">
        <v>331</v>
      </c>
      <c r="J4359" t="s" s="2">
        <v>22</v>
      </c>
      <c r="K4359" t="s" s="2">
        <v>8180</v>
      </c>
      <c r="L4359" t="s" s="2">
        <v>8181</v>
      </c>
      <c r="M4359" s="5">
        <v>461129.06</v>
      </c>
      <c r="N4359" s="5">
        <v>6206871.82</v>
      </c>
      <c r="O4359" t="s" s="2">
        <v>305</v>
      </c>
      <c r="P4359" s="5">
        <v>8505371</v>
      </c>
      <c r="Q4359" t="s" s="2">
        <v>8073</v>
      </c>
      <c r="R4359" t="s" s="2">
        <f>_xlfn.IFERROR(INDEX('model_byCAP'!$D$2:$D$377,MATCH(Q4359,'model_byCAP'!$A$2:$A$377,0)),0)</f>
        <v>8074</v>
      </c>
    </row>
    <row r="4360" ht="15.35" customHeight="1">
      <c r="A4360" t="s" s="2">
        <v>8182</v>
      </c>
      <c r="B4360" s="4">
        <v>35685</v>
      </c>
      <c r="C4360" s="5">
        <v>225</v>
      </c>
      <c r="D4360" s="5">
        <v>29</v>
      </c>
      <c r="E4360" s="5">
        <v>31</v>
      </c>
      <c r="F4360" t="s" s="2">
        <v>301</v>
      </c>
      <c r="G4360" t="s" s="2">
        <v>8070</v>
      </c>
      <c r="H4360" s="5">
        <v>760</v>
      </c>
      <c r="I4360" t="s" s="2">
        <v>331</v>
      </c>
      <c r="J4360" t="s" s="2">
        <v>22</v>
      </c>
      <c r="K4360" t="s" s="2">
        <v>8180</v>
      </c>
      <c r="L4360" t="s" s="2">
        <v>585</v>
      </c>
      <c r="M4360" s="5">
        <v>460806.13</v>
      </c>
      <c r="N4360" s="5">
        <v>6206614.17</v>
      </c>
      <c r="O4360" t="s" s="2">
        <v>305</v>
      </c>
      <c r="P4360" s="5">
        <v>8505371</v>
      </c>
      <c r="Q4360" t="s" s="2">
        <v>8073</v>
      </c>
      <c r="R4360" t="s" s="2">
        <f>_xlfn.IFERROR(INDEX('model_byCAP'!$D$2:$D$377,MATCH(Q4360,'model_byCAP'!$A$2:$A$377,0)),0)</f>
        <v>8074</v>
      </c>
    </row>
    <row r="4361" ht="15.35" customHeight="1">
      <c r="A4361" t="s" s="2">
        <v>8183</v>
      </c>
      <c r="B4361" s="4">
        <v>35685</v>
      </c>
      <c r="C4361" s="5">
        <v>225</v>
      </c>
      <c r="D4361" s="5">
        <v>29</v>
      </c>
      <c r="E4361" s="5">
        <v>31</v>
      </c>
      <c r="F4361" t="s" s="2">
        <v>301</v>
      </c>
      <c r="G4361" t="s" s="2">
        <v>8070</v>
      </c>
      <c r="H4361" s="5">
        <v>760</v>
      </c>
      <c r="I4361" t="s" s="2">
        <v>331</v>
      </c>
      <c r="J4361" t="s" s="2">
        <v>22</v>
      </c>
      <c r="K4361" t="s" s="2">
        <v>8180</v>
      </c>
      <c r="L4361" t="s" s="2">
        <v>8184</v>
      </c>
      <c r="M4361" s="5">
        <v>461446.82</v>
      </c>
      <c r="N4361" s="5">
        <v>6206859.33</v>
      </c>
      <c r="O4361" t="s" s="2">
        <v>305</v>
      </c>
      <c r="P4361" s="5">
        <v>8505371</v>
      </c>
      <c r="Q4361" t="s" s="2">
        <v>8073</v>
      </c>
      <c r="R4361" t="s" s="2">
        <f>_xlfn.IFERROR(INDEX('model_byCAP'!$D$2:$D$377,MATCH(Q4361,'model_byCAP'!$A$2:$A$377,0)),0)</f>
        <v>8074</v>
      </c>
    </row>
    <row r="4362" ht="15.35" customHeight="1">
      <c r="A4362" t="s" s="2">
        <v>8185</v>
      </c>
      <c r="B4362" s="4">
        <v>35685</v>
      </c>
      <c r="C4362" s="5">
        <v>225</v>
      </c>
      <c r="D4362" s="5">
        <v>29</v>
      </c>
      <c r="E4362" s="5">
        <v>31</v>
      </c>
      <c r="F4362" t="s" s="2">
        <v>301</v>
      </c>
      <c r="G4362" t="s" s="2">
        <v>8070</v>
      </c>
      <c r="H4362" s="5">
        <v>760</v>
      </c>
      <c r="I4362" t="s" s="2">
        <v>331</v>
      </c>
      <c r="J4362" t="s" s="2">
        <v>22</v>
      </c>
      <c r="K4362" t="s" s="2">
        <v>8180</v>
      </c>
      <c r="L4362" t="s" s="2">
        <v>2504</v>
      </c>
      <c r="M4362" s="5">
        <v>461607.97</v>
      </c>
      <c r="N4362" s="5">
        <v>6206988.18</v>
      </c>
      <c r="O4362" t="s" s="2">
        <v>305</v>
      </c>
      <c r="P4362" s="5">
        <v>8505371</v>
      </c>
      <c r="Q4362" t="s" s="2">
        <v>8073</v>
      </c>
      <c r="R4362" t="s" s="2">
        <f>_xlfn.IFERROR(INDEX('model_byCAP'!$D$2:$D$377,MATCH(Q4362,'model_byCAP'!$A$2:$A$377,0)),0)</f>
        <v>8074</v>
      </c>
    </row>
    <row r="4363" ht="15.35" customHeight="1">
      <c r="A4363" t="s" s="2">
        <v>8186</v>
      </c>
      <c r="B4363" s="4">
        <v>35685</v>
      </c>
      <c r="C4363" s="5">
        <v>225</v>
      </c>
      <c r="D4363" s="5">
        <v>29</v>
      </c>
      <c r="E4363" s="5">
        <v>31</v>
      </c>
      <c r="F4363" t="s" s="2">
        <v>301</v>
      </c>
      <c r="G4363" t="s" s="2">
        <v>8070</v>
      </c>
      <c r="H4363" s="5">
        <v>760</v>
      </c>
      <c r="I4363" t="s" s="2">
        <v>331</v>
      </c>
      <c r="J4363" t="s" s="2">
        <v>22</v>
      </c>
      <c r="K4363" t="s" s="2">
        <v>8180</v>
      </c>
      <c r="L4363" t="s" s="2">
        <v>4623</v>
      </c>
      <c r="M4363" s="5">
        <v>461289.78</v>
      </c>
      <c r="N4363" s="5">
        <v>6207000.27</v>
      </c>
      <c r="O4363" t="s" s="2">
        <v>305</v>
      </c>
      <c r="P4363" s="5">
        <v>8505371</v>
      </c>
      <c r="Q4363" t="s" s="2">
        <v>8073</v>
      </c>
      <c r="R4363" t="s" s="2">
        <f>_xlfn.IFERROR(INDEX('model_byCAP'!$D$2:$D$377,MATCH(Q4363,'model_byCAP'!$A$2:$A$377,0)),0)</f>
        <v>8074</v>
      </c>
    </row>
    <row r="4364" ht="15.35" customHeight="1">
      <c r="A4364" t="s" s="2">
        <v>8187</v>
      </c>
      <c r="B4364" s="4">
        <v>35685</v>
      </c>
      <c r="C4364" s="5">
        <v>225</v>
      </c>
      <c r="D4364" s="5">
        <v>29</v>
      </c>
      <c r="E4364" s="5">
        <v>31</v>
      </c>
      <c r="F4364" t="s" s="2">
        <v>301</v>
      </c>
      <c r="G4364" t="s" s="2">
        <v>8070</v>
      </c>
      <c r="H4364" s="5">
        <v>760</v>
      </c>
      <c r="I4364" t="s" s="2">
        <v>331</v>
      </c>
      <c r="J4364" t="s" s="2">
        <v>22</v>
      </c>
      <c r="K4364" t="s" s="2">
        <v>8180</v>
      </c>
      <c r="L4364" t="s" s="2">
        <v>2507</v>
      </c>
      <c r="M4364" s="5">
        <v>461450.14</v>
      </c>
      <c r="N4364" s="5">
        <v>6207128.84</v>
      </c>
      <c r="O4364" t="s" s="2">
        <v>305</v>
      </c>
      <c r="P4364" s="5">
        <v>8505371</v>
      </c>
      <c r="Q4364" t="s" s="2">
        <v>8073</v>
      </c>
      <c r="R4364" t="s" s="2">
        <f>_xlfn.IFERROR(INDEX('model_byCAP'!$D$2:$D$377,MATCH(Q4364,'model_byCAP'!$A$2:$A$377,0)),0)</f>
        <v>8074</v>
      </c>
    </row>
    <row r="4365" ht="15.35" customHeight="1">
      <c r="A4365" t="s" s="2">
        <v>8188</v>
      </c>
      <c r="B4365" s="4">
        <v>35685</v>
      </c>
      <c r="C4365" s="5">
        <v>225</v>
      </c>
      <c r="D4365" s="5">
        <v>29</v>
      </c>
      <c r="E4365" s="5">
        <v>31</v>
      </c>
      <c r="F4365" t="s" s="2">
        <v>301</v>
      </c>
      <c r="G4365" t="s" s="2">
        <v>8070</v>
      </c>
      <c r="H4365" s="5">
        <v>760</v>
      </c>
      <c r="I4365" t="s" s="2">
        <v>331</v>
      </c>
      <c r="J4365" t="s" s="2">
        <v>22</v>
      </c>
      <c r="K4365" t="s" s="2">
        <v>8180</v>
      </c>
      <c r="L4365" t="s" s="2">
        <v>3472</v>
      </c>
      <c r="M4365" s="5">
        <v>461599.8</v>
      </c>
      <c r="N4365" s="5">
        <v>6206449.94</v>
      </c>
      <c r="O4365" t="s" s="2">
        <v>305</v>
      </c>
      <c r="P4365" s="5">
        <v>8505371</v>
      </c>
      <c r="Q4365" t="s" s="2">
        <v>8073</v>
      </c>
      <c r="R4365" t="s" s="2">
        <f>_xlfn.IFERROR(INDEX('model_byCAP'!$D$2:$D$377,MATCH(Q4365,'model_byCAP'!$A$2:$A$377,0)),0)</f>
        <v>8074</v>
      </c>
    </row>
    <row r="4366" ht="15.35" customHeight="1">
      <c r="A4366" t="s" s="2">
        <v>8189</v>
      </c>
      <c r="B4366" s="4">
        <v>35685</v>
      </c>
      <c r="C4366" s="5">
        <v>225</v>
      </c>
      <c r="D4366" s="5">
        <v>29</v>
      </c>
      <c r="E4366" s="5">
        <v>31</v>
      </c>
      <c r="F4366" t="s" s="2">
        <v>301</v>
      </c>
      <c r="G4366" t="s" s="2">
        <v>8070</v>
      </c>
      <c r="H4366" s="5">
        <v>760</v>
      </c>
      <c r="I4366" t="s" s="2">
        <v>331</v>
      </c>
      <c r="J4366" t="s" s="2">
        <v>22</v>
      </c>
      <c r="K4366" t="s" s="2">
        <v>8180</v>
      </c>
      <c r="L4366" t="s" s="2">
        <v>8190</v>
      </c>
      <c r="M4366" s="5">
        <v>461758.42</v>
      </c>
      <c r="N4366" s="5">
        <v>6206309.16</v>
      </c>
      <c r="O4366" t="s" s="2">
        <v>305</v>
      </c>
      <c r="P4366" s="5">
        <v>8505371</v>
      </c>
      <c r="Q4366" t="s" s="2">
        <v>8073</v>
      </c>
      <c r="R4366" t="s" s="2">
        <f>_xlfn.IFERROR(INDEX('model_byCAP'!$D$2:$D$377,MATCH(Q4366,'model_byCAP'!$A$2:$A$377,0)),0)</f>
        <v>8074</v>
      </c>
    </row>
    <row r="4367" ht="15.35" customHeight="1">
      <c r="A4367" t="s" s="2">
        <v>8191</v>
      </c>
      <c r="B4367" s="4">
        <v>35685</v>
      </c>
      <c r="C4367" s="5">
        <v>225</v>
      </c>
      <c r="D4367" s="5">
        <v>29</v>
      </c>
      <c r="E4367" s="5">
        <v>29.6</v>
      </c>
      <c r="F4367" t="s" s="2">
        <v>301</v>
      </c>
      <c r="G4367" t="s" s="2">
        <v>8070</v>
      </c>
      <c r="H4367" s="5">
        <v>760</v>
      </c>
      <c r="I4367" t="s" s="2">
        <v>331</v>
      </c>
      <c r="J4367" t="s" s="2">
        <v>22</v>
      </c>
      <c r="K4367" t="s" s="2">
        <v>8180</v>
      </c>
      <c r="L4367" t="s" s="2">
        <v>4387</v>
      </c>
      <c r="M4367" s="5">
        <v>461603.68</v>
      </c>
      <c r="N4367" s="5">
        <v>6206719.01</v>
      </c>
      <c r="O4367" t="s" s="2">
        <v>305</v>
      </c>
      <c r="P4367" s="5">
        <v>8505371</v>
      </c>
      <c r="Q4367" t="s" s="2">
        <v>8073</v>
      </c>
      <c r="R4367" t="s" s="2">
        <f>_xlfn.IFERROR(INDEX('model_byCAP'!$D$2:$D$377,MATCH(Q4367,'model_byCAP'!$A$2:$A$377,0)),0)</f>
        <v>8074</v>
      </c>
    </row>
    <row r="4368" ht="15.35" customHeight="1">
      <c r="A4368" t="s" s="2">
        <v>8192</v>
      </c>
      <c r="B4368" s="4">
        <v>35685</v>
      </c>
      <c r="C4368" s="5">
        <v>225</v>
      </c>
      <c r="D4368" s="5">
        <v>29</v>
      </c>
      <c r="E4368" s="5">
        <v>29.6</v>
      </c>
      <c r="F4368" t="s" s="2">
        <v>301</v>
      </c>
      <c r="G4368" t="s" s="2">
        <v>8070</v>
      </c>
      <c r="H4368" s="5">
        <v>760</v>
      </c>
      <c r="I4368" t="s" s="2">
        <v>331</v>
      </c>
      <c r="J4368" t="s" s="2">
        <v>22</v>
      </c>
      <c r="K4368" t="s" s="2">
        <v>8180</v>
      </c>
      <c r="L4368" t="s" s="2">
        <v>8193</v>
      </c>
      <c r="M4368" s="5">
        <v>461763.88</v>
      </c>
      <c r="N4368" s="5">
        <v>6206847.51</v>
      </c>
      <c r="O4368" t="s" s="2">
        <v>305</v>
      </c>
      <c r="P4368" s="5">
        <v>8505371</v>
      </c>
      <c r="Q4368" t="s" s="2">
        <v>8073</v>
      </c>
      <c r="R4368" t="s" s="2">
        <f>_xlfn.IFERROR(INDEX('model_byCAP'!$D$2:$D$377,MATCH(Q4368,'model_byCAP'!$A$2:$A$377,0)),0)</f>
        <v>8074</v>
      </c>
    </row>
    <row r="4369" ht="15.35" customHeight="1">
      <c r="A4369" t="s" s="2">
        <v>8194</v>
      </c>
      <c r="B4369" s="4">
        <v>35685</v>
      </c>
      <c r="C4369" s="5">
        <v>225</v>
      </c>
      <c r="D4369" s="5">
        <v>29</v>
      </c>
      <c r="E4369" s="5">
        <v>29.6</v>
      </c>
      <c r="F4369" t="s" s="2">
        <v>301</v>
      </c>
      <c r="G4369" t="s" s="2">
        <v>8070</v>
      </c>
      <c r="H4369" s="5">
        <v>760</v>
      </c>
      <c r="I4369" t="s" s="2">
        <v>331</v>
      </c>
      <c r="J4369" t="s" s="2">
        <v>22</v>
      </c>
      <c r="K4369" t="s" s="2">
        <v>8180</v>
      </c>
      <c r="L4369" t="s" s="2">
        <v>8195</v>
      </c>
      <c r="M4369" s="5">
        <v>462075.64</v>
      </c>
      <c r="N4369" s="5">
        <v>6206296.72</v>
      </c>
      <c r="O4369" t="s" s="2">
        <v>305</v>
      </c>
      <c r="P4369" s="5">
        <v>8505371</v>
      </c>
      <c r="Q4369" t="s" s="2">
        <v>8073</v>
      </c>
      <c r="R4369" t="s" s="2">
        <f>_xlfn.IFERROR(INDEX('model_byCAP'!$D$2:$D$377,MATCH(Q4369,'model_byCAP'!$A$2:$A$377,0)),0)</f>
        <v>8074</v>
      </c>
    </row>
    <row r="4370" ht="15.35" customHeight="1">
      <c r="A4370" t="s" s="2">
        <v>8196</v>
      </c>
      <c r="B4370" s="4">
        <v>35685</v>
      </c>
      <c r="C4370" s="5">
        <v>225</v>
      </c>
      <c r="D4370" s="5">
        <v>29</v>
      </c>
      <c r="E4370" s="5">
        <v>29.6</v>
      </c>
      <c r="F4370" t="s" s="2">
        <v>301</v>
      </c>
      <c r="G4370" t="s" s="2">
        <v>8070</v>
      </c>
      <c r="H4370" s="5">
        <v>760</v>
      </c>
      <c r="I4370" t="s" s="2">
        <v>331</v>
      </c>
      <c r="J4370" t="s" s="2">
        <v>22</v>
      </c>
      <c r="K4370" t="s" s="2">
        <v>8180</v>
      </c>
      <c r="L4370" t="s" s="2">
        <v>4955</v>
      </c>
      <c r="M4370" s="5">
        <v>461435.51</v>
      </c>
      <c r="N4370" s="5">
        <v>6206052.41</v>
      </c>
      <c r="O4370" t="s" s="2">
        <v>305</v>
      </c>
      <c r="P4370" s="5">
        <v>8505371</v>
      </c>
      <c r="Q4370" t="s" s="2">
        <v>8073</v>
      </c>
      <c r="R4370" t="s" s="2">
        <f>_xlfn.IFERROR(INDEX('model_byCAP'!$D$2:$D$377,MATCH(Q4370,'model_byCAP'!$A$2:$A$377,0)),0)</f>
        <v>8074</v>
      </c>
    </row>
    <row r="4371" ht="15.35" customHeight="1">
      <c r="A4371" t="s" s="2">
        <v>8197</v>
      </c>
      <c r="B4371" s="4">
        <v>35685</v>
      </c>
      <c r="C4371" s="5">
        <v>225</v>
      </c>
      <c r="D4371" s="5">
        <v>29</v>
      </c>
      <c r="E4371" s="5">
        <v>29.6</v>
      </c>
      <c r="F4371" t="s" s="2">
        <v>301</v>
      </c>
      <c r="G4371" t="s" s="2">
        <v>8070</v>
      </c>
      <c r="H4371" s="5">
        <v>760</v>
      </c>
      <c r="I4371" t="s" s="2">
        <v>331</v>
      </c>
      <c r="J4371" t="s" s="2">
        <v>22</v>
      </c>
      <c r="K4371" t="s" s="2">
        <v>8198</v>
      </c>
      <c r="L4371" t="s" s="2">
        <v>4390</v>
      </c>
      <c r="M4371" s="5">
        <v>460964.17</v>
      </c>
      <c r="N4371" s="5">
        <v>6206473.59</v>
      </c>
      <c r="O4371" t="s" s="2">
        <v>305</v>
      </c>
      <c r="P4371" s="5">
        <v>8505371</v>
      </c>
      <c r="Q4371" t="s" s="2">
        <v>8073</v>
      </c>
      <c r="R4371" t="s" s="2">
        <f>_xlfn.IFERROR(INDEX('model_byCAP'!$D$2:$D$377,MATCH(Q4371,'model_byCAP'!$A$2:$A$377,0)),0)</f>
        <v>8074</v>
      </c>
    </row>
    <row r="4372" ht="15.35" customHeight="1">
      <c r="A4372" t="s" s="2">
        <v>8199</v>
      </c>
      <c r="B4372" s="4">
        <v>35685</v>
      </c>
      <c r="C4372" s="5">
        <v>225</v>
      </c>
      <c r="D4372" s="5">
        <v>29</v>
      </c>
      <c r="E4372" s="5">
        <v>29.6</v>
      </c>
      <c r="F4372" t="s" s="2">
        <v>301</v>
      </c>
      <c r="G4372" t="s" s="2">
        <v>8070</v>
      </c>
      <c r="H4372" s="5">
        <v>760</v>
      </c>
      <c r="I4372" t="s" s="2">
        <v>331</v>
      </c>
      <c r="J4372" t="s" s="2">
        <v>22</v>
      </c>
      <c r="K4372" t="s" s="2">
        <v>8198</v>
      </c>
      <c r="L4372" t="s" s="2">
        <v>2299</v>
      </c>
      <c r="M4372" s="5">
        <v>461440.22</v>
      </c>
      <c r="N4372" s="5">
        <v>6206322.06</v>
      </c>
      <c r="O4372" t="s" s="2">
        <v>305</v>
      </c>
      <c r="P4372" s="5">
        <v>8505371</v>
      </c>
      <c r="Q4372" t="s" s="2">
        <v>8073</v>
      </c>
      <c r="R4372" t="s" s="2">
        <f>_xlfn.IFERROR(INDEX('model_byCAP'!$D$2:$D$377,MATCH(Q4372,'model_byCAP'!$A$2:$A$377,0)),0)</f>
        <v>8074</v>
      </c>
    </row>
    <row r="4373" ht="15.35" customHeight="1">
      <c r="A4373" t="s" s="2">
        <v>8200</v>
      </c>
      <c r="B4373" s="4">
        <v>35685</v>
      </c>
      <c r="C4373" s="5">
        <v>225</v>
      </c>
      <c r="D4373" s="5">
        <v>29</v>
      </c>
      <c r="E4373" s="5">
        <v>29.6</v>
      </c>
      <c r="F4373" t="s" s="2">
        <v>301</v>
      </c>
      <c r="G4373" t="s" s="2">
        <v>8070</v>
      </c>
      <c r="H4373" s="5">
        <v>760</v>
      </c>
      <c r="I4373" t="s" s="2">
        <v>331</v>
      </c>
      <c r="J4373" t="s" s="2">
        <v>22</v>
      </c>
      <c r="K4373" t="s" s="2">
        <v>8198</v>
      </c>
      <c r="L4373" t="s" s="2">
        <v>1363</v>
      </c>
      <c r="M4373" s="5">
        <v>461432.02</v>
      </c>
      <c r="N4373" s="5">
        <v>6205783.32</v>
      </c>
      <c r="O4373" t="s" s="2">
        <v>305</v>
      </c>
      <c r="P4373" s="5">
        <v>8505371</v>
      </c>
      <c r="Q4373" t="s" s="2">
        <v>8073</v>
      </c>
      <c r="R4373" t="s" s="2">
        <f>_xlfn.IFERROR(INDEX('model_byCAP'!$D$2:$D$377,MATCH(Q4373,'model_byCAP'!$A$2:$A$377,0)),0)</f>
        <v>8074</v>
      </c>
    </row>
    <row r="4374" ht="15.35" customHeight="1">
      <c r="A4374" t="s" s="2">
        <v>8201</v>
      </c>
      <c r="B4374" s="4">
        <v>35752</v>
      </c>
      <c r="C4374" s="5">
        <v>225</v>
      </c>
      <c r="D4374" s="5">
        <v>29</v>
      </c>
      <c r="E4374" s="5">
        <v>29.6</v>
      </c>
      <c r="F4374" t="s" s="2">
        <v>301</v>
      </c>
      <c r="G4374" t="s" s="2">
        <v>8070</v>
      </c>
      <c r="H4374" s="5">
        <v>760</v>
      </c>
      <c r="I4374" t="s" s="2">
        <v>331</v>
      </c>
      <c r="J4374" t="s" s="2">
        <v>22</v>
      </c>
      <c r="K4374" t="s" s="2">
        <v>8198</v>
      </c>
      <c r="L4374" t="s" s="2">
        <v>198</v>
      </c>
      <c r="M4374" s="5">
        <v>461282.07</v>
      </c>
      <c r="N4374" s="5">
        <v>6206462.09</v>
      </c>
      <c r="O4374" t="s" s="2">
        <v>305</v>
      </c>
      <c r="P4374" s="5">
        <v>8505371</v>
      </c>
      <c r="Q4374" t="s" s="2">
        <v>8073</v>
      </c>
      <c r="R4374" t="s" s="2">
        <f>_xlfn.IFERROR(INDEX('model_byCAP'!$D$2:$D$377,MATCH(Q4374,'model_byCAP'!$A$2:$A$377,0)),0)</f>
        <v>8074</v>
      </c>
    </row>
    <row r="4375" ht="15.35" customHeight="1">
      <c r="A4375" t="s" s="2">
        <v>8202</v>
      </c>
      <c r="B4375" s="4">
        <v>35685</v>
      </c>
      <c r="C4375" s="5">
        <v>225</v>
      </c>
      <c r="D4375" s="5">
        <v>29</v>
      </c>
      <c r="E4375" s="5">
        <v>29.6</v>
      </c>
      <c r="F4375" t="s" s="2">
        <v>301</v>
      </c>
      <c r="G4375" t="s" s="2">
        <v>8070</v>
      </c>
      <c r="H4375" s="5">
        <v>760</v>
      </c>
      <c r="I4375" t="s" s="2">
        <v>331</v>
      </c>
      <c r="J4375" t="s" s="2">
        <v>22</v>
      </c>
      <c r="K4375" t="s" s="2">
        <v>8198</v>
      </c>
      <c r="L4375" t="s" s="2">
        <v>2336</v>
      </c>
      <c r="M4375" s="5">
        <v>461279</v>
      </c>
      <c r="N4375" s="5">
        <v>6206192.9</v>
      </c>
      <c r="O4375" t="s" s="2">
        <v>305</v>
      </c>
      <c r="P4375" s="5">
        <v>8505371</v>
      </c>
      <c r="Q4375" t="s" s="2">
        <v>8073</v>
      </c>
      <c r="R4375" t="s" s="2">
        <f>_xlfn.IFERROR(INDEX('model_byCAP'!$D$2:$D$377,MATCH(Q4375,'model_byCAP'!$A$2:$A$377,0)),0)</f>
        <v>8074</v>
      </c>
    </row>
    <row r="4376" ht="15.35" customHeight="1">
      <c r="A4376" t="s" s="2">
        <v>8203</v>
      </c>
      <c r="B4376" s="4">
        <v>35685</v>
      </c>
      <c r="C4376" s="5">
        <v>225</v>
      </c>
      <c r="D4376" s="5">
        <v>29</v>
      </c>
      <c r="E4376" s="5">
        <v>27.8</v>
      </c>
      <c r="F4376" t="s" s="2">
        <v>301</v>
      </c>
      <c r="G4376" t="s" s="2">
        <v>8070</v>
      </c>
      <c r="H4376" s="5">
        <v>760</v>
      </c>
      <c r="I4376" t="s" s="2">
        <v>331</v>
      </c>
      <c r="J4376" t="s" s="2">
        <v>22</v>
      </c>
      <c r="K4376" t="s" s="2">
        <v>8204</v>
      </c>
      <c r="L4376" t="s" s="2">
        <v>405</v>
      </c>
      <c r="M4376" s="5">
        <v>462078.67</v>
      </c>
      <c r="N4376" s="5">
        <v>6206566.56</v>
      </c>
      <c r="O4376" t="s" s="2">
        <v>305</v>
      </c>
      <c r="P4376" s="5">
        <v>8505371</v>
      </c>
      <c r="Q4376" t="s" s="2">
        <v>8073</v>
      </c>
      <c r="R4376" t="s" s="2">
        <f>_xlfn.IFERROR(INDEX('model_byCAP'!$D$2:$D$377,MATCH(Q4376,'model_byCAP'!$A$2:$A$377,0)),0)</f>
        <v>8074</v>
      </c>
    </row>
    <row r="4377" ht="15.35" customHeight="1">
      <c r="A4377" t="s" s="2">
        <v>8205</v>
      </c>
      <c r="B4377" s="4">
        <v>35685</v>
      </c>
      <c r="C4377" s="5">
        <v>225</v>
      </c>
      <c r="D4377" s="5">
        <v>29</v>
      </c>
      <c r="E4377" s="5">
        <v>27.8</v>
      </c>
      <c r="F4377" t="s" s="2">
        <v>301</v>
      </c>
      <c r="G4377" t="s" s="2">
        <v>8070</v>
      </c>
      <c r="H4377" s="5">
        <v>760</v>
      </c>
      <c r="I4377" t="s" s="2">
        <v>331</v>
      </c>
      <c r="J4377" t="s" s="2">
        <v>22</v>
      </c>
      <c r="K4377" t="s" s="2">
        <v>8198</v>
      </c>
      <c r="L4377" t="s" s="2">
        <v>2744</v>
      </c>
      <c r="M4377" s="5">
        <v>461593.3</v>
      </c>
      <c r="N4377" s="5">
        <v>6205911.72</v>
      </c>
      <c r="O4377" t="s" s="2">
        <v>305</v>
      </c>
      <c r="P4377" s="5">
        <v>8505371</v>
      </c>
      <c r="Q4377" t="s" s="2">
        <v>8073</v>
      </c>
      <c r="R4377" t="s" s="2">
        <f>_xlfn.IFERROR(INDEX('model_byCAP'!$D$2:$D$377,MATCH(Q4377,'model_byCAP'!$A$2:$A$377,0)),0)</f>
        <v>8074</v>
      </c>
    </row>
    <row r="4378" ht="15.35" customHeight="1">
      <c r="A4378" t="s" s="2">
        <v>8206</v>
      </c>
      <c r="B4378" s="4">
        <v>35685</v>
      </c>
      <c r="C4378" s="5">
        <v>225</v>
      </c>
      <c r="D4378" s="5">
        <v>29</v>
      </c>
      <c r="E4378" s="5">
        <v>29.6</v>
      </c>
      <c r="F4378" t="s" s="2">
        <v>301</v>
      </c>
      <c r="G4378" t="s" s="2">
        <v>8070</v>
      </c>
      <c r="H4378" s="5">
        <v>760</v>
      </c>
      <c r="I4378" t="s" s="2">
        <v>331</v>
      </c>
      <c r="J4378" t="s" s="2">
        <v>22</v>
      </c>
      <c r="K4378" t="s" s="2">
        <v>8180</v>
      </c>
      <c r="L4378" t="s" s="2">
        <v>8207</v>
      </c>
      <c r="M4378" s="5">
        <v>461917.86</v>
      </c>
      <c r="N4378" s="5">
        <v>6206437.83</v>
      </c>
      <c r="O4378" t="s" s="2">
        <v>305</v>
      </c>
      <c r="P4378" s="5">
        <v>8505371</v>
      </c>
      <c r="Q4378" t="s" s="2">
        <v>8073</v>
      </c>
      <c r="R4378" t="s" s="2">
        <f>_xlfn.IFERROR(INDEX('model_byCAP'!$D$2:$D$377,MATCH(Q4378,'model_byCAP'!$A$2:$A$377,0)),0)</f>
        <v>8074</v>
      </c>
    </row>
    <row r="4379" ht="15.35" customHeight="1">
      <c r="A4379" t="s" s="2">
        <v>8208</v>
      </c>
      <c r="B4379" s="4">
        <v>35685</v>
      </c>
      <c r="C4379" s="5">
        <v>225</v>
      </c>
      <c r="D4379" s="5">
        <v>29</v>
      </c>
      <c r="E4379" s="5">
        <v>29.6</v>
      </c>
      <c r="F4379" t="s" s="2">
        <v>301</v>
      </c>
      <c r="G4379" t="s" s="2">
        <v>8070</v>
      </c>
      <c r="H4379" s="5">
        <v>760</v>
      </c>
      <c r="I4379" t="s" s="2">
        <v>331</v>
      </c>
      <c r="J4379" t="s" s="2">
        <v>22</v>
      </c>
      <c r="K4379" t="s" s="2">
        <v>8180</v>
      </c>
      <c r="L4379" t="s" s="2">
        <v>8209</v>
      </c>
      <c r="M4379" s="5">
        <v>461915.63</v>
      </c>
      <c r="N4379" s="5">
        <v>6206168.22</v>
      </c>
      <c r="O4379" t="s" s="2">
        <v>305</v>
      </c>
      <c r="P4379" s="5">
        <v>8505371</v>
      </c>
      <c r="Q4379" t="s" s="2">
        <v>8073</v>
      </c>
      <c r="R4379" t="s" s="2">
        <f>_xlfn.IFERROR(INDEX('model_byCAP'!$D$2:$D$377,MATCH(Q4379,'model_byCAP'!$A$2:$A$377,0)),0)</f>
        <v>8074</v>
      </c>
    </row>
    <row r="4380" ht="15.35" customHeight="1">
      <c r="A4380" t="s" s="2">
        <v>8210</v>
      </c>
      <c r="B4380" s="4">
        <v>35685</v>
      </c>
      <c r="C4380" s="5">
        <v>225</v>
      </c>
      <c r="D4380" s="5">
        <v>29</v>
      </c>
      <c r="E4380" s="5">
        <v>29.6</v>
      </c>
      <c r="F4380" t="s" s="2">
        <v>301</v>
      </c>
      <c r="G4380" t="s" s="2">
        <v>8070</v>
      </c>
      <c r="H4380" s="5">
        <v>760</v>
      </c>
      <c r="I4380" t="s" s="2">
        <v>331</v>
      </c>
      <c r="J4380" t="s" s="2">
        <v>22</v>
      </c>
      <c r="K4380" t="s" s="2">
        <v>8180</v>
      </c>
      <c r="L4380" t="s" s="2">
        <v>5875</v>
      </c>
      <c r="M4380" s="5">
        <v>461754.51</v>
      </c>
      <c r="N4380" s="5">
        <v>6206040.17</v>
      </c>
      <c r="O4380" t="s" s="2">
        <v>305</v>
      </c>
      <c r="P4380" s="5">
        <v>8505371</v>
      </c>
      <c r="Q4380" t="s" s="2">
        <v>8073</v>
      </c>
      <c r="R4380" t="s" s="2">
        <f>_xlfn.IFERROR(INDEX('model_byCAP'!$D$2:$D$377,MATCH(Q4380,'model_byCAP'!$A$2:$A$377,0)),0)</f>
        <v>8074</v>
      </c>
    </row>
    <row r="4381" ht="15.35" customHeight="1">
      <c r="A4381" t="s" s="2">
        <v>8211</v>
      </c>
      <c r="B4381" s="4">
        <v>35744</v>
      </c>
      <c r="C4381" s="5">
        <v>225</v>
      </c>
      <c r="D4381" s="5">
        <v>29</v>
      </c>
      <c r="E4381" s="5">
        <v>31</v>
      </c>
      <c r="F4381" t="s" s="2">
        <v>301</v>
      </c>
      <c r="G4381" t="s" s="2">
        <v>8070</v>
      </c>
      <c r="H4381" s="5">
        <v>760</v>
      </c>
      <c r="I4381" t="s" s="2">
        <v>331</v>
      </c>
      <c r="J4381" t="s" s="2">
        <v>22</v>
      </c>
      <c r="K4381" t="s" s="2">
        <v>8212</v>
      </c>
      <c r="L4381" t="s" s="2">
        <v>7807</v>
      </c>
      <c r="M4381" s="5">
        <v>460635.08</v>
      </c>
      <c r="N4381" s="5">
        <v>6205678.71</v>
      </c>
      <c r="O4381" t="s" s="2">
        <v>305</v>
      </c>
      <c r="P4381" s="5">
        <v>8505861</v>
      </c>
      <c r="Q4381" t="s" s="2">
        <v>8073</v>
      </c>
      <c r="R4381" t="s" s="2">
        <f>_xlfn.IFERROR(INDEX('model_byCAP'!$D$2:$D$377,MATCH(Q4381,'model_byCAP'!$A$2:$A$377,0)),0)</f>
        <v>8074</v>
      </c>
    </row>
    <row r="4382" ht="15.35" customHeight="1">
      <c r="A4382" t="s" s="2">
        <v>8213</v>
      </c>
      <c r="B4382" s="4">
        <v>35735</v>
      </c>
      <c r="C4382" s="5">
        <v>225</v>
      </c>
      <c r="D4382" s="5">
        <v>29</v>
      </c>
      <c r="E4382" s="5">
        <v>31</v>
      </c>
      <c r="F4382" t="s" s="2">
        <v>301</v>
      </c>
      <c r="G4382" t="s" s="2">
        <v>8070</v>
      </c>
      <c r="H4382" s="5">
        <v>760</v>
      </c>
      <c r="I4382" t="s" s="2">
        <v>331</v>
      </c>
      <c r="J4382" t="s" s="2">
        <v>22</v>
      </c>
      <c r="K4382" t="s" s="2">
        <v>8212</v>
      </c>
      <c r="L4382" t="s" s="2">
        <v>850</v>
      </c>
      <c r="M4382" s="5">
        <v>460477.82</v>
      </c>
      <c r="N4382" s="5">
        <v>6205818.95</v>
      </c>
      <c r="O4382" t="s" s="2">
        <v>305</v>
      </c>
      <c r="P4382" s="5">
        <v>8505861</v>
      </c>
      <c r="Q4382" t="s" s="2">
        <v>8073</v>
      </c>
      <c r="R4382" t="s" s="2">
        <f>_xlfn.IFERROR(INDEX('model_byCAP'!$D$2:$D$377,MATCH(Q4382,'model_byCAP'!$A$2:$A$377,0)),0)</f>
        <v>8074</v>
      </c>
    </row>
    <row r="4383" ht="15.35" customHeight="1">
      <c r="A4383" t="s" s="2">
        <v>8214</v>
      </c>
      <c r="B4383" s="4">
        <v>35699</v>
      </c>
      <c r="C4383" s="5">
        <v>225</v>
      </c>
      <c r="D4383" s="5">
        <v>29</v>
      </c>
      <c r="E4383" s="5">
        <v>31</v>
      </c>
      <c r="F4383" t="s" s="2">
        <v>301</v>
      </c>
      <c r="G4383" t="s" s="2">
        <v>8070</v>
      </c>
      <c r="H4383" s="5">
        <v>760</v>
      </c>
      <c r="I4383" t="s" s="2">
        <v>331</v>
      </c>
      <c r="J4383" t="s" s="2">
        <v>22</v>
      </c>
      <c r="K4383" t="s" s="2">
        <v>8215</v>
      </c>
      <c r="L4383" t="s" s="2">
        <v>8216</v>
      </c>
      <c r="M4383" s="5">
        <v>460162.78</v>
      </c>
      <c r="N4383" s="5">
        <v>6206100.37</v>
      </c>
      <c r="O4383" t="s" s="2">
        <v>305</v>
      </c>
      <c r="P4383" s="5">
        <v>8505861</v>
      </c>
      <c r="Q4383" t="s" s="2">
        <v>8073</v>
      </c>
      <c r="R4383" t="s" s="2">
        <f>_xlfn.IFERROR(INDEX('model_byCAP'!$D$2:$D$377,MATCH(Q4383,'model_byCAP'!$A$2:$A$377,0)),0)</f>
        <v>8074</v>
      </c>
    </row>
    <row r="4384" ht="15.35" customHeight="1">
      <c r="A4384" t="s" s="2">
        <v>8217</v>
      </c>
      <c r="B4384" s="4">
        <v>35720</v>
      </c>
      <c r="C4384" s="5">
        <v>225</v>
      </c>
      <c r="D4384" s="5">
        <v>29</v>
      </c>
      <c r="E4384" s="5">
        <v>31</v>
      </c>
      <c r="F4384" t="s" s="2">
        <v>301</v>
      </c>
      <c r="G4384" t="s" s="2">
        <v>8070</v>
      </c>
      <c r="H4384" s="5">
        <v>760</v>
      </c>
      <c r="I4384" t="s" s="2">
        <v>331</v>
      </c>
      <c r="J4384" t="s" s="2">
        <v>22</v>
      </c>
      <c r="K4384" t="s" s="2">
        <v>8212</v>
      </c>
      <c r="L4384" t="s" s="2">
        <v>8218</v>
      </c>
      <c r="M4384" s="5">
        <v>460642.29</v>
      </c>
      <c r="N4384" s="5">
        <v>6206216.94</v>
      </c>
      <c r="O4384" t="s" s="2">
        <v>305</v>
      </c>
      <c r="P4384" s="5">
        <v>8505861</v>
      </c>
      <c r="Q4384" t="s" s="2">
        <v>8073</v>
      </c>
      <c r="R4384" t="s" s="2">
        <f>_xlfn.IFERROR(INDEX('model_byCAP'!$D$2:$D$377,MATCH(Q4384,'model_byCAP'!$A$2:$A$377,0)),0)</f>
        <v>8074</v>
      </c>
    </row>
    <row r="4385" ht="15.35" customHeight="1">
      <c r="A4385" t="s" s="2">
        <v>8219</v>
      </c>
      <c r="B4385" s="4">
        <v>35704</v>
      </c>
      <c r="C4385" s="5">
        <v>225</v>
      </c>
      <c r="D4385" s="5">
        <v>29</v>
      </c>
      <c r="E4385" s="5">
        <v>31</v>
      </c>
      <c r="F4385" t="s" s="2">
        <v>301</v>
      </c>
      <c r="G4385" t="s" s="2">
        <v>8070</v>
      </c>
      <c r="H4385" s="5">
        <v>760</v>
      </c>
      <c r="I4385" t="s" s="2">
        <v>331</v>
      </c>
      <c r="J4385" t="s" s="2">
        <v>22</v>
      </c>
      <c r="K4385" t="s" s="2">
        <v>8212</v>
      </c>
      <c r="L4385" t="s" s="2">
        <v>8220</v>
      </c>
      <c r="M4385" s="5">
        <v>460481.17</v>
      </c>
      <c r="N4385" s="5">
        <v>6206088.7</v>
      </c>
      <c r="O4385" t="s" s="2">
        <v>305</v>
      </c>
      <c r="P4385" s="5">
        <v>8505861</v>
      </c>
      <c r="Q4385" t="s" s="2">
        <v>8073</v>
      </c>
      <c r="R4385" t="s" s="2">
        <f>_xlfn.IFERROR(INDEX('model_byCAP'!$D$2:$D$377,MATCH(Q4385,'model_byCAP'!$A$2:$A$377,0)),0)</f>
        <v>8074</v>
      </c>
    </row>
    <row r="4386" ht="15.35" customHeight="1">
      <c r="A4386" t="s" s="2">
        <v>8221</v>
      </c>
      <c r="B4386" s="4">
        <v>35736</v>
      </c>
      <c r="C4386" s="5">
        <v>225</v>
      </c>
      <c r="D4386" s="5">
        <v>29</v>
      </c>
      <c r="E4386" s="5">
        <v>31</v>
      </c>
      <c r="F4386" t="s" s="2">
        <v>301</v>
      </c>
      <c r="G4386" t="s" s="2">
        <v>8070</v>
      </c>
      <c r="H4386" s="5">
        <v>760</v>
      </c>
      <c r="I4386" t="s" s="2">
        <v>331</v>
      </c>
      <c r="J4386" t="s" s="2">
        <v>22</v>
      </c>
      <c r="K4386" t="s" s="2">
        <v>8212</v>
      </c>
      <c r="L4386" t="s" s="2">
        <v>8222</v>
      </c>
      <c r="M4386" s="5">
        <v>460795.22</v>
      </c>
      <c r="N4386" s="5">
        <v>6205807.62</v>
      </c>
      <c r="O4386" t="s" s="2">
        <v>305</v>
      </c>
      <c r="P4386" s="5">
        <v>8505861</v>
      </c>
      <c r="Q4386" t="s" s="2">
        <v>8073</v>
      </c>
      <c r="R4386" t="s" s="2">
        <f>_xlfn.IFERROR(INDEX('model_byCAP'!$D$2:$D$377,MATCH(Q4386,'model_byCAP'!$A$2:$A$377,0)),0)</f>
        <v>8074</v>
      </c>
    </row>
    <row r="4387" ht="15.35" customHeight="1">
      <c r="A4387" t="s" s="2">
        <v>8223</v>
      </c>
      <c r="B4387" s="4">
        <v>35774</v>
      </c>
      <c r="C4387" s="5">
        <v>225</v>
      </c>
      <c r="D4387" s="5">
        <v>27</v>
      </c>
      <c r="E4387" s="5">
        <v>31.5</v>
      </c>
      <c r="F4387" t="s" s="2">
        <v>301</v>
      </c>
      <c r="G4387" t="s" s="2">
        <v>8079</v>
      </c>
      <c r="H4387" s="5">
        <v>773</v>
      </c>
      <c r="I4387" t="s" s="2">
        <v>1648</v>
      </c>
      <c r="J4387" t="s" s="2">
        <v>22</v>
      </c>
      <c r="K4387" t="s" s="2">
        <v>8224</v>
      </c>
      <c r="L4387" t="s" s="2">
        <v>1256</v>
      </c>
      <c r="M4387" s="5">
        <v>491528.49</v>
      </c>
      <c r="N4387" s="5">
        <v>6306808.17</v>
      </c>
      <c r="O4387" t="s" s="2">
        <v>305</v>
      </c>
      <c r="P4387" s="5">
        <v>222876</v>
      </c>
      <c r="Q4387" t="s" s="2">
        <v>8081</v>
      </c>
      <c r="R4387" t="s" s="2">
        <f>_xlfn.IFERROR(INDEX('model_byCAP'!$D$2:$D$377,MATCH(Q4387,'model_byCAP'!$A$2:$A$377,0)),0)</f>
        <v>8082</v>
      </c>
    </row>
    <row r="4388" ht="15.35" customHeight="1">
      <c r="A4388" t="s" s="2">
        <v>8225</v>
      </c>
      <c r="B4388" s="4">
        <v>35664</v>
      </c>
      <c r="C4388" s="5">
        <v>225</v>
      </c>
      <c r="D4388" s="5">
        <v>27</v>
      </c>
      <c r="E4388" s="5">
        <v>31.5</v>
      </c>
      <c r="F4388" t="s" s="2">
        <v>301</v>
      </c>
      <c r="G4388" t="s" s="2">
        <v>8070</v>
      </c>
      <c r="H4388" s="5">
        <v>773</v>
      </c>
      <c r="I4388" t="s" s="2">
        <v>1648</v>
      </c>
      <c r="J4388" t="s" s="2">
        <v>22</v>
      </c>
      <c r="K4388" t="s" s="2">
        <v>8226</v>
      </c>
      <c r="L4388" t="s" s="2">
        <v>6057</v>
      </c>
      <c r="M4388" s="5">
        <v>475020.48</v>
      </c>
      <c r="N4388" s="5">
        <v>6294081.42</v>
      </c>
      <c r="O4388" t="s" s="2">
        <v>305</v>
      </c>
      <c r="P4388" s="5">
        <v>222898</v>
      </c>
      <c r="Q4388" t="s" s="2">
        <v>8073</v>
      </c>
      <c r="R4388" t="s" s="2">
        <f>_xlfn.IFERROR(INDEX('model_byCAP'!$D$2:$D$377,MATCH(Q4388,'model_byCAP'!$A$2:$A$377,0)),0)</f>
        <v>8074</v>
      </c>
    </row>
    <row r="4389" ht="15.35" customHeight="1">
      <c r="A4389" t="s" s="2">
        <v>8227</v>
      </c>
      <c r="B4389" s="4">
        <v>35247</v>
      </c>
      <c r="C4389" s="5">
        <v>225</v>
      </c>
      <c r="D4389" s="5">
        <v>27</v>
      </c>
      <c r="E4389" s="5">
        <v>31.5</v>
      </c>
      <c r="F4389" t="s" s="2">
        <v>301</v>
      </c>
      <c r="G4389" t="s" s="2">
        <v>8079</v>
      </c>
      <c r="H4389" s="5">
        <v>773</v>
      </c>
      <c r="I4389" t="s" s="2">
        <v>1648</v>
      </c>
      <c r="J4389" t="s" s="2">
        <v>22</v>
      </c>
      <c r="K4389" t="s" s="2">
        <v>8228</v>
      </c>
      <c r="L4389" t="s" s="2">
        <v>524</v>
      </c>
      <c r="M4389" s="5">
        <v>481971.29</v>
      </c>
      <c r="N4389" s="5">
        <v>6303599.77</v>
      </c>
      <c r="O4389" t="s" s="2">
        <v>305</v>
      </c>
      <c r="P4389" s="5">
        <v>222906</v>
      </c>
      <c r="Q4389" t="s" s="2">
        <v>8081</v>
      </c>
      <c r="R4389" t="s" s="2">
        <f>_xlfn.IFERROR(INDEX('model_byCAP'!$D$2:$D$377,MATCH(Q4389,'model_byCAP'!$A$2:$A$377,0)),0)</f>
        <v>8082</v>
      </c>
    </row>
    <row r="4390" ht="15.35" customHeight="1">
      <c r="A4390" t="s" s="2">
        <v>8229</v>
      </c>
      <c r="B4390" s="4">
        <v>32912</v>
      </c>
      <c r="C4390" s="5">
        <v>225</v>
      </c>
      <c r="D4390" s="5">
        <v>27</v>
      </c>
      <c r="E4390" s="5">
        <v>31.5</v>
      </c>
      <c r="F4390" t="s" s="2">
        <v>301</v>
      </c>
      <c r="G4390" t="s" s="2">
        <v>8079</v>
      </c>
      <c r="H4390" s="5">
        <v>773</v>
      </c>
      <c r="I4390" t="s" s="2">
        <v>1648</v>
      </c>
      <c r="J4390" t="s" s="2">
        <v>22</v>
      </c>
      <c r="K4390" t="s" s="2">
        <v>3871</v>
      </c>
      <c r="L4390" t="s" s="2">
        <v>910</v>
      </c>
      <c r="M4390" s="5">
        <v>484761.58</v>
      </c>
      <c r="N4390" s="5">
        <v>6297025.86</v>
      </c>
      <c r="O4390" t="s" s="2">
        <v>305</v>
      </c>
      <c r="P4390" s="5">
        <v>222940</v>
      </c>
      <c r="Q4390" t="s" s="2">
        <v>8081</v>
      </c>
      <c r="R4390" t="s" s="2">
        <f>_xlfn.IFERROR(INDEX('model_byCAP'!$D$2:$D$377,MATCH(Q4390,'model_byCAP'!$A$2:$A$377,0)),0)</f>
        <v>8082</v>
      </c>
    </row>
    <row r="4391" ht="15.35" customHeight="1">
      <c r="A4391" t="s" s="2">
        <v>8230</v>
      </c>
      <c r="B4391" s="4">
        <v>33218</v>
      </c>
      <c r="C4391" s="5">
        <v>225</v>
      </c>
      <c r="D4391" s="5">
        <v>27</v>
      </c>
      <c r="E4391" s="5">
        <v>31.5</v>
      </c>
      <c r="F4391" t="s" s="2">
        <v>301</v>
      </c>
      <c r="G4391" t="s" s="2">
        <v>8079</v>
      </c>
      <c r="H4391" s="5">
        <v>773</v>
      </c>
      <c r="I4391" t="s" s="2">
        <v>1648</v>
      </c>
      <c r="J4391" t="s" s="2">
        <v>22</v>
      </c>
      <c r="K4391" t="s" s="2">
        <v>4880</v>
      </c>
      <c r="L4391" t="s" s="2">
        <v>8231</v>
      </c>
      <c r="M4391" s="5">
        <v>476791.51</v>
      </c>
      <c r="N4391" s="5">
        <v>6288329.03</v>
      </c>
      <c r="O4391" t="s" s="2">
        <v>305</v>
      </c>
      <c r="P4391" s="5">
        <v>222957</v>
      </c>
      <c r="Q4391" t="s" s="2">
        <v>8081</v>
      </c>
      <c r="R4391" t="s" s="2">
        <f>_xlfn.IFERROR(INDEX('model_byCAP'!$D$2:$D$377,MATCH(Q4391,'model_byCAP'!$A$2:$A$377,0)),0)</f>
        <v>8082</v>
      </c>
    </row>
    <row r="4392" ht="15.35" customHeight="1">
      <c r="A4392" t="s" s="2">
        <v>8232</v>
      </c>
      <c r="B4392" s="4">
        <v>33218</v>
      </c>
      <c r="C4392" s="5">
        <v>225</v>
      </c>
      <c r="D4392" s="5">
        <v>27</v>
      </c>
      <c r="E4392" s="5">
        <v>31.5</v>
      </c>
      <c r="F4392" t="s" s="2">
        <v>301</v>
      </c>
      <c r="G4392" t="s" s="2">
        <v>8079</v>
      </c>
      <c r="H4392" s="5">
        <v>773</v>
      </c>
      <c r="I4392" t="s" s="2">
        <v>1648</v>
      </c>
      <c r="J4392" t="s" s="2">
        <v>22</v>
      </c>
      <c r="K4392" t="s" s="2">
        <v>4880</v>
      </c>
      <c r="L4392" t="s" s="2">
        <v>8231</v>
      </c>
      <c r="M4392" s="5">
        <v>476785.33</v>
      </c>
      <c r="N4392" s="5">
        <v>6288448.21</v>
      </c>
      <c r="O4392" t="s" s="2">
        <v>305</v>
      </c>
      <c r="P4392" s="5">
        <v>222958</v>
      </c>
      <c r="Q4392" t="s" s="2">
        <v>8081</v>
      </c>
      <c r="R4392" t="s" s="2">
        <f>_xlfn.IFERROR(INDEX('model_byCAP'!$D$2:$D$377,MATCH(Q4392,'model_byCAP'!$A$2:$A$377,0)),0)</f>
        <v>8082</v>
      </c>
    </row>
    <row r="4393" ht="15.35" customHeight="1">
      <c r="A4393" t="s" s="2">
        <v>8233</v>
      </c>
      <c r="B4393" s="4">
        <v>33540</v>
      </c>
      <c r="C4393" s="5">
        <v>225</v>
      </c>
      <c r="D4393" s="5">
        <v>27</v>
      </c>
      <c r="E4393" s="5">
        <v>31.5</v>
      </c>
      <c r="F4393" t="s" s="2">
        <v>301</v>
      </c>
      <c r="G4393" t="s" s="2">
        <v>8079</v>
      </c>
      <c r="H4393" s="5">
        <v>773</v>
      </c>
      <c r="I4393" t="s" s="2">
        <v>1648</v>
      </c>
      <c r="J4393" t="s" s="2">
        <v>22</v>
      </c>
      <c r="K4393" t="s" s="2">
        <v>4153</v>
      </c>
      <c r="L4393" t="s" s="2">
        <v>8234</v>
      </c>
      <c r="M4393" s="5">
        <v>483691.98</v>
      </c>
      <c r="N4393" s="5">
        <v>6293956.97</v>
      </c>
      <c r="O4393" t="s" s="2">
        <v>305</v>
      </c>
      <c r="P4393" s="5">
        <v>223116</v>
      </c>
      <c r="Q4393" t="s" s="2">
        <v>8081</v>
      </c>
      <c r="R4393" t="s" s="2">
        <f>_xlfn.IFERROR(INDEX('model_byCAP'!$D$2:$D$377,MATCH(Q4393,'model_byCAP'!$A$2:$A$377,0)),0)</f>
        <v>8082</v>
      </c>
    </row>
    <row r="4394" ht="15.35" customHeight="1">
      <c r="A4394" t="s" s="2">
        <v>8235</v>
      </c>
      <c r="B4394" s="4">
        <v>35578</v>
      </c>
      <c r="C4394" s="5">
        <v>225</v>
      </c>
      <c r="D4394" s="5">
        <v>27</v>
      </c>
      <c r="E4394" s="5">
        <v>31.5</v>
      </c>
      <c r="F4394" t="s" s="2">
        <v>301</v>
      </c>
      <c r="G4394" t="s" s="2">
        <v>8079</v>
      </c>
      <c r="H4394" s="5">
        <v>773</v>
      </c>
      <c r="I4394" t="s" s="2">
        <v>1648</v>
      </c>
      <c r="J4394" t="s" s="2">
        <v>22</v>
      </c>
      <c r="K4394" t="s" s="2">
        <v>4880</v>
      </c>
      <c r="L4394" t="s" s="2">
        <v>3355</v>
      </c>
      <c r="M4394" s="5">
        <v>476797.61</v>
      </c>
      <c r="N4394" s="5">
        <v>6288210.75</v>
      </c>
      <c r="O4394" t="s" s="2">
        <v>305</v>
      </c>
      <c r="P4394" s="5">
        <v>223504</v>
      </c>
      <c r="Q4394" t="s" s="2">
        <v>8081</v>
      </c>
      <c r="R4394" t="s" s="2">
        <f>_xlfn.IFERROR(INDEX('model_byCAP'!$D$2:$D$377,MATCH(Q4394,'model_byCAP'!$A$2:$A$377,0)),0)</f>
        <v>8082</v>
      </c>
    </row>
    <row r="4395" ht="15.35" customHeight="1">
      <c r="A4395" t="s" s="2">
        <v>8236</v>
      </c>
      <c r="B4395" s="4">
        <v>32849</v>
      </c>
      <c r="C4395" s="5">
        <v>225</v>
      </c>
      <c r="D4395" s="5">
        <v>27</v>
      </c>
      <c r="E4395" s="5">
        <v>31.5</v>
      </c>
      <c r="F4395" t="s" s="2">
        <v>301</v>
      </c>
      <c r="G4395" t="s" s="2">
        <v>8079</v>
      </c>
      <c r="H4395" s="5">
        <v>779</v>
      </c>
      <c r="I4395" t="s" s="2">
        <v>1308</v>
      </c>
      <c r="J4395" t="s" s="2">
        <v>22</v>
      </c>
      <c r="K4395" t="s" s="2">
        <v>4880</v>
      </c>
      <c r="L4395" t="s" s="2">
        <v>1260</v>
      </c>
      <c r="M4395" s="5">
        <v>495961.56</v>
      </c>
      <c r="N4395" s="5">
        <v>6270639.87</v>
      </c>
      <c r="O4395" t="s" s="2">
        <v>305</v>
      </c>
      <c r="P4395" s="5">
        <v>2019826</v>
      </c>
      <c r="Q4395" t="s" s="2">
        <v>8081</v>
      </c>
      <c r="R4395" t="s" s="2">
        <f>_xlfn.IFERROR(INDEX('model_byCAP'!$D$2:$D$377,MATCH(Q4395,'model_byCAP'!$A$2:$A$377,0)),0)</f>
        <v>8082</v>
      </c>
    </row>
    <row r="4396" ht="15.35" customHeight="1">
      <c r="A4396" t="s" s="2">
        <v>8237</v>
      </c>
      <c r="B4396" s="4">
        <v>32846</v>
      </c>
      <c r="C4396" s="5">
        <v>225</v>
      </c>
      <c r="D4396" s="5">
        <v>24.6</v>
      </c>
      <c r="E4396" s="5">
        <v>32.7</v>
      </c>
      <c r="F4396" t="s" s="2">
        <v>301</v>
      </c>
      <c r="G4396" t="s" s="2">
        <v>8079</v>
      </c>
      <c r="H4396" s="5">
        <v>779</v>
      </c>
      <c r="I4396" t="s" s="2">
        <v>1308</v>
      </c>
      <c r="J4396" t="s" s="2">
        <v>22</v>
      </c>
      <c r="K4396" t="s" s="2">
        <v>8238</v>
      </c>
      <c r="L4396" t="s" s="2">
        <v>2705</v>
      </c>
      <c r="M4396" s="5">
        <v>500999.27</v>
      </c>
      <c r="N4396" s="5">
        <v>6285933.1</v>
      </c>
      <c r="O4396" t="s" s="2">
        <v>305</v>
      </c>
      <c r="P4396" s="5">
        <v>2050130</v>
      </c>
      <c r="Q4396" t="s" s="2">
        <v>8081</v>
      </c>
      <c r="R4396" t="s" s="2">
        <f>_xlfn.IFERROR(INDEX('model_byCAP'!$D$2:$D$377,MATCH(Q4396,'model_byCAP'!$A$2:$A$377,0)),0)</f>
        <v>8082</v>
      </c>
    </row>
    <row r="4397" ht="15.35" customHeight="1">
      <c r="A4397" t="s" s="2">
        <v>8239</v>
      </c>
      <c r="B4397" s="4">
        <v>32850</v>
      </c>
      <c r="C4397" s="5">
        <v>225</v>
      </c>
      <c r="D4397" s="5">
        <v>27</v>
      </c>
      <c r="E4397" s="5">
        <v>31.5</v>
      </c>
      <c r="F4397" t="s" s="2">
        <v>301</v>
      </c>
      <c r="G4397" t="s" s="2">
        <v>8079</v>
      </c>
      <c r="H4397" s="5">
        <v>779</v>
      </c>
      <c r="I4397" t="s" s="2">
        <v>1308</v>
      </c>
      <c r="J4397" t="s" s="2">
        <v>22</v>
      </c>
      <c r="K4397" t="s" s="2">
        <v>7007</v>
      </c>
      <c r="L4397" t="s" s="2">
        <v>1318</v>
      </c>
      <c r="M4397" s="5">
        <v>488505.25</v>
      </c>
      <c r="N4397" s="5">
        <v>6274473.17</v>
      </c>
      <c r="O4397" t="s" s="2">
        <v>305</v>
      </c>
      <c r="P4397" s="5">
        <v>2050132</v>
      </c>
      <c r="Q4397" t="s" s="2">
        <v>8081</v>
      </c>
      <c r="R4397" t="s" s="2">
        <f>_xlfn.IFERROR(INDEX('model_byCAP'!$D$2:$D$377,MATCH(Q4397,'model_byCAP'!$A$2:$A$377,0)),0)</f>
        <v>8082</v>
      </c>
    </row>
    <row r="4398" ht="15.35" customHeight="1">
      <c r="A4398" t="s" s="2">
        <v>8240</v>
      </c>
      <c r="B4398" s="4">
        <v>32923</v>
      </c>
      <c r="C4398" s="5">
        <v>225</v>
      </c>
      <c r="D4398" s="5">
        <v>27</v>
      </c>
      <c r="E4398" s="5">
        <v>31.5</v>
      </c>
      <c r="F4398" t="s" s="2">
        <v>301</v>
      </c>
      <c r="G4398" t="s" s="2">
        <v>8079</v>
      </c>
      <c r="H4398" s="5">
        <v>779</v>
      </c>
      <c r="I4398" t="s" s="2">
        <v>1308</v>
      </c>
      <c r="J4398" t="s" s="2">
        <v>22</v>
      </c>
      <c r="K4398" t="s" s="2">
        <v>7625</v>
      </c>
      <c r="L4398" t="s" s="2">
        <v>914</v>
      </c>
      <c r="M4398" s="5">
        <v>492378</v>
      </c>
      <c r="N4398" s="5">
        <v>6277670.17</v>
      </c>
      <c r="O4398" t="s" s="2">
        <v>305</v>
      </c>
      <c r="P4398" s="5">
        <v>2050138</v>
      </c>
      <c r="Q4398" t="s" s="2">
        <v>8081</v>
      </c>
      <c r="R4398" t="s" s="2">
        <f>_xlfn.IFERROR(INDEX('model_byCAP'!$D$2:$D$377,MATCH(Q4398,'model_byCAP'!$A$2:$A$377,0)),0)</f>
        <v>8082</v>
      </c>
    </row>
    <row r="4399" ht="15.35" customHeight="1">
      <c r="A4399" t="s" s="2">
        <v>8241</v>
      </c>
      <c r="B4399" s="4">
        <v>33226</v>
      </c>
      <c r="C4399" s="5">
        <v>225</v>
      </c>
      <c r="D4399" s="5">
        <v>27</v>
      </c>
      <c r="E4399" s="5">
        <v>31.5</v>
      </c>
      <c r="F4399" t="s" s="2">
        <v>301</v>
      </c>
      <c r="G4399" t="s" s="2">
        <v>8079</v>
      </c>
      <c r="H4399" s="5">
        <v>779</v>
      </c>
      <c r="I4399" t="s" s="2">
        <v>1308</v>
      </c>
      <c r="J4399" t="s" s="2">
        <v>22</v>
      </c>
      <c r="K4399" t="s" s="2">
        <v>8242</v>
      </c>
      <c r="L4399" t="s" s="2">
        <v>500</v>
      </c>
      <c r="M4399" s="5">
        <v>490102.39</v>
      </c>
      <c r="N4399" s="5">
        <v>6271009.56</v>
      </c>
      <c r="O4399" t="s" s="2">
        <v>305</v>
      </c>
      <c r="P4399" s="5">
        <v>2050159</v>
      </c>
      <c r="Q4399" t="s" s="2">
        <v>8081</v>
      </c>
      <c r="R4399" t="s" s="2">
        <f>_xlfn.IFERROR(INDEX('model_byCAP'!$D$2:$D$377,MATCH(Q4399,'model_byCAP'!$A$2:$A$377,0)),0)</f>
        <v>8082</v>
      </c>
    </row>
    <row r="4400" ht="15.35" customHeight="1">
      <c r="A4400" t="s" s="2">
        <v>8243</v>
      </c>
      <c r="B4400" s="4">
        <v>33527</v>
      </c>
      <c r="C4400" s="5">
        <v>225</v>
      </c>
      <c r="D4400" s="5">
        <v>27</v>
      </c>
      <c r="E4400" s="5">
        <v>31.5</v>
      </c>
      <c r="F4400" t="s" s="2">
        <v>301</v>
      </c>
      <c r="G4400" t="s" s="2">
        <v>8079</v>
      </c>
      <c r="H4400" s="5">
        <v>779</v>
      </c>
      <c r="I4400" t="s" s="2">
        <v>1308</v>
      </c>
      <c r="J4400" t="s" s="2">
        <v>22</v>
      </c>
      <c r="K4400" t="s" s="2">
        <v>8244</v>
      </c>
      <c r="L4400" t="s" s="2">
        <v>481</v>
      </c>
      <c r="M4400" s="5">
        <v>500132.01</v>
      </c>
      <c r="N4400" s="5">
        <v>6277150.08</v>
      </c>
      <c r="O4400" t="s" s="2">
        <v>305</v>
      </c>
      <c r="P4400" s="5">
        <v>2050168</v>
      </c>
      <c r="Q4400" t="s" s="2">
        <v>8081</v>
      </c>
      <c r="R4400" t="s" s="2">
        <f>_xlfn.IFERROR(INDEX('model_byCAP'!$D$2:$D$377,MATCH(Q4400,'model_byCAP'!$A$2:$A$377,0)),0)</f>
        <v>8082</v>
      </c>
    </row>
    <row r="4401" ht="15.35" customHeight="1">
      <c r="A4401" t="s" s="2">
        <v>8245</v>
      </c>
      <c r="B4401" s="4">
        <v>33737</v>
      </c>
      <c r="C4401" s="5">
        <v>225</v>
      </c>
      <c r="D4401" s="5">
        <v>27</v>
      </c>
      <c r="E4401" s="5">
        <v>31.5</v>
      </c>
      <c r="F4401" t="s" s="2">
        <v>301</v>
      </c>
      <c r="G4401" t="s" s="2">
        <v>8109</v>
      </c>
      <c r="H4401" s="5">
        <v>779</v>
      </c>
      <c r="I4401" t="s" s="2">
        <v>1308</v>
      </c>
      <c r="J4401" t="s" s="2">
        <v>22</v>
      </c>
      <c r="K4401" t="s" s="2">
        <v>8246</v>
      </c>
      <c r="L4401" t="s" s="2">
        <v>7191</v>
      </c>
      <c r="M4401" s="5">
        <v>504975.09</v>
      </c>
      <c r="N4401" s="5">
        <v>6288714.75</v>
      </c>
      <c r="O4401" t="s" s="2">
        <v>305</v>
      </c>
      <c r="P4401" s="5">
        <v>2050194</v>
      </c>
      <c r="Q4401" t="s" s="2">
        <v>8112</v>
      </c>
      <c r="R4401" t="s" s="2">
        <f>_xlfn.IFERROR(INDEX('model_byCAP'!$D$2:$D$377,MATCH(Q4401,'model_byCAP'!$A$2:$A$377,0)),0)</f>
        <v>8029</v>
      </c>
    </row>
    <row r="4402" ht="15.35" customHeight="1">
      <c r="A4402" t="s" s="2">
        <v>8247</v>
      </c>
      <c r="B4402" s="4">
        <v>33819</v>
      </c>
      <c r="C4402" s="5">
        <v>225</v>
      </c>
      <c r="D4402" s="5">
        <v>27</v>
      </c>
      <c r="E4402" s="5">
        <v>31.5</v>
      </c>
      <c r="F4402" t="s" s="2">
        <v>301</v>
      </c>
      <c r="G4402" t="s" s="2">
        <v>8079</v>
      </c>
      <c r="H4402" s="5">
        <v>779</v>
      </c>
      <c r="I4402" t="s" s="2">
        <v>1308</v>
      </c>
      <c r="J4402" t="s" s="2">
        <v>22</v>
      </c>
      <c r="K4402" t="s" s="2">
        <v>8248</v>
      </c>
      <c r="L4402" t="s" s="2">
        <v>481</v>
      </c>
      <c r="M4402" s="5">
        <v>495810.75</v>
      </c>
      <c r="N4402" s="5">
        <v>6287404.29</v>
      </c>
      <c r="O4402" t="s" s="2">
        <v>305</v>
      </c>
      <c r="P4402" s="5">
        <v>2050201</v>
      </c>
      <c r="Q4402" t="s" s="2">
        <v>8081</v>
      </c>
      <c r="R4402" t="s" s="2">
        <f>_xlfn.IFERROR(INDEX('model_byCAP'!$D$2:$D$377,MATCH(Q4402,'model_byCAP'!$A$2:$A$377,0)),0)</f>
        <v>8082</v>
      </c>
    </row>
    <row r="4403" ht="15.35" customHeight="1">
      <c r="A4403" t="s" s="2">
        <v>8249</v>
      </c>
      <c r="B4403" s="4">
        <v>33821</v>
      </c>
      <c r="C4403" s="5">
        <v>225</v>
      </c>
      <c r="D4403" s="5">
        <v>27</v>
      </c>
      <c r="E4403" s="5">
        <v>31.5</v>
      </c>
      <c r="F4403" t="s" s="2">
        <v>301</v>
      </c>
      <c r="G4403" t="s" s="2">
        <v>8109</v>
      </c>
      <c r="H4403" s="5">
        <v>779</v>
      </c>
      <c r="I4403" t="s" s="2">
        <v>1308</v>
      </c>
      <c r="J4403" t="s" s="2">
        <v>22</v>
      </c>
      <c r="K4403" t="s" s="2">
        <v>8250</v>
      </c>
      <c r="L4403" t="s" s="2">
        <v>2931</v>
      </c>
      <c r="M4403" s="5">
        <v>496092.76</v>
      </c>
      <c r="N4403" s="5">
        <v>6287404.77</v>
      </c>
      <c r="O4403" t="s" s="2">
        <v>305</v>
      </c>
      <c r="P4403" s="5">
        <v>2050202</v>
      </c>
      <c r="Q4403" t="s" s="2">
        <v>8112</v>
      </c>
      <c r="R4403" t="s" s="2">
        <f>_xlfn.IFERROR(INDEX('model_byCAP'!$D$2:$D$377,MATCH(Q4403,'model_byCAP'!$A$2:$A$377,0)),0)</f>
        <v>8029</v>
      </c>
    </row>
    <row r="4404" ht="15.35" customHeight="1">
      <c r="A4404" t="s" s="2">
        <v>8251</v>
      </c>
      <c r="B4404" s="4">
        <v>34624</v>
      </c>
      <c r="C4404" s="5">
        <v>225</v>
      </c>
      <c r="D4404" s="5">
        <v>31.5</v>
      </c>
      <c r="E4404" s="5">
        <v>27</v>
      </c>
      <c r="F4404" t="s" s="2">
        <v>301</v>
      </c>
      <c r="G4404" t="s" s="2">
        <v>8070</v>
      </c>
      <c r="H4404" s="5">
        <v>779</v>
      </c>
      <c r="I4404" t="s" s="2">
        <v>1308</v>
      </c>
      <c r="J4404" t="s" s="2">
        <v>22</v>
      </c>
      <c r="K4404" t="s" s="2">
        <v>7625</v>
      </c>
      <c r="L4404" t="s" s="2">
        <v>8252</v>
      </c>
      <c r="M4404" s="5">
        <v>492392.98</v>
      </c>
      <c r="N4404" s="5">
        <v>6278146.62</v>
      </c>
      <c r="O4404" t="s" s="2">
        <v>305</v>
      </c>
      <c r="P4404" s="5">
        <v>2050226</v>
      </c>
      <c r="Q4404" t="s" s="2">
        <v>8073</v>
      </c>
      <c r="R4404" t="s" s="2">
        <f>_xlfn.IFERROR(INDEX('model_byCAP'!$D$2:$D$377,MATCH(Q4404,'model_byCAP'!$A$2:$A$377,0)),0)</f>
        <v>8074</v>
      </c>
    </row>
    <row r="4405" ht="15.35" customHeight="1">
      <c r="A4405" t="s" s="2">
        <v>8253</v>
      </c>
      <c r="B4405" s="4">
        <v>33043</v>
      </c>
      <c r="C4405" s="5">
        <v>225</v>
      </c>
      <c r="D4405" s="5">
        <v>27</v>
      </c>
      <c r="E4405" s="5">
        <v>31.5</v>
      </c>
      <c r="F4405" t="s" s="2">
        <v>301</v>
      </c>
      <c r="G4405" t="s" s="2">
        <v>8079</v>
      </c>
      <c r="H4405" s="5">
        <v>787</v>
      </c>
      <c r="I4405" t="s" s="2">
        <v>21</v>
      </c>
      <c r="J4405" t="s" s="2">
        <v>22</v>
      </c>
      <c r="K4405" t="s" s="2">
        <v>8254</v>
      </c>
      <c r="L4405" t="s" s="2">
        <v>6833</v>
      </c>
      <c r="M4405" s="5">
        <v>481892.85</v>
      </c>
      <c r="N4405" s="5">
        <v>6316314.26</v>
      </c>
      <c r="O4405" t="s" s="2">
        <v>305</v>
      </c>
      <c r="P4405" s="5">
        <v>3363001</v>
      </c>
      <c r="Q4405" t="s" s="2">
        <v>8081</v>
      </c>
      <c r="R4405" t="s" s="2">
        <f>_xlfn.IFERROR(INDEX('model_byCAP'!$D$2:$D$377,MATCH(Q4405,'model_byCAP'!$A$2:$A$377,0)),0)</f>
        <v>8082</v>
      </c>
    </row>
    <row r="4406" ht="15.35" customHeight="1">
      <c r="A4406" t="s" s="2">
        <v>8255</v>
      </c>
      <c r="B4406" s="4">
        <v>34003</v>
      </c>
      <c r="C4406" s="5">
        <v>225</v>
      </c>
      <c r="D4406" s="5">
        <v>27</v>
      </c>
      <c r="E4406" s="5">
        <v>30</v>
      </c>
      <c r="F4406" t="s" s="2">
        <v>301</v>
      </c>
      <c r="G4406" t="s" s="2">
        <v>8084</v>
      </c>
      <c r="H4406" s="5">
        <v>101</v>
      </c>
      <c r="I4406" t="s" s="2">
        <v>2774</v>
      </c>
      <c r="J4406" t="s" s="2">
        <v>22</v>
      </c>
      <c r="K4406" t="s" s="2">
        <v>1992</v>
      </c>
      <c r="L4406" s="5">
        <v>0</v>
      </c>
      <c r="M4406" s="5">
        <v>720898.3</v>
      </c>
      <c r="N4406" s="5">
        <v>6171176.22</v>
      </c>
      <c r="O4406" t="s" s="2">
        <v>305</v>
      </c>
      <c r="P4406" t="s" s="2">
        <v>8256</v>
      </c>
      <c r="Q4406" t="s" s="2">
        <v>8087</v>
      </c>
      <c r="R4406" t="s" s="2">
        <f>_xlfn.IFERROR(INDEX('model_byCAP'!$D$2:$D$377,MATCH(Q4406,'model_byCAP'!$A$2:$A$377,0)),0)</f>
        <v>8082</v>
      </c>
    </row>
    <row r="4407" ht="15.35" customHeight="1">
      <c r="A4407" t="s" s="2">
        <v>8257</v>
      </c>
      <c r="B4407" s="4">
        <v>34003</v>
      </c>
      <c r="C4407" s="5">
        <v>225</v>
      </c>
      <c r="D4407" s="5">
        <v>27</v>
      </c>
      <c r="E4407" s="5">
        <v>30</v>
      </c>
      <c r="F4407" t="s" s="2">
        <v>301</v>
      </c>
      <c r="G4407" t="s" s="2">
        <v>8084</v>
      </c>
      <c r="H4407" s="5">
        <v>101</v>
      </c>
      <c r="I4407" t="s" s="2">
        <v>2774</v>
      </c>
      <c r="J4407" t="s" s="2">
        <v>22</v>
      </c>
      <c r="K4407" t="s" s="2">
        <v>1992</v>
      </c>
      <c r="L4407" s="5">
        <v>0</v>
      </c>
      <c r="M4407" s="5">
        <v>720993.08</v>
      </c>
      <c r="N4407" s="5">
        <v>6171227.89</v>
      </c>
      <c r="O4407" t="s" s="2">
        <v>305</v>
      </c>
      <c r="P4407" t="s" s="2">
        <v>8258</v>
      </c>
      <c r="Q4407" t="s" s="2">
        <v>8087</v>
      </c>
      <c r="R4407" t="s" s="2">
        <f>_xlfn.IFERROR(INDEX('model_byCAP'!$D$2:$D$377,MATCH(Q4407,'model_byCAP'!$A$2:$A$377,0)),0)</f>
        <v>8082</v>
      </c>
    </row>
    <row r="4408" ht="15.35" customHeight="1">
      <c r="A4408" t="s" s="2">
        <v>8259</v>
      </c>
      <c r="B4408" s="4">
        <v>33351</v>
      </c>
      <c r="C4408" s="5">
        <v>225</v>
      </c>
      <c r="D4408" s="5">
        <v>27</v>
      </c>
      <c r="E4408" s="5">
        <v>30</v>
      </c>
      <c r="F4408" t="s" s="2">
        <v>301</v>
      </c>
      <c r="G4408" t="s" s="2">
        <v>8084</v>
      </c>
      <c r="H4408" s="5">
        <v>201</v>
      </c>
      <c r="I4408" t="s" s="2">
        <v>2804</v>
      </c>
      <c r="J4408" t="s" s="2">
        <v>22</v>
      </c>
      <c r="K4408" t="s" s="2">
        <v>8260</v>
      </c>
      <c r="L4408" t="s" s="2">
        <v>2872</v>
      </c>
      <c r="M4408" s="5">
        <v>705624.49</v>
      </c>
      <c r="N4408" s="5">
        <v>6196370.4</v>
      </c>
      <c r="O4408" t="s" s="2">
        <v>305</v>
      </c>
      <c r="P4408" t="s" s="2">
        <v>8261</v>
      </c>
      <c r="Q4408" t="s" s="2">
        <v>8087</v>
      </c>
      <c r="R4408" t="s" s="2">
        <f>_xlfn.IFERROR(INDEX('model_byCAP'!$D$2:$D$377,MATCH(Q4408,'model_byCAP'!$A$2:$A$377,0)),0)</f>
        <v>8082</v>
      </c>
    </row>
    <row r="4409" ht="15.35" customHeight="1">
      <c r="A4409" t="s" s="2">
        <v>8262</v>
      </c>
      <c r="B4409" s="4">
        <v>33043</v>
      </c>
      <c r="C4409" s="5">
        <v>225</v>
      </c>
      <c r="D4409" s="5">
        <v>27</v>
      </c>
      <c r="E4409" s="5">
        <v>31.5</v>
      </c>
      <c r="F4409" t="s" s="2">
        <v>301</v>
      </c>
      <c r="G4409" t="s" s="2">
        <v>8079</v>
      </c>
      <c r="H4409" s="5">
        <v>787</v>
      </c>
      <c r="I4409" t="s" s="2">
        <v>21</v>
      </c>
      <c r="J4409" t="s" s="2">
        <v>22</v>
      </c>
      <c r="K4409" t="s" s="2">
        <v>8254</v>
      </c>
      <c r="L4409" t="s" s="2">
        <v>6833</v>
      </c>
      <c r="M4409" s="5">
        <v>481881.07</v>
      </c>
      <c r="N4409" s="5">
        <v>6316235.4</v>
      </c>
      <c r="O4409" t="s" s="2">
        <v>305</v>
      </c>
      <c r="P4409" s="5">
        <v>3363002</v>
      </c>
      <c r="Q4409" t="s" s="2">
        <v>8081</v>
      </c>
      <c r="R4409" t="s" s="2">
        <f>_xlfn.IFERROR(INDEX('model_byCAP'!$D$2:$D$377,MATCH(Q4409,'model_byCAP'!$A$2:$A$377,0)),0)</f>
        <v>8082</v>
      </c>
    </row>
    <row r="4410" ht="15.35" customHeight="1">
      <c r="A4410" t="s" s="2">
        <v>8263</v>
      </c>
      <c r="B4410" s="4">
        <v>33225</v>
      </c>
      <c r="C4410" s="5">
        <v>225</v>
      </c>
      <c r="D4410" s="5">
        <v>27</v>
      </c>
      <c r="E4410" s="5">
        <v>31.5</v>
      </c>
      <c r="F4410" t="s" s="2">
        <v>301</v>
      </c>
      <c r="G4410" t="s" s="2">
        <v>8079</v>
      </c>
      <c r="H4410" s="5">
        <v>787</v>
      </c>
      <c r="I4410" t="s" s="2">
        <v>21</v>
      </c>
      <c r="J4410" t="s" s="2">
        <v>22</v>
      </c>
      <c r="K4410" t="s" s="2">
        <v>8264</v>
      </c>
      <c r="L4410" t="s" s="2">
        <v>518</v>
      </c>
      <c r="M4410" s="5">
        <v>477968.67</v>
      </c>
      <c r="N4410" s="5">
        <v>6309439.59</v>
      </c>
      <c r="O4410" t="s" s="2">
        <v>305</v>
      </c>
      <c r="P4410" s="5">
        <v>3365008</v>
      </c>
      <c r="Q4410" t="s" s="2">
        <v>8081</v>
      </c>
      <c r="R4410" t="s" s="2">
        <f>_xlfn.IFERROR(INDEX('model_byCAP'!$D$2:$D$377,MATCH(Q4410,'model_byCAP'!$A$2:$A$377,0)),0)</f>
        <v>8082</v>
      </c>
    </row>
    <row r="4411" ht="15.35" customHeight="1">
      <c r="A4411" t="s" s="2">
        <v>8265</v>
      </c>
      <c r="B4411" s="4">
        <v>33225</v>
      </c>
      <c r="C4411" s="5">
        <v>225</v>
      </c>
      <c r="D4411" s="5">
        <v>27</v>
      </c>
      <c r="E4411" s="5">
        <v>31.5</v>
      </c>
      <c r="F4411" t="s" s="2">
        <v>301</v>
      </c>
      <c r="G4411" t="s" s="2">
        <v>8079</v>
      </c>
      <c r="H4411" s="5">
        <v>787</v>
      </c>
      <c r="I4411" t="s" s="2">
        <v>21</v>
      </c>
      <c r="J4411" t="s" s="2">
        <v>22</v>
      </c>
      <c r="K4411" t="s" s="2">
        <v>8264</v>
      </c>
      <c r="L4411" t="s" s="2">
        <v>1359</v>
      </c>
      <c r="M4411" s="5">
        <v>478054.47</v>
      </c>
      <c r="N4411" s="5">
        <v>6309435.88</v>
      </c>
      <c r="O4411" t="s" s="2">
        <v>305</v>
      </c>
      <c r="P4411" s="5">
        <v>3365008</v>
      </c>
      <c r="Q4411" t="s" s="2">
        <v>8081</v>
      </c>
      <c r="R4411" t="s" s="2">
        <f>_xlfn.IFERROR(INDEX('model_byCAP'!$D$2:$D$377,MATCH(Q4411,'model_byCAP'!$A$2:$A$377,0)),0)</f>
        <v>8082</v>
      </c>
    </row>
    <row r="4412" ht="15.35" customHeight="1">
      <c r="A4412" t="s" s="2">
        <v>8266</v>
      </c>
      <c r="B4412" s="4">
        <v>33506</v>
      </c>
      <c r="C4412" s="5">
        <v>225</v>
      </c>
      <c r="D4412" s="5">
        <v>27</v>
      </c>
      <c r="E4412" s="5">
        <v>31.5</v>
      </c>
      <c r="F4412" t="s" s="2">
        <v>301</v>
      </c>
      <c r="G4412" t="s" s="2">
        <v>8079</v>
      </c>
      <c r="H4412" s="5">
        <v>787</v>
      </c>
      <c r="I4412" t="s" s="2">
        <v>21</v>
      </c>
      <c r="J4412" t="s" s="2">
        <v>22</v>
      </c>
      <c r="K4412" t="s" s="2">
        <v>8264</v>
      </c>
      <c r="L4412" t="s" s="2">
        <v>1359</v>
      </c>
      <c r="M4412" s="5">
        <v>478145.85</v>
      </c>
      <c r="N4412" s="5">
        <v>6309430.71</v>
      </c>
      <c r="O4412" t="s" s="2">
        <v>305</v>
      </c>
      <c r="P4412" s="5">
        <v>3365008</v>
      </c>
      <c r="Q4412" t="s" s="2">
        <v>8081</v>
      </c>
      <c r="R4412" t="s" s="2">
        <f>_xlfn.IFERROR(INDEX('model_byCAP'!$D$2:$D$377,MATCH(Q4412,'model_byCAP'!$A$2:$A$377,0)),0)</f>
        <v>8082</v>
      </c>
    </row>
    <row r="4413" ht="15.35" customHeight="1">
      <c r="A4413" t="s" s="2">
        <v>8267</v>
      </c>
      <c r="B4413" s="4">
        <v>33526</v>
      </c>
      <c r="C4413" s="5">
        <v>225</v>
      </c>
      <c r="D4413" s="5">
        <v>27</v>
      </c>
      <c r="E4413" s="5">
        <v>31.5</v>
      </c>
      <c r="F4413" t="s" s="2">
        <v>301</v>
      </c>
      <c r="G4413" t="s" s="2">
        <v>8079</v>
      </c>
      <c r="H4413" s="5">
        <v>787</v>
      </c>
      <c r="I4413" t="s" s="2">
        <v>21</v>
      </c>
      <c r="J4413" t="s" s="2">
        <v>22</v>
      </c>
      <c r="K4413" t="s" s="2">
        <v>8268</v>
      </c>
      <c r="L4413" t="s" s="2">
        <v>524</v>
      </c>
      <c r="M4413" s="5">
        <v>477040.65</v>
      </c>
      <c r="N4413" s="5">
        <v>6310726.98</v>
      </c>
      <c r="O4413" t="s" s="2">
        <v>305</v>
      </c>
      <c r="P4413" s="5">
        <v>3371002</v>
      </c>
      <c r="Q4413" t="s" s="2">
        <v>8081</v>
      </c>
      <c r="R4413" t="s" s="2">
        <f>_xlfn.IFERROR(INDEX('model_byCAP'!$D$2:$D$377,MATCH(Q4413,'model_byCAP'!$A$2:$A$377,0)),0)</f>
        <v>8082</v>
      </c>
    </row>
    <row r="4414" ht="15.35" customHeight="1">
      <c r="A4414" t="s" s="2">
        <v>8269</v>
      </c>
      <c r="B4414" s="4">
        <v>33591</v>
      </c>
      <c r="C4414" s="5">
        <v>225</v>
      </c>
      <c r="D4414" s="5">
        <v>27</v>
      </c>
      <c r="E4414" s="5">
        <v>31.5</v>
      </c>
      <c r="F4414" t="s" s="2">
        <v>301</v>
      </c>
      <c r="G4414" t="s" s="2">
        <v>8079</v>
      </c>
      <c r="H4414" s="5">
        <v>787</v>
      </c>
      <c r="I4414" t="s" s="2">
        <v>21</v>
      </c>
      <c r="J4414" t="s" s="2">
        <v>22</v>
      </c>
      <c r="K4414" t="s" s="2">
        <v>8270</v>
      </c>
      <c r="L4414" t="s" s="2">
        <v>941</v>
      </c>
      <c r="M4414" s="5">
        <v>478151.73</v>
      </c>
      <c r="N4414" s="5">
        <v>6314118.12</v>
      </c>
      <c r="O4414" t="s" s="2">
        <v>305</v>
      </c>
      <c r="P4414" s="5">
        <v>3375001</v>
      </c>
      <c r="Q4414" t="s" s="2">
        <v>8081</v>
      </c>
      <c r="R4414" t="s" s="2">
        <f>_xlfn.IFERROR(INDEX('model_byCAP'!$D$2:$D$377,MATCH(Q4414,'model_byCAP'!$A$2:$A$377,0)),0)</f>
        <v>8082</v>
      </c>
    </row>
    <row r="4415" ht="15.35" customHeight="1">
      <c r="A4415" t="s" s="2">
        <v>8271</v>
      </c>
      <c r="B4415" s="4">
        <v>33590</v>
      </c>
      <c r="C4415" s="5">
        <v>225</v>
      </c>
      <c r="D4415" s="5">
        <v>27</v>
      </c>
      <c r="E4415" s="5">
        <v>31.5</v>
      </c>
      <c r="F4415" t="s" s="2">
        <v>301</v>
      </c>
      <c r="G4415" t="s" s="2">
        <v>8079</v>
      </c>
      <c r="H4415" s="5">
        <v>787</v>
      </c>
      <c r="I4415" t="s" s="2">
        <v>21</v>
      </c>
      <c r="J4415" t="s" s="2">
        <v>22</v>
      </c>
      <c r="K4415" t="s" s="2">
        <v>8270</v>
      </c>
      <c r="L4415" t="s" s="2">
        <v>941</v>
      </c>
      <c r="M4415" s="5">
        <v>478167.07</v>
      </c>
      <c r="N4415" s="5">
        <v>6314039.2</v>
      </c>
      <c r="O4415" t="s" s="2">
        <v>305</v>
      </c>
      <c r="P4415" s="5">
        <v>3375002</v>
      </c>
      <c r="Q4415" t="s" s="2">
        <v>8081</v>
      </c>
      <c r="R4415" t="s" s="2">
        <f>_xlfn.IFERROR(INDEX('model_byCAP'!$D$2:$D$377,MATCH(Q4415,'model_byCAP'!$A$2:$A$377,0)),0)</f>
        <v>8082</v>
      </c>
    </row>
    <row r="4416" ht="15.35" customHeight="1">
      <c r="A4416" t="s" s="2">
        <v>8272</v>
      </c>
      <c r="B4416" s="4">
        <v>33591</v>
      </c>
      <c r="C4416" s="5">
        <v>225</v>
      </c>
      <c r="D4416" s="5">
        <v>27</v>
      </c>
      <c r="E4416" s="5">
        <v>31.5</v>
      </c>
      <c r="F4416" t="s" s="2">
        <v>301</v>
      </c>
      <c r="G4416" t="s" s="2">
        <v>8079</v>
      </c>
      <c r="H4416" s="5">
        <v>787</v>
      </c>
      <c r="I4416" t="s" s="2">
        <v>21</v>
      </c>
      <c r="J4416" t="s" s="2">
        <v>22</v>
      </c>
      <c r="K4416" t="s" s="2">
        <v>8270</v>
      </c>
      <c r="L4416" t="s" s="2">
        <v>941</v>
      </c>
      <c r="M4416" s="5">
        <v>478057.22</v>
      </c>
      <c r="N4416" s="5">
        <v>6313834.93</v>
      </c>
      <c r="O4416" t="s" s="2">
        <v>305</v>
      </c>
      <c r="P4416" s="5">
        <v>3374001</v>
      </c>
      <c r="Q4416" t="s" s="2">
        <v>8081</v>
      </c>
      <c r="R4416" t="s" s="2">
        <f>_xlfn.IFERROR(INDEX('model_byCAP'!$D$2:$D$377,MATCH(Q4416,'model_byCAP'!$A$2:$A$377,0)),0)</f>
        <v>8082</v>
      </c>
    </row>
    <row r="4417" ht="15.35" customHeight="1">
      <c r="A4417" t="s" s="2">
        <v>8273</v>
      </c>
      <c r="B4417" s="4">
        <v>33591</v>
      </c>
      <c r="C4417" s="5">
        <v>225</v>
      </c>
      <c r="D4417" s="5">
        <v>27</v>
      </c>
      <c r="E4417" s="5">
        <v>31.5</v>
      </c>
      <c r="F4417" t="s" s="2">
        <v>301</v>
      </c>
      <c r="G4417" t="s" s="2">
        <v>8079</v>
      </c>
      <c r="H4417" s="5">
        <v>787</v>
      </c>
      <c r="I4417" t="s" s="2">
        <v>21</v>
      </c>
      <c r="J4417" t="s" s="2">
        <v>22</v>
      </c>
      <c r="K4417" t="s" s="2">
        <v>8270</v>
      </c>
      <c r="L4417" t="s" s="2">
        <v>1276</v>
      </c>
      <c r="M4417" s="5">
        <v>478183.35</v>
      </c>
      <c r="N4417" s="5">
        <v>6313633.77</v>
      </c>
      <c r="O4417" t="s" s="2">
        <v>305</v>
      </c>
      <c r="P4417" s="5">
        <v>3374002</v>
      </c>
      <c r="Q4417" t="s" s="2">
        <v>8081</v>
      </c>
      <c r="R4417" t="s" s="2">
        <f>_xlfn.IFERROR(INDEX('model_byCAP'!$D$2:$D$377,MATCH(Q4417,'model_byCAP'!$A$2:$A$377,0)),0)</f>
        <v>8082</v>
      </c>
    </row>
    <row r="4418" ht="15.35" customHeight="1">
      <c r="A4418" t="s" s="2">
        <v>8274</v>
      </c>
      <c r="B4418" s="4">
        <v>34690</v>
      </c>
      <c r="C4418" s="5">
        <v>225</v>
      </c>
      <c r="D4418" s="5">
        <v>29</v>
      </c>
      <c r="E4418" s="5">
        <v>32</v>
      </c>
      <c r="F4418" t="s" s="2">
        <v>301</v>
      </c>
      <c r="G4418" t="s" s="2">
        <v>8070</v>
      </c>
      <c r="H4418" s="5">
        <v>787</v>
      </c>
      <c r="I4418" t="s" s="2">
        <v>21</v>
      </c>
      <c r="J4418" t="s" s="2">
        <v>22</v>
      </c>
      <c r="K4418" t="s" s="2">
        <v>8275</v>
      </c>
      <c r="L4418" t="s" s="2">
        <v>3918</v>
      </c>
      <c r="M4418" s="5">
        <v>479869.61</v>
      </c>
      <c r="N4418" s="5">
        <v>6317264.7</v>
      </c>
      <c r="O4418" t="s" s="2">
        <v>305</v>
      </c>
      <c r="P4418" s="5">
        <v>3390001</v>
      </c>
      <c r="Q4418" t="s" s="2">
        <v>8073</v>
      </c>
      <c r="R4418" t="s" s="2">
        <f>_xlfn.IFERROR(INDEX('model_byCAP'!$D$2:$D$377,MATCH(Q4418,'model_byCAP'!$A$2:$A$377,0)),0)</f>
        <v>8074</v>
      </c>
    </row>
    <row r="4419" ht="15.35" customHeight="1">
      <c r="A4419" t="s" s="2">
        <v>8276</v>
      </c>
      <c r="B4419" s="4">
        <v>34690</v>
      </c>
      <c r="C4419" s="5">
        <v>225</v>
      </c>
      <c r="D4419" s="5">
        <v>29</v>
      </c>
      <c r="E4419" s="5">
        <v>32</v>
      </c>
      <c r="F4419" t="s" s="2">
        <v>301</v>
      </c>
      <c r="G4419" t="s" s="2">
        <v>8070</v>
      </c>
      <c r="H4419" s="5">
        <v>787</v>
      </c>
      <c r="I4419" t="s" s="2">
        <v>21</v>
      </c>
      <c r="J4419" t="s" s="2">
        <v>22</v>
      </c>
      <c r="K4419" t="s" s="2">
        <v>8275</v>
      </c>
      <c r="L4419" t="s" s="2">
        <v>1611</v>
      </c>
      <c r="M4419" s="5">
        <v>479956.37</v>
      </c>
      <c r="N4419" s="5">
        <v>6316981.11</v>
      </c>
      <c r="O4419" t="s" s="2">
        <v>305</v>
      </c>
      <c r="P4419" s="5">
        <v>3390003</v>
      </c>
      <c r="Q4419" t="s" s="2">
        <v>8073</v>
      </c>
      <c r="R4419" t="s" s="2">
        <f>_xlfn.IFERROR(INDEX('model_byCAP'!$D$2:$D$377,MATCH(Q4419,'model_byCAP'!$A$2:$A$377,0)),0)</f>
        <v>8074</v>
      </c>
    </row>
    <row r="4420" ht="15.35" customHeight="1">
      <c r="A4420" t="s" s="2">
        <v>8277</v>
      </c>
      <c r="B4420" s="4">
        <v>33526</v>
      </c>
      <c r="C4420" s="5">
        <v>225</v>
      </c>
      <c r="D4420" s="5">
        <v>27</v>
      </c>
      <c r="E4420" s="5">
        <v>31.5</v>
      </c>
      <c r="F4420" t="s" s="2">
        <v>301</v>
      </c>
      <c r="G4420" t="s" s="2">
        <v>8079</v>
      </c>
      <c r="H4420" s="5">
        <v>787</v>
      </c>
      <c r="I4420" t="s" s="2">
        <v>21</v>
      </c>
      <c r="J4420" t="s" s="2">
        <v>22</v>
      </c>
      <c r="K4420" t="s" s="2">
        <v>8268</v>
      </c>
      <c r="L4420" t="s" s="2">
        <v>524</v>
      </c>
      <c r="M4420" s="5">
        <v>476973.61</v>
      </c>
      <c r="N4420" s="5">
        <v>6310621.16</v>
      </c>
      <c r="O4420" t="s" s="2">
        <v>305</v>
      </c>
      <c r="P4420" s="5">
        <v>3371001</v>
      </c>
      <c r="Q4420" t="s" s="2">
        <v>8081</v>
      </c>
      <c r="R4420" t="s" s="2">
        <f>_xlfn.IFERROR(INDEX('model_byCAP'!$D$2:$D$377,MATCH(Q4420,'model_byCAP'!$A$2:$A$377,0)),0)</f>
        <v>8082</v>
      </c>
    </row>
    <row r="4421" ht="15.35" customHeight="1">
      <c r="A4421" t="s" s="2">
        <v>8278</v>
      </c>
      <c r="B4421" s="4">
        <v>34320</v>
      </c>
      <c r="C4421" s="5">
        <v>225</v>
      </c>
      <c r="D4421" s="5">
        <v>27</v>
      </c>
      <c r="E4421" s="5">
        <v>31.5</v>
      </c>
      <c r="F4421" t="s" s="2">
        <v>301</v>
      </c>
      <c r="G4421" t="s" s="2">
        <v>8079</v>
      </c>
      <c r="H4421" s="5">
        <v>787</v>
      </c>
      <c r="I4421" t="s" s="2">
        <v>21</v>
      </c>
      <c r="J4421" t="s" s="2">
        <v>22</v>
      </c>
      <c r="K4421" t="s" s="2">
        <v>7636</v>
      </c>
      <c r="L4421" t="s" s="2">
        <v>3393</v>
      </c>
      <c r="M4421" s="5">
        <v>484465.1</v>
      </c>
      <c r="N4421" s="5">
        <v>6315588.45</v>
      </c>
      <c r="O4421" t="s" s="2">
        <v>305</v>
      </c>
      <c r="P4421" s="5">
        <v>3383001</v>
      </c>
      <c r="Q4421" t="s" s="2">
        <v>8081</v>
      </c>
      <c r="R4421" t="s" s="2">
        <f>_xlfn.IFERROR(INDEX('model_byCAP'!$D$2:$D$377,MATCH(Q4421,'model_byCAP'!$A$2:$A$377,0)),0)</f>
        <v>8082</v>
      </c>
    </row>
    <row r="4422" ht="15.35" customHeight="1">
      <c r="A4422" t="s" s="2">
        <v>8279</v>
      </c>
      <c r="B4422" s="4">
        <v>34354</v>
      </c>
      <c r="C4422" s="5">
        <v>225</v>
      </c>
      <c r="D4422" s="5">
        <v>27</v>
      </c>
      <c r="E4422" s="5">
        <v>31.5</v>
      </c>
      <c r="F4422" t="s" s="2">
        <v>301</v>
      </c>
      <c r="G4422" t="s" s="2">
        <v>8079</v>
      </c>
      <c r="H4422" s="5">
        <v>787</v>
      </c>
      <c r="I4422" t="s" s="2">
        <v>21</v>
      </c>
      <c r="J4422" t="s" s="2">
        <v>22</v>
      </c>
      <c r="K4422" t="s" s="2">
        <v>7086</v>
      </c>
      <c r="L4422" s="5">
        <v>58</v>
      </c>
      <c r="M4422" s="5">
        <v>482122.97</v>
      </c>
      <c r="N4422" s="5">
        <v>6320640.8</v>
      </c>
      <c r="O4422" t="s" s="2">
        <v>305</v>
      </c>
      <c r="P4422" s="5">
        <v>38400200</v>
      </c>
      <c r="Q4422" t="s" s="2">
        <v>8081</v>
      </c>
      <c r="R4422" t="s" s="2">
        <f>_xlfn.IFERROR(INDEX('model_byCAP'!$D$2:$D$377,MATCH(Q4422,'model_byCAP'!$A$2:$A$377,0)),0)</f>
        <v>8082</v>
      </c>
    </row>
    <row r="4423" ht="15.35" customHeight="1">
      <c r="A4423" t="s" s="2">
        <v>8280</v>
      </c>
      <c r="B4423" s="4">
        <v>34354</v>
      </c>
      <c r="C4423" s="5">
        <v>225</v>
      </c>
      <c r="D4423" s="5">
        <v>27</v>
      </c>
      <c r="E4423" s="5">
        <v>31.5</v>
      </c>
      <c r="F4423" t="s" s="2">
        <v>301</v>
      </c>
      <c r="G4423" t="s" s="2">
        <v>8079</v>
      </c>
      <c r="H4423" s="5">
        <v>787</v>
      </c>
      <c r="I4423" t="s" s="2">
        <v>21</v>
      </c>
      <c r="J4423" t="s" s="2">
        <v>22</v>
      </c>
      <c r="K4423" t="s" s="2">
        <v>8281</v>
      </c>
      <c r="L4423" t="s" s="2">
        <v>2705</v>
      </c>
      <c r="M4423" s="5">
        <v>481969.05</v>
      </c>
      <c r="N4423" s="5">
        <v>6320515.95</v>
      </c>
      <c r="O4423" t="s" s="2">
        <v>305</v>
      </c>
      <c r="P4423" s="5">
        <v>3384003</v>
      </c>
      <c r="Q4423" t="s" s="2">
        <v>8081</v>
      </c>
      <c r="R4423" t="s" s="2">
        <f>_xlfn.IFERROR(INDEX('model_byCAP'!$D$2:$D$377,MATCH(Q4423,'model_byCAP'!$A$2:$A$377,0)),0)</f>
        <v>8082</v>
      </c>
    </row>
    <row r="4424" ht="15.35" customHeight="1">
      <c r="A4424" t="s" s="2">
        <v>8282</v>
      </c>
      <c r="B4424" s="4">
        <v>34354</v>
      </c>
      <c r="C4424" s="5">
        <v>225</v>
      </c>
      <c r="D4424" s="5">
        <v>27</v>
      </c>
      <c r="E4424" s="5">
        <v>30</v>
      </c>
      <c r="F4424" t="s" s="2">
        <v>301</v>
      </c>
      <c r="G4424" t="s" s="2">
        <v>8079</v>
      </c>
      <c r="H4424" s="5">
        <v>787</v>
      </c>
      <c r="I4424" t="s" s="2">
        <v>21</v>
      </c>
      <c r="J4424" t="s" s="2">
        <v>22</v>
      </c>
      <c r="K4424" t="s" s="2">
        <v>7086</v>
      </c>
      <c r="L4424" t="s" s="2">
        <v>394</v>
      </c>
      <c r="M4424" s="5">
        <v>482030.66</v>
      </c>
      <c r="N4424" s="5">
        <v>6320831.94</v>
      </c>
      <c r="O4424" t="s" s="2">
        <v>305</v>
      </c>
      <c r="P4424" s="5">
        <v>38400100</v>
      </c>
      <c r="Q4424" t="s" s="2">
        <v>8081</v>
      </c>
      <c r="R4424" t="s" s="2">
        <f>_xlfn.IFERROR(INDEX('model_byCAP'!$D$2:$D$377,MATCH(Q4424,'model_byCAP'!$A$2:$A$377,0)),0)</f>
        <v>8082</v>
      </c>
    </row>
    <row r="4425" ht="15.35" customHeight="1">
      <c r="A4425" t="s" s="2">
        <v>8283</v>
      </c>
      <c r="B4425" s="4">
        <v>34690</v>
      </c>
      <c r="C4425" s="5">
        <v>225</v>
      </c>
      <c r="D4425" s="5">
        <v>29</v>
      </c>
      <c r="E4425" s="5">
        <v>30</v>
      </c>
      <c r="F4425" t="s" s="2">
        <v>301</v>
      </c>
      <c r="G4425" t="s" s="2">
        <v>8070</v>
      </c>
      <c r="H4425" s="5">
        <v>787</v>
      </c>
      <c r="I4425" t="s" s="2">
        <v>21</v>
      </c>
      <c r="J4425" t="s" s="2">
        <v>22</v>
      </c>
      <c r="K4425" t="s" s="2">
        <v>8284</v>
      </c>
      <c r="L4425" t="s" s="2">
        <v>1161</v>
      </c>
      <c r="M4425" s="5">
        <v>479912.77</v>
      </c>
      <c r="N4425" s="5">
        <v>6317123.23</v>
      </c>
      <c r="O4425" t="s" s="2">
        <v>305</v>
      </c>
      <c r="P4425" s="5">
        <v>39000200</v>
      </c>
      <c r="Q4425" t="s" s="2">
        <v>8073</v>
      </c>
      <c r="R4425" t="s" s="2">
        <f>_xlfn.IFERROR(INDEX('model_byCAP'!$D$2:$D$377,MATCH(Q4425,'model_byCAP'!$A$2:$A$377,0)),0)</f>
        <v>8074</v>
      </c>
    </row>
    <row r="4426" ht="15.35" customHeight="1">
      <c r="A4426" t="s" s="2">
        <v>8285</v>
      </c>
      <c r="B4426" s="4">
        <v>35038</v>
      </c>
      <c r="C4426" s="5">
        <v>225</v>
      </c>
      <c r="D4426" s="5">
        <v>27</v>
      </c>
      <c r="E4426" s="5">
        <v>30</v>
      </c>
      <c r="F4426" t="s" s="2">
        <v>301</v>
      </c>
      <c r="G4426" t="s" s="2">
        <v>8079</v>
      </c>
      <c r="H4426" s="5">
        <v>787</v>
      </c>
      <c r="I4426" t="s" s="2">
        <v>21</v>
      </c>
      <c r="J4426" t="s" s="2">
        <v>22</v>
      </c>
      <c r="K4426" t="s" s="2">
        <v>8275</v>
      </c>
      <c r="L4426" t="s" s="2">
        <v>2969</v>
      </c>
      <c r="M4426" s="5">
        <v>481178.33</v>
      </c>
      <c r="N4426" s="5">
        <v>6317472.18</v>
      </c>
      <c r="O4426" t="s" s="2">
        <v>305</v>
      </c>
      <c r="P4426" s="5">
        <v>339800</v>
      </c>
      <c r="Q4426" t="s" s="2">
        <v>8081</v>
      </c>
      <c r="R4426" t="s" s="2">
        <f>_xlfn.IFERROR(INDEX('model_byCAP'!$D$2:$D$377,MATCH(Q4426,'model_byCAP'!$A$2:$A$377,0)),0)</f>
        <v>8082</v>
      </c>
    </row>
    <row r="4427" ht="15.35" customHeight="1">
      <c r="A4427" t="s" s="2">
        <v>8286</v>
      </c>
      <c r="B4427" s="4">
        <v>32888</v>
      </c>
      <c r="C4427" s="5">
        <v>225</v>
      </c>
      <c r="D4427" s="5">
        <v>27</v>
      </c>
      <c r="E4427" s="5">
        <v>30</v>
      </c>
      <c r="F4427" t="s" s="2">
        <v>301</v>
      </c>
      <c r="G4427" t="s" s="2">
        <v>8079</v>
      </c>
      <c r="H4427" s="5">
        <v>787</v>
      </c>
      <c r="I4427" t="s" s="2">
        <v>21</v>
      </c>
      <c r="J4427" t="s" s="2">
        <v>22</v>
      </c>
      <c r="K4427" t="s" s="2">
        <v>7115</v>
      </c>
      <c r="L4427" t="s" s="2">
        <v>8287</v>
      </c>
      <c r="M4427" s="5">
        <v>464679.24</v>
      </c>
      <c r="N4427" s="5">
        <v>6287406.19</v>
      </c>
      <c r="O4427" t="s" s="2">
        <v>305</v>
      </c>
      <c r="P4427" s="5">
        <v>160017</v>
      </c>
      <c r="Q4427" t="s" s="2">
        <v>8081</v>
      </c>
      <c r="R4427" t="s" s="2">
        <f>_xlfn.IFERROR(INDEX('model_byCAP'!$D$2:$D$377,MATCH(Q4427,'model_byCAP'!$A$2:$A$377,0)),0)</f>
        <v>8082</v>
      </c>
    </row>
    <row r="4428" ht="15.35" customHeight="1">
      <c r="A4428" t="s" s="2">
        <v>8288</v>
      </c>
      <c r="B4428" s="4">
        <v>38181</v>
      </c>
      <c r="C4428" s="5">
        <v>225</v>
      </c>
      <c r="D4428" s="5">
        <v>27</v>
      </c>
      <c r="E4428" s="5">
        <v>32.2</v>
      </c>
      <c r="F4428" t="s" s="2">
        <v>301</v>
      </c>
      <c r="G4428" t="s" s="2">
        <v>8079</v>
      </c>
      <c r="H4428" s="5">
        <v>265</v>
      </c>
      <c r="I4428" t="s" s="2">
        <v>3920</v>
      </c>
      <c r="J4428" t="s" s="2">
        <v>22</v>
      </c>
      <c r="K4428" t="s" s="2">
        <v>3921</v>
      </c>
      <c r="L4428" t="s" s="2">
        <v>431</v>
      </c>
      <c r="M4428" s="5">
        <v>694671.02</v>
      </c>
      <c r="N4428" s="5">
        <v>6175305.51</v>
      </c>
      <c r="O4428" t="s" s="2">
        <v>305</v>
      </c>
      <c r="P4428" s="5">
        <v>15431960</v>
      </c>
      <c r="Q4428" t="s" s="2">
        <v>8081</v>
      </c>
      <c r="R4428" t="s" s="2">
        <f>_xlfn.IFERROR(INDEX('model_byCAP'!$D$2:$D$377,MATCH(Q4428,'model_byCAP'!$A$2:$A$377,0)),0)</f>
        <v>8082</v>
      </c>
    </row>
    <row r="4429" ht="15.35" customHeight="1">
      <c r="A4429" t="s" s="2">
        <v>8289</v>
      </c>
      <c r="B4429" s="4">
        <v>32947</v>
      </c>
      <c r="C4429" s="5">
        <v>225</v>
      </c>
      <c r="D4429" s="5">
        <v>27</v>
      </c>
      <c r="E4429" s="5">
        <v>31.5</v>
      </c>
      <c r="F4429" t="s" s="2">
        <v>301</v>
      </c>
      <c r="G4429" t="s" s="2">
        <v>8079</v>
      </c>
      <c r="H4429" s="5">
        <v>787</v>
      </c>
      <c r="I4429" t="s" s="2">
        <v>21</v>
      </c>
      <c r="J4429" t="s" s="2">
        <v>22</v>
      </c>
      <c r="K4429" t="s" s="2">
        <v>4921</v>
      </c>
      <c r="L4429" t="s" s="2">
        <v>1717</v>
      </c>
      <c r="M4429" s="5">
        <v>463086.03</v>
      </c>
      <c r="N4429" s="5">
        <v>6299175.21</v>
      </c>
      <c r="O4429" t="s" s="2">
        <v>305</v>
      </c>
      <c r="P4429" s="5">
        <v>160024</v>
      </c>
      <c r="Q4429" t="s" s="2">
        <v>8081</v>
      </c>
      <c r="R4429" t="s" s="2">
        <f>_xlfn.IFERROR(INDEX('model_byCAP'!$D$2:$D$377,MATCH(Q4429,'model_byCAP'!$A$2:$A$377,0)),0)</f>
        <v>8082</v>
      </c>
    </row>
    <row r="4430" ht="15.35" customHeight="1">
      <c r="A4430" t="s" s="2">
        <v>8290</v>
      </c>
      <c r="B4430" s="4">
        <v>33222</v>
      </c>
      <c r="C4430" s="5">
        <v>225</v>
      </c>
      <c r="D4430" s="5">
        <v>27</v>
      </c>
      <c r="E4430" s="5">
        <v>31.5</v>
      </c>
      <c r="F4430" t="s" s="2">
        <v>301</v>
      </c>
      <c r="G4430" t="s" s="2">
        <v>8079</v>
      </c>
      <c r="H4430" s="5">
        <v>787</v>
      </c>
      <c r="I4430" t="s" s="2">
        <v>21</v>
      </c>
      <c r="J4430" t="s" s="2">
        <v>22</v>
      </c>
      <c r="K4430" t="s" s="2">
        <v>8291</v>
      </c>
      <c r="L4430" t="s" s="2">
        <v>8292</v>
      </c>
      <c r="M4430" s="5">
        <v>463810.22</v>
      </c>
      <c r="N4430" s="5">
        <v>6299895.23</v>
      </c>
      <c r="O4430" t="s" s="2">
        <v>305</v>
      </c>
      <c r="P4430" s="5">
        <v>160044</v>
      </c>
      <c r="Q4430" t="s" s="2">
        <v>8081</v>
      </c>
      <c r="R4430" t="s" s="2">
        <f>_xlfn.IFERROR(INDEX('model_byCAP'!$D$2:$D$377,MATCH(Q4430,'model_byCAP'!$A$2:$A$377,0)),0)</f>
        <v>8082</v>
      </c>
    </row>
    <row r="4431" ht="15.35" customHeight="1">
      <c r="A4431" t="s" s="2">
        <v>8293</v>
      </c>
      <c r="B4431" s="4">
        <v>33404</v>
      </c>
      <c r="C4431" s="5">
        <v>225</v>
      </c>
      <c r="D4431" s="5">
        <v>27</v>
      </c>
      <c r="E4431" s="5">
        <v>31.5</v>
      </c>
      <c r="F4431" t="s" s="2">
        <v>301</v>
      </c>
      <c r="G4431" t="s" s="2">
        <v>8079</v>
      </c>
      <c r="H4431" s="5">
        <v>787</v>
      </c>
      <c r="I4431" t="s" s="2">
        <v>21</v>
      </c>
      <c r="J4431" t="s" s="2">
        <v>22</v>
      </c>
      <c r="K4431" t="s" s="2">
        <v>8294</v>
      </c>
      <c r="L4431" t="s" s="2">
        <v>1119</v>
      </c>
      <c r="M4431" s="5">
        <v>470160.6</v>
      </c>
      <c r="N4431" s="5">
        <v>6313749.91</v>
      </c>
      <c r="O4431" t="s" s="2">
        <v>305</v>
      </c>
      <c r="P4431" s="5">
        <v>160050</v>
      </c>
      <c r="Q4431" t="s" s="2">
        <v>8081</v>
      </c>
      <c r="R4431" t="s" s="2">
        <f>_xlfn.IFERROR(INDEX('model_byCAP'!$D$2:$D$377,MATCH(Q4431,'model_byCAP'!$A$2:$A$377,0)),0)</f>
        <v>8082</v>
      </c>
    </row>
    <row r="4432" ht="15.35" customHeight="1">
      <c r="A4432" t="s" s="2">
        <v>8295</v>
      </c>
      <c r="B4432" s="4">
        <v>33496</v>
      </c>
      <c r="C4432" s="5">
        <v>225</v>
      </c>
      <c r="D4432" s="5">
        <v>27</v>
      </c>
      <c r="E4432" s="5">
        <v>31.5</v>
      </c>
      <c r="F4432" t="s" s="2">
        <v>301</v>
      </c>
      <c r="G4432" t="s" s="2">
        <v>8079</v>
      </c>
      <c r="H4432" s="5">
        <v>787</v>
      </c>
      <c r="I4432" t="s" s="2">
        <v>21</v>
      </c>
      <c r="J4432" t="s" s="2">
        <v>22</v>
      </c>
      <c r="K4432" t="s" s="2">
        <v>4918</v>
      </c>
      <c r="L4432" t="s" s="2">
        <v>1161</v>
      </c>
      <c r="M4432" s="5">
        <v>465066.83</v>
      </c>
      <c r="N4432" s="5">
        <v>6293865.55</v>
      </c>
      <c r="O4432" t="s" s="2">
        <v>305</v>
      </c>
      <c r="P4432" s="5">
        <v>160062</v>
      </c>
      <c r="Q4432" t="s" s="2">
        <v>8081</v>
      </c>
      <c r="R4432" t="s" s="2">
        <f>_xlfn.IFERROR(INDEX('model_byCAP'!$D$2:$D$377,MATCH(Q4432,'model_byCAP'!$A$2:$A$377,0)),0)</f>
        <v>8082</v>
      </c>
    </row>
    <row r="4433" ht="15.35" customHeight="1">
      <c r="A4433" t="s" s="2">
        <v>8296</v>
      </c>
      <c r="B4433" s="4">
        <v>33526</v>
      </c>
      <c r="C4433" s="5">
        <v>225</v>
      </c>
      <c r="D4433" s="5">
        <v>27</v>
      </c>
      <c r="E4433" s="5">
        <v>31.5</v>
      </c>
      <c r="F4433" t="s" s="2">
        <v>301</v>
      </c>
      <c r="G4433" t="s" s="2">
        <v>8079</v>
      </c>
      <c r="H4433" s="5">
        <v>787</v>
      </c>
      <c r="I4433" t="s" s="2">
        <v>21</v>
      </c>
      <c r="J4433" t="s" s="2">
        <v>22</v>
      </c>
      <c r="K4433" t="s" s="2">
        <v>8297</v>
      </c>
      <c r="L4433" t="s" s="2">
        <v>8298</v>
      </c>
      <c r="M4433" s="5">
        <v>473022.59</v>
      </c>
      <c r="N4433" s="5">
        <v>6313990.88</v>
      </c>
      <c r="O4433" t="s" s="2">
        <v>305</v>
      </c>
      <c r="P4433" s="5">
        <v>160080</v>
      </c>
      <c r="Q4433" t="s" s="2">
        <v>8081</v>
      </c>
      <c r="R4433" t="s" s="2">
        <f>_xlfn.IFERROR(INDEX('model_byCAP'!$D$2:$D$377,MATCH(Q4433,'model_byCAP'!$A$2:$A$377,0)),0)</f>
        <v>8082</v>
      </c>
    </row>
    <row r="4434" ht="15.35" customHeight="1">
      <c r="A4434" t="s" s="2">
        <v>8299</v>
      </c>
      <c r="B4434" s="4">
        <v>33526</v>
      </c>
      <c r="C4434" s="5">
        <v>225</v>
      </c>
      <c r="D4434" s="5">
        <v>27</v>
      </c>
      <c r="E4434" s="5">
        <v>31.5</v>
      </c>
      <c r="F4434" t="s" s="2">
        <v>301</v>
      </c>
      <c r="G4434" t="s" s="2">
        <v>8079</v>
      </c>
      <c r="H4434" s="5">
        <v>787</v>
      </c>
      <c r="I4434" t="s" s="2">
        <v>21</v>
      </c>
      <c r="J4434" t="s" s="2">
        <v>22</v>
      </c>
      <c r="K4434" t="s" s="2">
        <v>8297</v>
      </c>
      <c r="L4434" t="s" s="2">
        <v>8298</v>
      </c>
      <c r="M4434" s="5">
        <v>472848.53</v>
      </c>
      <c r="N4434" s="5">
        <v>6313996.29</v>
      </c>
      <c r="O4434" t="s" s="2">
        <v>305</v>
      </c>
      <c r="P4434" s="5">
        <v>160082</v>
      </c>
      <c r="Q4434" t="s" s="2">
        <v>8081</v>
      </c>
      <c r="R4434" t="s" s="2">
        <f>_xlfn.IFERROR(INDEX('model_byCAP'!$D$2:$D$377,MATCH(Q4434,'model_byCAP'!$A$2:$A$377,0)),0)</f>
        <v>8082</v>
      </c>
    </row>
    <row r="4435" ht="15.35" customHeight="1">
      <c r="A4435" t="s" s="2">
        <v>8300</v>
      </c>
      <c r="B4435" s="4">
        <v>33526</v>
      </c>
      <c r="C4435" s="5">
        <v>225</v>
      </c>
      <c r="D4435" s="5">
        <v>27</v>
      </c>
      <c r="E4435" s="5">
        <v>31.5</v>
      </c>
      <c r="F4435" t="s" s="2">
        <v>301</v>
      </c>
      <c r="G4435" t="s" s="2">
        <v>8079</v>
      </c>
      <c r="H4435" s="5">
        <v>787</v>
      </c>
      <c r="I4435" t="s" s="2">
        <v>21</v>
      </c>
      <c r="J4435" t="s" s="2">
        <v>22</v>
      </c>
      <c r="K4435" t="s" s="2">
        <v>8301</v>
      </c>
      <c r="L4435" t="s" s="2">
        <v>4390</v>
      </c>
      <c r="M4435" s="5">
        <v>460707.91</v>
      </c>
      <c r="N4435" s="5">
        <v>6292181.14</v>
      </c>
      <c r="O4435" t="s" s="2">
        <v>305</v>
      </c>
      <c r="P4435" s="5">
        <v>160084</v>
      </c>
      <c r="Q4435" t="s" s="2">
        <v>8081</v>
      </c>
      <c r="R4435" t="s" s="2">
        <f>_xlfn.IFERROR(INDEX('model_byCAP'!$D$2:$D$377,MATCH(Q4435,'model_byCAP'!$A$2:$A$377,0)),0)</f>
        <v>8082</v>
      </c>
    </row>
    <row r="4436" ht="15.35" customHeight="1">
      <c r="A4436" t="s" s="2">
        <v>8302</v>
      </c>
      <c r="B4436" s="4">
        <v>33557</v>
      </c>
      <c r="C4436" s="5">
        <v>225</v>
      </c>
      <c r="D4436" s="5">
        <v>27</v>
      </c>
      <c r="E4436" s="5">
        <v>31.5</v>
      </c>
      <c r="F4436" t="s" s="2">
        <v>301</v>
      </c>
      <c r="G4436" t="s" s="2">
        <v>8079</v>
      </c>
      <c r="H4436" s="5">
        <v>787</v>
      </c>
      <c r="I4436" t="s" s="2">
        <v>21</v>
      </c>
      <c r="J4436" t="s" s="2">
        <v>22</v>
      </c>
      <c r="K4436" t="s" s="2">
        <v>7135</v>
      </c>
      <c r="L4436" t="s" s="2">
        <v>518</v>
      </c>
      <c r="M4436" s="5">
        <v>467365.39</v>
      </c>
      <c r="N4436" s="5">
        <v>6301803.73</v>
      </c>
      <c r="O4436" t="s" s="2">
        <v>305</v>
      </c>
      <c r="P4436" s="5">
        <v>160090</v>
      </c>
      <c r="Q4436" t="s" s="2">
        <v>8081</v>
      </c>
      <c r="R4436" t="s" s="2">
        <f>_xlfn.IFERROR(INDEX('model_byCAP'!$D$2:$D$377,MATCH(Q4436,'model_byCAP'!$A$2:$A$377,0)),0)</f>
        <v>8082</v>
      </c>
    </row>
    <row r="4437" ht="15.35" customHeight="1">
      <c r="A4437" t="s" s="2">
        <v>8303</v>
      </c>
      <c r="B4437" s="4">
        <v>33709</v>
      </c>
      <c r="C4437" s="5">
        <v>225</v>
      </c>
      <c r="D4437" s="5">
        <v>27</v>
      </c>
      <c r="E4437" s="5">
        <v>31.5</v>
      </c>
      <c r="F4437" t="s" s="2">
        <v>301</v>
      </c>
      <c r="G4437" t="s" s="2">
        <v>8079</v>
      </c>
      <c r="H4437" s="5">
        <v>787</v>
      </c>
      <c r="I4437" t="s" s="2">
        <v>21</v>
      </c>
      <c r="J4437" t="s" s="2">
        <v>22</v>
      </c>
      <c r="K4437" t="s" s="2">
        <v>8304</v>
      </c>
      <c r="L4437" t="s" s="2">
        <v>3205</v>
      </c>
      <c r="M4437" s="5">
        <v>472349.76</v>
      </c>
      <c r="N4437" s="5">
        <v>6314251.77</v>
      </c>
      <c r="O4437" t="s" s="2">
        <v>305</v>
      </c>
      <c r="P4437" s="5">
        <v>160108</v>
      </c>
      <c r="Q4437" t="s" s="2">
        <v>8081</v>
      </c>
      <c r="R4437" t="s" s="2">
        <f>_xlfn.IFERROR(INDEX('model_byCAP'!$D$2:$D$377,MATCH(Q4437,'model_byCAP'!$A$2:$A$377,0)),0)</f>
        <v>8082</v>
      </c>
    </row>
    <row r="4438" ht="15.35" customHeight="1">
      <c r="A4438" t="s" s="2">
        <v>8305</v>
      </c>
      <c r="B4438" s="4">
        <v>34278</v>
      </c>
      <c r="C4438" s="5">
        <v>225</v>
      </c>
      <c r="D4438" s="5">
        <v>27</v>
      </c>
      <c r="E4438" s="5">
        <v>31.5</v>
      </c>
      <c r="F4438" t="s" s="2">
        <v>301</v>
      </c>
      <c r="G4438" t="s" s="2">
        <v>8079</v>
      </c>
      <c r="H4438" s="5">
        <v>787</v>
      </c>
      <c r="I4438" t="s" s="2">
        <v>21</v>
      </c>
      <c r="J4438" t="s" s="2">
        <v>22</v>
      </c>
      <c r="K4438" t="s" s="2">
        <v>7097</v>
      </c>
      <c r="L4438" t="s" s="2">
        <v>2931</v>
      </c>
      <c r="M4438" s="5">
        <v>458958.79</v>
      </c>
      <c r="N4438" s="5">
        <v>6294074.33</v>
      </c>
      <c r="O4438" t="s" s="2">
        <v>305</v>
      </c>
      <c r="P4438" s="5">
        <v>160152</v>
      </c>
      <c r="Q4438" t="s" s="2">
        <v>8081</v>
      </c>
      <c r="R4438" t="s" s="2">
        <f>_xlfn.IFERROR(INDEX('model_byCAP'!$D$2:$D$377,MATCH(Q4438,'model_byCAP'!$A$2:$A$377,0)),0)</f>
        <v>8082</v>
      </c>
    </row>
    <row r="4439" ht="15.35" customHeight="1">
      <c r="A4439" t="s" s="2">
        <v>8306</v>
      </c>
      <c r="B4439" s="4">
        <v>34569</v>
      </c>
      <c r="C4439" s="5">
        <v>225</v>
      </c>
      <c r="D4439" s="5">
        <v>27</v>
      </c>
      <c r="E4439" s="5">
        <v>31.5</v>
      </c>
      <c r="F4439" t="s" s="2">
        <v>301</v>
      </c>
      <c r="G4439" t="s" s="2">
        <v>8079</v>
      </c>
      <c r="H4439" s="5">
        <v>787</v>
      </c>
      <c r="I4439" t="s" s="2">
        <v>21</v>
      </c>
      <c r="J4439" t="s" s="2">
        <v>22</v>
      </c>
      <c r="K4439" t="s" s="2">
        <v>7646</v>
      </c>
      <c r="L4439" t="s" s="2">
        <v>1276</v>
      </c>
      <c r="M4439" s="5">
        <v>463595.39</v>
      </c>
      <c r="N4439" s="5">
        <v>6284335.64</v>
      </c>
      <c r="O4439" t="s" s="2">
        <v>305</v>
      </c>
      <c r="P4439" s="5">
        <v>160162</v>
      </c>
      <c r="Q4439" t="s" s="2">
        <v>8081</v>
      </c>
      <c r="R4439" t="s" s="2">
        <f>_xlfn.IFERROR(INDEX('model_byCAP'!$D$2:$D$377,MATCH(Q4439,'model_byCAP'!$A$2:$A$377,0)),0)</f>
        <v>8082</v>
      </c>
    </row>
    <row r="4440" ht="15.35" customHeight="1">
      <c r="A4440" t="s" s="2">
        <v>8307</v>
      </c>
      <c r="B4440" s="4">
        <v>34604</v>
      </c>
      <c r="C4440" s="5">
        <v>225</v>
      </c>
      <c r="D4440" s="5">
        <v>29</v>
      </c>
      <c r="E4440" s="5">
        <v>30</v>
      </c>
      <c r="F4440" t="s" s="2">
        <v>301</v>
      </c>
      <c r="G4440" t="s" s="2">
        <v>8070</v>
      </c>
      <c r="H4440" s="5">
        <v>787</v>
      </c>
      <c r="I4440" t="s" s="2">
        <v>21</v>
      </c>
      <c r="J4440" t="s" s="2">
        <v>22</v>
      </c>
      <c r="K4440" t="s" s="2">
        <v>8228</v>
      </c>
      <c r="L4440" t="s" s="2">
        <v>7807</v>
      </c>
      <c r="M4440" s="5">
        <v>475795.43</v>
      </c>
      <c r="N4440" s="5">
        <v>6304554.09</v>
      </c>
      <c r="O4440" t="s" s="2">
        <v>305</v>
      </c>
      <c r="P4440" s="5">
        <v>160166</v>
      </c>
      <c r="Q4440" t="s" s="2">
        <v>8073</v>
      </c>
      <c r="R4440" t="s" s="2">
        <f>_xlfn.IFERROR(INDEX('model_byCAP'!$D$2:$D$377,MATCH(Q4440,'model_byCAP'!$A$2:$A$377,0)),0)</f>
        <v>8074</v>
      </c>
    </row>
    <row r="4441" ht="15.35" customHeight="1">
      <c r="A4441" t="s" s="2">
        <v>8308</v>
      </c>
      <c r="B4441" s="4">
        <v>34670</v>
      </c>
      <c r="C4441" s="5">
        <v>225</v>
      </c>
      <c r="D4441" s="5">
        <v>29</v>
      </c>
      <c r="E4441" s="5">
        <v>31.5</v>
      </c>
      <c r="F4441" t="s" s="2">
        <v>301</v>
      </c>
      <c r="G4441" t="s" s="2">
        <v>8070</v>
      </c>
      <c r="H4441" s="5">
        <v>787</v>
      </c>
      <c r="I4441" t="s" s="2">
        <v>21</v>
      </c>
      <c r="J4441" t="s" s="2">
        <v>22</v>
      </c>
      <c r="K4441" t="s" s="2">
        <v>8309</v>
      </c>
      <c r="L4441" t="s" s="2">
        <v>2923</v>
      </c>
      <c r="M4441" s="5">
        <v>475000.55</v>
      </c>
      <c r="N4441" s="5">
        <v>6306881.33</v>
      </c>
      <c r="O4441" t="s" s="2">
        <v>305</v>
      </c>
      <c r="P4441" s="5">
        <v>160172</v>
      </c>
      <c r="Q4441" t="s" s="2">
        <v>8073</v>
      </c>
      <c r="R4441" t="s" s="2">
        <f>_xlfn.IFERROR(INDEX('model_byCAP'!$D$2:$D$377,MATCH(Q4441,'model_byCAP'!$A$2:$A$377,0)),0)</f>
        <v>8074</v>
      </c>
    </row>
    <row r="4442" ht="15.35" customHeight="1">
      <c r="A4442" t="s" s="2">
        <v>8310</v>
      </c>
      <c r="B4442" s="4">
        <v>34752</v>
      </c>
      <c r="C4442" s="5">
        <v>225</v>
      </c>
      <c r="D4442" s="5">
        <v>29</v>
      </c>
      <c r="E4442" s="5">
        <v>31.5</v>
      </c>
      <c r="F4442" t="s" s="2">
        <v>301</v>
      </c>
      <c r="G4442" t="s" s="2">
        <v>8070</v>
      </c>
      <c r="H4442" s="5">
        <v>787</v>
      </c>
      <c r="I4442" t="s" s="2">
        <v>21</v>
      </c>
      <c r="J4442" t="s" s="2">
        <v>22</v>
      </c>
      <c r="K4442" t="s" s="2">
        <v>8297</v>
      </c>
      <c r="L4442" t="s" s="2">
        <v>518</v>
      </c>
      <c r="M4442" s="5">
        <v>473648.89</v>
      </c>
      <c r="N4442" s="5">
        <v>6314411.11</v>
      </c>
      <c r="O4442" t="s" s="2">
        <v>305</v>
      </c>
      <c r="P4442" s="5">
        <v>160179</v>
      </c>
      <c r="Q4442" t="s" s="2">
        <v>8073</v>
      </c>
      <c r="R4442" t="s" s="2">
        <f>_xlfn.IFERROR(INDEX('model_byCAP'!$D$2:$D$377,MATCH(Q4442,'model_byCAP'!$A$2:$A$377,0)),0)</f>
        <v>8074</v>
      </c>
    </row>
    <row r="4443" ht="15.35" customHeight="1">
      <c r="A4443" t="s" s="2">
        <v>8311</v>
      </c>
      <c r="B4443" s="4">
        <v>34752</v>
      </c>
      <c r="C4443" s="5">
        <v>225</v>
      </c>
      <c r="D4443" s="5">
        <v>29</v>
      </c>
      <c r="E4443" s="5">
        <v>31.5</v>
      </c>
      <c r="F4443" t="s" s="2">
        <v>301</v>
      </c>
      <c r="G4443" t="s" s="2">
        <v>8070</v>
      </c>
      <c r="H4443" s="5">
        <v>787</v>
      </c>
      <c r="I4443" t="s" s="2">
        <v>21</v>
      </c>
      <c r="J4443" t="s" s="2">
        <v>22</v>
      </c>
      <c r="K4443" t="s" s="2">
        <v>8297</v>
      </c>
      <c r="L4443" t="s" s="2">
        <v>518</v>
      </c>
      <c r="M4443" s="5">
        <v>473568.76</v>
      </c>
      <c r="N4443" s="5">
        <v>6314144.44</v>
      </c>
      <c r="O4443" t="s" s="2">
        <v>1492</v>
      </c>
      <c r="P4443" s="5">
        <v>160183</v>
      </c>
      <c r="Q4443" t="s" s="2">
        <v>8073</v>
      </c>
      <c r="R4443" t="s" s="2">
        <f>_xlfn.IFERROR(INDEX('model_byCAP'!$D$2:$D$377,MATCH(Q4443,'model_byCAP'!$A$2:$A$377,0)),0)</f>
        <v>8074</v>
      </c>
    </row>
    <row r="4444" ht="15.35" customHeight="1">
      <c r="A4444" t="s" s="2">
        <v>8312</v>
      </c>
      <c r="B4444" s="4">
        <v>35199</v>
      </c>
      <c r="C4444" s="5">
        <v>225</v>
      </c>
      <c r="D4444" s="5">
        <v>29</v>
      </c>
      <c r="E4444" s="5">
        <v>31.5</v>
      </c>
      <c r="F4444" t="s" s="2">
        <v>301</v>
      </c>
      <c r="G4444" t="s" s="2">
        <v>8070</v>
      </c>
      <c r="H4444" s="5">
        <v>787</v>
      </c>
      <c r="I4444" t="s" s="2">
        <v>21</v>
      </c>
      <c r="J4444" t="s" s="2">
        <v>22</v>
      </c>
      <c r="K4444" t="s" s="2">
        <v>8309</v>
      </c>
      <c r="L4444" t="s" s="2">
        <v>1161</v>
      </c>
      <c r="M4444" s="5">
        <v>475314.62</v>
      </c>
      <c r="N4444" s="5">
        <v>6306290.46</v>
      </c>
      <c r="O4444" t="s" s="2">
        <v>305</v>
      </c>
      <c r="P4444" s="5">
        <v>160236</v>
      </c>
      <c r="Q4444" t="s" s="2">
        <v>8073</v>
      </c>
      <c r="R4444" t="s" s="2">
        <f>_xlfn.IFERROR(INDEX('model_byCAP'!$D$2:$D$377,MATCH(Q4444,'model_byCAP'!$A$2:$A$377,0)),0)</f>
        <v>8074</v>
      </c>
    </row>
    <row r="4445" ht="15.35" customHeight="1">
      <c r="A4445" t="s" s="2">
        <v>8313</v>
      </c>
      <c r="B4445" s="4">
        <v>35255</v>
      </c>
      <c r="C4445" s="5">
        <v>225</v>
      </c>
      <c r="D4445" s="5">
        <v>29</v>
      </c>
      <c r="E4445" s="5">
        <v>31.5</v>
      </c>
      <c r="F4445" t="s" s="2">
        <v>301</v>
      </c>
      <c r="G4445" t="s" s="2">
        <v>8070</v>
      </c>
      <c r="H4445" s="5">
        <v>787</v>
      </c>
      <c r="I4445" t="s" s="2">
        <v>21</v>
      </c>
      <c r="J4445" t="s" s="2">
        <v>22</v>
      </c>
      <c r="K4445" t="s" s="2">
        <v>7138</v>
      </c>
      <c r="L4445" t="s" s="2">
        <v>1301</v>
      </c>
      <c r="M4445" s="5">
        <v>469975.34</v>
      </c>
      <c r="N4445" s="5">
        <v>6303274.81</v>
      </c>
      <c r="O4445" t="s" s="2">
        <v>305</v>
      </c>
      <c r="P4445" s="5">
        <v>160250</v>
      </c>
      <c r="Q4445" t="s" s="2">
        <v>8073</v>
      </c>
      <c r="R4445" t="s" s="2">
        <f>_xlfn.IFERROR(INDEX('model_byCAP'!$D$2:$D$377,MATCH(Q4445,'model_byCAP'!$A$2:$A$377,0)),0)</f>
        <v>8074</v>
      </c>
    </row>
    <row r="4446" ht="15.35" customHeight="1">
      <c r="A4446" t="s" s="2">
        <v>8314</v>
      </c>
      <c r="B4446" s="4">
        <v>35256</v>
      </c>
      <c r="C4446" s="5">
        <v>225</v>
      </c>
      <c r="D4446" s="5">
        <v>29</v>
      </c>
      <c r="E4446" s="5">
        <v>31.5</v>
      </c>
      <c r="F4446" t="s" s="2">
        <v>301</v>
      </c>
      <c r="G4446" t="s" s="2">
        <v>8070</v>
      </c>
      <c r="H4446" s="5">
        <v>787</v>
      </c>
      <c r="I4446" t="s" s="2">
        <v>21</v>
      </c>
      <c r="J4446" t="s" s="2">
        <v>22</v>
      </c>
      <c r="K4446" t="s" s="2">
        <v>7138</v>
      </c>
      <c r="L4446" t="s" s="2">
        <v>1306</v>
      </c>
      <c r="M4446" s="5">
        <v>469931.78</v>
      </c>
      <c r="N4446" s="5">
        <v>6303161.63</v>
      </c>
      <c r="O4446" t="s" s="2">
        <v>305</v>
      </c>
      <c r="P4446" s="5">
        <v>160252</v>
      </c>
      <c r="Q4446" t="s" s="2">
        <v>8073</v>
      </c>
      <c r="R4446" t="s" s="2">
        <f>_xlfn.IFERROR(INDEX('model_byCAP'!$D$2:$D$377,MATCH(Q4446,'model_byCAP'!$A$2:$A$377,0)),0)</f>
        <v>8074</v>
      </c>
    </row>
    <row r="4447" ht="15.35" customHeight="1">
      <c r="A4447" t="s" s="2">
        <v>8315</v>
      </c>
      <c r="B4447" s="4">
        <v>33208</v>
      </c>
      <c r="C4447" s="5">
        <v>225</v>
      </c>
      <c r="D4447" s="5">
        <v>27</v>
      </c>
      <c r="E4447" s="5">
        <v>31.5</v>
      </c>
      <c r="F4447" t="s" s="2">
        <v>301</v>
      </c>
      <c r="G4447" t="s" s="2">
        <v>8079</v>
      </c>
      <c r="H4447" s="5">
        <v>787</v>
      </c>
      <c r="I4447" t="s" s="2">
        <v>21</v>
      </c>
      <c r="J4447" t="s" s="2">
        <v>22</v>
      </c>
      <c r="K4447" t="s" s="2">
        <v>7141</v>
      </c>
      <c r="L4447" t="s" s="2">
        <v>2078</v>
      </c>
      <c r="M4447" s="5">
        <v>459007.31</v>
      </c>
      <c r="N4447" s="5">
        <v>6286508.54</v>
      </c>
      <c r="O4447" t="s" s="2">
        <v>305</v>
      </c>
      <c r="P4447" s="5">
        <v>160350</v>
      </c>
      <c r="Q4447" t="s" s="2">
        <v>8081</v>
      </c>
      <c r="R4447" t="s" s="2">
        <f>_xlfn.IFERROR(INDEX('model_byCAP'!$D$2:$D$377,MATCH(Q4447,'model_byCAP'!$A$2:$A$377,0)),0)</f>
        <v>8082</v>
      </c>
    </row>
    <row r="4448" ht="15.35" customHeight="1">
      <c r="A4448" t="s" s="2">
        <v>8316</v>
      </c>
      <c r="B4448" s="4">
        <v>33208</v>
      </c>
      <c r="C4448" s="5">
        <v>225</v>
      </c>
      <c r="D4448" s="5">
        <v>27</v>
      </c>
      <c r="E4448" s="5">
        <v>31.5</v>
      </c>
      <c r="F4448" t="s" s="2">
        <v>301</v>
      </c>
      <c r="G4448" t="s" s="2">
        <v>8079</v>
      </c>
      <c r="H4448" s="5">
        <v>787</v>
      </c>
      <c r="I4448" t="s" s="2">
        <v>21</v>
      </c>
      <c r="J4448" t="s" s="2">
        <v>22</v>
      </c>
      <c r="K4448" t="s" s="2">
        <v>7141</v>
      </c>
      <c r="L4448" t="s" s="2">
        <v>8317</v>
      </c>
      <c r="M4448" s="5">
        <v>458898.55</v>
      </c>
      <c r="N4448" s="5">
        <v>6285984.09</v>
      </c>
      <c r="O4448" t="s" s="2">
        <v>305</v>
      </c>
      <c r="P4448" s="5">
        <v>160352</v>
      </c>
      <c r="Q4448" t="s" s="2">
        <v>8081</v>
      </c>
      <c r="R4448" t="s" s="2">
        <f>_xlfn.IFERROR(INDEX('model_byCAP'!$D$2:$D$377,MATCH(Q4448,'model_byCAP'!$A$2:$A$377,0)),0)</f>
        <v>8082</v>
      </c>
    </row>
    <row r="4449" ht="15.35" customHeight="1">
      <c r="A4449" t="s" s="2">
        <v>8318</v>
      </c>
      <c r="B4449" s="4">
        <v>33208</v>
      </c>
      <c r="C4449" s="5">
        <v>225</v>
      </c>
      <c r="D4449" s="5">
        <v>27</v>
      </c>
      <c r="E4449" s="5">
        <v>31.5</v>
      </c>
      <c r="F4449" t="s" s="2">
        <v>301</v>
      </c>
      <c r="G4449" t="s" s="2">
        <v>8079</v>
      </c>
      <c r="H4449" s="5">
        <v>787</v>
      </c>
      <c r="I4449" t="s" s="2">
        <v>21</v>
      </c>
      <c r="J4449" t="s" s="2">
        <v>22</v>
      </c>
      <c r="K4449" t="s" s="2">
        <v>7141</v>
      </c>
      <c r="L4449" t="s" s="2">
        <v>1744</v>
      </c>
      <c r="M4449" s="5">
        <v>458717.63</v>
      </c>
      <c r="N4449" s="5">
        <v>6286585.2</v>
      </c>
      <c r="O4449" t="s" s="2">
        <v>305</v>
      </c>
      <c r="P4449" s="5">
        <v>160354</v>
      </c>
      <c r="Q4449" t="s" s="2">
        <v>8081</v>
      </c>
      <c r="R4449" t="s" s="2">
        <f>_xlfn.IFERROR(INDEX('model_byCAP'!$D$2:$D$377,MATCH(Q4449,'model_byCAP'!$A$2:$A$377,0)),0)</f>
        <v>8082</v>
      </c>
    </row>
    <row r="4450" ht="15.35" customHeight="1">
      <c r="A4450" t="s" s="2">
        <v>8319</v>
      </c>
      <c r="B4450" s="4">
        <v>33208</v>
      </c>
      <c r="C4450" s="5">
        <v>225</v>
      </c>
      <c r="D4450" s="5">
        <v>27</v>
      </c>
      <c r="E4450" s="5">
        <v>31.5</v>
      </c>
      <c r="F4450" t="s" s="2">
        <v>301</v>
      </c>
      <c r="G4450" t="s" s="2">
        <v>8079</v>
      </c>
      <c r="H4450" s="5">
        <v>787</v>
      </c>
      <c r="I4450" t="s" s="2">
        <v>21</v>
      </c>
      <c r="J4450" t="s" s="2">
        <v>22</v>
      </c>
      <c r="K4450" t="s" s="2">
        <v>8320</v>
      </c>
      <c r="L4450" t="s" s="2">
        <v>2931</v>
      </c>
      <c r="M4450" s="5">
        <v>460179.22</v>
      </c>
      <c r="N4450" s="5">
        <v>6284793.44</v>
      </c>
      <c r="O4450" t="s" s="2">
        <v>305</v>
      </c>
      <c r="P4450" s="5">
        <v>160360</v>
      </c>
      <c r="Q4450" t="s" s="2">
        <v>8081</v>
      </c>
      <c r="R4450" t="s" s="2">
        <f>_xlfn.IFERROR(INDEX('model_byCAP'!$D$2:$D$377,MATCH(Q4450,'model_byCAP'!$A$2:$A$377,0)),0)</f>
        <v>8082</v>
      </c>
    </row>
    <row r="4451" ht="15.35" customHeight="1">
      <c r="A4451" t="s" s="2">
        <v>8321</v>
      </c>
      <c r="B4451" s="4">
        <v>33208</v>
      </c>
      <c r="C4451" s="5">
        <v>225</v>
      </c>
      <c r="D4451" s="5">
        <v>27</v>
      </c>
      <c r="E4451" s="5">
        <v>31.5</v>
      </c>
      <c r="F4451" t="s" s="2">
        <v>301</v>
      </c>
      <c r="G4451" t="s" s="2">
        <v>8079</v>
      </c>
      <c r="H4451" s="5">
        <v>787</v>
      </c>
      <c r="I4451" t="s" s="2">
        <v>21</v>
      </c>
      <c r="J4451" t="s" s="2">
        <v>22</v>
      </c>
      <c r="K4451" t="s" s="2">
        <v>8320</v>
      </c>
      <c r="L4451" t="s" s="2">
        <v>518</v>
      </c>
      <c r="M4451" s="5">
        <v>461133.89</v>
      </c>
      <c r="N4451" s="5">
        <v>6284170.83</v>
      </c>
      <c r="O4451" t="s" s="2">
        <v>305</v>
      </c>
      <c r="P4451" s="5">
        <v>160364</v>
      </c>
      <c r="Q4451" t="s" s="2">
        <v>8081</v>
      </c>
      <c r="R4451" t="s" s="2">
        <f>_xlfn.IFERROR(INDEX('model_byCAP'!$D$2:$D$377,MATCH(Q4451,'model_byCAP'!$A$2:$A$377,0)),0)</f>
        <v>8082</v>
      </c>
    </row>
    <row r="4452" ht="15.35" customHeight="1">
      <c r="A4452" t="s" s="2">
        <v>8322</v>
      </c>
      <c r="B4452" s="4">
        <v>33298</v>
      </c>
      <c r="C4452" s="5">
        <v>225</v>
      </c>
      <c r="D4452" s="5">
        <v>27</v>
      </c>
      <c r="E4452" s="5">
        <v>31.5</v>
      </c>
      <c r="F4452" t="s" s="2">
        <v>301</v>
      </c>
      <c r="G4452" t="s" s="2">
        <v>8079</v>
      </c>
      <c r="H4452" s="5">
        <v>787</v>
      </c>
      <c r="I4452" t="s" s="2">
        <v>21</v>
      </c>
      <c r="J4452" t="s" s="2">
        <v>22</v>
      </c>
      <c r="K4452" t="s" s="2">
        <v>8320</v>
      </c>
      <c r="L4452" t="s" s="2">
        <v>856</v>
      </c>
      <c r="M4452" s="5">
        <v>460996.43</v>
      </c>
      <c r="N4452" s="5">
        <v>6284002.95</v>
      </c>
      <c r="O4452" t="s" s="2">
        <v>305</v>
      </c>
      <c r="P4452" s="5">
        <v>160366</v>
      </c>
      <c r="Q4452" t="s" s="2">
        <v>8081</v>
      </c>
      <c r="R4452" t="s" s="2">
        <f>_xlfn.IFERROR(INDEX('model_byCAP'!$D$2:$D$377,MATCH(Q4452,'model_byCAP'!$A$2:$A$377,0)),0)</f>
        <v>8082</v>
      </c>
    </row>
    <row r="4453" ht="15.35" customHeight="1">
      <c r="A4453" t="s" s="2">
        <v>8323</v>
      </c>
      <c r="B4453" s="4">
        <v>33298</v>
      </c>
      <c r="C4453" s="5">
        <v>225</v>
      </c>
      <c r="D4453" s="5">
        <v>27</v>
      </c>
      <c r="E4453" s="5">
        <v>31.5</v>
      </c>
      <c r="F4453" t="s" s="2">
        <v>301</v>
      </c>
      <c r="G4453" t="s" s="2">
        <v>8079</v>
      </c>
      <c r="H4453" s="5">
        <v>787</v>
      </c>
      <c r="I4453" t="s" s="2">
        <v>21</v>
      </c>
      <c r="J4453" t="s" s="2">
        <v>22</v>
      </c>
      <c r="K4453" t="s" s="2">
        <v>7141</v>
      </c>
      <c r="L4453" t="s" s="2">
        <v>1504</v>
      </c>
      <c r="M4453" s="5">
        <v>459767.62</v>
      </c>
      <c r="N4453" s="5">
        <v>6287768.92</v>
      </c>
      <c r="O4453" t="s" s="2">
        <v>305</v>
      </c>
      <c r="P4453" s="5">
        <v>160372</v>
      </c>
      <c r="Q4453" t="s" s="2">
        <v>8081</v>
      </c>
      <c r="R4453" t="s" s="2">
        <f>_xlfn.IFERROR(INDEX('model_byCAP'!$D$2:$D$377,MATCH(Q4453,'model_byCAP'!$A$2:$A$377,0)),0)</f>
        <v>8082</v>
      </c>
    </row>
    <row r="4454" ht="15.35" customHeight="1">
      <c r="A4454" t="s" s="2">
        <v>8324</v>
      </c>
      <c r="B4454" s="4">
        <v>33298</v>
      </c>
      <c r="C4454" s="5">
        <v>225</v>
      </c>
      <c r="D4454" s="5">
        <v>27</v>
      </c>
      <c r="E4454" s="5">
        <v>31.5</v>
      </c>
      <c r="F4454" t="s" s="2">
        <v>301</v>
      </c>
      <c r="G4454" t="s" s="2">
        <v>8079</v>
      </c>
      <c r="H4454" s="5">
        <v>787</v>
      </c>
      <c r="I4454" t="s" s="2">
        <v>21</v>
      </c>
      <c r="J4454" t="s" s="2">
        <v>22</v>
      </c>
      <c r="K4454" t="s" s="2">
        <v>7141</v>
      </c>
      <c r="L4454" t="s" s="2">
        <v>2931</v>
      </c>
      <c r="M4454" s="5">
        <v>458258.69</v>
      </c>
      <c r="N4454" s="5">
        <v>6286220.46</v>
      </c>
      <c r="O4454" t="s" s="2">
        <v>305</v>
      </c>
      <c r="P4454" s="5">
        <v>160374</v>
      </c>
      <c r="Q4454" t="s" s="2">
        <v>8081</v>
      </c>
      <c r="R4454" t="s" s="2">
        <f>_xlfn.IFERROR(INDEX('model_byCAP'!$D$2:$D$377,MATCH(Q4454,'model_byCAP'!$A$2:$A$377,0)),0)</f>
        <v>8082</v>
      </c>
    </row>
    <row r="4455" ht="15.35" customHeight="1">
      <c r="A4455" t="s" s="2">
        <v>8325</v>
      </c>
      <c r="B4455" s="4">
        <v>33584</v>
      </c>
      <c r="C4455" s="5">
        <v>225</v>
      </c>
      <c r="D4455" s="5">
        <v>27</v>
      </c>
      <c r="E4455" s="5">
        <v>32</v>
      </c>
      <c r="F4455" t="s" s="2">
        <v>301</v>
      </c>
      <c r="G4455" t="s" s="2">
        <v>8079</v>
      </c>
      <c r="H4455" s="5">
        <v>787</v>
      </c>
      <c r="I4455" t="s" s="2">
        <v>21</v>
      </c>
      <c r="J4455" t="s" s="2">
        <v>22</v>
      </c>
      <c r="K4455" t="s" s="2">
        <v>8326</v>
      </c>
      <c r="L4455" t="s" s="2">
        <v>3180</v>
      </c>
      <c r="M4455" s="5">
        <v>465374.47</v>
      </c>
      <c r="N4455" s="5">
        <v>6290795.87</v>
      </c>
      <c r="O4455" t="s" s="2">
        <v>305</v>
      </c>
      <c r="P4455" t="s" s="2">
        <v>8327</v>
      </c>
      <c r="Q4455" t="s" s="2">
        <v>8081</v>
      </c>
      <c r="R4455" t="s" s="2">
        <f>_xlfn.IFERROR(INDEX('model_byCAP'!$D$2:$D$377,MATCH(Q4455,'model_byCAP'!$A$2:$A$377,0)),0)</f>
        <v>8082</v>
      </c>
    </row>
    <row r="4456" ht="15.35" customHeight="1">
      <c r="A4456" t="s" s="2">
        <v>8328</v>
      </c>
      <c r="B4456" s="4">
        <v>43572</v>
      </c>
      <c r="C4456" s="5">
        <v>225</v>
      </c>
      <c r="D4456" s="5">
        <v>27</v>
      </c>
      <c r="E4456" s="5">
        <v>31.5</v>
      </c>
      <c r="F4456" t="s" s="2">
        <v>301</v>
      </c>
      <c r="G4456" t="s" s="2">
        <v>8079</v>
      </c>
      <c r="H4456" s="5">
        <v>787</v>
      </c>
      <c r="I4456" t="s" s="2">
        <v>21</v>
      </c>
      <c r="J4456" t="s" s="2">
        <v>22</v>
      </c>
      <c r="K4456" t="s" s="2">
        <v>7117</v>
      </c>
      <c r="L4456" t="s" s="2">
        <v>8329</v>
      </c>
      <c r="M4456" s="5">
        <v>471605</v>
      </c>
      <c r="N4456" s="5">
        <v>6309791</v>
      </c>
      <c r="O4456" t="s" s="2">
        <v>25</v>
      </c>
      <c r="P4456" s="5">
        <v>170134</v>
      </c>
      <c r="Q4456" t="s" s="2">
        <v>8081</v>
      </c>
      <c r="R4456" t="s" s="2">
        <f>_xlfn.IFERROR(INDEX('model_byCAP'!$D$2:$D$377,MATCH(Q4456,'model_byCAP'!$A$2:$A$377,0)),0)</f>
        <v>8082</v>
      </c>
    </row>
    <row r="4457" ht="15.35" customHeight="1">
      <c r="A4457" t="s" s="2">
        <v>8330</v>
      </c>
      <c r="B4457" s="4">
        <v>34481</v>
      </c>
      <c r="C4457" s="5">
        <v>225</v>
      </c>
      <c r="D4457" s="5">
        <v>29</v>
      </c>
      <c r="E4457" s="5">
        <v>31</v>
      </c>
      <c r="F4457" t="s" s="2">
        <v>301</v>
      </c>
      <c r="G4457" t="s" s="2">
        <v>8070</v>
      </c>
      <c r="H4457" s="5">
        <v>820</v>
      </c>
      <c r="I4457" t="s" s="2">
        <v>388</v>
      </c>
      <c r="J4457" t="s" s="2">
        <v>22</v>
      </c>
      <c r="K4457" t="s" s="2">
        <v>4992</v>
      </c>
      <c r="L4457" t="s" s="2">
        <v>498</v>
      </c>
      <c r="M4457" s="5">
        <v>529587.29</v>
      </c>
      <c r="N4457" s="5">
        <v>6304696.53</v>
      </c>
      <c r="O4457" t="s" s="2">
        <v>305</v>
      </c>
      <c r="P4457" s="5">
        <v>303</v>
      </c>
      <c r="Q4457" t="s" s="2">
        <v>8073</v>
      </c>
      <c r="R4457" t="s" s="2">
        <f>_xlfn.IFERROR(INDEX('model_byCAP'!$D$2:$D$377,MATCH(Q4457,'model_byCAP'!$A$2:$A$377,0)),0)</f>
        <v>8074</v>
      </c>
    </row>
    <row r="4458" ht="15.35" customHeight="1">
      <c r="A4458" t="s" s="2">
        <v>8331</v>
      </c>
      <c r="B4458" s="4">
        <v>34823</v>
      </c>
      <c r="C4458" s="5">
        <v>225</v>
      </c>
      <c r="D4458" s="5">
        <v>29</v>
      </c>
      <c r="E4458" s="5">
        <v>31</v>
      </c>
      <c r="F4458" t="s" s="2">
        <v>301</v>
      </c>
      <c r="G4458" t="s" s="2">
        <v>8070</v>
      </c>
      <c r="H4458" s="5">
        <v>820</v>
      </c>
      <c r="I4458" t="s" s="2">
        <v>388</v>
      </c>
      <c r="J4458" t="s" s="2">
        <v>22</v>
      </c>
      <c r="K4458" t="s" s="2">
        <v>8332</v>
      </c>
      <c r="L4458" t="s" s="2">
        <v>8231</v>
      </c>
      <c r="M4458" s="5">
        <v>517625.23</v>
      </c>
      <c r="N4458" s="5">
        <v>6290651.27</v>
      </c>
      <c r="O4458" t="s" s="2">
        <v>305</v>
      </c>
      <c r="P4458" s="5">
        <v>325</v>
      </c>
      <c r="Q4458" t="s" s="2">
        <v>8073</v>
      </c>
      <c r="R4458" t="s" s="2">
        <f>_xlfn.IFERROR(INDEX('model_byCAP'!$D$2:$D$377,MATCH(Q4458,'model_byCAP'!$A$2:$A$377,0)),0)</f>
        <v>8074</v>
      </c>
    </row>
    <row r="4459" ht="15.35" customHeight="1">
      <c r="A4459" t="s" s="2">
        <v>8333</v>
      </c>
      <c r="B4459" s="4">
        <v>34823</v>
      </c>
      <c r="C4459" s="5">
        <v>225</v>
      </c>
      <c r="D4459" s="5">
        <v>29</v>
      </c>
      <c r="E4459" s="5">
        <v>31</v>
      </c>
      <c r="F4459" t="s" s="2">
        <v>301</v>
      </c>
      <c r="G4459" t="s" s="2">
        <v>8070</v>
      </c>
      <c r="H4459" s="5">
        <v>820</v>
      </c>
      <c r="I4459" t="s" s="2">
        <v>388</v>
      </c>
      <c r="J4459" t="s" s="2">
        <v>22</v>
      </c>
      <c r="K4459" t="s" s="2">
        <v>8332</v>
      </c>
      <c r="L4459" t="s" s="2">
        <v>2348</v>
      </c>
      <c r="M4459" s="5">
        <v>517517.18</v>
      </c>
      <c r="N4459" s="5">
        <v>6290655.39</v>
      </c>
      <c r="O4459" t="s" s="2">
        <v>305</v>
      </c>
      <c r="P4459" s="5">
        <v>326</v>
      </c>
      <c r="Q4459" t="s" s="2">
        <v>8073</v>
      </c>
      <c r="R4459" t="s" s="2">
        <f>_xlfn.IFERROR(INDEX('model_byCAP'!$D$2:$D$377,MATCH(Q4459,'model_byCAP'!$A$2:$A$377,0)),0)</f>
        <v>8074</v>
      </c>
    </row>
    <row r="4460" ht="15.35" customHeight="1">
      <c r="A4460" t="s" s="2">
        <v>8334</v>
      </c>
      <c r="B4460" s="4">
        <v>34699</v>
      </c>
      <c r="C4460" s="5">
        <v>225</v>
      </c>
      <c r="D4460" s="5">
        <v>29</v>
      </c>
      <c r="E4460" s="5">
        <v>30</v>
      </c>
      <c r="F4460" t="s" s="2">
        <v>301</v>
      </c>
      <c r="G4460" t="s" s="2">
        <v>8070</v>
      </c>
      <c r="H4460" s="5">
        <v>840</v>
      </c>
      <c r="I4460" t="s" s="2">
        <v>973</v>
      </c>
      <c r="J4460" t="s" s="2">
        <v>22</v>
      </c>
      <c r="K4460" t="s" s="2">
        <v>8335</v>
      </c>
      <c r="L4460" t="s" s="2">
        <v>524</v>
      </c>
      <c r="M4460" s="5">
        <v>542286.4</v>
      </c>
      <c r="N4460" s="5">
        <v>6292082.22</v>
      </c>
      <c r="O4460" t="s" s="2">
        <v>305</v>
      </c>
      <c r="P4460" s="5">
        <v>318</v>
      </c>
      <c r="Q4460" t="s" s="2">
        <v>8073</v>
      </c>
      <c r="R4460" t="s" s="2">
        <f>_xlfn.IFERROR(INDEX('model_byCAP'!$D$2:$D$377,MATCH(Q4460,'model_byCAP'!$A$2:$A$377,0)),0)</f>
        <v>8074</v>
      </c>
    </row>
    <row r="4461" ht="15.35" customHeight="1">
      <c r="A4461" t="s" s="2">
        <v>8336</v>
      </c>
      <c r="B4461" s="4">
        <v>33011</v>
      </c>
      <c r="C4461" s="5">
        <v>225</v>
      </c>
      <c r="D4461" s="5">
        <v>27</v>
      </c>
      <c r="E4461" s="5">
        <v>31.5</v>
      </c>
      <c r="F4461" t="s" s="2">
        <v>301</v>
      </c>
      <c r="G4461" t="s" s="2">
        <v>8079</v>
      </c>
      <c r="H4461" s="5">
        <v>849</v>
      </c>
      <c r="I4461" t="s" s="2">
        <v>411</v>
      </c>
      <c r="J4461" t="s" s="2">
        <v>22</v>
      </c>
      <c r="K4461" t="s" s="2">
        <v>8337</v>
      </c>
      <c r="L4461" t="s" s="2">
        <v>396</v>
      </c>
      <c r="M4461" s="5">
        <v>529399.9399999999</v>
      </c>
      <c r="N4461" s="5">
        <v>6322872.74</v>
      </c>
      <c r="O4461" t="s" s="2">
        <v>305</v>
      </c>
      <c r="P4461" s="5">
        <v>2372021</v>
      </c>
      <c r="Q4461" t="s" s="2">
        <v>8081</v>
      </c>
      <c r="R4461" t="s" s="2">
        <f>_xlfn.IFERROR(INDEX('model_byCAP'!$D$2:$D$377,MATCH(Q4461,'model_byCAP'!$A$2:$A$377,0)),0)</f>
        <v>8082</v>
      </c>
    </row>
    <row r="4462" ht="15.35" customHeight="1">
      <c r="A4462" t="s" s="2">
        <v>8338</v>
      </c>
      <c r="B4462" s="4">
        <v>35016</v>
      </c>
      <c r="C4462" s="5">
        <v>225</v>
      </c>
      <c r="D4462" s="5">
        <v>29</v>
      </c>
      <c r="E4462" s="5">
        <v>31.5</v>
      </c>
      <c r="F4462" t="s" s="2">
        <v>301</v>
      </c>
      <c r="G4462" t="s" s="2">
        <v>8109</v>
      </c>
      <c r="H4462" s="5">
        <v>849</v>
      </c>
      <c r="I4462" t="s" s="2">
        <v>411</v>
      </c>
      <c r="J4462" t="s" s="2">
        <v>22</v>
      </c>
      <c r="K4462" t="s" s="2">
        <v>8339</v>
      </c>
      <c r="L4462" t="s" s="2">
        <v>2348</v>
      </c>
      <c r="M4462" s="5">
        <v>506857.63</v>
      </c>
      <c r="N4462" s="5">
        <v>6327457.01</v>
      </c>
      <c r="O4462" t="s" s="2">
        <v>305</v>
      </c>
      <c r="P4462" t="s" s="2">
        <v>8340</v>
      </c>
      <c r="Q4462" t="s" s="2">
        <v>8112</v>
      </c>
      <c r="R4462" t="s" s="2">
        <f>_xlfn.IFERROR(INDEX('model_byCAP'!$D$2:$D$377,MATCH(Q4462,'model_byCAP'!$A$2:$A$377,0)),0)</f>
        <v>8029</v>
      </c>
    </row>
    <row r="4463" ht="15.35" customHeight="1">
      <c r="A4463" t="s" s="2">
        <v>8341</v>
      </c>
      <c r="B4463" s="4">
        <v>35330</v>
      </c>
      <c r="C4463" s="5">
        <v>225</v>
      </c>
      <c r="D4463" s="5">
        <v>29</v>
      </c>
      <c r="E4463" s="5">
        <v>31.5</v>
      </c>
      <c r="F4463" t="s" s="2">
        <v>301</v>
      </c>
      <c r="G4463" t="s" s="2">
        <v>8109</v>
      </c>
      <c r="H4463" s="5">
        <v>849</v>
      </c>
      <c r="I4463" t="s" s="2">
        <v>411</v>
      </c>
      <c r="J4463" t="s" s="2">
        <v>22</v>
      </c>
      <c r="K4463" t="s" s="2">
        <v>8339</v>
      </c>
      <c r="L4463" t="s" s="2">
        <v>2348</v>
      </c>
      <c r="M4463" s="5">
        <v>506725.97</v>
      </c>
      <c r="N4463" s="5">
        <v>6327537.56</v>
      </c>
      <c r="O4463" t="s" s="2">
        <v>305</v>
      </c>
      <c r="P4463" t="s" s="2">
        <v>8342</v>
      </c>
      <c r="Q4463" t="s" s="2">
        <v>8112</v>
      </c>
      <c r="R4463" t="s" s="2">
        <f>_xlfn.IFERROR(INDEX('model_byCAP'!$D$2:$D$377,MATCH(Q4463,'model_byCAP'!$A$2:$A$377,0)),0)</f>
        <v>8029</v>
      </c>
    </row>
    <row r="4464" ht="15.35" customHeight="1">
      <c r="A4464" t="s" s="2">
        <v>8343</v>
      </c>
      <c r="B4464" s="4">
        <v>35330</v>
      </c>
      <c r="C4464" s="5">
        <v>225</v>
      </c>
      <c r="D4464" s="5">
        <v>29</v>
      </c>
      <c r="E4464" s="5">
        <v>31.5</v>
      </c>
      <c r="F4464" t="s" s="2">
        <v>301</v>
      </c>
      <c r="G4464" t="s" s="2">
        <v>8109</v>
      </c>
      <c r="H4464" s="5">
        <v>849</v>
      </c>
      <c r="I4464" t="s" s="2">
        <v>411</v>
      </c>
      <c r="J4464" t="s" s="2">
        <v>22</v>
      </c>
      <c r="K4464" t="s" s="2">
        <v>8339</v>
      </c>
      <c r="L4464" t="s" s="2">
        <v>2348</v>
      </c>
      <c r="M4464" s="5">
        <v>506461.43</v>
      </c>
      <c r="N4464" s="5">
        <v>6327699.56</v>
      </c>
      <c r="O4464" t="s" s="2">
        <v>305</v>
      </c>
      <c r="P4464" t="s" s="2">
        <v>8344</v>
      </c>
      <c r="Q4464" t="s" s="2">
        <v>8112</v>
      </c>
      <c r="R4464" t="s" s="2">
        <f>_xlfn.IFERROR(INDEX('model_byCAP'!$D$2:$D$377,MATCH(Q4464,'model_byCAP'!$A$2:$A$377,0)),0)</f>
        <v>8029</v>
      </c>
    </row>
    <row r="4465" ht="15.35" customHeight="1">
      <c r="A4465" t="s" s="2">
        <v>8345</v>
      </c>
      <c r="B4465" s="4">
        <v>32261</v>
      </c>
      <c r="C4465" s="5">
        <v>225</v>
      </c>
      <c r="D4465" s="5">
        <v>26</v>
      </c>
      <c r="E4465" s="5">
        <v>30</v>
      </c>
      <c r="F4465" t="s" s="2">
        <v>2328</v>
      </c>
      <c r="G4465" t="s" s="2">
        <v>8140</v>
      </c>
      <c r="H4465" s="5">
        <v>851</v>
      </c>
      <c r="I4465" t="s" s="2">
        <v>1139</v>
      </c>
      <c r="J4465" t="s" s="2">
        <v>22</v>
      </c>
      <c r="K4465" t="s" s="2">
        <v>8346</v>
      </c>
      <c r="L4465" t="s" s="2">
        <v>8347</v>
      </c>
      <c r="M4465" s="5">
        <v>565021.98</v>
      </c>
      <c r="N4465" s="5">
        <v>6324641.97</v>
      </c>
      <c r="O4465" t="s" s="2">
        <v>305</v>
      </c>
      <c r="P4465" t="s" s="2">
        <v>8348</v>
      </c>
      <c r="Q4465" t="s" s="2">
        <v>8142</v>
      </c>
      <c r="R4465" t="s" s="2">
        <f>_xlfn.IFERROR(INDEX('model_byCAP'!$D$2:$D$377,MATCH(Q4465,'model_byCAP'!$A$2:$A$377,0)),0)</f>
        <v>7996</v>
      </c>
    </row>
    <row r="4466" ht="15.35" customHeight="1">
      <c r="A4466" t="s" s="2">
        <v>8349</v>
      </c>
      <c r="B4466" s="4">
        <v>34423</v>
      </c>
      <c r="C4466" s="5">
        <v>225</v>
      </c>
      <c r="D4466" s="5">
        <v>27</v>
      </c>
      <c r="E4466" s="5">
        <v>31.5</v>
      </c>
      <c r="F4466" t="s" s="2">
        <v>301</v>
      </c>
      <c r="G4466" t="s" s="2">
        <v>8079</v>
      </c>
      <c r="H4466" s="5">
        <v>860</v>
      </c>
      <c r="I4466" t="s" s="2">
        <v>449</v>
      </c>
      <c r="J4466" t="s" s="2">
        <v>22</v>
      </c>
      <c r="K4466" t="s" s="2">
        <v>8350</v>
      </c>
      <c r="L4466" t="s" s="2">
        <v>585</v>
      </c>
      <c r="M4466" s="5">
        <v>564434.27</v>
      </c>
      <c r="N4466" s="5">
        <v>6371932.96</v>
      </c>
      <c r="O4466" t="s" s="2">
        <v>305</v>
      </c>
      <c r="P4466" t="s" s="2">
        <v>8351</v>
      </c>
      <c r="Q4466" t="s" s="2">
        <v>8081</v>
      </c>
      <c r="R4466" t="s" s="2">
        <f>_xlfn.IFERROR(INDEX('model_byCAP'!$D$2:$D$377,MATCH(Q4466,'model_byCAP'!$A$2:$A$377,0)),0)</f>
        <v>8082</v>
      </c>
    </row>
    <row r="4467" ht="15.35" customHeight="1">
      <c r="A4467" t="s" s="2">
        <v>8352</v>
      </c>
      <c r="B4467" s="4">
        <v>32833</v>
      </c>
      <c r="C4467" s="5">
        <v>225</v>
      </c>
      <c r="D4467" s="5">
        <v>27</v>
      </c>
      <c r="E4467" s="5">
        <v>29</v>
      </c>
      <c r="F4467" t="s" s="2">
        <v>8353</v>
      </c>
      <c r="G4467" t="s" s="2">
        <v>8354</v>
      </c>
      <c r="H4467" s="5">
        <v>860</v>
      </c>
      <c r="I4467" t="s" s="2">
        <v>449</v>
      </c>
      <c r="J4467" t="s" s="2">
        <v>22</v>
      </c>
      <c r="K4467" t="s" s="2">
        <v>8355</v>
      </c>
      <c r="L4467" t="s" s="2">
        <v>511</v>
      </c>
      <c r="M4467" s="5">
        <v>551700.05</v>
      </c>
      <c r="N4467" s="5">
        <v>6362080.78</v>
      </c>
      <c r="O4467" t="s" s="2">
        <v>305</v>
      </c>
      <c r="P4467" t="s" s="2">
        <v>8356</v>
      </c>
      <c r="Q4467" t="s" s="2">
        <v>8357</v>
      </c>
      <c r="R4467" s="5">
        <f>_xlfn.IFERROR(INDEX('model_byCAP'!$D$2:$D$377,MATCH(Q4467,'model_byCAP'!$A$2:$A$377,0)),0)</f>
        <v>0</v>
      </c>
    </row>
    <row r="4468" ht="15.35" customHeight="1">
      <c r="A4468" t="s" s="2">
        <v>8358</v>
      </c>
      <c r="B4468" s="4">
        <v>33294</v>
      </c>
      <c r="C4468" s="5">
        <v>200</v>
      </c>
      <c r="D4468" s="5">
        <v>27</v>
      </c>
      <c r="E4468" s="5">
        <v>30</v>
      </c>
      <c r="F4468" t="s" s="2">
        <v>1746</v>
      </c>
      <c r="G4468" t="s" s="2">
        <v>8359</v>
      </c>
      <c r="H4468" s="5">
        <v>316</v>
      </c>
      <c r="I4468" t="s" s="2">
        <v>1769</v>
      </c>
      <c r="J4468" t="s" s="2">
        <v>22</v>
      </c>
      <c r="K4468" t="s" s="2">
        <v>8360</v>
      </c>
      <c r="L4468" t="s" s="2">
        <v>543</v>
      </c>
      <c r="M4468" s="5">
        <v>668977.91</v>
      </c>
      <c r="N4468" s="5">
        <v>6170339.83</v>
      </c>
      <c r="O4468" t="s" s="2">
        <v>305</v>
      </c>
      <c r="P4468" t="s" s="2">
        <v>8361</v>
      </c>
      <c r="Q4468" t="s" s="2">
        <v>8362</v>
      </c>
      <c r="R4468" t="s" s="2">
        <f>_xlfn.IFERROR(INDEX('model_byCAP'!$D$2:$D$377,MATCH(Q4468,'model_byCAP'!$A$2:$A$377,0)),0)</f>
        <v>4115</v>
      </c>
    </row>
    <row r="4469" ht="15.35" customHeight="1">
      <c r="A4469" t="s" s="2">
        <v>8363</v>
      </c>
      <c r="B4469" s="4">
        <v>33294</v>
      </c>
      <c r="C4469" s="5">
        <v>200</v>
      </c>
      <c r="D4469" s="5">
        <v>27</v>
      </c>
      <c r="E4469" s="5">
        <v>30</v>
      </c>
      <c r="F4469" t="s" s="2">
        <v>1746</v>
      </c>
      <c r="G4469" t="s" s="2">
        <v>8359</v>
      </c>
      <c r="H4469" s="5">
        <v>316</v>
      </c>
      <c r="I4469" t="s" s="2">
        <v>1769</v>
      </c>
      <c r="J4469" t="s" s="2">
        <v>22</v>
      </c>
      <c r="K4469" t="s" s="2">
        <v>8360</v>
      </c>
      <c r="L4469" t="s" s="2">
        <v>4055</v>
      </c>
      <c r="M4469" s="5">
        <v>669052.51</v>
      </c>
      <c r="N4469" s="5">
        <v>6170343.71</v>
      </c>
      <c r="O4469" t="s" s="2">
        <v>305</v>
      </c>
      <c r="P4469" t="s" s="2">
        <v>8361</v>
      </c>
      <c r="Q4469" t="s" s="2">
        <v>8362</v>
      </c>
      <c r="R4469" t="s" s="2">
        <f>_xlfn.IFERROR(INDEX('model_byCAP'!$D$2:$D$377,MATCH(Q4469,'model_byCAP'!$A$2:$A$377,0)),0)</f>
        <v>4115</v>
      </c>
    </row>
    <row r="4470" ht="15.35" customHeight="1">
      <c r="A4470" t="s" s="2">
        <v>8364</v>
      </c>
      <c r="B4470" s="4">
        <v>33294</v>
      </c>
      <c r="C4470" s="5">
        <v>200</v>
      </c>
      <c r="D4470" s="5">
        <v>27</v>
      </c>
      <c r="E4470" s="5">
        <v>30</v>
      </c>
      <c r="F4470" t="s" s="2">
        <v>1746</v>
      </c>
      <c r="G4470" t="s" s="2">
        <v>8359</v>
      </c>
      <c r="H4470" s="5">
        <v>316</v>
      </c>
      <c r="I4470" t="s" s="2">
        <v>1769</v>
      </c>
      <c r="J4470" t="s" s="2">
        <v>22</v>
      </c>
      <c r="K4470" t="s" s="2">
        <v>8360</v>
      </c>
      <c r="L4470" t="s" s="2">
        <v>4055</v>
      </c>
      <c r="M4470" s="5">
        <v>669128.33</v>
      </c>
      <c r="N4470" s="5">
        <v>6170346.2</v>
      </c>
      <c r="O4470" t="s" s="2">
        <v>305</v>
      </c>
      <c r="P4470" t="s" s="2">
        <v>8361</v>
      </c>
      <c r="Q4470" t="s" s="2">
        <v>8362</v>
      </c>
      <c r="R4470" t="s" s="2">
        <f>_xlfn.IFERROR(INDEX('model_byCAP'!$D$2:$D$377,MATCH(Q4470,'model_byCAP'!$A$2:$A$377,0)),0)</f>
        <v>4115</v>
      </c>
    </row>
    <row r="4471" ht="15.35" customHeight="1">
      <c r="A4471" t="s" s="2">
        <v>8365</v>
      </c>
      <c r="B4471" s="4">
        <v>33239</v>
      </c>
      <c r="C4471" s="5">
        <v>200</v>
      </c>
      <c r="D4471" s="5">
        <v>27</v>
      </c>
      <c r="E4471" s="5">
        <v>30</v>
      </c>
      <c r="F4471" t="s" s="2">
        <v>3604</v>
      </c>
      <c r="G4471" t="s" s="2">
        <v>8366</v>
      </c>
      <c r="H4471" s="5">
        <v>316</v>
      </c>
      <c r="I4471" t="s" s="2">
        <v>1769</v>
      </c>
      <c r="J4471" t="s" s="2">
        <v>22</v>
      </c>
      <c r="K4471" t="s" s="2">
        <v>8367</v>
      </c>
      <c r="L4471" t="s" s="2">
        <v>605</v>
      </c>
      <c r="M4471" s="5">
        <v>674268.49</v>
      </c>
      <c r="N4471" s="5">
        <v>6185007.18</v>
      </c>
      <c r="O4471" t="s" s="2">
        <v>305</v>
      </c>
      <c r="P4471" t="s" s="2">
        <v>8368</v>
      </c>
      <c r="Q4471" t="s" s="2">
        <v>8369</v>
      </c>
      <c r="R4471" t="s" s="2">
        <f>_xlfn.IFERROR(INDEX('model_byCAP'!$D$2:$D$377,MATCH(Q4471,'model_byCAP'!$A$2:$A$377,0)),0)</f>
        <v>4115</v>
      </c>
    </row>
    <row r="4472" ht="15.35" customHeight="1">
      <c r="A4472" t="s" s="2">
        <v>8370</v>
      </c>
      <c r="B4472" s="4">
        <v>33239</v>
      </c>
      <c r="C4472" s="5">
        <v>200</v>
      </c>
      <c r="D4472" s="5">
        <v>27</v>
      </c>
      <c r="E4472" s="5">
        <v>30</v>
      </c>
      <c r="F4472" t="s" s="2">
        <v>3604</v>
      </c>
      <c r="G4472" t="s" s="2">
        <v>8366</v>
      </c>
      <c r="H4472" s="5">
        <v>316</v>
      </c>
      <c r="I4472" t="s" s="2">
        <v>1769</v>
      </c>
      <c r="J4472" t="s" s="2">
        <v>22</v>
      </c>
      <c r="K4472" t="s" s="2">
        <v>8367</v>
      </c>
      <c r="L4472" t="s" s="2">
        <v>605</v>
      </c>
      <c r="M4472" s="5">
        <v>674311.17</v>
      </c>
      <c r="N4472" s="5">
        <v>6184927.55</v>
      </c>
      <c r="O4472" t="s" s="2">
        <v>305</v>
      </c>
      <c r="P4472" t="s" s="2">
        <v>8368</v>
      </c>
      <c r="Q4472" t="s" s="2">
        <v>8369</v>
      </c>
      <c r="R4472" t="s" s="2">
        <f>_xlfn.IFERROR(INDEX('model_byCAP'!$D$2:$D$377,MATCH(Q4472,'model_byCAP'!$A$2:$A$377,0)),0)</f>
        <v>4115</v>
      </c>
    </row>
    <row r="4473" ht="15.35" customHeight="1">
      <c r="A4473" t="s" s="2">
        <v>8371</v>
      </c>
      <c r="B4473" s="4">
        <v>33239</v>
      </c>
      <c r="C4473" s="5">
        <v>200</v>
      </c>
      <c r="D4473" s="5">
        <v>27</v>
      </c>
      <c r="E4473" s="5">
        <v>30</v>
      </c>
      <c r="F4473" t="s" s="2">
        <v>3604</v>
      </c>
      <c r="G4473" t="s" s="2">
        <v>8366</v>
      </c>
      <c r="H4473" s="5">
        <v>316</v>
      </c>
      <c r="I4473" t="s" s="2">
        <v>1769</v>
      </c>
      <c r="J4473" t="s" s="2">
        <v>22</v>
      </c>
      <c r="K4473" t="s" s="2">
        <v>8367</v>
      </c>
      <c r="L4473" t="s" s="2">
        <v>5875</v>
      </c>
      <c r="M4473" s="5">
        <v>674353.42</v>
      </c>
      <c r="N4473" s="5">
        <v>6184848.03</v>
      </c>
      <c r="O4473" t="s" s="2">
        <v>305</v>
      </c>
      <c r="P4473" t="s" s="2">
        <v>8372</v>
      </c>
      <c r="Q4473" t="s" s="2">
        <v>8369</v>
      </c>
      <c r="R4473" t="s" s="2">
        <f>_xlfn.IFERROR(INDEX('model_byCAP'!$D$2:$D$377,MATCH(Q4473,'model_byCAP'!$A$2:$A$377,0)),0)</f>
        <v>4115</v>
      </c>
    </row>
    <row r="4474" ht="15.35" customHeight="1">
      <c r="A4474" t="s" s="2">
        <v>8373</v>
      </c>
      <c r="B4474" s="4">
        <v>33239</v>
      </c>
      <c r="C4474" s="5">
        <v>200</v>
      </c>
      <c r="D4474" s="5">
        <v>27</v>
      </c>
      <c r="E4474" s="5">
        <v>30</v>
      </c>
      <c r="F4474" t="s" s="2">
        <v>3604</v>
      </c>
      <c r="G4474" t="s" s="2">
        <v>8366</v>
      </c>
      <c r="H4474" s="5">
        <v>316</v>
      </c>
      <c r="I4474" t="s" s="2">
        <v>1769</v>
      </c>
      <c r="J4474" t="s" s="2">
        <v>22</v>
      </c>
      <c r="K4474" t="s" s="2">
        <v>8367</v>
      </c>
      <c r="L4474" t="s" s="2">
        <v>5875</v>
      </c>
      <c r="M4474" s="5">
        <v>674394.7</v>
      </c>
      <c r="N4474" s="5">
        <v>6184768.67</v>
      </c>
      <c r="O4474" t="s" s="2">
        <v>305</v>
      </c>
      <c r="P4474" t="s" s="2">
        <v>8372</v>
      </c>
      <c r="Q4474" t="s" s="2">
        <v>8369</v>
      </c>
      <c r="R4474" t="s" s="2">
        <f>_xlfn.IFERROR(INDEX('model_byCAP'!$D$2:$D$377,MATCH(Q4474,'model_byCAP'!$A$2:$A$377,0)),0)</f>
        <v>4115</v>
      </c>
    </row>
    <row r="4475" ht="15.35" customHeight="1">
      <c r="A4475" t="s" s="2">
        <v>8374</v>
      </c>
      <c r="B4475" s="4">
        <v>33239</v>
      </c>
      <c r="C4475" s="5">
        <v>200</v>
      </c>
      <c r="D4475" s="5">
        <v>27</v>
      </c>
      <c r="E4475" s="5">
        <v>30</v>
      </c>
      <c r="F4475" t="s" s="2">
        <v>3604</v>
      </c>
      <c r="G4475" t="s" s="2">
        <v>8366</v>
      </c>
      <c r="H4475" s="5">
        <v>316</v>
      </c>
      <c r="I4475" t="s" s="2">
        <v>1769</v>
      </c>
      <c r="J4475" t="s" s="2">
        <v>22</v>
      </c>
      <c r="K4475" t="s" s="2">
        <v>8367</v>
      </c>
      <c r="L4475" t="s" s="2">
        <v>5875</v>
      </c>
      <c r="M4475" s="5">
        <v>674439.03</v>
      </c>
      <c r="N4475" s="5">
        <v>6184688.69</v>
      </c>
      <c r="O4475" t="s" s="2">
        <v>305</v>
      </c>
      <c r="P4475" t="s" s="2">
        <v>8372</v>
      </c>
      <c r="Q4475" t="s" s="2">
        <v>8369</v>
      </c>
      <c r="R4475" t="s" s="2">
        <f>_xlfn.IFERROR(INDEX('model_byCAP'!$D$2:$D$377,MATCH(Q4475,'model_byCAP'!$A$2:$A$377,0)),0)</f>
        <v>4115</v>
      </c>
    </row>
    <row r="4476" ht="15.35" customHeight="1">
      <c r="A4476" t="s" s="2">
        <v>8375</v>
      </c>
      <c r="B4476" s="4">
        <v>33213</v>
      </c>
      <c r="C4476" s="5">
        <v>200</v>
      </c>
      <c r="D4476" s="5">
        <v>27</v>
      </c>
      <c r="E4476" s="5">
        <v>30</v>
      </c>
      <c r="F4476" t="s" s="2">
        <v>3604</v>
      </c>
      <c r="G4476" t="s" s="2">
        <v>8366</v>
      </c>
      <c r="H4476" s="5">
        <v>316</v>
      </c>
      <c r="I4476" t="s" s="2">
        <v>1769</v>
      </c>
      <c r="J4476" t="s" s="2">
        <v>22</v>
      </c>
      <c r="K4476" t="s" s="2">
        <v>8367</v>
      </c>
      <c r="L4476" t="s" s="2">
        <v>605</v>
      </c>
      <c r="M4476" s="5">
        <v>674225.84</v>
      </c>
      <c r="N4476" s="5">
        <v>6185087.04</v>
      </c>
      <c r="O4476" t="s" s="2">
        <v>305</v>
      </c>
      <c r="P4476" t="s" s="2">
        <v>8376</v>
      </c>
      <c r="Q4476" t="s" s="2">
        <v>8369</v>
      </c>
      <c r="R4476" t="s" s="2">
        <f>_xlfn.IFERROR(INDEX('model_byCAP'!$D$2:$D$377,MATCH(Q4476,'model_byCAP'!$A$2:$A$377,0)),0)</f>
        <v>4115</v>
      </c>
    </row>
    <row r="4477" ht="15.35" customHeight="1">
      <c r="A4477" t="s" s="2">
        <v>8377</v>
      </c>
      <c r="B4477" s="4">
        <v>32602</v>
      </c>
      <c r="C4477" s="5">
        <v>200</v>
      </c>
      <c r="D4477" s="5">
        <v>24</v>
      </c>
      <c r="E4477" s="5">
        <v>30</v>
      </c>
      <c r="F4477" t="s" s="2">
        <v>42</v>
      </c>
      <c r="G4477" t="s" s="2">
        <v>42</v>
      </c>
      <c r="H4477" s="5">
        <v>316</v>
      </c>
      <c r="I4477" t="s" s="2">
        <v>1769</v>
      </c>
      <c r="J4477" t="s" s="2">
        <v>22</v>
      </c>
      <c r="K4477" t="s" s="2">
        <v>8378</v>
      </c>
      <c r="L4477" t="s" s="2">
        <v>394</v>
      </c>
      <c r="M4477" s="5">
        <v>677491.48</v>
      </c>
      <c r="N4477" s="5">
        <v>6163417.78</v>
      </c>
      <c r="O4477" t="s" s="2">
        <v>305</v>
      </c>
      <c r="P4477" s="5">
        <v>40028956</v>
      </c>
      <c r="Q4477" t="s" s="2">
        <v>43</v>
      </c>
      <c r="R4477" s="5">
        <f>_xlfn.IFERROR(INDEX('model_byCAP'!$D$2:$D$377,MATCH(Q4477,'model_byCAP'!$A$2:$A$377,0)),0)</f>
        <v>0</v>
      </c>
    </row>
    <row r="4478" ht="15.35" customHeight="1">
      <c r="A4478" t="s" s="2">
        <v>8379</v>
      </c>
      <c r="B4478" s="4">
        <v>32602</v>
      </c>
      <c r="C4478" s="5">
        <v>200</v>
      </c>
      <c r="D4478" s="5">
        <v>24</v>
      </c>
      <c r="E4478" s="5">
        <v>30</v>
      </c>
      <c r="F4478" t="s" s="2">
        <v>42</v>
      </c>
      <c r="G4478" t="s" s="2">
        <v>42</v>
      </c>
      <c r="H4478" s="5">
        <v>316</v>
      </c>
      <c r="I4478" t="s" s="2">
        <v>1769</v>
      </c>
      <c r="J4478" t="s" s="2">
        <v>22</v>
      </c>
      <c r="K4478" t="s" s="2">
        <v>8378</v>
      </c>
      <c r="L4478" t="s" s="2">
        <v>1537</v>
      </c>
      <c r="M4478" s="5">
        <v>677452.92</v>
      </c>
      <c r="N4478" s="5">
        <v>6163542.27</v>
      </c>
      <c r="O4478" t="s" s="2">
        <v>305</v>
      </c>
      <c r="P4478" s="5">
        <v>40028956</v>
      </c>
      <c r="Q4478" t="s" s="2">
        <v>43</v>
      </c>
      <c r="R4478" s="5">
        <f>_xlfn.IFERROR(INDEX('model_byCAP'!$D$2:$D$377,MATCH(Q4478,'model_byCAP'!$A$2:$A$377,0)),0)</f>
        <v>0</v>
      </c>
    </row>
    <row r="4479" ht="15.35" customHeight="1">
      <c r="A4479" t="s" s="2">
        <v>8380</v>
      </c>
      <c r="B4479" s="4">
        <v>33506</v>
      </c>
      <c r="C4479" s="5">
        <v>200</v>
      </c>
      <c r="D4479" s="5">
        <v>27</v>
      </c>
      <c r="E4479" s="5">
        <v>30</v>
      </c>
      <c r="F4479" t="s" s="2">
        <v>1746</v>
      </c>
      <c r="G4479" t="s" s="2">
        <v>8359</v>
      </c>
      <c r="H4479" s="5">
        <v>326</v>
      </c>
      <c r="I4479" t="s" s="2">
        <v>1263</v>
      </c>
      <c r="J4479" t="s" s="2">
        <v>22</v>
      </c>
      <c r="K4479" t="s" s="2">
        <v>8381</v>
      </c>
      <c r="L4479" t="s" s="2">
        <v>481</v>
      </c>
      <c r="M4479" s="5">
        <v>645138.79</v>
      </c>
      <c r="N4479" s="5">
        <v>6178329.93</v>
      </c>
      <c r="O4479" t="s" s="2">
        <v>305</v>
      </c>
      <c r="P4479" t="s" s="2">
        <v>8382</v>
      </c>
      <c r="Q4479" t="s" s="2">
        <v>8362</v>
      </c>
      <c r="R4479" t="s" s="2">
        <f>_xlfn.IFERROR(INDEX('model_byCAP'!$D$2:$D$377,MATCH(Q4479,'model_byCAP'!$A$2:$A$377,0)),0)</f>
        <v>4115</v>
      </c>
    </row>
    <row r="4480" ht="15.35" customHeight="1">
      <c r="A4480" t="s" s="2">
        <v>8383</v>
      </c>
      <c r="B4480" s="4">
        <v>33506</v>
      </c>
      <c r="C4480" s="5">
        <v>200</v>
      </c>
      <c r="D4480" s="5">
        <v>27</v>
      </c>
      <c r="E4480" s="5">
        <v>30</v>
      </c>
      <c r="F4480" t="s" s="2">
        <v>3604</v>
      </c>
      <c r="G4480" t="s" s="2">
        <v>8384</v>
      </c>
      <c r="H4480" s="5">
        <v>326</v>
      </c>
      <c r="I4480" t="s" s="2">
        <v>1263</v>
      </c>
      <c r="J4480" t="s" s="2">
        <v>22</v>
      </c>
      <c r="K4480" t="s" s="2">
        <v>8381</v>
      </c>
      <c r="L4480" t="s" s="2">
        <v>481</v>
      </c>
      <c r="M4480" s="5">
        <v>645007.5600000001</v>
      </c>
      <c r="N4480" s="5">
        <v>6178257.59</v>
      </c>
      <c r="O4480" t="s" s="2">
        <v>305</v>
      </c>
      <c r="P4480" t="s" s="2">
        <v>8382</v>
      </c>
      <c r="Q4480" t="s" s="2">
        <v>8385</v>
      </c>
      <c r="R4480" t="s" s="2">
        <f>_xlfn.IFERROR(INDEX('model_byCAP'!$D$2:$D$377,MATCH(Q4480,'model_byCAP'!$A$2:$A$377,0)),0)</f>
        <v>4115</v>
      </c>
    </row>
    <row r="4481" ht="15.35" customHeight="1">
      <c r="A4481" t="s" s="2">
        <v>8386</v>
      </c>
      <c r="B4481" s="4">
        <v>33506</v>
      </c>
      <c r="C4481" s="5">
        <v>200</v>
      </c>
      <c r="D4481" s="5">
        <v>27</v>
      </c>
      <c r="E4481" s="5">
        <v>30</v>
      </c>
      <c r="F4481" t="s" s="2">
        <v>3604</v>
      </c>
      <c r="G4481" t="s" s="2">
        <v>8384</v>
      </c>
      <c r="H4481" s="5">
        <v>326</v>
      </c>
      <c r="I4481" t="s" s="2">
        <v>1263</v>
      </c>
      <c r="J4481" t="s" s="2">
        <v>22</v>
      </c>
      <c r="K4481" t="s" s="2">
        <v>8381</v>
      </c>
      <c r="L4481" t="s" s="2">
        <v>481</v>
      </c>
      <c r="M4481" s="5">
        <v>645270.25</v>
      </c>
      <c r="N4481" s="5">
        <v>6178402.68</v>
      </c>
      <c r="O4481" t="s" s="2">
        <v>305</v>
      </c>
      <c r="P4481" t="s" s="2">
        <v>8382</v>
      </c>
      <c r="Q4481" t="s" s="2">
        <v>8385</v>
      </c>
      <c r="R4481" t="s" s="2">
        <f>_xlfn.IFERROR(INDEX('model_byCAP'!$D$2:$D$377,MATCH(Q4481,'model_byCAP'!$A$2:$A$377,0)),0)</f>
        <v>4115</v>
      </c>
    </row>
    <row r="4482" ht="15.35" customHeight="1">
      <c r="A4482" t="s" s="2">
        <v>8387</v>
      </c>
      <c r="B4482" s="4">
        <v>32478</v>
      </c>
      <c r="C4482" s="5">
        <v>200</v>
      </c>
      <c r="D4482" s="5">
        <v>25</v>
      </c>
      <c r="E4482" s="5">
        <v>30</v>
      </c>
      <c r="F4482" t="s" s="2">
        <v>301</v>
      </c>
      <c r="G4482" t="s" s="2">
        <v>8388</v>
      </c>
      <c r="H4482" s="5">
        <v>329</v>
      </c>
      <c r="I4482" t="s" s="2">
        <v>2902</v>
      </c>
      <c r="J4482" t="s" s="2">
        <v>22</v>
      </c>
      <c r="K4482" t="s" s="2">
        <v>8389</v>
      </c>
      <c r="L4482" t="s" s="2">
        <v>1161</v>
      </c>
      <c r="M4482" s="5">
        <v>671882.99</v>
      </c>
      <c r="N4482" s="5">
        <v>6151426.2</v>
      </c>
      <c r="O4482" t="s" s="2">
        <v>305</v>
      </c>
      <c r="P4482" s="5">
        <v>165250</v>
      </c>
      <c r="Q4482" t="s" s="2">
        <v>8390</v>
      </c>
      <c r="R4482" t="s" s="2">
        <f>_xlfn.IFERROR(INDEX('model_byCAP'!$D$2:$D$377,MATCH(Q4482,'model_byCAP'!$A$2:$A$377,0)),0)</f>
        <v>8029</v>
      </c>
    </row>
    <row r="4483" ht="15.35" customHeight="1">
      <c r="A4483" t="s" s="2">
        <v>8391</v>
      </c>
      <c r="B4483" s="4">
        <v>32692</v>
      </c>
      <c r="C4483" s="5">
        <v>200</v>
      </c>
      <c r="D4483" s="5">
        <v>24</v>
      </c>
      <c r="E4483" s="5">
        <v>30</v>
      </c>
      <c r="F4483" t="s" s="2">
        <v>42</v>
      </c>
      <c r="G4483" t="s" s="2">
        <v>42</v>
      </c>
      <c r="H4483" s="5">
        <v>329</v>
      </c>
      <c r="I4483" t="s" s="2">
        <v>2902</v>
      </c>
      <c r="J4483" t="s" s="2">
        <v>22</v>
      </c>
      <c r="K4483" t="s" s="2">
        <v>8392</v>
      </c>
      <c r="L4483" t="s" s="2">
        <v>914</v>
      </c>
      <c r="M4483" s="5">
        <v>680412.84</v>
      </c>
      <c r="N4483" s="5">
        <v>6150849.83</v>
      </c>
      <c r="O4483" t="s" s="2">
        <v>305</v>
      </c>
      <c r="P4483" s="5">
        <v>166386</v>
      </c>
      <c r="Q4483" t="s" s="2">
        <v>43</v>
      </c>
      <c r="R4483" s="5">
        <f>_xlfn.IFERROR(INDEX('model_byCAP'!$D$2:$D$377,MATCH(Q4483,'model_byCAP'!$A$2:$A$377,0)),0)</f>
        <v>0</v>
      </c>
    </row>
    <row r="4484" ht="15.35" customHeight="1">
      <c r="A4484" t="s" s="2">
        <v>8393</v>
      </c>
      <c r="B4484" s="4">
        <v>33316</v>
      </c>
      <c r="C4484" s="5">
        <v>200</v>
      </c>
      <c r="D4484" s="5">
        <v>27</v>
      </c>
      <c r="E4484" s="5">
        <v>30</v>
      </c>
      <c r="F4484" t="s" s="2">
        <v>1746</v>
      </c>
      <c r="G4484" t="s" s="2">
        <v>8359</v>
      </c>
      <c r="H4484" s="5">
        <v>330</v>
      </c>
      <c r="I4484" t="s" s="2">
        <v>1491</v>
      </c>
      <c r="J4484" t="s" s="2">
        <v>22</v>
      </c>
      <c r="K4484" t="s" s="2">
        <v>8394</v>
      </c>
      <c r="L4484" t="s" s="2">
        <v>4420</v>
      </c>
      <c r="M4484" s="5">
        <v>644932.77</v>
      </c>
      <c r="N4484" s="5">
        <v>6146524.27</v>
      </c>
      <c r="O4484" t="s" s="2">
        <v>305</v>
      </c>
      <c r="P4484" t="s" s="2">
        <v>8395</v>
      </c>
      <c r="Q4484" t="s" s="2">
        <v>8362</v>
      </c>
      <c r="R4484" t="s" s="2">
        <f>_xlfn.IFERROR(INDEX('model_byCAP'!$D$2:$D$377,MATCH(Q4484,'model_byCAP'!$A$2:$A$377,0)),0)</f>
        <v>4115</v>
      </c>
    </row>
    <row r="4485" ht="15.35" customHeight="1">
      <c r="A4485" t="s" s="2">
        <v>8396</v>
      </c>
      <c r="B4485" s="4">
        <v>33316</v>
      </c>
      <c r="C4485" s="5">
        <v>200</v>
      </c>
      <c r="D4485" s="5">
        <v>27</v>
      </c>
      <c r="E4485" s="5">
        <v>30</v>
      </c>
      <c r="F4485" t="s" s="2">
        <v>1746</v>
      </c>
      <c r="G4485" t="s" s="2">
        <v>8359</v>
      </c>
      <c r="H4485" s="5">
        <v>330</v>
      </c>
      <c r="I4485" t="s" s="2">
        <v>1491</v>
      </c>
      <c r="J4485" t="s" s="2">
        <v>22</v>
      </c>
      <c r="K4485" t="s" s="2">
        <v>8394</v>
      </c>
      <c r="L4485" t="s" s="2">
        <v>4420</v>
      </c>
      <c r="M4485" s="5">
        <v>645044.74</v>
      </c>
      <c r="N4485" s="5">
        <v>6146577.96</v>
      </c>
      <c r="O4485" t="s" s="2">
        <v>305</v>
      </c>
      <c r="P4485" t="s" s="2">
        <v>8395</v>
      </c>
      <c r="Q4485" t="s" s="2">
        <v>8362</v>
      </c>
      <c r="R4485" t="s" s="2">
        <f>_xlfn.IFERROR(INDEX('model_byCAP'!$D$2:$D$377,MATCH(Q4485,'model_byCAP'!$A$2:$A$377,0)),0)</f>
        <v>4115</v>
      </c>
    </row>
    <row r="4486" ht="15.35" customHeight="1">
      <c r="A4486" t="s" s="2">
        <v>8397</v>
      </c>
      <c r="B4486" s="4">
        <v>33316</v>
      </c>
      <c r="C4486" s="5">
        <v>200</v>
      </c>
      <c r="D4486" s="5">
        <v>27</v>
      </c>
      <c r="E4486" s="5">
        <v>30</v>
      </c>
      <c r="F4486" t="s" s="2">
        <v>1746</v>
      </c>
      <c r="G4486" t="s" s="2">
        <v>8359</v>
      </c>
      <c r="H4486" s="5">
        <v>330</v>
      </c>
      <c r="I4486" t="s" s="2">
        <v>1491</v>
      </c>
      <c r="J4486" t="s" s="2">
        <v>22</v>
      </c>
      <c r="K4486" t="s" s="2">
        <v>8394</v>
      </c>
      <c r="L4486" t="s" s="2">
        <v>4420</v>
      </c>
      <c r="M4486" s="5">
        <v>645157.87</v>
      </c>
      <c r="N4486" s="5">
        <v>6146632.56</v>
      </c>
      <c r="O4486" t="s" s="2">
        <v>305</v>
      </c>
      <c r="P4486" t="s" s="2">
        <v>8395</v>
      </c>
      <c r="Q4486" t="s" s="2">
        <v>8362</v>
      </c>
      <c r="R4486" t="s" s="2">
        <f>_xlfn.IFERROR(INDEX('model_byCAP'!$D$2:$D$377,MATCH(Q4486,'model_byCAP'!$A$2:$A$377,0)),0)</f>
        <v>4115</v>
      </c>
    </row>
    <row r="4487" ht="15.35" customHeight="1">
      <c r="A4487" t="s" s="2">
        <v>8398</v>
      </c>
      <c r="B4487" s="4">
        <v>33304</v>
      </c>
      <c r="C4487" s="5">
        <v>200</v>
      </c>
      <c r="D4487" s="5">
        <v>27</v>
      </c>
      <c r="E4487" s="5">
        <v>30</v>
      </c>
      <c r="F4487" t="s" s="2">
        <v>1746</v>
      </c>
      <c r="G4487" t="s" s="2">
        <v>8359</v>
      </c>
      <c r="H4487" s="5">
        <v>330</v>
      </c>
      <c r="I4487" t="s" s="2">
        <v>1491</v>
      </c>
      <c r="J4487" t="s" s="2">
        <v>22</v>
      </c>
      <c r="K4487" t="s" s="2">
        <v>8399</v>
      </c>
      <c r="L4487" t="s" s="2">
        <v>524</v>
      </c>
      <c r="M4487" s="5">
        <v>650679.05</v>
      </c>
      <c r="N4487" s="5">
        <v>6136338.16</v>
      </c>
      <c r="O4487" t="s" s="2">
        <v>305</v>
      </c>
      <c r="P4487" t="s" s="2">
        <v>8400</v>
      </c>
      <c r="Q4487" t="s" s="2">
        <v>8362</v>
      </c>
      <c r="R4487" t="s" s="2">
        <f>_xlfn.IFERROR(INDEX('model_byCAP'!$D$2:$D$377,MATCH(Q4487,'model_byCAP'!$A$2:$A$377,0)),0)</f>
        <v>4115</v>
      </c>
    </row>
    <row r="4488" ht="15.35" customHeight="1">
      <c r="A4488" t="s" s="2">
        <v>8401</v>
      </c>
      <c r="B4488" s="4">
        <v>33304</v>
      </c>
      <c r="C4488" s="5">
        <v>200</v>
      </c>
      <c r="D4488" s="5">
        <v>27</v>
      </c>
      <c r="E4488" s="5">
        <v>30</v>
      </c>
      <c r="F4488" t="s" s="2">
        <v>1746</v>
      </c>
      <c r="G4488" t="s" s="2">
        <v>8359</v>
      </c>
      <c r="H4488" s="5">
        <v>330</v>
      </c>
      <c r="I4488" t="s" s="2">
        <v>1491</v>
      </c>
      <c r="J4488" t="s" s="2">
        <v>22</v>
      </c>
      <c r="K4488" t="s" s="2">
        <v>8399</v>
      </c>
      <c r="L4488" t="s" s="2">
        <v>524</v>
      </c>
      <c r="M4488" s="5">
        <v>650597.64</v>
      </c>
      <c r="N4488" s="5">
        <v>6136203.18</v>
      </c>
      <c r="O4488" t="s" s="2">
        <v>305</v>
      </c>
      <c r="P4488" t="s" s="2">
        <v>8400</v>
      </c>
      <c r="Q4488" t="s" s="2">
        <v>8362</v>
      </c>
      <c r="R4488" t="s" s="2">
        <f>_xlfn.IFERROR(INDEX('model_byCAP'!$D$2:$D$377,MATCH(Q4488,'model_byCAP'!$A$2:$A$377,0)),0)</f>
        <v>4115</v>
      </c>
    </row>
    <row r="4489" ht="15.35" customHeight="1">
      <c r="A4489" t="s" s="2">
        <v>8402</v>
      </c>
      <c r="B4489" s="4">
        <v>33288</v>
      </c>
      <c r="C4489" s="5">
        <v>200</v>
      </c>
      <c r="D4489" s="5">
        <v>27</v>
      </c>
      <c r="E4489" s="5">
        <v>30</v>
      </c>
      <c r="F4489" t="s" s="2">
        <v>1746</v>
      </c>
      <c r="G4489" t="s" s="2">
        <v>8359</v>
      </c>
      <c r="H4489" s="5">
        <v>330</v>
      </c>
      <c r="I4489" t="s" s="2">
        <v>1491</v>
      </c>
      <c r="J4489" t="s" s="2">
        <v>22</v>
      </c>
      <c r="K4489" t="s" s="2">
        <v>8403</v>
      </c>
      <c r="L4489" s="5">
        <v>6</v>
      </c>
      <c r="M4489" s="5">
        <v>648533.22</v>
      </c>
      <c r="N4489" s="5">
        <v>6147770.6</v>
      </c>
      <c r="O4489" t="s" s="2">
        <v>305</v>
      </c>
      <c r="P4489" t="s" s="2">
        <v>8404</v>
      </c>
      <c r="Q4489" t="s" s="2">
        <v>8362</v>
      </c>
      <c r="R4489" t="s" s="2">
        <f>_xlfn.IFERROR(INDEX('model_byCAP'!$D$2:$D$377,MATCH(Q4489,'model_byCAP'!$A$2:$A$377,0)),0)</f>
        <v>4115</v>
      </c>
    </row>
    <row r="4490" ht="15.35" customHeight="1">
      <c r="A4490" t="s" s="2">
        <v>8405</v>
      </c>
      <c r="B4490" s="4">
        <v>33288</v>
      </c>
      <c r="C4490" s="5">
        <v>200</v>
      </c>
      <c r="D4490" s="5">
        <v>27</v>
      </c>
      <c r="E4490" s="5">
        <v>30</v>
      </c>
      <c r="F4490" t="s" s="2">
        <v>3604</v>
      </c>
      <c r="G4490" t="s" s="2">
        <v>8384</v>
      </c>
      <c r="H4490" s="5">
        <v>330</v>
      </c>
      <c r="I4490" t="s" s="2">
        <v>1491</v>
      </c>
      <c r="J4490" t="s" s="2">
        <v>22</v>
      </c>
      <c r="K4490" t="s" s="2">
        <v>8403</v>
      </c>
      <c r="L4490" s="5">
        <v>6</v>
      </c>
      <c r="M4490" s="5">
        <v>648564.89</v>
      </c>
      <c r="N4490" s="5">
        <v>6147646.8</v>
      </c>
      <c r="O4490" t="s" s="2">
        <v>305</v>
      </c>
      <c r="P4490" t="s" s="2">
        <v>8404</v>
      </c>
      <c r="Q4490" t="s" s="2">
        <v>8385</v>
      </c>
      <c r="R4490" t="s" s="2">
        <f>_xlfn.IFERROR(INDEX('model_byCAP'!$D$2:$D$377,MATCH(Q4490,'model_byCAP'!$A$2:$A$377,0)),0)</f>
        <v>4115</v>
      </c>
    </row>
    <row r="4491" ht="15.35" customHeight="1">
      <c r="A4491" t="s" s="2">
        <v>8406</v>
      </c>
      <c r="B4491" s="4">
        <v>33288</v>
      </c>
      <c r="C4491" s="5">
        <v>200</v>
      </c>
      <c r="D4491" s="5">
        <v>27</v>
      </c>
      <c r="E4491" s="5">
        <v>30</v>
      </c>
      <c r="F4491" t="s" s="2">
        <v>1746</v>
      </c>
      <c r="G4491" t="s" s="2">
        <v>8359</v>
      </c>
      <c r="H4491" s="5">
        <v>330</v>
      </c>
      <c r="I4491" t="s" s="2">
        <v>1491</v>
      </c>
      <c r="J4491" t="s" s="2">
        <v>22</v>
      </c>
      <c r="K4491" t="s" s="2">
        <v>8403</v>
      </c>
      <c r="L4491" s="5">
        <v>6</v>
      </c>
      <c r="M4491" s="5">
        <v>648596.6899999999</v>
      </c>
      <c r="N4491" s="5">
        <v>6147522.68</v>
      </c>
      <c r="O4491" t="s" s="2">
        <v>305</v>
      </c>
      <c r="P4491" t="s" s="2">
        <v>8404</v>
      </c>
      <c r="Q4491" t="s" s="2">
        <v>8362</v>
      </c>
      <c r="R4491" t="s" s="2">
        <f>_xlfn.IFERROR(INDEX('model_byCAP'!$D$2:$D$377,MATCH(Q4491,'model_byCAP'!$A$2:$A$377,0)),0)</f>
        <v>4115</v>
      </c>
    </row>
    <row r="4492" ht="15.35" customHeight="1">
      <c r="A4492" t="s" s="2">
        <v>8407</v>
      </c>
      <c r="B4492" s="4">
        <v>33942</v>
      </c>
      <c r="C4492" s="5">
        <v>200</v>
      </c>
      <c r="D4492" s="5">
        <v>27</v>
      </c>
      <c r="E4492" s="5">
        <v>30</v>
      </c>
      <c r="F4492" t="s" s="2">
        <v>1746</v>
      </c>
      <c r="G4492" t="s" s="2">
        <v>8359</v>
      </c>
      <c r="H4492" s="5">
        <v>330</v>
      </c>
      <c r="I4492" t="s" s="2">
        <v>1491</v>
      </c>
      <c r="J4492" t="s" s="2">
        <v>22</v>
      </c>
      <c r="K4492" t="s" s="2">
        <v>8408</v>
      </c>
      <c r="L4492" t="s" s="2">
        <v>471</v>
      </c>
      <c r="M4492" s="5">
        <v>643865.02</v>
      </c>
      <c r="N4492" s="5">
        <v>6142535.73</v>
      </c>
      <c r="O4492" t="s" s="2">
        <v>305</v>
      </c>
      <c r="P4492" t="s" s="2">
        <v>8409</v>
      </c>
      <c r="Q4492" t="s" s="2">
        <v>8362</v>
      </c>
      <c r="R4492" t="s" s="2">
        <f>_xlfn.IFERROR(INDEX('model_byCAP'!$D$2:$D$377,MATCH(Q4492,'model_byCAP'!$A$2:$A$377,0)),0)</f>
        <v>4115</v>
      </c>
    </row>
    <row r="4493" ht="15.35" customHeight="1">
      <c r="A4493" t="s" s="2">
        <v>8410</v>
      </c>
      <c r="B4493" s="4">
        <v>33942</v>
      </c>
      <c r="C4493" s="5">
        <v>200</v>
      </c>
      <c r="D4493" s="5">
        <v>27</v>
      </c>
      <c r="E4493" s="5">
        <v>30</v>
      </c>
      <c r="F4493" t="s" s="2">
        <v>1746</v>
      </c>
      <c r="G4493" t="s" s="2">
        <v>8359</v>
      </c>
      <c r="H4493" s="5">
        <v>330</v>
      </c>
      <c r="I4493" t="s" s="2">
        <v>1491</v>
      </c>
      <c r="J4493" t="s" s="2">
        <v>22</v>
      </c>
      <c r="K4493" t="s" s="2">
        <v>8408</v>
      </c>
      <c r="L4493" t="s" s="2">
        <v>471</v>
      </c>
      <c r="M4493" s="5">
        <v>643860.67</v>
      </c>
      <c r="N4493" s="5">
        <v>6142645.62</v>
      </c>
      <c r="O4493" t="s" s="2">
        <v>305</v>
      </c>
      <c r="P4493" t="s" s="2">
        <v>8409</v>
      </c>
      <c r="Q4493" t="s" s="2">
        <v>8362</v>
      </c>
      <c r="R4493" t="s" s="2">
        <f>_xlfn.IFERROR(INDEX('model_byCAP'!$D$2:$D$377,MATCH(Q4493,'model_byCAP'!$A$2:$A$377,0)),0)</f>
        <v>4115</v>
      </c>
    </row>
    <row r="4494" ht="15.35" customHeight="1">
      <c r="A4494" t="s" s="2">
        <v>8411</v>
      </c>
      <c r="B4494" s="4">
        <v>33942</v>
      </c>
      <c r="C4494" s="5">
        <v>200</v>
      </c>
      <c r="D4494" s="5">
        <v>27</v>
      </c>
      <c r="E4494" s="5">
        <v>30</v>
      </c>
      <c r="F4494" t="s" s="2">
        <v>1746</v>
      </c>
      <c r="G4494" t="s" s="2">
        <v>8359</v>
      </c>
      <c r="H4494" s="5">
        <v>330</v>
      </c>
      <c r="I4494" t="s" s="2">
        <v>1491</v>
      </c>
      <c r="J4494" t="s" s="2">
        <v>22</v>
      </c>
      <c r="K4494" t="s" s="2">
        <v>8408</v>
      </c>
      <c r="L4494" t="s" s="2">
        <v>471</v>
      </c>
      <c r="M4494" s="5">
        <v>643856.5699999999</v>
      </c>
      <c r="N4494" s="5">
        <v>6142756.21</v>
      </c>
      <c r="O4494" t="s" s="2">
        <v>305</v>
      </c>
      <c r="P4494" t="s" s="2">
        <v>8409</v>
      </c>
      <c r="Q4494" t="s" s="2">
        <v>8362</v>
      </c>
      <c r="R4494" t="s" s="2">
        <f>_xlfn.IFERROR(INDEX('model_byCAP'!$D$2:$D$377,MATCH(Q4494,'model_byCAP'!$A$2:$A$377,0)),0)</f>
        <v>4115</v>
      </c>
    </row>
    <row r="4495" ht="15.35" customHeight="1">
      <c r="A4495" t="s" s="2">
        <v>8412</v>
      </c>
      <c r="B4495" s="4">
        <v>32325</v>
      </c>
      <c r="C4495" s="5">
        <v>200</v>
      </c>
      <c r="D4495" s="5">
        <v>24</v>
      </c>
      <c r="E4495" s="5">
        <v>29</v>
      </c>
      <c r="F4495" t="s" s="2">
        <v>4038</v>
      </c>
      <c r="G4495" t="s" s="2">
        <v>8413</v>
      </c>
      <c r="H4495" s="5">
        <v>330</v>
      </c>
      <c r="I4495" t="s" s="2">
        <v>1491</v>
      </c>
      <c r="J4495" t="s" s="2">
        <v>22</v>
      </c>
      <c r="K4495" t="s" s="2">
        <v>4145</v>
      </c>
      <c r="L4495" t="s" s="2">
        <v>1161</v>
      </c>
      <c r="M4495" s="5">
        <v>648756.3</v>
      </c>
      <c r="N4495" s="5">
        <v>6126523.97</v>
      </c>
      <c r="O4495" t="s" s="2">
        <v>305</v>
      </c>
      <c r="P4495" s="5">
        <v>163623</v>
      </c>
      <c r="Q4495" t="s" s="2">
        <v>8414</v>
      </c>
      <c r="R4495" t="s" s="2">
        <f>_xlfn.IFERROR(INDEX('model_byCAP'!$D$2:$D$377,MATCH(Q4495,'model_byCAP'!$A$2:$A$377,0)),0)</f>
        <v>7981</v>
      </c>
    </row>
    <row r="4496" ht="15.35" customHeight="1">
      <c r="A4496" t="s" s="2">
        <v>8415</v>
      </c>
      <c r="B4496" s="4">
        <v>32540</v>
      </c>
      <c r="C4496" s="5">
        <v>200</v>
      </c>
      <c r="D4496" s="5">
        <v>24</v>
      </c>
      <c r="E4496" s="5">
        <v>30</v>
      </c>
      <c r="F4496" t="s" s="2">
        <v>42</v>
      </c>
      <c r="G4496" t="s" s="2">
        <v>42</v>
      </c>
      <c r="H4496" s="5">
        <v>330</v>
      </c>
      <c r="I4496" t="s" s="2">
        <v>1491</v>
      </c>
      <c r="J4496" t="s" s="2">
        <v>22</v>
      </c>
      <c r="K4496" t="s" s="2">
        <v>8416</v>
      </c>
      <c r="L4496" t="s" s="2">
        <v>492</v>
      </c>
      <c r="M4496" s="5">
        <v>651857.33</v>
      </c>
      <c r="N4496" s="5">
        <v>6125668.24</v>
      </c>
      <c r="O4496" t="s" s="2">
        <v>305</v>
      </c>
      <c r="P4496" s="5">
        <v>166419</v>
      </c>
      <c r="Q4496" t="s" s="2">
        <v>43</v>
      </c>
      <c r="R4496" s="5">
        <f>_xlfn.IFERROR(INDEX('model_byCAP'!$D$2:$D$377,MATCH(Q4496,'model_byCAP'!$A$2:$A$377,0)),0)</f>
        <v>0</v>
      </c>
    </row>
    <row r="4497" ht="15.35" customHeight="1">
      <c r="A4497" t="s" s="2">
        <v>8417</v>
      </c>
      <c r="B4497" s="4">
        <v>32540</v>
      </c>
      <c r="C4497" s="5">
        <v>200</v>
      </c>
      <c r="D4497" s="5">
        <v>24</v>
      </c>
      <c r="E4497" s="5">
        <v>30</v>
      </c>
      <c r="F4497" t="s" s="2">
        <v>8353</v>
      </c>
      <c r="G4497" t="s" s="2">
        <v>8418</v>
      </c>
      <c r="H4497" s="5">
        <v>330</v>
      </c>
      <c r="I4497" t="s" s="2">
        <v>1491</v>
      </c>
      <c r="J4497" t="s" s="2">
        <v>22</v>
      </c>
      <c r="K4497" t="s" s="2">
        <v>8416</v>
      </c>
      <c r="L4497" t="s" s="2">
        <v>492</v>
      </c>
      <c r="M4497" s="5">
        <v>651907.98</v>
      </c>
      <c r="N4497" s="5">
        <v>6125722.34</v>
      </c>
      <c r="O4497" t="s" s="2">
        <v>305</v>
      </c>
      <c r="P4497" s="5">
        <v>165732</v>
      </c>
      <c r="Q4497" t="s" s="2">
        <v>8419</v>
      </c>
      <c r="R4497" s="5">
        <f>_xlfn.IFERROR(INDEX('model_byCAP'!$D$2:$D$377,MATCH(Q4497,'model_byCAP'!$A$2:$A$377,0)),0)</f>
        <v>0</v>
      </c>
    </row>
    <row r="4498" ht="15.35" customHeight="1">
      <c r="A4498" t="s" s="2">
        <v>8420</v>
      </c>
      <c r="B4498" s="4">
        <v>32888</v>
      </c>
      <c r="C4498" s="5">
        <v>200</v>
      </c>
      <c r="D4498" s="5">
        <v>24</v>
      </c>
      <c r="E4498" s="5">
        <v>28</v>
      </c>
      <c r="F4498" t="s" s="2">
        <v>4038</v>
      </c>
      <c r="G4498" t="s" s="2">
        <v>8413</v>
      </c>
      <c r="H4498" s="5">
        <v>330</v>
      </c>
      <c r="I4498" t="s" s="2">
        <v>1491</v>
      </c>
      <c r="J4498" t="s" s="2">
        <v>22</v>
      </c>
      <c r="K4498" t="s" s="2">
        <v>8421</v>
      </c>
      <c r="L4498" t="s" s="2">
        <v>2348</v>
      </c>
      <c r="M4498" s="5">
        <v>654635.71</v>
      </c>
      <c r="N4498" s="5">
        <v>6135565.86</v>
      </c>
      <c r="O4498" t="s" s="2">
        <v>305</v>
      </c>
      <c r="P4498" s="5">
        <v>175365</v>
      </c>
      <c r="Q4498" t="s" s="2">
        <v>8414</v>
      </c>
      <c r="R4498" t="s" s="2">
        <f>_xlfn.IFERROR(INDEX('model_byCAP'!$D$2:$D$377,MATCH(Q4498,'model_byCAP'!$A$2:$A$377,0)),0)</f>
        <v>7981</v>
      </c>
    </row>
    <row r="4499" ht="15.35" customHeight="1">
      <c r="A4499" t="s" s="2">
        <v>8422</v>
      </c>
      <c r="B4499" s="4">
        <v>39114</v>
      </c>
      <c r="C4499" s="5">
        <v>200</v>
      </c>
      <c r="D4499" s="5">
        <v>23</v>
      </c>
      <c r="E4499" s="5">
        <v>30</v>
      </c>
      <c r="F4499" t="s" s="2">
        <v>4716</v>
      </c>
      <c r="G4499" t="s" s="2">
        <v>8423</v>
      </c>
      <c r="H4499" s="5">
        <v>330</v>
      </c>
      <c r="I4499" t="s" s="2">
        <v>1491</v>
      </c>
      <c r="J4499" t="s" s="2">
        <v>22</v>
      </c>
      <c r="K4499" t="s" s="2">
        <v>8424</v>
      </c>
      <c r="L4499" t="s" s="2">
        <v>6935</v>
      </c>
      <c r="M4499" s="5">
        <v>642381.91</v>
      </c>
      <c r="N4499" s="5">
        <v>6140088.81</v>
      </c>
      <c r="O4499" t="s" s="2">
        <v>305</v>
      </c>
      <c r="P4499" s="5">
        <v>40171271</v>
      </c>
      <c r="Q4499" t="s" s="2">
        <v>8425</v>
      </c>
      <c r="R4499" t="s" s="2">
        <f>_xlfn.IFERROR(INDEX('model_byCAP'!$D$2:$D$377,MATCH(Q4499,'model_byCAP'!$A$2:$A$377,0)),0)</f>
        <v>8049</v>
      </c>
    </row>
    <row r="4500" ht="15.35" customHeight="1">
      <c r="A4500" t="s" s="2">
        <v>8426</v>
      </c>
      <c r="B4500" s="4">
        <v>32265</v>
      </c>
      <c r="C4500" s="5">
        <v>200</v>
      </c>
      <c r="D4500" s="5">
        <v>24</v>
      </c>
      <c r="E4500" s="5">
        <v>28.5</v>
      </c>
      <c r="F4500" t="s" s="2">
        <v>4038</v>
      </c>
      <c r="G4500" t="s" s="2">
        <v>8427</v>
      </c>
      <c r="H4500" s="5">
        <v>336</v>
      </c>
      <c r="I4500" t="s" s="2">
        <v>4152</v>
      </c>
      <c r="J4500" t="s" s="2">
        <v>22</v>
      </c>
      <c r="K4500" t="s" s="2">
        <v>8428</v>
      </c>
      <c r="L4500" s="5">
        <v>21</v>
      </c>
      <c r="M4500" s="5">
        <v>712500.88</v>
      </c>
      <c r="N4500" s="5">
        <v>6130918.15</v>
      </c>
      <c r="O4500" t="s" s="2">
        <v>305</v>
      </c>
      <c r="P4500" s="5">
        <v>162963</v>
      </c>
      <c r="Q4500" t="s" s="2">
        <v>8429</v>
      </c>
      <c r="R4500" t="s" s="2">
        <f>_xlfn.IFERROR(INDEX('model_byCAP'!$D$2:$D$377,MATCH(Q4500,'model_byCAP'!$A$2:$A$377,0)),0)</f>
        <v>8430</v>
      </c>
    </row>
    <row r="4501" ht="15.35" customHeight="1">
      <c r="A4501" t="s" s="2">
        <v>8431</v>
      </c>
      <c r="B4501" s="4">
        <v>32602</v>
      </c>
      <c r="C4501" s="5">
        <v>200</v>
      </c>
      <c r="D4501" s="5">
        <v>24</v>
      </c>
      <c r="E4501" s="5">
        <v>30</v>
      </c>
      <c r="F4501" t="s" s="2">
        <v>42</v>
      </c>
      <c r="G4501" t="s" s="2">
        <v>42</v>
      </c>
      <c r="H4501" s="5">
        <v>376</v>
      </c>
      <c r="I4501" t="s" s="2">
        <v>1991</v>
      </c>
      <c r="J4501" t="s" s="2">
        <v>22</v>
      </c>
      <c r="K4501" t="s" s="2">
        <v>7414</v>
      </c>
      <c r="L4501" s="5">
        <v>3</v>
      </c>
      <c r="M4501" s="5">
        <v>663567.41</v>
      </c>
      <c r="N4501" s="5">
        <v>6075666.75</v>
      </c>
      <c r="O4501" t="s" s="2">
        <v>305</v>
      </c>
      <c r="P4501" t="s" s="2">
        <v>8432</v>
      </c>
      <c r="Q4501" t="s" s="2">
        <v>43</v>
      </c>
      <c r="R4501" s="5">
        <f>_xlfn.IFERROR(INDEX('model_byCAP'!$D$2:$D$377,MATCH(Q4501,'model_byCAP'!$A$2:$A$377,0)),0)</f>
        <v>0</v>
      </c>
    </row>
    <row r="4502" ht="15.35" customHeight="1">
      <c r="A4502" t="s" s="2">
        <v>8433</v>
      </c>
      <c r="B4502" s="4">
        <v>32751</v>
      </c>
      <c r="C4502" s="5">
        <v>200</v>
      </c>
      <c r="D4502" s="5">
        <v>24</v>
      </c>
      <c r="E4502" s="5">
        <v>30</v>
      </c>
      <c r="F4502" t="s" s="2">
        <v>42</v>
      </c>
      <c r="G4502" t="s" s="2">
        <v>42</v>
      </c>
      <c r="H4502" s="5">
        <v>376</v>
      </c>
      <c r="I4502" t="s" s="2">
        <v>1991</v>
      </c>
      <c r="J4502" t="s" s="2">
        <v>22</v>
      </c>
      <c r="K4502" t="s" s="2">
        <v>8434</v>
      </c>
      <c r="L4502" t="s" s="2">
        <v>8435</v>
      </c>
      <c r="M4502" s="5">
        <v>686570.59</v>
      </c>
      <c r="N4502" s="5">
        <v>6068131.82</v>
      </c>
      <c r="O4502" t="s" s="2">
        <v>305</v>
      </c>
      <c r="P4502" s="5">
        <v>2130225</v>
      </c>
      <c r="Q4502" t="s" s="2">
        <v>43</v>
      </c>
      <c r="R4502" s="5">
        <f>_xlfn.IFERROR(INDEX('model_byCAP'!$D$2:$D$377,MATCH(Q4502,'model_byCAP'!$A$2:$A$377,0)),0)</f>
        <v>0</v>
      </c>
    </row>
    <row r="4503" ht="15.35" customHeight="1">
      <c r="A4503" t="s" s="2">
        <v>8436</v>
      </c>
      <c r="B4503" s="4">
        <v>32504</v>
      </c>
      <c r="C4503" s="5">
        <v>200</v>
      </c>
      <c r="D4503" s="5">
        <v>24</v>
      </c>
      <c r="E4503" s="5">
        <v>30</v>
      </c>
      <c r="F4503" t="s" s="2">
        <v>42</v>
      </c>
      <c r="G4503" t="s" s="2">
        <v>42</v>
      </c>
      <c r="H4503" s="5">
        <v>376</v>
      </c>
      <c r="I4503" t="s" s="2">
        <v>1991</v>
      </c>
      <c r="J4503" t="s" s="2">
        <v>22</v>
      </c>
      <c r="K4503" t="s" s="2">
        <v>8434</v>
      </c>
      <c r="L4503" t="s" s="2">
        <v>8437</v>
      </c>
      <c r="M4503" s="5">
        <v>686457.11</v>
      </c>
      <c r="N4503" s="5">
        <v>6068001.97</v>
      </c>
      <c r="O4503" t="s" s="2">
        <v>305</v>
      </c>
      <c r="P4503" s="5">
        <v>165255</v>
      </c>
      <c r="Q4503" t="s" s="2">
        <v>43</v>
      </c>
      <c r="R4503" s="5">
        <f>_xlfn.IFERROR(INDEX('model_byCAP'!$D$2:$D$377,MATCH(Q4503,'model_byCAP'!$A$2:$A$377,0)),0)</f>
        <v>0</v>
      </c>
    </row>
    <row r="4504" ht="15.35" customHeight="1">
      <c r="A4504" t="s" s="2">
        <v>8438</v>
      </c>
      <c r="B4504" s="4">
        <v>34320</v>
      </c>
      <c r="C4504" s="5">
        <v>200</v>
      </c>
      <c r="D4504" s="5">
        <v>26</v>
      </c>
      <c r="E4504" s="5">
        <v>25</v>
      </c>
      <c r="F4504" t="s" s="2">
        <v>4038</v>
      </c>
      <c r="G4504" t="s" s="2">
        <v>8413</v>
      </c>
      <c r="H4504" s="5">
        <v>376</v>
      </c>
      <c r="I4504" t="s" s="2">
        <v>1991</v>
      </c>
      <c r="J4504" t="s" s="2">
        <v>22</v>
      </c>
      <c r="K4504" t="s" s="2">
        <v>8439</v>
      </c>
      <c r="L4504" t="s" s="2">
        <v>399</v>
      </c>
      <c r="M4504" s="5">
        <v>688811.24</v>
      </c>
      <c r="N4504" s="5">
        <v>6053939.46</v>
      </c>
      <c r="O4504" t="s" s="2">
        <v>305</v>
      </c>
      <c r="P4504" s="5">
        <v>181179</v>
      </c>
      <c r="Q4504" t="s" s="2">
        <v>8414</v>
      </c>
      <c r="R4504" t="s" s="2">
        <f>_xlfn.IFERROR(INDEX('model_byCAP'!$D$2:$D$377,MATCH(Q4504,'model_byCAP'!$A$2:$A$377,0)),0)</f>
        <v>7981</v>
      </c>
    </row>
    <row r="4505" ht="15.35" customHeight="1">
      <c r="A4505" t="s" s="2">
        <v>8440</v>
      </c>
      <c r="B4505" s="4">
        <v>32813</v>
      </c>
      <c r="C4505" s="5">
        <v>200</v>
      </c>
      <c r="D4505" s="5">
        <v>24</v>
      </c>
      <c r="E4505" s="5">
        <v>30</v>
      </c>
      <c r="F4505" t="s" s="2">
        <v>42</v>
      </c>
      <c r="G4505" t="s" s="2">
        <v>42</v>
      </c>
      <c r="H4505" s="5">
        <v>430</v>
      </c>
      <c r="I4505" t="s" s="2">
        <v>3470</v>
      </c>
      <c r="J4505" t="s" s="2">
        <v>22</v>
      </c>
      <c r="K4505" t="s" s="2">
        <v>8441</v>
      </c>
      <c r="L4505" t="s" s="2">
        <v>2384</v>
      </c>
      <c r="M4505" s="5">
        <v>600826.4399999999</v>
      </c>
      <c r="N4505" s="5">
        <v>6113815.9</v>
      </c>
      <c r="O4505" t="s" s="2">
        <v>305</v>
      </c>
      <c r="P4505" s="5">
        <v>99037</v>
      </c>
      <c r="Q4505" t="s" s="2">
        <v>43</v>
      </c>
      <c r="R4505" s="5">
        <f>_xlfn.IFERROR(INDEX('model_byCAP'!$D$2:$D$377,MATCH(Q4505,'model_byCAP'!$A$2:$A$377,0)),0)</f>
        <v>0</v>
      </c>
    </row>
    <row r="4506" ht="15.35" customHeight="1">
      <c r="A4506" t="s" s="2">
        <v>8442</v>
      </c>
      <c r="B4506" s="4">
        <v>34897</v>
      </c>
      <c r="C4506" s="5">
        <v>200</v>
      </c>
      <c r="D4506" s="5">
        <v>29</v>
      </c>
      <c r="E4506" s="5">
        <v>30</v>
      </c>
      <c r="F4506" t="s" s="2">
        <v>301</v>
      </c>
      <c r="G4506" t="s" s="2">
        <v>8100</v>
      </c>
      <c r="H4506" s="5">
        <v>430</v>
      </c>
      <c r="I4506" t="s" s="2">
        <v>3470</v>
      </c>
      <c r="J4506" t="s" s="2">
        <v>22</v>
      </c>
      <c r="K4506" t="s" s="2">
        <v>8443</v>
      </c>
      <c r="L4506" t="s" s="2">
        <v>1055</v>
      </c>
      <c r="M4506" s="5">
        <v>580061.88</v>
      </c>
      <c r="N4506" s="5">
        <v>6098286.16</v>
      </c>
      <c r="O4506" t="s" s="2">
        <v>305</v>
      </c>
      <c r="P4506" s="5">
        <v>12675</v>
      </c>
      <c r="Q4506" t="s" s="2">
        <v>8102</v>
      </c>
      <c r="R4506" t="s" s="2">
        <f>_xlfn.IFERROR(INDEX('model_byCAP'!$D$2:$D$377,MATCH(Q4506,'model_byCAP'!$A$2:$A$377,0)),0)</f>
        <v>8074</v>
      </c>
    </row>
    <row r="4507" ht="15.35" customHeight="1">
      <c r="A4507" t="s" s="2">
        <v>8444</v>
      </c>
      <c r="B4507" s="4">
        <v>32674</v>
      </c>
      <c r="C4507" s="5">
        <v>200</v>
      </c>
      <c r="D4507" s="5">
        <v>25</v>
      </c>
      <c r="E4507" s="5">
        <v>30</v>
      </c>
      <c r="F4507" t="s" s="2">
        <v>301</v>
      </c>
      <c r="G4507" t="s" s="2">
        <v>8445</v>
      </c>
      <c r="H4507" s="5">
        <v>479</v>
      </c>
      <c r="I4507" t="s" s="2">
        <v>2082</v>
      </c>
      <c r="J4507" t="s" s="2">
        <v>22</v>
      </c>
      <c r="K4507" t="s" s="2">
        <v>8446</v>
      </c>
      <c r="L4507" t="s" s="2">
        <v>8447</v>
      </c>
      <c r="M4507" s="5">
        <v>610142.95</v>
      </c>
      <c r="N4507" s="5">
        <v>6108893.44</v>
      </c>
      <c r="O4507" t="s" s="2">
        <v>305</v>
      </c>
      <c r="P4507" s="5">
        <v>50717</v>
      </c>
      <c r="Q4507" t="s" s="2">
        <v>8448</v>
      </c>
      <c r="R4507" t="s" s="2">
        <f>_xlfn.IFERROR(INDEX('model_byCAP'!$D$2:$D$377,MATCH(Q4507,'model_byCAP'!$A$2:$A$377,0)),0)</f>
        <v>8029</v>
      </c>
    </row>
    <row r="4508" ht="15.35" customHeight="1">
      <c r="A4508" t="s" s="2">
        <v>8449</v>
      </c>
      <c r="B4508" s="4">
        <v>32287</v>
      </c>
      <c r="C4508" s="5">
        <v>200</v>
      </c>
      <c r="D4508" s="5">
        <v>25</v>
      </c>
      <c r="E4508" s="5">
        <v>30</v>
      </c>
      <c r="F4508" t="s" s="2">
        <v>301</v>
      </c>
      <c r="G4508" t="s" s="2">
        <v>8445</v>
      </c>
      <c r="H4508" s="5">
        <v>550</v>
      </c>
      <c r="I4508" t="s" s="2">
        <v>526</v>
      </c>
      <c r="J4508" t="s" s="2">
        <v>22</v>
      </c>
      <c r="K4508" t="s" s="2">
        <v>8450</v>
      </c>
      <c r="L4508" s="5">
        <v>140</v>
      </c>
      <c r="M4508" s="5">
        <v>488567.52</v>
      </c>
      <c r="N4508" s="5">
        <v>6098208.25</v>
      </c>
      <c r="O4508" t="s" s="2">
        <v>305</v>
      </c>
      <c r="P4508" s="5">
        <v>77945</v>
      </c>
      <c r="Q4508" t="s" s="2">
        <v>8448</v>
      </c>
      <c r="R4508" t="s" s="2">
        <f>_xlfn.IFERROR(INDEX('model_byCAP'!$D$2:$D$377,MATCH(Q4508,'model_byCAP'!$A$2:$A$377,0)),0)</f>
        <v>8029</v>
      </c>
    </row>
    <row r="4509" ht="15.35" customHeight="1">
      <c r="A4509" t="s" s="2">
        <v>8451</v>
      </c>
      <c r="B4509" s="4">
        <v>32249</v>
      </c>
      <c r="C4509" s="5">
        <v>200</v>
      </c>
      <c r="D4509" s="5">
        <v>0.1</v>
      </c>
      <c r="E4509" s="5">
        <v>0.1</v>
      </c>
      <c r="F4509" t="s" s="2">
        <v>42</v>
      </c>
      <c r="G4509" t="s" s="2">
        <v>42</v>
      </c>
      <c r="H4509" s="5">
        <v>550</v>
      </c>
      <c r="I4509" t="s" s="2">
        <v>526</v>
      </c>
      <c r="J4509" t="s" s="2">
        <v>22</v>
      </c>
      <c r="K4509" t="s" s="2">
        <v>6472</v>
      </c>
      <c r="L4509" s="5">
        <v>4</v>
      </c>
      <c r="M4509" s="5">
        <v>484359.95</v>
      </c>
      <c r="N4509" s="5">
        <v>6094363.1</v>
      </c>
      <c r="O4509" t="s" s="2">
        <v>305</v>
      </c>
      <c r="P4509" s="5">
        <v>87553</v>
      </c>
      <c r="Q4509" t="s" s="2">
        <v>43</v>
      </c>
      <c r="R4509" s="5">
        <f>_xlfn.IFERROR(INDEX('model_byCAP'!$D$2:$D$377,MATCH(Q4509,'model_byCAP'!$A$2:$A$377,0)),0)</f>
        <v>0</v>
      </c>
    </row>
    <row r="4510" ht="15.35" customHeight="1">
      <c r="A4510" t="s" s="2">
        <v>8452</v>
      </c>
      <c r="B4510" s="4">
        <v>32610</v>
      </c>
      <c r="C4510" s="5">
        <v>200</v>
      </c>
      <c r="D4510" s="5">
        <v>24</v>
      </c>
      <c r="E4510" s="5">
        <v>28.7</v>
      </c>
      <c r="F4510" t="s" s="2">
        <v>4038</v>
      </c>
      <c r="G4510" t="s" s="2">
        <v>8453</v>
      </c>
      <c r="H4510" s="5">
        <v>561</v>
      </c>
      <c r="I4510" t="s" s="2">
        <v>196</v>
      </c>
      <c r="J4510" t="s" s="2">
        <v>22</v>
      </c>
      <c r="K4510" t="s" s="2">
        <v>8005</v>
      </c>
      <c r="L4510" t="s" s="2">
        <v>8006</v>
      </c>
      <c r="M4510" s="5">
        <v>480289.48</v>
      </c>
      <c r="N4510" s="5">
        <v>6125856.06</v>
      </c>
      <c r="O4510" t="s" s="2">
        <v>1492</v>
      </c>
      <c r="P4510" s="5">
        <v>30506</v>
      </c>
      <c r="Q4510" t="s" s="2">
        <v>8454</v>
      </c>
      <c r="R4510" s="5">
        <f>_xlfn.IFERROR(INDEX('model_byCAP'!$D$2:$D$377,MATCH(Q4510,'model_byCAP'!$A$2:$A$377,0)),0)</f>
        <v>0</v>
      </c>
    </row>
    <row r="4511" ht="15.35" customHeight="1">
      <c r="A4511" t="s" s="2">
        <v>8455</v>
      </c>
      <c r="B4511" s="4">
        <v>33059</v>
      </c>
      <c r="C4511" s="5">
        <v>200</v>
      </c>
      <c r="D4511" s="5">
        <v>0.1</v>
      </c>
      <c r="E4511" s="5">
        <v>0.1</v>
      </c>
      <c r="F4511" t="s" s="2">
        <v>4038</v>
      </c>
      <c r="G4511" t="s" s="2">
        <v>8453</v>
      </c>
      <c r="H4511" s="5">
        <v>573</v>
      </c>
      <c r="I4511" t="s" s="2">
        <v>1041</v>
      </c>
      <c r="J4511" t="s" s="2">
        <v>22</v>
      </c>
      <c r="K4511" t="s" s="2">
        <v>8456</v>
      </c>
      <c r="L4511" t="s" s="2">
        <v>8457</v>
      </c>
      <c r="M4511" s="5">
        <v>457070.18</v>
      </c>
      <c r="N4511" s="5">
        <v>6161587.33</v>
      </c>
      <c r="O4511" t="s" s="2">
        <v>305</v>
      </c>
      <c r="P4511" s="5">
        <v>55852</v>
      </c>
      <c r="Q4511" t="s" s="2">
        <v>8454</v>
      </c>
      <c r="R4511" s="5">
        <f>_xlfn.IFERROR(INDEX('model_byCAP'!$D$2:$D$377,MATCH(Q4511,'model_byCAP'!$A$2:$A$377,0)),0)</f>
        <v>0</v>
      </c>
    </row>
    <row r="4512" ht="15.35" customHeight="1">
      <c r="A4512" t="s" s="2">
        <v>8458</v>
      </c>
      <c r="B4512" s="4">
        <v>33059</v>
      </c>
      <c r="C4512" s="5">
        <v>200</v>
      </c>
      <c r="D4512" s="5">
        <v>0.1</v>
      </c>
      <c r="E4512" s="5">
        <v>0.1</v>
      </c>
      <c r="F4512" t="s" s="2">
        <v>42</v>
      </c>
      <c r="G4512" t="s" s="2">
        <v>42</v>
      </c>
      <c r="H4512" s="5">
        <v>573</v>
      </c>
      <c r="I4512" t="s" s="2">
        <v>1041</v>
      </c>
      <c r="J4512" t="s" s="2">
        <v>22</v>
      </c>
      <c r="K4512" t="s" s="2">
        <v>8456</v>
      </c>
      <c r="L4512" t="s" s="2">
        <v>8457</v>
      </c>
      <c r="M4512" s="5">
        <v>457084.99</v>
      </c>
      <c r="N4512" s="5">
        <v>6161448.48</v>
      </c>
      <c r="O4512" t="s" s="2">
        <v>25</v>
      </c>
      <c r="P4512" s="5">
        <v>55852</v>
      </c>
      <c r="Q4512" t="s" s="2">
        <v>43</v>
      </c>
      <c r="R4512" s="5">
        <f>_xlfn.IFERROR(INDEX('model_byCAP'!$D$2:$D$377,MATCH(Q4512,'model_byCAP'!$A$2:$A$377,0)),0)</f>
        <v>0</v>
      </c>
    </row>
    <row r="4513" ht="15.35" customHeight="1">
      <c r="A4513" t="s" s="2">
        <v>8459</v>
      </c>
      <c r="B4513" s="4">
        <v>32926</v>
      </c>
      <c r="C4513" s="5">
        <v>200</v>
      </c>
      <c r="D4513" s="5">
        <v>0.1</v>
      </c>
      <c r="E4513" s="5">
        <v>0.1</v>
      </c>
      <c r="F4513" t="s" s="2">
        <v>42</v>
      </c>
      <c r="G4513" t="s" s="2">
        <v>42</v>
      </c>
      <c r="H4513" s="5">
        <v>573</v>
      </c>
      <c r="I4513" t="s" s="2">
        <v>1041</v>
      </c>
      <c r="J4513" t="s" s="2">
        <v>22</v>
      </c>
      <c r="K4513" t="s" s="2">
        <v>8460</v>
      </c>
      <c r="L4513" t="s" s="2">
        <v>518</v>
      </c>
      <c r="M4513" s="5">
        <v>459992.93</v>
      </c>
      <c r="N4513" s="5">
        <v>6177348.43</v>
      </c>
      <c r="O4513" t="s" s="2">
        <v>305</v>
      </c>
      <c r="P4513" s="5">
        <v>56254</v>
      </c>
      <c r="Q4513" t="s" s="2">
        <v>43</v>
      </c>
      <c r="R4513" s="5">
        <f>_xlfn.IFERROR(INDEX('model_byCAP'!$D$2:$D$377,MATCH(Q4513,'model_byCAP'!$A$2:$A$377,0)),0)</f>
        <v>0</v>
      </c>
    </row>
    <row r="4514" ht="15.35" customHeight="1">
      <c r="A4514" t="s" s="2">
        <v>8461</v>
      </c>
      <c r="B4514" s="4">
        <v>33518</v>
      </c>
      <c r="C4514" s="5">
        <v>200</v>
      </c>
      <c r="D4514" s="5">
        <v>0.1</v>
      </c>
      <c r="E4514" s="5">
        <v>30</v>
      </c>
      <c r="F4514" t="s" s="2">
        <v>4038</v>
      </c>
      <c r="G4514" t="s" s="2">
        <v>8462</v>
      </c>
      <c r="H4514" s="5">
        <v>573</v>
      </c>
      <c r="I4514" t="s" s="2">
        <v>1041</v>
      </c>
      <c r="J4514" t="s" s="2">
        <v>22</v>
      </c>
      <c r="K4514" t="s" s="2">
        <v>8463</v>
      </c>
      <c r="L4514" t="s" s="2">
        <v>390</v>
      </c>
      <c r="M4514" s="5">
        <v>462520.32</v>
      </c>
      <c r="N4514" s="5">
        <v>6162332.03</v>
      </c>
      <c r="O4514" t="s" s="2">
        <v>25</v>
      </c>
      <c r="P4514" s="5">
        <v>57131</v>
      </c>
      <c r="Q4514" t="s" s="2">
        <v>8464</v>
      </c>
      <c r="R4514" s="5">
        <f>_xlfn.IFERROR(INDEX('model_byCAP'!$D$2:$D$377,MATCH(Q4514,'model_byCAP'!$A$2:$A$377,0)),0)</f>
        <v>0</v>
      </c>
    </row>
    <row r="4515" ht="15.35" customHeight="1">
      <c r="A4515" t="s" s="2">
        <v>8465</v>
      </c>
      <c r="B4515" s="4">
        <v>33518</v>
      </c>
      <c r="C4515" s="5">
        <v>200</v>
      </c>
      <c r="D4515" s="5">
        <v>0.1</v>
      </c>
      <c r="E4515" s="5">
        <v>30</v>
      </c>
      <c r="F4515" t="s" s="2">
        <v>4038</v>
      </c>
      <c r="G4515" t="s" s="2">
        <v>8462</v>
      </c>
      <c r="H4515" s="5">
        <v>573</v>
      </c>
      <c r="I4515" t="s" s="2">
        <v>1041</v>
      </c>
      <c r="J4515" t="s" s="2">
        <v>22</v>
      </c>
      <c r="K4515" t="s" s="2">
        <v>8463</v>
      </c>
      <c r="L4515" t="s" s="2">
        <v>390</v>
      </c>
      <c r="M4515" s="5">
        <v>462786.26</v>
      </c>
      <c r="N4515" s="5">
        <v>6162250.12</v>
      </c>
      <c r="O4515" t="s" s="2">
        <v>305</v>
      </c>
      <c r="P4515" s="5">
        <v>57277</v>
      </c>
      <c r="Q4515" t="s" s="2">
        <v>8464</v>
      </c>
      <c r="R4515" s="5">
        <f>_xlfn.IFERROR(INDEX('model_byCAP'!$D$2:$D$377,MATCH(Q4515,'model_byCAP'!$A$2:$A$377,0)),0)</f>
        <v>0</v>
      </c>
    </row>
    <row r="4516" ht="15.35" customHeight="1">
      <c r="A4516" t="s" s="2">
        <v>8466</v>
      </c>
      <c r="B4516" s="4">
        <v>33518</v>
      </c>
      <c r="C4516" s="5">
        <v>200</v>
      </c>
      <c r="D4516" s="5">
        <v>0.1</v>
      </c>
      <c r="E4516" s="5">
        <v>30</v>
      </c>
      <c r="F4516" t="s" s="2">
        <v>4038</v>
      </c>
      <c r="G4516" t="s" s="2">
        <v>8462</v>
      </c>
      <c r="H4516" s="5">
        <v>573</v>
      </c>
      <c r="I4516" t="s" s="2">
        <v>1041</v>
      </c>
      <c r="J4516" t="s" s="2">
        <v>22</v>
      </c>
      <c r="K4516" t="s" s="2">
        <v>8463</v>
      </c>
      <c r="L4516" t="s" s="2">
        <v>390</v>
      </c>
      <c r="M4516" s="5">
        <v>462653.57</v>
      </c>
      <c r="N4516" s="5">
        <v>6162290.59</v>
      </c>
      <c r="O4516" t="s" s="2">
        <v>25</v>
      </c>
      <c r="P4516" s="5">
        <v>57277</v>
      </c>
      <c r="Q4516" t="s" s="2">
        <v>8464</v>
      </c>
      <c r="R4516" s="5">
        <f>_xlfn.IFERROR(INDEX('model_byCAP'!$D$2:$D$377,MATCH(Q4516,'model_byCAP'!$A$2:$A$377,0)),0)</f>
        <v>0</v>
      </c>
    </row>
    <row r="4517" ht="15.35" customHeight="1">
      <c r="A4517" t="s" s="2">
        <v>8467</v>
      </c>
      <c r="B4517" s="4">
        <v>35341</v>
      </c>
      <c r="C4517" s="5">
        <v>200</v>
      </c>
      <c r="D4517" s="5">
        <v>31</v>
      </c>
      <c r="E4517" s="5">
        <v>30</v>
      </c>
      <c r="F4517" t="s" s="2">
        <v>1989</v>
      </c>
      <c r="G4517" s="5">
        <v>200</v>
      </c>
      <c r="H4517" s="5">
        <v>575</v>
      </c>
      <c r="I4517" t="s" s="2">
        <v>2952</v>
      </c>
      <c r="J4517" t="s" s="2">
        <v>22</v>
      </c>
      <c r="K4517" t="s" s="2">
        <v>8468</v>
      </c>
      <c r="L4517" t="s" s="2">
        <v>997</v>
      </c>
      <c r="M4517" s="5">
        <v>496751.75</v>
      </c>
      <c r="N4517" s="5">
        <v>6146474.35</v>
      </c>
      <c r="O4517" t="s" s="2">
        <v>305</v>
      </c>
      <c r="P4517" s="5">
        <v>60168</v>
      </c>
      <c r="Q4517" t="s" s="2">
        <v>8469</v>
      </c>
      <c r="R4517" t="s" s="2">
        <f>_xlfn.IFERROR(INDEX('model_byCAP'!$D$2:$D$377,MATCH(Q4517,'model_byCAP'!$A$2:$A$377,0)),0)</f>
        <v>6174</v>
      </c>
    </row>
    <row r="4518" ht="15.35" customHeight="1">
      <c r="A4518" t="s" s="2">
        <v>8470</v>
      </c>
      <c r="B4518" s="4">
        <v>33541</v>
      </c>
      <c r="C4518" s="5">
        <v>200</v>
      </c>
      <c r="D4518" s="5">
        <v>26</v>
      </c>
      <c r="E4518" s="5">
        <v>30</v>
      </c>
      <c r="F4518" t="s" s="2">
        <v>4038</v>
      </c>
      <c r="G4518" t="s" s="2">
        <v>8427</v>
      </c>
      <c r="H4518" s="5">
        <v>710</v>
      </c>
      <c r="I4518" t="s" s="2">
        <v>3630</v>
      </c>
      <c r="J4518" t="s" s="2">
        <v>22</v>
      </c>
      <c r="K4518" t="s" s="2">
        <v>8471</v>
      </c>
      <c r="L4518" t="s" s="2">
        <v>8472</v>
      </c>
      <c r="M4518" s="5">
        <v>564573.58</v>
      </c>
      <c r="N4518" s="5">
        <v>6247214.5</v>
      </c>
      <c r="O4518" t="s" s="2">
        <v>305</v>
      </c>
      <c r="P4518" s="5">
        <v>95069</v>
      </c>
      <c r="Q4518" t="s" s="2">
        <v>8429</v>
      </c>
      <c r="R4518" t="s" s="2">
        <f>_xlfn.IFERROR(INDEX('model_byCAP'!$D$2:$D$377,MATCH(Q4518,'model_byCAP'!$A$2:$A$377,0)),0)</f>
        <v>8430</v>
      </c>
    </row>
    <row r="4519" ht="15.35" customHeight="1">
      <c r="A4519" t="s" s="2">
        <v>8473</v>
      </c>
      <c r="B4519" s="4">
        <v>33541</v>
      </c>
      <c r="C4519" s="5">
        <v>200</v>
      </c>
      <c r="D4519" s="5">
        <v>26</v>
      </c>
      <c r="E4519" s="5">
        <v>30</v>
      </c>
      <c r="F4519" t="s" s="2">
        <v>4038</v>
      </c>
      <c r="G4519" t="s" s="2">
        <v>8427</v>
      </c>
      <c r="H4519" s="5">
        <v>710</v>
      </c>
      <c r="I4519" t="s" s="2">
        <v>3630</v>
      </c>
      <c r="J4519" t="s" s="2">
        <v>22</v>
      </c>
      <c r="K4519" t="s" s="2">
        <v>8471</v>
      </c>
      <c r="L4519" t="s" s="2">
        <v>502</v>
      </c>
      <c r="M4519" s="5">
        <v>564542.85</v>
      </c>
      <c r="N4519" s="5">
        <v>6247360.51</v>
      </c>
      <c r="O4519" t="s" s="2">
        <v>305</v>
      </c>
      <c r="P4519" s="5">
        <v>95070</v>
      </c>
      <c r="Q4519" t="s" s="2">
        <v>8429</v>
      </c>
      <c r="R4519" t="s" s="2">
        <f>_xlfn.IFERROR(INDEX('model_byCAP'!$D$2:$D$377,MATCH(Q4519,'model_byCAP'!$A$2:$A$377,0)),0)</f>
        <v>8430</v>
      </c>
    </row>
    <row r="4520" ht="15.35" customHeight="1">
      <c r="A4520" t="s" s="2">
        <v>8474</v>
      </c>
      <c r="B4520" s="4">
        <v>33746</v>
      </c>
      <c r="C4520" s="5">
        <v>200</v>
      </c>
      <c r="D4520" s="5">
        <v>26</v>
      </c>
      <c r="E4520" s="5">
        <v>30</v>
      </c>
      <c r="F4520" t="s" s="2">
        <v>4038</v>
      </c>
      <c r="G4520" t="s" s="2">
        <v>8427</v>
      </c>
      <c r="H4520" s="5">
        <v>730</v>
      </c>
      <c r="I4520" t="s" s="2">
        <v>843</v>
      </c>
      <c r="J4520" t="s" s="2">
        <v>22</v>
      </c>
      <c r="K4520" t="s" s="2">
        <v>8475</v>
      </c>
      <c r="L4520" t="s" s="2">
        <v>4273</v>
      </c>
      <c r="M4520" s="5">
        <v>552121.0699999999</v>
      </c>
      <c r="N4520" s="5">
        <v>6252847.29</v>
      </c>
      <c r="O4520" t="s" s="2">
        <v>305</v>
      </c>
      <c r="P4520" s="5">
        <v>95073</v>
      </c>
      <c r="Q4520" t="s" s="2">
        <v>8429</v>
      </c>
      <c r="R4520" t="s" s="2">
        <f>_xlfn.IFERROR(INDEX('model_byCAP'!$D$2:$D$377,MATCH(Q4520,'model_byCAP'!$A$2:$A$377,0)),0)</f>
        <v>8430</v>
      </c>
    </row>
    <row r="4521" ht="15.35" customHeight="1">
      <c r="A4521" t="s" s="2">
        <v>8476</v>
      </c>
      <c r="B4521" s="4">
        <v>33746</v>
      </c>
      <c r="C4521" s="5">
        <v>200</v>
      </c>
      <c r="D4521" s="5">
        <v>26</v>
      </c>
      <c r="E4521" s="5">
        <v>30</v>
      </c>
      <c r="F4521" t="s" s="2">
        <v>4038</v>
      </c>
      <c r="G4521" t="s" s="2">
        <v>8427</v>
      </c>
      <c r="H4521" s="5">
        <v>730</v>
      </c>
      <c r="I4521" t="s" s="2">
        <v>843</v>
      </c>
      <c r="J4521" t="s" s="2">
        <v>22</v>
      </c>
      <c r="K4521" t="s" s="2">
        <v>8475</v>
      </c>
      <c r="L4521" t="s" s="2">
        <v>4273</v>
      </c>
      <c r="M4521" s="5">
        <v>552182.39</v>
      </c>
      <c r="N4521" s="5">
        <v>6252914.72</v>
      </c>
      <c r="O4521" t="s" s="2">
        <v>305</v>
      </c>
      <c r="P4521" s="5">
        <v>95074</v>
      </c>
      <c r="Q4521" t="s" s="2">
        <v>8429</v>
      </c>
      <c r="R4521" t="s" s="2">
        <f>_xlfn.IFERROR(INDEX('model_byCAP'!$D$2:$D$377,MATCH(Q4521,'model_byCAP'!$A$2:$A$377,0)),0)</f>
        <v>8430</v>
      </c>
    </row>
    <row r="4522" ht="15.35" customHeight="1">
      <c r="A4522" t="s" s="2">
        <v>8477</v>
      </c>
      <c r="B4522" s="4">
        <v>34459</v>
      </c>
      <c r="C4522" s="5">
        <v>200</v>
      </c>
      <c r="D4522" s="5">
        <v>26</v>
      </c>
      <c r="E4522" s="5">
        <v>30</v>
      </c>
      <c r="F4522" t="s" s="2">
        <v>4038</v>
      </c>
      <c r="G4522" t="s" s="2">
        <v>8427</v>
      </c>
      <c r="H4522" s="5">
        <v>766</v>
      </c>
      <c r="I4522" t="s" s="2">
        <v>3363</v>
      </c>
      <c r="J4522" t="s" s="2">
        <v>22</v>
      </c>
      <c r="K4522" t="s" s="2">
        <v>8478</v>
      </c>
      <c r="L4522" t="s" s="2">
        <v>8479</v>
      </c>
      <c r="M4522" s="5">
        <v>536045.54</v>
      </c>
      <c r="N4522" s="5">
        <v>6187022.45</v>
      </c>
      <c r="O4522" t="s" s="2">
        <v>305</v>
      </c>
      <c r="P4522" s="5">
        <v>1030023</v>
      </c>
      <c r="Q4522" t="s" s="2">
        <v>8429</v>
      </c>
      <c r="R4522" t="s" s="2">
        <f>_xlfn.IFERROR(INDEX('model_byCAP'!$D$2:$D$377,MATCH(Q4522,'model_byCAP'!$A$2:$A$377,0)),0)</f>
        <v>8430</v>
      </c>
    </row>
    <row r="4523" ht="15.35" customHeight="1">
      <c r="A4523" t="s" s="2">
        <v>8480</v>
      </c>
      <c r="B4523" s="4">
        <v>32128</v>
      </c>
      <c r="C4523" s="5">
        <v>200</v>
      </c>
      <c r="D4523" s="5">
        <v>25</v>
      </c>
      <c r="E4523" s="5">
        <v>30</v>
      </c>
      <c r="F4523" t="s" s="2">
        <v>301</v>
      </c>
      <c r="G4523" t="s" s="2">
        <v>8445</v>
      </c>
      <c r="H4523" s="5">
        <v>773</v>
      </c>
      <c r="I4523" t="s" s="2">
        <v>1648</v>
      </c>
      <c r="J4523" t="s" s="2">
        <v>22</v>
      </c>
      <c r="K4523" t="s" s="2">
        <v>8481</v>
      </c>
      <c r="L4523" t="s" s="2">
        <v>1161</v>
      </c>
      <c r="M4523" s="5">
        <v>481731.06</v>
      </c>
      <c r="N4523" s="5">
        <v>6303003.97</v>
      </c>
      <c r="O4523" t="s" s="2">
        <v>305</v>
      </c>
      <c r="P4523" s="5">
        <v>222921</v>
      </c>
      <c r="Q4523" t="s" s="2">
        <v>8448</v>
      </c>
      <c r="R4523" t="s" s="2">
        <f>_xlfn.IFERROR(INDEX('model_byCAP'!$D$2:$D$377,MATCH(Q4523,'model_byCAP'!$A$2:$A$377,0)),0)</f>
        <v>8029</v>
      </c>
    </row>
    <row r="4524" ht="15.35" customHeight="1">
      <c r="A4524" t="s" s="2">
        <v>8482</v>
      </c>
      <c r="B4524" s="4">
        <v>32528</v>
      </c>
      <c r="C4524" s="5">
        <v>200</v>
      </c>
      <c r="D4524" s="5">
        <v>24</v>
      </c>
      <c r="E4524" s="5">
        <v>30</v>
      </c>
      <c r="F4524" t="s" s="2">
        <v>42</v>
      </c>
      <c r="G4524" t="s" s="2">
        <v>42</v>
      </c>
      <c r="H4524" s="5">
        <v>773</v>
      </c>
      <c r="I4524" t="s" s="2">
        <v>1648</v>
      </c>
      <c r="J4524" t="s" s="2">
        <v>22</v>
      </c>
      <c r="K4524" t="s" s="2">
        <v>4153</v>
      </c>
      <c r="L4524" t="s" s="2">
        <v>394</v>
      </c>
      <c r="M4524" s="5">
        <v>485395.41</v>
      </c>
      <c r="N4524" s="5">
        <v>6295928.34</v>
      </c>
      <c r="O4524" t="s" s="2">
        <v>305</v>
      </c>
      <c r="P4524" s="5">
        <v>222929</v>
      </c>
      <c r="Q4524" t="s" s="2">
        <v>43</v>
      </c>
      <c r="R4524" s="5">
        <f>_xlfn.IFERROR(INDEX('model_byCAP'!$D$2:$D$377,MATCH(Q4524,'model_byCAP'!$A$2:$A$377,0)),0)</f>
        <v>0</v>
      </c>
    </row>
    <row r="4525" ht="15.35" customHeight="1">
      <c r="A4525" t="s" s="2">
        <v>8483</v>
      </c>
      <c r="B4525" s="4">
        <v>32528</v>
      </c>
      <c r="C4525" s="5">
        <v>200</v>
      </c>
      <c r="D4525" s="5">
        <v>24</v>
      </c>
      <c r="E4525" s="5">
        <v>30</v>
      </c>
      <c r="F4525" t="s" s="2">
        <v>42</v>
      </c>
      <c r="G4525" t="s" s="2">
        <v>42</v>
      </c>
      <c r="H4525" s="5">
        <v>773</v>
      </c>
      <c r="I4525" t="s" s="2">
        <v>1648</v>
      </c>
      <c r="J4525" t="s" s="2">
        <v>22</v>
      </c>
      <c r="K4525" t="s" s="2">
        <v>4153</v>
      </c>
      <c r="L4525" t="s" s="2">
        <v>394</v>
      </c>
      <c r="M4525" s="5">
        <v>485384.71</v>
      </c>
      <c r="N4525" s="5">
        <v>6295829.32</v>
      </c>
      <c r="O4525" t="s" s="2">
        <v>305</v>
      </c>
      <c r="P4525" s="5">
        <v>222930</v>
      </c>
      <c r="Q4525" t="s" s="2">
        <v>43</v>
      </c>
      <c r="R4525" s="5">
        <f>_xlfn.IFERROR(INDEX('model_byCAP'!$D$2:$D$377,MATCH(Q4525,'model_byCAP'!$A$2:$A$377,0)),0)</f>
        <v>0</v>
      </c>
    </row>
    <row r="4526" ht="15.35" customHeight="1">
      <c r="A4526" t="s" s="2">
        <v>8484</v>
      </c>
      <c r="B4526" s="4">
        <v>32528</v>
      </c>
      <c r="C4526" s="5">
        <v>200</v>
      </c>
      <c r="D4526" s="5">
        <v>24</v>
      </c>
      <c r="E4526" s="5">
        <v>30</v>
      </c>
      <c r="F4526" t="s" s="2">
        <v>42</v>
      </c>
      <c r="G4526" t="s" s="2">
        <v>42</v>
      </c>
      <c r="H4526" s="5">
        <v>773</v>
      </c>
      <c r="I4526" t="s" s="2">
        <v>1648</v>
      </c>
      <c r="J4526" t="s" s="2">
        <v>22</v>
      </c>
      <c r="K4526" t="s" s="2">
        <v>4153</v>
      </c>
      <c r="L4526" t="s" s="2">
        <v>394</v>
      </c>
      <c r="M4526" s="5">
        <v>485374.11</v>
      </c>
      <c r="N4526" s="5">
        <v>6295730</v>
      </c>
      <c r="O4526" t="s" s="2">
        <v>305</v>
      </c>
      <c r="P4526" s="5">
        <v>222931</v>
      </c>
      <c r="Q4526" t="s" s="2">
        <v>43</v>
      </c>
      <c r="R4526" s="5">
        <f>_xlfn.IFERROR(INDEX('model_byCAP'!$D$2:$D$377,MATCH(Q4526,'model_byCAP'!$A$2:$A$377,0)),0)</f>
        <v>0</v>
      </c>
    </row>
    <row r="4527" ht="15.35" customHeight="1">
      <c r="A4527" t="s" s="2">
        <v>8485</v>
      </c>
      <c r="B4527" s="4">
        <v>34094</v>
      </c>
      <c r="C4527" s="5">
        <v>200</v>
      </c>
      <c r="D4527" s="5">
        <v>26</v>
      </c>
      <c r="E4527" s="5">
        <v>30</v>
      </c>
      <c r="F4527" t="s" s="2">
        <v>4038</v>
      </c>
      <c r="G4527" t="s" s="2">
        <v>8427</v>
      </c>
      <c r="H4527" s="5">
        <v>773</v>
      </c>
      <c r="I4527" t="s" s="2">
        <v>1648</v>
      </c>
      <c r="J4527" t="s" s="2">
        <v>22</v>
      </c>
      <c r="K4527" t="s" s="2">
        <v>8486</v>
      </c>
      <c r="L4527" t="s" s="2">
        <v>2923</v>
      </c>
      <c r="M4527" s="5">
        <v>492229.02</v>
      </c>
      <c r="N4527" s="5">
        <v>6306226.79</v>
      </c>
      <c r="O4527" t="s" s="2">
        <v>305</v>
      </c>
      <c r="P4527" s="5">
        <v>223209</v>
      </c>
      <c r="Q4527" t="s" s="2">
        <v>8429</v>
      </c>
      <c r="R4527" t="s" s="2">
        <f>_xlfn.IFERROR(INDEX('model_byCAP'!$D$2:$D$377,MATCH(Q4527,'model_byCAP'!$A$2:$A$377,0)),0)</f>
        <v>8430</v>
      </c>
    </row>
    <row r="4528" ht="15.35" customHeight="1">
      <c r="A4528" t="s" s="2">
        <v>8487</v>
      </c>
      <c r="B4528" s="4">
        <v>34094</v>
      </c>
      <c r="C4528" s="5">
        <v>200</v>
      </c>
      <c r="D4528" s="5">
        <v>26</v>
      </c>
      <c r="E4528" s="5">
        <v>30</v>
      </c>
      <c r="F4528" t="s" s="2">
        <v>4038</v>
      </c>
      <c r="G4528" t="s" s="2">
        <v>8427</v>
      </c>
      <c r="H4528" s="5">
        <v>773</v>
      </c>
      <c r="I4528" t="s" s="2">
        <v>1648</v>
      </c>
      <c r="J4528" t="s" s="2">
        <v>22</v>
      </c>
      <c r="K4528" t="s" s="2">
        <v>8486</v>
      </c>
      <c r="L4528" t="s" s="2">
        <v>2923</v>
      </c>
      <c r="M4528" s="5">
        <v>492224.24</v>
      </c>
      <c r="N4528" s="5">
        <v>6306076.53</v>
      </c>
      <c r="O4528" t="s" s="2">
        <v>305</v>
      </c>
      <c r="P4528" s="5">
        <v>223210</v>
      </c>
      <c r="Q4528" t="s" s="2">
        <v>8429</v>
      </c>
      <c r="R4528" t="s" s="2">
        <f>_xlfn.IFERROR(INDEX('model_byCAP'!$D$2:$D$377,MATCH(Q4528,'model_byCAP'!$A$2:$A$377,0)),0)</f>
        <v>8430</v>
      </c>
    </row>
    <row r="4529" ht="15.35" customHeight="1">
      <c r="A4529" t="s" s="2">
        <v>8488</v>
      </c>
      <c r="B4529" s="4">
        <v>33155</v>
      </c>
      <c r="C4529" s="5">
        <v>200</v>
      </c>
      <c r="D4529" s="5">
        <v>27</v>
      </c>
      <c r="E4529" s="5">
        <v>30</v>
      </c>
      <c r="F4529" t="s" s="2">
        <v>42</v>
      </c>
      <c r="G4529" t="s" s="2">
        <v>42</v>
      </c>
      <c r="H4529" s="5">
        <v>779</v>
      </c>
      <c r="I4529" t="s" s="2">
        <v>1308</v>
      </c>
      <c r="J4529" t="s" s="2">
        <v>22</v>
      </c>
      <c r="K4529" t="s" s="2">
        <v>8489</v>
      </c>
      <c r="L4529" t="s" s="2">
        <v>8490</v>
      </c>
      <c r="M4529" s="5">
        <v>483077.16</v>
      </c>
      <c r="N4529" s="5">
        <v>6271308.7</v>
      </c>
      <c r="O4529" t="s" s="2">
        <v>305</v>
      </c>
      <c r="P4529" s="5">
        <v>2050152</v>
      </c>
      <c r="Q4529" t="s" s="2">
        <v>43</v>
      </c>
      <c r="R4529" s="5">
        <f>_xlfn.IFERROR(INDEX('model_byCAP'!$D$2:$D$377,MATCH(Q4529,'model_byCAP'!$A$2:$A$377,0)),0)</f>
        <v>0</v>
      </c>
    </row>
    <row r="4530" ht="15.35" customHeight="1">
      <c r="A4530" t="s" s="2">
        <v>8491</v>
      </c>
      <c r="B4530" s="4">
        <v>32933</v>
      </c>
      <c r="C4530" s="5">
        <v>200</v>
      </c>
      <c r="D4530" s="5">
        <v>27</v>
      </c>
      <c r="E4530" s="5">
        <v>30</v>
      </c>
      <c r="F4530" t="s" s="2">
        <v>3604</v>
      </c>
      <c r="G4530" t="s" s="2">
        <v>7971</v>
      </c>
      <c r="H4530" s="5">
        <v>250</v>
      </c>
      <c r="I4530" t="s" s="2">
        <v>7069</v>
      </c>
      <c r="J4530" t="s" s="2">
        <v>22</v>
      </c>
      <c r="K4530" t="s" s="2">
        <v>8492</v>
      </c>
      <c r="L4530" t="s" s="2">
        <v>7331</v>
      </c>
      <c r="M4530" s="5">
        <v>683465.5699999999</v>
      </c>
      <c r="N4530" s="5">
        <v>6186044.81</v>
      </c>
      <c r="O4530" t="s" s="2">
        <v>305</v>
      </c>
      <c r="P4530" t="s" s="2">
        <v>8493</v>
      </c>
      <c r="Q4530" t="s" s="2">
        <v>7972</v>
      </c>
      <c r="R4530" t="s" s="2">
        <f>_xlfn.IFERROR(INDEX('model_byCAP'!$D$2:$D$377,MATCH(Q4530,'model_byCAP'!$A$2:$A$377,0)),0)</f>
        <v>4115</v>
      </c>
    </row>
    <row r="4531" ht="15.35" customHeight="1">
      <c r="A4531" t="s" s="2">
        <v>8494</v>
      </c>
      <c r="B4531" s="4">
        <v>32983</v>
      </c>
      <c r="C4531" s="5">
        <v>200</v>
      </c>
      <c r="D4531" s="5">
        <v>27</v>
      </c>
      <c r="E4531" s="5">
        <v>30</v>
      </c>
      <c r="F4531" t="s" s="2">
        <v>3604</v>
      </c>
      <c r="G4531" t="s" s="2">
        <v>7971</v>
      </c>
      <c r="H4531" s="5">
        <v>250</v>
      </c>
      <c r="I4531" t="s" s="2">
        <v>7069</v>
      </c>
      <c r="J4531" t="s" s="2">
        <v>22</v>
      </c>
      <c r="K4531" t="s" s="2">
        <v>8495</v>
      </c>
      <c r="L4531" t="s" s="2">
        <v>7331</v>
      </c>
      <c r="M4531" s="5">
        <v>683453.72</v>
      </c>
      <c r="N4531" s="5">
        <v>6186303.8</v>
      </c>
      <c r="O4531" t="s" s="2">
        <v>305</v>
      </c>
      <c r="P4531" t="s" s="2">
        <v>8496</v>
      </c>
      <c r="Q4531" t="s" s="2">
        <v>7972</v>
      </c>
      <c r="R4531" t="s" s="2">
        <f>_xlfn.IFERROR(INDEX('model_byCAP'!$D$2:$D$377,MATCH(Q4531,'model_byCAP'!$A$2:$A$377,0)),0)</f>
        <v>4115</v>
      </c>
    </row>
    <row r="4532" ht="15.35" customHeight="1">
      <c r="A4532" t="s" s="2">
        <v>8497</v>
      </c>
      <c r="B4532" s="4">
        <v>32308</v>
      </c>
      <c r="C4532" s="5">
        <v>200</v>
      </c>
      <c r="D4532" s="5">
        <v>25</v>
      </c>
      <c r="E4532" s="5">
        <v>30</v>
      </c>
      <c r="F4532" t="s" s="2">
        <v>301</v>
      </c>
      <c r="G4532" t="s" s="2">
        <v>8445</v>
      </c>
      <c r="H4532" s="5">
        <v>306</v>
      </c>
      <c r="I4532" t="s" s="2">
        <v>5800</v>
      </c>
      <c r="J4532" t="s" s="2">
        <v>22</v>
      </c>
      <c r="K4532" t="s" s="2">
        <v>8498</v>
      </c>
      <c r="L4532" t="s" s="2">
        <v>518</v>
      </c>
      <c r="M4532" s="5">
        <v>664340.63</v>
      </c>
      <c r="N4532" s="5">
        <v>6197377.66</v>
      </c>
      <c r="O4532" t="s" s="2">
        <v>305</v>
      </c>
      <c r="P4532" t="s" s="2">
        <v>8499</v>
      </c>
      <c r="Q4532" t="s" s="2">
        <v>8448</v>
      </c>
      <c r="R4532" t="s" s="2">
        <f>_xlfn.IFERROR(INDEX('model_byCAP'!$D$2:$D$377,MATCH(Q4532,'model_byCAP'!$A$2:$A$377,0)),0)</f>
        <v>8029</v>
      </c>
    </row>
    <row r="4533" ht="15.35" customHeight="1">
      <c r="A4533" t="s" s="2">
        <v>8500</v>
      </c>
      <c r="B4533" s="4">
        <v>32308</v>
      </c>
      <c r="C4533" s="5">
        <v>200</v>
      </c>
      <c r="D4533" s="5">
        <v>25</v>
      </c>
      <c r="E4533" s="5">
        <v>30</v>
      </c>
      <c r="F4533" t="s" s="2">
        <v>301</v>
      </c>
      <c r="G4533" t="s" s="2">
        <v>8445</v>
      </c>
      <c r="H4533" s="5">
        <v>306</v>
      </c>
      <c r="I4533" t="s" s="2">
        <v>5800</v>
      </c>
      <c r="J4533" t="s" s="2">
        <v>22</v>
      </c>
      <c r="K4533" t="s" s="2">
        <v>8498</v>
      </c>
      <c r="L4533" t="s" s="2">
        <v>518</v>
      </c>
      <c r="M4533" s="5">
        <v>664410.95</v>
      </c>
      <c r="N4533" s="5">
        <v>6197190.27</v>
      </c>
      <c r="O4533" t="s" s="2">
        <v>305</v>
      </c>
      <c r="P4533" t="s" s="2">
        <v>8499</v>
      </c>
      <c r="Q4533" t="s" s="2">
        <v>8448</v>
      </c>
      <c r="R4533" t="s" s="2">
        <f>_xlfn.IFERROR(INDEX('model_byCAP'!$D$2:$D$377,MATCH(Q4533,'model_byCAP'!$A$2:$A$377,0)),0)</f>
        <v>8029</v>
      </c>
    </row>
    <row r="4534" ht="15.35" customHeight="1">
      <c r="A4534" t="s" s="2">
        <v>8501</v>
      </c>
      <c r="B4534" s="4">
        <v>32308</v>
      </c>
      <c r="C4534" s="5">
        <v>200</v>
      </c>
      <c r="D4534" s="5">
        <v>25</v>
      </c>
      <c r="E4534" s="5">
        <v>30</v>
      </c>
      <c r="F4534" t="s" s="2">
        <v>301</v>
      </c>
      <c r="G4534" t="s" s="2">
        <v>8445</v>
      </c>
      <c r="H4534" s="5">
        <v>306</v>
      </c>
      <c r="I4534" t="s" s="2">
        <v>5800</v>
      </c>
      <c r="J4534" t="s" s="2">
        <v>22</v>
      </c>
      <c r="K4534" t="s" s="2">
        <v>8498</v>
      </c>
      <c r="L4534" t="s" s="2">
        <v>518</v>
      </c>
      <c r="M4534" s="5">
        <v>664295.85</v>
      </c>
      <c r="N4534" s="5">
        <v>6197026.85</v>
      </c>
      <c r="O4534" t="s" s="2">
        <v>305</v>
      </c>
      <c r="P4534" t="s" s="2">
        <v>8499</v>
      </c>
      <c r="Q4534" t="s" s="2">
        <v>8448</v>
      </c>
      <c r="R4534" t="s" s="2">
        <f>_xlfn.IFERROR(INDEX('model_byCAP'!$D$2:$D$377,MATCH(Q4534,'model_byCAP'!$A$2:$A$377,0)),0)</f>
        <v>8029</v>
      </c>
    </row>
    <row r="4535" ht="15.35" customHeight="1">
      <c r="A4535" t="s" s="2">
        <v>8502</v>
      </c>
      <c r="B4535" s="4">
        <v>32615</v>
      </c>
      <c r="C4535" s="5">
        <v>200</v>
      </c>
      <c r="D4535" s="5">
        <v>24</v>
      </c>
      <c r="E4535" s="5">
        <v>30</v>
      </c>
      <c r="F4535" t="s" s="2">
        <v>42</v>
      </c>
      <c r="G4535" t="s" s="2">
        <v>42</v>
      </c>
      <c r="H4535" s="5">
        <v>306</v>
      </c>
      <c r="I4535" t="s" s="2">
        <v>5800</v>
      </c>
      <c r="J4535" t="s" s="2">
        <v>22</v>
      </c>
      <c r="K4535" t="s" s="2">
        <v>8503</v>
      </c>
      <c r="L4535" t="s" s="2">
        <v>1717</v>
      </c>
      <c r="M4535" s="5">
        <v>671087.27</v>
      </c>
      <c r="N4535" s="5">
        <v>6199349.33</v>
      </c>
      <c r="O4535" t="s" s="2">
        <v>305</v>
      </c>
      <c r="P4535" s="5">
        <v>40004315</v>
      </c>
      <c r="Q4535" t="s" s="2">
        <v>43</v>
      </c>
      <c r="R4535" s="5">
        <f>_xlfn.IFERROR(INDEX('model_byCAP'!$D$2:$D$377,MATCH(Q4535,'model_byCAP'!$A$2:$A$377,0)),0)</f>
        <v>0</v>
      </c>
    </row>
    <row r="4536" ht="15.35" customHeight="1">
      <c r="A4536" t="s" s="2">
        <v>8504</v>
      </c>
      <c r="B4536" s="4">
        <v>32303</v>
      </c>
      <c r="C4536" s="5">
        <v>200</v>
      </c>
      <c r="D4536" s="5">
        <v>25</v>
      </c>
      <c r="E4536" s="5">
        <v>30</v>
      </c>
      <c r="F4536" t="s" s="2">
        <v>301</v>
      </c>
      <c r="G4536" t="s" s="2">
        <v>8445</v>
      </c>
      <c r="H4536" s="5">
        <v>791</v>
      </c>
      <c r="I4536" t="s" s="2">
        <v>1447</v>
      </c>
      <c r="J4536" t="s" s="2">
        <v>22</v>
      </c>
      <c r="K4536" t="s" s="2">
        <v>8505</v>
      </c>
      <c r="L4536" t="s" s="2">
        <v>4796</v>
      </c>
      <c r="M4536" s="5">
        <v>515524.23</v>
      </c>
      <c r="N4536" s="5">
        <v>6267115.7</v>
      </c>
      <c r="O4536" t="s" s="2">
        <v>305</v>
      </c>
      <c r="P4536" s="5">
        <v>2050109</v>
      </c>
      <c r="Q4536" t="s" s="2">
        <v>8448</v>
      </c>
      <c r="R4536" t="s" s="2">
        <f>_xlfn.IFERROR(INDEX('model_byCAP'!$D$2:$D$377,MATCH(Q4536,'model_byCAP'!$A$2:$A$377,0)),0)</f>
        <v>8029</v>
      </c>
    </row>
    <row r="4537" ht="15.35" customHeight="1">
      <c r="A4537" t="s" s="2">
        <v>8506</v>
      </c>
      <c r="B4537" s="4">
        <v>32217</v>
      </c>
      <c r="C4537" s="5">
        <v>200</v>
      </c>
      <c r="D4537" s="5">
        <v>25</v>
      </c>
      <c r="E4537" s="5">
        <v>30</v>
      </c>
      <c r="F4537" t="s" s="2">
        <v>301</v>
      </c>
      <c r="G4537" t="s" s="2">
        <v>8445</v>
      </c>
      <c r="H4537" s="5">
        <v>813</v>
      </c>
      <c r="I4537" t="s" s="2">
        <v>1708</v>
      </c>
      <c r="J4537" t="s" s="2">
        <v>22</v>
      </c>
      <c r="K4537" t="s" s="2">
        <v>8507</v>
      </c>
      <c r="L4537" t="s" s="2">
        <v>5365</v>
      </c>
      <c r="M4537" s="5">
        <v>589363.45</v>
      </c>
      <c r="N4537" s="5">
        <v>6361021.03</v>
      </c>
      <c r="O4537" t="s" s="2">
        <v>305</v>
      </c>
      <c r="P4537" t="s" s="2">
        <v>8508</v>
      </c>
      <c r="Q4537" t="s" s="2">
        <v>8448</v>
      </c>
      <c r="R4537" t="s" s="2">
        <f>_xlfn.IFERROR(INDEX('model_byCAP'!$D$2:$D$377,MATCH(Q4537,'model_byCAP'!$A$2:$A$377,0)),0)</f>
        <v>8029</v>
      </c>
    </row>
    <row r="4538" ht="15.35" customHeight="1">
      <c r="A4538" t="s" s="2">
        <v>8509</v>
      </c>
      <c r="B4538" s="4">
        <v>32241</v>
      </c>
      <c r="C4538" s="5">
        <v>200</v>
      </c>
      <c r="D4538" s="5">
        <v>25</v>
      </c>
      <c r="E4538" s="5">
        <v>30</v>
      </c>
      <c r="F4538" t="s" s="2">
        <v>301</v>
      </c>
      <c r="G4538" t="s" s="2">
        <v>8445</v>
      </c>
      <c r="H4538" s="5">
        <v>849</v>
      </c>
      <c r="I4538" t="s" s="2">
        <v>411</v>
      </c>
      <c r="J4538" t="s" s="2">
        <v>22</v>
      </c>
      <c r="K4538" t="s" s="2">
        <v>8510</v>
      </c>
      <c r="L4538" t="s" s="2">
        <v>394</v>
      </c>
      <c r="M4538" s="5">
        <v>539259.74</v>
      </c>
      <c r="N4538" s="5">
        <v>6331029.41</v>
      </c>
      <c r="O4538" t="s" s="2">
        <v>305</v>
      </c>
      <c r="P4538" s="5">
        <v>2372012</v>
      </c>
      <c r="Q4538" t="s" s="2">
        <v>8448</v>
      </c>
      <c r="R4538" t="s" s="2">
        <f>_xlfn.IFERROR(INDEX('model_byCAP'!$D$2:$D$377,MATCH(Q4538,'model_byCAP'!$A$2:$A$377,0)),0)</f>
        <v>8029</v>
      </c>
    </row>
    <row r="4539" ht="15.35" customHeight="1">
      <c r="A4539" t="s" s="2">
        <v>8511</v>
      </c>
      <c r="B4539" s="4">
        <v>34326</v>
      </c>
      <c r="C4539" s="5">
        <v>200</v>
      </c>
      <c r="D4539" s="5">
        <v>26</v>
      </c>
      <c r="E4539" s="5">
        <v>30</v>
      </c>
      <c r="F4539" t="s" s="2">
        <v>4038</v>
      </c>
      <c r="G4539" t="s" s="2">
        <v>8413</v>
      </c>
      <c r="H4539" s="5">
        <v>849</v>
      </c>
      <c r="I4539" t="s" s="2">
        <v>411</v>
      </c>
      <c r="J4539" t="s" s="2">
        <v>22</v>
      </c>
      <c r="K4539" t="s" s="2">
        <v>8512</v>
      </c>
      <c r="L4539" t="s" s="2">
        <v>3330</v>
      </c>
      <c r="M4539" s="5">
        <v>544875.13</v>
      </c>
      <c r="N4539" s="5">
        <v>6354085.98</v>
      </c>
      <c r="O4539" t="s" s="2">
        <v>305</v>
      </c>
      <c r="P4539" s="5">
        <v>41</v>
      </c>
      <c r="Q4539" t="s" s="2">
        <v>8414</v>
      </c>
      <c r="R4539" t="s" s="2">
        <f>_xlfn.IFERROR(INDEX('model_byCAP'!$D$2:$D$377,MATCH(Q4539,'model_byCAP'!$A$2:$A$377,0)),0)</f>
        <v>7981</v>
      </c>
    </row>
    <row r="4540" ht="15.35" customHeight="1">
      <c r="A4540" t="s" s="2">
        <v>8513</v>
      </c>
      <c r="B4540" s="4">
        <v>34326</v>
      </c>
      <c r="C4540" s="5">
        <v>200</v>
      </c>
      <c r="D4540" s="5">
        <v>26</v>
      </c>
      <c r="E4540" s="5">
        <v>30</v>
      </c>
      <c r="F4540" t="s" s="2">
        <v>4038</v>
      </c>
      <c r="G4540" t="s" s="2">
        <v>8413</v>
      </c>
      <c r="H4540" s="5">
        <v>849</v>
      </c>
      <c r="I4540" t="s" s="2">
        <v>411</v>
      </c>
      <c r="J4540" t="s" s="2">
        <v>22</v>
      </c>
      <c r="K4540" t="s" s="2">
        <v>8512</v>
      </c>
      <c r="L4540" t="s" s="2">
        <v>3330</v>
      </c>
      <c r="M4540" s="5">
        <v>544819.54</v>
      </c>
      <c r="N4540" s="5">
        <v>6354162.77</v>
      </c>
      <c r="O4540" t="s" s="2">
        <v>305</v>
      </c>
      <c r="P4540" s="5">
        <v>41</v>
      </c>
      <c r="Q4540" t="s" s="2">
        <v>8414</v>
      </c>
      <c r="R4540" t="s" s="2">
        <f>_xlfn.IFERROR(INDEX('model_byCAP'!$D$2:$D$377,MATCH(Q4540,'model_byCAP'!$A$2:$A$377,0)),0)</f>
        <v>7981</v>
      </c>
    </row>
    <row r="4541" ht="15.35" customHeight="1">
      <c r="A4541" t="s" s="2">
        <v>8514</v>
      </c>
      <c r="B4541" s="4">
        <v>34326</v>
      </c>
      <c r="C4541" s="5">
        <v>200</v>
      </c>
      <c r="D4541" s="5">
        <v>26</v>
      </c>
      <c r="E4541" s="5">
        <v>30</v>
      </c>
      <c r="F4541" t="s" s="2">
        <v>4038</v>
      </c>
      <c r="G4541" t="s" s="2">
        <v>8413</v>
      </c>
      <c r="H4541" s="5">
        <v>849</v>
      </c>
      <c r="I4541" t="s" s="2">
        <v>411</v>
      </c>
      <c r="J4541" t="s" s="2">
        <v>22</v>
      </c>
      <c r="K4541" t="s" s="2">
        <v>8515</v>
      </c>
      <c r="L4541" t="s" s="2">
        <v>2809</v>
      </c>
      <c r="M4541" s="5">
        <v>544779.3100000001</v>
      </c>
      <c r="N4541" s="5">
        <v>6354246.24</v>
      </c>
      <c r="O4541" t="s" s="2">
        <v>305</v>
      </c>
      <c r="P4541" s="5">
        <v>41</v>
      </c>
      <c r="Q4541" t="s" s="2">
        <v>8414</v>
      </c>
      <c r="R4541" t="s" s="2">
        <f>_xlfn.IFERROR(INDEX('model_byCAP'!$D$2:$D$377,MATCH(Q4541,'model_byCAP'!$A$2:$A$377,0)),0)</f>
        <v>7981</v>
      </c>
    </row>
    <row r="4542" ht="15.35" customHeight="1">
      <c r="A4542" t="s" s="2">
        <v>8516</v>
      </c>
      <c r="B4542" s="4">
        <v>34522</v>
      </c>
      <c r="C4542" s="5">
        <v>200</v>
      </c>
      <c r="D4542" s="5">
        <v>26</v>
      </c>
      <c r="E4542" s="5">
        <v>30</v>
      </c>
      <c r="F4542" t="s" s="2">
        <v>4038</v>
      </c>
      <c r="G4542" t="s" s="2">
        <v>8413</v>
      </c>
      <c r="H4542" s="5">
        <v>849</v>
      </c>
      <c r="I4542" t="s" s="2">
        <v>411</v>
      </c>
      <c r="J4542" t="s" s="2">
        <v>22</v>
      </c>
      <c r="K4542" t="s" s="2">
        <v>8515</v>
      </c>
      <c r="L4542" t="s" s="2">
        <v>2809</v>
      </c>
      <c r="M4542" s="5">
        <v>544747.26</v>
      </c>
      <c r="N4542" s="5">
        <v>6354335.64</v>
      </c>
      <c r="O4542" t="s" s="2">
        <v>305</v>
      </c>
      <c r="P4542" s="5">
        <v>44</v>
      </c>
      <c r="Q4542" t="s" s="2">
        <v>8414</v>
      </c>
      <c r="R4542" t="s" s="2">
        <f>_xlfn.IFERROR(INDEX('model_byCAP'!$D$2:$D$377,MATCH(Q4542,'model_byCAP'!$A$2:$A$377,0)),0)</f>
        <v>7981</v>
      </c>
    </row>
    <row r="4543" ht="15.35" customHeight="1">
      <c r="A4543" t="s" s="2">
        <v>8517</v>
      </c>
      <c r="B4543" s="4">
        <v>34522</v>
      </c>
      <c r="C4543" s="5">
        <v>200</v>
      </c>
      <c r="D4543" s="5">
        <v>26</v>
      </c>
      <c r="E4543" s="5">
        <v>30</v>
      </c>
      <c r="F4543" t="s" s="2">
        <v>4038</v>
      </c>
      <c r="G4543" t="s" s="2">
        <v>8413</v>
      </c>
      <c r="H4543" s="5">
        <v>849</v>
      </c>
      <c r="I4543" t="s" s="2">
        <v>411</v>
      </c>
      <c r="J4543" t="s" s="2">
        <v>22</v>
      </c>
      <c r="K4543" t="s" s="2">
        <v>8515</v>
      </c>
      <c r="L4543" t="s" s="2">
        <v>941</v>
      </c>
      <c r="M4543" s="5">
        <v>544714.05</v>
      </c>
      <c r="N4543" s="5">
        <v>6354424.89</v>
      </c>
      <c r="O4543" t="s" s="2">
        <v>305</v>
      </c>
      <c r="P4543" s="5">
        <v>44</v>
      </c>
      <c r="Q4543" t="s" s="2">
        <v>8414</v>
      </c>
      <c r="R4543" t="s" s="2">
        <f>_xlfn.IFERROR(INDEX('model_byCAP'!$D$2:$D$377,MATCH(Q4543,'model_byCAP'!$A$2:$A$377,0)),0)</f>
        <v>7981</v>
      </c>
    </row>
    <row r="4544" ht="15.35" customHeight="1">
      <c r="A4544" t="s" s="2">
        <v>8518</v>
      </c>
      <c r="B4544" s="4">
        <v>34571</v>
      </c>
      <c r="C4544" s="5">
        <v>200</v>
      </c>
      <c r="D4544" s="5">
        <v>26</v>
      </c>
      <c r="E4544" s="5">
        <v>30</v>
      </c>
      <c r="F4544" t="s" s="2">
        <v>4038</v>
      </c>
      <c r="G4544" t="s" s="2">
        <v>8413</v>
      </c>
      <c r="H4544" s="5">
        <v>849</v>
      </c>
      <c r="I4544" t="s" s="2">
        <v>411</v>
      </c>
      <c r="J4544" t="s" s="2">
        <v>22</v>
      </c>
      <c r="K4544" t="s" s="2">
        <v>8515</v>
      </c>
      <c r="L4544" t="s" s="2">
        <v>941</v>
      </c>
      <c r="M4544" s="5">
        <v>544681.5600000001</v>
      </c>
      <c r="N4544" s="5">
        <v>6354513.69</v>
      </c>
      <c r="O4544" t="s" s="2">
        <v>305</v>
      </c>
      <c r="P4544" s="5">
        <v>23102745</v>
      </c>
      <c r="Q4544" t="s" s="2">
        <v>8414</v>
      </c>
      <c r="R4544" t="s" s="2">
        <f>_xlfn.IFERROR(INDEX('model_byCAP'!$D$2:$D$377,MATCH(Q4544,'model_byCAP'!$A$2:$A$377,0)),0)</f>
        <v>7981</v>
      </c>
    </row>
    <row r="4545" ht="15.35" customHeight="1">
      <c r="A4545" t="s" s="2">
        <v>8519</v>
      </c>
      <c r="B4545" s="4">
        <v>32277</v>
      </c>
      <c r="C4545" s="5">
        <v>200</v>
      </c>
      <c r="D4545" s="5">
        <v>25.4</v>
      </c>
      <c r="E4545" s="5">
        <v>30</v>
      </c>
      <c r="F4545" t="s" s="2">
        <v>4038</v>
      </c>
      <c r="G4545" t="s" s="2">
        <v>8520</v>
      </c>
      <c r="H4545" s="5">
        <v>851</v>
      </c>
      <c r="I4545" t="s" s="2">
        <v>1139</v>
      </c>
      <c r="J4545" t="s" s="2">
        <v>22</v>
      </c>
      <c r="K4545" t="s" s="2">
        <v>8521</v>
      </c>
      <c r="L4545" t="s" s="2">
        <v>8522</v>
      </c>
      <c r="M4545" s="5">
        <v>565233.37</v>
      </c>
      <c r="N4545" s="5">
        <v>6324722.37</v>
      </c>
      <c r="O4545" t="s" s="2">
        <v>305</v>
      </c>
      <c r="P4545" t="s" s="2">
        <v>8523</v>
      </c>
      <c r="Q4545" t="s" s="2">
        <v>8524</v>
      </c>
      <c r="R4545" s="5">
        <f>_xlfn.IFERROR(INDEX('model_byCAP'!$D$2:$D$377,MATCH(Q4545,'model_byCAP'!$A$2:$A$377,0)),0)</f>
        <v>0</v>
      </c>
    </row>
    <row r="4546" ht="15.35" customHeight="1">
      <c r="A4546" t="s" s="2">
        <v>8525</v>
      </c>
      <c r="B4546" s="4">
        <v>33592</v>
      </c>
      <c r="C4546" s="5">
        <v>200</v>
      </c>
      <c r="D4546" s="5">
        <v>26</v>
      </c>
      <c r="E4546" s="5">
        <v>30</v>
      </c>
      <c r="F4546" t="s" s="2">
        <v>4038</v>
      </c>
      <c r="G4546" t="s" s="2">
        <v>8427</v>
      </c>
      <c r="H4546" s="5">
        <v>851</v>
      </c>
      <c r="I4546" t="s" s="2">
        <v>1139</v>
      </c>
      <c r="J4546" t="s" s="2">
        <v>22</v>
      </c>
      <c r="K4546" t="s" s="2">
        <v>8526</v>
      </c>
      <c r="L4546" t="s" s="2">
        <v>1603</v>
      </c>
      <c r="M4546" s="5">
        <v>560531.36</v>
      </c>
      <c r="N4546" s="5">
        <v>6327835.99</v>
      </c>
      <c r="O4546" t="s" s="2">
        <v>305</v>
      </c>
      <c r="P4546" s="5">
        <v>70088</v>
      </c>
      <c r="Q4546" t="s" s="2">
        <v>8429</v>
      </c>
      <c r="R4546" t="s" s="2">
        <f>_xlfn.IFERROR(INDEX('model_byCAP'!$D$2:$D$377,MATCH(Q4546,'model_byCAP'!$A$2:$A$377,0)),0)</f>
        <v>8430</v>
      </c>
    </row>
    <row r="4547" ht="15.35" customHeight="1">
      <c r="A4547" t="s" s="2">
        <v>8527</v>
      </c>
      <c r="B4547" s="4">
        <v>33592</v>
      </c>
      <c r="C4547" s="5">
        <v>200</v>
      </c>
      <c r="D4547" s="5">
        <v>26</v>
      </c>
      <c r="E4547" s="5">
        <v>30</v>
      </c>
      <c r="F4547" t="s" s="2">
        <v>4038</v>
      </c>
      <c r="G4547" t="s" s="2">
        <v>8427</v>
      </c>
      <c r="H4547" s="5">
        <v>851</v>
      </c>
      <c r="I4547" t="s" s="2">
        <v>1139</v>
      </c>
      <c r="J4547" t="s" s="2">
        <v>22</v>
      </c>
      <c r="K4547" t="s" s="2">
        <v>8526</v>
      </c>
      <c r="L4547" t="s" s="2">
        <v>1603</v>
      </c>
      <c r="M4547" s="5">
        <v>560481.5</v>
      </c>
      <c r="N4547" s="5">
        <v>6327779.94</v>
      </c>
      <c r="O4547" t="s" s="2">
        <v>305</v>
      </c>
      <c r="P4547" s="5">
        <v>70089</v>
      </c>
      <c r="Q4547" t="s" s="2">
        <v>8429</v>
      </c>
      <c r="R4547" t="s" s="2">
        <f>_xlfn.IFERROR(INDEX('model_byCAP'!$D$2:$D$377,MATCH(Q4547,'model_byCAP'!$A$2:$A$377,0)),0)</f>
        <v>8430</v>
      </c>
    </row>
    <row r="4548" ht="15.35" customHeight="1">
      <c r="A4548" t="s" s="2">
        <v>8528</v>
      </c>
      <c r="B4548" s="4">
        <v>32357</v>
      </c>
      <c r="C4548" s="5">
        <v>200</v>
      </c>
      <c r="D4548" s="5">
        <v>25</v>
      </c>
      <c r="E4548" s="5">
        <v>30</v>
      </c>
      <c r="F4548" t="s" s="2">
        <v>301</v>
      </c>
      <c r="G4548" t="s" s="2">
        <v>8445</v>
      </c>
      <c r="H4548" s="5">
        <v>860</v>
      </c>
      <c r="I4548" t="s" s="2">
        <v>449</v>
      </c>
      <c r="J4548" t="s" s="2">
        <v>22</v>
      </c>
      <c r="K4548" t="s" s="2">
        <v>8529</v>
      </c>
      <c r="L4548" t="s" s="2">
        <v>8530</v>
      </c>
      <c r="M4548" s="5">
        <v>556805.95</v>
      </c>
      <c r="N4548" s="5">
        <v>6382555.99</v>
      </c>
      <c r="O4548" t="s" s="2">
        <v>305</v>
      </c>
      <c r="P4548" t="s" s="2">
        <v>8531</v>
      </c>
      <c r="Q4548" t="s" s="2">
        <v>8448</v>
      </c>
      <c r="R4548" t="s" s="2">
        <f>_xlfn.IFERROR(INDEX('model_byCAP'!$D$2:$D$377,MATCH(Q4548,'model_byCAP'!$A$2:$A$377,0)),0)</f>
        <v>8029</v>
      </c>
    </row>
    <row r="4549" ht="15.35" customHeight="1">
      <c r="A4549" t="s" s="2">
        <v>8532</v>
      </c>
      <c r="B4549" s="4">
        <v>33203</v>
      </c>
      <c r="C4549" s="5">
        <v>200</v>
      </c>
      <c r="D4549" s="5">
        <v>26</v>
      </c>
      <c r="E4549" s="5">
        <v>29</v>
      </c>
      <c r="F4549" t="s" s="2">
        <v>4038</v>
      </c>
      <c r="G4549" t="s" s="2">
        <v>8427</v>
      </c>
      <c r="H4549" s="5">
        <v>860</v>
      </c>
      <c r="I4549" t="s" s="2">
        <v>449</v>
      </c>
      <c r="J4549" t="s" s="2">
        <v>22</v>
      </c>
      <c r="K4549" t="s" s="2">
        <v>8533</v>
      </c>
      <c r="L4549" t="s" s="2">
        <v>8534</v>
      </c>
      <c r="M4549" s="5">
        <v>578248.84</v>
      </c>
      <c r="N4549" s="5">
        <v>6362457.95</v>
      </c>
      <c r="O4549" t="s" s="2">
        <v>305</v>
      </c>
      <c r="P4549" t="s" s="2">
        <v>8535</v>
      </c>
      <c r="Q4549" t="s" s="2">
        <v>8429</v>
      </c>
      <c r="R4549" t="s" s="2">
        <f>_xlfn.IFERROR(INDEX('model_byCAP'!$D$2:$D$377,MATCH(Q4549,'model_byCAP'!$A$2:$A$377,0)),0)</f>
        <v>8430</v>
      </c>
    </row>
    <row r="4550" ht="15.35" customHeight="1">
      <c r="A4550" t="s" s="2">
        <v>8536</v>
      </c>
      <c r="B4550" s="4">
        <v>32625</v>
      </c>
      <c r="C4550" s="5">
        <v>200</v>
      </c>
      <c r="D4550" s="5">
        <v>25</v>
      </c>
      <c r="E4550" s="5">
        <v>30</v>
      </c>
      <c r="F4550" t="s" s="2">
        <v>301</v>
      </c>
      <c r="G4550" t="s" s="2">
        <v>8445</v>
      </c>
      <c r="H4550" s="5">
        <v>860</v>
      </c>
      <c r="I4550" t="s" s="2">
        <v>449</v>
      </c>
      <c r="J4550" t="s" s="2">
        <v>22</v>
      </c>
      <c r="K4550" t="s" s="2">
        <v>8537</v>
      </c>
      <c r="L4550" t="s" s="2">
        <v>8538</v>
      </c>
      <c r="M4550" s="5">
        <v>546986.49</v>
      </c>
      <c r="N4550" s="5">
        <v>6352573.49</v>
      </c>
      <c r="O4550" t="s" s="2">
        <v>305</v>
      </c>
      <c r="P4550" s="5">
        <v>23102815</v>
      </c>
      <c r="Q4550" t="s" s="2">
        <v>8448</v>
      </c>
      <c r="R4550" t="s" s="2">
        <f>_xlfn.IFERROR(INDEX('model_byCAP'!$D$2:$D$377,MATCH(Q4550,'model_byCAP'!$A$2:$A$377,0)),0)</f>
        <v>8029</v>
      </c>
    </row>
    <row r="4551" ht="15.35" customHeight="1">
      <c r="A4551" t="s" s="2">
        <v>8539</v>
      </c>
      <c r="B4551" s="4">
        <v>32631</v>
      </c>
      <c r="C4551" s="5">
        <v>180</v>
      </c>
      <c r="D4551" s="5">
        <v>23</v>
      </c>
      <c r="E4551" s="5">
        <v>30</v>
      </c>
      <c r="F4551" t="s" s="2">
        <v>8353</v>
      </c>
      <c r="G4551" t="s" s="2">
        <v>8540</v>
      </c>
      <c r="H4551" s="5">
        <v>330</v>
      </c>
      <c r="I4551" t="s" s="2">
        <v>1491</v>
      </c>
      <c r="J4551" t="s" s="2">
        <v>22</v>
      </c>
      <c r="K4551" t="s" s="2">
        <v>8541</v>
      </c>
      <c r="L4551" t="s" s="2">
        <v>394</v>
      </c>
      <c r="M4551" s="5">
        <v>646028.84</v>
      </c>
      <c r="N4551" s="5">
        <v>6142112.97</v>
      </c>
      <c r="O4551" t="s" s="2">
        <v>305</v>
      </c>
      <c r="P4551" s="5">
        <v>40101943</v>
      </c>
      <c r="Q4551" t="s" s="2">
        <v>8542</v>
      </c>
      <c r="R4551" s="5">
        <f>_xlfn.IFERROR(INDEX('model_byCAP'!$D$2:$D$377,MATCH(Q4551,'model_byCAP'!$A$2:$A$377,0)),0)</f>
        <v>0</v>
      </c>
    </row>
    <row r="4552" ht="15.35" customHeight="1">
      <c r="A4552" t="s" s="2">
        <v>8543</v>
      </c>
      <c r="B4552" s="4">
        <v>32378</v>
      </c>
      <c r="C4552" s="5">
        <v>180</v>
      </c>
      <c r="D4552" s="5">
        <v>23</v>
      </c>
      <c r="E4552" s="5">
        <v>30</v>
      </c>
      <c r="F4552" t="s" s="2">
        <v>8353</v>
      </c>
      <c r="G4552" t="s" s="2">
        <v>8544</v>
      </c>
      <c r="H4552" s="5">
        <v>330</v>
      </c>
      <c r="I4552" t="s" s="2">
        <v>1491</v>
      </c>
      <c r="J4552" t="s" s="2">
        <v>22</v>
      </c>
      <c r="K4552" t="s" s="2">
        <v>8545</v>
      </c>
      <c r="L4552" t="s" s="2">
        <v>2931</v>
      </c>
      <c r="M4552" s="5">
        <v>657432.9</v>
      </c>
      <c r="N4552" s="5">
        <v>6137208.81</v>
      </c>
      <c r="O4552" t="s" s="2">
        <v>305</v>
      </c>
      <c r="P4552" s="5">
        <v>164235</v>
      </c>
      <c r="Q4552" t="s" s="2">
        <v>8546</v>
      </c>
      <c r="R4552" s="5">
        <f>_xlfn.IFERROR(INDEX('model_byCAP'!$D$2:$D$377,MATCH(Q4552,'model_byCAP'!$A$2:$A$377,0)),0)</f>
        <v>0</v>
      </c>
    </row>
    <row r="4553" ht="15.35" customHeight="1">
      <c r="A4553" t="s" s="2">
        <v>8547</v>
      </c>
      <c r="B4553" s="4">
        <v>32443</v>
      </c>
      <c r="C4553" s="5">
        <v>180</v>
      </c>
      <c r="D4553" s="5">
        <v>23.2</v>
      </c>
      <c r="E4553" s="5">
        <v>30</v>
      </c>
      <c r="F4553" t="s" s="2">
        <v>8353</v>
      </c>
      <c r="G4553" t="s" s="2">
        <v>8548</v>
      </c>
      <c r="H4553" s="5">
        <v>390</v>
      </c>
      <c r="I4553" t="s" s="2">
        <v>46</v>
      </c>
      <c r="J4553" t="s" s="2">
        <v>22</v>
      </c>
      <c r="K4553" t="s" s="2">
        <v>8549</v>
      </c>
      <c r="L4553" t="s" s="2">
        <v>2931</v>
      </c>
      <c r="M4553" s="5">
        <v>701266.27</v>
      </c>
      <c r="N4553" s="5">
        <v>6108165.79</v>
      </c>
      <c r="O4553" t="s" s="2">
        <v>305</v>
      </c>
      <c r="P4553" s="8">
        <v>165124</v>
      </c>
      <c r="Q4553" t="s" s="2">
        <v>8550</v>
      </c>
      <c r="R4553" s="5">
        <f>_xlfn.IFERROR(INDEX('model_byCAP'!$D$2:$D$377,MATCH(Q4553,'model_byCAP'!$A$2:$A$377,0)),0)</f>
        <v>0</v>
      </c>
    </row>
    <row r="4554" ht="15.35" customHeight="1">
      <c r="A4554" t="s" s="2">
        <v>8551</v>
      </c>
      <c r="B4554" s="4">
        <v>32443</v>
      </c>
      <c r="C4554" s="5">
        <v>180</v>
      </c>
      <c r="D4554" s="5">
        <v>23.2</v>
      </c>
      <c r="E4554" s="5">
        <v>30</v>
      </c>
      <c r="F4554" t="s" s="2">
        <v>8353</v>
      </c>
      <c r="G4554" t="s" s="2">
        <v>8548</v>
      </c>
      <c r="H4554" s="5">
        <v>390</v>
      </c>
      <c r="I4554" t="s" s="2">
        <v>46</v>
      </c>
      <c r="J4554" t="s" s="2">
        <v>22</v>
      </c>
      <c r="K4554" t="s" s="2">
        <v>8549</v>
      </c>
      <c r="L4554" t="s" s="2">
        <v>2931</v>
      </c>
      <c r="M4554" s="5">
        <v>701189.46</v>
      </c>
      <c r="N4554" s="5">
        <v>6108234.79</v>
      </c>
      <c r="O4554" t="s" s="2">
        <v>305</v>
      </c>
      <c r="P4554" s="8">
        <v>165124</v>
      </c>
      <c r="Q4554" t="s" s="2">
        <v>8550</v>
      </c>
      <c r="R4554" s="5">
        <f>_xlfn.IFERROR(INDEX('model_byCAP'!$D$2:$D$377,MATCH(Q4554,'model_byCAP'!$A$2:$A$377,0)),0)</f>
        <v>0</v>
      </c>
    </row>
    <row r="4555" ht="15.35" customHeight="1">
      <c r="A4555" t="s" s="2">
        <v>8552</v>
      </c>
      <c r="B4555" s="4">
        <v>32521</v>
      </c>
      <c r="C4555" s="5">
        <v>180</v>
      </c>
      <c r="D4555" s="5">
        <v>23.2</v>
      </c>
      <c r="E4555" s="5">
        <v>30</v>
      </c>
      <c r="F4555" t="s" s="2">
        <v>4716</v>
      </c>
      <c r="G4555" t="s" s="2">
        <v>8553</v>
      </c>
      <c r="H4555" s="5">
        <v>510</v>
      </c>
      <c r="I4555" t="s" s="2">
        <v>3049</v>
      </c>
      <c r="J4555" t="s" s="2">
        <v>22</v>
      </c>
      <c r="K4555" t="s" s="2">
        <v>8554</v>
      </c>
      <c r="L4555" s="5">
        <v>107</v>
      </c>
      <c r="M4555" s="5">
        <v>503666.62</v>
      </c>
      <c r="N4555" s="5">
        <v>6121491.01</v>
      </c>
      <c r="O4555" t="s" s="2">
        <v>305</v>
      </c>
      <c r="P4555" s="5">
        <v>21347</v>
      </c>
      <c r="Q4555" t="s" s="2">
        <v>8555</v>
      </c>
      <c r="R4555" t="s" s="2">
        <f>_xlfn.IFERROR(INDEX('model_byCAP'!$D$2:$D$377,MATCH(Q4555,'model_byCAP'!$A$2:$A$377,0)),0)</f>
        <v>8049</v>
      </c>
    </row>
    <row r="4556" ht="15.35" customHeight="1">
      <c r="A4556" t="s" s="2">
        <v>8556</v>
      </c>
      <c r="B4556" s="4">
        <v>32680</v>
      </c>
      <c r="C4556" s="5">
        <v>180</v>
      </c>
      <c r="D4556" s="5">
        <v>23.2</v>
      </c>
      <c r="E4556" s="5">
        <v>30</v>
      </c>
      <c r="F4556" t="s" s="2">
        <v>4716</v>
      </c>
      <c r="G4556" t="s" s="2">
        <v>8553</v>
      </c>
      <c r="H4556" s="5">
        <v>510</v>
      </c>
      <c r="I4556" t="s" s="2">
        <v>3049</v>
      </c>
      <c r="J4556" t="s" s="2">
        <v>22</v>
      </c>
      <c r="K4556" t="s" s="2">
        <v>8554</v>
      </c>
      <c r="L4556" s="5">
        <v>107</v>
      </c>
      <c r="M4556" s="5">
        <v>503652.63</v>
      </c>
      <c r="N4556" s="5">
        <v>6121605.93</v>
      </c>
      <c r="O4556" t="s" s="2">
        <v>305</v>
      </c>
      <c r="P4556" s="5">
        <v>21453</v>
      </c>
      <c r="Q4556" t="s" s="2">
        <v>8555</v>
      </c>
      <c r="R4556" t="s" s="2">
        <f>_xlfn.IFERROR(INDEX('model_byCAP'!$D$2:$D$377,MATCH(Q4556,'model_byCAP'!$A$2:$A$377,0)),0)</f>
        <v>8049</v>
      </c>
    </row>
    <row r="4557" ht="15.35" customHeight="1">
      <c r="A4557" t="s" s="2">
        <v>8557</v>
      </c>
      <c r="B4557" s="4">
        <v>32498</v>
      </c>
      <c r="C4557" s="5">
        <v>180</v>
      </c>
      <c r="D4557" s="5">
        <v>23.2</v>
      </c>
      <c r="E4557" s="5">
        <v>30</v>
      </c>
      <c r="F4557" t="s" s="2">
        <v>4716</v>
      </c>
      <c r="G4557" t="s" s="2">
        <v>8553</v>
      </c>
      <c r="H4557" s="5">
        <v>550</v>
      </c>
      <c r="I4557" t="s" s="2">
        <v>526</v>
      </c>
      <c r="J4557" t="s" s="2">
        <v>22</v>
      </c>
      <c r="K4557" t="s" s="2">
        <v>6447</v>
      </c>
      <c r="L4557" s="5">
        <v>136</v>
      </c>
      <c r="M4557" s="5">
        <v>504689.13</v>
      </c>
      <c r="N4557" s="5">
        <v>6121416.55</v>
      </c>
      <c r="O4557" t="s" s="2">
        <v>305</v>
      </c>
      <c r="P4557" s="5">
        <v>21345</v>
      </c>
      <c r="Q4557" t="s" s="2">
        <v>8555</v>
      </c>
      <c r="R4557" t="s" s="2">
        <f>_xlfn.IFERROR(INDEX('model_byCAP'!$D$2:$D$377,MATCH(Q4557,'model_byCAP'!$A$2:$A$377,0)),0)</f>
        <v>8049</v>
      </c>
    </row>
    <row r="4558" ht="15.35" customHeight="1">
      <c r="A4558" t="s" s="2">
        <v>8558</v>
      </c>
      <c r="B4558" s="4">
        <v>32765</v>
      </c>
      <c r="C4558" s="5">
        <v>180</v>
      </c>
      <c r="D4558" s="5">
        <v>23.2</v>
      </c>
      <c r="E4558" s="5">
        <v>30</v>
      </c>
      <c r="F4558" t="s" s="2">
        <v>4716</v>
      </c>
      <c r="G4558" t="s" s="2">
        <v>8553</v>
      </c>
      <c r="H4558" s="5">
        <v>550</v>
      </c>
      <c r="I4558" t="s" s="2">
        <v>526</v>
      </c>
      <c r="J4558" t="s" s="2">
        <v>22</v>
      </c>
      <c r="K4558" t="s" s="2">
        <v>6447</v>
      </c>
      <c r="L4558" s="5">
        <v>136</v>
      </c>
      <c r="M4558" s="5">
        <v>504732.38</v>
      </c>
      <c r="N4558" s="5">
        <v>6121329.5</v>
      </c>
      <c r="O4558" t="s" s="2">
        <v>305</v>
      </c>
      <c r="P4558" s="5">
        <v>21455</v>
      </c>
      <c r="Q4558" t="s" s="2">
        <v>8555</v>
      </c>
      <c r="R4558" t="s" s="2">
        <f>_xlfn.IFERROR(INDEX('model_byCAP'!$D$2:$D$377,MATCH(Q4558,'model_byCAP'!$A$2:$A$377,0)),0)</f>
        <v>8049</v>
      </c>
    </row>
    <row r="4559" ht="15.35" customHeight="1">
      <c r="A4559" t="s" s="2">
        <v>8559</v>
      </c>
      <c r="B4559" s="4">
        <v>32174</v>
      </c>
      <c r="C4559" s="5">
        <v>180</v>
      </c>
      <c r="D4559" s="5">
        <v>23.2</v>
      </c>
      <c r="E4559" s="5">
        <v>30</v>
      </c>
      <c r="F4559" t="s" s="2">
        <v>8353</v>
      </c>
      <c r="G4559" t="s" s="2">
        <v>8560</v>
      </c>
      <c r="H4559" s="5">
        <v>550</v>
      </c>
      <c r="I4559" t="s" s="2">
        <v>526</v>
      </c>
      <c r="J4559" t="s" s="2">
        <v>22</v>
      </c>
      <c r="K4559" t="s" s="2">
        <v>5474</v>
      </c>
      <c r="L4559" s="5">
        <v>115</v>
      </c>
      <c r="M4559" s="5">
        <v>484025.91</v>
      </c>
      <c r="N4559" s="5">
        <v>6106207.23</v>
      </c>
      <c r="O4559" t="s" s="2">
        <v>305</v>
      </c>
      <c r="P4559" s="5">
        <v>66928</v>
      </c>
      <c r="Q4559" t="s" s="2">
        <v>8561</v>
      </c>
      <c r="R4559" s="5">
        <f>_xlfn.IFERROR(INDEX('model_byCAP'!$D$2:$D$377,MATCH(Q4559,'model_byCAP'!$A$2:$A$377,0)),0)</f>
        <v>0</v>
      </c>
    </row>
    <row r="4560" ht="15.35" customHeight="1">
      <c r="A4560" t="s" s="2">
        <v>8562</v>
      </c>
      <c r="B4560" s="4">
        <v>32528</v>
      </c>
      <c r="C4560" s="5">
        <v>180</v>
      </c>
      <c r="D4560" s="5">
        <v>23.2</v>
      </c>
      <c r="E4560" s="5">
        <v>30</v>
      </c>
      <c r="F4560" t="s" s="2">
        <v>42</v>
      </c>
      <c r="G4560" t="s" s="2">
        <v>42</v>
      </c>
      <c r="H4560" s="5">
        <v>253</v>
      </c>
      <c r="I4560" t="s" s="2">
        <v>7927</v>
      </c>
      <c r="J4560" t="s" s="2">
        <v>22</v>
      </c>
      <c r="K4560" t="s" s="2">
        <v>7928</v>
      </c>
      <c r="L4560" t="s" s="2">
        <v>937</v>
      </c>
      <c r="M4560" s="5">
        <v>701442.96</v>
      </c>
      <c r="N4560" s="5">
        <v>6163407.08</v>
      </c>
      <c r="O4560" t="s" s="2">
        <v>305</v>
      </c>
      <c r="P4560" t="s" s="2">
        <v>8563</v>
      </c>
      <c r="Q4560" t="s" s="2">
        <v>43</v>
      </c>
      <c r="R4560" s="5">
        <f>_xlfn.IFERROR(INDEX('model_byCAP'!$D$2:$D$377,MATCH(Q4560,'model_byCAP'!$A$2:$A$377,0)),0)</f>
        <v>0</v>
      </c>
    </row>
    <row r="4561" ht="15.35" customHeight="1">
      <c r="A4561" t="s" s="2">
        <v>8564</v>
      </c>
      <c r="B4561" s="4">
        <v>32528</v>
      </c>
      <c r="C4561" s="5">
        <v>180</v>
      </c>
      <c r="D4561" s="5">
        <v>23.2</v>
      </c>
      <c r="E4561" s="5">
        <v>30</v>
      </c>
      <c r="F4561" t="s" s="2">
        <v>42</v>
      </c>
      <c r="G4561" t="s" s="2">
        <v>42</v>
      </c>
      <c r="H4561" s="5">
        <v>253</v>
      </c>
      <c r="I4561" t="s" s="2">
        <v>7927</v>
      </c>
      <c r="J4561" t="s" s="2">
        <v>22</v>
      </c>
      <c r="K4561" t="s" s="2">
        <v>7928</v>
      </c>
      <c r="L4561" t="s" s="2">
        <v>937</v>
      </c>
      <c r="M4561" s="5">
        <v>701470.72</v>
      </c>
      <c r="N4561" s="5">
        <v>6163554.46</v>
      </c>
      <c r="O4561" t="s" s="2">
        <v>305</v>
      </c>
      <c r="P4561" t="s" s="2">
        <v>8565</v>
      </c>
      <c r="Q4561" t="s" s="2">
        <v>43</v>
      </c>
      <c r="R4561" s="5">
        <f>_xlfn.IFERROR(INDEX('model_byCAP'!$D$2:$D$377,MATCH(Q4561,'model_byCAP'!$A$2:$A$377,0)),0)</f>
        <v>0</v>
      </c>
    </row>
    <row r="4562" ht="15.35" customHeight="1">
      <c r="A4562" t="s" s="2">
        <v>8566</v>
      </c>
      <c r="B4562" s="4">
        <v>32447</v>
      </c>
      <c r="C4562" s="5">
        <v>180</v>
      </c>
      <c r="D4562" s="5">
        <v>25</v>
      </c>
      <c r="E4562" s="5">
        <v>30</v>
      </c>
      <c r="F4562" t="s" s="2">
        <v>42</v>
      </c>
      <c r="G4562" t="s" s="2">
        <v>42</v>
      </c>
      <c r="H4562" s="5">
        <v>306</v>
      </c>
      <c r="I4562" t="s" s="2">
        <v>5800</v>
      </c>
      <c r="J4562" t="s" s="2">
        <v>22</v>
      </c>
      <c r="K4562" t="s" s="2">
        <v>5803</v>
      </c>
      <c r="L4562" t="s" s="2">
        <v>1608</v>
      </c>
      <c r="M4562" s="5">
        <v>666125.74</v>
      </c>
      <c r="N4562" s="5">
        <v>6190711.85</v>
      </c>
      <c r="O4562" t="s" s="2">
        <v>305</v>
      </c>
      <c r="P4562" s="5">
        <v>40132526</v>
      </c>
      <c r="Q4562" t="s" s="2">
        <v>43</v>
      </c>
      <c r="R4562" s="5">
        <f>_xlfn.IFERROR(INDEX('model_byCAP'!$D$2:$D$377,MATCH(Q4562,'model_byCAP'!$A$2:$A$377,0)),0)</f>
        <v>0</v>
      </c>
    </row>
    <row r="4563" ht="15.35" customHeight="1">
      <c r="A4563" t="s" s="2">
        <v>8567</v>
      </c>
      <c r="B4563" s="4">
        <v>32203</v>
      </c>
      <c r="C4563" s="5">
        <v>180</v>
      </c>
      <c r="D4563" s="5">
        <v>23.2</v>
      </c>
      <c r="E4563" s="5">
        <v>30</v>
      </c>
      <c r="F4563" t="s" s="2">
        <v>42</v>
      </c>
      <c r="G4563" t="s" s="2">
        <v>42</v>
      </c>
      <c r="H4563" s="5">
        <v>825</v>
      </c>
      <c r="I4563" t="s" s="2">
        <v>8568</v>
      </c>
      <c r="J4563" t="s" s="2">
        <v>22</v>
      </c>
      <c r="K4563" t="s" s="2">
        <v>8569</v>
      </c>
      <c r="L4563" t="s" s="2">
        <v>8570</v>
      </c>
      <c r="M4563" s="5">
        <v>614432.37</v>
      </c>
      <c r="N4563" s="5">
        <v>6348332.43</v>
      </c>
      <c r="O4563" t="s" s="2">
        <v>305</v>
      </c>
      <c r="P4563" t="s" s="2">
        <v>8571</v>
      </c>
      <c r="Q4563" t="s" s="2">
        <v>43</v>
      </c>
      <c r="R4563" s="5">
        <f>_xlfn.IFERROR(INDEX('model_byCAP'!$D$2:$D$377,MATCH(Q4563,'model_byCAP'!$A$2:$A$377,0)),0)</f>
        <v>0</v>
      </c>
    </row>
    <row r="4564" ht="15.35" customHeight="1">
      <c r="A4564" t="s" s="2">
        <v>8572</v>
      </c>
      <c r="B4564" s="4">
        <v>32835</v>
      </c>
      <c r="C4564" s="5">
        <v>175</v>
      </c>
      <c r="D4564" s="5">
        <v>25</v>
      </c>
      <c r="E4564" s="5">
        <v>30</v>
      </c>
      <c r="F4564" t="s" s="2">
        <v>301</v>
      </c>
      <c r="G4564" t="s" s="2">
        <v>8079</v>
      </c>
      <c r="H4564" s="5">
        <v>779</v>
      </c>
      <c r="I4564" t="s" s="2">
        <v>1308</v>
      </c>
      <c r="J4564" t="s" s="2">
        <v>22</v>
      </c>
      <c r="K4564" t="s" s="2">
        <v>8573</v>
      </c>
      <c r="L4564" t="s" s="2">
        <v>8574</v>
      </c>
      <c r="M4564" s="5">
        <v>504687.19</v>
      </c>
      <c r="N4564" s="5">
        <v>6280758.82</v>
      </c>
      <c r="O4564" t="s" s="2">
        <v>305</v>
      </c>
      <c r="P4564" s="5">
        <v>2050133</v>
      </c>
      <c r="Q4564" t="s" s="2">
        <v>8081</v>
      </c>
      <c r="R4564" t="s" s="2">
        <f>_xlfn.IFERROR(INDEX('model_byCAP'!$D$2:$D$377,MATCH(Q4564,'model_byCAP'!$A$2:$A$377,0)),0)</f>
        <v>8082</v>
      </c>
    </row>
    <row r="4565" ht="15.35" customHeight="1">
      <c r="A4565" t="s" s="2">
        <v>8575</v>
      </c>
      <c r="B4565" s="4">
        <v>33654</v>
      </c>
      <c r="C4565" s="5">
        <v>175</v>
      </c>
      <c r="D4565" s="5">
        <v>27</v>
      </c>
      <c r="E4565" s="5">
        <v>31.5</v>
      </c>
      <c r="F4565" t="s" s="2">
        <v>301</v>
      </c>
      <c r="G4565" t="s" s="2">
        <v>8079</v>
      </c>
      <c r="H4565" s="5">
        <v>779</v>
      </c>
      <c r="I4565" t="s" s="2">
        <v>1308</v>
      </c>
      <c r="J4565" t="s" s="2">
        <v>22</v>
      </c>
      <c r="K4565" t="s" s="2">
        <v>8576</v>
      </c>
      <c r="L4565" t="s" s="2">
        <v>969</v>
      </c>
      <c r="M4565" s="5">
        <v>500335.89</v>
      </c>
      <c r="N4565" s="5">
        <v>6284352.21</v>
      </c>
      <c r="O4565" t="s" s="2">
        <v>305</v>
      </c>
      <c r="P4565" s="5">
        <v>2050180</v>
      </c>
      <c r="Q4565" t="s" s="2">
        <v>8081</v>
      </c>
      <c r="R4565" t="s" s="2">
        <f>_xlfn.IFERROR(INDEX('model_byCAP'!$D$2:$D$377,MATCH(Q4565,'model_byCAP'!$A$2:$A$377,0)),0)</f>
        <v>8082</v>
      </c>
    </row>
    <row r="4566" ht="15.35" customHeight="1">
      <c r="A4566" t="s" s="2">
        <v>8577</v>
      </c>
      <c r="B4566" s="4">
        <v>33778</v>
      </c>
      <c r="C4566" s="5">
        <v>175</v>
      </c>
      <c r="D4566" s="5">
        <v>27</v>
      </c>
      <c r="E4566" s="5">
        <v>31.5</v>
      </c>
      <c r="F4566" t="s" s="2">
        <v>301</v>
      </c>
      <c r="G4566" t="s" s="2">
        <v>8079</v>
      </c>
      <c r="H4566" s="5">
        <v>779</v>
      </c>
      <c r="I4566" t="s" s="2">
        <v>1308</v>
      </c>
      <c r="J4566" t="s" s="2">
        <v>22</v>
      </c>
      <c r="K4566" t="s" s="2">
        <v>8578</v>
      </c>
      <c r="L4566" t="s" s="2">
        <v>8574</v>
      </c>
      <c r="M4566" s="5">
        <v>506273.01</v>
      </c>
      <c r="N4566" s="5">
        <v>6291522.19</v>
      </c>
      <c r="O4566" t="s" s="2">
        <v>305</v>
      </c>
      <c r="P4566" s="5">
        <v>2050198</v>
      </c>
      <c r="Q4566" t="s" s="2">
        <v>8081</v>
      </c>
      <c r="R4566" t="s" s="2">
        <f>_xlfn.IFERROR(INDEX('model_byCAP'!$D$2:$D$377,MATCH(Q4566,'model_byCAP'!$A$2:$A$377,0)),0)</f>
        <v>8082</v>
      </c>
    </row>
    <row r="4567" ht="15.35" customHeight="1">
      <c r="A4567" t="s" s="2">
        <v>8579</v>
      </c>
      <c r="B4567" s="4">
        <v>32680</v>
      </c>
      <c r="C4567" s="5">
        <v>175</v>
      </c>
      <c r="D4567" s="5">
        <v>22.2</v>
      </c>
      <c r="E4567" s="5">
        <v>30.7</v>
      </c>
      <c r="F4567" t="s" s="2">
        <v>8580</v>
      </c>
      <c r="G4567" t="s" s="2">
        <v>8581</v>
      </c>
      <c r="H4567" s="5">
        <v>846</v>
      </c>
      <c r="I4567" t="s" s="2">
        <v>429</v>
      </c>
      <c r="J4567" t="s" s="2">
        <v>22</v>
      </c>
      <c r="K4567" t="s" s="2">
        <v>8582</v>
      </c>
      <c r="L4567" t="s" s="2">
        <v>500</v>
      </c>
      <c r="M4567" s="5">
        <v>554634.6</v>
      </c>
      <c r="N4567" s="5">
        <v>6280391.35</v>
      </c>
      <c r="O4567" t="s" s="2">
        <v>305</v>
      </c>
      <c r="P4567" s="5">
        <v>202</v>
      </c>
      <c r="Q4567" t="s" s="2">
        <v>8583</v>
      </c>
      <c r="R4567" s="5">
        <f>_xlfn.IFERROR(INDEX('model_byCAP'!$D$2:$D$377,MATCH(Q4567,'model_byCAP'!$A$2:$A$377,0)),0)</f>
        <v>0</v>
      </c>
    </row>
    <row r="4568" ht="15.35" customHeight="1">
      <c r="A4568" t="s" s="2">
        <v>8584</v>
      </c>
      <c r="B4568" s="4">
        <v>32239</v>
      </c>
      <c r="C4568" s="5">
        <v>175</v>
      </c>
      <c r="D4568" s="5">
        <v>23.5</v>
      </c>
      <c r="E4568" s="5">
        <v>29</v>
      </c>
      <c r="F4568" t="s" s="2">
        <v>8580</v>
      </c>
      <c r="G4568" t="s" s="2">
        <v>8585</v>
      </c>
      <c r="H4568" s="5">
        <v>849</v>
      </c>
      <c r="I4568" t="s" s="2">
        <v>411</v>
      </c>
      <c r="J4568" t="s" s="2">
        <v>22</v>
      </c>
      <c r="K4568" t="s" s="2">
        <v>8586</v>
      </c>
      <c r="L4568" t="s" s="2">
        <v>2809</v>
      </c>
      <c r="M4568" s="5">
        <v>537196.63</v>
      </c>
      <c r="N4568" s="5">
        <v>6323568.92</v>
      </c>
      <c r="O4568" t="s" s="2">
        <v>305</v>
      </c>
      <c r="P4568" t="s" s="2">
        <v>8587</v>
      </c>
      <c r="Q4568" t="s" s="2">
        <v>8588</v>
      </c>
      <c r="R4568" s="5">
        <f>_xlfn.IFERROR(INDEX('model_byCAP'!$D$2:$D$377,MATCH(Q4568,'model_byCAP'!$A$2:$A$377,0)),0)</f>
        <v>0</v>
      </c>
    </row>
    <row r="4569" ht="15.35" customHeight="1">
      <c r="A4569" t="s" s="2">
        <v>8589</v>
      </c>
      <c r="B4569" s="4">
        <v>32239</v>
      </c>
      <c r="C4569" s="5">
        <v>175</v>
      </c>
      <c r="D4569" s="5">
        <v>23.5</v>
      </c>
      <c r="E4569" s="5">
        <v>29</v>
      </c>
      <c r="F4569" t="s" s="2">
        <v>8580</v>
      </c>
      <c r="G4569" t="s" s="2">
        <v>8585</v>
      </c>
      <c r="H4569" s="5">
        <v>849</v>
      </c>
      <c r="I4569" t="s" s="2">
        <v>411</v>
      </c>
      <c r="J4569" t="s" s="2">
        <v>22</v>
      </c>
      <c r="K4569" t="s" s="2">
        <v>8586</v>
      </c>
      <c r="L4569" t="s" s="2">
        <v>2809</v>
      </c>
      <c r="M4569" s="5">
        <v>537281.17</v>
      </c>
      <c r="N4569" s="5">
        <v>6323476.87</v>
      </c>
      <c r="O4569" t="s" s="2">
        <v>305</v>
      </c>
      <c r="P4569" t="s" s="2">
        <v>8590</v>
      </c>
      <c r="Q4569" t="s" s="2">
        <v>8588</v>
      </c>
      <c r="R4569" s="5">
        <f>_xlfn.IFERROR(INDEX('model_byCAP'!$D$2:$D$377,MATCH(Q4569,'model_byCAP'!$A$2:$A$377,0)),0)</f>
        <v>0</v>
      </c>
    </row>
    <row r="4570" ht="15.35" customHeight="1">
      <c r="A4570" t="s" s="2">
        <v>8591</v>
      </c>
      <c r="B4570" s="4">
        <v>32863</v>
      </c>
      <c r="C4570" s="5">
        <v>160</v>
      </c>
      <c r="D4570" s="5">
        <v>23</v>
      </c>
      <c r="E4570" s="5">
        <v>30</v>
      </c>
      <c r="F4570" t="s" s="2">
        <v>4716</v>
      </c>
      <c r="G4570" t="s" s="2">
        <v>8423</v>
      </c>
      <c r="H4570" s="5">
        <v>330</v>
      </c>
      <c r="I4570" t="s" s="2">
        <v>1491</v>
      </c>
      <c r="J4570" t="s" s="2">
        <v>22</v>
      </c>
      <c r="K4570" t="s" s="2">
        <v>8424</v>
      </c>
      <c r="L4570" t="s" s="2">
        <v>6935</v>
      </c>
      <c r="M4570" s="5">
        <v>642373.6800000001</v>
      </c>
      <c r="N4570" s="5">
        <v>6139971.77</v>
      </c>
      <c r="O4570" t="s" s="2">
        <v>305</v>
      </c>
      <c r="P4570" t="s" s="2">
        <v>8592</v>
      </c>
      <c r="Q4570" t="s" s="2">
        <v>8425</v>
      </c>
      <c r="R4570" t="s" s="2">
        <f>_xlfn.IFERROR(INDEX('model_byCAP'!$D$2:$D$377,MATCH(Q4570,'model_byCAP'!$A$2:$A$377,0)),0)</f>
        <v>8049</v>
      </c>
    </row>
    <row r="4571" ht="15.35" customHeight="1">
      <c r="A4571" t="s" s="2">
        <v>8593</v>
      </c>
      <c r="B4571" s="4">
        <v>32139</v>
      </c>
      <c r="C4571" s="5">
        <v>160</v>
      </c>
      <c r="D4571" s="5">
        <v>23.2</v>
      </c>
      <c r="E4571" s="5">
        <v>30</v>
      </c>
      <c r="F4571" t="s" s="2">
        <v>4716</v>
      </c>
      <c r="G4571" t="s" s="2">
        <v>8594</v>
      </c>
      <c r="H4571" s="5">
        <v>510</v>
      </c>
      <c r="I4571" t="s" s="2">
        <v>3049</v>
      </c>
      <c r="J4571" t="s" s="2">
        <v>22</v>
      </c>
      <c r="K4571" t="s" s="2">
        <v>8595</v>
      </c>
      <c r="L4571" s="5">
        <v>160</v>
      </c>
      <c r="M4571" s="5">
        <v>504848.81</v>
      </c>
      <c r="N4571" s="5">
        <v>6121853.76</v>
      </c>
      <c r="O4571" t="s" s="2">
        <v>305</v>
      </c>
      <c r="P4571" s="5">
        <v>21074</v>
      </c>
      <c r="Q4571" t="s" s="2">
        <v>8596</v>
      </c>
      <c r="R4571" t="s" s="2">
        <f>_xlfn.IFERROR(INDEX('model_byCAP'!$D$2:$D$377,MATCH(Q4571,'model_byCAP'!$A$2:$A$377,0)),0)</f>
        <v>8049</v>
      </c>
    </row>
    <row r="4572" ht="15.35" customHeight="1">
      <c r="A4572" t="s" s="2">
        <v>8597</v>
      </c>
      <c r="B4572" s="4">
        <v>32665</v>
      </c>
      <c r="C4572" s="5">
        <v>160</v>
      </c>
      <c r="D4572" s="5">
        <v>23.6</v>
      </c>
      <c r="E4572" s="5">
        <v>30.6</v>
      </c>
      <c r="F4572" t="s" s="2">
        <v>8580</v>
      </c>
      <c r="G4572" s="5">
        <v>175</v>
      </c>
      <c r="H4572" s="5">
        <v>550</v>
      </c>
      <c r="I4572" t="s" s="2">
        <v>526</v>
      </c>
      <c r="J4572" t="s" s="2">
        <v>22</v>
      </c>
      <c r="K4572" t="s" s="2">
        <v>5474</v>
      </c>
      <c r="L4572" s="5">
        <v>201</v>
      </c>
      <c r="M4572" s="5">
        <v>484109.78</v>
      </c>
      <c r="N4572" s="5">
        <v>6106135.88</v>
      </c>
      <c r="O4572" t="s" s="2">
        <v>305</v>
      </c>
      <c r="P4572" s="5">
        <v>30535</v>
      </c>
      <c r="Q4572" t="s" s="2">
        <v>8598</v>
      </c>
      <c r="R4572" s="5">
        <f>_xlfn.IFERROR(INDEX('model_byCAP'!$D$2:$D$377,MATCH(Q4572,'model_byCAP'!$A$2:$A$377,0)),0)</f>
        <v>0</v>
      </c>
    </row>
    <row r="4573" ht="15.35" customHeight="1">
      <c r="A4573" t="s" s="2">
        <v>8599</v>
      </c>
      <c r="B4573" s="4">
        <v>33339</v>
      </c>
      <c r="C4573" s="5">
        <v>160</v>
      </c>
      <c r="D4573" s="5">
        <v>24.6</v>
      </c>
      <c r="E4573" s="5">
        <v>32.7</v>
      </c>
      <c r="F4573" t="s" s="2">
        <v>42</v>
      </c>
      <c r="G4573" t="s" s="2">
        <v>42</v>
      </c>
      <c r="H4573" s="5">
        <v>707</v>
      </c>
      <c r="I4573" t="s" s="2">
        <v>616</v>
      </c>
      <c r="J4573" t="s" s="2">
        <v>22</v>
      </c>
      <c r="K4573" t="s" s="2">
        <v>8600</v>
      </c>
      <c r="L4573" t="s" s="2">
        <v>3312</v>
      </c>
      <c r="M4573" s="5">
        <v>616984.3100000001</v>
      </c>
      <c r="N4573" s="5">
        <v>6255887.56</v>
      </c>
      <c r="O4573" t="s" s="2">
        <v>305</v>
      </c>
      <c r="P4573" s="5">
        <v>258623</v>
      </c>
      <c r="Q4573" t="s" s="2">
        <v>43</v>
      </c>
      <c r="R4573" s="5">
        <f>_xlfn.IFERROR(INDEX('model_byCAP'!$D$2:$D$377,MATCH(Q4573,'model_byCAP'!$A$2:$A$377,0)),0)</f>
        <v>0</v>
      </c>
    </row>
    <row r="4574" ht="15.35" customHeight="1">
      <c r="A4574" t="s" s="2">
        <v>8601</v>
      </c>
      <c r="B4574" s="4">
        <v>32640</v>
      </c>
      <c r="C4574" s="5">
        <v>160</v>
      </c>
      <c r="D4574" s="5">
        <v>23</v>
      </c>
      <c r="E4574" s="5">
        <v>30</v>
      </c>
      <c r="F4574" t="s" s="2">
        <v>4716</v>
      </c>
      <c r="G4574" t="s" s="2">
        <v>8602</v>
      </c>
      <c r="H4574" s="5">
        <v>810</v>
      </c>
      <c r="I4574" t="s" s="2">
        <v>1102</v>
      </c>
      <c r="J4574" t="s" s="2">
        <v>22</v>
      </c>
      <c r="K4574" t="s" s="2">
        <v>8603</v>
      </c>
      <c r="L4574" t="s" s="2">
        <v>8604</v>
      </c>
      <c r="M4574" s="5">
        <v>577082.08</v>
      </c>
      <c r="N4574" s="5">
        <v>6330491.8</v>
      </c>
      <c r="O4574" t="s" s="2">
        <v>305</v>
      </c>
      <c r="P4574" t="s" s="2">
        <v>8605</v>
      </c>
      <c r="Q4574" t="s" s="2">
        <v>8606</v>
      </c>
      <c r="R4574" t="s" s="2">
        <f>_xlfn.IFERROR(INDEX('model_byCAP'!$D$2:$D$377,MATCH(Q4574,'model_byCAP'!$A$2:$A$377,0)),0)</f>
        <v>8049</v>
      </c>
    </row>
    <row r="4575" ht="15.35" customHeight="1">
      <c r="A4575" t="s" s="2">
        <v>8607</v>
      </c>
      <c r="B4575" s="4">
        <v>32231</v>
      </c>
      <c r="C4575" s="5">
        <v>150</v>
      </c>
      <c r="D4575" s="5">
        <v>24</v>
      </c>
      <c r="E4575" s="5">
        <v>30</v>
      </c>
      <c r="F4575" t="s" s="2">
        <v>42</v>
      </c>
      <c r="G4575" t="s" s="2">
        <v>42</v>
      </c>
      <c r="H4575" s="5">
        <v>316</v>
      </c>
      <c r="I4575" t="s" s="2">
        <v>1769</v>
      </c>
      <c r="J4575" t="s" s="2">
        <v>22</v>
      </c>
      <c r="K4575" t="s" s="2">
        <v>8608</v>
      </c>
      <c r="L4575" t="s" s="2">
        <v>6935</v>
      </c>
      <c r="M4575" s="5">
        <v>669559.36</v>
      </c>
      <c r="N4575" s="5">
        <v>6181018.78</v>
      </c>
      <c r="O4575" t="s" s="2">
        <v>305</v>
      </c>
      <c r="P4575" s="5">
        <v>40055645</v>
      </c>
      <c r="Q4575" t="s" s="2">
        <v>43</v>
      </c>
      <c r="R4575" s="5">
        <f>_xlfn.IFERROR(INDEX('model_byCAP'!$D$2:$D$377,MATCH(Q4575,'model_byCAP'!$A$2:$A$377,0)),0)</f>
        <v>0</v>
      </c>
    </row>
    <row r="4576" ht="15.35" customHeight="1">
      <c r="A4576" t="s" s="2">
        <v>8609</v>
      </c>
      <c r="B4576" s="4">
        <v>32829</v>
      </c>
      <c r="C4576" s="5">
        <v>150</v>
      </c>
      <c r="D4576" s="5">
        <v>24</v>
      </c>
      <c r="E4576" s="5">
        <v>30</v>
      </c>
      <c r="F4576" t="s" s="2">
        <v>42</v>
      </c>
      <c r="G4576" t="s" s="2">
        <v>42</v>
      </c>
      <c r="H4576" s="5">
        <v>316</v>
      </c>
      <c r="I4576" t="s" s="2">
        <v>1769</v>
      </c>
      <c r="J4576" t="s" s="2">
        <v>22</v>
      </c>
      <c r="K4576" t="s" s="2">
        <v>8610</v>
      </c>
      <c r="L4576" s="5">
        <v>3</v>
      </c>
      <c r="M4576" s="5">
        <v>667357.52</v>
      </c>
      <c r="N4576" s="5">
        <v>6184191.45</v>
      </c>
      <c r="O4576" t="s" s="2">
        <v>305</v>
      </c>
      <c r="P4576" s="5">
        <v>40055693</v>
      </c>
      <c r="Q4576" t="s" s="2">
        <v>43</v>
      </c>
      <c r="R4576" s="5">
        <f>_xlfn.IFERROR(INDEX('model_byCAP'!$D$2:$D$377,MATCH(Q4576,'model_byCAP'!$A$2:$A$377,0)),0)</f>
        <v>0</v>
      </c>
    </row>
    <row r="4577" ht="15.35" customHeight="1">
      <c r="A4577" t="s" s="2">
        <v>8611</v>
      </c>
      <c r="B4577" s="4">
        <v>32232</v>
      </c>
      <c r="C4577" s="5">
        <v>150</v>
      </c>
      <c r="D4577" s="5">
        <v>21.8</v>
      </c>
      <c r="E4577" s="5">
        <v>26</v>
      </c>
      <c r="F4577" t="s" s="2">
        <v>42</v>
      </c>
      <c r="G4577" t="s" s="2">
        <v>42</v>
      </c>
      <c r="H4577" s="5">
        <v>316</v>
      </c>
      <c r="I4577" t="s" s="2">
        <v>1769</v>
      </c>
      <c r="J4577" t="s" s="2">
        <v>22</v>
      </c>
      <c r="K4577" t="s" s="2">
        <v>8608</v>
      </c>
      <c r="L4577" t="s" s="2">
        <v>492</v>
      </c>
      <c r="M4577" s="5">
        <v>669399.5</v>
      </c>
      <c r="N4577" s="5">
        <v>6180971.94</v>
      </c>
      <c r="O4577" t="s" s="2">
        <v>305</v>
      </c>
      <c r="P4577" s="5">
        <v>40055767</v>
      </c>
      <c r="Q4577" t="s" s="2">
        <v>43</v>
      </c>
      <c r="R4577" s="5">
        <f>_xlfn.IFERROR(INDEX('model_byCAP'!$D$2:$D$377,MATCH(Q4577,'model_byCAP'!$A$2:$A$377,0)),0)</f>
        <v>0</v>
      </c>
    </row>
    <row r="4578" ht="15.35" customHeight="1">
      <c r="A4578" t="s" s="2">
        <v>8612</v>
      </c>
      <c r="B4578" s="4">
        <v>34089</v>
      </c>
      <c r="C4578" s="5">
        <v>150</v>
      </c>
      <c r="D4578" s="5">
        <v>24.6</v>
      </c>
      <c r="E4578" s="5">
        <v>32.5</v>
      </c>
      <c r="F4578" t="s" s="2">
        <v>8613</v>
      </c>
      <c r="G4578" t="s" s="2">
        <v>8614</v>
      </c>
      <c r="H4578" s="5">
        <v>316</v>
      </c>
      <c r="I4578" t="s" s="2">
        <v>1769</v>
      </c>
      <c r="J4578" t="s" s="2">
        <v>22</v>
      </c>
      <c r="K4578" t="s" s="2">
        <v>8615</v>
      </c>
      <c r="L4578" t="s" s="2">
        <v>2348</v>
      </c>
      <c r="M4578" s="5">
        <v>668333.14</v>
      </c>
      <c r="N4578" s="5">
        <v>6163177.44</v>
      </c>
      <c r="O4578" t="s" s="2">
        <v>305</v>
      </c>
      <c r="P4578" s="5">
        <v>40108911</v>
      </c>
      <c r="Q4578" t="s" s="2">
        <v>8616</v>
      </c>
      <c r="R4578" t="s" s="2">
        <f>_xlfn.IFERROR(INDEX('model_byCAP'!$D$2:$D$377,MATCH(Q4578,'model_byCAP'!$A$2:$A$377,0)),0)</f>
        <v>7369</v>
      </c>
    </row>
    <row r="4579" ht="15.35" customHeight="1">
      <c r="A4579" t="s" s="2">
        <v>8617</v>
      </c>
      <c r="B4579" s="4">
        <v>32568</v>
      </c>
      <c r="C4579" s="5">
        <v>150</v>
      </c>
      <c r="D4579" s="5">
        <v>23</v>
      </c>
      <c r="E4579" s="5">
        <v>30</v>
      </c>
      <c r="F4579" t="s" s="2">
        <v>1989</v>
      </c>
      <c r="G4579" t="s" s="2">
        <v>6172</v>
      </c>
      <c r="H4579" s="5">
        <v>320</v>
      </c>
      <c r="I4579" t="s" s="2">
        <v>1006</v>
      </c>
      <c r="J4579" t="s" s="2">
        <v>22</v>
      </c>
      <c r="K4579" t="s" s="2">
        <v>8618</v>
      </c>
      <c r="L4579" t="s" s="2">
        <v>481</v>
      </c>
      <c r="M4579" s="5">
        <v>698346.71</v>
      </c>
      <c r="N4579" s="5">
        <v>6120368.32</v>
      </c>
      <c r="O4579" t="s" s="2">
        <v>305</v>
      </c>
      <c r="P4579" s="5">
        <v>171909</v>
      </c>
      <c r="Q4579" t="s" s="2">
        <v>6173</v>
      </c>
      <c r="R4579" t="s" s="2">
        <f>_xlfn.IFERROR(INDEX('model_byCAP'!$D$2:$D$377,MATCH(Q4579,'model_byCAP'!$A$2:$A$377,0)),0)</f>
        <v>6174</v>
      </c>
    </row>
    <row r="4580" ht="15.35" customHeight="1">
      <c r="A4580" t="s" s="2">
        <v>8619</v>
      </c>
      <c r="B4580" s="4">
        <v>36347</v>
      </c>
      <c r="C4580" s="5">
        <v>150</v>
      </c>
      <c r="D4580" s="5">
        <v>22</v>
      </c>
      <c r="E4580" s="5">
        <v>31</v>
      </c>
      <c r="F4580" t="s" s="2">
        <v>1746</v>
      </c>
      <c r="G4580" t="s" s="2">
        <v>8620</v>
      </c>
      <c r="H4580" s="5">
        <v>326</v>
      </c>
      <c r="I4580" t="s" s="2">
        <v>1263</v>
      </c>
      <c r="J4580" t="s" s="2">
        <v>22</v>
      </c>
      <c r="K4580" t="s" s="2">
        <v>8621</v>
      </c>
      <c r="L4580" t="s" s="2">
        <v>498</v>
      </c>
      <c r="M4580" s="5">
        <v>636192.28</v>
      </c>
      <c r="N4580" s="5">
        <v>6153813.27</v>
      </c>
      <c r="O4580" t="s" s="2">
        <v>305</v>
      </c>
      <c r="P4580" s="5">
        <v>60066601</v>
      </c>
      <c r="Q4580" t="s" s="2">
        <v>8622</v>
      </c>
      <c r="R4580" t="s" s="2">
        <f>_xlfn.IFERROR(INDEX('model_byCAP'!$D$2:$D$377,MATCH(Q4580,'model_byCAP'!$A$2:$A$377,0)),0)</f>
        <v>4115</v>
      </c>
    </row>
    <row r="4581" ht="15.35" customHeight="1">
      <c r="A4581" t="s" s="2">
        <v>8623</v>
      </c>
      <c r="B4581" s="4">
        <v>32150</v>
      </c>
      <c r="C4581" s="5">
        <v>150</v>
      </c>
      <c r="D4581" s="5">
        <v>24</v>
      </c>
      <c r="E4581" s="5">
        <v>30.2</v>
      </c>
      <c r="F4581" t="s" s="2">
        <v>7353</v>
      </c>
      <c r="G4581" t="s" s="2">
        <v>8624</v>
      </c>
      <c r="H4581" s="5">
        <v>326</v>
      </c>
      <c r="I4581" t="s" s="2">
        <v>1263</v>
      </c>
      <c r="J4581" t="s" s="2">
        <v>22</v>
      </c>
      <c r="K4581" t="s" s="2">
        <v>4089</v>
      </c>
      <c r="L4581" t="s" s="2">
        <v>5759</v>
      </c>
      <c r="M4581" s="5">
        <v>634855.5</v>
      </c>
      <c r="N4581" s="5">
        <v>6164520.01</v>
      </c>
      <c r="O4581" t="s" s="2">
        <v>305</v>
      </c>
      <c r="P4581" s="5">
        <v>40015010</v>
      </c>
      <c r="Q4581" t="s" s="2">
        <v>8625</v>
      </c>
      <c r="R4581" s="5">
        <f>_xlfn.IFERROR(INDEX('model_byCAP'!$D$2:$D$377,MATCH(Q4581,'model_byCAP'!$A$2:$A$377,0)),0)</f>
        <v>0</v>
      </c>
    </row>
    <row r="4582" ht="15.35" customHeight="1">
      <c r="A4582" t="s" s="2">
        <v>8626</v>
      </c>
      <c r="B4582" s="4">
        <v>36474</v>
      </c>
      <c r="C4582" s="5">
        <v>150</v>
      </c>
      <c r="D4582" s="5">
        <v>24.6</v>
      </c>
      <c r="E4582" s="5">
        <v>32.5</v>
      </c>
      <c r="F4582" t="s" s="2">
        <v>42</v>
      </c>
      <c r="G4582" t="s" s="2">
        <v>42</v>
      </c>
      <c r="H4582" s="5">
        <v>330</v>
      </c>
      <c r="I4582" t="s" s="2">
        <v>1491</v>
      </c>
      <c r="J4582" t="s" s="2">
        <v>22</v>
      </c>
      <c r="K4582" t="s" s="2">
        <v>8627</v>
      </c>
      <c r="L4582" t="s" s="2">
        <v>4420</v>
      </c>
      <c r="M4582" s="5">
        <v>642983.38</v>
      </c>
      <c r="N4582" s="5">
        <v>6136566.74</v>
      </c>
      <c r="O4582" t="s" s="2">
        <v>305</v>
      </c>
      <c r="P4582" s="5">
        <v>40067404</v>
      </c>
      <c r="Q4582" t="s" s="2">
        <v>43</v>
      </c>
      <c r="R4582" s="5">
        <f>_xlfn.IFERROR(INDEX('model_byCAP'!$D$2:$D$377,MATCH(Q4582,'model_byCAP'!$A$2:$A$377,0)),0)</f>
        <v>0</v>
      </c>
    </row>
    <row r="4583" ht="15.35" customHeight="1">
      <c r="A4583" t="s" s="2">
        <v>8628</v>
      </c>
      <c r="B4583" s="4">
        <v>32923</v>
      </c>
      <c r="C4583" s="5">
        <v>150</v>
      </c>
      <c r="D4583" s="5">
        <v>28</v>
      </c>
      <c r="E4583" s="5">
        <v>31</v>
      </c>
      <c r="F4583" t="s" s="2">
        <v>4716</v>
      </c>
      <c r="G4583" t="s" s="2">
        <v>8629</v>
      </c>
      <c r="H4583" s="5">
        <v>336</v>
      </c>
      <c r="I4583" t="s" s="2">
        <v>4152</v>
      </c>
      <c r="J4583" t="s" s="2">
        <v>22</v>
      </c>
      <c r="K4583" t="s" s="2">
        <v>8630</v>
      </c>
      <c r="L4583" t="s" s="2">
        <v>2348</v>
      </c>
      <c r="M4583" s="5">
        <v>717619.48</v>
      </c>
      <c r="N4583" s="5">
        <v>6134362.82</v>
      </c>
      <c r="O4583" t="s" s="2">
        <v>305</v>
      </c>
      <c r="P4583" s="5">
        <v>174068</v>
      </c>
      <c r="Q4583" t="s" s="2">
        <v>8631</v>
      </c>
      <c r="R4583" t="s" s="2">
        <f>_xlfn.IFERROR(INDEX('model_byCAP'!$D$2:$D$377,MATCH(Q4583,'model_byCAP'!$A$2:$A$377,0)),0)</f>
        <v>8049</v>
      </c>
    </row>
    <row r="4584" ht="15.35" customHeight="1">
      <c r="A4584" t="s" s="2">
        <v>8632</v>
      </c>
      <c r="B4584" s="4">
        <v>33228</v>
      </c>
      <c r="C4584" s="5">
        <v>150</v>
      </c>
      <c r="D4584" s="5">
        <v>24.6</v>
      </c>
      <c r="E4584" s="5">
        <v>32.5</v>
      </c>
      <c r="F4584" t="s" s="2">
        <v>42</v>
      </c>
      <c r="G4584" t="s" s="2">
        <v>42</v>
      </c>
      <c r="H4584" s="5">
        <v>350</v>
      </c>
      <c r="I4584" t="s" s="2">
        <v>3451</v>
      </c>
      <c r="J4584" t="s" s="2">
        <v>22</v>
      </c>
      <c r="K4584" t="s" s="2">
        <v>8633</v>
      </c>
      <c r="L4584" t="s" s="2">
        <v>8634</v>
      </c>
      <c r="M4584" s="5">
        <v>686395.41</v>
      </c>
      <c r="N4584" s="5">
        <v>6172016.98</v>
      </c>
      <c r="O4584" t="s" s="2">
        <v>305</v>
      </c>
      <c r="P4584" t="s" s="2">
        <v>8635</v>
      </c>
      <c r="Q4584" t="s" s="2">
        <v>43</v>
      </c>
      <c r="R4584" s="5">
        <f>_xlfn.IFERROR(INDEX('model_byCAP'!$D$2:$D$377,MATCH(Q4584,'model_byCAP'!$A$2:$A$377,0)),0)</f>
        <v>0</v>
      </c>
    </row>
    <row r="4585" ht="15.35" customHeight="1">
      <c r="A4585" t="s" s="2">
        <v>8636</v>
      </c>
      <c r="B4585" s="4">
        <v>33154</v>
      </c>
      <c r="C4585" s="5">
        <v>150</v>
      </c>
      <c r="D4585" s="5">
        <v>27</v>
      </c>
      <c r="E4585" s="5">
        <v>30</v>
      </c>
      <c r="F4585" t="s" s="2">
        <v>2328</v>
      </c>
      <c r="G4585" t="s" s="2">
        <v>8009</v>
      </c>
      <c r="H4585" s="5">
        <v>360</v>
      </c>
      <c r="I4585" t="s" s="2">
        <v>463</v>
      </c>
      <c r="J4585" t="s" s="2">
        <v>22</v>
      </c>
      <c r="K4585" t="s" s="2">
        <v>8637</v>
      </c>
      <c r="L4585" t="s" s="2">
        <v>8638</v>
      </c>
      <c r="M4585" s="5">
        <v>657607.5699999999</v>
      </c>
      <c r="N4585" s="5">
        <v>6058306.4</v>
      </c>
      <c r="O4585" t="s" s="2">
        <v>305</v>
      </c>
      <c r="P4585" s="5">
        <v>2061088</v>
      </c>
      <c r="Q4585" t="s" s="2">
        <v>8010</v>
      </c>
      <c r="R4585" t="s" s="2">
        <f>_xlfn.IFERROR(INDEX('model_byCAP'!$D$2:$D$377,MATCH(Q4585,'model_byCAP'!$A$2:$A$377,0)),0)</f>
        <v>7996</v>
      </c>
    </row>
    <row r="4586" ht="15.35" customHeight="1">
      <c r="A4586" t="s" s="2">
        <v>8639</v>
      </c>
      <c r="B4586" s="4">
        <v>33737</v>
      </c>
      <c r="C4586" s="5">
        <v>150</v>
      </c>
      <c r="D4586" s="5">
        <v>24.6</v>
      </c>
      <c r="E4586" s="5">
        <v>32.5</v>
      </c>
      <c r="F4586" t="s" s="2">
        <v>42</v>
      </c>
      <c r="G4586" t="s" s="2">
        <v>42</v>
      </c>
      <c r="H4586" s="5">
        <v>360</v>
      </c>
      <c r="I4586" t="s" s="2">
        <v>463</v>
      </c>
      <c r="J4586" t="s" s="2">
        <v>22</v>
      </c>
      <c r="K4586" t="s" s="2">
        <v>7397</v>
      </c>
      <c r="L4586" t="s" s="2">
        <v>1161</v>
      </c>
      <c r="M4586" s="5">
        <v>652540.01</v>
      </c>
      <c r="N4586" s="5">
        <v>6064699.56</v>
      </c>
      <c r="O4586" t="s" s="2">
        <v>305</v>
      </c>
      <c r="P4586" s="5">
        <v>2059226</v>
      </c>
      <c r="Q4586" t="s" s="2">
        <v>43</v>
      </c>
      <c r="R4586" s="5">
        <f>_xlfn.IFERROR(INDEX('model_byCAP'!$D$2:$D$377,MATCH(Q4586,'model_byCAP'!$A$2:$A$377,0)),0)</f>
        <v>0</v>
      </c>
    </row>
    <row r="4587" ht="15.35" customHeight="1">
      <c r="A4587" t="s" s="2">
        <v>8640</v>
      </c>
      <c r="B4587" s="4">
        <v>32609</v>
      </c>
      <c r="C4587" s="5">
        <v>150</v>
      </c>
      <c r="D4587" s="5">
        <v>22.3</v>
      </c>
      <c r="E4587" s="5">
        <v>30</v>
      </c>
      <c r="F4587" t="s" s="2">
        <v>4716</v>
      </c>
      <c r="G4587" t="s" s="2">
        <v>8641</v>
      </c>
      <c r="H4587" s="5">
        <v>360</v>
      </c>
      <c r="I4587" t="s" s="2">
        <v>463</v>
      </c>
      <c r="J4587" t="s" s="2">
        <v>22</v>
      </c>
      <c r="K4587" t="s" s="2">
        <v>8642</v>
      </c>
      <c r="L4587" t="s" s="2">
        <v>1043</v>
      </c>
      <c r="M4587" s="5">
        <v>656463.3100000001</v>
      </c>
      <c r="N4587" s="5">
        <v>6093551.03</v>
      </c>
      <c r="O4587" t="s" s="2">
        <v>305</v>
      </c>
      <c r="P4587" s="5">
        <v>166219</v>
      </c>
      <c r="Q4587" t="s" s="2">
        <v>8643</v>
      </c>
      <c r="R4587" t="s" s="2">
        <f>_xlfn.IFERROR(INDEX('model_byCAP'!$D$2:$D$377,MATCH(Q4587,'model_byCAP'!$A$2:$A$377,0)),0)</f>
        <v>8049</v>
      </c>
    </row>
    <row r="4588" ht="15.35" customHeight="1">
      <c r="A4588" t="s" s="2">
        <v>8644</v>
      </c>
      <c r="B4588" s="4">
        <v>33262</v>
      </c>
      <c r="C4588" s="5">
        <v>150</v>
      </c>
      <c r="D4588" s="5">
        <v>23.8</v>
      </c>
      <c r="E4588" s="5">
        <v>30</v>
      </c>
      <c r="F4588" t="s" s="2">
        <v>1989</v>
      </c>
      <c r="G4588" t="s" s="2">
        <v>8645</v>
      </c>
      <c r="H4588" s="5">
        <v>360</v>
      </c>
      <c r="I4588" t="s" s="2">
        <v>463</v>
      </c>
      <c r="J4588" t="s" s="2">
        <v>22</v>
      </c>
      <c r="K4588" t="s" s="2">
        <v>8646</v>
      </c>
      <c r="L4588" t="s" s="2">
        <v>594</v>
      </c>
      <c r="M4588" s="5">
        <v>640988.84</v>
      </c>
      <c r="N4588" s="5">
        <v>6073165.35</v>
      </c>
      <c r="O4588" t="s" s="2">
        <v>305</v>
      </c>
      <c r="P4588" s="5">
        <v>175981</v>
      </c>
      <c r="Q4588" t="s" s="2">
        <v>8647</v>
      </c>
      <c r="R4588" t="s" s="2">
        <f>_xlfn.IFERROR(INDEX('model_byCAP'!$D$2:$D$377,MATCH(Q4588,'model_byCAP'!$A$2:$A$377,0)),0)</f>
        <v>6174</v>
      </c>
    </row>
    <row r="4589" ht="15.35" customHeight="1">
      <c r="A4589" t="s" s="2">
        <v>8648</v>
      </c>
      <c r="B4589" s="4">
        <v>33462</v>
      </c>
      <c r="C4589" s="5">
        <v>150</v>
      </c>
      <c r="D4589" s="5">
        <v>27</v>
      </c>
      <c r="E4589" s="5">
        <v>31</v>
      </c>
      <c r="F4589" t="s" s="2">
        <v>4716</v>
      </c>
      <c r="G4589" t="s" s="2">
        <v>8649</v>
      </c>
      <c r="H4589" s="5">
        <v>360</v>
      </c>
      <c r="I4589" t="s" s="2">
        <v>463</v>
      </c>
      <c r="J4589" t="s" s="2">
        <v>22</v>
      </c>
      <c r="K4589" t="s" s="2">
        <v>8650</v>
      </c>
      <c r="L4589" t="s" s="2">
        <v>2348</v>
      </c>
      <c r="M4589" s="5">
        <v>656177.78</v>
      </c>
      <c r="N4589" s="5">
        <v>6077619.54</v>
      </c>
      <c r="O4589" t="s" s="2">
        <v>305</v>
      </c>
      <c r="P4589" s="5">
        <v>177273</v>
      </c>
      <c r="Q4589" t="s" s="2">
        <v>8651</v>
      </c>
      <c r="R4589" t="s" s="2">
        <f>_xlfn.IFERROR(INDEX('model_byCAP'!$D$2:$D$377,MATCH(Q4589,'model_byCAP'!$A$2:$A$377,0)),0)</f>
        <v>8049</v>
      </c>
    </row>
    <row r="4590" ht="15.35" customHeight="1">
      <c r="A4590" t="s" s="2">
        <v>8652</v>
      </c>
      <c r="B4590" s="4">
        <v>34239</v>
      </c>
      <c r="C4590" s="5">
        <v>150</v>
      </c>
      <c r="D4590" s="5">
        <v>23.8</v>
      </c>
      <c r="E4590" s="5">
        <v>30</v>
      </c>
      <c r="F4590" t="s" s="2">
        <v>1989</v>
      </c>
      <c r="G4590" t="s" s="2">
        <v>7685</v>
      </c>
      <c r="H4590" s="5">
        <v>360</v>
      </c>
      <c r="I4590" t="s" s="2">
        <v>463</v>
      </c>
      <c r="J4590" t="s" s="2">
        <v>22</v>
      </c>
      <c r="K4590" t="s" s="2">
        <v>8646</v>
      </c>
      <c r="L4590" t="s" s="2">
        <v>481</v>
      </c>
      <c r="M4590" s="5">
        <v>636891.92</v>
      </c>
      <c r="N4590" s="5">
        <v>6074637.04</v>
      </c>
      <c r="O4590" t="s" s="2">
        <v>305</v>
      </c>
      <c r="P4590" s="5">
        <v>180719</v>
      </c>
      <c r="Q4590" t="s" s="2">
        <v>7687</v>
      </c>
      <c r="R4590" t="s" s="2">
        <f>_xlfn.IFERROR(INDEX('model_byCAP'!$D$2:$D$377,MATCH(Q4590,'model_byCAP'!$A$2:$A$377,0)),0)</f>
        <v>6174</v>
      </c>
    </row>
    <row r="4591" ht="15.35" customHeight="1">
      <c r="A4591" t="s" s="2">
        <v>8653</v>
      </c>
      <c r="B4591" s="4">
        <v>32220</v>
      </c>
      <c r="C4591" s="5">
        <v>150</v>
      </c>
      <c r="D4591" s="5">
        <v>22</v>
      </c>
      <c r="E4591" s="5">
        <v>31</v>
      </c>
      <c r="F4591" t="s" s="2">
        <v>8654</v>
      </c>
      <c r="G4591" t="s" s="2">
        <v>8655</v>
      </c>
      <c r="H4591" s="5">
        <v>370</v>
      </c>
      <c r="I4591" t="s" s="2">
        <v>520</v>
      </c>
      <c r="J4591" t="s" s="2">
        <v>22</v>
      </c>
      <c r="K4591" t="s" s="2">
        <v>8656</v>
      </c>
      <c r="L4591" t="s" s="2">
        <v>2931</v>
      </c>
      <c r="M4591" s="5">
        <v>670972.4</v>
      </c>
      <c r="N4591" s="5">
        <v>6139404.26</v>
      </c>
      <c r="O4591" t="s" s="2">
        <v>305</v>
      </c>
      <c r="P4591" s="5">
        <v>163470</v>
      </c>
      <c r="Q4591" t="s" s="2">
        <v>8657</v>
      </c>
      <c r="R4591" s="5">
        <f>_xlfn.IFERROR(INDEX('model_byCAP'!$D$2:$D$377,MATCH(Q4591,'model_byCAP'!$A$2:$A$377,0)),0)</f>
        <v>0</v>
      </c>
    </row>
    <row r="4592" ht="15.35" customHeight="1">
      <c r="A4592" t="s" s="2">
        <v>8658</v>
      </c>
      <c r="B4592" s="4">
        <v>32385</v>
      </c>
      <c r="C4592" s="5">
        <v>150</v>
      </c>
      <c r="D4592" s="5">
        <v>23</v>
      </c>
      <c r="E4592" s="5">
        <v>24</v>
      </c>
      <c r="F4592" t="s" s="2">
        <v>1989</v>
      </c>
      <c r="G4592" t="s" s="2">
        <v>8659</v>
      </c>
      <c r="H4592" s="5">
        <v>370</v>
      </c>
      <c r="I4592" t="s" s="2">
        <v>520</v>
      </c>
      <c r="J4592" t="s" s="2">
        <v>22</v>
      </c>
      <c r="K4592" t="s" s="2">
        <v>8660</v>
      </c>
      <c r="L4592" t="s" s="2">
        <v>2369</v>
      </c>
      <c r="M4592" s="5">
        <v>687156.83</v>
      </c>
      <c r="N4592" s="5">
        <v>6116158.14</v>
      </c>
      <c r="O4592" t="s" s="2">
        <v>305</v>
      </c>
      <c r="P4592" s="5">
        <v>164610</v>
      </c>
      <c r="Q4592" t="s" s="2">
        <v>8661</v>
      </c>
      <c r="R4592" t="s" s="2">
        <f>_xlfn.IFERROR(INDEX('model_byCAP'!$D$2:$D$377,MATCH(Q4592,'model_byCAP'!$A$2:$A$377,0)),0)</f>
        <v>6174</v>
      </c>
    </row>
    <row r="4593" ht="15.35" customHeight="1">
      <c r="A4593" t="s" s="2">
        <v>8662</v>
      </c>
      <c r="B4593" s="4">
        <v>35132</v>
      </c>
      <c r="C4593" s="5">
        <v>150</v>
      </c>
      <c r="D4593" s="5">
        <v>24.6</v>
      </c>
      <c r="E4593" s="5">
        <v>32.5</v>
      </c>
      <c r="F4593" t="s" s="2">
        <v>42</v>
      </c>
      <c r="G4593" t="s" s="2">
        <v>42</v>
      </c>
      <c r="H4593" s="5">
        <v>370</v>
      </c>
      <c r="I4593" t="s" s="2">
        <v>520</v>
      </c>
      <c r="J4593" t="s" s="2">
        <v>22</v>
      </c>
      <c r="K4593" t="s" s="2">
        <v>8663</v>
      </c>
      <c r="L4593" t="s" s="2">
        <v>8664</v>
      </c>
      <c r="M4593" s="5">
        <v>665694.24</v>
      </c>
      <c r="N4593" s="5">
        <v>6125620.62</v>
      </c>
      <c r="O4593" t="s" s="2">
        <v>305</v>
      </c>
      <c r="P4593" s="5">
        <v>183341</v>
      </c>
      <c r="Q4593" t="s" s="2">
        <v>43</v>
      </c>
      <c r="R4593" s="5">
        <f>_xlfn.IFERROR(INDEX('model_byCAP'!$D$2:$D$377,MATCH(Q4593,'model_byCAP'!$A$2:$A$377,0)),0)</f>
        <v>0</v>
      </c>
    </row>
    <row r="4594" ht="15.35" customHeight="1">
      <c r="A4594" t="s" s="2">
        <v>8665</v>
      </c>
      <c r="B4594" s="4">
        <v>36220</v>
      </c>
      <c r="C4594" s="5">
        <v>150</v>
      </c>
      <c r="D4594" s="5">
        <v>24.6</v>
      </c>
      <c r="E4594" s="5">
        <v>32.5</v>
      </c>
      <c r="F4594" t="s" s="2">
        <v>42</v>
      </c>
      <c r="G4594" t="s" s="2">
        <v>42</v>
      </c>
      <c r="H4594" s="5">
        <v>376</v>
      </c>
      <c r="I4594" t="s" s="2">
        <v>1991</v>
      </c>
      <c r="J4594" t="s" s="2">
        <v>22</v>
      </c>
      <c r="K4594" t="s" s="2">
        <v>6235</v>
      </c>
      <c r="L4594" t="s" s="2">
        <v>1196</v>
      </c>
      <c r="M4594" s="5">
        <v>667655.9399999999</v>
      </c>
      <c r="N4594" s="5">
        <v>6075977.29</v>
      </c>
      <c r="O4594" t="s" s="2">
        <v>305</v>
      </c>
      <c r="P4594" s="5">
        <v>2000647</v>
      </c>
      <c r="Q4594" t="s" s="2">
        <v>43</v>
      </c>
      <c r="R4594" s="5">
        <f>_xlfn.IFERROR(INDEX('model_byCAP'!$D$2:$D$377,MATCH(Q4594,'model_byCAP'!$A$2:$A$377,0)),0)</f>
        <v>0</v>
      </c>
    </row>
    <row r="4595" ht="15.35" customHeight="1">
      <c r="A4595" t="s" s="2">
        <v>8666</v>
      </c>
      <c r="B4595" s="4">
        <v>32836</v>
      </c>
      <c r="C4595" s="5">
        <v>150</v>
      </c>
      <c r="D4595" s="5">
        <v>23</v>
      </c>
      <c r="E4595" s="5">
        <v>24.5</v>
      </c>
      <c r="F4595" t="s" s="2">
        <v>1989</v>
      </c>
      <c r="G4595" t="s" s="2">
        <v>8667</v>
      </c>
      <c r="H4595" s="5">
        <v>376</v>
      </c>
      <c r="I4595" t="s" s="2">
        <v>1991</v>
      </c>
      <c r="J4595" t="s" s="2">
        <v>22</v>
      </c>
      <c r="K4595" t="s" s="2">
        <v>8668</v>
      </c>
      <c r="L4595" t="s" s="2">
        <v>6098</v>
      </c>
      <c r="M4595" s="5">
        <v>688136.04</v>
      </c>
      <c r="N4595" s="5">
        <v>6055221.31</v>
      </c>
      <c r="O4595" t="s" s="2">
        <v>305</v>
      </c>
      <c r="P4595" s="5">
        <v>173833</v>
      </c>
      <c r="Q4595" t="s" s="2">
        <v>8669</v>
      </c>
      <c r="R4595" t="s" s="2">
        <f>_xlfn.IFERROR(INDEX('model_byCAP'!$D$2:$D$377,MATCH(Q4595,'model_byCAP'!$A$2:$A$377,0)),0)</f>
        <v>6174</v>
      </c>
    </row>
    <row r="4596" ht="15.35" customHeight="1">
      <c r="A4596" t="s" s="2">
        <v>8670</v>
      </c>
      <c r="B4596" s="4">
        <v>32290</v>
      </c>
      <c r="C4596" s="5">
        <v>150</v>
      </c>
      <c r="D4596" s="5">
        <v>23</v>
      </c>
      <c r="E4596" s="5">
        <v>24.5</v>
      </c>
      <c r="F4596" t="s" s="2">
        <v>1989</v>
      </c>
      <c r="G4596" t="s" s="2">
        <v>8667</v>
      </c>
      <c r="H4596" s="5">
        <v>376</v>
      </c>
      <c r="I4596" t="s" s="2">
        <v>1991</v>
      </c>
      <c r="J4596" t="s" s="2">
        <v>22</v>
      </c>
      <c r="K4596" t="s" s="2">
        <v>7538</v>
      </c>
      <c r="L4596" t="s" s="2">
        <v>8671</v>
      </c>
      <c r="M4596" s="5">
        <v>687893.21</v>
      </c>
      <c r="N4596" s="5">
        <v>6055579.94</v>
      </c>
      <c r="O4596" t="s" s="2">
        <v>305</v>
      </c>
      <c r="P4596" s="5">
        <v>163251</v>
      </c>
      <c r="Q4596" t="s" s="2">
        <v>8669</v>
      </c>
      <c r="R4596" t="s" s="2">
        <f>_xlfn.IFERROR(INDEX('model_byCAP'!$D$2:$D$377,MATCH(Q4596,'model_byCAP'!$A$2:$A$377,0)),0)</f>
        <v>6174</v>
      </c>
    </row>
    <row r="4597" ht="15.35" customHeight="1">
      <c r="A4597" t="s" s="2">
        <v>8672</v>
      </c>
      <c r="B4597" s="4">
        <v>32245</v>
      </c>
      <c r="C4597" s="5">
        <v>150</v>
      </c>
      <c r="D4597" s="5">
        <v>23</v>
      </c>
      <c r="E4597" s="5">
        <v>24</v>
      </c>
      <c r="F4597" t="s" s="2">
        <v>1989</v>
      </c>
      <c r="G4597" t="s" s="2">
        <v>6172</v>
      </c>
      <c r="H4597" s="5">
        <v>376</v>
      </c>
      <c r="I4597" t="s" s="2">
        <v>1991</v>
      </c>
      <c r="J4597" t="s" s="2">
        <v>22</v>
      </c>
      <c r="K4597" t="s" s="2">
        <v>8673</v>
      </c>
      <c r="L4597" t="s" s="2">
        <v>1196</v>
      </c>
      <c r="M4597" s="5">
        <v>677648.42</v>
      </c>
      <c r="N4597" s="5">
        <v>6078314.19</v>
      </c>
      <c r="O4597" t="s" s="2">
        <v>305</v>
      </c>
      <c r="P4597" s="5">
        <v>163441</v>
      </c>
      <c r="Q4597" t="s" s="2">
        <v>6173</v>
      </c>
      <c r="R4597" t="s" s="2">
        <f>_xlfn.IFERROR(INDEX('model_byCAP'!$D$2:$D$377,MATCH(Q4597,'model_byCAP'!$A$2:$A$377,0)),0)</f>
        <v>6174</v>
      </c>
    </row>
    <row r="4598" ht="15.35" customHeight="1">
      <c r="A4598" t="s" s="2">
        <v>8674</v>
      </c>
      <c r="B4598" s="4">
        <v>32283</v>
      </c>
      <c r="C4598" s="5">
        <v>150</v>
      </c>
      <c r="D4598" s="5">
        <v>23</v>
      </c>
      <c r="E4598" s="5">
        <v>24.5</v>
      </c>
      <c r="F4598" t="s" s="2">
        <v>1989</v>
      </c>
      <c r="G4598" t="s" s="2">
        <v>8675</v>
      </c>
      <c r="H4598" s="5">
        <v>376</v>
      </c>
      <c r="I4598" t="s" s="2">
        <v>1991</v>
      </c>
      <c r="J4598" t="s" s="2">
        <v>22</v>
      </c>
      <c r="K4598" t="s" s="2">
        <v>8676</v>
      </c>
      <c r="L4598" t="s" s="2">
        <v>8677</v>
      </c>
      <c r="M4598" s="5">
        <v>681752.78</v>
      </c>
      <c r="N4598" s="5">
        <v>6087501.98</v>
      </c>
      <c r="O4598" t="s" s="2">
        <v>305</v>
      </c>
      <c r="P4598" s="5">
        <v>163482</v>
      </c>
      <c r="Q4598" t="s" s="2">
        <v>8678</v>
      </c>
      <c r="R4598" t="s" s="2">
        <f>_xlfn.IFERROR(INDEX('model_byCAP'!$D$2:$D$377,MATCH(Q4598,'model_byCAP'!$A$2:$A$377,0)),0)</f>
        <v>6174</v>
      </c>
    </row>
    <row r="4599" ht="15.35" customHeight="1">
      <c r="A4599" t="s" s="2">
        <v>8679</v>
      </c>
      <c r="B4599" s="4">
        <v>32478</v>
      </c>
      <c r="C4599" s="5">
        <v>150</v>
      </c>
      <c r="D4599" s="5">
        <v>23</v>
      </c>
      <c r="E4599" s="5">
        <v>24.5</v>
      </c>
      <c r="F4599" t="s" s="2">
        <v>1989</v>
      </c>
      <c r="G4599" t="s" s="2">
        <v>8667</v>
      </c>
      <c r="H4599" s="5">
        <v>376</v>
      </c>
      <c r="I4599" t="s" s="2">
        <v>1991</v>
      </c>
      <c r="J4599" t="s" s="2">
        <v>22</v>
      </c>
      <c r="K4599" t="s" s="2">
        <v>8439</v>
      </c>
      <c r="L4599" t="s" s="2">
        <v>1611</v>
      </c>
      <c r="M4599" s="5">
        <v>688234.15</v>
      </c>
      <c r="N4599" s="5">
        <v>6055062.87</v>
      </c>
      <c r="O4599" t="s" s="2">
        <v>305</v>
      </c>
      <c r="P4599" s="5">
        <v>165185</v>
      </c>
      <c r="Q4599" t="s" s="2">
        <v>8669</v>
      </c>
      <c r="R4599" t="s" s="2">
        <f>_xlfn.IFERROR(INDEX('model_byCAP'!$D$2:$D$377,MATCH(Q4599,'model_byCAP'!$A$2:$A$377,0)),0)</f>
        <v>6174</v>
      </c>
    </row>
    <row r="4600" ht="15.35" customHeight="1">
      <c r="A4600" t="s" s="2">
        <v>8680</v>
      </c>
      <c r="B4600" s="4">
        <v>32499</v>
      </c>
      <c r="C4600" s="5">
        <v>150</v>
      </c>
      <c r="D4600" s="5">
        <v>24</v>
      </c>
      <c r="E4600" s="5">
        <v>30</v>
      </c>
      <c r="F4600" t="s" s="2">
        <v>8353</v>
      </c>
      <c r="G4600" t="s" s="2">
        <v>8681</v>
      </c>
      <c r="H4600" s="5">
        <v>376</v>
      </c>
      <c r="I4600" t="s" s="2">
        <v>1991</v>
      </c>
      <c r="J4600" t="s" s="2">
        <v>22</v>
      </c>
      <c r="K4600" t="s" s="2">
        <v>8434</v>
      </c>
      <c r="L4600" t="s" s="2">
        <v>524</v>
      </c>
      <c r="M4600" s="5">
        <v>686649.08</v>
      </c>
      <c r="N4600" s="5">
        <v>6068222.78</v>
      </c>
      <c r="O4600" t="s" s="2">
        <v>305</v>
      </c>
      <c r="P4600" s="5">
        <v>165254</v>
      </c>
      <c r="Q4600" t="s" s="2">
        <v>8682</v>
      </c>
      <c r="R4600" s="5">
        <f>_xlfn.IFERROR(INDEX('model_byCAP'!$D$2:$D$377,MATCH(Q4600,'model_byCAP'!$A$2:$A$377,0)),0)</f>
        <v>0</v>
      </c>
    </row>
    <row r="4601" ht="15.35" customHeight="1">
      <c r="A4601" t="s" s="2">
        <v>8683</v>
      </c>
      <c r="B4601" s="4">
        <v>32099</v>
      </c>
      <c r="C4601" s="5">
        <v>150</v>
      </c>
      <c r="D4601" s="5">
        <v>23</v>
      </c>
      <c r="E4601" s="5">
        <v>24.5</v>
      </c>
      <c r="F4601" t="s" s="2">
        <v>1989</v>
      </c>
      <c r="G4601" t="s" s="2">
        <v>8667</v>
      </c>
      <c r="H4601" s="5">
        <v>376</v>
      </c>
      <c r="I4601" t="s" s="2">
        <v>1991</v>
      </c>
      <c r="J4601" t="s" s="2">
        <v>22</v>
      </c>
      <c r="K4601" t="s" s="2">
        <v>8668</v>
      </c>
      <c r="L4601" t="s" s="2">
        <v>1611</v>
      </c>
      <c r="M4601" s="5">
        <v>688052.48</v>
      </c>
      <c r="N4601" s="5">
        <v>6055353.96</v>
      </c>
      <c r="O4601" t="s" s="2">
        <v>305</v>
      </c>
      <c r="P4601" s="5">
        <v>162495</v>
      </c>
      <c r="Q4601" t="s" s="2">
        <v>8669</v>
      </c>
      <c r="R4601" t="s" s="2">
        <f>_xlfn.IFERROR(INDEX('model_byCAP'!$D$2:$D$377,MATCH(Q4601,'model_byCAP'!$A$2:$A$377,0)),0)</f>
        <v>6174</v>
      </c>
    </row>
    <row r="4602" ht="15.35" customHeight="1">
      <c r="A4602" t="s" s="2">
        <v>8684</v>
      </c>
      <c r="B4602" s="4">
        <v>33088</v>
      </c>
      <c r="C4602" s="5">
        <v>150</v>
      </c>
      <c r="D4602" s="5">
        <v>28</v>
      </c>
      <c r="E4602" s="5">
        <v>31</v>
      </c>
      <c r="F4602" t="s" s="2">
        <v>4716</v>
      </c>
      <c r="G4602" t="s" s="2">
        <v>8685</v>
      </c>
      <c r="H4602" s="5">
        <v>376</v>
      </c>
      <c r="I4602" t="s" s="2">
        <v>1991</v>
      </c>
      <c r="J4602" t="s" s="2">
        <v>22</v>
      </c>
      <c r="K4602" t="s" s="2">
        <v>8686</v>
      </c>
      <c r="L4602" t="s" s="2">
        <v>2872</v>
      </c>
      <c r="M4602" s="5">
        <v>668758.66</v>
      </c>
      <c r="N4602" s="5">
        <v>6063882.34</v>
      </c>
      <c r="O4602" t="s" s="2">
        <v>305</v>
      </c>
      <c r="P4602" s="5">
        <v>175121</v>
      </c>
      <c r="Q4602" t="s" s="2">
        <v>8687</v>
      </c>
      <c r="R4602" t="s" s="2">
        <f>_xlfn.IFERROR(INDEX('model_byCAP'!$D$2:$D$377,MATCH(Q4602,'model_byCAP'!$A$2:$A$377,0)),0)</f>
        <v>8049</v>
      </c>
    </row>
    <row r="4603" ht="15.35" customHeight="1">
      <c r="A4603" t="s" s="2">
        <v>8688</v>
      </c>
      <c r="B4603" s="4">
        <v>33156</v>
      </c>
      <c r="C4603" s="5">
        <v>150</v>
      </c>
      <c r="D4603" s="5">
        <v>23</v>
      </c>
      <c r="E4603" s="5">
        <v>30</v>
      </c>
      <c r="F4603" t="s" s="2">
        <v>1989</v>
      </c>
      <c r="G4603" t="s" s="2">
        <v>6172</v>
      </c>
      <c r="H4603" s="5">
        <v>376</v>
      </c>
      <c r="I4603" t="s" s="2">
        <v>1991</v>
      </c>
      <c r="J4603" t="s" s="2">
        <v>22</v>
      </c>
      <c r="K4603" t="s" s="2">
        <v>8689</v>
      </c>
      <c r="L4603" t="s" s="2">
        <v>2872</v>
      </c>
      <c r="M4603" s="5">
        <v>683756.11</v>
      </c>
      <c r="N4603" s="5">
        <v>6090574.74</v>
      </c>
      <c r="O4603" t="s" s="2">
        <v>305</v>
      </c>
      <c r="P4603" s="5">
        <v>175364</v>
      </c>
      <c r="Q4603" t="s" s="2">
        <v>6173</v>
      </c>
      <c r="R4603" t="s" s="2">
        <f>_xlfn.IFERROR(INDEX('model_byCAP'!$D$2:$D$377,MATCH(Q4603,'model_byCAP'!$A$2:$A$377,0)),0)</f>
        <v>6174</v>
      </c>
    </row>
    <row r="4604" ht="15.35" customHeight="1">
      <c r="A4604" t="s" s="2">
        <v>8690</v>
      </c>
      <c r="B4604" s="4">
        <v>33199</v>
      </c>
      <c r="C4604" s="5">
        <v>150</v>
      </c>
      <c r="D4604" s="5">
        <v>28</v>
      </c>
      <c r="E4604" s="5">
        <v>31</v>
      </c>
      <c r="F4604" t="s" s="2">
        <v>4716</v>
      </c>
      <c r="G4604" t="s" s="2">
        <v>8685</v>
      </c>
      <c r="H4604" s="5">
        <v>376</v>
      </c>
      <c r="I4604" t="s" s="2">
        <v>1991</v>
      </c>
      <c r="J4604" t="s" s="2">
        <v>22</v>
      </c>
      <c r="K4604" t="s" s="2">
        <v>8691</v>
      </c>
      <c r="L4604" t="s" s="2">
        <v>4752</v>
      </c>
      <c r="M4604" s="5">
        <v>666585.42</v>
      </c>
      <c r="N4604" s="5">
        <v>6062711.91</v>
      </c>
      <c r="O4604" t="s" s="2">
        <v>305</v>
      </c>
      <c r="P4604" s="5">
        <v>175665</v>
      </c>
      <c r="Q4604" t="s" s="2">
        <v>8687</v>
      </c>
      <c r="R4604" t="s" s="2">
        <f>_xlfn.IFERROR(INDEX('model_byCAP'!$D$2:$D$377,MATCH(Q4604,'model_byCAP'!$A$2:$A$377,0)),0)</f>
        <v>8049</v>
      </c>
    </row>
    <row r="4605" ht="15.35" customHeight="1">
      <c r="A4605" t="s" s="2">
        <v>8692</v>
      </c>
      <c r="B4605" s="4">
        <v>33353</v>
      </c>
      <c r="C4605" s="5">
        <v>150</v>
      </c>
      <c r="D4605" s="5">
        <v>28</v>
      </c>
      <c r="E4605" s="5">
        <v>30</v>
      </c>
      <c r="F4605" t="s" s="2">
        <v>4716</v>
      </c>
      <c r="G4605" t="s" s="2">
        <v>8685</v>
      </c>
      <c r="H4605" s="5">
        <v>376</v>
      </c>
      <c r="I4605" t="s" s="2">
        <v>1991</v>
      </c>
      <c r="J4605" t="s" s="2">
        <v>22</v>
      </c>
      <c r="K4605" t="s" s="2">
        <v>7718</v>
      </c>
      <c r="L4605" t="s" s="2">
        <v>518</v>
      </c>
      <c r="M4605" s="5">
        <v>686493.01</v>
      </c>
      <c r="N4605" s="5">
        <v>6058200.31</v>
      </c>
      <c r="O4605" t="s" s="2">
        <v>305</v>
      </c>
      <c r="P4605" s="5">
        <v>176367</v>
      </c>
      <c r="Q4605" t="s" s="2">
        <v>8687</v>
      </c>
      <c r="R4605" t="s" s="2">
        <f>_xlfn.IFERROR(INDEX('model_byCAP'!$D$2:$D$377,MATCH(Q4605,'model_byCAP'!$A$2:$A$377,0)),0)</f>
        <v>8049</v>
      </c>
    </row>
    <row r="4606" ht="15.35" customHeight="1">
      <c r="A4606" t="s" s="2">
        <v>8693</v>
      </c>
      <c r="B4606" s="4">
        <v>33708</v>
      </c>
      <c r="C4606" s="5">
        <v>150</v>
      </c>
      <c r="D4606" s="5">
        <v>27</v>
      </c>
      <c r="E4606" s="5">
        <v>32</v>
      </c>
      <c r="F4606" t="s" s="2">
        <v>4716</v>
      </c>
      <c r="G4606" t="s" s="2">
        <v>8629</v>
      </c>
      <c r="H4606" s="5">
        <v>376</v>
      </c>
      <c r="I4606" t="s" s="2">
        <v>1991</v>
      </c>
      <c r="J4606" t="s" s="2">
        <v>22</v>
      </c>
      <c r="K4606" t="s" s="2">
        <v>8694</v>
      </c>
      <c r="L4606" t="s" s="2">
        <v>524</v>
      </c>
      <c r="M4606" s="5">
        <v>674097.42</v>
      </c>
      <c r="N4606" s="5">
        <v>6064626.92</v>
      </c>
      <c r="O4606" t="s" s="2">
        <v>305</v>
      </c>
      <c r="P4606" s="5">
        <v>178677</v>
      </c>
      <c r="Q4606" t="s" s="2">
        <v>8631</v>
      </c>
      <c r="R4606" t="s" s="2">
        <f>_xlfn.IFERROR(INDEX('model_byCAP'!$D$2:$D$377,MATCH(Q4606,'model_byCAP'!$A$2:$A$377,0)),0)</f>
        <v>8049</v>
      </c>
    </row>
    <row r="4607" ht="15.35" customHeight="1">
      <c r="A4607" t="s" s="2">
        <v>8695</v>
      </c>
      <c r="B4607" s="4">
        <v>34918</v>
      </c>
      <c r="C4607" s="5">
        <v>150</v>
      </c>
      <c r="D4607" s="5">
        <v>23.8</v>
      </c>
      <c r="E4607" s="5">
        <v>30</v>
      </c>
      <c r="F4607" t="s" s="2">
        <v>1989</v>
      </c>
      <c r="G4607" t="s" s="2">
        <v>7685</v>
      </c>
      <c r="H4607" s="5">
        <v>376</v>
      </c>
      <c r="I4607" t="s" s="2">
        <v>1991</v>
      </c>
      <c r="J4607" t="s" s="2">
        <v>22</v>
      </c>
      <c r="K4607" t="s" s="2">
        <v>8696</v>
      </c>
      <c r="L4607" t="s" s="2">
        <v>2931</v>
      </c>
      <c r="M4607" s="5">
        <v>692503.45</v>
      </c>
      <c r="N4607" s="5">
        <v>6068468.58</v>
      </c>
      <c r="O4607" t="s" s="2">
        <v>305</v>
      </c>
      <c r="P4607" s="5">
        <v>182894</v>
      </c>
      <c r="Q4607" t="s" s="2">
        <v>7687</v>
      </c>
      <c r="R4607" t="s" s="2">
        <f>_xlfn.IFERROR(INDEX('model_byCAP'!$D$2:$D$377,MATCH(Q4607,'model_byCAP'!$A$2:$A$377,0)),0)</f>
        <v>6174</v>
      </c>
    </row>
    <row r="4608" ht="15.35" customHeight="1">
      <c r="A4608" t="s" s="2">
        <v>8697</v>
      </c>
      <c r="B4608" s="4">
        <v>31413</v>
      </c>
      <c r="C4608" s="5">
        <v>150</v>
      </c>
      <c r="D4608" s="5">
        <v>23</v>
      </c>
      <c r="E4608" s="5">
        <v>24.5</v>
      </c>
      <c r="F4608" t="s" s="2">
        <v>8698</v>
      </c>
      <c r="G4608" t="s" s="2">
        <v>8699</v>
      </c>
      <c r="H4608" s="5">
        <v>376</v>
      </c>
      <c r="I4608" t="s" s="2">
        <v>1991</v>
      </c>
      <c r="J4608" t="s" s="2">
        <v>22</v>
      </c>
      <c r="K4608" t="s" s="2">
        <v>8700</v>
      </c>
      <c r="L4608" t="s" s="2">
        <v>8701</v>
      </c>
      <c r="M4608" s="5">
        <v>668332.16</v>
      </c>
      <c r="N4608" s="5">
        <v>6075994.22</v>
      </c>
      <c r="O4608" t="s" s="2">
        <v>305</v>
      </c>
      <c r="P4608" s="5">
        <v>2000645</v>
      </c>
      <c r="Q4608" t="s" s="2">
        <v>8702</v>
      </c>
      <c r="R4608" s="5">
        <f>_xlfn.IFERROR(INDEX('model_byCAP'!$D$2:$D$377,MATCH(Q4608,'model_byCAP'!$A$2:$A$377,0)),0)</f>
        <v>0</v>
      </c>
    </row>
    <row r="4609" ht="15.35" customHeight="1">
      <c r="A4609" t="s" s="2">
        <v>8703</v>
      </c>
      <c r="B4609" s="4">
        <v>33786</v>
      </c>
      <c r="C4609" s="5">
        <v>150</v>
      </c>
      <c r="D4609" s="5">
        <v>24.6</v>
      </c>
      <c r="E4609" s="5">
        <v>32.5</v>
      </c>
      <c r="F4609" t="s" s="2">
        <v>42</v>
      </c>
      <c r="G4609" t="s" s="2">
        <v>42</v>
      </c>
      <c r="H4609" s="5">
        <v>390</v>
      </c>
      <c r="I4609" t="s" s="2">
        <v>46</v>
      </c>
      <c r="J4609" t="s" s="2">
        <v>22</v>
      </c>
      <c r="K4609" t="s" s="2">
        <v>1992</v>
      </c>
      <c r="L4609" t="s" s="2">
        <v>6663</v>
      </c>
      <c r="M4609" s="5">
        <v>701408.77</v>
      </c>
      <c r="N4609" s="5">
        <v>6095294.25</v>
      </c>
      <c r="O4609" t="s" s="2">
        <v>305</v>
      </c>
      <c r="P4609" t="s" s="2">
        <v>42</v>
      </c>
      <c r="Q4609" t="s" s="2">
        <v>43</v>
      </c>
      <c r="R4609" s="5">
        <f>_xlfn.IFERROR(INDEX('model_byCAP'!$D$2:$D$377,MATCH(Q4609,'model_byCAP'!$A$2:$A$377,0)),0)</f>
        <v>0</v>
      </c>
    </row>
    <row r="4610" ht="15.35" customHeight="1">
      <c r="A4610" t="s" s="2">
        <v>8704</v>
      </c>
      <c r="B4610" s="4">
        <v>33786</v>
      </c>
      <c r="C4610" s="5">
        <v>150</v>
      </c>
      <c r="D4610" s="5">
        <v>24.6</v>
      </c>
      <c r="E4610" s="5">
        <v>32.5</v>
      </c>
      <c r="F4610" t="s" s="2">
        <v>42</v>
      </c>
      <c r="G4610" t="s" s="2">
        <v>42</v>
      </c>
      <c r="H4610" s="5">
        <v>390</v>
      </c>
      <c r="I4610" t="s" s="2">
        <v>46</v>
      </c>
      <c r="J4610" t="s" s="2">
        <v>22</v>
      </c>
      <c r="K4610" t="s" s="2">
        <v>1992</v>
      </c>
      <c r="L4610" t="s" s="2">
        <v>6663</v>
      </c>
      <c r="M4610" s="5">
        <v>701395.15</v>
      </c>
      <c r="N4610" s="5">
        <v>6095225.45</v>
      </c>
      <c r="O4610" t="s" s="2">
        <v>305</v>
      </c>
      <c r="P4610" t="s" s="2">
        <v>42</v>
      </c>
      <c r="Q4610" t="s" s="2">
        <v>43</v>
      </c>
      <c r="R4610" s="5">
        <f>_xlfn.IFERROR(INDEX('model_byCAP'!$D$2:$D$377,MATCH(Q4610,'model_byCAP'!$A$2:$A$377,0)),0)</f>
        <v>0</v>
      </c>
    </row>
    <row r="4611" ht="15.35" customHeight="1">
      <c r="A4611" t="s" s="2">
        <v>8705</v>
      </c>
      <c r="B4611" s="4">
        <v>32024</v>
      </c>
      <c r="C4611" s="5">
        <v>150</v>
      </c>
      <c r="D4611" s="5">
        <v>23</v>
      </c>
      <c r="E4611" s="5">
        <v>24.5</v>
      </c>
      <c r="F4611" t="s" s="2">
        <v>1989</v>
      </c>
      <c r="G4611" t="s" s="2">
        <v>6172</v>
      </c>
      <c r="H4611" s="5">
        <v>390</v>
      </c>
      <c r="I4611" t="s" s="2">
        <v>46</v>
      </c>
      <c r="J4611" t="s" s="2">
        <v>22</v>
      </c>
      <c r="K4611" t="s" s="2">
        <v>8706</v>
      </c>
      <c r="L4611" t="s" s="2">
        <v>1276</v>
      </c>
      <c r="M4611" s="5">
        <v>695799.22</v>
      </c>
      <c r="N4611" s="5">
        <v>6110960.31</v>
      </c>
      <c r="O4611" t="s" s="2">
        <v>305</v>
      </c>
      <c r="P4611" s="5">
        <v>160435</v>
      </c>
      <c r="Q4611" t="s" s="2">
        <v>6173</v>
      </c>
      <c r="R4611" t="s" s="2">
        <f>_xlfn.IFERROR(INDEX('model_byCAP'!$D$2:$D$377,MATCH(Q4611,'model_byCAP'!$A$2:$A$377,0)),0)</f>
        <v>6174</v>
      </c>
    </row>
    <row r="4612" ht="15.35" customHeight="1">
      <c r="A4612" t="s" s="2">
        <v>8707</v>
      </c>
      <c r="B4612" s="4">
        <v>32345</v>
      </c>
      <c r="C4612" s="5">
        <v>150</v>
      </c>
      <c r="D4612" s="5">
        <v>23</v>
      </c>
      <c r="E4612" s="5">
        <v>24.5</v>
      </c>
      <c r="F4612" t="s" s="2">
        <v>1989</v>
      </c>
      <c r="G4612" t="s" s="2">
        <v>6172</v>
      </c>
      <c r="H4612" s="5">
        <v>390</v>
      </c>
      <c r="I4612" t="s" s="2">
        <v>46</v>
      </c>
      <c r="J4612" t="s" s="2">
        <v>22</v>
      </c>
      <c r="K4612" t="s" s="2">
        <v>8708</v>
      </c>
      <c r="L4612" t="s" s="2">
        <v>447</v>
      </c>
      <c r="M4612" s="5">
        <v>695733.12</v>
      </c>
      <c r="N4612" s="5">
        <v>6108453.96</v>
      </c>
      <c r="O4612" t="s" s="2">
        <v>305</v>
      </c>
      <c r="P4612" s="8">
        <v>164163</v>
      </c>
      <c r="Q4612" t="s" s="2">
        <v>6173</v>
      </c>
      <c r="R4612" t="s" s="2">
        <f>_xlfn.IFERROR(INDEX('model_byCAP'!$D$2:$D$377,MATCH(Q4612,'model_byCAP'!$A$2:$A$377,0)),0)</f>
        <v>6174</v>
      </c>
    </row>
    <row r="4613" ht="15.35" customHeight="1">
      <c r="A4613" t="s" s="2">
        <v>8709</v>
      </c>
      <c r="B4613" s="4">
        <v>33806</v>
      </c>
      <c r="C4613" s="5">
        <v>150</v>
      </c>
      <c r="D4613" s="5">
        <v>24.6</v>
      </c>
      <c r="E4613" s="5">
        <v>32.7</v>
      </c>
      <c r="F4613" t="s" s="2">
        <v>42</v>
      </c>
      <c r="G4613" t="s" s="2">
        <v>42</v>
      </c>
      <c r="H4613" s="5">
        <v>390</v>
      </c>
      <c r="I4613" t="s" s="2">
        <v>46</v>
      </c>
      <c r="J4613" t="s" s="2">
        <v>22</v>
      </c>
      <c r="K4613" t="s" s="2">
        <v>8710</v>
      </c>
      <c r="L4613" t="s" s="2">
        <v>1196</v>
      </c>
      <c r="M4613" s="5">
        <v>701381.83</v>
      </c>
      <c r="N4613" s="5">
        <v>6095156.75</v>
      </c>
      <c r="O4613" t="s" s="2">
        <v>305</v>
      </c>
      <c r="P4613" s="5">
        <v>179333</v>
      </c>
      <c r="Q4613" t="s" s="2">
        <v>43</v>
      </c>
      <c r="R4613" s="5">
        <f>_xlfn.IFERROR(INDEX('model_byCAP'!$D$2:$D$377,MATCH(Q4613,'model_byCAP'!$A$2:$A$377,0)),0)</f>
        <v>0</v>
      </c>
    </row>
    <row r="4614" ht="15.35" customHeight="1">
      <c r="A4614" t="s" s="2">
        <v>8711</v>
      </c>
      <c r="B4614" s="4">
        <v>33666</v>
      </c>
      <c r="C4614" s="5">
        <v>150</v>
      </c>
      <c r="D4614" s="5">
        <v>23.8</v>
      </c>
      <c r="E4614" s="5">
        <v>30</v>
      </c>
      <c r="F4614" t="s" s="2">
        <v>1989</v>
      </c>
      <c r="G4614" t="s" s="2">
        <v>7685</v>
      </c>
      <c r="H4614" s="5">
        <v>410</v>
      </c>
      <c r="I4614" t="s" s="2">
        <v>4278</v>
      </c>
      <c r="J4614" t="s" s="2">
        <v>22</v>
      </c>
      <c r="K4614" t="s" s="2">
        <v>8712</v>
      </c>
      <c r="L4614" t="s" s="2">
        <v>8292</v>
      </c>
      <c r="M4614" s="5">
        <v>566518.8</v>
      </c>
      <c r="N4614" s="5">
        <v>6143348.17</v>
      </c>
      <c r="O4614" t="s" s="2">
        <v>305</v>
      </c>
      <c r="P4614" s="5">
        <v>99052</v>
      </c>
      <c r="Q4614" t="s" s="2">
        <v>7687</v>
      </c>
      <c r="R4614" t="s" s="2">
        <f>_xlfn.IFERROR(INDEX('model_byCAP'!$D$2:$D$377,MATCH(Q4614,'model_byCAP'!$A$2:$A$377,0)),0)</f>
        <v>6174</v>
      </c>
    </row>
    <row r="4615" ht="15.35" customHeight="1">
      <c r="A4615" t="s" s="2">
        <v>8713</v>
      </c>
      <c r="B4615" s="4">
        <v>33164</v>
      </c>
      <c r="C4615" s="5">
        <v>150</v>
      </c>
      <c r="D4615" s="5">
        <v>24.6</v>
      </c>
      <c r="E4615" s="5">
        <v>30</v>
      </c>
      <c r="F4615" t="s" s="2">
        <v>1746</v>
      </c>
      <c r="G4615" t="s" s="2">
        <v>8714</v>
      </c>
      <c r="H4615" s="5">
        <v>430</v>
      </c>
      <c r="I4615" t="s" s="2">
        <v>3470</v>
      </c>
      <c r="J4615" t="s" s="2">
        <v>22</v>
      </c>
      <c r="K4615" t="s" s="2">
        <v>8715</v>
      </c>
      <c r="L4615" t="s" s="2">
        <v>2872</v>
      </c>
      <c r="M4615" s="5">
        <v>569117.75</v>
      </c>
      <c r="N4615" s="5">
        <v>6104381.13</v>
      </c>
      <c r="O4615" t="s" s="2">
        <v>305</v>
      </c>
      <c r="P4615" s="5">
        <v>12930</v>
      </c>
      <c r="Q4615" t="s" s="2">
        <v>8716</v>
      </c>
      <c r="R4615" t="s" s="2">
        <f>_xlfn.IFERROR(INDEX('model_byCAP'!$D$2:$D$377,MATCH(Q4615,'model_byCAP'!$A$2:$A$377,0)),0)</f>
        <v>4115</v>
      </c>
    </row>
    <row r="4616" ht="15.35" customHeight="1">
      <c r="A4616" t="s" s="2">
        <v>8717</v>
      </c>
      <c r="B4616" s="4">
        <v>34243</v>
      </c>
      <c r="C4616" s="5">
        <v>150</v>
      </c>
      <c r="D4616" s="5">
        <v>23.8</v>
      </c>
      <c r="E4616" s="5">
        <v>30</v>
      </c>
      <c r="F4616" t="s" s="2">
        <v>42</v>
      </c>
      <c r="G4616" t="s" s="2">
        <v>42</v>
      </c>
      <c r="H4616" s="5">
        <v>450</v>
      </c>
      <c r="I4616" t="s" s="2">
        <v>2870</v>
      </c>
      <c r="J4616" t="s" s="2">
        <v>22</v>
      </c>
      <c r="K4616" t="s" s="2">
        <v>4369</v>
      </c>
      <c r="L4616" t="s" s="2">
        <v>1326</v>
      </c>
      <c r="M4616" s="5">
        <v>609801.08</v>
      </c>
      <c r="N4616" s="5">
        <v>6122873.72</v>
      </c>
      <c r="O4616" t="s" s="2">
        <v>305</v>
      </c>
      <c r="P4616" s="5">
        <v>99058</v>
      </c>
      <c r="Q4616" t="s" s="2">
        <v>43</v>
      </c>
      <c r="R4616" s="5">
        <f>_xlfn.IFERROR(INDEX('model_byCAP'!$D$2:$D$377,MATCH(Q4616,'model_byCAP'!$A$2:$A$377,0)),0)</f>
        <v>0</v>
      </c>
    </row>
    <row r="4617" ht="15.35" customHeight="1">
      <c r="A4617" t="s" s="2">
        <v>8718</v>
      </c>
      <c r="B4617" s="4">
        <v>34243</v>
      </c>
      <c r="C4617" s="5">
        <v>150</v>
      </c>
      <c r="D4617" s="5">
        <v>23.8</v>
      </c>
      <c r="E4617" s="5">
        <v>30</v>
      </c>
      <c r="F4617" t="s" s="2">
        <v>42</v>
      </c>
      <c r="G4617" t="s" s="2">
        <v>42</v>
      </c>
      <c r="H4617" s="5">
        <v>450</v>
      </c>
      <c r="I4617" t="s" s="2">
        <v>2870</v>
      </c>
      <c r="J4617" t="s" s="2">
        <v>22</v>
      </c>
      <c r="K4617" t="s" s="2">
        <v>4369</v>
      </c>
      <c r="L4617" t="s" s="2">
        <v>1326</v>
      </c>
      <c r="M4617" s="5">
        <v>609778.99</v>
      </c>
      <c r="N4617" s="5">
        <v>6122966.57</v>
      </c>
      <c r="O4617" t="s" s="2">
        <v>305</v>
      </c>
      <c r="P4617" s="5">
        <v>99058</v>
      </c>
      <c r="Q4617" t="s" s="2">
        <v>43</v>
      </c>
      <c r="R4617" s="5">
        <f>_xlfn.IFERROR(INDEX('model_byCAP'!$D$2:$D$377,MATCH(Q4617,'model_byCAP'!$A$2:$A$377,0)),0)</f>
        <v>0</v>
      </c>
    </row>
    <row r="4618" ht="15.35" customHeight="1">
      <c r="A4618" t="s" s="2">
        <v>8719</v>
      </c>
      <c r="B4618" s="4">
        <v>32779</v>
      </c>
      <c r="C4618" s="5">
        <v>150</v>
      </c>
      <c r="D4618" s="5">
        <v>23.8</v>
      </c>
      <c r="E4618" s="5">
        <v>30</v>
      </c>
      <c r="F4618" t="s" s="2">
        <v>1989</v>
      </c>
      <c r="G4618" t="s" s="2">
        <v>8675</v>
      </c>
      <c r="H4618" s="5">
        <v>510</v>
      </c>
      <c r="I4618" t="s" s="2">
        <v>3049</v>
      </c>
      <c r="J4618" t="s" s="2">
        <v>22</v>
      </c>
      <c r="K4618" t="s" s="2">
        <v>8720</v>
      </c>
      <c r="L4618" s="5">
        <v>6</v>
      </c>
      <c r="M4618" s="5">
        <v>540473.55</v>
      </c>
      <c r="N4618" s="5">
        <v>6115477.78</v>
      </c>
      <c r="O4618" t="s" s="2">
        <v>305</v>
      </c>
      <c r="P4618" s="5">
        <v>200261</v>
      </c>
      <c r="Q4618" t="s" s="2">
        <v>8678</v>
      </c>
      <c r="R4618" t="s" s="2">
        <f>_xlfn.IFERROR(INDEX('model_byCAP'!$D$2:$D$377,MATCH(Q4618,'model_byCAP'!$A$2:$A$377,0)),0)</f>
        <v>6174</v>
      </c>
    </row>
    <row r="4619" ht="15.35" customHeight="1">
      <c r="A4619" t="s" s="2">
        <v>8721</v>
      </c>
      <c r="B4619" s="4">
        <v>33108</v>
      </c>
      <c r="C4619" s="5">
        <v>150</v>
      </c>
      <c r="D4619" s="5">
        <v>24.6</v>
      </c>
      <c r="E4619" s="5">
        <v>32</v>
      </c>
      <c r="F4619" t="s" s="2">
        <v>42</v>
      </c>
      <c r="G4619" t="s" s="2">
        <v>42</v>
      </c>
      <c r="H4619" s="5">
        <v>510</v>
      </c>
      <c r="I4619" t="s" s="2">
        <v>3049</v>
      </c>
      <c r="J4619" t="s" s="2">
        <v>22</v>
      </c>
      <c r="K4619" t="s" s="2">
        <v>8722</v>
      </c>
      <c r="L4619" s="5">
        <v>369</v>
      </c>
      <c r="M4619" s="5">
        <v>529388.34</v>
      </c>
      <c r="N4619" s="5">
        <v>6113019.59</v>
      </c>
      <c r="O4619" t="s" s="2">
        <v>305</v>
      </c>
      <c r="P4619" s="5">
        <v>200269</v>
      </c>
      <c r="Q4619" t="s" s="2">
        <v>43</v>
      </c>
      <c r="R4619" s="5">
        <f>_xlfn.IFERROR(INDEX('model_byCAP'!$D$2:$D$377,MATCH(Q4619,'model_byCAP'!$A$2:$A$377,0)),0)</f>
        <v>0</v>
      </c>
    </row>
    <row r="4620" ht="15.35" customHeight="1">
      <c r="A4620" t="s" s="2">
        <v>8723</v>
      </c>
      <c r="B4620" s="4">
        <v>33478</v>
      </c>
      <c r="C4620" s="5">
        <v>150</v>
      </c>
      <c r="D4620" s="5">
        <v>0.1</v>
      </c>
      <c r="E4620" s="5">
        <v>0.1</v>
      </c>
      <c r="F4620" t="s" s="2">
        <v>42</v>
      </c>
      <c r="G4620" t="s" s="2">
        <v>42</v>
      </c>
      <c r="H4620" s="5">
        <v>550</v>
      </c>
      <c r="I4620" t="s" s="2">
        <v>526</v>
      </c>
      <c r="J4620" t="s" s="2">
        <v>22</v>
      </c>
      <c r="K4620" t="s" s="2">
        <v>6458</v>
      </c>
      <c r="L4620" s="5">
        <v>17</v>
      </c>
      <c r="M4620" s="5">
        <v>506140.77</v>
      </c>
      <c r="N4620" s="5">
        <v>6106836.25</v>
      </c>
      <c r="O4620" t="s" s="2">
        <v>305</v>
      </c>
      <c r="P4620" s="5">
        <v>21859</v>
      </c>
      <c r="Q4620" t="s" s="2">
        <v>43</v>
      </c>
      <c r="R4620" s="5">
        <f>_xlfn.IFERROR(INDEX('model_byCAP'!$D$2:$D$377,MATCH(Q4620,'model_byCAP'!$A$2:$A$377,0)),0)</f>
        <v>0</v>
      </c>
    </row>
    <row r="4621" ht="15.35" customHeight="1">
      <c r="A4621" t="s" s="2">
        <v>8724</v>
      </c>
      <c r="B4621" s="4">
        <v>33478</v>
      </c>
      <c r="C4621" s="5">
        <v>150</v>
      </c>
      <c r="D4621" s="5">
        <v>0.1</v>
      </c>
      <c r="E4621" s="5">
        <v>0.1</v>
      </c>
      <c r="F4621" t="s" s="2">
        <v>42</v>
      </c>
      <c r="G4621" t="s" s="2">
        <v>42</v>
      </c>
      <c r="H4621" s="5">
        <v>550</v>
      </c>
      <c r="I4621" t="s" s="2">
        <v>526</v>
      </c>
      <c r="J4621" t="s" s="2">
        <v>22</v>
      </c>
      <c r="K4621" t="s" s="2">
        <v>6458</v>
      </c>
      <c r="L4621" s="5">
        <v>17</v>
      </c>
      <c r="M4621" s="5">
        <v>506120.53</v>
      </c>
      <c r="N4621" s="5">
        <v>6106653.2</v>
      </c>
      <c r="O4621" t="s" s="2">
        <v>305</v>
      </c>
      <c r="P4621" s="5">
        <v>21860</v>
      </c>
      <c r="Q4621" t="s" s="2">
        <v>43</v>
      </c>
      <c r="R4621" s="5">
        <f>_xlfn.IFERROR(INDEX('model_byCAP'!$D$2:$D$377,MATCH(Q4621,'model_byCAP'!$A$2:$A$377,0)),0)</f>
        <v>0</v>
      </c>
    </row>
    <row r="4622" ht="15.35" customHeight="1">
      <c r="A4622" t="s" s="2">
        <v>8725</v>
      </c>
      <c r="B4622" s="4">
        <v>33032</v>
      </c>
      <c r="C4622" s="5">
        <v>150</v>
      </c>
      <c r="D4622" s="5">
        <v>24.6</v>
      </c>
      <c r="E4622" s="5">
        <v>32.5</v>
      </c>
      <c r="F4622" t="s" s="2">
        <v>42</v>
      </c>
      <c r="G4622" t="s" s="2">
        <v>42</v>
      </c>
      <c r="H4622" s="5">
        <v>550</v>
      </c>
      <c r="I4622" t="s" s="2">
        <v>526</v>
      </c>
      <c r="J4622" t="s" s="2">
        <v>22</v>
      </c>
      <c r="K4622" t="s" s="2">
        <v>6488</v>
      </c>
      <c r="L4622" s="5">
        <v>88</v>
      </c>
      <c r="M4622" s="5">
        <v>480281.35</v>
      </c>
      <c r="N4622" s="5">
        <v>6117519.33</v>
      </c>
      <c r="O4622" t="s" s="2">
        <v>305</v>
      </c>
      <c r="P4622" s="5">
        <v>30736</v>
      </c>
      <c r="Q4622" t="s" s="2">
        <v>43</v>
      </c>
      <c r="R4622" s="5">
        <f>_xlfn.IFERROR(INDEX('model_byCAP'!$D$2:$D$377,MATCH(Q4622,'model_byCAP'!$A$2:$A$377,0)),0)</f>
        <v>0</v>
      </c>
    </row>
    <row r="4623" ht="15.35" customHeight="1">
      <c r="A4623" t="s" s="2">
        <v>8726</v>
      </c>
      <c r="B4623" s="4">
        <v>33032</v>
      </c>
      <c r="C4623" s="5">
        <v>150</v>
      </c>
      <c r="D4623" s="5">
        <v>24.6</v>
      </c>
      <c r="E4623" s="5">
        <v>32.5</v>
      </c>
      <c r="F4623" t="s" s="2">
        <v>42</v>
      </c>
      <c r="G4623" t="s" s="2">
        <v>42</v>
      </c>
      <c r="H4623" s="5">
        <v>550</v>
      </c>
      <c r="I4623" t="s" s="2">
        <v>526</v>
      </c>
      <c r="J4623" t="s" s="2">
        <v>22</v>
      </c>
      <c r="K4623" t="s" s="2">
        <v>6488</v>
      </c>
      <c r="L4623" s="5">
        <v>88</v>
      </c>
      <c r="M4623" s="5">
        <v>480192.1</v>
      </c>
      <c r="N4623" s="5">
        <v>6117607.31</v>
      </c>
      <c r="O4623" t="s" s="2">
        <v>305</v>
      </c>
      <c r="P4623" s="5">
        <v>30737</v>
      </c>
      <c r="Q4623" t="s" s="2">
        <v>43</v>
      </c>
      <c r="R4623" s="5">
        <f>_xlfn.IFERROR(INDEX('model_byCAP'!$D$2:$D$377,MATCH(Q4623,'model_byCAP'!$A$2:$A$377,0)),0)</f>
        <v>0</v>
      </c>
    </row>
    <row r="4624" ht="15.35" customHeight="1">
      <c r="A4624" t="s" s="2">
        <v>8727</v>
      </c>
      <c r="B4624" s="4">
        <v>33114</v>
      </c>
      <c r="C4624" s="5">
        <v>150</v>
      </c>
      <c r="D4624" s="5">
        <v>27</v>
      </c>
      <c r="E4624" s="5">
        <v>31</v>
      </c>
      <c r="F4624" t="s" s="2">
        <v>4716</v>
      </c>
      <c r="G4624" t="s" s="2">
        <v>8728</v>
      </c>
      <c r="H4624" s="5">
        <v>550</v>
      </c>
      <c r="I4624" t="s" s="2">
        <v>526</v>
      </c>
      <c r="J4624" t="s" s="2">
        <v>22</v>
      </c>
      <c r="K4624" t="s" s="2">
        <v>8729</v>
      </c>
      <c r="L4624" s="5">
        <v>40</v>
      </c>
      <c r="M4624" s="5">
        <v>484244.76</v>
      </c>
      <c r="N4624" s="5">
        <v>6092126.76</v>
      </c>
      <c r="O4624" t="s" s="2">
        <v>305</v>
      </c>
      <c r="P4624" s="5">
        <v>30791</v>
      </c>
      <c r="Q4624" t="s" s="2">
        <v>8730</v>
      </c>
      <c r="R4624" t="s" s="2">
        <f>_xlfn.IFERROR(INDEX('model_byCAP'!$D$2:$D$377,MATCH(Q4624,'model_byCAP'!$A$2:$A$377,0)),0)</f>
        <v>8049</v>
      </c>
    </row>
    <row r="4625" ht="15.35" customHeight="1">
      <c r="A4625" t="s" s="2">
        <v>8731</v>
      </c>
      <c r="B4625" s="4">
        <v>33297</v>
      </c>
      <c r="C4625" s="5">
        <v>150</v>
      </c>
      <c r="D4625" s="5">
        <v>24.6</v>
      </c>
      <c r="E4625" s="5">
        <v>32</v>
      </c>
      <c r="F4625" t="s" s="2">
        <v>42</v>
      </c>
      <c r="G4625" t="s" s="2">
        <v>42</v>
      </c>
      <c r="H4625" s="5">
        <v>550</v>
      </c>
      <c r="I4625" t="s" s="2">
        <v>526</v>
      </c>
      <c r="J4625" t="s" s="2">
        <v>22</v>
      </c>
      <c r="K4625" t="s" s="2">
        <v>6494</v>
      </c>
      <c r="L4625" s="5">
        <v>58</v>
      </c>
      <c r="M4625" s="5">
        <v>486510.88</v>
      </c>
      <c r="N4625" s="5">
        <v>6111432.29</v>
      </c>
      <c r="O4625" t="s" s="2">
        <v>305</v>
      </c>
      <c r="P4625" s="5">
        <v>30962</v>
      </c>
      <c r="Q4625" t="s" s="2">
        <v>43</v>
      </c>
      <c r="R4625" s="5">
        <f>_xlfn.IFERROR(INDEX('model_byCAP'!$D$2:$D$377,MATCH(Q4625,'model_byCAP'!$A$2:$A$377,0)),0)</f>
        <v>0</v>
      </c>
    </row>
    <row r="4626" ht="15.35" customHeight="1">
      <c r="A4626" t="s" s="2">
        <v>8732</v>
      </c>
      <c r="B4626" s="4">
        <v>33322</v>
      </c>
      <c r="C4626" s="5">
        <v>150</v>
      </c>
      <c r="D4626" s="5">
        <v>24.6</v>
      </c>
      <c r="E4626" s="5">
        <v>32.5</v>
      </c>
      <c r="F4626" t="s" s="2">
        <v>42</v>
      </c>
      <c r="G4626" t="s" s="2">
        <v>42</v>
      </c>
      <c r="H4626" s="5">
        <v>550</v>
      </c>
      <c r="I4626" t="s" s="2">
        <v>526</v>
      </c>
      <c r="J4626" t="s" s="2">
        <v>22</v>
      </c>
      <c r="K4626" t="s" s="2">
        <v>4461</v>
      </c>
      <c r="L4626" s="5">
        <v>741</v>
      </c>
      <c r="M4626" s="5">
        <v>480739.59</v>
      </c>
      <c r="N4626" s="5">
        <v>6120004.74</v>
      </c>
      <c r="O4626" t="s" s="2">
        <v>305</v>
      </c>
      <c r="P4626" s="5">
        <v>77695</v>
      </c>
      <c r="Q4626" t="s" s="2">
        <v>43</v>
      </c>
      <c r="R4626" s="5">
        <f>_xlfn.IFERROR(INDEX('model_byCAP'!$D$2:$D$377,MATCH(Q4626,'model_byCAP'!$A$2:$A$377,0)),0)</f>
        <v>0</v>
      </c>
    </row>
    <row r="4627" ht="15.35" customHeight="1">
      <c r="A4627" t="s" s="2">
        <v>8733</v>
      </c>
      <c r="B4627" s="4">
        <v>33322</v>
      </c>
      <c r="C4627" s="5">
        <v>150</v>
      </c>
      <c r="D4627" s="5">
        <v>24.6</v>
      </c>
      <c r="E4627" s="5">
        <v>32.5</v>
      </c>
      <c r="F4627" t="s" s="2">
        <v>42</v>
      </c>
      <c r="G4627" t="s" s="2">
        <v>42</v>
      </c>
      <c r="H4627" s="5">
        <v>550</v>
      </c>
      <c r="I4627" t="s" s="2">
        <v>526</v>
      </c>
      <c r="J4627" t="s" s="2">
        <v>22</v>
      </c>
      <c r="K4627" t="s" s="2">
        <v>4461</v>
      </c>
      <c r="L4627" s="5">
        <v>741</v>
      </c>
      <c r="M4627" s="5">
        <v>480727.93</v>
      </c>
      <c r="N4627" s="5">
        <v>6120117.07</v>
      </c>
      <c r="O4627" t="s" s="2">
        <v>305</v>
      </c>
      <c r="P4627" s="5">
        <v>77696</v>
      </c>
      <c r="Q4627" t="s" s="2">
        <v>43</v>
      </c>
      <c r="R4627" s="5">
        <f>_xlfn.IFERROR(INDEX('model_byCAP'!$D$2:$D$377,MATCH(Q4627,'model_byCAP'!$A$2:$A$377,0)),0)</f>
        <v>0</v>
      </c>
    </row>
    <row r="4628" ht="15.35" customHeight="1">
      <c r="A4628" t="s" s="2">
        <v>8734</v>
      </c>
      <c r="B4628" s="4">
        <v>36214</v>
      </c>
      <c r="C4628" s="5">
        <v>150</v>
      </c>
      <c r="D4628" s="5">
        <v>24.6</v>
      </c>
      <c r="E4628" s="5">
        <v>32.5</v>
      </c>
      <c r="F4628" t="s" s="2">
        <v>42</v>
      </c>
      <c r="G4628" t="s" s="2">
        <v>42</v>
      </c>
      <c r="H4628" s="5">
        <v>550</v>
      </c>
      <c r="I4628" t="s" s="2">
        <v>526</v>
      </c>
      <c r="J4628" t="s" s="2">
        <v>22</v>
      </c>
      <c r="K4628" t="s" s="2">
        <v>4461</v>
      </c>
      <c r="L4628" s="5">
        <v>28</v>
      </c>
      <c r="M4628" s="5">
        <v>480751.02</v>
      </c>
      <c r="N4628" s="5">
        <v>6119892.44</v>
      </c>
      <c r="O4628" t="s" s="2">
        <v>305</v>
      </c>
      <c r="P4628" s="5">
        <v>90459</v>
      </c>
      <c r="Q4628" t="s" s="2">
        <v>43</v>
      </c>
      <c r="R4628" s="5">
        <f>_xlfn.IFERROR(INDEX('model_byCAP'!$D$2:$D$377,MATCH(Q4628,'model_byCAP'!$A$2:$A$377,0)),0)</f>
        <v>0</v>
      </c>
    </row>
    <row r="4629" ht="15.35" customHeight="1">
      <c r="A4629" t="s" s="2">
        <v>8735</v>
      </c>
      <c r="B4629" s="4">
        <v>33399</v>
      </c>
      <c r="C4629" s="5">
        <v>150</v>
      </c>
      <c r="D4629" s="5">
        <v>23</v>
      </c>
      <c r="E4629" s="5">
        <v>30</v>
      </c>
      <c r="F4629" t="s" s="2">
        <v>1989</v>
      </c>
      <c r="G4629" t="s" s="2">
        <v>7685</v>
      </c>
      <c r="H4629" s="5">
        <v>561</v>
      </c>
      <c r="I4629" t="s" s="2">
        <v>196</v>
      </c>
      <c r="J4629" t="s" s="2">
        <v>22</v>
      </c>
      <c r="K4629" t="s" s="2">
        <v>8736</v>
      </c>
      <c r="L4629" t="s" s="2">
        <v>524</v>
      </c>
      <c r="M4629" s="5">
        <v>492993.41</v>
      </c>
      <c r="N4629" s="5">
        <v>6139188.37</v>
      </c>
      <c r="O4629" t="s" s="2">
        <v>305</v>
      </c>
      <c r="P4629" s="5">
        <v>31015</v>
      </c>
      <c r="Q4629" t="s" s="2">
        <v>7687</v>
      </c>
      <c r="R4629" t="s" s="2">
        <f>_xlfn.IFERROR(INDEX('model_byCAP'!$D$2:$D$377,MATCH(Q4629,'model_byCAP'!$A$2:$A$377,0)),0)</f>
        <v>6174</v>
      </c>
    </row>
    <row r="4630" ht="15.35" customHeight="1">
      <c r="A4630" t="s" s="2">
        <v>8737</v>
      </c>
      <c r="B4630" s="4">
        <v>33616</v>
      </c>
      <c r="C4630" s="5">
        <v>150</v>
      </c>
      <c r="D4630" s="5">
        <v>0.1</v>
      </c>
      <c r="E4630" s="5">
        <v>0.1</v>
      </c>
      <c r="F4630" t="s" s="2">
        <v>42</v>
      </c>
      <c r="G4630" t="s" s="2">
        <v>42</v>
      </c>
      <c r="H4630" s="5">
        <v>573</v>
      </c>
      <c r="I4630" t="s" s="2">
        <v>1041</v>
      </c>
      <c r="J4630" t="s" s="2">
        <v>22</v>
      </c>
      <c r="K4630" t="s" s="2">
        <v>8738</v>
      </c>
      <c r="L4630" t="s" s="2">
        <v>4399</v>
      </c>
      <c r="M4630" s="5">
        <v>460004.05</v>
      </c>
      <c r="N4630" s="5">
        <v>6168000.62</v>
      </c>
      <c r="O4630" t="s" s="2">
        <v>25</v>
      </c>
      <c r="P4630" s="5">
        <v>57070</v>
      </c>
      <c r="Q4630" t="s" s="2">
        <v>43</v>
      </c>
      <c r="R4630" s="5">
        <f>_xlfn.IFERROR(INDEX('model_byCAP'!$D$2:$D$377,MATCH(Q4630,'model_byCAP'!$A$2:$A$377,0)),0)</f>
        <v>0</v>
      </c>
    </row>
    <row r="4631" ht="15.35" customHeight="1">
      <c r="A4631" t="s" s="2">
        <v>8739</v>
      </c>
      <c r="B4631" s="4">
        <v>33616</v>
      </c>
      <c r="C4631" s="5">
        <v>150</v>
      </c>
      <c r="D4631" s="5">
        <v>0.1</v>
      </c>
      <c r="E4631" s="5">
        <v>0.1</v>
      </c>
      <c r="F4631" t="s" s="2">
        <v>42</v>
      </c>
      <c r="G4631" t="s" s="2">
        <v>42</v>
      </c>
      <c r="H4631" s="5">
        <v>573</v>
      </c>
      <c r="I4631" t="s" s="2">
        <v>1041</v>
      </c>
      <c r="J4631" t="s" s="2">
        <v>22</v>
      </c>
      <c r="K4631" t="s" s="2">
        <v>8738</v>
      </c>
      <c r="L4631" t="s" s="2">
        <v>4399</v>
      </c>
      <c r="M4631" s="5">
        <v>459982.81</v>
      </c>
      <c r="N4631" s="5">
        <v>6167843.63</v>
      </c>
      <c r="O4631" t="s" s="2">
        <v>25</v>
      </c>
      <c r="P4631" s="5">
        <v>57070</v>
      </c>
      <c r="Q4631" t="s" s="2">
        <v>43</v>
      </c>
      <c r="R4631" s="5">
        <f>_xlfn.IFERROR(INDEX('model_byCAP'!$D$2:$D$377,MATCH(Q4631,'model_byCAP'!$A$2:$A$377,0)),0)</f>
        <v>0</v>
      </c>
    </row>
    <row r="4632" ht="15.35" customHeight="1">
      <c r="A4632" t="s" s="2">
        <v>8740</v>
      </c>
      <c r="B4632" s="4">
        <v>33616</v>
      </c>
      <c r="C4632" s="5">
        <v>150</v>
      </c>
      <c r="D4632" s="5">
        <v>0.1</v>
      </c>
      <c r="E4632" s="5">
        <v>0.1</v>
      </c>
      <c r="F4632" t="s" s="2">
        <v>42</v>
      </c>
      <c r="G4632" t="s" s="2">
        <v>42</v>
      </c>
      <c r="H4632" s="5">
        <v>573</v>
      </c>
      <c r="I4632" t="s" s="2">
        <v>1041</v>
      </c>
      <c r="J4632" t="s" s="2">
        <v>22</v>
      </c>
      <c r="K4632" t="s" s="2">
        <v>8738</v>
      </c>
      <c r="L4632" t="s" s="2">
        <v>4399</v>
      </c>
      <c r="M4632" s="5">
        <v>459961.72</v>
      </c>
      <c r="N4632" s="5">
        <v>6167687.36</v>
      </c>
      <c r="O4632" t="s" s="2">
        <v>25</v>
      </c>
      <c r="P4632" s="5">
        <v>57070</v>
      </c>
      <c r="Q4632" t="s" s="2">
        <v>43</v>
      </c>
      <c r="R4632" s="5">
        <f>_xlfn.IFERROR(INDEX('model_byCAP'!$D$2:$D$377,MATCH(Q4632,'model_byCAP'!$A$2:$A$377,0)),0)</f>
        <v>0</v>
      </c>
    </row>
    <row r="4633" ht="15.35" customHeight="1">
      <c r="A4633" t="s" s="2">
        <v>8741</v>
      </c>
      <c r="B4633" s="4">
        <v>33616</v>
      </c>
      <c r="C4633" s="5">
        <v>150</v>
      </c>
      <c r="D4633" s="5">
        <v>24</v>
      </c>
      <c r="E4633" s="5">
        <v>30</v>
      </c>
      <c r="F4633" t="s" s="2">
        <v>1989</v>
      </c>
      <c r="G4633" t="s" s="2">
        <v>7685</v>
      </c>
      <c r="H4633" s="5">
        <v>573</v>
      </c>
      <c r="I4633" t="s" s="2">
        <v>1041</v>
      </c>
      <c r="J4633" t="s" s="2">
        <v>22</v>
      </c>
      <c r="K4633" t="s" s="2">
        <v>8742</v>
      </c>
      <c r="L4633" t="s" s="2">
        <v>8743</v>
      </c>
      <c r="M4633" s="5">
        <v>460045.57</v>
      </c>
      <c r="N4633" s="5">
        <v>6168314.37</v>
      </c>
      <c r="O4633" t="s" s="2">
        <v>305</v>
      </c>
      <c r="P4633" s="5">
        <v>57257</v>
      </c>
      <c r="Q4633" t="s" s="2">
        <v>7687</v>
      </c>
      <c r="R4633" t="s" s="2">
        <f>_xlfn.IFERROR(INDEX('model_byCAP'!$D$2:$D$377,MATCH(Q4633,'model_byCAP'!$A$2:$A$377,0)),0)</f>
        <v>6174</v>
      </c>
    </row>
    <row r="4634" ht="15.35" customHeight="1">
      <c r="A4634" t="s" s="2">
        <v>8744</v>
      </c>
      <c r="B4634" s="4">
        <v>33616</v>
      </c>
      <c r="C4634" s="5">
        <v>150</v>
      </c>
      <c r="D4634" s="5">
        <v>24</v>
      </c>
      <c r="E4634" s="5">
        <v>30</v>
      </c>
      <c r="F4634" t="s" s="2">
        <v>1989</v>
      </c>
      <c r="G4634" t="s" s="2">
        <v>7685</v>
      </c>
      <c r="H4634" s="5">
        <v>573</v>
      </c>
      <c r="I4634" t="s" s="2">
        <v>1041</v>
      </c>
      <c r="J4634" t="s" s="2">
        <v>22</v>
      </c>
      <c r="K4634" t="s" s="2">
        <v>8742</v>
      </c>
      <c r="L4634" t="s" s="2">
        <v>8743</v>
      </c>
      <c r="M4634" s="5">
        <v>460024.39</v>
      </c>
      <c r="N4634" s="5">
        <v>6168158.33</v>
      </c>
      <c r="O4634" t="s" s="2">
        <v>305</v>
      </c>
      <c r="P4634" s="5">
        <v>57257</v>
      </c>
      <c r="Q4634" t="s" s="2">
        <v>7687</v>
      </c>
      <c r="R4634" t="s" s="2">
        <f>_xlfn.IFERROR(INDEX('model_byCAP'!$D$2:$D$377,MATCH(Q4634,'model_byCAP'!$A$2:$A$377,0)),0)</f>
        <v>6174</v>
      </c>
    </row>
    <row r="4635" ht="15.35" customHeight="1">
      <c r="A4635" t="s" s="2">
        <v>8745</v>
      </c>
      <c r="B4635" s="4">
        <v>35053</v>
      </c>
      <c r="C4635" s="5">
        <v>150</v>
      </c>
      <c r="D4635" s="5">
        <v>0.1</v>
      </c>
      <c r="E4635" s="5">
        <v>0.1</v>
      </c>
      <c r="F4635" t="s" s="2">
        <v>42</v>
      </c>
      <c r="G4635" t="s" s="2">
        <v>42</v>
      </c>
      <c r="H4635" s="5">
        <v>575</v>
      </c>
      <c r="I4635" t="s" s="2">
        <v>2952</v>
      </c>
      <c r="J4635" t="s" s="2">
        <v>22</v>
      </c>
      <c r="K4635" t="s" s="2">
        <v>8746</v>
      </c>
      <c r="L4635" t="s" s="2">
        <v>390</v>
      </c>
      <c r="M4635" s="5">
        <v>493450.11</v>
      </c>
      <c r="N4635" s="5">
        <v>6153658.69</v>
      </c>
      <c r="O4635" t="s" s="2">
        <v>305</v>
      </c>
      <c r="P4635" s="5">
        <v>59672</v>
      </c>
      <c r="Q4635" t="s" s="2">
        <v>43</v>
      </c>
      <c r="R4635" s="5">
        <f>_xlfn.IFERROR(INDEX('model_byCAP'!$D$2:$D$377,MATCH(Q4635,'model_byCAP'!$A$2:$A$377,0)),0)</f>
        <v>0</v>
      </c>
    </row>
    <row r="4636" ht="15.35" customHeight="1">
      <c r="A4636" t="s" s="2">
        <v>8747</v>
      </c>
      <c r="B4636" s="4">
        <v>33266</v>
      </c>
      <c r="C4636" s="5">
        <v>150</v>
      </c>
      <c r="D4636" s="5">
        <v>40</v>
      </c>
      <c r="E4636" s="5">
        <v>30</v>
      </c>
      <c r="F4636" t="s" s="2">
        <v>1989</v>
      </c>
      <c r="G4636" t="s" s="2">
        <v>8645</v>
      </c>
      <c r="H4636" s="5">
        <v>575</v>
      </c>
      <c r="I4636" t="s" s="2">
        <v>2952</v>
      </c>
      <c r="J4636" t="s" s="2">
        <v>22</v>
      </c>
      <c r="K4636" t="s" s="2">
        <v>8748</v>
      </c>
      <c r="L4636" s="5">
        <v>25</v>
      </c>
      <c r="M4636" s="5">
        <v>510219.52</v>
      </c>
      <c r="N4636" s="5">
        <v>6132113.59</v>
      </c>
      <c r="O4636" t="s" s="2">
        <v>25</v>
      </c>
      <c r="P4636" s="5">
        <v>21759</v>
      </c>
      <c r="Q4636" t="s" s="2">
        <v>8647</v>
      </c>
      <c r="R4636" t="s" s="2">
        <f>_xlfn.IFERROR(INDEX('model_byCAP'!$D$2:$D$377,MATCH(Q4636,'model_byCAP'!$A$2:$A$377,0)),0)</f>
        <v>6174</v>
      </c>
    </row>
    <row r="4637" ht="15.35" customHeight="1">
      <c r="A4637" t="s" s="2">
        <v>8749</v>
      </c>
      <c r="B4637" s="4">
        <v>32695</v>
      </c>
      <c r="C4637" s="5">
        <v>150</v>
      </c>
      <c r="D4637" s="5">
        <v>27</v>
      </c>
      <c r="E4637" s="5">
        <v>30</v>
      </c>
      <c r="F4637" t="s" s="2">
        <v>2328</v>
      </c>
      <c r="G4637" t="s" s="2">
        <v>8750</v>
      </c>
      <c r="H4637" s="5">
        <v>580</v>
      </c>
      <c r="I4637" t="s" s="2">
        <v>1542</v>
      </c>
      <c r="J4637" t="s" s="2">
        <v>22</v>
      </c>
      <c r="K4637" t="s" s="2">
        <v>8751</v>
      </c>
      <c r="L4637" s="5">
        <v>17</v>
      </c>
      <c r="M4637" s="5">
        <v>502765.47</v>
      </c>
      <c r="N4637" s="5">
        <v>6085011.5</v>
      </c>
      <c r="O4637" t="s" s="2">
        <v>305</v>
      </c>
      <c r="P4637" s="5">
        <v>30492</v>
      </c>
      <c r="Q4637" t="s" s="2">
        <v>8752</v>
      </c>
      <c r="R4637" t="s" s="2">
        <f>_xlfn.IFERROR(INDEX('model_byCAP'!$D$2:$D$377,MATCH(Q4637,'model_byCAP'!$A$2:$A$377,0)),0)</f>
        <v>7996</v>
      </c>
    </row>
    <row r="4638" ht="15.35" customHeight="1">
      <c r="A4638" t="s" s="2">
        <v>8753</v>
      </c>
      <c r="B4638" s="4">
        <v>33421</v>
      </c>
      <c r="C4638" s="5">
        <v>150</v>
      </c>
      <c r="D4638" s="5">
        <v>27</v>
      </c>
      <c r="E4638" s="5">
        <v>40</v>
      </c>
      <c r="F4638" t="s" s="2">
        <v>2328</v>
      </c>
      <c r="G4638" t="s" s="2">
        <v>7994</v>
      </c>
      <c r="H4638" s="5">
        <v>580</v>
      </c>
      <c r="I4638" t="s" s="2">
        <v>1542</v>
      </c>
      <c r="J4638" t="s" s="2">
        <v>22</v>
      </c>
      <c r="K4638" t="s" s="2">
        <v>8754</v>
      </c>
      <c r="L4638" s="5">
        <v>16</v>
      </c>
      <c r="M4638" s="5">
        <v>524084.93</v>
      </c>
      <c r="N4638" s="5">
        <v>6085182.88</v>
      </c>
      <c r="O4638" t="s" s="2">
        <v>305</v>
      </c>
      <c r="P4638" s="5">
        <v>200219</v>
      </c>
      <c r="Q4638" t="s" s="2">
        <v>7995</v>
      </c>
      <c r="R4638" t="s" s="2">
        <f>_xlfn.IFERROR(INDEX('model_byCAP'!$D$2:$D$377,MATCH(Q4638,'model_byCAP'!$A$2:$A$377,0)),0)</f>
        <v>7996</v>
      </c>
    </row>
    <row r="4639" ht="15.35" customHeight="1">
      <c r="A4639" t="s" s="2">
        <v>8755</v>
      </c>
      <c r="B4639" s="4">
        <v>32209</v>
      </c>
      <c r="C4639" s="5">
        <v>150</v>
      </c>
      <c r="D4639" s="5">
        <v>23</v>
      </c>
      <c r="E4639" s="5">
        <v>24</v>
      </c>
      <c r="F4639" t="s" s="2">
        <v>1989</v>
      </c>
      <c r="G4639" t="s" s="2">
        <v>8675</v>
      </c>
      <c r="H4639" s="5">
        <v>615</v>
      </c>
      <c r="I4639" t="s" s="2">
        <v>3590</v>
      </c>
      <c r="J4639" t="s" s="2">
        <v>22</v>
      </c>
      <c r="K4639" t="s" s="2">
        <v>8756</v>
      </c>
      <c r="L4639" t="s" s="2">
        <v>2296</v>
      </c>
      <c r="M4639" s="5">
        <v>543966.1800000001</v>
      </c>
      <c r="N4639" s="5">
        <v>6196828.7</v>
      </c>
      <c r="O4639" t="s" s="2">
        <v>305</v>
      </c>
      <c r="P4639" s="5">
        <v>1030009</v>
      </c>
      <c r="Q4639" t="s" s="2">
        <v>8678</v>
      </c>
      <c r="R4639" t="s" s="2">
        <f>_xlfn.IFERROR(INDEX('model_byCAP'!$D$2:$D$377,MATCH(Q4639,'model_byCAP'!$A$2:$A$377,0)),0)</f>
        <v>6174</v>
      </c>
    </row>
    <row r="4640" ht="15.35" customHeight="1">
      <c r="A4640" t="s" s="2">
        <v>8757</v>
      </c>
      <c r="B4640" s="4">
        <v>32930</v>
      </c>
      <c r="C4640" s="5">
        <v>150</v>
      </c>
      <c r="D4640" s="5">
        <v>27</v>
      </c>
      <c r="E4640" s="5">
        <v>31.8</v>
      </c>
      <c r="F4640" t="s" s="2">
        <v>2328</v>
      </c>
      <c r="G4640" t="s" s="2">
        <v>8750</v>
      </c>
      <c r="H4640" s="5">
        <v>621</v>
      </c>
      <c r="I4640" t="s" s="2">
        <v>2921</v>
      </c>
      <c r="J4640" t="s" s="2">
        <v>22</v>
      </c>
      <c r="K4640" t="s" s="2">
        <v>8758</v>
      </c>
      <c r="L4640" t="s" s="2">
        <v>500</v>
      </c>
      <c r="M4640" s="5">
        <v>522728.63</v>
      </c>
      <c r="N4640" s="5">
        <v>6153798.28</v>
      </c>
      <c r="O4640" t="s" s="2">
        <v>305</v>
      </c>
      <c r="P4640" s="5">
        <v>238222</v>
      </c>
      <c r="Q4640" t="s" s="2">
        <v>8752</v>
      </c>
      <c r="R4640" t="s" s="2">
        <f>_xlfn.IFERROR(INDEX('model_byCAP'!$D$2:$D$377,MATCH(Q4640,'model_byCAP'!$A$2:$A$377,0)),0)</f>
        <v>7996</v>
      </c>
    </row>
    <row r="4641" ht="15.35" customHeight="1">
      <c r="A4641" t="s" s="2">
        <v>8759</v>
      </c>
      <c r="B4641" s="4">
        <v>33374</v>
      </c>
      <c r="C4641" s="5">
        <v>150</v>
      </c>
      <c r="D4641" s="5">
        <v>33.4</v>
      </c>
      <c r="E4641" s="5">
        <v>30</v>
      </c>
      <c r="F4641" t="s" s="2">
        <v>1989</v>
      </c>
      <c r="G4641" t="s" s="2">
        <v>7685</v>
      </c>
      <c r="H4641" s="5">
        <v>621</v>
      </c>
      <c r="I4641" t="s" s="2">
        <v>2921</v>
      </c>
      <c r="J4641" t="s" s="2">
        <v>22</v>
      </c>
      <c r="K4641" t="s" s="2">
        <v>8760</v>
      </c>
      <c r="L4641" t="s" s="2">
        <v>2348</v>
      </c>
      <c r="M4641" s="5">
        <v>538232.03</v>
      </c>
      <c r="N4641" s="5">
        <v>6137381.47</v>
      </c>
      <c r="O4641" t="s" s="2">
        <v>305</v>
      </c>
      <c r="P4641" s="5">
        <v>38592</v>
      </c>
      <c r="Q4641" t="s" s="2">
        <v>7687</v>
      </c>
      <c r="R4641" t="s" s="2">
        <f>_xlfn.IFERROR(INDEX('model_byCAP'!$D$2:$D$377,MATCH(Q4641,'model_byCAP'!$A$2:$A$377,0)),0)</f>
        <v>6174</v>
      </c>
    </row>
    <row r="4642" ht="15.35" customHeight="1">
      <c r="A4642" t="s" s="2">
        <v>8761</v>
      </c>
      <c r="B4642" s="4">
        <v>33501</v>
      </c>
      <c r="C4642" s="5">
        <v>150</v>
      </c>
      <c r="D4642" s="5">
        <v>24.6</v>
      </c>
      <c r="E4642" s="5">
        <v>32.5</v>
      </c>
      <c r="F4642" t="s" s="2">
        <v>42</v>
      </c>
      <c r="G4642" t="s" s="2">
        <v>42</v>
      </c>
      <c r="H4642" s="5">
        <v>621</v>
      </c>
      <c r="I4642" t="s" s="2">
        <v>2921</v>
      </c>
      <c r="J4642" t="s" s="2">
        <v>22</v>
      </c>
      <c r="K4642" t="s" s="2">
        <v>8762</v>
      </c>
      <c r="L4642" t="s" s="2">
        <v>518</v>
      </c>
      <c r="M4642" s="5">
        <v>533428.29</v>
      </c>
      <c r="N4642" s="5">
        <v>6145313.54</v>
      </c>
      <c r="O4642" t="s" s="2">
        <v>305</v>
      </c>
      <c r="P4642" s="5">
        <v>38672</v>
      </c>
      <c r="Q4642" t="s" s="2">
        <v>43</v>
      </c>
      <c r="R4642" s="5">
        <f>_xlfn.IFERROR(INDEX('model_byCAP'!$D$2:$D$377,MATCH(Q4642,'model_byCAP'!$A$2:$A$377,0)),0)</f>
        <v>0</v>
      </c>
    </row>
    <row r="4643" ht="15.35" customHeight="1">
      <c r="A4643" t="s" s="2">
        <v>8763</v>
      </c>
      <c r="B4643" s="4">
        <v>33501</v>
      </c>
      <c r="C4643" s="5">
        <v>150</v>
      </c>
      <c r="D4643" s="5">
        <v>24.6</v>
      </c>
      <c r="E4643" s="5">
        <v>32.5</v>
      </c>
      <c r="F4643" t="s" s="2">
        <v>42</v>
      </c>
      <c r="G4643" t="s" s="2">
        <v>42</v>
      </c>
      <c r="H4643" s="5">
        <v>621</v>
      </c>
      <c r="I4643" t="s" s="2">
        <v>2921</v>
      </c>
      <c r="J4643" t="s" s="2">
        <v>22</v>
      </c>
      <c r="K4643" t="s" s="2">
        <v>8762</v>
      </c>
      <c r="L4643" t="s" s="2">
        <v>518</v>
      </c>
      <c r="M4643" s="5">
        <v>533411.6</v>
      </c>
      <c r="N4643" s="5">
        <v>6145190</v>
      </c>
      <c r="O4643" t="s" s="2">
        <v>305</v>
      </c>
      <c r="P4643" s="5">
        <v>38672</v>
      </c>
      <c r="Q4643" t="s" s="2">
        <v>43</v>
      </c>
      <c r="R4643" s="5">
        <f>_xlfn.IFERROR(INDEX('model_byCAP'!$D$2:$D$377,MATCH(Q4643,'model_byCAP'!$A$2:$A$377,0)),0)</f>
        <v>0</v>
      </c>
    </row>
    <row r="4644" ht="15.35" customHeight="1">
      <c r="A4644" t="s" s="2">
        <v>8764</v>
      </c>
      <c r="B4644" s="4">
        <v>33501</v>
      </c>
      <c r="C4644" s="5">
        <v>150</v>
      </c>
      <c r="D4644" s="5">
        <v>24.6</v>
      </c>
      <c r="E4644" s="5">
        <v>32.5</v>
      </c>
      <c r="F4644" t="s" s="2">
        <v>42</v>
      </c>
      <c r="G4644" t="s" s="2">
        <v>42</v>
      </c>
      <c r="H4644" s="5">
        <v>621</v>
      </c>
      <c r="I4644" t="s" s="2">
        <v>2921</v>
      </c>
      <c r="J4644" t="s" s="2">
        <v>22</v>
      </c>
      <c r="K4644" t="s" s="2">
        <v>8762</v>
      </c>
      <c r="L4644" t="s" s="2">
        <v>518</v>
      </c>
      <c r="M4644" s="5">
        <v>533417.79</v>
      </c>
      <c r="N4644" s="5">
        <v>6145065.79</v>
      </c>
      <c r="O4644" t="s" s="2">
        <v>305</v>
      </c>
      <c r="P4644" s="5">
        <v>38672</v>
      </c>
      <c r="Q4644" t="s" s="2">
        <v>43</v>
      </c>
      <c r="R4644" s="5">
        <f>_xlfn.IFERROR(INDEX('model_byCAP'!$D$2:$D$377,MATCH(Q4644,'model_byCAP'!$A$2:$A$377,0)),0)</f>
        <v>0</v>
      </c>
    </row>
    <row r="4645" ht="15.35" customHeight="1">
      <c r="A4645" t="s" s="2">
        <v>8765</v>
      </c>
      <c r="B4645" s="4">
        <v>34087</v>
      </c>
      <c r="C4645" s="5">
        <v>150</v>
      </c>
      <c r="D4645" s="5">
        <v>23.8</v>
      </c>
      <c r="E4645" s="5">
        <v>30</v>
      </c>
      <c r="F4645" t="s" s="2">
        <v>1989</v>
      </c>
      <c r="G4645" t="s" s="2">
        <v>7685</v>
      </c>
      <c r="H4645" s="5">
        <v>621</v>
      </c>
      <c r="I4645" t="s" s="2">
        <v>2921</v>
      </c>
      <c r="J4645" t="s" s="2">
        <v>22</v>
      </c>
      <c r="K4645" t="s" s="2">
        <v>8766</v>
      </c>
      <c r="L4645" t="s" s="2">
        <v>2296</v>
      </c>
      <c r="M4645" s="5">
        <v>524546.4300000001</v>
      </c>
      <c r="N4645" s="5">
        <v>6151280.63</v>
      </c>
      <c r="O4645" t="s" s="2">
        <v>305</v>
      </c>
      <c r="P4645" s="5">
        <v>39054</v>
      </c>
      <c r="Q4645" t="s" s="2">
        <v>7687</v>
      </c>
      <c r="R4645" t="s" s="2">
        <f>_xlfn.IFERROR(INDEX('model_byCAP'!$D$2:$D$377,MATCH(Q4645,'model_byCAP'!$A$2:$A$377,0)),0)</f>
        <v>6174</v>
      </c>
    </row>
    <row r="4646" ht="15.35" customHeight="1">
      <c r="A4646" t="s" s="2">
        <v>8767</v>
      </c>
      <c r="B4646" s="4">
        <v>34087</v>
      </c>
      <c r="C4646" s="5">
        <v>150</v>
      </c>
      <c r="D4646" s="5">
        <v>23.8</v>
      </c>
      <c r="E4646" s="5">
        <v>30</v>
      </c>
      <c r="F4646" t="s" s="2">
        <v>1989</v>
      </c>
      <c r="G4646" t="s" s="2">
        <v>7685</v>
      </c>
      <c r="H4646" s="5">
        <v>621</v>
      </c>
      <c r="I4646" t="s" s="2">
        <v>2921</v>
      </c>
      <c r="J4646" t="s" s="2">
        <v>22</v>
      </c>
      <c r="K4646" t="s" s="2">
        <v>8766</v>
      </c>
      <c r="L4646" t="s" s="2">
        <v>2296</v>
      </c>
      <c r="M4646" s="5">
        <v>524541.41</v>
      </c>
      <c r="N4646" s="5">
        <v>6151173.33</v>
      </c>
      <c r="O4646" t="s" s="2">
        <v>305</v>
      </c>
      <c r="P4646" s="5">
        <v>39054</v>
      </c>
      <c r="Q4646" t="s" s="2">
        <v>7687</v>
      </c>
      <c r="R4646" t="s" s="2">
        <f>_xlfn.IFERROR(INDEX('model_byCAP'!$D$2:$D$377,MATCH(Q4646,'model_byCAP'!$A$2:$A$377,0)),0)</f>
        <v>6174</v>
      </c>
    </row>
    <row r="4647" ht="15.35" customHeight="1">
      <c r="A4647" t="s" s="2">
        <v>8768</v>
      </c>
      <c r="B4647" s="4">
        <v>32224</v>
      </c>
      <c r="C4647" s="5">
        <v>150</v>
      </c>
      <c r="D4647" s="5">
        <v>27</v>
      </c>
      <c r="E4647" s="5">
        <v>30</v>
      </c>
      <c r="F4647" t="s" s="2">
        <v>2328</v>
      </c>
      <c r="G4647" t="s" s="2">
        <v>8769</v>
      </c>
      <c r="H4647" s="5">
        <v>630</v>
      </c>
      <c r="I4647" t="s" s="2">
        <v>1268</v>
      </c>
      <c r="J4647" t="s" s="2">
        <v>22</v>
      </c>
      <c r="K4647" t="s" s="2">
        <v>8770</v>
      </c>
      <c r="L4647" t="s" s="2">
        <v>1105</v>
      </c>
      <c r="M4647" s="5">
        <v>524773.79</v>
      </c>
      <c r="N4647" s="5">
        <v>6189019.75</v>
      </c>
      <c r="O4647" t="s" s="2">
        <v>305</v>
      </c>
      <c r="P4647" s="5">
        <v>16007</v>
      </c>
      <c r="Q4647" t="s" s="2">
        <v>8771</v>
      </c>
      <c r="R4647" t="s" s="2">
        <f>_xlfn.IFERROR(INDEX('model_byCAP'!$D$2:$D$377,MATCH(Q4647,'model_byCAP'!$A$2:$A$377,0)),0)</f>
        <v>7996</v>
      </c>
    </row>
    <row r="4648" ht="15.35" customHeight="1">
      <c r="A4648" t="s" s="2">
        <v>8772</v>
      </c>
      <c r="B4648" s="4">
        <v>33900</v>
      </c>
      <c r="C4648" s="5">
        <v>150</v>
      </c>
      <c r="D4648" s="5">
        <v>24</v>
      </c>
      <c r="E4648" s="5">
        <v>30</v>
      </c>
      <c r="F4648" t="s" s="2">
        <v>1989</v>
      </c>
      <c r="G4648" t="s" s="2">
        <v>7703</v>
      </c>
      <c r="H4648" s="5">
        <v>630</v>
      </c>
      <c r="I4648" t="s" s="2">
        <v>1268</v>
      </c>
      <c r="J4648" t="s" s="2">
        <v>22</v>
      </c>
      <c r="K4648" t="s" s="2">
        <v>8773</v>
      </c>
      <c r="L4648" t="s" s="2">
        <v>1611</v>
      </c>
      <c r="M4648" s="5">
        <v>521630.24</v>
      </c>
      <c r="N4648" s="5">
        <v>6196814.4</v>
      </c>
      <c r="O4648" t="s" s="2">
        <v>305</v>
      </c>
      <c r="P4648" s="5">
        <v>16016</v>
      </c>
      <c r="Q4648" t="s" s="2">
        <v>7705</v>
      </c>
      <c r="R4648" t="s" s="2">
        <f>_xlfn.IFERROR(INDEX('model_byCAP'!$D$2:$D$377,MATCH(Q4648,'model_byCAP'!$A$2:$A$377,0)),0)</f>
        <v>3178</v>
      </c>
    </row>
    <row r="4649" ht="15.35" customHeight="1">
      <c r="A4649" t="s" s="2">
        <v>8774</v>
      </c>
      <c r="B4649" s="4">
        <v>35793</v>
      </c>
      <c r="C4649" s="5">
        <v>150</v>
      </c>
      <c r="D4649" s="5">
        <v>27</v>
      </c>
      <c r="E4649" s="5">
        <v>40</v>
      </c>
      <c r="F4649" t="s" s="2">
        <v>2328</v>
      </c>
      <c r="G4649" t="s" s="2">
        <v>8750</v>
      </c>
      <c r="H4649" s="5">
        <v>630</v>
      </c>
      <c r="I4649" t="s" s="2">
        <v>1268</v>
      </c>
      <c r="J4649" t="s" s="2">
        <v>22</v>
      </c>
      <c r="K4649" t="s" s="2">
        <v>8775</v>
      </c>
      <c r="L4649" t="s" s="2">
        <v>1258</v>
      </c>
      <c r="M4649" s="5">
        <v>520134.07</v>
      </c>
      <c r="N4649" s="5">
        <v>6177781.82</v>
      </c>
      <c r="O4649" t="s" s="2">
        <v>305</v>
      </c>
      <c r="P4649" t="s" s="2">
        <v>8776</v>
      </c>
      <c r="Q4649" t="s" s="2">
        <v>8752</v>
      </c>
      <c r="R4649" t="s" s="2">
        <f>_xlfn.IFERROR(INDEX('model_byCAP'!$D$2:$D$377,MATCH(Q4649,'model_byCAP'!$A$2:$A$377,0)),0)</f>
        <v>7996</v>
      </c>
    </row>
    <row r="4650" ht="15.35" customHeight="1">
      <c r="A4650" t="s" s="2">
        <v>8777</v>
      </c>
      <c r="B4650" s="4">
        <v>33633</v>
      </c>
      <c r="C4650" s="5">
        <v>150</v>
      </c>
      <c r="D4650" s="5">
        <v>28</v>
      </c>
      <c r="E4650" s="5">
        <v>31</v>
      </c>
      <c r="F4650" t="s" s="2">
        <v>4716</v>
      </c>
      <c r="G4650" t="s" s="2">
        <v>8629</v>
      </c>
      <c r="H4650" s="5">
        <v>657</v>
      </c>
      <c r="I4650" t="s" s="2">
        <v>541</v>
      </c>
      <c r="J4650" t="s" s="2">
        <v>22</v>
      </c>
      <c r="K4650" t="s" s="2">
        <v>8778</v>
      </c>
      <c r="L4650" t="s" s="2">
        <v>8184</v>
      </c>
      <c r="M4650" s="5">
        <v>488302.47</v>
      </c>
      <c r="N4650" s="5">
        <v>6221789.47</v>
      </c>
      <c r="O4650" t="s" s="2">
        <v>305</v>
      </c>
      <c r="P4650" s="5">
        <v>7141218</v>
      </c>
      <c r="Q4650" t="s" s="2">
        <v>8631</v>
      </c>
      <c r="R4650" t="s" s="2">
        <f>_xlfn.IFERROR(INDEX('model_byCAP'!$D$2:$D$377,MATCH(Q4650,'model_byCAP'!$A$2:$A$377,0)),0)</f>
        <v>8049</v>
      </c>
    </row>
    <row r="4651" ht="15.35" customHeight="1">
      <c r="A4651" t="s" s="2">
        <v>8779</v>
      </c>
      <c r="B4651" s="4">
        <v>33633</v>
      </c>
      <c r="C4651" s="5">
        <v>150</v>
      </c>
      <c r="D4651" s="5">
        <v>28</v>
      </c>
      <c r="E4651" s="5">
        <v>31</v>
      </c>
      <c r="F4651" t="s" s="2">
        <v>4716</v>
      </c>
      <c r="G4651" t="s" s="2">
        <v>8629</v>
      </c>
      <c r="H4651" s="5">
        <v>657</v>
      </c>
      <c r="I4651" t="s" s="2">
        <v>541</v>
      </c>
      <c r="J4651" t="s" s="2">
        <v>22</v>
      </c>
      <c r="K4651" t="s" s="2">
        <v>8778</v>
      </c>
      <c r="L4651" t="s" s="2">
        <v>8184</v>
      </c>
      <c r="M4651" s="5">
        <v>488409.86</v>
      </c>
      <c r="N4651" s="5">
        <v>6221886.88</v>
      </c>
      <c r="O4651" t="s" s="2">
        <v>305</v>
      </c>
      <c r="P4651" s="5">
        <v>7141218</v>
      </c>
      <c r="Q4651" t="s" s="2">
        <v>8631</v>
      </c>
      <c r="R4651" t="s" s="2">
        <f>_xlfn.IFERROR(INDEX('model_byCAP'!$D$2:$D$377,MATCH(Q4651,'model_byCAP'!$A$2:$A$377,0)),0)</f>
        <v>8049</v>
      </c>
    </row>
    <row r="4652" ht="15.35" customHeight="1">
      <c r="A4652" t="s" s="2">
        <v>8780</v>
      </c>
      <c r="B4652" s="4">
        <v>33633</v>
      </c>
      <c r="C4652" s="5">
        <v>150</v>
      </c>
      <c r="D4652" s="5">
        <v>28</v>
      </c>
      <c r="E4652" s="5">
        <v>31</v>
      </c>
      <c r="F4652" t="s" s="2">
        <v>4716</v>
      </c>
      <c r="G4652" t="s" s="2">
        <v>8629</v>
      </c>
      <c r="H4652" s="5">
        <v>657</v>
      </c>
      <c r="I4652" t="s" s="2">
        <v>541</v>
      </c>
      <c r="J4652" t="s" s="2">
        <v>22</v>
      </c>
      <c r="K4652" t="s" s="2">
        <v>8778</v>
      </c>
      <c r="L4652" t="s" s="2">
        <v>8184</v>
      </c>
      <c r="M4652" s="5">
        <v>488517.25</v>
      </c>
      <c r="N4652" s="5">
        <v>6221984.12</v>
      </c>
      <c r="O4652" t="s" s="2">
        <v>305</v>
      </c>
      <c r="P4652" s="5">
        <v>7141218</v>
      </c>
      <c r="Q4652" t="s" s="2">
        <v>8631</v>
      </c>
      <c r="R4652" t="s" s="2">
        <f>_xlfn.IFERROR(INDEX('model_byCAP'!$D$2:$D$377,MATCH(Q4652,'model_byCAP'!$A$2:$A$377,0)),0)</f>
        <v>8049</v>
      </c>
    </row>
    <row r="4653" ht="15.35" customHeight="1">
      <c r="A4653" t="s" s="2">
        <v>8781</v>
      </c>
      <c r="B4653" s="4">
        <v>33131</v>
      </c>
      <c r="C4653" s="5">
        <v>150</v>
      </c>
      <c r="D4653" s="5">
        <v>23</v>
      </c>
      <c r="E4653" s="5">
        <v>24.5</v>
      </c>
      <c r="F4653" t="s" s="2">
        <v>1989</v>
      </c>
      <c r="G4653" t="s" s="2">
        <v>6172</v>
      </c>
      <c r="H4653" s="5">
        <v>665</v>
      </c>
      <c r="I4653" t="s" s="2">
        <v>316</v>
      </c>
      <c r="J4653" t="s" s="2">
        <v>22</v>
      </c>
      <c r="K4653" t="s" s="2">
        <v>8782</v>
      </c>
      <c r="L4653" t="s" s="2">
        <v>8783</v>
      </c>
      <c r="M4653" s="5">
        <v>449171.32</v>
      </c>
      <c r="N4653" s="5">
        <v>6273883.26</v>
      </c>
      <c r="O4653" t="s" s="2">
        <v>305</v>
      </c>
      <c r="P4653" s="5">
        <v>40050051</v>
      </c>
      <c r="Q4653" t="s" s="2">
        <v>6173</v>
      </c>
      <c r="R4653" t="s" s="2">
        <f>_xlfn.IFERROR(INDEX('model_byCAP'!$D$2:$D$377,MATCH(Q4653,'model_byCAP'!$A$2:$A$377,0)),0)</f>
        <v>6174</v>
      </c>
    </row>
    <row r="4654" ht="15.35" customHeight="1">
      <c r="A4654" t="s" s="2">
        <v>8784</v>
      </c>
      <c r="B4654" s="4">
        <v>33496</v>
      </c>
      <c r="C4654" s="5">
        <v>150</v>
      </c>
      <c r="D4654" s="5">
        <v>23</v>
      </c>
      <c r="E4654" s="5">
        <v>30</v>
      </c>
      <c r="F4654" t="s" s="2">
        <v>1989</v>
      </c>
      <c r="G4654" t="s" s="2">
        <v>6172</v>
      </c>
      <c r="H4654" s="5">
        <v>671</v>
      </c>
      <c r="I4654" t="s" s="2">
        <v>378</v>
      </c>
      <c r="J4654" t="s" s="2">
        <v>22</v>
      </c>
      <c r="K4654" t="s" s="2">
        <v>7916</v>
      </c>
      <c r="L4654" t="s" s="2">
        <v>1717</v>
      </c>
      <c r="M4654" s="5">
        <v>469838.5</v>
      </c>
      <c r="N4654" s="5">
        <v>6277828.37</v>
      </c>
      <c r="O4654" t="s" s="2">
        <v>305</v>
      </c>
      <c r="P4654" s="5">
        <v>160064</v>
      </c>
      <c r="Q4654" t="s" s="2">
        <v>6173</v>
      </c>
      <c r="R4654" t="s" s="2">
        <f>_xlfn.IFERROR(INDEX('model_byCAP'!$D$2:$D$377,MATCH(Q4654,'model_byCAP'!$A$2:$A$377,0)),0)</f>
        <v>6174</v>
      </c>
    </row>
    <row r="4655" ht="15.35" customHeight="1">
      <c r="A4655" t="s" s="2">
        <v>8785</v>
      </c>
      <c r="B4655" s="4">
        <v>33770</v>
      </c>
      <c r="C4655" s="5">
        <v>150</v>
      </c>
      <c r="D4655" s="5">
        <v>23</v>
      </c>
      <c r="E4655" s="5">
        <v>30</v>
      </c>
      <c r="F4655" t="s" s="2">
        <v>1989</v>
      </c>
      <c r="G4655" t="s" s="2">
        <v>8786</v>
      </c>
      <c r="H4655" s="5">
        <v>671</v>
      </c>
      <c r="I4655" t="s" s="2">
        <v>378</v>
      </c>
      <c r="J4655" t="s" s="2">
        <v>22</v>
      </c>
      <c r="K4655" t="s" s="2">
        <v>8787</v>
      </c>
      <c r="L4655" t="s" s="2">
        <v>1611</v>
      </c>
      <c r="M4655" s="5">
        <v>473864.73</v>
      </c>
      <c r="N4655" s="5">
        <v>6276335.55</v>
      </c>
      <c r="O4655" t="s" s="2">
        <v>305</v>
      </c>
      <c r="P4655" s="5">
        <v>160114</v>
      </c>
      <c r="Q4655" t="s" s="2">
        <v>8788</v>
      </c>
      <c r="R4655" t="s" s="2">
        <f>_xlfn.IFERROR(INDEX('model_byCAP'!$D$2:$D$377,MATCH(Q4655,'model_byCAP'!$A$2:$A$377,0)),0)</f>
        <v>6174</v>
      </c>
    </row>
    <row r="4656" ht="15.35" customHeight="1">
      <c r="A4656" t="s" s="2">
        <v>8789</v>
      </c>
      <c r="B4656" s="4">
        <v>33392</v>
      </c>
      <c r="C4656" s="5">
        <v>150</v>
      </c>
      <c r="D4656" s="5">
        <v>24.6</v>
      </c>
      <c r="E4656" s="5">
        <v>32.5</v>
      </c>
      <c r="F4656" t="s" s="2">
        <v>42</v>
      </c>
      <c r="G4656" t="s" s="2">
        <v>42</v>
      </c>
      <c r="H4656" s="5">
        <v>706</v>
      </c>
      <c r="I4656" t="s" s="2">
        <v>3155</v>
      </c>
      <c r="J4656" t="s" s="2">
        <v>22</v>
      </c>
      <c r="K4656" t="s" s="2">
        <v>8790</v>
      </c>
      <c r="L4656" t="s" s="2">
        <v>3336</v>
      </c>
      <c r="M4656" s="5">
        <v>591877.1</v>
      </c>
      <c r="N4656" s="5">
        <v>6231519.21</v>
      </c>
      <c r="O4656" t="s" s="2">
        <v>305</v>
      </c>
      <c r="P4656" s="5">
        <v>258625</v>
      </c>
      <c r="Q4656" t="s" s="2">
        <v>43</v>
      </c>
      <c r="R4656" s="5">
        <f>_xlfn.IFERROR(INDEX('model_byCAP'!$D$2:$D$377,MATCH(Q4656,'model_byCAP'!$A$2:$A$377,0)),0)</f>
        <v>0</v>
      </c>
    </row>
    <row r="4657" ht="15.35" customHeight="1">
      <c r="A4657" t="s" s="2">
        <v>8791</v>
      </c>
      <c r="B4657" s="4">
        <v>33533</v>
      </c>
      <c r="C4657" s="5">
        <v>150</v>
      </c>
      <c r="D4657" s="5">
        <v>24.6</v>
      </c>
      <c r="E4657" s="5">
        <v>32</v>
      </c>
      <c r="F4657" t="s" s="2">
        <v>42</v>
      </c>
      <c r="G4657" t="s" s="2">
        <v>42</v>
      </c>
      <c r="H4657" s="5">
        <v>706</v>
      </c>
      <c r="I4657" t="s" s="2">
        <v>3155</v>
      </c>
      <c r="J4657" t="s" s="2">
        <v>22</v>
      </c>
      <c r="K4657" t="s" s="2">
        <v>6840</v>
      </c>
      <c r="L4657" t="s" s="2">
        <v>518</v>
      </c>
      <c r="M4657" s="5">
        <v>606514.67</v>
      </c>
      <c r="N4657" s="5">
        <v>6229261.24</v>
      </c>
      <c r="O4657" t="s" s="2">
        <v>305</v>
      </c>
      <c r="P4657" s="5">
        <v>258618</v>
      </c>
      <c r="Q4657" t="s" s="2">
        <v>43</v>
      </c>
      <c r="R4657" s="5">
        <f>_xlfn.IFERROR(INDEX('model_byCAP'!$D$2:$D$377,MATCH(Q4657,'model_byCAP'!$A$2:$A$377,0)),0)</f>
        <v>0</v>
      </c>
    </row>
    <row r="4658" ht="15.35" customHeight="1">
      <c r="A4658" t="s" s="2">
        <v>8792</v>
      </c>
      <c r="B4658" s="4">
        <v>33578</v>
      </c>
      <c r="C4658" s="5">
        <v>150</v>
      </c>
      <c r="D4658" s="5">
        <v>24.6</v>
      </c>
      <c r="E4658" s="5">
        <v>32.5</v>
      </c>
      <c r="F4658" t="s" s="2">
        <v>42</v>
      </c>
      <c r="G4658" t="s" s="2">
        <v>42</v>
      </c>
      <c r="H4658" s="5">
        <v>707</v>
      </c>
      <c r="I4658" t="s" s="2">
        <v>616</v>
      </c>
      <c r="J4658" t="s" s="2">
        <v>22</v>
      </c>
      <c r="K4658" t="s" s="2">
        <v>8793</v>
      </c>
      <c r="L4658" t="s" s="2">
        <v>1161</v>
      </c>
      <c r="M4658" s="5">
        <v>606024.96</v>
      </c>
      <c r="N4658" s="5">
        <v>6248163.44</v>
      </c>
      <c r="O4658" t="s" s="2">
        <v>305</v>
      </c>
      <c r="P4658" s="5">
        <v>258506</v>
      </c>
      <c r="Q4658" t="s" s="2">
        <v>43</v>
      </c>
      <c r="R4658" s="5">
        <f>_xlfn.IFERROR(INDEX('model_byCAP'!$D$2:$D$377,MATCH(Q4658,'model_byCAP'!$A$2:$A$377,0)),0)</f>
        <v>0</v>
      </c>
    </row>
    <row r="4659" ht="15.35" customHeight="1">
      <c r="A4659" t="s" s="2">
        <v>8794</v>
      </c>
      <c r="B4659" s="4">
        <v>33898</v>
      </c>
      <c r="C4659" s="5">
        <v>150</v>
      </c>
      <c r="D4659" s="5">
        <v>24.6</v>
      </c>
      <c r="E4659" s="5">
        <v>32.5</v>
      </c>
      <c r="F4659" t="s" s="2">
        <v>42</v>
      </c>
      <c r="G4659" t="s" s="2">
        <v>42</v>
      </c>
      <c r="H4659" s="5">
        <v>707</v>
      </c>
      <c r="I4659" t="s" s="2">
        <v>616</v>
      </c>
      <c r="J4659" t="s" s="2">
        <v>22</v>
      </c>
      <c r="K4659" t="s" s="2">
        <v>8793</v>
      </c>
      <c r="L4659" t="s" s="2">
        <v>1161</v>
      </c>
      <c r="M4659" s="5">
        <v>605853.28</v>
      </c>
      <c r="N4659" s="5">
        <v>6248253.79</v>
      </c>
      <c r="O4659" t="s" s="2">
        <v>305</v>
      </c>
      <c r="P4659" s="5">
        <v>258504</v>
      </c>
      <c r="Q4659" t="s" s="2">
        <v>43</v>
      </c>
      <c r="R4659" s="5">
        <f>_xlfn.IFERROR(INDEX('model_byCAP'!$D$2:$D$377,MATCH(Q4659,'model_byCAP'!$A$2:$A$377,0)),0)</f>
        <v>0</v>
      </c>
    </row>
    <row r="4660" ht="15.35" customHeight="1">
      <c r="A4660" t="s" s="2">
        <v>8795</v>
      </c>
      <c r="B4660" s="4">
        <v>32911</v>
      </c>
      <c r="C4660" s="5">
        <v>150</v>
      </c>
      <c r="D4660" s="5">
        <v>27</v>
      </c>
      <c r="E4660" s="5">
        <v>41.5</v>
      </c>
      <c r="F4660" t="s" s="2">
        <v>2328</v>
      </c>
      <c r="G4660" t="s" s="2">
        <v>8750</v>
      </c>
      <c r="H4660" s="5">
        <v>740</v>
      </c>
      <c r="I4660" t="s" s="2">
        <v>899</v>
      </c>
      <c r="J4660" t="s" s="2">
        <v>22</v>
      </c>
      <c r="K4660" t="s" s="2">
        <v>8796</v>
      </c>
      <c r="L4660" t="s" s="2">
        <v>941</v>
      </c>
      <c r="M4660" s="5">
        <v>533553.89</v>
      </c>
      <c r="N4660" s="5">
        <v>6209347.18</v>
      </c>
      <c r="O4660" t="s" s="2">
        <v>305</v>
      </c>
      <c r="P4660" s="5">
        <v>1030014</v>
      </c>
      <c r="Q4660" t="s" s="2">
        <v>8752</v>
      </c>
      <c r="R4660" t="s" s="2">
        <f>_xlfn.IFERROR(INDEX('model_byCAP'!$D$2:$D$377,MATCH(Q4660,'model_byCAP'!$A$2:$A$377,0)),0)</f>
        <v>7996</v>
      </c>
    </row>
    <row r="4661" ht="15.35" customHeight="1">
      <c r="A4661" t="s" s="2">
        <v>8797</v>
      </c>
      <c r="B4661" s="4">
        <v>32713</v>
      </c>
      <c r="C4661" s="5">
        <v>150</v>
      </c>
      <c r="D4661" s="5">
        <v>23</v>
      </c>
      <c r="E4661" s="5">
        <v>30</v>
      </c>
      <c r="F4661" t="s" s="2">
        <v>1989</v>
      </c>
      <c r="G4661" t="s" s="2">
        <v>6172</v>
      </c>
      <c r="H4661" s="5">
        <v>741</v>
      </c>
      <c r="I4661" t="s" s="2">
        <v>2306</v>
      </c>
      <c r="J4661" t="s" s="2">
        <v>22</v>
      </c>
      <c r="K4661" t="s" s="2">
        <v>8798</v>
      </c>
      <c r="L4661" t="s" s="2">
        <v>2354</v>
      </c>
      <c r="M4661" s="5">
        <v>597675.15</v>
      </c>
      <c r="N4661" s="5">
        <v>6203149.41</v>
      </c>
      <c r="O4661" t="s" s="2">
        <v>305</v>
      </c>
      <c r="P4661" s="5">
        <v>258620</v>
      </c>
      <c r="Q4661" t="s" s="2">
        <v>6173</v>
      </c>
      <c r="R4661" t="s" s="2">
        <f>_xlfn.IFERROR(INDEX('model_byCAP'!$D$2:$D$377,MATCH(Q4661,'model_byCAP'!$A$2:$A$377,0)),0)</f>
        <v>6174</v>
      </c>
    </row>
    <row r="4662" ht="15.35" customHeight="1">
      <c r="A4662" t="s" s="2">
        <v>8799</v>
      </c>
      <c r="B4662" s="4">
        <v>33498</v>
      </c>
      <c r="C4662" s="5">
        <v>150</v>
      </c>
      <c r="D4662" s="5">
        <v>23.8</v>
      </c>
      <c r="E4662" s="5">
        <v>30</v>
      </c>
      <c r="F4662" t="s" s="2">
        <v>1989</v>
      </c>
      <c r="G4662" t="s" s="2">
        <v>7685</v>
      </c>
      <c r="H4662" s="5">
        <v>751</v>
      </c>
      <c r="I4662" t="s" s="2">
        <v>4849</v>
      </c>
      <c r="J4662" t="s" s="2">
        <v>22</v>
      </c>
      <c r="K4662" t="s" s="2">
        <v>5684</v>
      </c>
      <c r="L4662" t="s" s="2">
        <v>1256</v>
      </c>
      <c r="M4662" s="5">
        <v>574105.05</v>
      </c>
      <c r="N4662" s="5">
        <v>6240781.38</v>
      </c>
      <c r="O4662" t="s" s="2">
        <v>305</v>
      </c>
      <c r="P4662" s="5">
        <v>431895</v>
      </c>
      <c r="Q4662" t="s" s="2">
        <v>7687</v>
      </c>
      <c r="R4662" t="s" s="2">
        <f>_xlfn.IFERROR(INDEX('model_byCAP'!$D$2:$D$377,MATCH(Q4662,'model_byCAP'!$A$2:$A$377,0)),0)</f>
        <v>6174</v>
      </c>
    </row>
    <row r="4663" ht="15.35" customHeight="1">
      <c r="A4663" t="s" s="2">
        <v>8800</v>
      </c>
      <c r="B4663" s="4">
        <v>33498</v>
      </c>
      <c r="C4663" s="5">
        <v>150</v>
      </c>
      <c r="D4663" s="5">
        <v>23.8</v>
      </c>
      <c r="E4663" s="5">
        <v>30</v>
      </c>
      <c r="F4663" t="s" s="2">
        <v>1989</v>
      </c>
      <c r="G4663" t="s" s="2">
        <v>7685</v>
      </c>
      <c r="H4663" s="5">
        <v>751</v>
      </c>
      <c r="I4663" t="s" s="2">
        <v>4849</v>
      </c>
      <c r="J4663" t="s" s="2">
        <v>22</v>
      </c>
      <c r="K4663" t="s" s="2">
        <v>5684</v>
      </c>
      <c r="L4663" t="s" s="2">
        <v>1256</v>
      </c>
      <c r="M4663" s="5">
        <v>574155.5699999999</v>
      </c>
      <c r="N4663" s="5">
        <v>6240878.88</v>
      </c>
      <c r="O4663" t="s" s="2">
        <v>305</v>
      </c>
      <c r="P4663" s="5">
        <v>431896</v>
      </c>
      <c r="Q4663" t="s" s="2">
        <v>7687</v>
      </c>
      <c r="R4663" t="s" s="2">
        <f>_xlfn.IFERROR(INDEX('model_byCAP'!$D$2:$D$377,MATCH(Q4663,'model_byCAP'!$A$2:$A$377,0)),0)</f>
        <v>6174</v>
      </c>
    </row>
    <row r="4664" ht="15.35" customHeight="1">
      <c r="A4664" t="s" s="2">
        <v>8801</v>
      </c>
      <c r="B4664" s="4">
        <v>33498</v>
      </c>
      <c r="C4664" s="5">
        <v>150</v>
      </c>
      <c r="D4664" s="5">
        <v>23.8</v>
      </c>
      <c r="E4664" s="5">
        <v>30</v>
      </c>
      <c r="F4664" t="s" s="2">
        <v>1989</v>
      </c>
      <c r="G4664" t="s" s="2">
        <v>7685</v>
      </c>
      <c r="H4664" s="5">
        <v>751</v>
      </c>
      <c r="I4664" t="s" s="2">
        <v>4849</v>
      </c>
      <c r="J4664" t="s" s="2">
        <v>22</v>
      </c>
      <c r="K4664" t="s" s="2">
        <v>5684</v>
      </c>
      <c r="L4664" t="s" s="2">
        <v>1256</v>
      </c>
      <c r="M4664" s="5">
        <v>574207.66</v>
      </c>
      <c r="N4664" s="5">
        <v>6240976.07</v>
      </c>
      <c r="O4664" t="s" s="2">
        <v>305</v>
      </c>
      <c r="P4664" s="5">
        <v>431897</v>
      </c>
      <c r="Q4664" t="s" s="2">
        <v>7687</v>
      </c>
      <c r="R4664" t="s" s="2">
        <f>_xlfn.IFERROR(INDEX('model_byCAP'!$D$2:$D$377,MATCH(Q4664,'model_byCAP'!$A$2:$A$377,0)),0)</f>
        <v>6174</v>
      </c>
    </row>
    <row r="4665" ht="15.35" customHeight="1">
      <c r="A4665" t="s" s="2">
        <v>8802</v>
      </c>
      <c r="B4665" s="4">
        <v>32886</v>
      </c>
      <c r="C4665" s="5">
        <v>150</v>
      </c>
      <c r="D4665" s="5">
        <v>28</v>
      </c>
      <c r="E4665" s="5">
        <v>30</v>
      </c>
      <c r="F4665" t="s" s="2">
        <v>4716</v>
      </c>
      <c r="G4665" t="s" s="2">
        <v>8685</v>
      </c>
      <c r="H4665" s="5">
        <v>756</v>
      </c>
      <c r="I4665" t="s" s="2">
        <v>456</v>
      </c>
      <c r="J4665" t="s" s="2">
        <v>22</v>
      </c>
      <c r="K4665" t="s" s="2">
        <v>6650</v>
      </c>
      <c r="L4665" t="s" s="2">
        <v>481</v>
      </c>
      <c r="M4665" s="5">
        <v>515166.55</v>
      </c>
      <c r="N4665" s="5">
        <v>6221756.37</v>
      </c>
      <c r="O4665" t="s" s="2">
        <v>305</v>
      </c>
      <c r="P4665" s="5">
        <v>3055179</v>
      </c>
      <c r="Q4665" t="s" s="2">
        <v>8687</v>
      </c>
      <c r="R4665" t="s" s="2">
        <f>_xlfn.IFERROR(INDEX('model_byCAP'!$D$2:$D$377,MATCH(Q4665,'model_byCAP'!$A$2:$A$377,0)),0)</f>
        <v>8049</v>
      </c>
    </row>
    <row r="4666" ht="15.35" customHeight="1">
      <c r="A4666" t="s" s="2">
        <v>8803</v>
      </c>
      <c r="B4666" s="4">
        <v>32886</v>
      </c>
      <c r="C4666" s="5">
        <v>150</v>
      </c>
      <c r="D4666" s="5">
        <v>28</v>
      </c>
      <c r="E4666" s="5">
        <v>30</v>
      </c>
      <c r="F4666" t="s" s="2">
        <v>4716</v>
      </c>
      <c r="G4666" t="s" s="2">
        <v>8685</v>
      </c>
      <c r="H4666" s="5">
        <v>756</v>
      </c>
      <c r="I4666" t="s" s="2">
        <v>456</v>
      </c>
      <c r="J4666" t="s" s="2">
        <v>22</v>
      </c>
      <c r="K4666" t="s" s="2">
        <v>6650</v>
      </c>
      <c r="L4666" t="s" s="2">
        <v>481</v>
      </c>
      <c r="M4666" s="5">
        <v>515381.57</v>
      </c>
      <c r="N4666" s="5">
        <v>6221548.19</v>
      </c>
      <c r="O4666" t="s" s="2">
        <v>305</v>
      </c>
      <c r="P4666" s="5">
        <v>3055179</v>
      </c>
      <c r="Q4666" t="s" s="2">
        <v>8687</v>
      </c>
      <c r="R4666" t="s" s="2">
        <f>_xlfn.IFERROR(INDEX('model_byCAP'!$D$2:$D$377,MATCH(Q4666,'model_byCAP'!$A$2:$A$377,0)),0)</f>
        <v>8049</v>
      </c>
    </row>
    <row r="4667" ht="15.35" customHeight="1">
      <c r="A4667" t="s" s="2">
        <v>8804</v>
      </c>
      <c r="B4667" s="4">
        <v>32886</v>
      </c>
      <c r="C4667" s="5">
        <v>150</v>
      </c>
      <c r="D4667" s="5">
        <v>28</v>
      </c>
      <c r="E4667" s="5">
        <v>30</v>
      </c>
      <c r="F4667" t="s" s="2">
        <v>4716</v>
      </c>
      <c r="G4667" t="s" s="2">
        <v>8685</v>
      </c>
      <c r="H4667" s="5">
        <v>756</v>
      </c>
      <c r="I4667" t="s" s="2">
        <v>456</v>
      </c>
      <c r="J4667" t="s" s="2">
        <v>22</v>
      </c>
      <c r="K4667" t="s" s="2">
        <v>6650</v>
      </c>
      <c r="L4667" t="s" s="2">
        <v>481</v>
      </c>
      <c r="M4667" s="5">
        <v>515274.05</v>
      </c>
      <c r="N4667" s="5">
        <v>6221652.15</v>
      </c>
      <c r="O4667" t="s" s="2">
        <v>305</v>
      </c>
      <c r="P4667" s="5">
        <v>3055179</v>
      </c>
      <c r="Q4667" t="s" s="2">
        <v>8687</v>
      </c>
      <c r="R4667" t="s" s="2">
        <f>_xlfn.IFERROR(INDEX('model_byCAP'!$D$2:$D$377,MATCH(Q4667,'model_byCAP'!$A$2:$A$377,0)),0)</f>
        <v>8049</v>
      </c>
    </row>
    <row r="4668" ht="15.35" customHeight="1">
      <c r="A4668" t="s" s="2">
        <v>8805</v>
      </c>
      <c r="B4668" s="4">
        <v>33416</v>
      </c>
      <c r="C4668" s="5">
        <v>150</v>
      </c>
      <c r="D4668" s="5">
        <v>27</v>
      </c>
      <c r="E4668" s="5">
        <v>40</v>
      </c>
      <c r="F4668" t="s" s="2">
        <v>2328</v>
      </c>
      <c r="G4668" t="s" s="2">
        <v>8009</v>
      </c>
      <c r="H4668" s="5">
        <v>756</v>
      </c>
      <c r="I4668" t="s" s="2">
        <v>456</v>
      </c>
      <c r="J4668" t="s" s="2">
        <v>22</v>
      </c>
      <c r="K4668" t="s" s="2">
        <v>3163</v>
      </c>
      <c r="L4668" t="s" s="2">
        <v>6833</v>
      </c>
      <c r="M4668" s="5">
        <v>500583.2</v>
      </c>
      <c r="N4668" s="5">
        <v>6201124.69</v>
      </c>
      <c r="O4668" t="s" s="2">
        <v>305</v>
      </c>
      <c r="P4668" s="5">
        <v>16057</v>
      </c>
      <c r="Q4668" t="s" s="2">
        <v>8010</v>
      </c>
      <c r="R4668" t="s" s="2">
        <f>_xlfn.IFERROR(INDEX('model_byCAP'!$D$2:$D$377,MATCH(Q4668,'model_byCAP'!$A$2:$A$377,0)),0)</f>
        <v>7996</v>
      </c>
    </row>
    <row r="4669" ht="15.35" customHeight="1">
      <c r="A4669" t="s" s="2">
        <v>8806</v>
      </c>
      <c r="B4669" s="4">
        <v>32574</v>
      </c>
      <c r="C4669" s="5">
        <v>150</v>
      </c>
      <c r="D4669" s="5">
        <v>25</v>
      </c>
      <c r="E4669" s="5">
        <v>31</v>
      </c>
      <c r="F4669" t="s" s="2">
        <v>4716</v>
      </c>
      <c r="G4669" t="s" s="2">
        <v>8807</v>
      </c>
      <c r="H4669" s="5">
        <v>756</v>
      </c>
      <c r="I4669" t="s" s="2">
        <v>456</v>
      </c>
      <c r="J4669" t="s" s="2">
        <v>22</v>
      </c>
      <c r="K4669" t="s" s="2">
        <v>8808</v>
      </c>
      <c r="L4669" t="s" s="2">
        <v>1603</v>
      </c>
      <c r="M4669" s="5">
        <v>514499.05</v>
      </c>
      <c r="N4669" s="5">
        <v>6216415.65</v>
      </c>
      <c r="O4669" t="s" s="2">
        <v>305</v>
      </c>
      <c r="P4669" s="5">
        <v>3</v>
      </c>
      <c r="Q4669" t="s" s="2">
        <v>8809</v>
      </c>
      <c r="R4669" t="s" s="2">
        <f>_xlfn.IFERROR(INDEX('model_byCAP'!$D$2:$D$377,MATCH(Q4669,'model_byCAP'!$A$2:$A$377,0)),0)</f>
        <v>8049</v>
      </c>
    </row>
    <row r="4670" ht="15.35" customHeight="1">
      <c r="A4670" t="s" s="2">
        <v>8810</v>
      </c>
      <c r="B4670" s="4">
        <v>32937</v>
      </c>
      <c r="C4670" s="5">
        <v>150</v>
      </c>
      <c r="D4670" s="5">
        <v>25</v>
      </c>
      <c r="E4670" s="5">
        <v>30</v>
      </c>
      <c r="F4670" t="s" s="2">
        <v>4038</v>
      </c>
      <c r="G4670" t="s" s="2">
        <v>8811</v>
      </c>
      <c r="H4670" s="5">
        <v>756</v>
      </c>
      <c r="I4670" t="s" s="2">
        <v>456</v>
      </c>
      <c r="J4670" t="s" s="2">
        <v>22</v>
      </c>
      <c r="K4670" t="s" s="2">
        <v>8808</v>
      </c>
      <c r="L4670" t="s" s="2">
        <v>1603</v>
      </c>
      <c r="M4670" s="5">
        <v>514367.65</v>
      </c>
      <c r="N4670" s="5">
        <v>6216528.24</v>
      </c>
      <c r="O4670" t="s" s="2">
        <v>305</v>
      </c>
      <c r="P4670" s="5">
        <v>4</v>
      </c>
      <c r="Q4670" t="s" s="2">
        <v>8812</v>
      </c>
      <c r="R4670" s="5">
        <f>_xlfn.IFERROR(INDEX('model_byCAP'!$D$2:$D$377,MATCH(Q4670,'model_byCAP'!$A$2:$A$377,0)),0)</f>
        <v>0</v>
      </c>
    </row>
    <row r="4671" ht="15.35" customHeight="1">
      <c r="A4671" t="s" s="2">
        <v>8813</v>
      </c>
      <c r="B4671" s="4">
        <v>33346</v>
      </c>
      <c r="C4671" s="5">
        <v>150</v>
      </c>
      <c r="D4671" s="5">
        <v>28</v>
      </c>
      <c r="E4671" s="5">
        <v>41</v>
      </c>
      <c r="F4671" t="s" s="2">
        <v>4716</v>
      </c>
      <c r="G4671" t="s" s="2">
        <v>8814</v>
      </c>
      <c r="H4671" s="5">
        <v>756</v>
      </c>
      <c r="I4671" t="s" s="2">
        <v>456</v>
      </c>
      <c r="J4671" t="s" s="2">
        <v>22</v>
      </c>
      <c r="K4671" t="s" s="2">
        <v>8808</v>
      </c>
      <c r="L4671" t="s" s="2">
        <v>1603</v>
      </c>
      <c r="M4671" s="5">
        <v>515290.23</v>
      </c>
      <c r="N4671" s="5">
        <v>6216182.76</v>
      </c>
      <c r="O4671" t="s" s="2">
        <v>305</v>
      </c>
      <c r="P4671" s="5">
        <v>6</v>
      </c>
      <c r="Q4671" t="s" s="2">
        <v>8815</v>
      </c>
      <c r="R4671" t="s" s="2">
        <f>_xlfn.IFERROR(INDEX('model_byCAP'!$D$2:$D$377,MATCH(Q4671,'model_byCAP'!$A$2:$A$377,0)),0)</f>
        <v>8049</v>
      </c>
    </row>
    <row r="4672" ht="15.35" customHeight="1">
      <c r="A4672" t="s" s="2">
        <v>8816</v>
      </c>
      <c r="B4672" s="4">
        <v>33346</v>
      </c>
      <c r="C4672" s="5">
        <v>150</v>
      </c>
      <c r="D4672" s="5">
        <v>28</v>
      </c>
      <c r="E4672" s="5">
        <v>41</v>
      </c>
      <c r="F4672" t="s" s="2">
        <v>4716</v>
      </c>
      <c r="G4672" t="s" s="2">
        <v>8814</v>
      </c>
      <c r="H4672" s="5">
        <v>756</v>
      </c>
      <c r="I4672" t="s" s="2">
        <v>456</v>
      </c>
      <c r="J4672" t="s" s="2">
        <v>22</v>
      </c>
      <c r="K4672" t="s" s="2">
        <v>8808</v>
      </c>
      <c r="L4672" t="s" s="2">
        <v>1603</v>
      </c>
      <c r="M4672" s="5">
        <v>515431.35</v>
      </c>
      <c r="N4672" s="5">
        <v>6216137.29</v>
      </c>
      <c r="O4672" t="s" s="2">
        <v>305</v>
      </c>
      <c r="P4672" s="5">
        <v>6</v>
      </c>
      <c r="Q4672" t="s" s="2">
        <v>8815</v>
      </c>
      <c r="R4672" t="s" s="2">
        <f>_xlfn.IFERROR(INDEX('model_byCAP'!$D$2:$D$377,MATCH(Q4672,'model_byCAP'!$A$2:$A$377,0)),0)</f>
        <v>8049</v>
      </c>
    </row>
    <row r="4673" ht="15.35" customHeight="1">
      <c r="A4673" t="s" s="2">
        <v>8817</v>
      </c>
      <c r="B4673" s="4">
        <v>33346</v>
      </c>
      <c r="C4673" s="5">
        <v>150</v>
      </c>
      <c r="D4673" s="5">
        <v>28</v>
      </c>
      <c r="E4673" s="5">
        <v>41</v>
      </c>
      <c r="F4673" t="s" s="2">
        <v>4716</v>
      </c>
      <c r="G4673" t="s" s="2">
        <v>8814</v>
      </c>
      <c r="H4673" s="5">
        <v>756</v>
      </c>
      <c r="I4673" t="s" s="2">
        <v>456</v>
      </c>
      <c r="J4673" t="s" s="2">
        <v>22</v>
      </c>
      <c r="K4673" t="s" s="2">
        <v>8808</v>
      </c>
      <c r="L4673" t="s" s="2">
        <v>1603</v>
      </c>
      <c r="M4673" s="5">
        <v>515574.79</v>
      </c>
      <c r="N4673" s="5">
        <v>6216089.91</v>
      </c>
      <c r="O4673" t="s" s="2">
        <v>305</v>
      </c>
      <c r="P4673" s="5">
        <v>6</v>
      </c>
      <c r="Q4673" t="s" s="2">
        <v>8815</v>
      </c>
      <c r="R4673" t="s" s="2">
        <f>_xlfn.IFERROR(INDEX('model_byCAP'!$D$2:$D$377,MATCH(Q4673,'model_byCAP'!$A$2:$A$377,0)),0)</f>
        <v>8049</v>
      </c>
    </row>
    <row r="4674" ht="15.35" customHeight="1">
      <c r="A4674" t="s" s="2">
        <v>8818</v>
      </c>
      <c r="B4674" s="4">
        <v>35110</v>
      </c>
      <c r="C4674" s="5">
        <v>150</v>
      </c>
      <c r="D4674" s="5">
        <v>24.6</v>
      </c>
      <c r="E4674" s="5">
        <v>32.5</v>
      </c>
      <c r="F4674" t="s" s="2">
        <v>42</v>
      </c>
      <c r="G4674" t="s" s="2">
        <v>42</v>
      </c>
      <c r="H4674" s="5">
        <v>766</v>
      </c>
      <c r="I4674" t="s" s="2">
        <v>3363</v>
      </c>
      <c r="J4674" t="s" s="2">
        <v>22</v>
      </c>
      <c r="K4674" t="s" s="2">
        <v>8478</v>
      </c>
      <c r="L4674" t="s" s="2">
        <v>1258</v>
      </c>
      <c r="M4674" s="5">
        <v>536027.3100000001</v>
      </c>
      <c r="N4674" s="5">
        <v>6187150.79</v>
      </c>
      <c r="O4674" t="s" s="2">
        <v>305</v>
      </c>
      <c r="P4674" s="5">
        <v>1030024</v>
      </c>
      <c r="Q4674" t="s" s="2">
        <v>43</v>
      </c>
      <c r="R4674" s="5">
        <f>_xlfn.IFERROR(INDEX('model_byCAP'!$D$2:$D$377,MATCH(Q4674,'model_byCAP'!$A$2:$A$377,0)),0)</f>
        <v>0</v>
      </c>
    </row>
    <row r="4675" ht="15.35" customHeight="1">
      <c r="A4675" t="s" s="2">
        <v>8819</v>
      </c>
      <c r="B4675" s="4">
        <v>32517</v>
      </c>
      <c r="C4675" s="5">
        <v>150</v>
      </c>
      <c r="D4675" s="5">
        <v>23</v>
      </c>
      <c r="E4675" s="5">
        <v>30</v>
      </c>
      <c r="F4675" t="s" s="2">
        <v>1989</v>
      </c>
      <c r="G4675" t="s" s="2">
        <v>6172</v>
      </c>
      <c r="H4675" s="5">
        <v>779</v>
      </c>
      <c r="I4675" t="s" s="2">
        <v>1308</v>
      </c>
      <c r="J4675" t="s" s="2">
        <v>22</v>
      </c>
      <c r="K4675" t="s" s="2">
        <v>8246</v>
      </c>
      <c r="L4675" t="s" s="2">
        <v>481</v>
      </c>
      <c r="M4675" s="5">
        <v>502796.28</v>
      </c>
      <c r="N4675" s="5">
        <v>6289417.09</v>
      </c>
      <c r="O4675" t="s" s="2">
        <v>305</v>
      </c>
      <c r="P4675" s="5">
        <v>2050117</v>
      </c>
      <c r="Q4675" t="s" s="2">
        <v>6173</v>
      </c>
      <c r="R4675" t="s" s="2">
        <f>_xlfn.IFERROR(INDEX('model_byCAP'!$D$2:$D$377,MATCH(Q4675,'model_byCAP'!$A$2:$A$377,0)),0)</f>
        <v>6174</v>
      </c>
    </row>
    <row r="4676" ht="15.35" customHeight="1">
      <c r="A4676" t="s" s="2">
        <v>8820</v>
      </c>
      <c r="B4676" s="4">
        <v>33051</v>
      </c>
      <c r="C4676" s="5">
        <v>150</v>
      </c>
      <c r="D4676" s="5">
        <v>24.6</v>
      </c>
      <c r="E4676" s="5">
        <v>32.7</v>
      </c>
      <c r="F4676" t="s" s="2">
        <v>42</v>
      </c>
      <c r="G4676" t="s" s="2">
        <v>42</v>
      </c>
      <c r="H4676" s="5">
        <v>779</v>
      </c>
      <c r="I4676" t="s" s="2">
        <v>1308</v>
      </c>
      <c r="J4676" t="s" s="2">
        <v>22</v>
      </c>
      <c r="K4676" t="s" s="2">
        <v>8821</v>
      </c>
      <c r="L4676" t="s" s="2">
        <v>481</v>
      </c>
      <c r="M4676" s="5">
        <v>504270.33</v>
      </c>
      <c r="N4676" s="5">
        <v>6293716.5</v>
      </c>
      <c r="O4676" t="s" s="2">
        <v>305</v>
      </c>
      <c r="P4676" s="5">
        <v>2050142</v>
      </c>
      <c r="Q4676" t="s" s="2">
        <v>43</v>
      </c>
      <c r="R4676" s="5">
        <f>_xlfn.IFERROR(INDEX('model_byCAP'!$D$2:$D$377,MATCH(Q4676,'model_byCAP'!$A$2:$A$377,0)),0)</f>
        <v>0</v>
      </c>
    </row>
    <row r="4677" ht="15.35" customHeight="1">
      <c r="A4677" t="s" s="2">
        <v>8822</v>
      </c>
      <c r="B4677" s="4">
        <v>33162</v>
      </c>
      <c r="C4677" s="5">
        <v>150</v>
      </c>
      <c r="D4677" s="5">
        <v>23</v>
      </c>
      <c r="E4677" s="5">
        <v>30</v>
      </c>
      <c r="F4677" t="s" s="2">
        <v>1989</v>
      </c>
      <c r="G4677" t="s" s="2">
        <v>6172</v>
      </c>
      <c r="H4677" s="5">
        <v>779</v>
      </c>
      <c r="I4677" t="s" s="2">
        <v>1308</v>
      </c>
      <c r="J4677" t="s" s="2">
        <v>22</v>
      </c>
      <c r="K4677" t="s" s="2">
        <v>8823</v>
      </c>
      <c r="L4677" t="s" s="2">
        <v>8824</v>
      </c>
      <c r="M4677" s="5">
        <v>500206.85</v>
      </c>
      <c r="N4677" s="5">
        <v>6295607.44</v>
      </c>
      <c r="O4677" t="s" s="2">
        <v>305</v>
      </c>
      <c r="P4677" s="5">
        <v>2050155</v>
      </c>
      <c r="Q4677" t="s" s="2">
        <v>6173</v>
      </c>
      <c r="R4677" t="s" s="2">
        <f>_xlfn.IFERROR(INDEX('model_byCAP'!$D$2:$D$377,MATCH(Q4677,'model_byCAP'!$A$2:$A$377,0)),0)</f>
        <v>6174</v>
      </c>
    </row>
    <row r="4678" ht="15.35" customHeight="1">
      <c r="A4678" t="s" s="2">
        <v>8825</v>
      </c>
      <c r="B4678" s="4">
        <v>33224</v>
      </c>
      <c r="C4678" s="5">
        <v>150</v>
      </c>
      <c r="D4678" s="5">
        <v>24.6</v>
      </c>
      <c r="E4678" s="5">
        <v>32.7</v>
      </c>
      <c r="F4678" t="s" s="2">
        <v>42</v>
      </c>
      <c r="G4678" t="s" s="2">
        <v>42</v>
      </c>
      <c r="H4678" s="5">
        <v>779</v>
      </c>
      <c r="I4678" t="s" s="2">
        <v>1308</v>
      </c>
      <c r="J4678" t="s" s="2">
        <v>22</v>
      </c>
      <c r="K4678" t="s" s="2">
        <v>8826</v>
      </c>
      <c r="L4678" t="s" s="2">
        <v>8827</v>
      </c>
      <c r="M4678" s="5">
        <v>513812.26</v>
      </c>
      <c r="N4678" s="5">
        <v>6269094.84</v>
      </c>
      <c r="O4678" t="s" s="2">
        <v>305</v>
      </c>
      <c r="P4678" s="5">
        <v>2050157</v>
      </c>
      <c r="Q4678" t="s" s="2">
        <v>43</v>
      </c>
      <c r="R4678" s="5">
        <f>_xlfn.IFERROR(INDEX('model_byCAP'!$D$2:$D$377,MATCH(Q4678,'model_byCAP'!$A$2:$A$377,0)),0)</f>
        <v>0</v>
      </c>
    </row>
    <row r="4679" ht="15.35" customHeight="1">
      <c r="A4679" t="s" s="2">
        <v>8828</v>
      </c>
      <c r="B4679" s="4">
        <v>33224</v>
      </c>
      <c r="C4679" s="5">
        <v>150</v>
      </c>
      <c r="D4679" s="5">
        <v>24.6</v>
      </c>
      <c r="E4679" s="5">
        <v>32.7</v>
      </c>
      <c r="F4679" t="s" s="2">
        <v>42</v>
      </c>
      <c r="G4679" t="s" s="2">
        <v>42</v>
      </c>
      <c r="H4679" s="5">
        <v>779</v>
      </c>
      <c r="I4679" t="s" s="2">
        <v>1308</v>
      </c>
      <c r="J4679" t="s" s="2">
        <v>22</v>
      </c>
      <c r="K4679" t="s" s="2">
        <v>8826</v>
      </c>
      <c r="L4679" t="s" s="2">
        <v>8827</v>
      </c>
      <c r="M4679" s="5">
        <v>513665</v>
      </c>
      <c r="N4679" s="5">
        <v>6269126.46</v>
      </c>
      <c r="O4679" t="s" s="2">
        <v>305</v>
      </c>
      <c r="P4679" s="5">
        <v>2050158</v>
      </c>
      <c r="Q4679" t="s" s="2">
        <v>43</v>
      </c>
      <c r="R4679" s="5">
        <f>_xlfn.IFERROR(INDEX('model_byCAP'!$D$2:$D$377,MATCH(Q4679,'model_byCAP'!$A$2:$A$377,0)),0)</f>
        <v>0</v>
      </c>
    </row>
    <row r="4680" ht="15.35" customHeight="1">
      <c r="A4680" t="s" s="2">
        <v>8829</v>
      </c>
      <c r="B4680" s="4">
        <v>33623</v>
      </c>
      <c r="C4680" s="5">
        <v>150</v>
      </c>
      <c r="D4680" s="5">
        <v>24.6</v>
      </c>
      <c r="E4680" s="5">
        <v>32.7</v>
      </c>
      <c r="F4680" t="s" s="2">
        <v>42</v>
      </c>
      <c r="G4680" t="s" s="2">
        <v>42</v>
      </c>
      <c r="H4680" s="5">
        <v>779</v>
      </c>
      <c r="I4680" t="s" s="2">
        <v>1308</v>
      </c>
      <c r="J4680" t="s" s="2">
        <v>22</v>
      </c>
      <c r="K4680" t="s" s="2">
        <v>8830</v>
      </c>
      <c r="L4680" t="s" s="2">
        <v>518</v>
      </c>
      <c r="M4680" s="5">
        <v>501412.96</v>
      </c>
      <c r="N4680" s="5">
        <v>6286885.17</v>
      </c>
      <c r="O4680" t="s" s="2">
        <v>305</v>
      </c>
      <c r="P4680" s="5">
        <v>2050175</v>
      </c>
      <c r="Q4680" t="s" s="2">
        <v>43</v>
      </c>
      <c r="R4680" s="5">
        <f>_xlfn.IFERROR(INDEX('model_byCAP'!$D$2:$D$377,MATCH(Q4680,'model_byCAP'!$A$2:$A$377,0)),0)</f>
        <v>0</v>
      </c>
    </row>
    <row r="4681" ht="15.35" customHeight="1">
      <c r="A4681" t="s" s="2">
        <v>8831</v>
      </c>
      <c r="B4681" s="4">
        <v>33694</v>
      </c>
      <c r="C4681" s="5">
        <v>150</v>
      </c>
      <c r="D4681" s="5">
        <v>28</v>
      </c>
      <c r="E4681" s="5">
        <v>31</v>
      </c>
      <c r="F4681" t="s" s="2">
        <v>4716</v>
      </c>
      <c r="G4681" t="s" s="2">
        <v>8814</v>
      </c>
      <c r="H4681" s="5">
        <v>779</v>
      </c>
      <c r="I4681" t="s" s="2">
        <v>1308</v>
      </c>
      <c r="J4681" t="s" s="2">
        <v>22</v>
      </c>
      <c r="K4681" t="s" s="2">
        <v>8832</v>
      </c>
      <c r="L4681" t="s" s="2">
        <v>518</v>
      </c>
      <c r="M4681" s="5">
        <v>498190.14</v>
      </c>
      <c r="N4681" s="5">
        <v>6280473.98</v>
      </c>
      <c r="O4681" t="s" s="2">
        <v>305</v>
      </c>
      <c r="P4681" s="5">
        <v>2050190</v>
      </c>
      <c r="Q4681" t="s" s="2">
        <v>8815</v>
      </c>
      <c r="R4681" t="s" s="2">
        <f>_xlfn.IFERROR(INDEX('model_byCAP'!$D$2:$D$377,MATCH(Q4681,'model_byCAP'!$A$2:$A$377,0)),0)</f>
        <v>8049</v>
      </c>
    </row>
    <row r="4682" ht="15.35" customHeight="1">
      <c r="A4682" t="s" s="2">
        <v>8833</v>
      </c>
      <c r="B4682" s="4">
        <v>32766</v>
      </c>
      <c r="C4682" s="5">
        <v>150</v>
      </c>
      <c r="D4682" s="5">
        <v>23.8</v>
      </c>
      <c r="E4682" s="5">
        <v>30</v>
      </c>
      <c r="F4682" t="s" s="2">
        <v>1989</v>
      </c>
      <c r="G4682" t="s" s="2">
        <v>8786</v>
      </c>
      <c r="H4682" s="5">
        <v>787</v>
      </c>
      <c r="I4682" t="s" s="2">
        <v>21</v>
      </c>
      <c r="J4682" t="s" s="2">
        <v>22</v>
      </c>
      <c r="K4682" t="s" s="2">
        <v>8834</v>
      </c>
      <c r="L4682" t="s" s="2">
        <v>979</v>
      </c>
      <c r="M4682" s="5">
        <v>461771.11</v>
      </c>
      <c r="N4682" s="5">
        <v>6295270.6</v>
      </c>
      <c r="O4682" t="s" s="2">
        <v>305</v>
      </c>
      <c r="P4682" s="5">
        <v>160005</v>
      </c>
      <c r="Q4682" t="s" s="2">
        <v>8788</v>
      </c>
      <c r="R4682" t="s" s="2">
        <f>_xlfn.IFERROR(INDEX('model_byCAP'!$D$2:$D$377,MATCH(Q4682,'model_byCAP'!$A$2:$A$377,0)),0)</f>
        <v>6174</v>
      </c>
    </row>
    <row r="4683" ht="15.35" customHeight="1">
      <c r="A4683" t="s" s="2">
        <v>8835</v>
      </c>
      <c r="B4683" s="4">
        <v>33465</v>
      </c>
      <c r="C4683" s="5">
        <v>150</v>
      </c>
      <c r="D4683" s="5">
        <v>23</v>
      </c>
      <c r="E4683" s="5">
        <v>24.5</v>
      </c>
      <c r="F4683" t="s" s="2">
        <v>1989</v>
      </c>
      <c r="G4683" t="s" s="2">
        <v>6172</v>
      </c>
      <c r="H4683" s="5">
        <v>787</v>
      </c>
      <c r="I4683" t="s" s="2">
        <v>21</v>
      </c>
      <c r="J4683" t="s" s="2">
        <v>22</v>
      </c>
      <c r="K4683" t="s" s="2">
        <v>7097</v>
      </c>
      <c r="L4683" t="s" s="2">
        <v>1359</v>
      </c>
      <c r="M4683" s="5">
        <v>459572.88</v>
      </c>
      <c r="N4683" s="5">
        <v>6295494.27</v>
      </c>
      <c r="O4683" t="s" s="2">
        <v>305</v>
      </c>
      <c r="P4683" s="5">
        <v>160052</v>
      </c>
      <c r="Q4683" t="s" s="2">
        <v>6173</v>
      </c>
      <c r="R4683" t="s" s="2">
        <f>_xlfn.IFERROR(INDEX('model_byCAP'!$D$2:$D$377,MATCH(Q4683,'model_byCAP'!$A$2:$A$377,0)),0)</f>
        <v>6174</v>
      </c>
    </row>
    <row r="4684" ht="15.35" customHeight="1">
      <c r="A4684" t="s" s="2">
        <v>8836</v>
      </c>
      <c r="B4684" s="4">
        <v>33587</v>
      </c>
      <c r="C4684" s="5">
        <v>150</v>
      </c>
      <c r="D4684" s="5">
        <v>23</v>
      </c>
      <c r="E4684" s="5">
        <v>30</v>
      </c>
      <c r="F4684" t="s" s="2">
        <v>1989</v>
      </c>
      <c r="G4684" t="s" s="2">
        <v>8837</v>
      </c>
      <c r="H4684" s="5">
        <v>787</v>
      </c>
      <c r="I4684" t="s" s="2">
        <v>21</v>
      </c>
      <c r="J4684" t="s" s="2">
        <v>22</v>
      </c>
      <c r="K4684" t="s" s="2">
        <v>7097</v>
      </c>
      <c r="L4684" t="s" s="2">
        <v>6098</v>
      </c>
      <c r="M4684" s="5">
        <v>459155.17</v>
      </c>
      <c r="N4684" s="5">
        <v>6293305.92</v>
      </c>
      <c r="O4684" t="s" s="2">
        <v>305</v>
      </c>
      <c r="P4684" s="5">
        <v>160096</v>
      </c>
      <c r="Q4684" t="s" s="2">
        <v>8838</v>
      </c>
      <c r="R4684" t="s" s="2">
        <f>_xlfn.IFERROR(INDEX('model_byCAP'!$D$2:$D$377,MATCH(Q4684,'model_byCAP'!$A$2:$A$377,0)),0)</f>
        <v>6174</v>
      </c>
    </row>
    <row r="4685" ht="15.35" customHeight="1">
      <c r="A4685" t="s" s="2">
        <v>8839</v>
      </c>
      <c r="B4685" s="4">
        <v>33649</v>
      </c>
      <c r="C4685" s="5">
        <v>150</v>
      </c>
      <c r="D4685" s="5">
        <v>23.8</v>
      </c>
      <c r="E4685" s="5">
        <v>30</v>
      </c>
      <c r="F4685" t="s" s="2">
        <v>1989</v>
      </c>
      <c r="G4685" t="s" s="2">
        <v>7685</v>
      </c>
      <c r="H4685" s="5">
        <v>787</v>
      </c>
      <c r="I4685" t="s" s="2">
        <v>21</v>
      </c>
      <c r="J4685" t="s" s="2">
        <v>22</v>
      </c>
      <c r="K4685" t="s" s="2">
        <v>7097</v>
      </c>
      <c r="L4685" t="s" s="2">
        <v>4998</v>
      </c>
      <c r="M4685" s="5">
        <v>461076.94</v>
      </c>
      <c r="N4685" s="5">
        <v>6289507.94</v>
      </c>
      <c r="O4685" t="s" s="2">
        <v>305</v>
      </c>
      <c r="P4685" s="5">
        <v>160104</v>
      </c>
      <c r="Q4685" t="s" s="2">
        <v>7687</v>
      </c>
      <c r="R4685" t="s" s="2">
        <f>_xlfn.IFERROR(INDEX('model_byCAP'!$D$2:$D$377,MATCH(Q4685,'model_byCAP'!$A$2:$A$377,0)),0)</f>
        <v>6174</v>
      </c>
    </row>
    <row r="4686" ht="15.35" customHeight="1">
      <c r="A4686" t="s" s="2">
        <v>8840</v>
      </c>
      <c r="B4686" s="4">
        <v>33678</v>
      </c>
      <c r="C4686" s="5">
        <v>150</v>
      </c>
      <c r="D4686" s="5">
        <v>23</v>
      </c>
      <c r="E4686" s="5">
        <v>30</v>
      </c>
      <c r="F4686" t="s" s="2">
        <v>1989</v>
      </c>
      <c r="G4686" t="s" s="2">
        <v>8837</v>
      </c>
      <c r="H4686" s="5">
        <v>787</v>
      </c>
      <c r="I4686" t="s" s="2">
        <v>21</v>
      </c>
      <c r="J4686" t="s" s="2">
        <v>22</v>
      </c>
      <c r="K4686" t="s" s="2">
        <v>7097</v>
      </c>
      <c r="L4686" t="s" s="2">
        <v>518</v>
      </c>
      <c r="M4686" s="5">
        <v>459278.05</v>
      </c>
      <c r="N4686" s="5">
        <v>6289218</v>
      </c>
      <c r="O4686" t="s" s="2">
        <v>305</v>
      </c>
      <c r="P4686" s="5">
        <v>160106</v>
      </c>
      <c r="Q4686" t="s" s="2">
        <v>8838</v>
      </c>
      <c r="R4686" t="s" s="2">
        <f>_xlfn.IFERROR(INDEX('model_byCAP'!$D$2:$D$377,MATCH(Q4686,'model_byCAP'!$A$2:$A$377,0)),0)</f>
        <v>6174</v>
      </c>
    </row>
    <row r="4687" ht="15.35" customHeight="1">
      <c r="A4687" t="s" s="2">
        <v>8841</v>
      </c>
      <c r="B4687" s="4">
        <v>33770</v>
      </c>
      <c r="C4687" s="5">
        <v>150</v>
      </c>
      <c r="D4687" s="5">
        <v>28</v>
      </c>
      <c r="E4687" s="5">
        <v>31</v>
      </c>
      <c r="F4687" t="s" s="2">
        <v>4716</v>
      </c>
      <c r="G4687" t="s" s="2">
        <v>8685</v>
      </c>
      <c r="H4687" s="5">
        <v>787</v>
      </c>
      <c r="I4687" t="s" s="2">
        <v>21</v>
      </c>
      <c r="J4687" t="s" s="2">
        <v>22</v>
      </c>
      <c r="K4687" t="s" s="2">
        <v>8842</v>
      </c>
      <c r="L4687" t="s" s="2">
        <v>1258</v>
      </c>
      <c r="M4687" s="5">
        <v>475961.9</v>
      </c>
      <c r="N4687" s="5">
        <v>6313602.65</v>
      </c>
      <c r="O4687" t="s" s="2">
        <v>305</v>
      </c>
      <c r="P4687" s="5">
        <v>160116</v>
      </c>
      <c r="Q4687" t="s" s="2">
        <v>8687</v>
      </c>
      <c r="R4687" t="s" s="2">
        <f>_xlfn.IFERROR(INDEX('model_byCAP'!$D$2:$D$377,MATCH(Q4687,'model_byCAP'!$A$2:$A$377,0)),0)</f>
        <v>8049</v>
      </c>
    </row>
    <row r="4688" ht="15.35" customHeight="1">
      <c r="A4688" t="s" s="2">
        <v>8843</v>
      </c>
      <c r="B4688" s="4">
        <v>33246</v>
      </c>
      <c r="C4688" s="5">
        <v>150</v>
      </c>
      <c r="D4688" s="5">
        <v>10</v>
      </c>
      <c r="E4688" s="5">
        <v>24.5</v>
      </c>
      <c r="F4688" t="s" s="2">
        <v>42</v>
      </c>
      <c r="G4688" t="s" s="2">
        <v>42</v>
      </c>
      <c r="H4688" s="5">
        <v>810</v>
      </c>
      <c r="I4688" t="s" s="2">
        <v>1102</v>
      </c>
      <c r="J4688" t="s" s="2">
        <v>22</v>
      </c>
      <c r="K4688" t="s" s="2">
        <v>8844</v>
      </c>
      <c r="L4688" t="s" s="2">
        <v>551</v>
      </c>
      <c r="M4688" s="5">
        <v>571897.72</v>
      </c>
      <c r="N4688" s="5">
        <v>6344567.54</v>
      </c>
      <c r="O4688" t="s" s="2">
        <v>305</v>
      </c>
      <c r="P4688" s="5">
        <v>23102825</v>
      </c>
      <c r="Q4688" t="s" s="2">
        <v>43</v>
      </c>
      <c r="R4688" s="5">
        <f>_xlfn.IFERROR(INDEX('model_byCAP'!$D$2:$D$377,MATCH(Q4688,'model_byCAP'!$A$2:$A$377,0)),0)</f>
        <v>0</v>
      </c>
    </row>
    <row r="4689" ht="15.35" customHeight="1">
      <c r="A4689" t="s" s="2">
        <v>8845</v>
      </c>
      <c r="B4689" s="4">
        <v>32841</v>
      </c>
      <c r="C4689" s="5">
        <v>150</v>
      </c>
      <c r="D4689" s="5">
        <v>23</v>
      </c>
      <c r="E4689" s="5">
        <v>30</v>
      </c>
      <c r="F4689" t="s" s="2">
        <v>42</v>
      </c>
      <c r="G4689" t="s" s="2">
        <v>42</v>
      </c>
      <c r="H4689" s="5">
        <v>810</v>
      </c>
      <c r="I4689" t="s" s="2">
        <v>1102</v>
      </c>
      <c r="J4689" t="s" s="2">
        <v>22</v>
      </c>
      <c r="K4689" t="s" s="2">
        <v>8846</v>
      </c>
      <c r="L4689" t="s" s="2">
        <v>524</v>
      </c>
      <c r="M4689" s="5">
        <v>579708.83</v>
      </c>
      <c r="N4689" s="5">
        <v>6345794.49</v>
      </c>
      <c r="O4689" t="s" s="2">
        <v>305</v>
      </c>
      <c r="P4689" t="s" s="2">
        <v>8847</v>
      </c>
      <c r="Q4689" t="s" s="2">
        <v>43</v>
      </c>
      <c r="R4689" s="5">
        <f>_xlfn.IFERROR(INDEX('model_byCAP'!$D$2:$D$377,MATCH(Q4689,'model_byCAP'!$A$2:$A$377,0)),0)</f>
        <v>0</v>
      </c>
    </row>
    <row r="4690" ht="15.35" customHeight="1">
      <c r="A4690" t="s" s="2">
        <v>8848</v>
      </c>
      <c r="B4690" s="4">
        <v>33338</v>
      </c>
      <c r="C4690" s="5">
        <v>150</v>
      </c>
      <c r="D4690" s="5">
        <v>23.2</v>
      </c>
      <c r="E4690" s="5">
        <v>30</v>
      </c>
      <c r="F4690" t="s" s="2">
        <v>1989</v>
      </c>
      <c r="G4690" t="s" s="2">
        <v>8675</v>
      </c>
      <c r="H4690" s="5">
        <v>810</v>
      </c>
      <c r="I4690" t="s" s="2">
        <v>1102</v>
      </c>
      <c r="J4690" t="s" s="2">
        <v>22</v>
      </c>
      <c r="K4690" t="s" s="2">
        <v>8849</v>
      </c>
      <c r="L4690" t="s" s="2">
        <v>8850</v>
      </c>
      <c r="M4690" s="5">
        <v>580519.08</v>
      </c>
      <c r="N4690" s="5">
        <v>6335616.04</v>
      </c>
      <c r="O4690" t="s" s="2">
        <v>305</v>
      </c>
      <c r="P4690" t="s" s="2">
        <v>8851</v>
      </c>
      <c r="Q4690" t="s" s="2">
        <v>8678</v>
      </c>
      <c r="R4690" t="s" s="2">
        <f>_xlfn.IFERROR(INDEX('model_byCAP'!$D$2:$D$377,MATCH(Q4690,'model_byCAP'!$A$2:$A$377,0)),0)</f>
        <v>6174</v>
      </c>
    </row>
    <row r="4691" ht="15.35" customHeight="1">
      <c r="A4691" t="s" s="2">
        <v>8852</v>
      </c>
      <c r="B4691" s="4">
        <v>32301</v>
      </c>
      <c r="C4691" s="5">
        <v>150</v>
      </c>
      <c r="D4691" s="5">
        <v>23.2</v>
      </c>
      <c r="E4691" s="5">
        <v>30.3</v>
      </c>
      <c r="F4691" t="s" s="2">
        <v>4716</v>
      </c>
      <c r="G4691" t="s" s="2">
        <v>8602</v>
      </c>
      <c r="H4691" s="5">
        <v>813</v>
      </c>
      <c r="I4691" t="s" s="2">
        <v>1708</v>
      </c>
      <c r="J4691" t="s" s="2">
        <v>22</v>
      </c>
      <c r="K4691" t="s" s="2">
        <v>8853</v>
      </c>
      <c r="L4691" t="s" s="2">
        <v>1122</v>
      </c>
      <c r="M4691" s="5">
        <v>579896.7</v>
      </c>
      <c r="N4691" s="5">
        <v>6354299.19</v>
      </c>
      <c r="O4691" t="s" s="2">
        <v>305</v>
      </c>
      <c r="P4691" t="s" s="2">
        <v>8854</v>
      </c>
      <c r="Q4691" t="s" s="2">
        <v>8606</v>
      </c>
      <c r="R4691" t="s" s="2">
        <f>_xlfn.IFERROR(INDEX('model_byCAP'!$D$2:$D$377,MATCH(Q4691,'model_byCAP'!$A$2:$A$377,0)),0)</f>
        <v>8049</v>
      </c>
    </row>
    <row r="4692" ht="15.35" customHeight="1">
      <c r="A4692" t="s" s="2">
        <v>8855</v>
      </c>
      <c r="B4692" s="4">
        <v>32493</v>
      </c>
      <c r="C4692" s="5">
        <v>150</v>
      </c>
      <c r="D4692" s="5">
        <v>0.1</v>
      </c>
      <c r="E4692" s="5">
        <v>0.1</v>
      </c>
      <c r="F4692" t="s" s="2">
        <v>42</v>
      </c>
      <c r="G4692" t="s" s="2">
        <v>42</v>
      </c>
      <c r="H4692" s="5">
        <v>813</v>
      </c>
      <c r="I4692" t="s" s="2">
        <v>1708</v>
      </c>
      <c r="J4692" t="s" s="2">
        <v>22</v>
      </c>
      <c r="K4692" t="s" s="2">
        <v>8856</v>
      </c>
      <c r="L4692" t="s" s="2">
        <v>2348</v>
      </c>
      <c r="M4692" s="5">
        <v>583097.6800000001</v>
      </c>
      <c r="N4692" s="5">
        <v>6358714.79</v>
      </c>
      <c r="O4692" t="s" s="2">
        <v>305</v>
      </c>
      <c r="P4692" t="s" s="2">
        <v>8857</v>
      </c>
      <c r="Q4692" t="s" s="2">
        <v>43</v>
      </c>
      <c r="R4692" s="5">
        <f>_xlfn.IFERROR(INDEX('model_byCAP'!$D$2:$D$377,MATCH(Q4692,'model_byCAP'!$A$2:$A$377,0)),0)</f>
        <v>0</v>
      </c>
    </row>
    <row r="4693" ht="15.35" customHeight="1">
      <c r="A4693" t="s" s="2">
        <v>8858</v>
      </c>
      <c r="B4693" s="4">
        <v>31959</v>
      </c>
      <c r="C4693" s="5">
        <v>150</v>
      </c>
      <c r="D4693" s="5">
        <v>22.4</v>
      </c>
      <c r="E4693" s="5">
        <v>30</v>
      </c>
      <c r="F4693" t="s" s="2">
        <v>42</v>
      </c>
      <c r="G4693" t="s" s="2">
        <v>42</v>
      </c>
      <c r="H4693" s="5">
        <v>813</v>
      </c>
      <c r="I4693" t="s" s="2">
        <v>1708</v>
      </c>
      <c r="J4693" t="s" s="2">
        <v>22</v>
      </c>
      <c r="K4693" t="s" s="2">
        <v>8859</v>
      </c>
      <c r="L4693" t="s" s="2">
        <v>979</v>
      </c>
      <c r="M4693" s="5">
        <v>588018.13</v>
      </c>
      <c r="N4693" s="5">
        <v>6350270.13</v>
      </c>
      <c r="O4693" t="s" s="2">
        <v>305</v>
      </c>
      <c r="P4693" t="s" s="2">
        <v>8860</v>
      </c>
      <c r="Q4693" t="s" s="2">
        <v>43</v>
      </c>
      <c r="R4693" s="5">
        <f>_xlfn.IFERROR(INDEX('model_byCAP'!$D$2:$D$377,MATCH(Q4693,'model_byCAP'!$A$2:$A$377,0)),0)</f>
        <v>0</v>
      </c>
    </row>
    <row r="4694" ht="15.35" customHeight="1">
      <c r="A4694" t="s" s="2">
        <v>8861</v>
      </c>
      <c r="B4694" s="4">
        <v>33907</v>
      </c>
      <c r="C4694" s="5">
        <v>150</v>
      </c>
      <c r="D4694" s="5">
        <v>28</v>
      </c>
      <c r="E4694" s="5">
        <v>30</v>
      </c>
      <c r="F4694" t="s" s="2">
        <v>4716</v>
      </c>
      <c r="G4694" t="s" s="2">
        <v>8685</v>
      </c>
      <c r="H4694" s="5">
        <v>813</v>
      </c>
      <c r="I4694" t="s" s="2">
        <v>1708</v>
      </c>
      <c r="J4694" t="s" s="2">
        <v>22</v>
      </c>
      <c r="K4694" t="s" s="2">
        <v>8862</v>
      </c>
      <c r="L4694" t="s" s="2">
        <v>3595</v>
      </c>
      <c r="M4694" s="5">
        <v>579684.92</v>
      </c>
      <c r="N4694" s="5">
        <v>6349147.95</v>
      </c>
      <c r="O4694" t="s" s="2">
        <v>305</v>
      </c>
      <c r="P4694" t="s" s="2">
        <v>8863</v>
      </c>
      <c r="Q4694" t="s" s="2">
        <v>8687</v>
      </c>
      <c r="R4694" t="s" s="2">
        <f>_xlfn.IFERROR(INDEX('model_byCAP'!$D$2:$D$377,MATCH(Q4694,'model_byCAP'!$A$2:$A$377,0)),0)</f>
        <v>8049</v>
      </c>
    </row>
    <row r="4695" ht="15.35" customHeight="1">
      <c r="A4695" t="s" s="2">
        <v>8864</v>
      </c>
      <c r="B4695" s="4">
        <v>32813</v>
      </c>
      <c r="C4695" s="5">
        <v>150</v>
      </c>
      <c r="D4695" s="5">
        <v>25</v>
      </c>
      <c r="E4695" s="5">
        <v>30</v>
      </c>
      <c r="F4695" t="s" s="2">
        <v>4716</v>
      </c>
      <c r="G4695" t="s" s="2">
        <v>8807</v>
      </c>
      <c r="H4695" s="5">
        <v>813</v>
      </c>
      <c r="I4695" t="s" s="2">
        <v>1708</v>
      </c>
      <c r="J4695" t="s" s="2">
        <v>22</v>
      </c>
      <c r="K4695" t="s" s="2">
        <v>8865</v>
      </c>
      <c r="L4695" t="s" s="2">
        <v>1105</v>
      </c>
      <c r="M4695" s="5">
        <v>588637.25</v>
      </c>
      <c r="N4695" s="5">
        <v>6370741.4</v>
      </c>
      <c r="O4695" t="s" s="2">
        <v>305</v>
      </c>
      <c r="P4695" s="5">
        <v>40014440</v>
      </c>
      <c r="Q4695" t="s" s="2">
        <v>8809</v>
      </c>
      <c r="R4695" t="s" s="2">
        <f>_xlfn.IFERROR(INDEX('model_byCAP'!$D$2:$D$377,MATCH(Q4695,'model_byCAP'!$A$2:$A$377,0)),0)</f>
        <v>8049</v>
      </c>
    </row>
    <row r="4696" ht="15.35" customHeight="1">
      <c r="A4696" t="s" s="2">
        <v>8866</v>
      </c>
      <c r="B4696" s="4">
        <v>32861</v>
      </c>
      <c r="C4696" s="5">
        <v>150</v>
      </c>
      <c r="D4696" s="5">
        <v>24.6</v>
      </c>
      <c r="E4696" s="5">
        <v>32.7</v>
      </c>
      <c r="F4696" t="s" s="2">
        <v>42</v>
      </c>
      <c r="G4696" t="s" s="2">
        <v>42</v>
      </c>
      <c r="H4696" s="5">
        <v>820</v>
      </c>
      <c r="I4696" t="s" s="2">
        <v>388</v>
      </c>
      <c r="J4696" t="s" s="2">
        <v>22</v>
      </c>
      <c r="K4696" t="s" s="2">
        <v>8867</v>
      </c>
      <c r="L4696" t="s" s="2">
        <v>3235</v>
      </c>
      <c r="M4696" s="5">
        <v>518633.29</v>
      </c>
      <c r="N4696" s="5">
        <v>6307437.21</v>
      </c>
      <c r="O4696" t="s" s="2">
        <v>305</v>
      </c>
      <c r="P4696" s="5">
        <v>221</v>
      </c>
      <c r="Q4696" t="s" s="2">
        <v>43</v>
      </c>
      <c r="R4696" s="5">
        <f>_xlfn.IFERROR(INDEX('model_byCAP'!$D$2:$D$377,MATCH(Q4696,'model_byCAP'!$A$2:$A$377,0)),0)</f>
        <v>0</v>
      </c>
    </row>
    <row r="4697" ht="15.35" customHeight="1">
      <c r="A4697" t="s" s="2">
        <v>8868</v>
      </c>
      <c r="B4697" s="4">
        <v>32954</v>
      </c>
      <c r="C4697" s="5">
        <v>150</v>
      </c>
      <c r="D4697" s="5">
        <v>28</v>
      </c>
      <c r="E4697" s="5">
        <v>30</v>
      </c>
      <c r="F4697" t="s" s="2">
        <v>4716</v>
      </c>
      <c r="G4697" t="s" s="2">
        <v>8869</v>
      </c>
      <c r="H4697" s="5">
        <v>820</v>
      </c>
      <c r="I4697" t="s" s="2">
        <v>388</v>
      </c>
      <c r="J4697" t="s" s="2">
        <v>22</v>
      </c>
      <c r="K4697" t="s" s="2">
        <v>5002</v>
      </c>
      <c r="L4697" t="s" s="2">
        <v>582</v>
      </c>
      <c r="M4697" s="5">
        <v>515348.47</v>
      </c>
      <c r="N4697" s="5">
        <v>6310510.78</v>
      </c>
      <c r="O4697" t="s" s="2">
        <v>305</v>
      </c>
      <c r="P4697" s="5">
        <v>226</v>
      </c>
      <c r="Q4697" t="s" s="2">
        <v>8870</v>
      </c>
      <c r="R4697" t="s" s="2">
        <f>_xlfn.IFERROR(INDEX('model_byCAP'!$D$2:$D$377,MATCH(Q4697,'model_byCAP'!$A$2:$A$377,0)),0)</f>
        <v>8049</v>
      </c>
    </row>
    <row r="4698" ht="15.35" customHeight="1">
      <c r="A4698" t="s" s="2">
        <v>8871</v>
      </c>
      <c r="B4698" s="4">
        <v>32994</v>
      </c>
      <c r="C4698" s="5">
        <v>150</v>
      </c>
      <c r="D4698" s="5">
        <v>23.2</v>
      </c>
      <c r="E4698" s="5">
        <v>31</v>
      </c>
      <c r="F4698" t="s" s="2">
        <v>4716</v>
      </c>
      <c r="G4698" t="s" s="2">
        <v>8872</v>
      </c>
      <c r="H4698" s="5">
        <v>820</v>
      </c>
      <c r="I4698" t="s" s="2">
        <v>388</v>
      </c>
      <c r="J4698" t="s" s="2">
        <v>22</v>
      </c>
      <c r="K4698" t="s" s="2">
        <v>7188</v>
      </c>
      <c r="L4698" t="s" s="2">
        <v>1611</v>
      </c>
      <c r="M4698" s="5">
        <v>521523.41</v>
      </c>
      <c r="N4698" s="5">
        <v>6313989.82</v>
      </c>
      <c r="O4698" t="s" s="2">
        <v>305</v>
      </c>
      <c r="P4698" s="5">
        <v>229</v>
      </c>
      <c r="Q4698" t="s" s="2">
        <v>8873</v>
      </c>
      <c r="R4698" t="s" s="2">
        <f>_xlfn.IFERROR(INDEX('model_byCAP'!$D$2:$D$377,MATCH(Q4698,'model_byCAP'!$A$2:$A$377,0)),0)</f>
        <v>8049</v>
      </c>
    </row>
    <row r="4699" ht="15.35" customHeight="1">
      <c r="A4699" t="s" s="2">
        <v>8874</v>
      </c>
      <c r="B4699" s="4">
        <v>33001</v>
      </c>
      <c r="C4699" s="5">
        <v>150</v>
      </c>
      <c r="D4699" s="5">
        <v>28</v>
      </c>
      <c r="E4699" s="5">
        <v>30</v>
      </c>
      <c r="F4699" t="s" s="2">
        <v>4716</v>
      </c>
      <c r="G4699" t="s" s="2">
        <v>8872</v>
      </c>
      <c r="H4699" s="5">
        <v>820</v>
      </c>
      <c r="I4699" t="s" s="2">
        <v>388</v>
      </c>
      <c r="J4699" t="s" s="2">
        <v>22</v>
      </c>
      <c r="K4699" t="s" s="2">
        <v>8875</v>
      </c>
      <c r="L4699" s="5">
        <v>1</v>
      </c>
      <c r="M4699" s="5">
        <v>515542.21</v>
      </c>
      <c r="N4699" s="5">
        <v>6308962.32</v>
      </c>
      <c r="O4699" t="s" s="2">
        <v>305</v>
      </c>
      <c r="P4699" s="5">
        <v>230</v>
      </c>
      <c r="Q4699" t="s" s="2">
        <v>8873</v>
      </c>
      <c r="R4699" t="s" s="2">
        <f>_xlfn.IFERROR(INDEX('model_byCAP'!$D$2:$D$377,MATCH(Q4699,'model_byCAP'!$A$2:$A$377,0)),0)</f>
        <v>8049</v>
      </c>
    </row>
    <row r="4700" ht="15.35" customHeight="1">
      <c r="A4700" t="s" s="2">
        <v>8876</v>
      </c>
      <c r="B4700" s="4">
        <v>33205</v>
      </c>
      <c r="C4700" s="5">
        <v>150</v>
      </c>
      <c r="D4700" s="5">
        <v>25</v>
      </c>
      <c r="E4700" s="5">
        <v>33</v>
      </c>
      <c r="F4700" t="s" s="2">
        <v>42</v>
      </c>
      <c r="G4700" t="s" s="2">
        <v>42</v>
      </c>
      <c r="H4700" s="5">
        <v>820</v>
      </c>
      <c r="I4700" t="s" s="2">
        <v>388</v>
      </c>
      <c r="J4700" t="s" s="2">
        <v>22</v>
      </c>
      <c r="K4700" t="s" s="2">
        <v>8867</v>
      </c>
      <c r="L4700" t="s" s="2">
        <v>1122</v>
      </c>
      <c r="M4700" s="5">
        <v>518729.54</v>
      </c>
      <c r="N4700" s="5">
        <v>6307381.58</v>
      </c>
      <c r="O4700" t="s" s="2">
        <v>305</v>
      </c>
      <c r="P4700" s="5">
        <v>244</v>
      </c>
      <c r="Q4700" t="s" s="2">
        <v>43</v>
      </c>
      <c r="R4700" s="5">
        <f>_xlfn.IFERROR(INDEX('model_byCAP'!$D$2:$D$377,MATCH(Q4700,'model_byCAP'!$A$2:$A$377,0)),0)</f>
        <v>0</v>
      </c>
    </row>
    <row r="4701" ht="15.35" customHeight="1">
      <c r="A4701" t="s" s="2">
        <v>8877</v>
      </c>
      <c r="B4701" s="4">
        <v>33227</v>
      </c>
      <c r="C4701" s="5">
        <v>150</v>
      </c>
      <c r="D4701" s="5">
        <v>28</v>
      </c>
      <c r="E4701" s="5">
        <v>30</v>
      </c>
      <c r="F4701" t="s" s="2">
        <v>4716</v>
      </c>
      <c r="G4701" t="s" s="2">
        <v>8685</v>
      </c>
      <c r="H4701" s="5">
        <v>820</v>
      </c>
      <c r="I4701" t="s" s="2">
        <v>388</v>
      </c>
      <c r="J4701" t="s" s="2">
        <v>22</v>
      </c>
      <c r="K4701" t="s" s="2">
        <v>5002</v>
      </c>
      <c r="L4701" t="s" s="2">
        <v>8878</v>
      </c>
      <c r="M4701" s="5">
        <v>516138.57</v>
      </c>
      <c r="N4701" s="5">
        <v>6309935.14</v>
      </c>
      <c r="O4701" t="s" s="2">
        <v>305</v>
      </c>
      <c r="P4701" s="5">
        <v>248</v>
      </c>
      <c r="Q4701" t="s" s="2">
        <v>8687</v>
      </c>
      <c r="R4701" t="s" s="2">
        <f>_xlfn.IFERROR(INDEX('model_byCAP'!$D$2:$D$377,MATCH(Q4701,'model_byCAP'!$A$2:$A$377,0)),0)</f>
        <v>8049</v>
      </c>
    </row>
    <row r="4702" ht="15.35" customHeight="1">
      <c r="A4702" t="s" s="2">
        <v>8879</v>
      </c>
      <c r="B4702" s="4">
        <v>33266</v>
      </c>
      <c r="C4702" s="5">
        <v>150</v>
      </c>
      <c r="D4702" s="5">
        <v>27</v>
      </c>
      <c r="E4702" s="5">
        <v>30</v>
      </c>
      <c r="F4702" t="s" s="2">
        <v>42</v>
      </c>
      <c r="G4702" t="s" s="2">
        <v>42</v>
      </c>
      <c r="H4702" s="5">
        <v>820</v>
      </c>
      <c r="I4702" t="s" s="2">
        <v>388</v>
      </c>
      <c r="J4702" t="s" s="2">
        <v>22</v>
      </c>
      <c r="K4702" t="s" s="2">
        <v>8880</v>
      </c>
      <c r="L4702" t="s" s="2">
        <v>394</v>
      </c>
      <c r="M4702" s="5">
        <v>533267</v>
      </c>
      <c r="N4702" s="5">
        <v>6294046.69</v>
      </c>
      <c r="O4702" t="s" s="2">
        <v>305</v>
      </c>
      <c r="P4702" s="5">
        <v>254</v>
      </c>
      <c r="Q4702" t="s" s="2">
        <v>43</v>
      </c>
      <c r="R4702" s="5">
        <f>_xlfn.IFERROR(INDEX('model_byCAP'!$D$2:$D$377,MATCH(Q4702,'model_byCAP'!$A$2:$A$377,0)),0)</f>
        <v>0</v>
      </c>
    </row>
    <row r="4703" ht="15.35" customHeight="1">
      <c r="A4703" t="s" s="2">
        <v>8881</v>
      </c>
      <c r="B4703" s="4">
        <v>33248</v>
      </c>
      <c r="C4703" s="5">
        <v>150</v>
      </c>
      <c r="D4703" s="5">
        <v>24</v>
      </c>
      <c r="E4703" s="5">
        <v>30</v>
      </c>
      <c r="F4703" t="s" s="2">
        <v>1989</v>
      </c>
      <c r="G4703" t="s" s="2">
        <v>8645</v>
      </c>
      <c r="H4703" s="5">
        <v>820</v>
      </c>
      <c r="I4703" t="s" s="2">
        <v>388</v>
      </c>
      <c r="J4703" t="s" s="2">
        <v>22</v>
      </c>
      <c r="K4703" t="s" s="2">
        <v>8882</v>
      </c>
      <c r="L4703" t="s" s="2">
        <v>518</v>
      </c>
      <c r="M4703" s="5">
        <v>525979.8199999999</v>
      </c>
      <c r="N4703" s="5">
        <v>6297793.81</v>
      </c>
      <c r="O4703" t="s" s="2">
        <v>305</v>
      </c>
      <c r="P4703" s="5">
        <v>255</v>
      </c>
      <c r="Q4703" t="s" s="2">
        <v>8647</v>
      </c>
      <c r="R4703" t="s" s="2">
        <f>_xlfn.IFERROR(INDEX('model_byCAP'!$D$2:$D$377,MATCH(Q4703,'model_byCAP'!$A$2:$A$377,0)),0)</f>
        <v>6174</v>
      </c>
    </row>
    <row r="4704" ht="15.35" customHeight="1">
      <c r="A4704" t="s" s="2">
        <v>8883</v>
      </c>
      <c r="B4704" s="4">
        <v>33305</v>
      </c>
      <c r="C4704" s="5">
        <v>150</v>
      </c>
      <c r="D4704" s="5">
        <v>27</v>
      </c>
      <c r="E4704" s="5">
        <v>30</v>
      </c>
      <c r="F4704" t="s" s="2">
        <v>3604</v>
      </c>
      <c r="G4704" t="s" s="2">
        <v>8884</v>
      </c>
      <c r="H4704" s="5">
        <v>820</v>
      </c>
      <c r="I4704" t="s" s="2">
        <v>388</v>
      </c>
      <c r="J4704" t="s" s="2">
        <v>22</v>
      </c>
      <c r="K4704" t="s" s="2">
        <v>8332</v>
      </c>
      <c r="L4704" t="s" s="2">
        <v>524</v>
      </c>
      <c r="M4704" s="5">
        <v>517550.89</v>
      </c>
      <c r="N4704" s="5">
        <v>6290415.56</v>
      </c>
      <c r="O4704" t="s" s="2">
        <v>305</v>
      </c>
      <c r="P4704" s="5">
        <v>257</v>
      </c>
      <c r="Q4704" t="s" s="2">
        <v>8885</v>
      </c>
      <c r="R4704" t="s" s="2">
        <f>_xlfn.IFERROR(INDEX('model_byCAP'!$D$2:$D$377,MATCH(Q4704,'model_byCAP'!$A$2:$A$377,0)),0)</f>
        <v>4115</v>
      </c>
    </row>
    <row r="4705" ht="15.35" customHeight="1">
      <c r="A4705" t="s" s="2">
        <v>8886</v>
      </c>
      <c r="B4705" s="4">
        <v>33305</v>
      </c>
      <c r="C4705" s="5">
        <v>150</v>
      </c>
      <c r="D4705" s="5">
        <v>24</v>
      </c>
      <c r="E4705" s="5">
        <v>30</v>
      </c>
      <c r="F4705" t="s" s="2">
        <v>1989</v>
      </c>
      <c r="G4705" t="s" s="2">
        <v>8645</v>
      </c>
      <c r="H4705" s="5">
        <v>820</v>
      </c>
      <c r="I4705" t="s" s="2">
        <v>388</v>
      </c>
      <c r="J4705" t="s" s="2">
        <v>22</v>
      </c>
      <c r="K4705" t="s" s="2">
        <v>5127</v>
      </c>
      <c r="L4705" t="s" s="2">
        <v>1534</v>
      </c>
      <c r="M4705" s="5">
        <v>530244.55</v>
      </c>
      <c r="N4705" s="5">
        <v>6292176.67</v>
      </c>
      <c r="O4705" t="s" s="2">
        <v>305</v>
      </c>
      <c r="P4705" s="5">
        <v>261</v>
      </c>
      <c r="Q4705" t="s" s="2">
        <v>8647</v>
      </c>
      <c r="R4705" t="s" s="2">
        <f>_xlfn.IFERROR(INDEX('model_byCAP'!$D$2:$D$377,MATCH(Q4705,'model_byCAP'!$A$2:$A$377,0)),0)</f>
        <v>6174</v>
      </c>
    </row>
    <row r="4706" ht="15.35" customHeight="1">
      <c r="A4706" t="s" s="2">
        <v>8887</v>
      </c>
      <c r="B4706" s="4">
        <v>33578</v>
      </c>
      <c r="C4706" s="5">
        <v>150</v>
      </c>
      <c r="D4706" s="5">
        <v>27</v>
      </c>
      <c r="E4706" s="5">
        <v>30</v>
      </c>
      <c r="F4706" t="s" s="2">
        <v>4716</v>
      </c>
      <c r="G4706" t="s" s="2">
        <v>8629</v>
      </c>
      <c r="H4706" s="5">
        <v>820</v>
      </c>
      <c r="I4706" t="s" s="2">
        <v>388</v>
      </c>
      <c r="J4706" t="s" s="2">
        <v>22</v>
      </c>
      <c r="K4706" t="s" s="2">
        <v>8888</v>
      </c>
      <c r="L4706" t="s" s="2">
        <v>1359</v>
      </c>
      <c r="M4706" s="5">
        <v>518724.45</v>
      </c>
      <c r="N4706" s="5">
        <v>6305667.47</v>
      </c>
      <c r="O4706" t="s" s="2">
        <v>305</v>
      </c>
      <c r="P4706" s="5">
        <v>272</v>
      </c>
      <c r="Q4706" t="s" s="2">
        <v>8631</v>
      </c>
      <c r="R4706" t="s" s="2">
        <f>_xlfn.IFERROR(INDEX('model_byCAP'!$D$2:$D$377,MATCH(Q4706,'model_byCAP'!$A$2:$A$377,0)),0)</f>
        <v>8049</v>
      </c>
    </row>
    <row r="4707" ht="15.35" customHeight="1">
      <c r="A4707" t="s" s="2">
        <v>8889</v>
      </c>
      <c r="B4707" s="4">
        <v>33585</v>
      </c>
      <c r="C4707" s="5">
        <v>150</v>
      </c>
      <c r="D4707" s="5">
        <v>27</v>
      </c>
      <c r="E4707" s="5">
        <v>30</v>
      </c>
      <c r="F4707" t="s" s="2">
        <v>4716</v>
      </c>
      <c r="G4707" t="s" s="2">
        <v>8685</v>
      </c>
      <c r="H4707" s="5">
        <v>820</v>
      </c>
      <c r="I4707" t="s" s="2">
        <v>388</v>
      </c>
      <c r="J4707" t="s" s="2">
        <v>22</v>
      </c>
      <c r="K4707" t="s" s="2">
        <v>8890</v>
      </c>
      <c r="L4707" s="5">
        <v>11</v>
      </c>
      <c r="M4707" s="5">
        <v>521227.48</v>
      </c>
      <c r="N4707" s="5">
        <v>6304295.05</v>
      </c>
      <c r="O4707" t="s" s="2">
        <v>305</v>
      </c>
      <c r="P4707" s="5">
        <v>275</v>
      </c>
      <c r="Q4707" t="s" s="2">
        <v>8687</v>
      </c>
      <c r="R4707" t="s" s="2">
        <f>_xlfn.IFERROR(INDEX('model_byCAP'!$D$2:$D$377,MATCH(Q4707,'model_byCAP'!$A$2:$A$377,0)),0)</f>
        <v>8049</v>
      </c>
    </row>
    <row r="4708" ht="15.35" customHeight="1">
      <c r="A4708" t="s" s="2">
        <v>8891</v>
      </c>
      <c r="B4708" s="4">
        <v>33645</v>
      </c>
      <c r="C4708" s="5">
        <v>150</v>
      </c>
      <c r="D4708" s="5">
        <v>23.8</v>
      </c>
      <c r="E4708" s="5">
        <v>30</v>
      </c>
      <c r="F4708" t="s" s="2">
        <v>1989</v>
      </c>
      <c r="G4708" t="s" s="2">
        <v>8645</v>
      </c>
      <c r="H4708" s="5">
        <v>820</v>
      </c>
      <c r="I4708" t="s" s="2">
        <v>388</v>
      </c>
      <c r="J4708" t="s" s="2">
        <v>22</v>
      </c>
      <c r="K4708" t="s" s="2">
        <v>8892</v>
      </c>
      <c r="L4708" t="s" s="2">
        <v>3286</v>
      </c>
      <c r="M4708" s="5">
        <v>528261.98</v>
      </c>
      <c r="N4708" s="5">
        <v>6304374.01</v>
      </c>
      <c r="O4708" t="s" s="2">
        <v>305</v>
      </c>
      <c r="P4708" s="5">
        <v>282</v>
      </c>
      <c r="Q4708" t="s" s="2">
        <v>8647</v>
      </c>
      <c r="R4708" t="s" s="2">
        <f>_xlfn.IFERROR(INDEX('model_byCAP'!$D$2:$D$377,MATCH(Q4708,'model_byCAP'!$A$2:$A$377,0)),0)</f>
        <v>6174</v>
      </c>
    </row>
    <row r="4709" ht="15.35" customHeight="1">
      <c r="A4709" t="s" s="2">
        <v>8893</v>
      </c>
      <c r="B4709" s="4">
        <v>33128</v>
      </c>
      <c r="C4709" s="5">
        <v>150</v>
      </c>
      <c r="D4709" s="5">
        <v>25</v>
      </c>
      <c r="E4709" s="5">
        <v>33</v>
      </c>
      <c r="F4709" t="s" s="2">
        <v>42</v>
      </c>
      <c r="G4709" t="s" s="2">
        <v>42</v>
      </c>
      <c r="H4709" s="5">
        <v>840</v>
      </c>
      <c r="I4709" t="s" s="2">
        <v>973</v>
      </c>
      <c r="J4709" t="s" s="2">
        <v>22</v>
      </c>
      <c r="K4709" t="s" s="2">
        <v>8894</v>
      </c>
      <c r="L4709" t="s" s="2">
        <v>856</v>
      </c>
      <c r="M4709" s="5">
        <v>549517.01</v>
      </c>
      <c r="N4709" s="5">
        <v>6303406.66</v>
      </c>
      <c r="O4709" t="s" s="2">
        <v>305</v>
      </c>
      <c r="P4709" s="5">
        <v>240</v>
      </c>
      <c r="Q4709" t="s" s="2">
        <v>43</v>
      </c>
      <c r="R4709" s="5">
        <f>_xlfn.IFERROR(INDEX('model_byCAP'!$D$2:$D$377,MATCH(Q4709,'model_byCAP'!$A$2:$A$377,0)),0)</f>
        <v>0</v>
      </c>
    </row>
    <row r="4710" ht="15.35" customHeight="1">
      <c r="A4710" t="s" s="2">
        <v>8895</v>
      </c>
      <c r="B4710" s="4">
        <v>33416</v>
      </c>
      <c r="C4710" s="5">
        <v>150</v>
      </c>
      <c r="D4710" s="5">
        <v>24.6</v>
      </c>
      <c r="E4710" s="5">
        <v>32</v>
      </c>
      <c r="F4710" t="s" s="2">
        <v>42</v>
      </c>
      <c r="G4710" t="s" s="2">
        <v>42</v>
      </c>
      <c r="H4710" s="5">
        <v>840</v>
      </c>
      <c r="I4710" t="s" s="2">
        <v>973</v>
      </c>
      <c r="J4710" t="s" s="2">
        <v>22</v>
      </c>
      <c r="K4710" t="s" s="2">
        <v>8896</v>
      </c>
      <c r="L4710" t="s" s="2">
        <v>869</v>
      </c>
      <c r="M4710" s="5">
        <v>543716.4399999999</v>
      </c>
      <c r="N4710" s="5">
        <v>6283088.54</v>
      </c>
      <c r="O4710" t="s" s="2">
        <v>305</v>
      </c>
      <c r="P4710" s="5">
        <v>267</v>
      </c>
      <c r="Q4710" t="s" s="2">
        <v>43</v>
      </c>
      <c r="R4710" s="5">
        <f>_xlfn.IFERROR(INDEX('model_byCAP'!$D$2:$D$377,MATCH(Q4710,'model_byCAP'!$A$2:$A$377,0)),0)</f>
        <v>0</v>
      </c>
    </row>
    <row r="4711" ht="15.35" customHeight="1">
      <c r="A4711" t="s" s="2">
        <v>8897</v>
      </c>
      <c r="B4711" s="4">
        <v>33368</v>
      </c>
      <c r="C4711" s="5">
        <v>150</v>
      </c>
      <c r="D4711" s="5">
        <v>24.6</v>
      </c>
      <c r="E4711" s="5">
        <v>32</v>
      </c>
      <c r="F4711" t="s" s="2">
        <v>42</v>
      </c>
      <c r="G4711" t="s" s="2">
        <v>42</v>
      </c>
      <c r="H4711" s="5">
        <v>846</v>
      </c>
      <c r="I4711" t="s" s="2">
        <v>429</v>
      </c>
      <c r="J4711" t="s" s="2">
        <v>22</v>
      </c>
      <c r="K4711" t="s" s="2">
        <v>8898</v>
      </c>
      <c r="L4711" t="s" s="2">
        <v>4273</v>
      </c>
      <c r="M4711" s="5">
        <v>555461.47</v>
      </c>
      <c r="N4711" s="5">
        <v>6283392.59</v>
      </c>
      <c r="O4711" t="s" s="2">
        <v>305</v>
      </c>
      <c r="P4711" s="5">
        <v>263</v>
      </c>
      <c r="Q4711" t="s" s="2">
        <v>43</v>
      </c>
      <c r="R4711" s="5">
        <f>_xlfn.IFERROR(INDEX('model_byCAP'!$D$2:$D$377,MATCH(Q4711,'model_byCAP'!$A$2:$A$377,0)),0)</f>
        <v>0</v>
      </c>
    </row>
    <row r="4712" ht="15.35" customHeight="1">
      <c r="A4712" t="s" s="2">
        <v>8899</v>
      </c>
      <c r="B4712" s="4">
        <v>33368</v>
      </c>
      <c r="C4712" s="5">
        <v>150</v>
      </c>
      <c r="D4712" s="5">
        <v>24.6</v>
      </c>
      <c r="E4712" s="5">
        <v>32</v>
      </c>
      <c r="F4712" t="s" s="2">
        <v>42</v>
      </c>
      <c r="G4712" t="s" s="2">
        <v>42</v>
      </c>
      <c r="H4712" s="5">
        <v>846</v>
      </c>
      <c r="I4712" t="s" s="2">
        <v>429</v>
      </c>
      <c r="J4712" t="s" s="2">
        <v>22</v>
      </c>
      <c r="K4712" t="s" s="2">
        <v>8898</v>
      </c>
      <c r="L4712" t="s" s="2">
        <v>4273</v>
      </c>
      <c r="M4712" s="5">
        <v>555500.08</v>
      </c>
      <c r="N4712" s="5">
        <v>6283298.59</v>
      </c>
      <c r="O4712" t="s" s="2">
        <v>305</v>
      </c>
      <c r="P4712" s="5">
        <v>263</v>
      </c>
      <c r="Q4712" t="s" s="2">
        <v>43</v>
      </c>
      <c r="R4712" s="5">
        <f>_xlfn.IFERROR(INDEX('model_byCAP'!$D$2:$D$377,MATCH(Q4712,'model_byCAP'!$A$2:$A$377,0)),0)</f>
        <v>0</v>
      </c>
    </row>
    <row r="4713" ht="15.35" customHeight="1">
      <c r="A4713" t="s" s="2">
        <v>8900</v>
      </c>
      <c r="B4713" s="4">
        <v>34508</v>
      </c>
      <c r="C4713" s="5">
        <v>150</v>
      </c>
      <c r="D4713" s="5">
        <v>24.6</v>
      </c>
      <c r="E4713" s="5">
        <v>32</v>
      </c>
      <c r="F4713" t="s" s="2">
        <v>42</v>
      </c>
      <c r="G4713" t="s" s="2">
        <v>42</v>
      </c>
      <c r="H4713" s="5">
        <v>846</v>
      </c>
      <c r="I4713" t="s" s="2">
        <v>429</v>
      </c>
      <c r="J4713" t="s" s="2">
        <v>22</v>
      </c>
      <c r="K4713" t="s" s="2">
        <v>8901</v>
      </c>
      <c r="L4713" t="s" s="2">
        <v>1339</v>
      </c>
      <c r="M4713" s="5">
        <v>550323.97</v>
      </c>
      <c r="N4713" s="5">
        <v>6291189.3</v>
      </c>
      <c r="O4713" t="s" s="2">
        <v>305</v>
      </c>
      <c r="P4713" s="5">
        <v>304</v>
      </c>
      <c r="Q4713" t="s" s="2">
        <v>43</v>
      </c>
      <c r="R4713" s="5">
        <f>_xlfn.IFERROR(INDEX('model_byCAP'!$D$2:$D$377,MATCH(Q4713,'model_byCAP'!$A$2:$A$377,0)),0)</f>
        <v>0</v>
      </c>
    </row>
    <row r="4714" ht="15.35" customHeight="1">
      <c r="A4714" t="s" s="2">
        <v>8902</v>
      </c>
      <c r="B4714" s="4">
        <v>32492</v>
      </c>
      <c r="C4714" s="5">
        <v>150</v>
      </c>
      <c r="D4714" s="5">
        <v>23</v>
      </c>
      <c r="E4714" s="5">
        <v>30</v>
      </c>
      <c r="F4714" t="s" s="2">
        <v>1989</v>
      </c>
      <c r="G4714" t="s" s="2">
        <v>8903</v>
      </c>
      <c r="H4714" s="5">
        <v>849</v>
      </c>
      <c r="I4714" t="s" s="2">
        <v>411</v>
      </c>
      <c r="J4714" t="s" s="2">
        <v>22</v>
      </c>
      <c r="K4714" t="s" s="2">
        <v>8904</v>
      </c>
      <c r="L4714" t="s" s="2">
        <v>1441</v>
      </c>
      <c r="M4714" s="5">
        <v>553569.3199999999</v>
      </c>
      <c r="N4714" s="5">
        <v>6337385.38</v>
      </c>
      <c r="O4714" t="s" s="2">
        <v>305</v>
      </c>
      <c r="P4714" t="s" s="2">
        <v>8905</v>
      </c>
      <c r="Q4714" t="s" s="2">
        <v>8906</v>
      </c>
      <c r="R4714" t="s" s="2">
        <f>_xlfn.IFERROR(INDEX('model_byCAP'!$D$2:$D$377,MATCH(Q4714,'model_byCAP'!$A$2:$A$377,0)),0)</f>
        <v>6174</v>
      </c>
    </row>
    <row r="4715" ht="15.35" customHeight="1">
      <c r="A4715" t="s" s="2">
        <v>8907</v>
      </c>
      <c r="B4715" s="4">
        <v>32492</v>
      </c>
      <c r="C4715" s="5">
        <v>150</v>
      </c>
      <c r="D4715" s="5">
        <v>23</v>
      </c>
      <c r="E4715" s="5">
        <v>30</v>
      </c>
      <c r="F4715" t="s" s="2">
        <v>1989</v>
      </c>
      <c r="G4715" t="s" s="2">
        <v>8903</v>
      </c>
      <c r="H4715" s="5">
        <v>849</v>
      </c>
      <c r="I4715" t="s" s="2">
        <v>411</v>
      </c>
      <c r="J4715" t="s" s="2">
        <v>22</v>
      </c>
      <c r="K4715" t="s" s="2">
        <v>8904</v>
      </c>
      <c r="L4715" t="s" s="2">
        <v>1441</v>
      </c>
      <c r="M4715" s="5">
        <v>553373.36</v>
      </c>
      <c r="N4715" s="5">
        <v>6337424.73</v>
      </c>
      <c r="O4715" t="s" s="2">
        <v>305</v>
      </c>
      <c r="P4715" t="s" s="2">
        <v>8908</v>
      </c>
      <c r="Q4715" t="s" s="2">
        <v>8906</v>
      </c>
      <c r="R4715" t="s" s="2">
        <f>_xlfn.IFERROR(INDEX('model_byCAP'!$D$2:$D$377,MATCH(Q4715,'model_byCAP'!$A$2:$A$377,0)),0)</f>
        <v>6174</v>
      </c>
    </row>
    <row r="4716" ht="15.35" customHeight="1">
      <c r="A4716" t="s" s="2">
        <v>8909</v>
      </c>
      <c r="B4716" s="4">
        <v>33276</v>
      </c>
      <c r="C4716" s="5">
        <v>150</v>
      </c>
      <c r="D4716" s="5">
        <v>24</v>
      </c>
      <c r="E4716" s="5">
        <v>30</v>
      </c>
      <c r="F4716" t="s" s="2">
        <v>1989</v>
      </c>
      <c r="G4716" t="s" s="2">
        <v>8645</v>
      </c>
      <c r="H4716" s="5">
        <v>851</v>
      </c>
      <c r="I4716" t="s" s="2">
        <v>1139</v>
      </c>
      <c r="J4716" t="s" s="2">
        <v>22</v>
      </c>
      <c r="K4716" t="s" s="2">
        <v>8910</v>
      </c>
      <c r="L4716" t="s" s="2">
        <v>374</v>
      </c>
      <c r="M4716" s="5">
        <v>556836.76</v>
      </c>
      <c r="N4716" s="5">
        <v>6310339.29</v>
      </c>
      <c r="O4716" t="s" s="2">
        <v>305</v>
      </c>
      <c r="P4716" s="5">
        <v>259</v>
      </c>
      <c r="Q4716" t="s" s="2">
        <v>8647</v>
      </c>
      <c r="R4716" t="s" s="2">
        <f>_xlfn.IFERROR(INDEX('model_byCAP'!$D$2:$D$377,MATCH(Q4716,'model_byCAP'!$A$2:$A$377,0)),0)</f>
        <v>6174</v>
      </c>
    </row>
    <row r="4717" ht="15.35" customHeight="1">
      <c r="A4717" t="s" s="2">
        <v>8911</v>
      </c>
      <c r="B4717" s="4">
        <v>33276</v>
      </c>
      <c r="C4717" s="5">
        <v>150</v>
      </c>
      <c r="D4717" s="5">
        <v>24</v>
      </c>
      <c r="E4717" s="5">
        <v>30</v>
      </c>
      <c r="F4717" t="s" s="2">
        <v>1989</v>
      </c>
      <c r="G4717" t="s" s="2">
        <v>8645</v>
      </c>
      <c r="H4717" s="5">
        <v>851</v>
      </c>
      <c r="I4717" t="s" s="2">
        <v>1139</v>
      </c>
      <c r="J4717" t="s" s="2">
        <v>22</v>
      </c>
      <c r="K4717" t="s" s="2">
        <v>8912</v>
      </c>
      <c r="L4717" t="s" s="2">
        <v>4326</v>
      </c>
      <c r="M4717" s="5">
        <v>556839.3100000001</v>
      </c>
      <c r="N4717" s="5">
        <v>6310229.02</v>
      </c>
      <c r="O4717" t="s" s="2">
        <v>305</v>
      </c>
      <c r="P4717" s="5">
        <v>259</v>
      </c>
      <c r="Q4717" t="s" s="2">
        <v>8647</v>
      </c>
      <c r="R4717" t="s" s="2">
        <f>_xlfn.IFERROR(INDEX('model_byCAP'!$D$2:$D$377,MATCH(Q4717,'model_byCAP'!$A$2:$A$377,0)),0)</f>
        <v>6174</v>
      </c>
    </row>
    <row r="4718" ht="15.35" customHeight="1">
      <c r="A4718" t="s" s="2">
        <v>8913</v>
      </c>
      <c r="B4718" s="4">
        <v>33312</v>
      </c>
      <c r="C4718" s="5">
        <v>150</v>
      </c>
      <c r="D4718" s="5">
        <v>24.6</v>
      </c>
      <c r="E4718" s="5">
        <v>32.7</v>
      </c>
      <c r="F4718" t="s" s="2">
        <v>42</v>
      </c>
      <c r="G4718" t="s" s="2">
        <v>42</v>
      </c>
      <c r="H4718" s="5">
        <v>851</v>
      </c>
      <c r="I4718" t="s" s="2">
        <v>1139</v>
      </c>
      <c r="J4718" t="s" s="2">
        <v>22</v>
      </c>
      <c r="K4718" t="s" s="2">
        <v>8914</v>
      </c>
      <c r="L4718" t="s" s="2">
        <v>941</v>
      </c>
      <c r="M4718" s="5">
        <v>556195.66</v>
      </c>
      <c r="N4718" s="5">
        <v>6311303.06</v>
      </c>
      <c r="O4718" t="s" s="2">
        <v>305</v>
      </c>
      <c r="P4718" s="5">
        <v>262</v>
      </c>
      <c r="Q4718" t="s" s="2">
        <v>43</v>
      </c>
      <c r="R4718" s="5">
        <f>_xlfn.IFERROR(INDEX('model_byCAP'!$D$2:$D$377,MATCH(Q4718,'model_byCAP'!$A$2:$A$377,0)),0)</f>
        <v>0</v>
      </c>
    </row>
    <row r="4719" ht="15.35" customHeight="1">
      <c r="A4719" t="s" s="2">
        <v>8915</v>
      </c>
      <c r="B4719" s="4">
        <v>33704</v>
      </c>
      <c r="C4719" s="5">
        <v>150</v>
      </c>
      <c r="D4719" s="5">
        <v>28</v>
      </c>
      <c r="E4719" s="5">
        <v>30.2</v>
      </c>
      <c r="F4719" t="s" s="2">
        <v>4716</v>
      </c>
      <c r="G4719" t="s" s="2">
        <v>8685</v>
      </c>
      <c r="H4719" s="5">
        <v>860</v>
      </c>
      <c r="I4719" t="s" s="2">
        <v>449</v>
      </c>
      <c r="J4719" t="s" s="2">
        <v>22</v>
      </c>
      <c r="K4719" t="s" s="2">
        <v>8916</v>
      </c>
      <c r="L4719" t="s" s="2">
        <v>1165</v>
      </c>
      <c r="M4719" s="5">
        <v>556412.0699999999</v>
      </c>
      <c r="N4719" s="5">
        <v>6370243.56</v>
      </c>
      <c r="O4719" t="s" s="2">
        <v>305</v>
      </c>
      <c r="P4719" t="s" s="2">
        <v>8917</v>
      </c>
      <c r="Q4719" t="s" s="2">
        <v>8687</v>
      </c>
      <c r="R4719" t="s" s="2">
        <f>_xlfn.IFERROR(INDEX('model_byCAP'!$D$2:$D$377,MATCH(Q4719,'model_byCAP'!$A$2:$A$377,0)),0)</f>
        <v>8049</v>
      </c>
    </row>
    <row r="4720" ht="15.35" customHeight="1">
      <c r="A4720" t="s" s="2">
        <v>8918</v>
      </c>
      <c r="B4720" s="4">
        <v>33704</v>
      </c>
      <c r="C4720" s="5">
        <v>150</v>
      </c>
      <c r="D4720" s="5">
        <v>28</v>
      </c>
      <c r="E4720" s="5">
        <v>30.2</v>
      </c>
      <c r="F4720" t="s" s="2">
        <v>4716</v>
      </c>
      <c r="G4720" t="s" s="2">
        <v>8685</v>
      </c>
      <c r="H4720" s="5">
        <v>860</v>
      </c>
      <c r="I4720" t="s" s="2">
        <v>449</v>
      </c>
      <c r="J4720" t="s" s="2">
        <v>22</v>
      </c>
      <c r="K4720" t="s" s="2">
        <v>8916</v>
      </c>
      <c r="L4720" t="s" s="2">
        <v>481</v>
      </c>
      <c r="M4720" s="5">
        <v>556318.74</v>
      </c>
      <c r="N4720" s="5">
        <v>6370289.44</v>
      </c>
      <c r="O4720" t="s" s="2">
        <v>305</v>
      </c>
      <c r="P4720" t="s" s="2">
        <v>8919</v>
      </c>
      <c r="Q4720" t="s" s="2">
        <v>8687</v>
      </c>
      <c r="R4720" t="s" s="2">
        <f>_xlfn.IFERROR(INDEX('model_byCAP'!$D$2:$D$377,MATCH(Q4720,'model_byCAP'!$A$2:$A$377,0)),0)</f>
        <v>8049</v>
      </c>
    </row>
    <row r="4721" ht="15.35" customHeight="1">
      <c r="A4721" t="s" s="2">
        <v>8920</v>
      </c>
      <c r="B4721" s="4">
        <v>32738</v>
      </c>
      <c r="C4721" s="5">
        <v>150</v>
      </c>
      <c r="D4721" s="5">
        <v>25</v>
      </c>
      <c r="E4721" s="5">
        <v>31</v>
      </c>
      <c r="F4721" t="s" s="2">
        <v>4716</v>
      </c>
      <c r="G4721" t="s" s="2">
        <v>8807</v>
      </c>
      <c r="H4721" s="5">
        <v>860</v>
      </c>
      <c r="I4721" t="s" s="2">
        <v>449</v>
      </c>
      <c r="J4721" t="s" s="2">
        <v>22</v>
      </c>
      <c r="K4721" t="s" s="2">
        <v>8921</v>
      </c>
      <c r="L4721" t="s" s="2">
        <v>8922</v>
      </c>
      <c r="M4721" s="5">
        <v>559102.88</v>
      </c>
      <c r="N4721" s="5">
        <v>6359150.03</v>
      </c>
      <c r="O4721" t="s" s="2">
        <v>305</v>
      </c>
      <c r="P4721" t="s" s="2">
        <v>8923</v>
      </c>
      <c r="Q4721" t="s" s="2">
        <v>8809</v>
      </c>
      <c r="R4721" t="s" s="2">
        <f>_xlfn.IFERROR(INDEX('model_byCAP'!$D$2:$D$377,MATCH(Q4721,'model_byCAP'!$A$2:$A$377,0)),0)</f>
        <v>8049</v>
      </c>
    </row>
    <row r="4722" ht="15.35" customHeight="1">
      <c r="A4722" t="s" s="2">
        <v>8924</v>
      </c>
      <c r="B4722" s="4">
        <v>33256</v>
      </c>
      <c r="C4722" s="5">
        <v>150</v>
      </c>
      <c r="D4722" s="5">
        <v>28</v>
      </c>
      <c r="E4722" s="5">
        <v>31</v>
      </c>
      <c r="F4722" t="s" s="2">
        <v>4716</v>
      </c>
      <c r="G4722" t="s" s="2">
        <v>8685</v>
      </c>
      <c r="H4722" s="5">
        <v>860</v>
      </c>
      <c r="I4722" t="s" s="2">
        <v>449</v>
      </c>
      <c r="J4722" t="s" s="2">
        <v>22</v>
      </c>
      <c r="K4722" t="s" s="2">
        <v>8916</v>
      </c>
      <c r="L4722" t="s" s="2">
        <v>481</v>
      </c>
      <c r="M4722" s="5">
        <v>555832.75</v>
      </c>
      <c r="N4722" s="5">
        <v>6370366.54</v>
      </c>
      <c r="O4722" t="s" s="2">
        <v>305</v>
      </c>
      <c r="P4722" t="s" s="2">
        <v>8925</v>
      </c>
      <c r="Q4722" t="s" s="2">
        <v>8687</v>
      </c>
      <c r="R4722" t="s" s="2">
        <f>_xlfn.IFERROR(INDEX('model_byCAP'!$D$2:$D$377,MATCH(Q4722,'model_byCAP'!$A$2:$A$377,0)),0)</f>
        <v>8049</v>
      </c>
    </row>
    <row r="4723" ht="15.35" customHeight="1">
      <c r="A4723" t="s" s="2">
        <v>8926</v>
      </c>
      <c r="B4723" s="4">
        <v>33256</v>
      </c>
      <c r="C4723" s="5">
        <v>150</v>
      </c>
      <c r="D4723" s="5">
        <v>28</v>
      </c>
      <c r="E4723" s="5">
        <v>31</v>
      </c>
      <c r="F4723" t="s" s="2">
        <v>4716</v>
      </c>
      <c r="G4723" t="s" s="2">
        <v>8685</v>
      </c>
      <c r="H4723" s="5">
        <v>860</v>
      </c>
      <c r="I4723" t="s" s="2">
        <v>449</v>
      </c>
      <c r="J4723" t="s" s="2">
        <v>22</v>
      </c>
      <c r="K4723" t="s" s="2">
        <v>8916</v>
      </c>
      <c r="L4723" t="s" s="2">
        <v>481</v>
      </c>
      <c r="M4723" s="5">
        <v>555819.78</v>
      </c>
      <c r="N4723" s="5">
        <v>6370272.7</v>
      </c>
      <c r="O4723" t="s" s="2">
        <v>305</v>
      </c>
      <c r="P4723" t="s" s="2">
        <v>8927</v>
      </c>
      <c r="Q4723" t="s" s="2">
        <v>8687</v>
      </c>
      <c r="R4723" t="s" s="2">
        <f>_xlfn.IFERROR(INDEX('model_byCAP'!$D$2:$D$377,MATCH(Q4723,'model_byCAP'!$A$2:$A$377,0)),0)</f>
        <v>8049</v>
      </c>
    </row>
    <row r="4724" ht="15.35" customHeight="1">
      <c r="A4724" t="s" s="2">
        <v>8928</v>
      </c>
      <c r="B4724" s="4">
        <v>32798</v>
      </c>
      <c r="C4724" s="5">
        <v>150</v>
      </c>
      <c r="D4724" s="5">
        <v>25</v>
      </c>
      <c r="E4724" s="5">
        <v>31</v>
      </c>
      <c r="F4724" t="s" s="2">
        <v>4716</v>
      </c>
      <c r="G4724" t="s" s="2">
        <v>8807</v>
      </c>
      <c r="H4724" s="5">
        <v>860</v>
      </c>
      <c r="I4724" t="s" s="2">
        <v>449</v>
      </c>
      <c r="J4724" t="s" s="2">
        <v>22</v>
      </c>
      <c r="K4724" t="s" s="2">
        <v>8916</v>
      </c>
      <c r="L4724" t="s" s="2">
        <v>518</v>
      </c>
      <c r="M4724" s="5">
        <v>555445</v>
      </c>
      <c r="N4724" s="5">
        <v>6370526.14</v>
      </c>
      <c r="O4724" t="s" s="2">
        <v>305</v>
      </c>
      <c r="P4724" t="s" s="2">
        <v>8929</v>
      </c>
      <c r="Q4724" t="s" s="2">
        <v>8809</v>
      </c>
      <c r="R4724" t="s" s="2">
        <f>_xlfn.IFERROR(INDEX('model_byCAP'!$D$2:$D$377,MATCH(Q4724,'model_byCAP'!$A$2:$A$377,0)),0)</f>
        <v>8049</v>
      </c>
    </row>
    <row r="4725" ht="15.35" customHeight="1">
      <c r="A4725" t="s" s="2">
        <v>8930</v>
      </c>
      <c r="B4725" s="4">
        <v>32598</v>
      </c>
      <c r="C4725" s="5">
        <v>150</v>
      </c>
      <c r="D4725" s="5">
        <v>0.1</v>
      </c>
      <c r="E4725" s="5">
        <v>0.1</v>
      </c>
      <c r="F4725" t="s" s="2">
        <v>8654</v>
      </c>
      <c r="G4725" t="s" s="2">
        <v>8931</v>
      </c>
      <c r="H4725" s="5">
        <v>860</v>
      </c>
      <c r="I4725" t="s" s="2">
        <v>449</v>
      </c>
      <c r="J4725" t="s" s="2">
        <v>22</v>
      </c>
      <c r="K4725" t="s" s="2">
        <v>8932</v>
      </c>
      <c r="L4725" t="s" s="2">
        <v>2809</v>
      </c>
      <c r="M4725" s="5">
        <v>562130.29</v>
      </c>
      <c r="N4725" s="5">
        <v>6371671.83</v>
      </c>
      <c r="O4725" t="s" s="2">
        <v>305</v>
      </c>
      <c r="P4725" t="s" s="2">
        <v>8933</v>
      </c>
      <c r="Q4725" t="s" s="2">
        <v>8934</v>
      </c>
      <c r="R4725" s="5">
        <f>_xlfn.IFERROR(INDEX('model_byCAP'!$D$2:$D$377,MATCH(Q4725,'model_byCAP'!$A$2:$A$377,0)),0)</f>
        <v>0</v>
      </c>
    </row>
    <row r="4726" ht="15.35" customHeight="1">
      <c r="A4726" t="s" s="2">
        <v>8935</v>
      </c>
      <c r="B4726" s="4">
        <v>32877</v>
      </c>
      <c r="C4726" s="5">
        <v>150</v>
      </c>
      <c r="D4726" s="5">
        <v>23</v>
      </c>
      <c r="E4726" s="5">
        <v>30</v>
      </c>
      <c r="F4726" t="s" s="2">
        <v>1989</v>
      </c>
      <c r="G4726" t="s" s="2">
        <v>6172</v>
      </c>
      <c r="H4726" s="5">
        <v>860</v>
      </c>
      <c r="I4726" t="s" s="2">
        <v>449</v>
      </c>
      <c r="J4726" t="s" s="2">
        <v>22</v>
      </c>
      <c r="K4726" t="s" s="2">
        <v>8936</v>
      </c>
      <c r="L4726" t="s" s="2">
        <v>399</v>
      </c>
      <c r="M4726" s="5">
        <v>550075.67</v>
      </c>
      <c r="N4726" s="5">
        <v>6370148.28</v>
      </c>
      <c r="O4726" t="s" s="2">
        <v>305</v>
      </c>
      <c r="P4726" t="s" s="2">
        <v>8937</v>
      </c>
      <c r="Q4726" t="s" s="2">
        <v>6173</v>
      </c>
      <c r="R4726" t="s" s="2">
        <f>_xlfn.IFERROR(INDEX('model_byCAP'!$D$2:$D$377,MATCH(Q4726,'model_byCAP'!$A$2:$A$377,0)),0)</f>
        <v>6174</v>
      </c>
    </row>
    <row r="4727" ht="15.35" customHeight="1">
      <c r="A4727" t="s" s="2">
        <v>8938</v>
      </c>
      <c r="B4727" s="4">
        <v>32877</v>
      </c>
      <c r="C4727" s="5">
        <v>150</v>
      </c>
      <c r="D4727" s="5">
        <v>23</v>
      </c>
      <c r="E4727" s="5">
        <v>30</v>
      </c>
      <c r="F4727" t="s" s="2">
        <v>1989</v>
      </c>
      <c r="G4727" t="s" s="2">
        <v>6172</v>
      </c>
      <c r="H4727" s="5">
        <v>860</v>
      </c>
      <c r="I4727" t="s" s="2">
        <v>449</v>
      </c>
      <c r="J4727" t="s" s="2">
        <v>22</v>
      </c>
      <c r="K4727" t="s" s="2">
        <v>8936</v>
      </c>
      <c r="L4727" t="s" s="2">
        <v>399</v>
      </c>
      <c r="M4727" s="5">
        <v>550067.67</v>
      </c>
      <c r="N4727" s="5">
        <v>6370049.14</v>
      </c>
      <c r="O4727" t="s" s="2">
        <v>305</v>
      </c>
      <c r="P4727" t="s" s="2">
        <v>8939</v>
      </c>
      <c r="Q4727" t="s" s="2">
        <v>6173</v>
      </c>
      <c r="R4727" t="s" s="2">
        <f>_xlfn.IFERROR(INDEX('model_byCAP'!$D$2:$D$377,MATCH(Q4727,'model_byCAP'!$A$2:$A$377,0)),0)</f>
        <v>6174</v>
      </c>
    </row>
    <row r="4728" ht="15.35" customHeight="1">
      <c r="A4728" t="s" s="2">
        <v>8940</v>
      </c>
      <c r="B4728" s="4">
        <v>33564</v>
      </c>
      <c r="C4728" s="5">
        <v>150</v>
      </c>
      <c r="D4728" s="5">
        <v>23</v>
      </c>
      <c r="E4728" s="5">
        <v>30</v>
      </c>
      <c r="F4728" t="s" s="2">
        <v>1989</v>
      </c>
      <c r="G4728" t="s" s="2">
        <v>7685</v>
      </c>
      <c r="H4728" s="5">
        <v>860</v>
      </c>
      <c r="I4728" t="s" s="2">
        <v>449</v>
      </c>
      <c r="J4728" t="s" s="2">
        <v>22</v>
      </c>
      <c r="K4728" t="s" s="2">
        <v>8936</v>
      </c>
      <c r="L4728" t="s" s="2">
        <v>2923</v>
      </c>
      <c r="M4728" s="5">
        <v>550048.0699999999</v>
      </c>
      <c r="N4728" s="5">
        <v>6369950.37</v>
      </c>
      <c r="O4728" t="s" s="2">
        <v>305</v>
      </c>
      <c r="P4728" t="s" s="2">
        <v>8941</v>
      </c>
      <c r="Q4728" t="s" s="2">
        <v>7687</v>
      </c>
      <c r="R4728" t="s" s="2">
        <f>_xlfn.IFERROR(INDEX('model_byCAP'!$D$2:$D$377,MATCH(Q4728,'model_byCAP'!$A$2:$A$377,0)),0)</f>
        <v>6174</v>
      </c>
    </row>
    <row r="4729" ht="15.35" customHeight="1">
      <c r="A4729" t="s" s="2">
        <v>8942</v>
      </c>
      <c r="B4729" s="4">
        <v>33564</v>
      </c>
      <c r="C4729" s="5">
        <v>150</v>
      </c>
      <c r="D4729" s="5">
        <v>23</v>
      </c>
      <c r="E4729" s="5">
        <v>30</v>
      </c>
      <c r="F4729" t="s" s="2">
        <v>1989</v>
      </c>
      <c r="G4729" t="s" s="2">
        <v>7685</v>
      </c>
      <c r="H4729" s="5">
        <v>860</v>
      </c>
      <c r="I4729" t="s" s="2">
        <v>449</v>
      </c>
      <c r="J4729" t="s" s="2">
        <v>22</v>
      </c>
      <c r="K4729" t="s" s="2">
        <v>8936</v>
      </c>
      <c r="L4729" t="s" s="2">
        <v>2923</v>
      </c>
      <c r="M4729" s="5">
        <v>550041.38</v>
      </c>
      <c r="N4729" s="5">
        <v>6369850.96</v>
      </c>
      <c r="O4729" t="s" s="2">
        <v>305</v>
      </c>
      <c r="P4729" t="s" s="2">
        <v>8943</v>
      </c>
      <c r="Q4729" t="s" s="2">
        <v>7687</v>
      </c>
      <c r="R4729" t="s" s="2">
        <f>_xlfn.IFERROR(INDEX('model_byCAP'!$D$2:$D$377,MATCH(Q4729,'model_byCAP'!$A$2:$A$377,0)),0)</f>
        <v>6174</v>
      </c>
    </row>
    <row r="4730" ht="15.35" customHeight="1">
      <c r="A4730" t="s" s="2">
        <v>8944</v>
      </c>
      <c r="B4730" s="4">
        <v>33591</v>
      </c>
      <c r="C4730" s="5">
        <v>150</v>
      </c>
      <c r="D4730" s="5">
        <v>23</v>
      </c>
      <c r="E4730" s="5">
        <v>30</v>
      </c>
      <c r="F4730" t="s" s="2">
        <v>1989</v>
      </c>
      <c r="G4730" t="s" s="2">
        <v>7685</v>
      </c>
      <c r="H4730" s="5">
        <v>860</v>
      </c>
      <c r="I4730" t="s" s="2">
        <v>449</v>
      </c>
      <c r="J4730" t="s" s="2">
        <v>22</v>
      </c>
      <c r="K4730" t="s" s="2">
        <v>8936</v>
      </c>
      <c r="L4730" t="s" s="2">
        <v>399</v>
      </c>
      <c r="M4730" s="5">
        <v>550046.4</v>
      </c>
      <c r="N4730" s="5">
        <v>6370251.51</v>
      </c>
      <c r="O4730" t="s" s="2">
        <v>305</v>
      </c>
      <c r="P4730" t="s" s="2">
        <v>8945</v>
      </c>
      <c r="Q4730" t="s" s="2">
        <v>7687</v>
      </c>
      <c r="R4730" t="s" s="2">
        <f>_xlfn.IFERROR(INDEX('model_byCAP'!$D$2:$D$377,MATCH(Q4730,'model_byCAP'!$A$2:$A$377,0)),0)</f>
        <v>6174</v>
      </c>
    </row>
    <row r="4731" ht="15.35" customHeight="1">
      <c r="A4731" t="s" s="2">
        <v>8946</v>
      </c>
      <c r="B4731" s="4">
        <v>33491</v>
      </c>
      <c r="C4731" s="5">
        <v>150</v>
      </c>
      <c r="D4731" s="5">
        <v>28</v>
      </c>
      <c r="E4731" s="5">
        <v>31</v>
      </c>
      <c r="F4731" t="s" s="2">
        <v>4716</v>
      </c>
      <c r="G4731" t="s" s="2">
        <v>8685</v>
      </c>
      <c r="H4731" s="5">
        <v>860</v>
      </c>
      <c r="I4731" t="s" s="2">
        <v>449</v>
      </c>
      <c r="J4731" t="s" s="2">
        <v>22</v>
      </c>
      <c r="K4731" t="s" s="2">
        <v>8947</v>
      </c>
      <c r="L4731" t="s" s="2">
        <v>6057</v>
      </c>
      <c r="M4731" s="5">
        <v>579070.9399999999</v>
      </c>
      <c r="N4731" s="5">
        <v>6384530.14</v>
      </c>
      <c r="O4731" t="s" s="2">
        <v>305</v>
      </c>
      <c r="P4731" t="s" s="2">
        <v>8948</v>
      </c>
      <c r="Q4731" t="s" s="2">
        <v>8687</v>
      </c>
      <c r="R4731" t="s" s="2">
        <f>_xlfn.IFERROR(INDEX('model_byCAP'!$D$2:$D$377,MATCH(Q4731,'model_byCAP'!$A$2:$A$377,0)),0)</f>
        <v>8049</v>
      </c>
    </row>
    <row r="4732" ht="15.35" customHeight="1">
      <c r="A4732" t="s" s="2">
        <v>8949</v>
      </c>
      <c r="B4732" s="4">
        <v>33491</v>
      </c>
      <c r="C4732" s="5">
        <v>150</v>
      </c>
      <c r="D4732" s="5">
        <v>28</v>
      </c>
      <c r="E4732" s="5">
        <v>31</v>
      </c>
      <c r="F4732" t="s" s="2">
        <v>4716</v>
      </c>
      <c r="G4732" t="s" s="2">
        <v>8685</v>
      </c>
      <c r="H4732" s="5">
        <v>860</v>
      </c>
      <c r="I4732" t="s" s="2">
        <v>449</v>
      </c>
      <c r="J4732" t="s" s="2">
        <v>22</v>
      </c>
      <c r="K4732" t="s" s="2">
        <v>8947</v>
      </c>
      <c r="L4732" t="s" s="2">
        <v>6057</v>
      </c>
      <c r="M4732" s="5">
        <v>579169.6800000001</v>
      </c>
      <c r="N4732" s="5">
        <v>6384357.48</v>
      </c>
      <c r="O4732" t="s" s="2">
        <v>305</v>
      </c>
      <c r="P4732" t="s" s="2">
        <v>8950</v>
      </c>
      <c r="Q4732" t="s" s="2">
        <v>8687</v>
      </c>
      <c r="R4732" t="s" s="2">
        <f>_xlfn.IFERROR(INDEX('model_byCAP'!$D$2:$D$377,MATCH(Q4732,'model_byCAP'!$A$2:$A$377,0)),0)</f>
        <v>8049</v>
      </c>
    </row>
    <row r="4733" ht="15.35" customHeight="1">
      <c r="A4733" t="s" s="2">
        <v>8951</v>
      </c>
      <c r="B4733" s="4">
        <v>32549</v>
      </c>
      <c r="C4733" s="5">
        <v>150</v>
      </c>
      <c r="D4733" s="5">
        <v>23.2</v>
      </c>
      <c r="E4733" s="5">
        <v>30.3</v>
      </c>
      <c r="F4733" t="s" s="2">
        <v>4716</v>
      </c>
      <c r="G4733" t="s" s="2">
        <v>8641</v>
      </c>
      <c r="H4733" s="5">
        <v>860</v>
      </c>
      <c r="I4733" t="s" s="2">
        <v>449</v>
      </c>
      <c r="J4733" t="s" s="2">
        <v>22</v>
      </c>
      <c r="K4733" t="s" s="2">
        <v>8952</v>
      </c>
      <c r="L4733" t="s" s="2">
        <v>6917</v>
      </c>
      <c r="M4733" s="5">
        <v>553944.74</v>
      </c>
      <c r="N4733" s="5">
        <v>6356404.63</v>
      </c>
      <c r="O4733" t="s" s="2">
        <v>305</v>
      </c>
      <c r="P4733" s="5">
        <v>25</v>
      </c>
      <c r="Q4733" t="s" s="2">
        <v>8643</v>
      </c>
      <c r="R4733" t="s" s="2">
        <f>_xlfn.IFERROR(INDEX('model_byCAP'!$D$2:$D$377,MATCH(Q4733,'model_byCAP'!$A$2:$A$377,0)),0)</f>
        <v>8049</v>
      </c>
    </row>
    <row r="4734" ht="15.35" customHeight="1">
      <c r="A4734" t="s" s="2">
        <v>8953</v>
      </c>
      <c r="B4734" s="4">
        <v>32478</v>
      </c>
      <c r="C4734" s="5">
        <v>130</v>
      </c>
      <c r="D4734" s="5">
        <v>19</v>
      </c>
      <c r="E4734" s="5">
        <v>31</v>
      </c>
      <c r="F4734" t="s" s="2">
        <v>8954</v>
      </c>
      <c r="G4734" t="s" s="2">
        <v>8955</v>
      </c>
      <c r="H4734" s="5">
        <v>400</v>
      </c>
      <c r="I4734" t="s" s="2">
        <v>2068</v>
      </c>
      <c r="J4734" t="s" s="2">
        <v>22</v>
      </c>
      <c r="K4734" t="s" s="2">
        <v>2069</v>
      </c>
      <c r="L4734" t="s" s="2">
        <v>858</v>
      </c>
      <c r="M4734" s="5">
        <v>869201.84</v>
      </c>
      <c r="N4734" s="5">
        <v>6126511.05</v>
      </c>
      <c r="O4734" t="s" s="2">
        <v>305</v>
      </c>
      <c r="P4734" t="s" s="2">
        <v>8956</v>
      </c>
      <c r="Q4734" t="s" s="2">
        <v>8957</v>
      </c>
      <c r="R4734" s="5">
        <f>_xlfn.IFERROR(INDEX('model_byCAP'!$D$2:$D$377,MATCH(Q4734,'model_byCAP'!$A$2:$A$377,0)),0)</f>
        <v>0</v>
      </c>
    </row>
    <row r="4735" ht="15.35" customHeight="1">
      <c r="A4735" t="s" s="2">
        <v>8958</v>
      </c>
      <c r="B4735" s="4">
        <v>32478</v>
      </c>
      <c r="C4735" s="5">
        <v>130</v>
      </c>
      <c r="D4735" s="5">
        <v>19</v>
      </c>
      <c r="E4735" s="5">
        <v>31</v>
      </c>
      <c r="F4735" t="s" s="2">
        <v>8954</v>
      </c>
      <c r="G4735" t="s" s="2">
        <v>8955</v>
      </c>
      <c r="H4735" s="5">
        <v>400</v>
      </c>
      <c r="I4735" t="s" s="2">
        <v>2068</v>
      </c>
      <c r="J4735" t="s" s="2">
        <v>22</v>
      </c>
      <c r="K4735" t="s" s="2">
        <v>2069</v>
      </c>
      <c r="L4735" t="s" s="2">
        <v>1328</v>
      </c>
      <c r="M4735" s="5">
        <v>869314.34</v>
      </c>
      <c r="N4735" s="5">
        <v>6126281.78</v>
      </c>
      <c r="O4735" t="s" s="2">
        <v>305</v>
      </c>
      <c r="P4735" t="s" s="2">
        <v>8959</v>
      </c>
      <c r="Q4735" t="s" s="2">
        <v>8957</v>
      </c>
      <c r="R4735" s="5">
        <f>_xlfn.IFERROR(INDEX('model_byCAP'!$D$2:$D$377,MATCH(Q4735,'model_byCAP'!$A$2:$A$377,0)),0)</f>
        <v>0</v>
      </c>
    </row>
    <row r="4736" ht="15.35" customHeight="1">
      <c r="A4736" t="s" s="2">
        <v>8960</v>
      </c>
      <c r="B4736" s="4">
        <v>32618</v>
      </c>
      <c r="C4736" s="5">
        <v>130</v>
      </c>
      <c r="D4736" s="5">
        <v>22</v>
      </c>
      <c r="E4736" s="5">
        <v>24</v>
      </c>
      <c r="F4736" t="s" s="2">
        <v>42</v>
      </c>
      <c r="G4736" t="s" s="2">
        <v>42</v>
      </c>
      <c r="H4736" s="5">
        <v>482</v>
      </c>
      <c r="I4736" t="s" s="2">
        <v>1523</v>
      </c>
      <c r="J4736" t="s" s="2">
        <v>22</v>
      </c>
      <c r="K4736" t="s" s="2">
        <v>8961</v>
      </c>
      <c r="L4736" t="s" s="2">
        <v>8962</v>
      </c>
      <c r="M4736" s="5">
        <v>603513.41</v>
      </c>
      <c r="N4736" s="5">
        <v>6084151.81</v>
      </c>
      <c r="O4736" t="s" s="2">
        <v>305</v>
      </c>
      <c r="P4736" s="5">
        <v>42049004</v>
      </c>
      <c r="Q4736" t="s" s="2">
        <v>43</v>
      </c>
      <c r="R4736" s="5">
        <f>_xlfn.IFERROR(INDEX('model_byCAP'!$D$2:$D$377,MATCH(Q4736,'model_byCAP'!$A$2:$A$377,0)),0)</f>
        <v>0</v>
      </c>
    </row>
    <row r="4737" ht="15.35" customHeight="1">
      <c r="A4737" t="s" s="2">
        <v>8963</v>
      </c>
      <c r="B4737" s="4">
        <v>32675</v>
      </c>
      <c r="C4737" s="5">
        <v>120</v>
      </c>
      <c r="D4737" s="5">
        <v>23.2</v>
      </c>
      <c r="E4737" s="5">
        <v>30</v>
      </c>
      <c r="F4737" t="s" s="2">
        <v>4716</v>
      </c>
      <c r="G4737" t="s" s="2">
        <v>8964</v>
      </c>
      <c r="H4737" s="5">
        <v>810</v>
      </c>
      <c r="I4737" t="s" s="2">
        <v>1102</v>
      </c>
      <c r="J4737" t="s" s="2">
        <v>22</v>
      </c>
      <c r="K4737" t="s" s="2">
        <v>8965</v>
      </c>
      <c r="L4737" t="s" s="2">
        <v>492</v>
      </c>
      <c r="M4737" s="5">
        <v>579612.95</v>
      </c>
      <c r="N4737" s="5">
        <v>6346532.92</v>
      </c>
      <c r="O4737" t="s" s="2">
        <v>305</v>
      </c>
      <c r="P4737" t="s" s="2">
        <v>8966</v>
      </c>
      <c r="Q4737" t="s" s="2">
        <v>8967</v>
      </c>
      <c r="R4737" t="s" s="2">
        <f>_xlfn.IFERROR(INDEX('model_byCAP'!$D$2:$D$377,MATCH(Q4737,'model_byCAP'!$A$2:$A$377,0)),0)</f>
        <v>8049</v>
      </c>
    </row>
    <row r="4738" ht="15.35" customHeight="1">
      <c r="A4738" t="s" s="2">
        <v>8968</v>
      </c>
      <c r="B4738" s="4">
        <v>33135</v>
      </c>
      <c r="C4738" s="5">
        <v>100</v>
      </c>
      <c r="D4738" s="5">
        <v>20</v>
      </c>
      <c r="E4738" s="5">
        <v>24</v>
      </c>
      <c r="F4738" t="s" s="2">
        <v>301</v>
      </c>
      <c r="G4738" t="s" s="2">
        <v>8969</v>
      </c>
      <c r="H4738" s="5">
        <v>773</v>
      </c>
      <c r="I4738" t="s" s="2">
        <v>1648</v>
      </c>
      <c r="J4738" t="s" s="2">
        <v>22</v>
      </c>
      <c r="K4738" t="s" s="2">
        <v>8970</v>
      </c>
      <c r="L4738" t="s" s="2">
        <v>524</v>
      </c>
      <c r="M4738" s="5">
        <v>480017.67</v>
      </c>
      <c r="N4738" s="5">
        <v>6294695.54</v>
      </c>
      <c r="O4738" t="s" s="2">
        <v>305</v>
      </c>
      <c r="P4738" s="5">
        <v>222944</v>
      </c>
      <c r="Q4738" t="s" s="2">
        <v>8971</v>
      </c>
      <c r="R4738" t="s" s="2">
        <f>_xlfn.IFERROR(INDEX('model_byCAP'!$D$2:$D$377,MATCH(Q4738,'model_byCAP'!$A$2:$A$377,0)),0)</f>
        <v>8029</v>
      </c>
    </row>
    <row r="4739" ht="15.35" customHeight="1">
      <c r="A4739" t="s" s="2">
        <v>8972</v>
      </c>
      <c r="B4739" s="4">
        <v>32702</v>
      </c>
      <c r="C4739" s="5">
        <v>100</v>
      </c>
      <c r="D4739" s="5">
        <v>24.6</v>
      </c>
      <c r="E4739" s="5">
        <v>31</v>
      </c>
      <c r="F4739" t="s" s="2">
        <v>4716</v>
      </c>
      <c r="G4739" t="s" s="2">
        <v>8973</v>
      </c>
      <c r="H4739" s="5">
        <v>860</v>
      </c>
      <c r="I4739" t="s" s="2">
        <v>449</v>
      </c>
      <c r="J4739" t="s" s="2">
        <v>22</v>
      </c>
      <c r="K4739" t="s" s="2">
        <v>8921</v>
      </c>
      <c r="L4739" t="s" s="2">
        <v>8922</v>
      </c>
      <c r="M4739" s="5">
        <v>559103.4</v>
      </c>
      <c r="N4739" s="5">
        <v>6359214.98</v>
      </c>
      <c r="O4739" t="s" s="2">
        <v>305</v>
      </c>
      <c r="P4739" t="s" s="2">
        <v>8974</v>
      </c>
      <c r="Q4739" t="s" s="2">
        <v>8975</v>
      </c>
      <c r="R4739" t="s" s="2">
        <f>_xlfn.IFERROR(INDEX('model_byCAP'!$D$2:$D$377,MATCH(Q4739,'model_byCAP'!$A$2:$A$377,0)),0)</f>
        <v>8049</v>
      </c>
    </row>
    <row r="4740" ht="15.35" customHeight="1">
      <c r="A4740" t="s" s="2">
        <v>8976</v>
      </c>
      <c r="B4740" s="4">
        <v>32082</v>
      </c>
      <c r="C4740" s="5">
        <v>99</v>
      </c>
      <c r="D4740" s="5">
        <v>19</v>
      </c>
      <c r="E4740" s="5">
        <v>30</v>
      </c>
      <c r="F4740" t="s" s="2">
        <v>8954</v>
      </c>
      <c r="G4740" t="s" s="2">
        <v>8977</v>
      </c>
      <c r="H4740" s="5">
        <v>370</v>
      </c>
      <c r="I4740" t="s" s="2">
        <v>520</v>
      </c>
      <c r="J4740" t="s" s="2">
        <v>22</v>
      </c>
      <c r="K4740" t="s" s="2">
        <v>8978</v>
      </c>
      <c r="L4740" t="s" s="2">
        <v>2078</v>
      </c>
      <c r="M4740" s="5">
        <v>665686.39</v>
      </c>
      <c r="N4740" s="5">
        <v>6119695.49</v>
      </c>
      <c r="O4740" t="s" s="2">
        <v>305</v>
      </c>
      <c r="P4740" s="5">
        <v>162300</v>
      </c>
      <c r="Q4740" t="s" s="2">
        <v>8979</v>
      </c>
      <c r="R4740" s="5">
        <f>_xlfn.IFERROR(INDEX('model_byCAP'!$D$2:$D$377,MATCH(Q4740,'model_byCAP'!$A$2:$A$377,0)),0)</f>
        <v>0</v>
      </c>
    </row>
    <row r="4741" ht="15.35" customHeight="1">
      <c r="A4741" t="s" s="2">
        <v>8980</v>
      </c>
      <c r="B4741" s="4">
        <v>32958</v>
      </c>
      <c r="C4741" s="5">
        <v>99</v>
      </c>
      <c r="D4741" s="5">
        <v>33</v>
      </c>
      <c r="E4741" s="5">
        <v>22.5</v>
      </c>
      <c r="F4741" t="s" s="2">
        <v>4038</v>
      </c>
      <c r="G4741" t="s" s="2">
        <v>8981</v>
      </c>
      <c r="H4741" s="5">
        <v>710</v>
      </c>
      <c r="I4741" t="s" s="2">
        <v>3630</v>
      </c>
      <c r="J4741" t="s" s="2">
        <v>22</v>
      </c>
      <c r="K4741" t="s" s="2">
        <v>8982</v>
      </c>
      <c r="L4741" t="s" s="2">
        <v>7191</v>
      </c>
      <c r="M4741" s="5">
        <v>545864.27</v>
      </c>
      <c r="N4741" s="5">
        <v>6240016.24</v>
      </c>
      <c r="O4741" t="s" s="2">
        <v>305</v>
      </c>
      <c r="P4741" s="5">
        <v>3137111</v>
      </c>
      <c r="Q4741" t="s" s="2">
        <v>8983</v>
      </c>
      <c r="R4741" s="5">
        <f>_xlfn.IFERROR(INDEX('model_byCAP'!$D$2:$D$377,MATCH(Q4741,'model_byCAP'!$A$2:$A$377,0)),0)</f>
        <v>0</v>
      </c>
    </row>
    <row r="4742" ht="15.35" customHeight="1">
      <c r="A4742" t="s" s="2">
        <v>8984</v>
      </c>
      <c r="B4742" s="4">
        <v>32112</v>
      </c>
      <c r="C4742" s="5">
        <v>95</v>
      </c>
      <c r="D4742" s="5">
        <v>19</v>
      </c>
      <c r="E4742" s="5">
        <v>24</v>
      </c>
      <c r="F4742" t="s" s="2">
        <v>8985</v>
      </c>
      <c r="G4742" t="s" s="2">
        <v>8986</v>
      </c>
      <c r="H4742" s="5">
        <v>330</v>
      </c>
      <c r="I4742" t="s" s="2">
        <v>1491</v>
      </c>
      <c r="J4742" t="s" s="2">
        <v>22</v>
      </c>
      <c r="K4742" t="s" s="2">
        <v>8987</v>
      </c>
      <c r="L4742" t="s" s="2">
        <v>8988</v>
      </c>
      <c r="M4742" s="5">
        <v>637183.02</v>
      </c>
      <c r="N4742" s="5">
        <v>6114184.55</v>
      </c>
      <c r="O4742" t="s" s="2">
        <v>305</v>
      </c>
      <c r="P4742" s="5">
        <v>159478</v>
      </c>
      <c r="Q4742" t="s" s="2">
        <v>8989</v>
      </c>
      <c r="R4742" s="5">
        <f>_xlfn.IFERROR(INDEX('model_byCAP'!$D$2:$D$377,MATCH(Q4742,'model_byCAP'!$A$2:$A$377,0)),0)</f>
        <v>0</v>
      </c>
    </row>
    <row r="4743" ht="15.35" customHeight="1">
      <c r="A4743" t="s" s="2">
        <v>8990</v>
      </c>
      <c r="B4743" s="4">
        <v>31880</v>
      </c>
      <c r="C4743" s="5">
        <v>95</v>
      </c>
      <c r="D4743" s="5">
        <v>18</v>
      </c>
      <c r="E4743" s="5">
        <v>24.5</v>
      </c>
      <c r="F4743" t="s" s="2">
        <v>1989</v>
      </c>
      <c r="G4743" t="s" s="2">
        <v>8991</v>
      </c>
      <c r="H4743" s="5">
        <v>350</v>
      </c>
      <c r="I4743" t="s" s="2">
        <v>3451</v>
      </c>
      <c r="J4743" t="s" s="2">
        <v>22</v>
      </c>
      <c r="K4743" t="s" s="2">
        <v>8992</v>
      </c>
      <c r="L4743" t="s" s="2">
        <v>7785</v>
      </c>
      <c r="M4743" s="5">
        <v>679150.34</v>
      </c>
      <c r="N4743" s="5">
        <v>6169602.73</v>
      </c>
      <c r="O4743" t="s" s="2">
        <v>305</v>
      </c>
      <c r="P4743" t="s" s="2">
        <v>8993</v>
      </c>
      <c r="Q4743" t="s" s="2">
        <v>8994</v>
      </c>
      <c r="R4743" t="s" s="2">
        <f>_xlfn.IFERROR(INDEX('model_byCAP'!$D$2:$D$377,MATCH(Q4743,'model_byCAP'!$A$2:$A$377,0)),0)</f>
        <v>8430</v>
      </c>
    </row>
    <row r="4744" ht="15.35" customHeight="1">
      <c r="A4744" t="s" s="2">
        <v>8995</v>
      </c>
      <c r="B4744" s="4">
        <v>38001</v>
      </c>
      <c r="C4744" s="5">
        <v>95</v>
      </c>
      <c r="D4744" s="5">
        <v>19.4</v>
      </c>
      <c r="E4744" s="5">
        <v>25</v>
      </c>
      <c r="F4744" t="s" s="2">
        <v>1989</v>
      </c>
      <c r="G4744" t="s" s="2">
        <v>8991</v>
      </c>
      <c r="H4744" s="5">
        <v>530</v>
      </c>
      <c r="I4744" t="s" s="2">
        <v>1357</v>
      </c>
      <c r="J4744" t="s" s="2">
        <v>22</v>
      </c>
      <c r="K4744" t="s" s="2">
        <v>8996</v>
      </c>
      <c r="L4744" t="s" s="2">
        <v>1161</v>
      </c>
      <c r="M4744" s="5">
        <v>506494.85</v>
      </c>
      <c r="N4744" s="5">
        <v>6164675.22</v>
      </c>
      <c r="O4744" t="s" s="2">
        <v>305</v>
      </c>
      <c r="P4744" s="5">
        <v>344227758</v>
      </c>
      <c r="Q4744" t="s" s="2">
        <v>8994</v>
      </c>
      <c r="R4744" t="s" s="2">
        <f>_xlfn.IFERROR(INDEX('model_byCAP'!$D$2:$D$377,MATCH(Q4744,'model_byCAP'!$A$2:$A$377,0)),0)</f>
        <v>8430</v>
      </c>
    </row>
    <row r="4745" ht="15.35" customHeight="1">
      <c r="A4745" t="s" s="2">
        <v>8997</v>
      </c>
      <c r="B4745" s="4">
        <v>32069</v>
      </c>
      <c r="C4745" s="5">
        <v>95</v>
      </c>
      <c r="D4745" s="5">
        <v>0.1</v>
      </c>
      <c r="E4745" s="5">
        <v>0.1</v>
      </c>
      <c r="F4745" t="s" s="2">
        <v>42</v>
      </c>
      <c r="G4745" t="s" s="2">
        <v>42</v>
      </c>
      <c r="H4745" s="5">
        <v>573</v>
      </c>
      <c r="I4745" t="s" s="2">
        <v>1041</v>
      </c>
      <c r="J4745" t="s" s="2">
        <v>22</v>
      </c>
      <c r="K4745" t="s" s="2">
        <v>8998</v>
      </c>
      <c r="L4745" t="s" s="2">
        <v>1591</v>
      </c>
      <c r="M4745" s="5">
        <v>463669.17</v>
      </c>
      <c r="N4745" s="5">
        <v>6177100.94</v>
      </c>
      <c r="O4745" t="s" s="2">
        <v>305</v>
      </c>
      <c r="P4745" s="5">
        <v>31108</v>
      </c>
      <c r="Q4745" t="s" s="2">
        <v>43</v>
      </c>
      <c r="R4745" s="5">
        <f>_xlfn.IFERROR(INDEX('model_byCAP'!$D$2:$D$377,MATCH(Q4745,'model_byCAP'!$A$2:$A$377,0)),0)</f>
        <v>0</v>
      </c>
    </row>
    <row r="4746" ht="15.35" customHeight="1">
      <c r="A4746" t="s" s="2">
        <v>8999</v>
      </c>
      <c r="B4746" s="4">
        <v>32093</v>
      </c>
      <c r="C4746" s="5">
        <v>95</v>
      </c>
      <c r="D4746" s="5">
        <v>19.4</v>
      </c>
      <c r="E4746" s="5">
        <v>24</v>
      </c>
      <c r="F4746" t="s" s="2">
        <v>42</v>
      </c>
      <c r="G4746" t="s" s="2">
        <v>42</v>
      </c>
      <c r="H4746" s="5">
        <v>615</v>
      </c>
      <c r="I4746" t="s" s="2">
        <v>3590</v>
      </c>
      <c r="J4746" t="s" s="2">
        <v>22</v>
      </c>
      <c r="K4746" t="s" s="2">
        <v>9000</v>
      </c>
      <c r="L4746" t="s" s="2">
        <v>4412</v>
      </c>
      <c r="M4746" s="5">
        <v>580021.16</v>
      </c>
      <c r="N4746" s="5">
        <v>6178947.79</v>
      </c>
      <c r="O4746" t="s" s="2">
        <v>305</v>
      </c>
      <c r="P4746" s="5">
        <v>141629</v>
      </c>
      <c r="Q4746" t="s" s="2">
        <v>43</v>
      </c>
      <c r="R4746" s="5">
        <f>_xlfn.IFERROR(INDEX('model_byCAP'!$D$2:$D$377,MATCH(Q4746,'model_byCAP'!$A$2:$A$377,0)),0)</f>
        <v>0</v>
      </c>
    </row>
    <row r="4747" ht="15.35" customHeight="1">
      <c r="A4747" t="s" s="2">
        <v>9001</v>
      </c>
      <c r="B4747" s="4">
        <v>31547</v>
      </c>
      <c r="C4747" s="5">
        <v>95</v>
      </c>
      <c r="D4747" s="5">
        <v>19</v>
      </c>
      <c r="E4747" s="5">
        <v>24.5</v>
      </c>
      <c r="F4747" t="s" s="2">
        <v>42</v>
      </c>
      <c r="G4747" t="s" s="2">
        <v>42</v>
      </c>
      <c r="H4747" s="5">
        <v>787</v>
      </c>
      <c r="I4747" t="s" s="2">
        <v>21</v>
      </c>
      <c r="J4747" t="s" s="2">
        <v>22</v>
      </c>
      <c r="K4747" t="s" s="2">
        <v>7097</v>
      </c>
      <c r="L4747" t="s" s="2">
        <v>9002</v>
      </c>
      <c r="M4747" s="5">
        <v>459501.31</v>
      </c>
      <c r="N4747" s="5">
        <v>6295366.07</v>
      </c>
      <c r="O4747" t="s" s="2">
        <v>305</v>
      </c>
      <c r="P4747" s="5">
        <v>123223</v>
      </c>
      <c r="Q4747" t="s" s="2">
        <v>43</v>
      </c>
      <c r="R4747" s="5">
        <f>_xlfn.IFERROR(INDEX('model_byCAP'!$D$2:$D$377,MATCH(Q4747,'model_byCAP'!$A$2:$A$377,0)),0)</f>
        <v>0</v>
      </c>
    </row>
    <row r="4748" ht="15.35" customHeight="1">
      <c r="A4748" t="s" s="2">
        <v>9003</v>
      </c>
      <c r="B4748" s="4">
        <v>32234</v>
      </c>
      <c r="C4748" s="5">
        <v>95</v>
      </c>
      <c r="D4748" s="5">
        <v>19</v>
      </c>
      <c r="E4748" s="5">
        <v>28</v>
      </c>
      <c r="F4748" t="s" s="2">
        <v>8985</v>
      </c>
      <c r="G4748" t="s" s="2">
        <v>9004</v>
      </c>
      <c r="H4748" s="5">
        <v>265</v>
      </c>
      <c r="I4748" t="s" s="2">
        <v>3920</v>
      </c>
      <c r="J4748" t="s" s="2">
        <v>22</v>
      </c>
      <c r="K4748" t="s" s="2">
        <v>3921</v>
      </c>
      <c r="L4748" t="s" s="2">
        <v>431</v>
      </c>
      <c r="M4748" s="5">
        <v>694651.35</v>
      </c>
      <c r="N4748" s="5">
        <v>6175236.32</v>
      </c>
      <c r="O4748" t="s" s="2">
        <v>305</v>
      </c>
      <c r="P4748" s="5">
        <v>15449941</v>
      </c>
      <c r="Q4748" t="s" s="2">
        <v>9005</v>
      </c>
      <c r="R4748" s="5">
        <f>_xlfn.IFERROR(INDEX('model_byCAP'!$D$2:$D$377,MATCH(Q4748,'model_byCAP'!$A$2:$A$377,0)),0)</f>
        <v>0</v>
      </c>
    </row>
    <row r="4749" ht="15.35" customHeight="1">
      <c r="A4749" t="s" s="2">
        <v>9006</v>
      </c>
      <c r="B4749" s="4">
        <v>31882</v>
      </c>
      <c r="C4749" s="5">
        <v>90</v>
      </c>
      <c r="D4749" s="5">
        <v>18.8</v>
      </c>
      <c r="E4749" s="5">
        <v>24</v>
      </c>
      <c r="F4749" t="s" s="2">
        <v>301</v>
      </c>
      <c r="G4749" t="s" s="2">
        <v>9007</v>
      </c>
      <c r="H4749" s="5">
        <v>787</v>
      </c>
      <c r="I4749" t="s" s="2">
        <v>21</v>
      </c>
      <c r="J4749" t="s" s="2">
        <v>22</v>
      </c>
      <c r="K4749" t="s" s="2">
        <v>9008</v>
      </c>
      <c r="L4749" t="s" s="2">
        <v>492</v>
      </c>
      <c r="M4749" s="5">
        <v>474925.06</v>
      </c>
      <c r="N4749" s="5">
        <v>6318284.53</v>
      </c>
      <c r="O4749" t="s" s="2">
        <v>305</v>
      </c>
      <c r="P4749" s="5">
        <v>123347</v>
      </c>
      <c r="Q4749" t="s" s="2">
        <v>9009</v>
      </c>
      <c r="R4749" t="s" s="2">
        <f>_xlfn.IFERROR(INDEX('model_byCAP'!$D$2:$D$377,MATCH(Q4749,'model_byCAP'!$A$2:$A$377,0)),0)</f>
        <v>8029</v>
      </c>
    </row>
    <row r="4750" ht="15.35" customHeight="1">
      <c r="A4750" t="s" s="2">
        <v>9010</v>
      </c>
      <c r="B4750" s="4">
        <v>32064</v>
      </c>
      <c r="C4750" s="5">
        <v>90</v>
      </c>
      <c r="D4750" s="5">
        <v>17.5</v>
      </c>
      <c r="E4750" s="5">
        <v>22.5</v>
      </c>
      <c r="F4750" t="s" s="2">
        <v>42</v>
      </c>
      <c r="G4750" t="s" s="2">
        <v>42</v>
      </c>
      <c r="H4750" s="5">
        <v>813</v>
      </c>
      <c r="I4750" t="s" s="2">
        <v>1708</v>
      </c>
      <c r="J4750" t="s" s="2">
        <v>22</v>
      </c>
      <c r="K4750" t="s" s="2">
        <v>9011</v>
      </c>
      <c r="L4750" t="s" s="2">
        <v>481</v>
      </c>
      <c r="M4750" s="5">
        <v>576477.65</v>
      </c>
      <c r="N4750" s="5">
        <v>6358273.38</v>
      </c>
      <c r="O4750" t="s" s="2">
        <v>305</v>
      </c>
      <c r="P4750" t="s" s="2">
        <v>9012</v>
      </c>
      <c r="Q4750" t="s" s="2">
        <v>43</v>
      </c>
      <c r="R4750" s="5">
        <f>_xlfn.IFERROR(INDEX('model_byCAP'!$D$2:$D$377,MATCH(Q4750,'model_byCAP'!$A$2:$A$377,0)),0)</f>
        <v>0</v>
      </c>
    </row>
    <row r="4751" ht="15.35" customHeight="1">
      <c r="A4751" t="s" s="2">
        <v>9013</v>
      </c>
      <c r="B4751" s="4">
        <v>31835</v>
      </c>
      <c r="C4751" s="5">
        <v>90</v>
      </c>
      <c r="D4751" s="5">
        <v>17.5</v>
      </c>
      <c r="E4751" s="5">
        <v>22.5</v>
      </c>
      <c r="F4751" t="s" s="2">
        <v>42</v>
      </c>
      <c r="G4751" t="s" s="2">
        <v>42</v>
      </c>
      <c r="H4751" s="5">
        <v>860</v>
      </c>
      <c r="I4751" t="s" s="2">
        <v>449</v>
      </c>
      <c r="J4751" t="s" s="2">
        <v>22</v>
      </c>
      <c r="K4751" t="s" s="2">
        <v>9014</v>
      </c>
      <c r="L4751" t="s" s="2">
        <v>1161</v>
      </c>
      <c r="M4751" s="5">
        <v>575994.8</v>
      </c>
      <c r="N4751" s="5">
        <v>6376846.37</v>
      </c>
      <c r="O4751" t="s" s="2">
        <v>305</v>
      </c>
      <c r="P4751" t="s" s="2">
        <v>9015</v>
      </c>
      <c r="Q4751" t="s" s="2">
        <v>43</v>
      </c>
      <c r="R4751" s="5">
        <f>_xlfn.IFERROR(INDEX('model_byCAP'!$D$2:$D$377,MATCH(Q4751,'model_byCAP'!$A$2:$A$377,0)),0)</f>
        <v>0</v>
      </c>
    </row>
    <row r="4752" ht="15.35" customHeight="1">
      <c r="A4752" t="s" s="2">
        <v>9016</v>
      </c>
      <c r="B4752" s="4">
        <v>35255</v>
      </c>
      <c r="C4752" s="5">
        <v>80</v>
      </c>
      <c r="D4752" s="5">
        <v>17</v>
      </c>
      <c r="E4752" s="5">
        <v>40</v>
      </c>
      <c r="F4752" t="s" s="2">
        <v>8985</v>
      </c>
      <c r="G4752" t="s" s="2">
        <v>9017</v>
      </c>
      <c r="H4752" s="5">
        <v>657</v>
      </c>
      <c r="I4752" t="s" s="2">
        <v>541</v>
      </c>
      <c r="J4752" t="s" s="2">
        <v>22</v>
      </c>
      <c r="K4752" t="s" s="2">
        <v>9018</v>
      </c>
      <c r="L4752" t="s" s="2">
        <v>1276</v>
      </c>
      <c r="M4752" s="5">
        <v>508468.15</v>
      </c>
      <c r="N4752" s="5">
        <v>6212699.29</v>
      </c>
      <c r="O4752" t="s" s="2">
        <v>305</v>
      </c>
      <c r="P4752" s="5">
        <v>7141228</v>
      </c>
      <c r="Q4752" t="s" s="2">
        <v>9019</v>
      </c>
      <c r="R4752" s="5">
        <f>_xlfn.IFERROR(INDEX('model_byCAP'!$D$2:$D$377,MATCH(Q4752,'model_byCAP'!$A$2:$A$377,0)),0)</f>
        <v>0</v>
      </c>
    </row>
    <row r="4753" ht="15.35" customHeight="1">
      <c r="A4753" t="s" s="2">
        <v>9020</v>
      </c>
      <c r="B4753" s="4">
        <v>31213</v>
      </c>
      <c r="C4753" s="5">
        <v>76</v>
      </c>
      <c r="D4753" s="5">
        <v>8</v>
      </c>
      <c r="E4753" s="5">
        <v>12</v>
      </c>
      <c r="F4753" t="s" s="2">
        <v>9021</v>
      </c>
      <c r="G4753" t="s" s="2">
        <v>9022</v>
      </c>
      <c r="H4753" s="5">
        <v>787</v>
      </c>
      <c r="I4753" t="s" s="2">
        <v>21</v>
      </c>
      <c r="J4753" t="s" s="2">
        <v>22</v>
      </c>
      <c r="K4753" t="s" s="2">
        <v>7646</v>
      </c>
      <c r="L4753" t="s" s="2">
        <v>3414</v>
      </c>
      <c r="M4753" s="5">
        <v>463981.15</v>
      </c>
      <c r="N4753" s="5">
        <v>6283517.92</v>
      </c>
      <c r="O4753" t="s" s="2">
        <v>305</v>
      </c>
      <c r="P4753" s="5">
        <v>123188</v>
      </c>
      <c r="Q4753" t="s" s="2">
        <v>9023</v>
      </c>
      <c r="R4753" s="5">
        <f>_xlfn.IFERROR(INDEX('model_byCAP'!$D$2:$D$377,MATCH(Q4753,'model_byCAP'!$A$2:$A$377,0)),0)</f>
        <v>0</v>
      </c>
    </row>
    <row r="4754" ht="15.35" customHeight="1">
      <c r="A4754" t="s" s="2">
        <v>9024</v>
      </c>
      <c r="B4754" s="4">
        <v>30564</v>
      </c>
      <c r="C4754" s="5">
        <v>75</v>
      </c>
      <c r="D4754" s="5">
        <v>15</v>
      </c>
      <c r="E4754" s="5">
        <v>18</v>
      </c>
      <c r="F4754" t="s" s="2">
        <v>301</v>
      </c>
      <c r="G4754" t="s" s="2">
        <v>9025</v>
      </c>
      <c r="H4754" s="5">
        <v>326</v>
      </c>
      <c r="I4754" t="s" s="2">
        <v>1263</v>
      </c>
      <c r="J4754" t="s" s="2">
        <v>22</v>
      </c>
      <c r="K4754" t="s" s="2">
        <v>9026</v>
      </c>
      <c r="L4754" t="s" s="2">
        <v>511</v>
      </c>
      <c r="M4754" s="5">
        <v>627519</v>
      </c>
      <c r="N4754" s="5">
        <v>6175920.75</v>
      </c>
      <c r="O4754" t="s" s="2">
        <v>305</v>
      </c>
      <c r="P4754" s="5">
        <v>40182925</v>
      </c>
      <c r="Q4754" t="s" s="2">
        <v>9027</v>
      </c>
      <c r="R4754" t="s" s="2">
        <f>_xlfn.IFERROR(INDEX('model_byCAP'!$D$2:$D$377,MATCH(Q4754,'model_byCAP'!$A$2:$A$377,0)),0)</f>
        <v>9028</v>
      </c>
    </row>
    <row r="4755" ht="15.35" customHeight="1">
      <c r="A4755" t="s" s="2">
        <v>9029</v>
      </c>
      <c r="B4755" s="4">
        <v>38751</v>
      </c>
      <c r="C4755" s="5">
        <v>75</v>
      </c>
      <c r="D4755" s="5">
        <v>15</v>
      </c>
      <c r="E4755" s="5">
        <v>18</v>
      </c>
      <c r="F4755" t="s" s="2">
        <v>301</v>
      </c>
      <c r="G4755" t="s" s="2">
        <v>9025</v>
      </c>
      <c r="H4755" s="5">
        <v>326</v>
      </c>
      <c r="I4755" t="s" s="2">
        <v>1263</v>
      </c>
      <c r="J4755" t="s" s="2">
        <v>22</v>
      </c>
      <c r="K4755" t="s" s="2">
        <v>9026</v>
      </c>
      <c r="L4755" t="s" s="2">
        <v>492</v>
      </c>
      <c r="M4755" s="5">
        <v>627801.3100000001</v>
      </c>
      <c r="N4755" s="5">
        <v>6175642.39</v>
      </c>
      <c r="O4755" t="s" s="2">
        <v>305</v>
      </c>
      <c r="P4755" s="5">
        <v>40182954</v>
      </c>
      <c r="Q4755" t="s" s="2">
        <v>9027</v>
      </c>
      <c r="R4755" t="s" s="2">
        <f>_xlfn.IFERROR(INDEX('model_byCAP'!$D$2:$D$377,MATCH(Q4755,'model_byCAP'!$A$2:$A$377,0)),0)</f>
        <v>9028</v>
      </c>
    </row>
    <row r="4756" ht="15.35" customHeight="1">
      <c r="A4756" t="s" s="2">
        <v>9030</v>
      </c>
      <c r="B4756" s="4">
        <v>31160</v>
      </c>
      <c r="C4756" s="5">
        <v>75</v>
      </c>
      <c r="D4756" s="5">
        <v>17</v>
      </c>
      <c r="E4756" s="5">
        <v>22.5</v>
      </c>
      <c r="F4756" t="s" s="2">
        <v>301</v>
      </c>
      <c r="G4756" t="s" s="2">
        <v>9031</v>
      </c>
      <c r="H4756" s="5">
        <v>330</v>
      </c>
      <c r="I4756" t="s" s="2">
        <v>1491</v>
      </c>
      <c r="J4756" t="s" s="2">
        <v>22</v>
      </c>
      <c r="K4756" t="s" s="2">
        <v>8424</v>
      </c>
      <c r="L4756" s="5">
        <v>14</v>
      </c>
      <c r="M4756" s="5">
        <v>643006.09</v>
      </c>
      <c r="N4756" s="5">
        <v>6140703.44</v>
      </c>
      <c r="O4756" t="s" s="2">
        <v>305</v>
      </c>
      <c r="P4756" s="5">
        <v>1801130</v>
      </c>
      <c r="Q4756" t="s" s="2">
        <v>9032</v>
      </c>
      <c r="R4756" t="s" s="2">
        <f>_xlfn.IFERROR(INDEX('model_byCAP'!$D$2:$D$377,MATCH(Q4756,'model_byCAP'!$A$2:$A$377,0)),0)</f>
        <v>8029</v>
      </c>
    </row>
    <row r="4757" ht="15.35" customHeight="1">
      <c r="A4757" t="s" s="2">
        <v>9033</v>
      </c>
      <c r="B4757" s="4">
        <v>30341</v>
      </c>
      <c r="C4757" s="5">
        <v>75</v>
      </c>
      <c r="D4757" s="5">
        <v>17</v>
      </c>
      <c r="E4757" s="5">
        <v>22</v>
      </c>
      <c r="F4757" t="s" s="2">
        <v>301</v>
      </c>
      <c r="G4757" t="s" s="2">
        <v>9034</v>
      </c>
      <c r="H4757" s="5">
        <v>360</v>
      </c>
      <c r="I4757" t="s" s="2">
        <v>463</v>
      </c>
      <c r="J4757" t="s" s="2">
        <v>22</v>
      </c>
      <c r="K4757" t="s" s="2">
        <v>8095</v>
      </c>
      <c r="L4757" t="s" s="2">
        <v>481</v>
      </c>
      <c r="M4757" s="5">
        <v>662505.91</v>
      </c>
      <c r="N4757" s="5">
        <v>6063460.44</v>
      </c>
      <c r="O4757" t="s" s="2">
        <v>305</v>
      </c>
      <c r="P4757" s="5">
        <v>147590</v>
      </c>
      <c r="Q4757" t="s" s="2">
        <v>9035</v>
      </c>
      <c r="R4757" t="s" s="2">
        <f>_xlfn.IFERROR(INDEX('model_byCAP'!$D$2:$D$377,MATCH(Q4757,'model_byCAP'!$A$2:$A$377,0)),0)</f>
        <v>8029</v>
      </c>
    </row>
    <row r="4758" ht="15.35" customHeight="1">
      <c r="A4758" t="s" s="2">
        <v>9036</v>
      </c>
      <c r="B4758" s="4">
        <v>30859</v>
      </c>
      <c r="C4758" s="5">
        <v>75</v>
      </c>
      <c r="D4758" s="5">
        <v>17</v>
      </c>
      <c r="E4758" s="5">
        <v>18</v>
      </c>
      <c r="F4758" t="s" s="2">
        <v>301</v>
      </c>
      <c r="G4758" t="s" s="2">
        <v>9037</v>
      </c>
      <c r="H4758" s="5">
        <v>360</v>
      </c>
      <c r="I4758" t="s" s="2">
        <v>463</v>
      </c>
      <c r="J4758" t="s" s="2">
        <v>22</v>
      </c>
      <c r="K4758" t="s" s="2">
        <v>9038</v>
      </c>
      <c r="L4758" t="s" s="2">
        <v>9039</v>
      </c>
      <c r="M4758" s="5">
        <v>651204.4300000001</v>
      </c>
      <c r="N4758" s="5">
        <v>6092875.21</v>
      </c>
      <c r="O4758" t="s" s="2">
        <v>305</v>
      </c>
      <c r="P4758" s="5">
        <v>151934</v>
      </c>
      <c r="Q4758" t="s" s="2">
        <v>9040</v>
      </c>
      <c r="R4758" t="s" s="2">
        <f>_xlfn.IFERROR(INDEX('model_byCAP'!$D$2:$D$377,MATCH(Q4758,'model_byCAP'!$A$2:$A$377,0)),0)</f>
        <v>9028</v>
      </c>
    </row>
    <row r="4759" ht="15.35" customHeight="1">
      <c r="A4759" t="s" s="2">
        <v>9041</v>
      </c>
      <c r="B4759" s="4">
        <v>31079</v>
      </c>
      <c r="C4759" s="5">
        <v>75</v>
      </c>
      <c r="D4759" s="5">
        <v>17</v>
      </c>
      <c r="E4759" s="5">
        <v>24</v>
      </c>
      <c r="F4759" t="s" s="2">
        <v>301</v>
      </c>
      <c r="G4759" t="s" s="2">
        <v>9034</v>
      </c>
      <c r="H4759" s="5">
        <v>360</v>
      </c>
      <c r="I4759" t="s" s="2">
        <v>463</v>
      </c>
      <c r="J4759" t="s" s="2">
        <v>22</v>
      </c>
      <c r="K4759" t="s" s="2">
        <v>9042</v>
      </c>
      <c r="L4759" s="5">
        <v>1</v>
      </c>
      <c r="M4759" s="5">
        <v>630182.66</v>
      </c>
      <c r="N4759" s="5">
        <v>6072524.65</v>
      </c>
      <c r="O4759" t="s" s="2">
        <v>305</v>
      </c>
      <c r="P4759" s="5">
        <v>153030</v>
      </c>
      <c r="Q4759" t="s" s="2">
        <v>9035</v>
      </c>
      <c r="R4759" t="s" s="2">
        <f>_xlfn.IFERROR(INDEX('model_byCAP'!$D$2:$D$377,MATCH(Q4759,'model_byCAP'!$A$2:$A$377,0)),0)</f>
        <v>8029</v>
      </c>
    </row>
    <row r="4760" ht="15.35" customHeight="1">
      <c r="A4760" t="s" s="2">
        <v>9043</v>
      </c>
      <c r="B4760" s="4">
        <v>30956</v>
      </c>
      <c r="C4760" s="5">
        <v>75</v>
      </c>
      <c r="D4760" s="5">
        <v>17</v>
      </c>
      <c r="E4760" s="5">
        <v>24.5</v>
      </c>
      <c r="F4760" t="s" s="2">
        <v>301</v>
      </c>
      <c r="G4760" t="s" s="2">
        <v>9044</v>
      </c>
      <c r="H4760" s="5">
        <v>370</v>
      </c>
      <c r="I4760" t="s" s="2">
        <v>520</v>
      </c>
      <c r="J4760" t="s" s="2">
        <v>22</v>
      </c>
      <c r="K4760" t="s" s="2">
        <v>9045</v>
      </c>
      <c r="L4760" t="s" s="2">
        <v>9046</v>
      </c>
      <c r="M4760" s="5">
        <v>671681.91</v>
      </c>
      <c r="N4760" s="5">
        <v>6124582.5</v>
      </c>
      <c r="O4760" t="s" s="2">
        <v>305</v>
      </c>
      <c r="P4760" s="5">
        <v>152769</v>
      </c>
      <c r="Q4760" t="s" s="2">
        <v>9047</v>
      </c>
      <c r="R4760" t="s" s="2">
        <f>_xlfn.IFERROR(INDEX('model_byCAP'!$D$2:$D$377,MATCH(Q4760,'model_byCAP'!$A$2:$A$377,0)),0)</f>
        <v>8029</v>
      </c>
    </row>
    <row r="4761" ht="15.35" customHeight="1">
      <c r="A4761" t="s" s="2">
        <v>9048</v>
      </c>
      <c r="B4761" s="4">
        <v>30630</v>
      </c>
      <c r="C4761" s="5">
        <v>75</v>
      </c>
      <c r="D4761" s="5">
        <v>17</v>
      </c>
      <c r="E4761" s="5">
        <v>25</v>
      </c>
      <c r="F4761" t="s" s="2">
        <v>42</v>
      </c>
      <c r="G4761" t="s" s="2">
        <v>42</v>
      </c>
      <c r="H4761" s="5">
        <v>390</v>
      </c>
      <c r="I4761" t="s" s="2">
        <v>46</v>
      </c>
      <c r="J4761" t="s" s="2">
        <v>22</v>
      </c>
      <c r="K4761" t="s" s="2">
        <v>6272</v>
      </c>
      <c r="L4761" t="s" s="2">
        <v>9049</v>
      </c>
      <c r="M4761" s="5">
        <v>709663.72</v>
      </c>
      <c r="N4761" s="5">
        <v>6099963.13</v>
      </c>
      <c r="O4761" t="s" s="2">
        <v>305</v>
      </c>
      <c r="P4761" s="8">
        <v>139708</v>
      </c>
      <c r="Q4761" t="s" s="2">
        <v>43</v>
      </c>
      <c r="R4761" s="5">
        <f>_xlfn.IFERROR(INDEX('model_byCAP'!$D$2:$D$377,MATCH(Q4761,'model_byCAP'!$A$2:$A$377,0)),0)</f>
        <v>0</v>
      </c>
    </row>
    <row r="4762" ht="15.35" customHeight="1">
      <c r="A4762" t="s" s="2">
        <v>9050</v>
      </c>
      <c r="B4762" s="4">
        <v>42158</v>
      </c>
      <c r="C4762" s="5">
        <v>75</v>
      </c>
      <c r="D4762" s="5">
        <v>17</v>
      </c>
      <c r="E4762" s="5">
        <v>16.5</v>
      </c>
      <c r="F4762" t="s" s="2">
        <v>8954</v>
      </c>
      <c r="G4762" t="s" s="2">
        <v>9051</v>
      </c>
      <c r="H4762" s="5">
        <v>410</v>
      </c>
      <c r="I4762" t="s" s="2">
        <v>4278</v>
      </c>
      <c r="J4762" t="s" s="2">
        <v>22</v>
      </c>
      <c r="K4762" t="s" s="2">
        <v>9052</v>
      </c>
      <c r="L4762" t="s" s="2">
        <v>409</v>
      </c>
      <c r="M4762" s="5">
        <v>557034.83</v>
      </c>
      <c r="N4762" s="5">
        <v>6147672.81</v>
      </c>
      <c r="O4762" t="s" s="2">
        <v>305</v>
      </c>
      <c r="P4762" s="7">
        <v>5.71e+17</v>
      </c>
      <c r="Q4762" t="s" s="2">
        <v>9053</v>
      </c>
      <c r="R4762" s="5">
        <f>_xlfn.IFERROR(INDEX('model_byCAP'!$D$2:$D$377,MATCH(Q4762,'model_byCAP'!$A$2:$A$377,0)),0)</f>
        <v>0</v>
      </c>
    </row>
    <row r="4763" ht="15.35" customHeight="1">
      <c r="A4763" t="s" s="2">
        <v>9054</v>
      </c>
      <c r="B4763" s="4">
        <v>31578</v>
      </c>
      <c r="C4763" s="5">
        <v>75</v>
      </c>
      <c r="D4763" s="5">
        <v>17</v>
      </c>
      <c r="E4763" s="5">
        <v>22.5</v>
      </c>
      <c r="F4763" t="s" s="2">
        <v>301</v>
      </c>
      <c r="G4763" t="s" s="2">
        <v>9034</v>
      </c>
      <c r="H4763" s="5">
        <v>661</v>
      </c>
      <c r="I4763" t="s" s="2">
        <v>562</v>
      </c>
      <c r="J4763" t="s" s="2">
        <v>22</v>
      </c>
      <c r="K4763" t="s" s="2">
        <v>9055</v>
      </c>
      <c r="L4763" t="s" s="2">
        <v>2809</v>
      </c>
      <c r="M4763" s="5">
        <v>482684.73</v>
      </c>
      <c r="N4763" s="5">
        <v>6256936.87</v>
      </c>
      <c r="O4763" t="s" s="2">
        <v>305</v>
      </c>
      <c r="P4763" s="5">
        <v>40020017</v>
      </c>
      <c r="Q4763" t="s" s="2">
        <v>9035</v>
      </c>
      <c r="R4763" t="s" s="2">
        <f>_xlfn.IFERROR(INDEX('model_byCAP'!$D$2:$D$377,MATCH(Q4763,'model_byCAP'!$A$2:$A$377,0)),0)</f>
        <v>8029</v>
      </c>
    </row>
    <row r="4764" ht="15.35" customHeight="1">
      <c r="A4764" t="s" s="2">
        <v>9056</v>
      </c>
      <c r="B4764" s="4">
        <v>31868</v>
      </c>
      <c r="C4764" s="5">
        <v>75</v>
      </c>
      <c r="D4764" s="5">
        <v>17</v>
      </c>
      <c r="E4764" s="5">
        <v>30.8</v>
      </c>
      <c r="F4764" t="s" s="2">
        <v>8954</v>
      </c>
      <c r="G4764" t="s" s="2">
        <v>9057</v>
      </c>
      <c r="H4764" s="5">
        <v>661</v>
      </c>
      <c r="I4764" t="s" s="2">
        <v>562</v>
      </c>
      <c r="J4764" t="s" s="2">
        <v>22</v>
      </c>
      <c r="K4764" t="s" s="2">
        <v>9058</v>
      </c>
      <c r="L4764" t="s" s="2">
        <v>2923</v>
      </c>
      <c r="M4764" s="5">
        <v>485843.29</v>
      </c>
      <c r="N4764" s="5">
        <v>6257543.75</v>
      </c>
      <c r="O4764" t="s" s="2">
        <v>305</v>
      </c>
      <c r="P4764" s="5">
        <v>1255</v>
      </c>
      <c r="Q4764" t="s" s="2">
        <v>9059</v>
      </c>
      <c r="R4764" s="5">
        <f>_xlfn.IFERROR(INDEX('model_byCAP'!$D$2:$D$377,MATCH(Q4764,'model_byCAP'!$A$2:$A$377,0)),0)</f>
        <v>0</v>
      </c>
    </row>
    <row r="4765" ht="15.35" customHeight="1">
      <c r="A4765" t="s" s="2">
        <v>9060</v>
      </c>
      <c r="B4765" s="4">
        <v>31868</v>
      </c>
      <c r="C4765" s="5">
        <v>75</v>
      </c>
      <c r="D4765" s="5">
        <v>17</v>
      </c>
      <c r="E4765" s="5">
        <v>30.8</v>
      </c>
      <c r="F4765" t="s" s="2">
        <v>8954</v>
      </c>
      <c r="G4765" t="s" s="2">
        <v>9057</v>
      </c>
      <c r="H4765" s="5">
        <v>661</v>
      </c>
      <c r="I4765" t="s" s="2">
        <v>562</v>
      </c>
      <c r="J4765" t="s" s="2">
        <v>22</v>
      </c>
      <c r="K4765" t="s" s="2">
        <v>9058</v>
      </c>
      <c r="L4765" t="s" s="2">
        <v>1359</v>
      </c>
      <c r="M4765" s="5">
        <v>485966.75</v>
      </c>
      <c r="N4765" s="5">
        <v>6257659.5</v>
      </c>
      <c r="O4765" t="s" s="2">
        <v>305</v>
      </c>
      <c r="P4765" s="5">
        <v>1256</v>
      </c>
      <c r="Q4765" t="s" s="2">
        <v>9059</v>
      </c>
      <c r="R4765" s="5">
        <f>_xlfn.IFERROR(INDEX('model_byCAP'!$D$2:$D$377,MATCH(Q4765,'model_byCAP'!$A$2:$A$377,0)),0)</f>
        <v>0</v>
      </c>
    </row>
    <row r="4766" ht="15.35" customHeight="1">
      <c r="A4766" t="s" s="2">
        <v>9061</v>
      </c>
      <c r="B4766" s="4">
        <v>31062</v>
      </c>
      <c r="C4766" s="5">
        <v>75</v>
      </c>
      <c r="D4766" s="5">
        <v>17</v>
      </c>
      <c r="E4766" s="5">
        <v>23.5</v>
      </c>
      <c r="F4766" t="s" s="2">
        <v>301</v>
      </c>
      <c r="G4766" t="s" s="2">
        <v>9034</v>
      </c>
      <c r="H4766" s="5">
        <v>671</v>
      </c>
      <c r="I4766" t="s" s="2">
        <v>378</v>
      </c>
      <c r="J4766" t="s" s="2">
        <v>22</v>
      </c>
      <c r="K4766" t="s" s="2">
        <v>9062</v>
      </c>
      <c r="L4766" t="s" s="2">
        <v>481</v>
      </c>
      <c r="M4766" s="5">
        <v>474161.37</v>
      </c>
      <c r="N4766" s="5">
        <v>6264708.75</v>
      </c>
      <c r="O4766" t="s" s="2">
        <v>305</v>
      </c>
      <c r="P4766" s="5">
        <v>40014079</v>
      </c>
      <c r="Q4766" t="s" s="2">
        <v>9035</v>
      </c>
      <c r="R4766" t="s" s="2">
        <f>_xlfn.IFERROR(INDEX('model_byCAP'!$D$2:$D$377,MATCH(Q4766,'model_byCAP'!$A$2:$A$377,0)),0)</f>
        <v>8029</v>
      </c>
    </row>
    <row r="4767" ht="15.35" customHeight="1">
      <c r="A4767" t="s" s="2">
        <v>9063</v>
      </c>
      <c r="B4767" s="4">
        <v>31548</v>
      </c>
      <c r="C4767" s="5">
        <v>75</v>
      </c>
      <c r="D4767" s="5">
        <v>17</v>
      </c>
      <c r="E4767" s="5">
        <v>22.5</v>
      </c>
      <c r="F4767" t="s" s="2">
        <v>301</v>
      </c>
      <c r="G4767" t="s" s="2">
        <v>9034</v>
      </c>
      <c r="H4767" s="5">
        <v>760</v>
      </c>
      <c r="I4767" t="s" s="2">
        <v>331</v>
      </c>
      <c r="J4767" t="s" s="2">
        <v>22</v>
      </c>
      <c r="K4767" t="s" s="2">
        <v>9064</v>
      </c>
      <c r="L4767" t="s" s="2">
        <v>4237</v>
      </c>
      <c r="M4767" s="5">
        <v>454161.33</v>
      </c>
      <c r="N4767" s="5">
        <v>6222217.92</v>
      </c>
      <c r="O4767" t="s" s="2">
        <v>305</v>
      </c>
      <c r="P4767" s="5">
        <v>8002201</v>
      </c>
      <c r="Q4767" t="s" s="2">
        <v>9035</v>
      </c>
      <c r="R4767" t="s" s="2">
        <f>_xlfn.IFERROR(INDEX('model_byCAP'!$D$2:$D$377,MATCH(Q4767,'model_byCAP'!$A$2:$A$377,0)),0)</f>
        <v>8029</v>
      </c>
    </row>
    <row r="4768" ht="15.35" customHeight="1">
      <c r="A4768" t="s" s="2">
        <v>9065</v>
      </c>
      <c r="B4768" s="4">
        <v>34603</v>
      </c>
      <c r="C4768" s="5">
        <v>75</v>
      </c>
      <c r="D4768" s="5">
        <v>16</v>
      </c>
      <c r="E4768" s="5">
        <v>24</v>
      </c>
      <c r="F4768" t="s" s="2">
        <v>2328</v>
      </c>
      <c r="G4768" t="s" s="2">
        <v>9066</v>
      </c>
      <c r="H4768" s="5">
        <v>760</v>
      </c>
      <c r="I4768" t="s" s="2">
        <v>331</v>
      </c>
      <c r="J4768" t="s" s="2">
        <v>22</v>
      </c>
      <c r="K4768" t="s" s="2">
        <v>9067</v>
      </c>
      <c r="L4768" t="s" s="2">
        <v>1161</v>
      </c>
      <c r="M4768" s="5">
        <v>476605.5</v>
      </c>
      <c r="N4768" s="5">
        <v>6207183.39</v>
      </c>
      <c r="O4768" t="s" s="2">
        <v>305</v>
      </c>
      <c r="P4768" s="5">
        <v>8504791</v>
      </c>
      <c r="Q4768" t="s" s="2">
        <v>9068</v>
      </c>
      <c r="R4768" t="s" s="2">
        <f>_xlfn.IFERROR(INDEX('model_byCAP'!$D$2:$D$377,MATCH(Q4768,'model_byCAP'!$A$2:$A$377,0)),0)</f>
        <v>9069</v>
      </c>
    </row>
    <row r="4769" ht="15.35" customHeight="1">
      <c r="A4769" t="s" s="2">
        <v>9070</v>
      </c>
      <c r="B4769" s="4">
        <v>31210</v>
      </c>
      <c r="C4769" s="5">
        <v>75</v>
      </c>
      <c r="D4769" s="5">
        <v>17</v>
      </c>
      <c r="E4769" s="5">
        <v>23</v>
      </c>
      <c r="F4769" t="s" s="2">
        <v>8954</v>
      </c>
      <c r="G4769" t="s" s="2">
        <v>9051</v>
      </c>
      <c r="H4769" s="5">
        <v>766</v>
      </c>
      <c r="I4769" t="s" s="2">
        <v>3363</v>
      </c>
      <c r="J4769" t="s" s="2">
        <v>22</v>
      </c>
      <c r="K4769" t="s" s="2">
        <v>5723</v>
      </c>
      <c r="L4769" t="s" s="2">
        <v>3453</v>
      </c>
      <c r="M4769" s="5">
        <v>557381.41</v>
      </c>
      <c r="N4769" s="5">
        <v>6178858.56</v>
      </c>
      <c r="O4769" t="s" s="2">
        <v>305</v>
      </c>
      <c r="P4769" s="5">
        <v>11829</v>
      </c>
      <c r="Q4769" t="s" s="2">
        <v>9053</v>
      </c>
      <c r="R4769" s="5">
        <f>_xlfn.IFERROR(INDEX('model_byCAP'!$D$2:$D$377,MATCH(Q4769,'model_byCAP'!$A$2:$A$377,0)),0)</f>
        <v>0</v>
      </c>
    </row>
    <row r="4770" ht="15.35" customHeight="1">
      <c r="A4770" t="s" s="2">
        <v>9071</v>
      </c>
      <c r="B4770" s="4">
        <v>31124</v>
      </c>
      <c r="C4770" s="5">
        <v>75</v>
      </c>
      <c r="D4770" s="5">
        <v>17</v>
      </c>
      <c r="E4770" s="5">
        <v>24</v>
      </c>
      <c r="F4770" t="s" s="2">
        <v>301</v>
      </c>
      <c r="G4770" t="s" s="2">
        <v>9034</v>
      </c>
      <c r="H4770" s="5">
        <v>766</v>
      </c>
      <c r="I4770" t="s" s="2">
        <v>3363</v>
      </c>
      <c r="J4770" t="s" s="2">
        <v>22</v>
      </c>
      <c r="K4770" t="s" s="2">
        <v>9072</v>
      </c>
      <c r="L4770" t="s" s="2">
        <v>1271</v>
      </c>
      <c r="M4770" s="5">
        <v>534172.0600000001</v>
      </c>
      <c r="N4770" s="5">
        <v>6187169.49</v>
      </c>
      <c r="O4770" t="s" s="2">
        <v>305</v>
      </c>
      <c r="P4770" s="5">
        <v>1030030</v>
      </c>
      <c r="Q4770" t="s" s="2">
        <v>9035</v>
      </c>
      <c r="R4770" t="s" s="2">
        <f>_xlfn.IFERROR(INDEX('model_byCAP'!$D$2:$D$377,MATCH(Q4770,'model_byCAP'!$A$2:$A$377,0)),0)</f>
        <v>8029</v>
      </c>
    </row>
    <row r="4771" ht="15.35" customHeight="1">
      <c r="A4771" t="s" s="2">
        <v>9073</v>
      </c>
      <c r="B4771" s="4">
        <v>31084</v>
      </c>
      <c r="C4771" s="5">
        <v>75</v>
      </c>
      <c r="D4771" s="5">
        <v>17</v>
      </c>
      <c r="E4771" s="5">
        <v>22</v>
      </c>
      <c r="F4771" t="s" s="2">
        <v>301</v>
      </c>
      <c r="G4771" t="s" s="2">
        <v>9034</v>
      </c>
      <c r="H4771" s="5">
        <v>240</v>
      </c>
      <c r="I4771" t="s" s="2">
        <v>9074</v>
      </c>
      <c r="J4771" t="s" s="2">
        <v>22</v>
      </c>
      <c r="K4771" t="s" s="2">
        <v>9075</v>
      </c>
      <c r="L4771" t="s" s="2">
        <v>481</v>
      </c>
      <c r="M4771" s="5">
        <v>704530.45</v>
      </c>
      <c r="N4771" s="5">
        <v>6180187</v>
      </c>
      <c r="O4771" t="s" s="2">
        <v>305</v>
      </c>
      <c r="P4771" s="7">
        <v>5.71e+17</v>
      </c>
      <c r="Q4771" t="s" s="2">
        <v>9035</v>
      </c>
      <c r="R4771" t="s" s="2">
        <f>_xlfn.IFERROR(INDEX('model_byCAP'!$D$2:$D$377,MATCH(Q4771,'model_byCAP'!$A$2:$A$377,0)),0)</f>
        <v>8029</v>
      </c>
    </row>
    <row r="4772" ht="15.35" customHeight="1">
      <c r="A4772" t="s" s="2">
        <v>9076</v>
      </c>
      <c r="B4772" s="4">
        <v>30068</v>
      </c>
      <c r="C4772" s="5">
        <v>75</v>
      </c>
      <c r="D4772" s="5">
        <v>17</v>
      </c>
      <c r="E4772" s="5">
        <v>22</v>
      </c>
      <c r="F4772" t="s" s="2">
        <v>301</v>
      </c>
      <c r="G4772" t="s" s="2">
        <v>9034</v>
      </c>
      <c r="H4772" s="5">
        <v>250</v>
      </c>
      <c r="I4772" t="s" s="2">
        <v>7069</v>
      </c>
      <c r="J4772" t="s" s="2">
        <v>22</v>
      </c>
      <c r="K4772" t="s" s="2">
        <v>9077</v>
      </c>
      <c r="L4772" t="s" s="2">
        <v>585</v>
      </c>
      <c r="M4772" s="5">
        <v>684172.0699999999</v>
      </c>
      <c r="N4772" s="5">
        <v>6183027.83</v>
      </c>
      <c r="O4772" t="s" s="2">
        <v>305</v>
      </c>
      <c r="P4772" s="7">
        <v>5.71e+17</v>
      </c>
      <c r="Q4772" t="s" s="2">
        <v>9035</v>
      </c>
      <c r="R4772" t="s" s="2">
        <f>_xlfn.IFERROR(INDEX('model_byCAP'!$D$2:$D$377,MATCH(Q4772,'model_byCAP'!$A$2:$A$377,0)),0)</f>
        <v>8029</v>
      </c>
    </row>
    <row r="4773" ht="15.35" customHeight="1">
      <c r="A4773" t="s" s="2">
        <v>9078</v>
      </c>
      <c r="B4773" s="4">
        <v>32589</v>
      </c>
      <c r="C4773" s="5">
        <v>75</v>
      </c>
      <c r="D4773" s="5">
        <v>17.5</v>
      </c>
      <c r="E4773" s="5">
        <v>22</v>
      </c>
      <c r="F4773" t="s" s="2">
        <v>9079</v>
      </c>
      <c r="G4773" t="s" s="2">
        <v>9080</v>
      </c>
      <c r="H4773" s="5">
        <v>787</v>
      </c>
      <c r="I4773" t="s" s="2">
        <v>21</v>
      </c>
      <c r="J4773" t="s" s="2">
        <v>22</v>
      </c>
      <c r="K4773" t="s" s="2">
        <v>9081</v>
      </c>
      <c r="L4773" t="s" s="2">
        <v>2348</v>
      </c>
      <c r="M4773" s="5">
        <v>479187.38</v>
      </c>
      <c r="N4773" s="5">
        <v>6327721.51</v>
      </c>
      <c r="O4773" t="s" s="2">
        <v>305</v>
      </c>
      <c r="P4773" s="5">
        <v>11410500</v>
      </c>
      <c r="Q4773" t="s" s="2">
        <v>9082</v>
      </c>
      <c r="R4773" s="5">
        <f>_xlfn.IFERROR(INDEX('model_byCAP'!$D$2:$D$377,MATCH(Q4773,'model_byCAP'!$A$2:$A$377,0)),0)</f>
        <v>0</v>
      </c>
    </row>
    <row r="4774" ht="15.35" customHeight="1">
      <c r="A4774" t="s" s="2">
        <v>9083</v>
      </c>
      <c r="B4774" s="4">
        <v>31603</v>
      </c>
      <c r="C4774" s="5">
        <v>75</v>
      </c>
      <c r="D4774" s="5">
        <v>17</v>
      </c>
      <c r="E4774" s="5">
        <v>18</v>
      </c>
      <c r="F4774" t="s" s="2">
        <v>301</v>
      </c>
      <c r="G4774" t="s" s="2">
        <v>9084</v>
      </c>
      <c r="H4774" s="5">
        <v>306</v>
      </c>
      <c r="I4774" t="s" s="2">
        <v>5800</v>
      </c>
      <c r="J4774" t="s" s="2">
        <v>22</v>
      </c>
      <c r="K4774" t="s" s="2">
        <v>9085</v>
      </c>
      <c r="L4774" t="s" s="2">
        <v>2293</v>
      </c>
      <c r="M4774" s="5">
        <v>665633.97</v>
      </c>
      <c r="N4774" s="5">
        <v>6192981.65</v>
      </c>
      <c r="O4774" t="s" s="2">
        <v>305</v>
      </c>
      <c r="P4774" s="5">
        <v>8600368</v>
      </c>
      <c r="Q4774" t="s" s="2">
        <v>9086</v>
      </c>
      <c r="R4774" t="s" s="2">
        <f>_xlfn.IFERROR(INDEX('model_byCAP'!$D$2:$D$377,MATCH(Q4774,'model_byCAP'!$A$2:$A$377,0)),0)</f>
        <v>8029</v>
      </c>
    </row>
    <row r="4775" ht="15.35" customHeight="1">
      <c r="A4775" t="s" s="2">
        <v>9087</v>
      </c>
      <c r="B4775" s="4">
        <v>38596</v>
      </c>
      <c r="C4775" s="5">
        <v>75</v>
      </c>
      <c r="D4775" s="5">
        <v>17</v>
      </c>
      <c r="E4775" s="5">
        <v>22.8</v>
      </c>
      <c r="F4775" t="s" s="2">
        <v>301</v>
      </c>
      <c r="G4775" t="s" s="2">
        <v>9031</v>
      </c>
      <c r="H4775" s="5">
        <v>787</v>
      </c>
      <c r="I4775" t="s" s="2">
        <v>21</v>
      </c>
      <c r="J4775" t="s" s="2">
        <v>22</v>
      </c>
      <c r="K4775" t="s" s="2">
        <v>9088</v>
      </c>
      <c r="L4775" t="s" s="2">
        <v>2078</v>
      </c>
      <c r="M4775" s="5">
        <v>483389.41</v>
      </c>
      <c r="N4775" s="5">
        <v>6314764.63</v>
      </c>
      <c r="O4775" t="s" s="2">
        <v>305</v>
      </c>
      <c r="P4775" s="5">
        <v>3267001</v>
      </c>
      <c r="Q4775" t="s" s="2">
        <v>9032</v>
      </c>
      <c r="R4775" t="s" s="2">
        <f>_xlfn.IFERROR(INDEX('model_byCAP'!$D$2:$D$377,MATCH(Q4775,'model_byCAP'!$A$2:$A$377,0)),0)</f>
        <v>8029</v>
      </c>
    </row>
    <row r="4776" ht="15.35" customHeight="1">
      <c r="A4776" t="s" s="2">
        <v>9089</v>
      </c>
      <c r="B4776" s="4">
        <v>31352</v>
      </c>
      <c r="C4776" s="5">
        <v>65</v>
      </c>
      <c r="D4776" s="5">
        <v>17</v>
      </c>
      <c r="E4776" s="5">
        <v>24</v>
      </c>
      <c r="F4776" t="s" s="2">
        <v>42</v>
      </c>
      <c r="G4776" t="s" s="2">
        <v>42</v>
      </c>
      <c r="H4776" s="5">
        <v>370</v>
      </c>
      <c r="I4776" t="s" s="2">
        <v>520</v>
      </c>
      <c r="J4776" t="s" s="2">
        <v>22</v>
      </c>
      <c r="K4776" t="s" s="2">
        <v>9090</v>
      </c>
      <c r="L4776" t="s" s="2">
        <v>2872</v>
      </c>
      <c r="M4776" s="5">
        <v>673773.6899999999</v>
      </c>
      <c r="N4776" s="5">
        <v>6127971.13</v>
      </c>
      <c r="O4776" t="s" s="2">
        <v>305</v>
      </c>
      <c r="P4776" s="5">
        <v>154851</v>
      </c>
      <c r="Q4776" t="s" s="2">
        <v>43</v>
      </c>
      <c r="R4776" s="5">
        <f>_xlfn.IFERROR(INDEX('model_byCAP'!$D$2:$D$377,MATCH(Q4776,'model_byCAP'!$A$2:$A$377,0)),0)</f>
        <v>0</v>
      </c>
    </row>
    <row r="4777" ht="15.35" customHeight="1">
      <c r="A4777" t="s" s="2">
        <v>9091</v>
      </c>
      <c r="B4777" s="4">
        <v>39419</v>
      </c>
      <c r="C4777" s="5">
        <v>55</v>
      </c>
      <c r="D4777" s="5">
        <v>15.5</v>
      </c>
      <c r="E4777" s="5">
        <v>18</v>
      </c>
      <c r="F4777" t="s" s="2">
        <v>8954</v>
      </c>
      <c r="G4777" t="s" s="2">
        <v>9092</v>
      </c>
      <c r="H4777" s="5">
        <v>306</v>
      </c>
      <c r="I4777" t="s" s="2">
        <v>5800</v>
      </c>
      <c r="J4777" t="s" s="2">
        <v>22</v>
      </c>
      <c r="K4777" t="s" s="2">
        <v>9093</v>
      </c>
      <c r="L4777" t="s" s="2">
        <v>3336</v>
      </c>
      <c r="M4777" s="5">
        <v>656649.5699999999</v>
      </c>
      <c r="N4777" s="5">
        <v>6189509.19</v>
      </c>
      <c r="O4777" t="s" s="2">
        <v>305</v>
      </c>
      <c r="P4777" s="5">
        <v>400073</v>
      </c>
      <c r="Q4777" t="s" s="2">
        <v>9094</v>
      </c>
      <c r="R4777" s="5">
        <f>_xlfn.IFERROR(INDEX('model_byCAP'!$D$2:$D$377,MATCH(Q4777,'model_byCAP'!$A$2:$A$377,0)),0)</f>
        <v>0</v>
      </c>
    </row>
    <row r="4778" ht="15.35" customHeight="1">
      <c r="A4778" t="s" s="2">
        <v>9095</v>
      </c>
      <c r="B4778" s="4">
        <v>31537</v>
      </c>
      <c r="C4778" s="5">
        <v>55</v>
      </c>
      <c r="D4778" s="5">
        <v>15</v>
      </c>
      <c r="E4778" s="5">
        <v>18</v>
      </c>
      <c r="F4778" t="s" s="2">
        <v>301</v>
      </c>
      <c r="G4778" t="s" s="2">
        <v>9025</v>
      </c>
      <c r="H4778" s="5">
        <v>326</v>
      </c>
      <c r="I4778" t="s" s="2">
        <v>1263</v>
      </c>
      <c r="J4778" t="s" s="2">
        <v>22</v>
      </c>
      <c r="K4778" t="s" s="2">
        <v>9026</v>
      </c>
      <c r="L4778" t="s" s="2">
        <v>511</v>
      </c>
      <c r="M4778" s="5">
        <v>627695.98</v>
      </c>
      <c r="N4778" s="5">
        <v>6175984.38</v>
      </c>
      <c r="O4778" t="s" s="2">
        <v>305</v>
      </c>
      <c r="P4778" s="5">
        <v>40172811</v>
      </c>
      <c r="Q4778" t="s" s="2">
        <v>9027</v>
      </c>
      <c r="R4778" t="s" s="2">
        <f>_xlfn.IFERROR(INDEX('model_byCAP'!$D$2:$D$377,MATCH(Q4778,'model_byCAP'!$A$2:$A$377,0)),0)</f>
        <v>9028</v>
      </c>
    </row>
    <row r="4779" ht="15.35" customHeight="1">
      <c r="A4779" t="s" s="2">
        <v>9096</v>
      </c>
      <c r="B4779" s="4">
        <v>31010</v>
      </c>
      <c r="C4779" s="5">
        <v>55</v>
      </c>
      <c r="D4779" s="5">
        <v>16</v>
      </c>
      <c r="E4779" s="5">
        <v>18</v>
      </c>
      <c r="F4779" t="s" s="2">
        <v>6608</v>
      </c>
      <c r="G4779" t="s" s="2">
        <v>9097</v>
      </c>
      <c r="H4779" s="5">
        <v>330</v>
      </c>
      <c r="I4779" t="s" s="2">
        <v>1491</v>
      </c>
      <c r="J4779" t="s" s="2">
        <v>22</v>
      </c>
      <c r="K4779" t="s" s="2">
        <v>6042</v>
      </c>
      <c r="L4779" t="s" s="2">
        <v>1410</v>
      </c>
      <c r="M4779" s="5">
        <v>642275.37</v>
      </c>
      <c r="N4779" s="5">
        <v>6134408.21</v>
      </c>
      <c r="O4779" t="s" s="2">
        <v>305</v>
      </c>
      <c r="P4779" s="5">
        <v>1800105</v>
      </c>
      <c r="Q4779" t="s" s="2">
        <v>9098</v>
      </c>
      <c r="R4779" t="s" s="2">
        <f>_xlfn.IFERROR(INDEX('model_byCAP'!$D$2:$D$377,MATCH(Q4779,'model_byCAP'!$A$2:$A$377,0)),0)</f>
        <v>7369</v>
      </c>
    </row>
    <row r="4780" ht="15.35" customHeight="1">
      <c r="A4780" t="s" s="2">
        <v>9099</v>
      </c>
      <c r="B4780" s="4">
        <v>30438</v>
      </c>
      <c r="C4780" s="5">
        <v>55</v>
      </c>
      <c r="D4780" s="5">
        <v>10</v>
      </c>
      <c r="E4780" s="5">
        <v>18</v>
      </c>
      <c r="F4780" t="s" s="2">
        <v>42</v>
      </c>
      <c r="G4780" t="s" s="2">
        <v>42</v>
      </c>
      <c r="H4780" s="5">
        <v>330</v>
      </c>
      <c r="I4780" t="s" s="2">
        <v>1491</v>
      </c>
      <c r="J4780" t="s" s="2">
        <v>22</v>
      </c>
      <c r="K4780" t="s" s="2">
        <v>9100</v>
      </c>
      <c r="L4780" t="s" s="2">
        <v>3410</v>
      </c>
      <c r="M4780" s="5">
        <v>651842.76</v>
      </c>
      <c r="N4780" s="5">
        <v>6123059.37</v>
      </c>
      <c r="O4780" t="s" s="2">
        <v>305</v>
      </c>
      <c r="P4780" s="5">
        <v>148408</v>
      </c>
      <c r="Q4780" t="s" s="2">
        <v>43</v>
      </c>
      <c r="R4780" s="5">
        <f>_xlfn.IFERROR(INDEX('model_byCAP'!$D$2:$D$377,MATCH(Q4780,'model_byCAP'!$A$2:$A$377,0)),0)</f>
        <v>0</v>
      </c>
    </row>
    <row r="4781" ht="15.35" customHeight="1">
      <c r="A4781" t="s" s="2">
        <v>9101</v>
      </c>
      <c r="B4781" s="4">
        <v>30298</v>
      </c>
      <c r="C4781" s="5">
        <v>55</v>
      </c>
      <c r="D4781" s="5">
        <v>15.3</v>
      </c>
      <c r="E4781" s="5">
        <v>18</v>
      </c>
      <c r="F4781" t="s" s="2">
        <v>301</v>
      </c>
      <c r="G4781" t="s" s="2">
        <v>9037</v>
      </c>
      <c r="H4781" s="5">
        <v>360</v>
      </c>
      <c r="I4781" t="s" s="2">
        <v>463</v>
      </c>
      <c r="J4781" t="s" s="2">
        <v>22</v>
      </c>
      <c r="K4781" t="s" s="2">
        <v>6165</v>
      </c>
      <c r="L4781" t="s" s="2">
        <v>2809</v>
      </c>
      <c r="M4781" s="5">
        <v>634412.08</v>
      </c>
      <c r="N4781" s="5">
        <v>6085367.45</v>
      </c>
      <c r="O4781" t="s" s="2">
        <v>305</v>
      </c>
      <c r="P4781" s="5">
        <v>147606</v>
      </c>
      <c r="Q4781" t="s" s="2">
        <v>9040</v>
      </c>
      <c r="R4781" t="s" s="2">
        <f>_xlfn.IFERROR(INDEX('model_byCAP'!$D$2:$D$377,MATCH(Q4781,'model_byCAP'!$A$2:$A$377,0)),0)</f>
        <v>9028</v>
      </c>
    </row>
    <row r="4782" ht="15.35" customHeight="1">
      <c r="A4782" t="s" s="2">
        <v>9102</v>
      </c>
      <c r="B4782" s="4">
        <v>29495</v>
      </c>
      <c r="C4782" s="5">
        <v>55</v>
      </c>
      <c r="D4782" s="5">
        <v>0.1</v>
      </c>
      <c r="E4782" s="5">
        <v>18</v>
      </c>
      <c r="F4782" t="s" s="2">
        <v>42</v>
      </c>
      <c r="G4782" t="s" s="2">
        <v>42</v>
      </c>
      <c r="H4782" s="5">
        <v>400</v>
      </c>
      <c r="I4782" t="s" s="2">
        <v>2068</v>
      </c>
      <c r="J4782" t="s" s="2">
        <v>22</v>
      </c>
      <c r="K4782" t="s" s="2">
        <v>2073</v>
      </c>
      <c r="L4782" t="s" s="2">
        <v>1196</v>
      </c>
      <c r="M4782" s="5">
        <v>868490.05</v>
      </c>
      <c r="N4782" s="5">
        <v>6134046.06</v>
      </c>
      <c r="O4782" t="s" s="2">
        <v>305</v>
      </c>
      <c r="P4782" t="s" s="2">
        <v>9103</v>
      </c>
      <c r="Q4782" t="s" s="2">
        <v>43</v>
      </c>
      <c r="R4782" s="5">
        <f>_xlfn.IFERROR(INDEX('model_byCAP'!$D$2:$D$377,MATCH(Q4782,'model_byCAP'!$A$2:$A$377,0)),0)</f>
        <v>0</v>
      </c>
    </row>
    <row r="4783" ht="15.35" customHeight="1">
      <c r="A4783" t="s" s="2">
        <v>9104</v>
      </c>
      <c r="B4783" s="4">
        <v>31558</v>
      </c>
      <c r="C4783" s="5">
        <v>55</v>
      </c>
      <c r="D4783" s="5">
        <v>17</v>
      </c>
      <c r="E4783" s="5">
        <v>22.5</v>
      </c>
      <c r="F4783" t="s" s="2">
        <v>301</v>
      </c>
      <c r="G4783" t="s" s="2">
        <v>9025</v>
      </c>
      <c r="H4783" s="5">
        <v>410</v>
      </c>
      <c r="I4783" t="s" s="2">
        <v>4278</v>
      </c>
      <c r="J4783" t="s" s="2">
        <v>22</v>
      </c>
      <c r="K4783" t="s" s="2">
        <v>9105</v>
      </c>
      <c r="L4783" t="s" s="2">
        <v>9106</v>
      </c>
      <c r="M4783" s="5">
        <v>552045.28</v>
      </c>
      <c r="N4783" s="5">
        <v>6140703.59</v>
      </c>
      <c r="O4783" t="s" s="2">
        <v>305</v>
      </c>
      <c r="P4783" s="5">
        <v>99191</v>
      </c>
      <c r="Q4783" t="s" s="2">
        <v>9027</v>
      </c>
      <c r="R4783" t="s" s="2">
        <f>_xlfn.IFERROR(INDEX('model_byCAP'!$D$2:$D$377,MATCH(Q4783,'model_byCAP'!$A$2:$A$377,0)),0)</f>
        <v>9028</v>
      </c>
    </row>
    <row r="4784" ht="15.35" customHeight="1">
      <c r="A4784" t="s" s="2">
        <v>9107</v>
      </c>
      <c r="B4784" s="4">
        <v>30011</v>
      </c>
      <c r="C4784" s="5">
        <v>55</v>
      </c>
      <c r="D4784" s="5">
        <v>15</v>
      </c>
      <c r="E4784" s="5">
        <v>22</v>
      </c>
      <c r="F4784" t="s" s="2">
        <v>42</v>
      </c>
      <c r="G4784" t="s" s="2">
        <v>42</v>
      </c>
      <c r="H4784" s="5">
        <v>420</v>
      </c>
      <c r="I4784" t="s" s="2">
        <v>3043</v>
      </c>
      <c r="J4784" t="s" s="2">
        <v>22</v>
      </c>
      <c r="K4784" t="s" s="2">
        <v>4296</v>
      </c>
      <c r="L4784" t="s" s="2">
        <v>3562</v>
      </c>
      <c r="M4784" s="5">
        <v>577222.25</v>
      </c>
      <c r="N4784" s="5">
        <v>6126811.26</v>
      </c>
      <c r="O4784" t="s" s="2">
        <v>305</v>
      </c>
      <c r="P4784" s="5">
        <v>99011</v>
      </c>
      <c r="Q4784" t="s" s="2">
        <v>43</v>
      </c>
      <c r="R4784" s="5">
        <f>_xlfn.IFERROR(INDEX('model_byCAP'!$D$2:$D$377,MATCH(Q4784,'model_byCAP'!$A$2:$A$377,0)),0)</f>
        <v>0</v>
      </c>
    </row>
    <row r="4785" ht="15.35" customHeight="1">
      <c r="A4785" t="s" s="2">
        <v>9108</v>
      </c>
      <c r="B4785" s="4">
        <v>32216</v>
      </c>
      <c r="C4785" s="5">
        <v>55</v>
      </c>
      <c r="D4785" s="5">
        <v>16</v>
      </c>
      <c r="E4785" s="5">
        <v>18</v>
      </c>
      <c r="F4785" t="s" s="2">
        <v>42</v>
      </c>
      <c r="G4785" t="s" s="2">
        <v>42</v>
      </c>
      <c r="H4785" s="5">
        <v>479</v>
      </c>
      <c r="I4785" t="s" s="2">
        <v>2082</v>
      </c>
      <c r="J4785" t="s" s="2">
        <v>22</v>
      </c>
      <c r="K4785" t="s" s="2">
        <v>9109</v>
      </c>
      <c r="L4785" t="s" s="2">
        <v>9110</v>
      </c>
      <c r="M4785" s="5">
        <v>599048.33</v>
      </c>
      <c r="N4785" s="5">
        <v>6111008.16</v>
      </c>
      <c r="O4785" t="s" s="2">
        <v>305</v>
      </c>
      <c r="P4785" s="5">
        <v>50713</v>
      </c>
      <c r="Q4785" t="s" s="2">
        <v>43</v>
      </c>
      <c r="R4785" s="5">
        <f>_xlfn.IFERROR(INDEX('model_byCAP'!$D$2:$D$377,MATCH(Q4785,'model_byCAP'!$A$2:$A$377,0)),0)</f>
        <v>0</v>
      </c>
    </row>
    <row r="4786" ht="15.35" customHeight="1">
      <c r="A4786" t="s" s="2">
        <v>9111</v>
      </c>
      <c r="B4786" s="4">
        <v>29705</v>
      </c>
      <c r="C4786" s="5">
        <v>55</v>
      </c>
      <c r="D4786" s="5">
        <v>15</v>
      </c>
      <c r="E4786" s="5">
        <v>18</v>
      </c>
      <c r="F4786" t="s" s="2">
        <v>301</v>
      </c>
      <c r="G4786" t="s" s="2">
        <v>9112</v>
      </c>
      <c r="H4786" s="5">
        <v>482</v>
      </c>
      <c r="I4786" t="s" s="2">
        <v>1523</v>
      </c>
      <c r="J4786" t="s" s="2">
        <v>22</v>
      </c>
      <c r="K4786" t="s" s="2">
        <v>9113</v>
      </c>
      <c r="L4786" t="s" s="2">
        <v>1603</v>
      </c>
      <c r="M4786" s="5">
        <v>610488.8</v>
      </c>
      <c r="N4786" s="5">
        <v>6083843.11</v>
      </c>
      <c r="O4786" t="s" s="2">
        <v>305</v>
      </c>
      <c r="P4786" s="5">
        <v>8416109</v>
      </c>
      <c r="Q4786" t="s" s="2">
        <v>9114</v>
      </c>
      <c r="R4786" t="s" s="2">
        <f>_xlfn.IFERROR(INDEX('model_byCAP'!$D$2:$D$377,MATCH(Q4786,'model_byCAP'!$A$2:$A$377,0)),0)</f>
        <v>8029</v>
      </c>
    </row>
    <row r="4787" ht="15.35" customHeight="1">
      <c r="A4787" t="s" s="2">
        <v>9115</v>
      </c>
      <c r="B4787" s="4">
        <v>30131</v>
      </c>
      <c r="C4787" s="5">
        <v>55</v>
      </c>
      <c r="D4787" s="5">
        <v>0.1</v>
      </c>
      <c r="E4787" s="5">
        <v>0.1</v>
      </c>
      <c r="F4787" t="s" s="2">
        <v>42</v>
      </c>
      <c r="G4787" t="s" s="2">
        <v>42</v>
      </c>
      <c r="H4787" s="5">
        <v>573</v>
      </c>
      <c r="I4787" t="s" s="2">
        <v>1041</v>
      </c>
      <c r="J4787" t="s" s="2">
        <v>22</v>
      </c>
      <c r="K4787" t="s" s="2">
        <v>9116</v>
      </c>
      <c r="L4787" t="s" s="2">
        <v>908</v>
      </c>
      <c r="M4787" s="5">
        <v>455544.21</v>
      </c>
      <c r="N4787" s="5">
        <v>6173512.75</v>
      </c>
      <c r="O4787" t="s" s="2">
        <v>305</v>
      </c>
      <c r="P4787" s="5">
        <v>29520</v>
      </c>
      <c r="Q4787" t="s" s="2">
        <v>43</v>
      </c>
      <c r="R4787" s="5">
        <f>_xlfn.IFERROR(INDEX('model_byCAP'!$D$2:$D$377,MATCH(Q4787,'model_byCAP'!$A$2:$A$377,0)),0)</f>
        <v>0</v>
      </c>
    </row>
    <row r="4788" ht="15.35" customHeight="1">
      <c r="A4788" t="s" s="2">
        <v>9117</v>
      </c>
      <c r="B4788" s="4">
        <v>30375</v>
      </c>
      <c r="C4788" s="5">
        <v>55</v>
      </c>
      <c r="D4788" s="5">
        <v>15.4</v>
      </c>
      <c r="E4788" s="5">
        <v>23</v>
      </c>
      <c r="F4788" t="s" s="2">
        <v>301</v>
      </c>
      <c r="G4788" t="s" s="2">
        <v>9118</v>
      </c>
      <c r="H4788" s="5">
        <v>573</v>
      </c>
      <c r="I4788" t="s" s="2">
        <v>1041</v>
      </c>
      <c r="J4788" t="s" s="2">
        <v>22</v>
      </c>
      <c r="K4788" t="s" s="2">
        <v>9119</v>
      </c>
      <c r="L4788" t="s" s="2">
        <v>4399</v>
      </c>
      <c r="M4788" s="5">
        <v>452626.62</v>
      </c>
      <c r="N4788" s="5">
        <v>6176935.65</v>
      </c>
      <c r="O4788" t="s" s="2">
        <v>305</v>
      </c>
      <c r="P4788" s="5">
        <v>29635</v>
      </c>
      <c r="Q4788" t="s" s="2">
        <v>9120</v>
      </c>
      <c r="R4788" t="s" s="2">
        <f>_xlfn.IFERROR(INDEX('model_byCAP'!$D$2:$D$377,MATCH(Q4788,'model_byCAP'!$A$2:$A$377,0)),0)</f>
        <v>8029</v>
      </c>
    </row>
    <row r="4789" ht="15.35" customHeight="1">
      <c r="A4789" t="s" s="2">
        <v>9121</v>
      </c>
      <c r="B4789" s="4">
        <v>33210</v>
      </c>
      <c r="C4789" s="5">
        <v>55</v>
      </c>
      <c r="D4789" s="5">
        <v>0.1</v>
      </c>
      <c r="E4789" s="5">
        <v>0.1</v>
      </c>
      <c r="F4789" t="s" s="2">
        <v>42</v>
      </c>
      <c r="G4789" t="s" s="2">
        <v>42</v>
      </c>
      <c r="H4789" s="5">
        <v>575</v>
      </c>
      <c r="I4789" t="s" s="2">
        <v>2952</v>
      </c>
      <c r="J4789" t="s" s="2">
        <v>22</v>
      </c>
      <c r="K4789" t="s" s="2">
        <v>9122</v>
      </c>
      <c r="L4789" t="s" s="2">
        <v>390</v>
      </c>
      <c r="M4789" s="5">
        <v>488904.8</v>
      </c>
      <c r="N4789" s="5">
        <v>6154630.25</v>
      </c>
      <c r="O4789" t="s" s="2">
        <v>305</v>
      </c>
      <c r="P4789" s="5">
        <v>56403</v>
      </c>
      <c r="Q4789" t="s" s="2">
        <v>43</v>
      </c>
      <c r="R4789" s="5">
        <f>_xlfn.IFERROR(INDEX('model_byCAP'!$D$2:$D$377,MATCH(Q4789,'model_byCAP'!$A$2:$A$377,0)),0)</f>
        <v>0</v>
      </c>
    </row>
    <row r="4790" ht="15.35" customHeight="1">
      <c r="A4790" t="s" s="2">
        <v>9123</v>
      </c>
      <c r="B4790" s="4">
        <v>29223</v>
      </c>
      <c r="C4790" s="5">
        <v>55</v>
      </c>
      <c r="D4790" s="5">
        <v>15.3</v>
      </c>
      <c r="E4790" s="5">
        <v>23</v>
      </c>
      <c r="F4790" t="s" s="2">
        <v>301</v>
      </c>
      <c r="G4790" t="s" s="2">
        <v>9124</v>
      </c>
      <c r="H4790" s="5">
        <v>615</v>
      </c>
      <c r="I4790" t="s" s="2">
        <v>3590</v>
      </c>
      <c r="J4790" t="s" s="2">
        <v>22</v>
      </c>
      <c r="K4790" t="s" s="2">
        <v>9125</v>
      </c>
      <c r="L4790" t="s" s="2">
        <v>390</v>
      </c>
      <c r="M4790" s="5">
        <v>542828.46</v>
      </c>
      <c r="N4790" s="5">
        <v>6199913.56</v>
      </c>
      <c r="O4790" t="s" s="2">
        <v>305</v>
      </c>
      <c r="P4790" s="5">
        <v>1030015</v>
      </c>
      <c r="Q4790" t="s" s="2">
        <v>9126</v>
      </c>
      <c r="R4790" t="s" s="2">
        <f>_xlfn.IFERROR(INDEX('model_byCAP'!$D$2:$D$377,MATCH(Q4790,'model_byCAP'!$A$2:$A$377,0)),0)</f>
        <v>8029</v>
      </c>
    </row>
    <row r="4791" ht="15.35" customHeight="1">
      <c r="A4791" t="s" s="2">
        <v>9127</v>
      </c>
      <c r="B4791" s="4">
        <v>29871</v>
      </c>
      <c r="C4791" s="5">
        <v>55</v>
      </c>
      <c r="D4791" s="5">
        <v>15.5</v>
      </c>
      <c r="E4791" s="5">
        <v>24</v>
      </c>
      <c r="F4791" t="s" s="2">
        <v>301</v>
      </c>
      <c r="G4791" t="s" s="2">
        <v>9128</v>
      </c>
      <c r="H4791" s="5">
        <v>615</v>
      </c>
      <c r="I4791" t="s" s="2">
        <v>3590</v>
      </c>
      <c r="J4791" t="s" s="2">
        <v>22</v>
      </c>
      <c r="K4791" t="s" s="2">
        <v>9129</v>
      </c>
      <c r="L4791" t="s" s="2">
        <v>2348</v>
      </c>
      <c r="M4791" s="5">
        <v>545061.63</v>
      </c>
      <c r="N4791" s="5">
        <v>6202594.56</v>
      </c>
      <c r="O4791" t="s" s="2">
        <v>305</v>
      </c>
      <c r="P4791" s="5">
        <v>1030018</v>
      </c>
      <c r="Q4791" t="s" s="2">
        <v>9130</v>
      </c>
      <c r="R4791" t="s" s="2">
        <f>_xlfn.IFERROR(INDEX('model_byCAP'!$D$2:$D$377,MATCH(Q4791,'model_byCAP'!$A$2:$A$377,0)),0)</f>
        <v>9028</v>
      </c>
    </row>
    <row r="4792" ht="15.35" customHeight="1">
      <c r="A4792" t="s" s="2">
        <v>9131</v>
      </c>
      <c r="B4792" s="4">
        <v>30635</v>
      </c>
      <c r="C4792" s="5">
        <v>55</v>
      </c>
      <c r="D4792" s="5">
        <v>15</v>
      </c>
      <c r="E4792" s="5">
        <v>22.6</v>
      </c>
      <c r="F4792" t="s" s="2">
        <v>301</v>
      </c>
      <c r="G4792" t="s" s="2">
        <v>9128</v>
      </c>
      <c r="H4792" s="5">
        <v>665</v>
      </c>
      <c r="I4792" t="s" s="2">
        <v>316</v>
      </c>
      <c r="J4792" t="s" s="2">
        <v>22</v>
      </c>
      <c r="K4792" t="s" s="2">
        <v>9132</v>
      </c>
      <c r="L4792" t="s" s="2">
        <v>9133</v>
      </c>
      <c r="M4792" s="5">
        <v>463796.56</v>
      </c>
      <c r="N4792" s="5">
        <v>6268741.14</v>
      </c>
      <c r="O4792" t="s" s="2">
        <v>305</v>
      </c>
      <c r="P4792" s="5">
        <v>40011076</v>
      </c>
      <c r="Q4792" t="s" s="2">
        <v>9130</v>
      </c>
      <c r="R4792" t="s" s="2">
        <f>_xlfn.IFERROR(INDEX('model_byCAP'!$D$2:$D$377,MATCH(Q4792,'model_byCAP'!$A$2:$A$377,0)),0)</f>
        <v>9028</v>
      </c>
    </row>
    <row r="4793" ht="15.35" customHeight="1">
      <c r="A4793" t="s" s="2">
        <v>9134</v>
      </c>
      <c r="B4793" s="4">
        <v>32523</v>
      </c>
      <c r="C4793" s="5">
        <v>55</v>
      </c>
      <c r="D4793" s="5">
        <v>15</v>
      </c>
      <c r="E4793" s="5">
        <v>24</v>
      </c>
      <c r="F4793" t="s" s="2">
        <v>301</v>
      </c>
      <c r="G4793" t="s" s="2">
        <v>9135</v>
      </c>
      <c r="H4793" s="5">
        <v>671</v>
      </c>
      <c r="I4793" t="s" s="2">
        <v>378</v>
      </c>
      <c r="J4793" t="s" s="2">
        <v>22</v>
      </c>
      <c r="K4793" t="s" s="2">
        <v>8787</v>
      </c>
      <c r="L4793" t="s" s="2">
        <v>4390</v>
      </c>
      <c r="M4793" s="5">
        <v>473570.89</v>
      </c>
      <c r="N4793" s="5">
        <v>6275155.75</v>
      </c>
      <c r="O4793" t="s" s="2">
        <v>305</v>
      </c>
      <c r="P4793" s="5">
        <v>123143</v>
      </c>
      <c r="Q4793" t="s" s="2">
        <v>9136</v>
      </c>
      <c r="R4793" t="s" s="2">
        <f>_xlfn.IFERROR(INDEX('model_byCAP'!$D$2:$D$377,MATCH(Q4793,'model_byCAP'!$A$2:$A$377,0)),0)</f>
        <v>8029</v>
      </c>
    </row>
    <row r="4794" ht="15.35" customHeight="1">
      <c r="A4794" t="s" s="2">
        <v>9137</v>
      </c>
      <c r="B4794" s="4">
        <v>34465</v>
      </c>
      <c r="C4794" s="5">
        <v>55</v>
      </c>
      <c r="D4794" s="5">
        <v>8</v>
      </c>
      <c r="E4794" s="5">
        <v>23</v>
      </c>
      <c r="F4794" t="s" s="2">
        <v>42</v>
      </c>
      <c r="G4794" t="s" s="2">
        <v>42</v>
      </c>
      <c r="H4794" s="5">
        <v>707</v>
      </c>
      <c r="I4794" t="s" s="2">
        <v>616</v>
      </c>
      <c r="J4794" t="s" s="2">
        <v>22</v>
      </c>
      <c r="K4794" t="s" s="2">
        <v>8790</v>
      </c>
      <c r="L4794" t="s" s="2">
        <v>1196</v>
      </c>
      <c r="M4794" s="5">
        <v>616122.15</v>
      </c>
      <c r="N4794" s="5">
        <v>6260543.96</v>
      </c>
      <c r="O4794" t="s" s="2">
        <v>305</v>
      </c>
      <c r="P4794" s="5">
        <v>2001601</v>
      </c>
      <c r="Q4794" t="s" s="2">
        <v>43</v>
      </c>
      <c r="R4794" s="5">
        <f>_xlfn.IFERROR(INDEX('model_byCAP'!$D$2:$D$377,MATCH(Q4794,'model_byCAP'!$A$2:$A$377,0)),0)</f>
        <v>0</v>
      </c>
    </row>
    <row r="4795" ht="15.35" customHeight="1">
      <c r="A4795" t="s" s="2">
        <v>9138</v>
      </c>
      <c r="B4795" s="4">
        <v>30085</v>
      </c>
      <c r="C4795" s="5">
        <v>55</v>
      </c>
      <c r="D4795" s="5">
        <v>15</v>
      </c>
      <c r="E4795" s="5">
        <v>22</v>
      </c>
      <c r="F4795" t="s" s="2">
        <v>301</v>
      </c>
      <c r="G4795" t="s" s="2">
        <v>9135</v>
      </c>
      <c r="H4795" s="5">
        <v>741</v>
      </c>
      <c r="I4795" t="s" s="2">
        <v>2306</v>
      </c>
      <c r="J4795" t="s" s="2">
        <v>22</v>
      </c>
      <c r="K4795" t="s" s="2">
        <v>8798</v>
      </c>
      <c r="L4795" t="s" s="2">
        <v>2384</v>
      </c>
      <c r="M4795" s="5">
        <v>597053.54</v>
      </c>
      <c r="N4795" s="5">
        <v>6202065.04</v>
      </c>
      <c r="O4795" t="s" s="2">
        <v>305</v>
      </c>
      <c r="P4795" s="5">
        <v>291991</v>
      </c>
      <c r="Q4795" t="s" s="2">
        <v>9136</v>
      </c>
      <c r="R4795" t="s" s="2">
        <f>_xlfn.IFERROR(INDEX('model_byCAP'!$D$2:$D$377,MATCH(Q4795,'model_byCAP'!$A$2:$A$377,0)),0)</f>
        <v>8029</v>
      </c>
    </row>
    <row r="4796" ht="15.35" customHeight="1">
      <c r="A4796" t="s" s="2">
        <v>9139</v>
      </c>
      <c r="B4796" s="4">
        <v>30434</v>
      </c>
      <c r="C4796" s="5">
        <v>55</v>
      </c>
      <c r="D4796" s="5">
        <v>13</v>
      </c>
      <c r="E4796" s="5">
        <v>18</v>
      </c>
      <c r="F4796" t="s" s="2">
        <v>9140</v>
      </c>
      <c r="G4796" t="s" s="2">
        <v>9141</v>
      </c>
      <c r="H4796" s="5">
        <v>741</v>
      </c>
      <c r="I4796" t="s" s="2">
        <v>2306</v>
      </c>
      <c r="J4796" t="s" s="2">
        <v>22</v>
      </c>
      <c r="K4796" t="s" s="2">
        <v>9142</v>
      </c>
      <c r="L4796" t="s" s="2">
        <v>1688</v>
      </c>
      <c r="M4796" s="5">
        <v>597773.74</v>
      </c>
      <c r="N4796" s="5">
        <v>6203841.85</v>
      </c>
      <c r="O4796" t="s" s="2">
        <v>305</v>
      </c>
      <c r="P4796" s="5">
        <v>292231</v>
      </c>
      <c r="Q4796" t="s" s="2">
        <v>9143</v>
      </c>
      <c r="R4796" s="5">
        <f>_xlfn.IFERROR(INDEX('model_byCAP'!$D$2:$D$377,MATCH(Q4796,'model_byCAP'!$A$2:$A$377,0)),0)</f>
        <v>0</v>
      </c>
    </row>
    <row r="4797" ht="15.35" customHeight="1">
      <c r="A4797" t="s" s="2">
        <v>9144</v>
      </c>
      <c r="B4797" s="4">
        <v>30760</v>
      </c>
      <c r="C4797" s="5">
        <v>55</v>
      </c>
      <c r="D4797" s="5">
        <v>0.1</v>
      </c>
      <c r="E4797" s="5">
        <v>0.1</v>
      </c>
      <c r="F4797" t="s" s="2">
        <v>42</v>
      </c>
      <c r="G4797" t="s" s="2">
        <v>42</v>
      </c>
      <c r="H4797" s="5">
        <v>760</v>
      </c>
      <c r="I4797" t="s" s="2">
        <v>331</v>
      </c>
      <c r="J4797" t="s" s="2">
        <v>22</v>
      </c>
      <c r="K4797" t="s" s="2">
        <v>9145</v>
      </c>
      <c r="L4797" t="s" s="2">
        <v>9146</v>
      </c>
      <c r="M4797" s="5">
        <v>463452.36</v>
      </c>
      <c r="N4797" s="5">
        <v>6194095.33</v>
      </c>
      <c r="O4797" t="s" s="2">
        <v>305</v>
      </c>
      <c r="P4797" s="5">
        <v>29266</v>
      </c>
      <c r="Q4797" t="s" s="2">
        <v>43</v>
      </c>
      <c r="R4797" s="5">
        <f>_xlfn.IFERROR(INDEX('model_byCAP'!$D$2:$D$377,MATCH(Q4797,'model_byCAP'!$A$2:$A$377,0)),0)</f>
        <v>0</v>
      </c>
    </row>
    <row r="4798" ht="15.35" customHeight="1">
      <c r="A4798" t="s" s="2">
        <v>9147</v>
      </c>
      <c r="B4798" s="4">
        <v>29083</v>
      </c>
      <c r="C4798" s="5">
        <v>55</v>
      </c>
      <c r="D4798" s="5">
        <v>16</v>
      </c>
      <c r="E4798" s="5">
        <v>19</v>
      </c>
      <c r="F4798" t="s" s="2">
        <v>301</v>
      </c>
      <c r="G4798" t="s" s="2">
        <v>9148</v>
      </c>
      <c r="H4798" s="5">
        <v>760</v>
      </c>
      <c r="I4798" t="s" s="2">
        <v>331</v>
      </c>
      <c r="J4798" t="s" s="2">
        <v>22</v>
      </c>
      <c r="K4798" t="s" s="2">
        <v>8198</v>
      </c>
      <c r="L4798" t="s" s="2">
        <v>524</v>
      </c>
      <c r="M4798" s="5">
        <v>462507.9</v>
      </c>
      <c r="N4798" s="5">
        <v>6204702.65</v>
      </c>
      <c r="O4798" t="s" s="2">
        <v>305</v>
      </c>
      <c r="P4798" s="5">
        <v>8503001</v>
      </c>
      <c r="Q4798" t="s" s="2">
        <v>9149</v>
      </c>
      <c r="R4798" t="s" s="2">
        <f>_xlfn.IFERROR(INDEX('model_byCAP'!$D$2:$D$377,MATCH(Q4798,'model_byCAP'!$A$2:$A$377,0)),0)</f>
        <v>9028</v>
      </c>
    </row>
    <row r="4799" ht="15.35" customHeight="1">
      <c r="A4799" t="s" s="2">
        <v>9150</v>
      </c>
      <c r="B4799" s="4">
        <v>32189</v>
      </c>
      <c r="C4799" s="5">
        <v>55</v>
      </c>
      <c r="D4799" s="5">
        <v>28</v>
      </c>
      <c r="E4799" s="5">
        <v>20</v>
      </c>
      <c r="F4799" t="s" s="2">
        <v>8954</v>
      </c>
      <c r="G4799" t="s" s="2">
        <v>9151</v>
      </c>
      <c r="H4799" s="5">
        <v>760</v>
      </c>
      <c r="I4799" t="s" s="2">
        <v>331</v>
      </c>
      <c r="J4799" t="s" s="2">
        <v>22</v>
      </c>
      <c r="K4799" t="s" s="2">
        <v>9152</v>
      </c>
      <c r="L4799" t="s" s="2">
        <v>1271</v>
      </c>
      <c r="M4799" s="5">
        <v>480330.4</v>
      </c>
      <c r="N4799" s="5">
        <v>6219040.26</v>
      </c>
      <c r="O4799" t="s" s="2">
        <v>305</v>
      </c>
      <c r="P4799" s="5">
        <v>7141198</v>
      </c>
      <c r="Q4799" t="s" s="2">
        <v>9153</v>
      </c>
      <c r="R4799" s="5">
        <f>_xlfn.IFERROR(INDEX('model_byCAP'!$D$2:$D$377,MATCH(Q4799,'model_byCAP'!$A$2:$A$377,0)),0)</f>
        <v>0</v>
      </c>
    </row>
    <row r="4800" ht="15.35" customHeight="1">
      <c r="A4800" t="s" s="2">
        <v>9154</v>
      </c>
      <c r="B4800" s="4">
        <v>31007</v>
      </c>
      <c r="C4800" s="5">
        <v>55</v>
      </c>
      <c r="D4800" s="5">
        <v>16</v>
      </c>
      <c r="E4800" s="5">
        <v>24.5</v>
      </c>
      <c r="F4800" t="s" s="2">
        <v>6608</v>
      </c>
      <c r="G4800" t="s" s="2">
        <v>9155</v>
      </c>
      <c r="H4800" s="5">
        <v>779</v>
      </c>
      <c r="I4800" t="s" s="2">
        <v>1308</v>
      </c>
      <c r="J4800" t="s" s="2">
        <v>22</v>
      </c>
      <c r="K4800" t="s" s="2">
        <v>9156</v>
      </c>
      <c r="L4800" t="s" s="2">
        <v>481</v>
      </c>
      <c r="M4800" s="5">
        <v>491930.47</v>
      </c>
      <c r="N4800" s="5">
        <v>6285196.97</v>
      </c>
      <c r="O4800" t="s" s="2">
        <v>305</v>
      </c>
      <c r="P4800" s="5">
        <v>2050034</v>
      </c>
      <c r="Q4800" t="s" s="2">
        <v>9157</v>
      </c>
      <c r="R4800" t="s" s="2">
        <f>_xlfn.IFERROR(INDEX('model_byCAP'!$D$2:$D$377,MATCH(Q4800,'model_byCAP'!$A$2:$A$377,0)),0)</f>
        <v>9069</v>
      </c>
    </row>
    <row r="4801" ht="15.35" customHeight="1">
      <c r="A4801" t="s" s="2">
        <v>9158</v>
      </c>
      <c r="B4801" s="4">
        <v>30816</v>
      </c>
      <c r="C4801" s="5">
        <v>55</v>
      </c>
      <c r="D4801" s="5">
        <v>15</v>
      </c>
      <c r="E4801" s="5">
        <v>22.6</v>
      </c>
      <c r="F4801" t="s" s="2">
        <v>301</v>
      </c>
      <c r="G4801" t="s" s="2">
        <v>9128</v>
      </c>
      <c r="H4801" s="5">
        <v>219</v>
      </c>
      <c r="I4801" t="s" s="2">
        <v>5779</v>
      </c>
      <c r="J4801" t="s" s="2">
        <v>22</v>
      </c>
      <c r="K4801" t="s" s="2">
        <v>9159</v>
      </c>
      <c r="L4801" t="s" s="2">
        <v>9160</v>
      </c>
      <c r="M4801" s="5">
        <v>704484.34</v>
      </c>
      <c r="N4801" s="5">
        <v>6196339.58</v>
      </c>
      <c r="O4801" t="s" s="2">
        <v>305</v>
      </c>
      <c r="P4801" s="7">
        <v>5.71e+17</v>
      </c>
      <c r="Q4801" t="s" s="2">
        <v>9130</v>
      </c>
      <c r="R4801" t="s" s="2">
        <f>_xlfn.IFERROR(INDEX('model_byCAP'!$D$2:$D$377,MATCH(Q4801,'model_byCAP'!$A$2:$A$377,0)),0)</f>
        <v>9028</v>
      </c>
    </row>
    <row r="4802" ht="15.35" customHeight="1">
      <c r="A4802" t="s" s="2">
        <v>9161</v>
      </c>
      <c r="B4802" s="4">
        <v>31322</v>
      </c>
      <c r="C4802" s="5">
        <v>55</v>
      </c>
      <c r="D4802" s="5">
        <v>15</v>
      </c>
      <c r="E4802" s="5">
        <v>22</v>
      </c>
      <c r="F4802" t="s" s="2">
        <v>301</v>
      </c>
      <c r="G4802" t="s" s="2">
        <v>9037</v>
      </c>
      <c r="H4802" s="5">
        <v>240</v>
      </c>
      <c r="I4802" t="s" s="2">
        <v>9074</v>
      </c>
      <c r="J4802" t="s" s="2">
        <v>22</v>
      </c>
      <c r="K4802" t="s" s="2">
        <v>9162</v>
      </c>
      <c r="L4802" t="s" s="2">
        <v>401</v>
      </c>
      <c r="M4802" s="5">
        <v>703567.03</v>
      </c>
      <c r="N4802" s="5">
        <v>6182654.24</v>
      </c>
      <c r="O4802" t="s" s="2">
        <v>305</v>
      </c>
      <c r="P4802" s="7">
        <v>5.71e+17</v>
      </c>
      <c r="Q4802" t="s" s="2">
        <v>9040</v>
      </c>
      <c r="R4802" t="s" s="2">
        <f>_xlfn.IFERROR(INDEX('model_byCAP'!$D$2:$D$377,MATCH(Q4802,'model_byCAP'!$A$2:$A$377,0)),0)</f>
        <v>9028</v>
      </c>
    </row>
    <row r="4803" ht="15.35" customHeight="1">
      <c r="A4803" t="s" s="2">
        <v>9163</v>
      </c>
      <c r="B4803" s="4">
        <v>31175</v>
      </c>
      <c r="C4803" s="5">
        <v>55</v>
      </c>
      <c r="D4803" s="5">
        <v>15</v>
      </c>
      <c r="E4803" s="5">
        <v>22</v>
      </c>
      <c r="F4803" t="s" s="2">
        <v>301</v>
      </c>
      <c r="G4803" t="s" s="2">
        <v>9037</v>
      </c>
      <c r="H4803" s="5">
        <v>250</v>
      </c>
      <c r="I4803" t="s" s="2">
        <v>7069</v>
      </c>
      <c r="J4803" t="s" s="2">
        <v>22</v>
      </c>
      <c r="K4803" t="s" s="2">
        <v>9164</v>
      </c>
      <c r="L4803" t="s" s="2">
        <v>524</v>
      </c>
      <c r="M4803" s="5">
        <v>686762.87</v>
      </c>
      <c r="N4803" s="5">
        <v>6191490.69</v>
      </c>
      <c r="O4803" t="s" s="2">
        <v>305</v>
      </c>
      <c r="P4803" t="s" s="2">
        <v>9165</v>
      </c>
      <c r="Q4803" t="s" s="2">
        <v>9040</v>
      </c>
      <c r="R4803" t="s" s="2">
        <f>_xlfn.IFERROR(INDEX('model_byCAP'!$D$2:$D$377,MATCH(Q4803,'model_byCAP'!$A$2:$A$377,0)),0)</f>
        <v>9028</v>
      </c>
    </row>
    <row r="4804" ht="15.35" customHeight="1">
      <c r="A4804" t="s" s="2">
        <v>9166</v>
      </c>
      <c r="B4804" s="4">
        <v>40417</v>
      </c>
      <c r="C4804" s="5">
        <v>55</v>
      </c>
      <c r="D4804" s="5">
        <v>15</v>
      </c>
      <c r="E4804" s="5">
        <v>18</v>
      </c>
      <c r="F4804" t="s" s="2">
        <v>42</v>
      </c>
      <c r="G4804" t="s" s="2">
        <v>42</v>
      </c>
      <c r="H4804" s="5">
        <v>250</v>
      </c>
      <c r="I4804" t="s" s="2">
        <v>7069</v>
      </c>
      <c r="J4804" t="s" s="2">
        <v>22</v>
      </c>
      <c r="K4804" t="s" s="2">
        <v>9167</v>
      </c>
      <c r="L4804" t="s" s="2">
        <v>2931</v>
      </c>
      <c r="M4804" s="5">
        <v>685826.28</v>
      </c>
      <c r="N4804" s="5">
        <v>6187104.72</v>
      </c>
      <c r="O4804" t="s" s="2">
        <v>305</v>
      </c>
      <c r="P4804" s="7">
        <v>5.71e+17</v>
      </c>
      <c r="Q4804" t="s" s="2">
        <v>43</v>
      </c>
      <c r="R4804" s="5">
        <f>_xlfn.IFERROR(INDEX('model_byCAP'!$D$2:$D$377,MATCH(Q4804,'model_byCAP'!$A$2:$A$377,0)),0)</f>
        <v>0</v>
      </c>
    </row>
    <row r="4805" ht="15.35" customHeight="1">
      <c r="A4805" t="s" s="2">
        <v>9168</v>
      </c>
      <c r="B4805" s="4">
        <v>29399</v>
      </c>
      <c r="C4805" s="5">
        <v>55</v>
      </c>
      <c r="D4805" s="5">
        <v>15</v>
      </c>
      <c r="E4805" s="5">
        <v>22</v>
      </c>
      <c r="F4805" t="s" s="2">
        <v>301</v>
      </c>
      <c r="G4805" t="s" s="2">
        <v>9025</v>
      </c>
      <c r="H4805" s="5">
        <v>306</v>
      </c>
      <c r="I4805" t="s" s="2">
        <v>5800</v>
      </c>
      <c r="J4805" t="s" s="2">
        <v>22</v>
      </c>
      <c r="K4805" t="s" s="2">
        <v>8498</v>
      </c>
      <c r="L4805" t="s" s="2">
        <v>2348</v>
      </c>
      <c r="M4805" s="5">
        <v>664607.5699999999</v>
      </c>
      <c r="N4805" s="5">
        <v>6196625.02</v>
      </c>
      <c r="O4805" t="s" s="2">
        <v>305</v>
      </c>
      <c r="P4805" s="5">
        <v>4700547</v>
      </c>
      <c r="Q4805" t="s" s="2">
        <v>9027</v>
      </c>
      <c r="R4805" t="s" s="2">
        <f>_xlfn.IFERROR(INDEX('model_byCAP'!$D$2:$D$377,MATCH(Q4805,'model_byCAP'!$A$2:$A$377,0)),0)</f>
        <v>9028</v>
      </c>
    </row>
    <row r="4806" ht="15.35" customHeight="1">
      <c r="A4806" t="s" s="2">
        <v>9169</v>
      </c>
      <c r="B4806" s="4">
        <v>29850</v>
      </c>
      <c r="C4806" s="5">
        <v>55</v>
      </c>
      <c r="D4806" s="5">
        <v>15</v>
      </c>
      <c r="E4806" s="5">
        <v>18</v>
      </c>
      <c r="F4806" t="s" s="2">
        <v>301</v>
      </c>
      <c r="G4806" t="s" s="2">
        <v>9025</v>
      </c>
      <c r="H4806" s="5">
        <v>306</v>
      </c>
      <c r="I4806" t="s" s="2">
        <v>5800</v>
      </c>
      <c r="J4806" t="s" s="2">
        <v>22</v>
      </c>
      <c r="K4806" t="s" s="2">
        <v>9170</v>
      </c>
      <c r="L4806" t="s" s="2">
        <v>2872</v>
      </c>
      <c r="M4806" s="5">
        <v>648996.79</v>
      </c>
      <c r="N4806" s="5">
        <v>6204215.53</v>
      </c>
      <c r="O4806" t="s" s="2">
        <v>305</v>
      </c>
      <c r="P4806" s="5">
        <v>4900023</v>
      </c>
      <c r="Q4806" t="s" s="2">
        <v>9027</v>
      </c>
      <c r="R4806" t="s" s="2">
        <f>_xlfn.IFERROR(INDEX('model_byCAP'!$D$2:$D$377,MATCH(Q4806,'model_byCAP'!$A$2:$A$377,0)),0)</f>
        <v>9028</v>
      </c>
    </row>
    <row r="4807" ht="15.35" customHeight="1">
      <c r="A4807" t="s" s="2">
        <v>9171</v>
      </c>
      <c r="B4807" s="4">
        <v>29495</v>
      </c>
      <c r="C4807" s="5">
        <v>55</v>
      </c>
      <c r="D4807" s="5">
        <v>15</v>
      </c>
      <c r="E4807" s="5">
        <v>22</v>
      </c>
      <c r="F4807" t="s" s="2">
        <v>42</v>
      </c>
      <c r="G4807" t="s" s="2">
        <v>42</v>
      </c>
      <c r="H4807" s="5">
        <v>810</v>
      </c>
      <c r="I4807" t="s" s="2">
        <v>1102</v>
      </c>
      <c r="J4807" t="s" s="2">
        <v>22</v>
      </c>
      <c r="K4807" t="s" s="2">
        <v>9172</v>
      </c>
      <c r="L4807" s="5">
        <v>1</v>
      </c>
      <c r="M4807" s="5">
        <v>576491.97</v>
      </c>
      <c r="N4807" s="5">
        <v>6331623.16</v>
      </c>
      <c r="O4807" t="s" s="2">
        <v>305</v>
      </c>
      <c r="P4807" t="s" s="2">
        <v>9173</v>
      </c>
      <c r="Q4807" t="s" s="2">
        <v>43</v>
      </c>
      <c r="R4807" s="5">
        <f>_xlfn.IFERROR(INDEX('model_byCAP'!$D$2:$D$377,MATCH(Q4807,'model_byCAP'!$A$2:$A$377,0)),0)</f>
        <v>0</v>
      </c>
    </row>
    <row r="4808" ht="15.35" customHeight="1">
      <c r="A4808" t="s" s="2">
        <v>9174</v>
      </c>
      <c r="B4808" s="4">
        <v>39731</v>
      </c>
      <c r="C4808" s="5">
        <v>55</v>
      </c>
      <c r="D4808" s="5">
        <v>15</v>
      </c>
      <c r="E4808" s="5">
        <v>18</v>
      </c>
      <c r="F4808" t="s" s="2">
        <v>301</v>
      </c>
      <c r="G4808" t="s" s="2">
        <v>9118</v>
      </c>
      <c r="H4808" s="5">
        <v>846</v>
      </c>
      <c r="I4808" t="s" s="2">
        <v>429</v>
      </c>
      <c r="J4808" t="s" s="2">
        <v>22</v>
      </c>
      <c r="K4808" t="s" s="2">
        <v>9175</v>
      </c>
      <c r="L4808" t="s" s="2">
        <v>1694</v>
      </c>
      <c r="M4808" s="5">
        <v>545847.05</v>
      </c>
      <c r="N4808" s="5">
        <v>6281605.25</v>
      </c>
      <c r="O4808" t="s" s="2">
        <v>305</v>
      </c>
      <c r="P4808" s="5">
        <v>529</v>
      </c>
      <c r="Q4808" t="s" s="2">
        <v>9120</v>
      </c>
      <c r="R4808" t="s" s="2">
        <f>_xlfn.IFERROR(INDEX('model_byCAP'!$D$2:$D$377,MATCH(Q4808,'model_byCAP'!$A$2:$A$377,0)),0)</f>
        <v>8029</v>
      </c>
    </row>
    <row r="4809" ht="15.35" customHeight="1">
      <c r="A4809" t="s" s="2">
        <v>9176</v>
      </c>
      <c r="B4809" s="4">
        <v>29411</v>
      </c>
      <c r="C4809" s="5">
        <v>55</v>
      </c>
      <c r="D4809" s="5">
        <v>14</v>
      </c>
      <c r="E4809" s="5">
        <v>18</v>
      </c>
      <c r="F4809" t="s" s="2">
        <v>42</v>
      </c>
      <c r="G4809" t="s" s="2">
        <v>42</v>
      </c>
      <c r="H4809" s="5">
        <v>860</v>
      </c>
      <c r="I4809" t="s" s="2">
        <v>449</v>
      </c>
      <c r="J4809" t="s" s="2">
        <v>22</v>
      </c>
      <c r="K4809" t="s" s="2">
        <v>9177</v>
      </c>
      <c r="L4809" t="s" s="2">
        <v>3414</v>
      </c>
      <c r="M4809" s="5">
        <v>554285.77</v>
      </c>
      <c r="N4809" s="5">
        <v>6364812.55</v>
      </c>
      <c r="O4809" t="s" s="2">
        <v>305</v>
      </c>
      <c r="P4809" t="s" s="2">
        <v>9178</v>
      </c>
      <c r="Q4809" t="s" s="2">
        <v>43</v>
      </c>
      <c r="R4809" s="5">
        <f>_xlfn.IFERROR(INDEX('model_byCAP'!$D$2:$D$377,MATCH(Q4809,'model_byCAP'!$A$2:$A$377,0)),0)</f>
        <v>0</v>
      </c>
    </row>
    <row r="4810" ht="15.35" customHeight="1">
      <c r="A4810" t="s" s="2">
        <v>9179</v>
      </c>
      <c r="B4810" s="4">
        <v>29972</v>
      </c>
      <c r="C4810" s="5">
        <v>45</v>
      </c>
      <c r="D4810" s="5">
        <v>18</v>
      </c>
      <c r="E4810" s="5">
        <v>20.5</v>
      </c>
      <c r="F4810" t="s" s="2">
        <v>6608</v>
      </c>
      <c r="G4810" t="s" s="2">
        <v>9097</v>
      </c>
      <c r="H4810" s="5">
        <v>350</v>
      </c>
      <c r="I4810" t="s" s="2">
        <v>3451</v>
      </c>
      <c r="J4810" t="s" s="2">
        <v>22</v>
      </c>
      <c r="K4810" t="s" s="2">
        <v>9180</v>
      </c>
      <c r="L4810" t="s" s="2">
        <v>1258</v>
      </c>
      <c r="M4810" s="5">
        <v>680396.65</v>
      </c>
      <c r="N4810" s="5">
        <v>6165441.98</v>
      </c>
      <c r="O4810" t="s" s="2">
        <v>305</v>
      </c>
      <c r="P4810" s="7">
        <v>5.71e+17</v>
      </c>
      <c r="Q4810" t="s" s="2">
        <v>9098</v>
      </c>
      <c r="R4810" t="s" s="2">
        <f>_xlfn.IFERROR(INDEX('model_byCAP'!$D$2:$D$377,MATCH(Q4810,'model_byCAP'!$A$2:$A$377,0)),0)</f>
        <v>7369</v>
      </c>
    </row>
    <row r="4811" ht="15.35" customHeight="1">
      <c r="A4811" t="s" s="2">
        <v>9181</v>
      </c>
      <c r="B4811" s="4">
        <v>30628</v>
      </c>
      <c r="C4811" s="5">
        <v>45</v>
      </c>
      <c r="D4811" s="5">
        <v>15.7</v>
      </c>
      <c r="E4811" s="5">
        <v>24</v>
      </c>
      <c r="F4811" t="s" s="2">
        <v>42</v>
      </c>
      <c r="G4811" t="s" s="2">
        <v>42</v>
      </c>
      <c r="H4811" s="5">
        <v>390</v>
      </c>
      <c r="I4811" t="s" s="2">
        <v>46</v>
      </c>
      <c r="J4811" t="s" s="2">
        <v>22</v>
      </c>
      <c r="K4811" t="s" s="2">
        <v>9182</v>
      </c>
      <c r="L4811" t="s" s="2">
        <v>394</v>
      </c>
      <c r="M4811" s="5">
        <v>702707.5</v>
      </c>
      <c r="N4811" s="5">
        <v>6087810.71</v>
      </c>
      <c r="O4811" t="s" s="2">
        <v>305</v>
      </c>
      <c r="P4811" s="5">
        <v>60415755</v>
      </c>
      <c r="Q4811" t="s" s="2">
        <v>43</v>
      </c>
      <c r="R4811" s="5">
        <f>_xlfn.IFERROR(INDEX('model_byCAP'!$D$2:$D$377,MATCH(Q4811,'model_byCAP'!$A$2:$A$377,0)),0)</f>
        <v>0</v>
      </c>
    </row>
    <row r="4812" ht="15.35" customHeight="1">
      <c r="A4812" t="s" s="2">
        <v>9183</v>
      </c>
      <c r="B4812" s="4">
        <v>30069</v>
      </c>
      <c r="C4812" s="5">
        <v>44</v>
      </c>
      <c r="D4812" s="5">
        <v>0.1</v>
      </c>
      <c r="E4812" s="5">
        <v>0.1</v>
      </c>
      <c r="F4812" t="s" s="2">
        <v>42</v>
      </c>
      <c r="G4812" t="s" s="2">
        <v>42</v>
      </c>
      <c r="H4812" s="5">
        <v>561</v>
      </c>
      <c r="I4812" t="s" s="2">
        <v>196</v>
      </c>
      <c r="J4812" t="s" s="2">
        <v>22</v>
      </c>
      <c r="K4812" t="s" s="2">
        <v>9184</v>
      </c>
      <c r="L4812" t="s" s="2">
        <v>1061</v>
      </c>
      <c r="M4812" s="5">
        <v>482567.98</v>
      </c>
      <c r="N4812" s="5">
        <v>6149510.5</v>
      </c>
      <c r="O4812" t="s" s="2">
        <v>25</v>
      </c>
      <c r="P4812" s="5">
        <v>47132</v>
      </c>
      <c r="Q4812" t="s" s="2">
        <v>43</v>
      </c>
      <c r="R4812" s="5">
        <f>_xlfn.IFERROR(INDEX('model_byCAP'!$D$2:$D$377,MATCH(Q4812,'model_byCAP'!$A$2:$A$377,0)),0)</f>
        <v>0</v>
      </c>
    </row>
    <row r="4813" ht="15.35" customHeight="1">
      <c r="A4813" t="s" s="2">
        <v>9185</v>
      </c>
      <c r="B4813" s="4">
        <v>37264</v>
      </c>
      <c r="C4813" s="5">
        <v>30</v>
      </c>
      <c r="D4813" s="5">
        <v>10</v>
      </c>
      <c r="E4813" s="5">
        <v>15.6</v>
      </c>
      <c r="F4813" t="s" s="2">
        <v>301</v>
      </c>
      <c r="G4813" t="s" s="2">
        <v>9186</v>
      </c>
      <c r="H4813" s="5">
        <v>400</v>
      </c>
      <c r="I4813" t="s" s="2">
        <v>2068</v>
      </c>
      <c r="J4813" t="s" s="2">
        <v>22</v>
      </c>
      <c r="K4813" t="s" s="2">
        <v>2860</v>
      </c>
      <c r="L4813" t="s" s="2">
        <v>9187</v>
      </c>
      <c r="M4813" s="5">
        <v>864769.63</v>
      </c>
      <c r="N4813" s="5">
        <v>6133654.2</v>
      </c>
      <c r="O4813" t="s" s="2">
        <v>305</v>
      </c>
      <c r="P4813" t="s" s="2">
        <v>9188</v>
      </c>
      <c r="Q4813" t="s" s="2">
        <v>9189</v>
      </c>
      <c r="R4813" t="s" s="2">
        <f>_xlfn.IFERROR(INDEX('model_byCAP'!$D$2:$D$377,MATCH(Q4813,'model_byCAP'!$A$2:$A$377,0)),0)</f>
        <v>8029</v>
      </c>
    </row>
    <row r="4814" ht="15.35" customHeight="1">
      <c r="A4814" t="s" s="2">
        <v>9190</v>
      </c>
      <c r="B4814" s="4">
        <v>29388</v>
      </c>
      <c r="C4814" s="5">
        <v>30</v>
      </c>
      <c r="D4814" s="5">
        <v>10</v>
      </c>
      <c r="E4814" s="5">
        <v>18</v>
      </c>
      <c r="F4814" t="s" s="2">
        <v>42</v>
      </c>
      <c r="G4814" t="s" s="2">
        <v>42</v>
      </c>
      <c r="H4814" s="5">
        <v>741</v>
      </c>
      <c r="I4814" t="s" s="2">
        <v>2306</v>
      </c>
      <c r="J4814" t="s" s="2">
        <v>22</v>
      </c>
      <c r="K4814" t="s" s="2">
        <v>3347</v>
      </c>
      <c r="L4814" t="s" s="2">
        <v>1588</v>
      </c>
      <c r="M4814" s="5">
        <v>600253.96</v>
      </c>
      <c r="N4814" s="5">
        <v>6185470.06</v>
      </c>
      <c r="O4814" t="s" s="2">
        <v>305</v>
      </c>
      <c r="P4814" s="5">
        <v>290275</v>
      </c>
      <c r="Q4814" t="s" s="2">
        <v>43</v>
      </c>
      <c r="R4814" s="5">
        <f>_xlfn.IFERROR(INDEX('model_byCAP'!$D$2:$D$377,MATCH(Q4814,'model_byCAP'!$A$2:$A$377,0)),0)</f>
        <v>0</v>
      </c>
    </row>
    <row r="4815" ht="15.35" customHeight="1">
      <c r="A4815" t="s" s="2">
        <v>9191</v>
      </c>
      <c r="B4815" s="4">
        <v>37257</v>
      </c>
      <c r="C4815" s="5">
        <v>30</v>
      </c>
      <c r="D4815" s="5">
        <v>15.5</v>
      </c>
      <c r="E4815" s="5">
        <v>18</v>
      </c>
      <c r="F4815" t="s" s="2">
        <v>301</v>
      </c>
      <c r="G4815" t="s" s="2">
        <v>9192</v>
      </c>
      <c r="H4815" s="5">
        <v>760</v>
      </c>
      <c r="I4815" t="s" s="2">
        <v>331</v>
      </c>
      <c r="J4815" t="s" s="2">
        <v>22</v>
      </c>
      <c r="K4815" t="s" s="2">
        <v>9193</v>
      </c>
      <c r="L4815" t="s" s="2">
        <v>1122</v>
      </c>
      <c r="M4815" s="5">
        <v>478960.2</v>
      </c>
      <c r="N4815" s="5">
        <v>6215771.05</v>
      </c>
      <c r="O4815" t="s" s="2">
        <v>305</v>
      </c>
      <c r="P4815" s="5">
        <v>85072</v>
      </c>
      <c r="Q4815" t="s" s="2">
        <v>9194</v>
      </c>
      <c r="R4815" t="s" s="2">
        <f>_xlfn.IFERROR(INDEX('model_byCAP'!$D$2:$D$377,MATCH(Q4815,'model_byCAP'!$A$2:$A$377,0)),0)</f>
        <v>9028</v>
      </c>
    </row>
    <row r="4816" ht="15.35" customHeight="1">
      <c r="A4816" t="s" s="2">
        <v>9195</v>
      </c>
      <c r="B4816" s="4">
        <v>30684</v>
      </c>
      <c r="C4816" s="5">
        <v>30</v>
      </c>
      <c r="D4816" s="5">
        <v>10</v>
      </c>
      <c r="E4816" s="5">
        <v>18</v>
      </c>
      <c r="F4816" t="s" s="2">
        <v>301</v>
      </c>
      <c r="G4816" t="s" s="2">
        <v>9196</v>
      </c>
      <c r="H4816" s="5">
        <v>766</v>
      </c>
      <c r="I4816" t="s" s="2">
        <v>3363</v>
      </c>
      <c r="J4816" t="s" s="2">
        <v>22</v>
      </c>
      <c r="K4816" t="s" s="2">
        <v>9197</v>
      </c>
      <c r="L4816" t="s" s="2">
        <v>1143</v>
      </c>
      <c r="M4816" s="5">
        <v>556985.8100000001</v>
      </c>
      <c r="N4816" s="5">
        <v>6177145.25</v>
      </c>
      <c r="O4816" t="s" s="2">
        <v>305</v>
      </c>
      <c r="P4816" s="5">
        <v>17900</v>
      </c>
      <c r="Q4816" t="s" s="2">
        <v>9198</v>
      </c>
      <c r="R4816" t="s" s="2">
        <f>_xlfn.IFERROR(INDEX('model_byCAP'!$D$2:$D$377,MATCH(Q4816,'model_byCAP'!$A$2:$A$377,0)),0)</f>
        <v>8029</v>
      </c>
    </row>
    <row r="4817" ht="15.35" customHeight="1">
      <c r="A4817" t="s" s="2">
        <v>9199</v>
      </c>
      <c r="B4817" s="4">
        <v>43683</v>
      </c>
      <c r="C4817" s="5">
        <v>30</v>
      </c>
      <c r="D4817" s="5">
        <v>20</v>
      </c>
      <c r="E4817" s="5">
        <v>20</v>
      </c>
      <c r="F4817" t="s" s="2">
        <v>42</v>
      </c>
      <c r="G4817" t="s" s="2">
        <v>42</v>
      </c>
      <c r="H4817" s="5">
        <v>787</v>
      </c>
      <c r="I4817" t="s" s="2">
        <v>21</v>
      </c>
      <c r="J4817" t="s" s="2">
        <v>22</v>
      </c>
      <c r="K4817" t="s" s="2">
        <v>7117</v>
      </c>
      <c r="L4817" t="s" s="2">
        <v>9200</v>
      </c>
      <c r="M4817" s="5">
        <v>468152</v>
      </c>
      <c r="N4817" s="5">
        <v>6309258</v>
      </c>
      <c r="O4817" t="s" s="2">
        <v>25</v>
      </c>
      <c r="P4817" s="5">
        <v>127423</v>
      </c>
      <c r="Q4817" t="s" s="2">
        <v>43</v>
      </c>
      <c r="R4817" s="5">
        <f>_xlfn.IFERROR(INDEX('model_byCAP'!$D$2:$D$377,MATCH(Q4817,'model_byCAP'!$A$2:$A$377,0)),0)</f>
        <v>0</v>
      </c>
    </row>
    <row r="4818" ht="15.35" customHeight="1">
      <c r="A4818" t="s" s="2">
        <v>9201</v>
      </c>
      <c r="B4818" s="4">
        <v>41627</v>
      </c>
      <c r="C4818" s="5">
        <v>25</v>
      </c>
      <c r="D4818" s="5">
        <v>13</v>
      </c>
      <c r="E4818" s="5">
        <v>18</v>
      </c>
      <c r="F4818" t="s" s="2">
        <v>9202</v>
      </c>
      <c r="G4818" t="s" s="2">
        <v>9203</v>
      </c>
      <c r="H4818" s="5">
        <v>306</v>
      </c>
      <c r="I4818" t="s" s="2">
        <v>5800</v>
      </c>
      <c r="J4818" t="s" s="2">
        <v>9204</v>
      </c>
      <c r="K4818" s="6"/>
      <c r="L4818" s="6"/>
      <c r="M4818" s="5">
        <v>664220.0699999999</v>
      </c>
      <c r="N4818" s="5">
        <v>6193294.1</v>
      </c>
      <c r="O4818" t="s" s="2">
        <v>305</v>
      </c>
      <c r="P4818" s="6"/>
      <c r="Q4818" t="s" s="2">
        <v>9205</v>
      </c>
      <c r="R4818" t="s" s="2">
        <f>_xlfn.IFERROR(INDEX('model_byCAP'!$D$2:$D$377,MATCH(Q4818,'model_byCAP'!$A$2:$A$377,0)),0)</f>
        <v>8430</v>
      </c>
    </row>
    <row r="4819" ht="15.35" customHeight="1">
      <c r="A4819" t="s" s="2">
        <v>9206</v>
      </c>
      <c r="B4819" s="4">
        <v>40609</v>
      </c>
      <c r="C4819" s="5">
        <v>25</v>
      </c>
      <c r="D4819" s="5">
        <v>17</v>
      </c>
      <c r="E4819" s="5">
        <v>16</v>
      </c>
      <c r="F4819" t="s" s="2">
        <v>301</v>
      </c>
      <c r="G4819" t="s" s="2">
        <v>8388</v>
      </c>
      <c r="H4819" s="5">
        <v>320</v>
      </c>
      <c r="I4819" t="s" s="2">
        <v>1006</v>
      </c>
      <c r="J4819" t="s" s="2">
        <v>9204</v>
      </c>
      <c r="K4819" s="6"/>
      <c r="L4819" s="6"/>
      <c r="M4819" s="5">
        <v>693218</v>
      </c>
      <c r="N4819" s="5">
        <v>6125010.74</v>
      </c>
      <c r="O4819" t="s" s="2">
        <v>305</v>
      </c>
      <c r="P4819" s="6"/>
      <c r="Q4819" t="s" s="2">
        <v>8390</v>
      </c>
      <c r="R4819" t="s" s="2">
        <f>_xlfn.IFERROR(INDEX('model_byCAP'!$D$2:$D$377,MATCH(Q4819,'model_byCAP'!$A$2:$A$377,0)),0)</f>
        <v>8029</v>
      </c>
    </row>
    <row r="4820" ht="15.35" customHeight="1">
      <c r="A4820" t="s" s="2">
        <v>9207</v>
      </c>
      <c r="B4820" s="4">
        <v>40960</v>
      </c>
      <c r="C4820" s="5">
        <v>25</v>
      </c>
      <c r="D4820" s="5">
        <v>15</v>
      </c>
      <c r="E4820" s="5">
        <v>18</v>
      </c>
      <c r="F4820" t="s" s="2">
        <v>301</v>
      </c>
      <c r="G4820" t="s" s="2">
        <v>9118</v>
      </c>
      <c r="H4820" s="5">
        <v>326</v>
      </c>
      <c r="I4820" t="s" s="2">
        <v>1263</v>
      </c>
      <c r="J4820" t="s" s="2">
        <v>9204</v>
      </c>
      <c r="K4820" s="6"/>
      <c r="L4820" s="6"/>
      <c r="M4820" s="5">
        <v>640308.62</v>
      </c>
      <c r="N4820" s="5">
        <v>6160511.53</v>
      </c>
      <c r="O4820" t="s" s="2">
        <v>305</v>
      </c>
      <c r="P4820" s="6"/>
      <c r="Q4820" t="s" s="2">
        <v>9120</v>
      </c>
      <c r="R4820" t="s" s="2">
        <f>_xlfn.IFERROR(INDEX('model_byCAP'!$D$2:$D$377,MATCH(Q4820,'model_byCAP'!$A$2:$A$377,0)),0)</f>
        <v>8029</v>
      </c>
    </row>
    <row r="4821" ht="15.35" customHeight="1">
      <c r="A4821" t="s" s="2">
        <v>9208</v>
      </c>
      <c r="B4821" s="4">
        <v>42279</v>
      </c>
      <c r="C4821" s="5">
        <v>25</v>
      </c>
      <c r="D4821" s="5">
        <v>14</v>
      </c>
      <c r="E4821" s="5">
        <v>18</v>
      </c>
      <c r="F4821" t="s" s="2">
        <v>9209</v>
      </c>
      <c r="G4821" t="s" s="2">
        <v>9210</v>
      </c>
      <c r="H4821" s="5">
        <v>326</v>
      </c>
      <c r="I4821" t="s" s="2">
        <v>1263</v>
      </c>
      <c r="J4821" t="s" s="2">
        <v>9204</v>
      </c>
      <c r="K4821" s="6"/>
      <c r="L4821" s="6"/>
      <c r="M4821" s="5">
        <v>636358.74</v>
      </c>
      <c r="N4821" s="5">
        <v>6160131.8</v>
      </c>
      <c r="O4821" t="s" s="2">
        <v>305</v>
      </c>
      <c r="P4821" s="6"/>
      <c r="Q4821" t="s" s="2">
        <v>9211</v>
      </c>
      <c r="R4821" t="s" s="2">
        <f>_xlfn.IFERROR(INDEX('model_byCAP'!$D$2:$D$377,MATCH(Q4821,'model_byCAP'!$A$2:$A$377,0)),0)</f>
        <v>8430</v>
      </c>
    </row>
    <row r="4822" ht="15.35" customHeight="1">
      <c r="A4822" t="s" s="2">
        <v>9212</v>
      </c>
      <c r="B4822" s="4">
        <v>41295</v>
      </c>
      <c r="C4822" s="5">
        <v>25</v>
      </c>
      <c r="D4822" s="5">
        <v>10</v>
      </c>
      <c r="E4822" s="5">
        <v>18</v>
      </c>
      <c r="F4822" t="s" s="2">
        <v>9202</v>
      </c>
      <c r="G4822" t="s" s="2">
        <v>9203</v>
      </c>
      <c r="H4822" s="5">
        <v>329</v>
      </c>
      <c r="I4822" t="s" s="2">
        <v>2902</v>
      </c>
      <c r="J4822" t="s" s="2">
        <v>9204</v>
      </c>
      <c r="K4822" s="6"/>
      <c r="L4822" s="6"/>
      <c r="M4822" s="5">
        <v>668282.63</v>
      </c>
      <c r="N4822" s="5">
        <v>6150800.52</v>
      </c>
      <c r="O4822" t="s" s="2">
        <v>305</v>
      </c>
      <c r="P4822" s="6"/>
      <c r="Q4822" t="s" s="2">
        <v>9205</v>
      </c>
      <c r="R4822" t="s" s="2">
        <f>_xlfn.IFERROR(INDEX('model_byCAP'!$D$2:$D$377,MATCH(Q4822,'model_byCAP'!$A$2:$A$377,0)),0)</f>
        <v>8430</v>
      </c>
    </row>
    <row r="4823" ht="15.35" customHeight="1">
      <c r="A4823" t="s" s="2">
        <v>9213</v>
      </c>
      <c r="B4823" s="4">
        <v>44012</v>
      </c>
      <c r="C4823" s="5">
        <v>25</v>
      </c>
      <c r="D4823" s="5">
        <v>14</v>
      </c>
      <c r="E4823" s="5">
        <v>18</v>
      </c>
      <c r="F4823" t="s" s="2">
        <v>9209</v>
      </c>
      <c r="G4823" t="s" s="2">
        <v>9210</v>
      </c>
      <c r="H4823" s="5">
        <v>330</v>
      </c>
      <c r="I4823" t="s" s="2">
        <v>1491</v>
      </c>
      <c r="J4823" t="s" s="2">
        <v>9204</v>
      </c>
      <c r="K4823" s="6"/>
      <c r="L4823" s="6"/>
      <c r="M4823" s="6"/>
      <c r="N4823" s="6"/>
      <c r="O4823" t="s" s="2">
        <v>25</v>
      </c>
      <c r="P4823" s="6"/>
      <c r="Q4823" t="s" s="2">
        <v>9211</v>
      </c>
      <c r="R4823" t="s" s="2">
        <f>_xlfn.IFERROR(INDEX('model_byCAP'!$D$2:$D$377,MATCH(Q4823,'model_byCAP'!$A$2:$A$377,0)),0)</f>
        <v>8430</v>
      </c>
    </row>
    <row r="4824" ht="15.35" customHeight="1">
      <c r="A4824" t="s" s="2">
        <v>9214</v>
      </c>
      <c r="B4824" s="4">
        <v>42291</v>
      </c>
      <c r="C4824" s="5">
        <v>25</v>
      </c>
      <c r="D4824" s="5">
        <v>14</v>
      </c>
      <c r="E4824" s="5">
        <v>18</v>
      </c>
      <c r="F4824" t="s" s="2">
        <v>9209</v>
      </c>
      <c r="G4824" t="s" s="2">
        <v>9210</v>
      </c>
      <c r="H4824" s="5">
        <v>336</v>
      </c>
      <c r="I4824" t="s" s="2">
        <v>4152</v>
      </c>
      <c r="J4824" t="s" s="2">
        <v>9204</v>
      </c>
      <c r="K4824" s="6"/>
      <c r="L4824" s="6"/>
      <c r="M4824" s="6"/>
      <c r="N4824" s="6"/>
      <c r="O4824" t="s" s="2">
        <v>25</v>
      </c>
      <c r="P4824" s="6"/>
      <c r="Q4824" t="s" s="2">
        <v>9211</v>
      </c>
      <c r="R4824" t="s" s="2">
        <f>_xlfn.IFERROR(INDEX('model_byCAP'!$D$2:$D$377,MATCH(Q4824,'model_byCAP'!$A$2:$A$377,0)),0)</f>
        <v>8430</v>
      </c>
    </row>
    <row r="4825" ht="15.35" customHeight="1">
      <c r="A4825" t="s" s="2">
        <v>9215</v>
      </c>
      <c r="B4825" s="4">
        <v>42291</v>
      </c>
      <c r="C4825" s="5">
        <v>25</v>
      </c>
      <c r="D4825" s="5">
        <v>14</v>
      </c>
      <c r="E4825" s="5">
        <v>18</v>
      </c>
      <c r="F4825" t="s" s="2">
        <v>9209</v>
      </c>
      <c r="G4825" t="s" s="2">
        <v>9210</v>
      </c>
      <c r="H4825" s="5">
        <v>336</v>
      </c>
      <c r="I4825" t="s" s="2">
        <v>4152</v>
      </c>
      <c r="J4825" t="s" s="2">
        <v>9204</v>
      </c>
      <c r="K4825" s="6"/>
      <c r="L4825" s="6"/>
      <c r="M4825" s="6"/>
      <c r="N4825" s="6"/>
      <c r="O4825" t="s" s="2">
        <v>25</v>
      </c>
      <c r="P4825" s="6"/>
      <c r="Q4825" t="s" s="2">
        <v>9211</v>
      </c>
      <c r="R4825" t="s" s="2">
        <f>_xlfn.IFERROR(INDEX('model_byCAP'!$D$2:$D$377,MATCH(Q4825,'model_byCAP'!$A$2:$A$377,0)),0)</f>
        <v>8430</v>
      </c>
    </row>
    <row r="4826" ht="15.35" customHeight="1">
      <c r="A4826" t="s" s="2">
        <v>9216</v>
      </c>
      <c r="B4826" s="4">
        <v>29899</v>
      </c>
      <c r="C4826" s="5">
        <v>25</v>
      </c>
      <c r="D4826" s="5">
        <v>10</v>
      </c>
      <c r="E4826" s="5">
        <v>18</v>
      </c>
      <c r="F4826" t="s" s="2">
        <v>301</v>
      </c>
      <c r="G4826" t="s" s="2">
        <v>9186</v>
      </c>
      <c r="H4826" s="5">
        <v>360</v>
      </c>
      <c r="I4826" t="s" s="2">
        <v>463</v>
      </c>
      <c r="J4826" t="s" s="2">
        <v>9204</v>
      </c>
      <c r="K4826" s="6"/>
      <c r="L4826" s="6"/>
      <c r="M4826" s="5">
        <v>641964.41</v>
      </c>
      <c r="N4826" s="5">
        <v>6077792.03</v>
      </c>
      <c r="O4826" t="s" s="2">
        <v>305</v>
      </c>
      <c r="P4826" s="6"/>
      <c r="Q4826" t="s" s="2">
        <v>9189</v>
      </c>
      <c r="R4826" t="s" s="2">
        <f>_xlfn.IFERROR(INDEX('model_byCAP'!$D$2:$D$377,MATCH(Q4826,'model_byCAP'!$A$2:$A$377,0)),0)</f>
        <v>8029</v>
      </c>
    </row>
    <row r="4827" ht="15.35" customHeight="1">
      <c r="A4827" t="s" s="2">
        <v>9217</v>
      </c>
      <c r="B4827" s="4">
        <v>41975</v>
      </c>
      <c r="C4827" s="5">
        <v>25</v>
      </c>
      <c r="D4827" s="5">
        <v>13</v>
      </c>
      <c r="E4827" s="5">
        <v>18</v>
      </c>
      <c r="F4827" t="s" s="2">
        <v>9202</v>
      </c>
      <c r="G4827" t="s" s="2">
        <v>9203</v>
      </c>
      <c r="H4827" s="5">
        <v>376</v>
      </c>
      <c r="I4827" t="s" s="2">
        <v>1991</v>
      </c>
      <c r="J4827" t="s" s="2">
        <v>9204</v>
      </c>
      <c r="K4827" s="6"/>
      <c r="L4827" s="6"/>
      <c r="M4827" s="6"/>
      <c r="N4827" s="6"/>
      <c r="O4827" t="s" s="2">
        <v>25</v>
      </c>
      <c r="P4827" s="6"/>
      <c r="Q4827" t="s" s="2">
        <v>9205</v>
      </c>
      <c r="R4827" t="s" s="2">
        <f>_xlfn.IFERROR(INDEX('model_byCAP'!$D$2:$D$377,MATCH(Q4827,'model_byCAP'!$A$2:$A$377,0)),0)</f>
        <v>8430</v>
      </c>
    </row>
    <row r="4828" ht="15.35" customHeight="1">
      <c r="A4828" t="s" s="2">
        <v>9218</v>
      </c>
      <c r="B4828" s="4">
        <v>42418</v>
      </c>
      <c r="C4828" s="5">
        <v>25</v>
      </c>
      <c r="D4828" s="5">
        <v>14</v>
      </c>
      <c r="E4828" s="5">
        <v>18</v>
      </c>
      <c r="F4828" t="s" s="2">
        <v>9209</v>
      </c>
      <c r="G4828" t="s" s="2">
        <v>9210</v>
      </c>
      <c r="H4828" s="5">
        <v>376</v>
      </c>
      <c r="I4828" t="s" s="2">
        <v>1991</v>
      </c>
      <c r="J4828" t="s" s="2">
        <v>9204</v>
      </c>
      <c r="K4828" s="6"/>
      <c r="L4828" s="6"/>
      <c r="M4828" s="5">
        <v>677201.37</v>
      </c>
      <c r="N4828" s="5">
        <v>6065600.15</v>
      </c>
      <c r="O4828" t="s" s="2">
        <v>305</v>
      </c>
      <c r="P4828" s="6"/>
      <c r="Q4828" t="s" s="2">
        <v>9211</v>
      </c>
      <c r="R4828" t="s" s="2">
        <f>_xlfn.IFERROR(INDEX('model_byCAP'!$D$2:$D$377,MATCH(Q4828,'model_byCAP'!$A$2:$A$377,0)),0)</f>
        <v>8430</v>
      </c>
    </row>
    <row r="4829" ht="15.35" customHeight="1">
      <c r="A4829" t="s" s="2">
        <v>9219</v>
      </c>
      <c r="B4829" s="4">
        <v>42705</v>
      </c>
      <c r="C4829" s="5">
        <v>25</v>
      </c>
      <c r="D4829" s="5">
        <v>14</v>
      </c>
      <c r="E4829" s="5">
        <v>18</v>
      </c>
      <c r="F4829" t="s" s="2">
        <v>9209</v>
      </c>
      <c r="G4829" t="s" s="2">
        <v>9210</v>
      </c>
      <c r="H4829" s="5">
        <v>376</v>
      </c>
      <c r="I4829" t="s" s="2">
        <v>1991</v>
      </c>
      <c r="J4829" t="s" s="2">
        <v>9204</v>
      </c>
      <c r="K4829" s="6"/>
      <c r="L4829" s="6"/>
      <c r="M4829" s="6"/>
      <c r="N4829" s="6"/>
      <c r="O4829" t="s" s="2">
        <v>25</v>
      </c>
      <c r="P4829" s="6"/>
      <c r="Q4829" t="s" s="2">
        <v>9211</v>
      </c>
      <c r="R4829" t="s" s="2">
        <f>_xlfn.IFERROR(INDEX('model_byCAP'!$D$2:$D$377,MATCH(Q4829,'model_byCAP'!$A$2:$A$377,0)),0)</f>
        <v>8430</v>
      </c>
    </row>
    <row r="4830" ht="15.35" customHeight="1">
      <c r="A4830" t="s" s="2">
        <v>9220</v>
      </c>
      <c r="B4830" s="4">
        <v>42114</v>
      </c>
      <c r="C4830" s="5">
        <v>25</v>
      </c>
      <c r="D4830" s="5">
        <v>14</v>
      </c>
      <c r="E4830" s="5">
        <v>18</v>
      </c>
      <c r="F4830" t="s" s="2">
        <v>9209</v>
      </c>
      <c r="G4830" t="s" s="2">
        <v>9210</v>
      </c>
      <c r="H4830" s="5">
        <v>400</v>
      </c>
      <c r="I4830" t="s" s="2">
        <v>2068</v>
      </c>
      <c r="J4830" t="s" s="2">
        <v>9204</v>
      </c>
      <c r="K4830" s="6"/>
      <c r="L4830" s="6"/>
      <c r="M4830" s="5">
        <v>891858.71</v>
      </c>
      <c r="N4830" s="5">
        <v>6118890.01</v>
      </c>
      <c r="O4830" t="s" s="2">
        <v>305</v>
      </c>
      <c r="P4830" s="6"/>
      <c r="Q4830" t="s" s="2">
        <v>9211</v>
      </c>
      <c r="R4830" t="s" s="2">
        <f>_xlfn.IFERROR(INDEX('model_byCAP'!$D$2:$D$377,MATCH(Q4830,'model_byCAP'!$A$2:$A$377,0)),0)</f>
        <v>8430</v>
      </c>
    </row>
    <row r="4831" ht="15.35" customHeight="1">
      <c r="A4831" t="s" s="2">
        <v>9221</v>
      </c>
      <c r="B4831" s="4">
        <v>42115</v>
      </c>
      <c r="C4831" s="5">
        <v>25</v>
      </c>
      <c r="D4831" s="5">
        <v>14</v>
      </c>
      <c r="E4831" s="5">
        <v>18</v>
      </c>
      <c r="F4831" t="s" s="2">
        <v>9209</v>
      </c>
      <c r="G4831" t="s" s="2">
        <v>9210</v>
      </c>
      <c r="H4831" s="5">
        <v>400</v>
      </c>
      <c r="I4831" t="s" s="2">
        <v>2068</v>
      </c>
      <c r="J4831" t="s" s="2">
        <v>9204</v>
      </c>
      <c r="K4831" s="6"/>
      <c r="L4831" s="6"/>
      <c r="M4831" s="5">
        <v>891865.04</v>
      </c>
      <c r="N4831" s="5">
        <v>6118820.14</v>
      </c>
      <c r="O4831" t="s" s="2">
        <v>305</v>
      </c>
      <c r="P4831" s="6"/>
      <c r="Q4831" t="s" s="2">
        <v>9211</v>
      </c>
      <c r="R4831" t="s" s="2">
        <f>_xlfn.IFERROR(INDEX('model_byCAP'!$D$2:$D$377,MATCH(Q4831,'model_byCAP'!$A$2:$A$377,0)),0)</f>
        <v>8430</v>
      </c>
    </row>
    <row r="4832" ht="15.35" customHeight="1">
      <c r="A4832" t="s" s="2">
        <v>9222</v>
      </c>
      <c r="B4832" s="4">
        <v>42116</v>
      </c>
      <c r="C4832" s="5">
        <v>25</v>
      </c>
      <c r="D4832" s="5">
        <v>14</v>
      </c>
      <c r="E4832" s="5">
        <v>18</v>
      </c>
      <c r="F4832" t="s" s="2">
        <v>9209</v>
      </c>
      <c r="G4832" t="s" s="2">
        <v>9210</v>
      </c>
      <c r="H4832" s="5">
        <v>400</v>
      </c>
      <c r="I4832" t="s" s="2">
        <v>2068</v>
      </c>
      <c r="J4832" t="s" s="2">
        <v>9204</v>
      </c>
      <c r="K4832" s="6"/>
      <c r="L4832" s="6"/>
      <c r="M4832" s="5">
        <v>881673.8</v>
      </c>
      <c r="N4832" s="5">
        <v>6117347.28</v>
      </c>
      <c r="O4832" t="s" s="2">
        <v>305</v>
      </c>
      <c r="P4832" s="6"/>
      <c r="Q4832" t="s" s="2">
        <v>9211</v>
      </c>
      <c r="R4832" t="s" s="2">
        <f>_xlfn.IFERROR(INDEX('model_byCAP'!$D$2:$D$377,MATCH(Q4832,'model_byCAP'!$A$2:$A$377,0)),0)</f>
        <v>8430</v>
      </c>
    </row>
    <row r="4833" ht="15.35" customHeight="1">
      <c r="A4833" t="s" s="2">
        <v>9223</v>
      </c>
      <c r="B4833" s="4">
        <v>43432</v>
      </c>
      <c r="C4833" s="5">
        <v>25</v>
      </c>
      <c r="D4833" s="5">
        <v>14</v>
      </c>
      <c r="E4833" s="5">
        <v>18</v>
      </c>
      <c r="F4833" t="s" s="2">
        <v>9209</v>
      </c>
      <c r="G4833" t="s" s="2">
        <v>9210</v>
      </c>
      <c r="H4833" s="5">
        <v>400</v>
      </c>
      <c r="I4833" t="s" s="2">
        <v>2068</v>
      </c>
      <c r="J4833" t="s" s="2">
        <v>9204</v>
      </c>
      <c r="K4833" s="6"/>
      <c r="L4833" s="6"/>
      <c r="M4833" s="6"/>
      <c r="N4833" s="6"/>
      <c r="O4833" t="s" s="2">
        <v>25</v>
      </c>
      <c r="P4833" s="6"/>
      <c r="Q4833" t="s" s="2">
        <v>9211</v>
      </c>
      <c r="R4833" t="s" s="2">
        <f>_xlfn.IFERROR(INDEX('model_byCAP'!$D$2:$D$377,MATCH(Q4833,'model_byCAP'!$A$2:$A$377,0)),0)</f>
        <v>8430</v>
      </c>
    </row>
    <row r="4834" ht="15.35" customHeight="1">
      <c r="A4834" t="s" s="2">
        <v>9224</v>
      </c>
      <c r="B4834" s="4">
        <v>41621</v>
      </c>
      <c r="C4834" s="5">
        <v>25</v>
      </c>
      <c r="D4834" s="5">
        <v>13</v>
      </c>
      <c r="E4834" s="5">
        <v>18</v>
      </c>
      <c r="F4834" t="s" s="2">
        <v>9202</v>
      </c>
      <c r="G4834" t="s" s="2">
        <v>9203</v>
      </c>
      <c r="H4834" s="5">
        <v>420</v>
      </c>
      <c r="I4834" t="s" s="2">
        <v>3043</v>
      </c>
      <c r="J4834" t="s" s="2">
        <v>9204</v>
      </c>
      <c r="K4834" s="6"/>
      <c r="L4834" s="6"/>
      <c r="M4834" s="5">
        <v>562994.99</v>
      </c>
      <c r="N4834" s="5">
        <v>6110031.2</v>
      </c>
      <c r="O4834" t="s" s="2">
        <v>305</v>
      </c>
      <c r="P4834" s="6"/>
      <c r="Q4834" t="s" s="2">
        <v>9205</v>
      </c>
      <c r="R4834" t="s" s="2">
        <f>_xlfn.IFERROR(INDEX('model_byCAP'!$D$2:$D$377,MATCH(Q4834,'model_byCAP'!$A$2:$A$377,0)),0)</f>
        <v>8430</v>
      </c>
    </row>
    <row r="4835" ht="15.35" customHeight="1">
      <c r="A4835" t="s" s="2">
        <v>9225</v>
      </c>
      <c r="B4835" s="4">
        <v>41621</v>
      </c>
      <c r="C4835" s="5">
        <v>25</v>
      </c>
      <c r="D4835" s="5">
        <v>10</v>
      </c>
      <c r="E4835" s="5">
        <v>19</v>
      </c>
      <c r="F4835" t="s" s="2">
        <v>42</v>
      </c>
      <c r="G4835" t="s" s="2">
        <v>42</v>
      </c>
      <c r="H4835" s="5">
        <v>479</v>
      </c>
      <c r="I4835" t="s" s="2">
        <v>2082</v>
      </c>
      <c r="J4835" t="s" s="2">
        <v>9204</v>
      </c>
      <c r="K4835" s="6"/>
      <c r="L4835" s="6"/>
      <c r="M4835" s="5">
        <v>610289.78</v>
      </c>
      <c r="N4835" s="5">
        <v>6107209.31</v>
      </c>
      <c r="O4835" t="s" s="2">
        <v>305</v>
      </c>
      <c r="P4835" s="6"/>
      <c r="Q4835" t="s" s="2">
        <v>43</v>
      </c>
      <c r="R4835" s="5">
        <f>_xlfn.IFERROR(INDEX('model_byCAP'!$D$2:$D$377,MATCH(Q4835,'model_byCAP'!$A$2:$A$377,0)),0)</f>
        <v>0</v>
      </c>
    </row>
    <row r="4836" ht="15.35" customHeight="1">
      <c r="A4836" t="s" s="2">
        <v>9226</v>
      </c>
      <c r="B4836" s="4">
        <v>42186</v>
      </c>
      <c r="C4836" s="5">
        <v>25</v>
      </c>
      <c r="D4836" s="5">
        <v>14</v>
      </c>
      <c r="E4836" s="5">
        <v>18</v>
      </c>
      <c r="F4836" t="s" s="2">
        <v>9209</v>
      </c>
      <c r="G4836" t="s" s="2">
        <v>9210</v>
      </c>
      <c r="H4836" s="5">
        <v>480</v>
      </c>
      <c r="I4836" t="s" s="2">
        <v>3957</v>
      </c>
      <c r="J4836" t="s" s="2">
        <v>9204</v>
      </c>
      <c r="K4836" s="6"/>
      <c r="L4836" s="6"/>
      <c r="M4836" s="6"/>
      <c r="N4836" s="6"/>
      <c r="O4836" t="s" s="2">
        <v>25</v>
      </c>
      <c r="P4836" s="6"/>
      <c r="Q4836" t="s" s="2">
        <v>9211</v>
      </c>
      <c r="R4836" t="s" s="2">
        <f>_xlfn.IFERROR(INDEX('model_byCAP'!$D$2:$D$377,MATCH(Q4836,'model_byCAP'!$A$2:$A$377,0)),0)</f>
        <v>8430</v>
      </c>
    </row>
    <row r="4837" ht="15.35" customHeight="1">
      <c r="A4837" t="s" s="2">
        <v>9227</v>
      </c>
      <c r="B4837" s="4">
        <v>42817</v>
      </c>
      <c r="C4837" s="5">
        <v>25</v>
      </c>
      <c r="D4837" s="5">
        <v>14</v>
      </c>
      <c r="E4837" s="5">
        <v>18</v>
      </c>
      <c r="F4837" t="s" s="2">
        <v>9209</v>
      </c>
      <c r="G4837" t="s" s="2">
        <v>9210</v>
      </c>
      <c r="H4837" s="5">
        <v>482</v>
      </c>
      <c r="I4837" t="s" s="2">
        <v>1523</v>
      </c>
      <c r="J4837" t="s" s="2">
        <v>9204</v>
      </c>
      <c r="K4837" s="6"/>
      <c r="L4837" s="6"/>
      <c r="M4837" s="6"/>
      <c r="N4837" s="6"/>
      <c r="O4837" t="s" s="2">
        <v>25</v>
      </c>
      <c r="P4837" s="6"/>
      <c r="Q4837" t="s" s="2">
        <v>9211</v>
      </c>
      <c r="R4837" t="s" s="2">
        <f>_xlfn.IFERROR(INDEX('model_byCAP'!$D$2:$D$377,MATCH(Q4837,'model_byCAP'!$A$2:$A$377,0)),0)</f>
        <v>8430</v>
      </c>
    </row>
    <row r="4838" ht="15.35" customHeight="1">
      <c r="A4838" t="s" s="2">
        <v>9228</v>
      </c>
      <c r="B4838" s="4">
        <v>42271</v>
      </c>
      <c r="C4838" s="5">
        <v>25</v>
      </c>
      <c r="D4838" s="5">
        <v>14</v>
      </c>
      <c r="E4838" s="5">
        <v>18</v>
      </c>
      <c r="F4838" t="s" s="2">
        <v>9209</v>
      </c>
      <c r="G4838" t="s" s="2">
        <v>9210</v>
      </c>
      <c r="H4838" s="5">
        <v>482</v>
      </c>
      <c r="I4838" t="s" s="2">
        <v>1523</v>
      </c>
      <c r="J4838" t="s" s="2">
        <v>9204</v>
      </c>
      <c r="K4838" s="6"/>
      <c r="L4838" s="6"/>
      <c r="M4838" s="5">
        <v>612140.37</v>
      </c>
      <c r="N4838" s="5">
        <v>6086273.22</v>
      </c>
      <c r="O4838" t="s" s="2">
        <v>305</v>
      </c>
      <c r="P4838" s="6"/>
      <c r="Q4838" t="s" s="2">
        <v>9211</v>
      </c>
      <c r="R4838" t="s" s="2">
        <f>_xlfn.IFERROR(INDEX('model_byCAP'!$D$2:$D$377,MATCH(Q4838,'model_byCAP'!$A$2:$A$377,0)),0)</f>
        <v>8430</v>
      </c>
    </row>
    <row r="4839" ht="15.35" customHeight="1">
      <c r="A4839" t="s" s="2">
        <v>9229</v>
      </c>
      <c r="B4839" s="4">
        <v>41204</v>
      </c>
      <c r="C4839" s="5">
        <v>25</v>
      </c>
      <c r="D4839" s="5">
        <v>13</v>
      </c>
      <c r="E4839" s="5">
        <v>18</v>
      </c>
      <c r="F4839" t="s" s="2">
        <v>9202</v>
      </c>
      <c r="G4839" t="s" s="2">
        <v>9203</v>
      </c>
      <c r="H4839" s="5">
        <v>510</v>
      </c>
      <c r="I4839" t="s" s="2">
        <v>3049</v>
      </c>
      <c r="J4839" t="s" s="2">
        <v>9204</v>
      </c>
      <c r="K4839" s="6"/>
      <c r="L4839" s="6"/>
      <c r="M4839" s="5">
        <v>529529.0600000001</v>
      </c>
      <c r="N4839" s="5">
        <v>6116658.38</v>
      </c>
      <c r="O4839" t="s" s="2">
        <v>305</v>
      </c>
      <c r="P4839" s="6"/>
      <c r="Q4839" t="s" s="2">
        <v>9205</v>
      </c>
      <c r="R4839" t="s" s="2">
        <f>_xlfn.IFERROR(INDEX('model_byCAP'!$D$2:$D$377,MATCH(Q4839,'model_byCAP'!$A$2:$A$377,0)),0)</f>
        <v>8430</v>
      </c>
    </row>
    <row r="4840" ht="15.35" customHeight="1">
      <c r="A4840" t="s" s="2">
        <v>9230</v>
      </c>
      <c r="B4840" s="4">
        <v>43817</v>
      </c>
      <c r="C4840" s="5">
        <v>25</v>
      </c>
      <c r="D4840" s="5">
        <v>13</v>
      </c>
      <c r="E4840" s="5">
        <v>18</v>
      </c>
      <c r="F4840" t="s" s="2">
        <v>9202</v>
      </c>
      <c r="G4840" t="s" s="2">
        <v>9203</v>
      </c>
      <c r="H4840" s="5">
        <v>510</v>
      </c>
      <c r="I4840" t="s" s="2">
        <v>3049</v>
      </c>
      <c r="J4840" t="s" s="2">
        <v>9204</v>
      </c>
      <c r="K4840" s="6"/>
      <c r="L4840" s="6"/>
      <c r="M4840" s="6"/>
      <c r="N4840" s="6"/>
      <c r="O4840" t="s" s="2">
        <v>25</v>
      </c>
      <c r="P4840" s="6"/>
      <c r="Q4840" t="s" s="2">
        <v>9205</v>
      </c>
      <c r="R4840" t="s" s="2">
        <f>_xlfn.IFERROR(INDEX('model_byCAP'!$D$2:$D$377,MATCH(Q4840,'model_byCAP'!$A$2:$A$377,0)),0)</f>
        <v>8430</v>
      </c>
    </row>
    <row r="4841" ht="15.35" customHeight="1">
      <c r="A4841" t="s" s="2">
        <v>9231</v>
      </c>
      <c r="B4841" s="4">
        <v>41609</v>
      </c>
      <c r="C4841" s="5">
        <v>25</v>
      </c>
      <c r="D4841" s="5">
        <v>13</v>
      </c>
      <c r="E4841" s="5">
        <v>18</v>
      </c>
      <c r="F4841" t="s" s="2">
        <v>9202</v>
      </c>
      <c r="G4841" t="s" s="2">
        <v>9203</v>
      </c>
      <c r="H4841" s="5">
        <v>510</v>
      </c>
      <c r="I4841" t="s" s="2">
        <v>3049</v>
      </c>
      <c r="J4841" t="s" s="2">
        <v>9204</v>
      </c>
      <c r="K4841" s="6"/>
      <c r="L4841" s="6"/>
      <c r="M4841" s="5">
        <v>537317.11</v>
      </c>
      <c r="N4841" s="5">
        <v>6133516.71</v>
      </c>
      <c r="O4841" t="s" s="2">
        <v>305</v>
      </c>
      <c r="P4841" s="6"/>
      <c r="Q4841" t="s" s="2">
        <v>9205</v>
      </c>
      <c r="R4841" t="s" s="2">
        <f>_xlfn.IFERROR(INDEX('model_byCAP'!$D$2:$D$377,MATCH(Q4841,'model_byCAP'!$A$2:$A$377,0)),0)</f>
        <v>8430</v>
      </c>
    </row>
    <row r="4842" ht="15.35" customHeight="1">
      <c r="A4842" t="s" s="2">
        <v>9232</v>
      </c>
      <c r="B4842" s="4">
        <v>41659</v>
      </c>
      <c r="C4842" s="5">
        <v>25</v>
      </c>
      <c r="D4842" s="5">
        <v>13</v>
      </c>
      <c r="E4842" s="5">
        <v>18</v>
      </c>
      <c r="F4842" t="s" s="2">
        <v>9202</v>
      </c>
      <c r="G4842" t="s" s="2">
        <v>9203</v>
      </c>
      <c r="H4842" s="5">
        <v>530</v>
      </c>
      <c r="I4842" t="s" s="2">
        <v>1357</v>
      </c>
      <c r="J4842" t="s" s="2">
        <v>9204</v>
      </c>
      <c r="K4842" s="6"/>
      <c r="L4842" s="6"/>
      <c r="M4842" s="5">
        <v>490932.81</v>
      </c>
      <c r="N4842" s="5">
        <v>6174309.9</v>
      </c>
      <c r="O4842" t="s" s="2">
        <v>305</v>
      </c>
      <c r="P4842" s="6"/>
      <c r="Q4842" t="s" s="2">
        <v>9205</v>
      </c>
      <c r="R4842" t="s" s="2">
        <f>_xlfn.IFERROR(INDEX('model_byCAP'!$D$2:$D$377,MATCH(Q4842,'model_byCAP'!$A$2:$A$377,0)),0)</f>
        <v>8430</v>
      </c>
    </row>
    <row r="4843" ht="15.35" customHeight="1">
      <c r="A4843" t="s" s="2">
        <v>9233</v>
      </c>
      <c r="B4843" s="4">
        <v>42431</v>
      </c>
      <c r="C4843" s="5">
        <v>25</v>
      </c>
      <c r="D4843" s="5">
        <v>14</v>
      </c>
      <c r="E4843" s="5">
        <v>18</v>
      </c>
      <c r="F4843" t="s" s="2">
        <v>9209</v>
      </c>
      <c r="G4843" t="s" s="2">
        <v>9210</v>
      </c>
      <c r="H4843" s="5">
        <v>540</v>
      </c>
      <c r="I4843" t="s" s="2">
        <v>2092</v>
      </c>
      <c r="J4843" t="s" s="2">
        <v>9204</v>
      </c>
      <c r="K4843" s="6"/>
      <c r="L4843" s="6"/>
      <c r="M4843" s="6"/>
      <c r="N4843" s="6"/>
      <c r="O4843" t="s" s="2">
        <v>25</v>
      </c>
      <c r="P4843" s="6"/>
      <c r="Q4843" t="s" s="2">
        <v>9211</v>
      </c>
      <c r="R4843" t="s" s="2">
        <f>_xlfn.IFERROR(INDEX('model_byCAP'!$D$2:$D$377,MATCH(Q4843,'model_byCAP'!$A$2:$A$377,0)),0)</f>
        <v>8430</v>
      </c>
    </row>
    <row r="4844" ht="15.35" customHeight="1">
      <c r="A4844" t="s" s="2">
        <v>9234</v>
      </c>
      <c r="B4844" s="4">
        <v>42606</v>
      </c>
      <c r="C4844" s="5">
        <v>25</v>
      </c>
      <c r="D4844" s="5">
        <v>14</v>
      </c>
      <c r="E4844" s="5">
        <v>18</v>
      </c>
      <c r="F4844" t="s" s="2">
        <v>9209</v>
      </c>
      <c r="G4844" t="s" s="2">
        <v>9210</v>
      </c>
      <c r="H4844" s="5">
        <v>550</v>
      </c>
      <c r="I4844" t="s" s="2">
        <v>526</v>
      </c>
      <c r="J4844" t="s" s="2">
        <v>9204</v>
      </c>
      <c r="K4844" s="6"/>
      <c r="L4844" s="6"/>
      <c r="M4844" s="5">
        <v>480240.05</v>
      </c>
      <c r="N4844" s="5">
        <v>6095250.62</v>
      </c>
      <c r="O4844" t="s" s="2">
        <v>305</v>
      </c>
      <c r="P4844" s="6"/>
      <c r="Q4844" t="s" s="2">
        <v>9211</v>
      </c>
      <c r="R4844" t="s" s="2">
        <f>_xlfn.IFERROR(INDEX('model_byCAP'!$D$2:$D$377,MATCH(Q4844,'model_byCAP'!$A$2:$A$377,0)),0)</f>
        <v>8430</v>
      </c>
    </row>
    <row r="4845" ht="15.35" customHeight="1">
      <c r="A4845" t="s" s="2">
        <v>9235</v>
      </c>
      <c r="B4845" s="4">
        <v>42550</v>
      </c>
      <c r="C4845" s="5">
        <v>25</v>
      </c>
      <c r="D4845" s="5">
        <v>14</v>
      </c>
      <c r="E4845" s="5">
        <v>18</v>
      </c>
      <c r="F4845" t="s" s="2">
        <v>9209</v>
      </c>
      <c r="G4845" t="s" s="2">
        <v>9210</v>
      </c>
      <c r="H4845" s="5">
        <v>550</v>
      </c>
      <c r="I4845" t="s" s="2">
        <v>526</v>
      </c>
      <c r="J4845" t="s" s="2">
        <v>9204</v>
      </c>
      <c r="K4845" s="6"/>
      <c r="L4845" s="6"/>
      <c r="M4845" s="5">
        <v>483604.12</v>
      </c>
      <c r="N4845" s="5">
        <v>6105667.14</v>
      </c>
      <c r="O4845" t="s" s="2">
        <v>305</v>
      </c>
      <c r="P4845" s="6"/>
      <c r="Q4845" t="s" s="2">
        <v>9211</v>
      </c>
      <c r="R4845" t="s" s="2">
        <f>_xlfn.IFERROR(INDEX('model_byCAP'!$D$2:$D$377,MATCH(Q4845,'model_byCAP'!$A$2:$A$377,0)),0)</f>
        <v>8430</v>
      </c>
    </row>
    <row r="4846" ht="15.35" customHeight="1">
      <c r="A4846" t="s" s="2">
        <v>9236</v>
      </c>
      <c r="B4846" s="4">
        <v>42590</v>
      </c>
      <c r="C4846" s="5">
        <v>25</v>
      </c>
      <c r="D4846" s="5">
        <v>14</v>
      </c>
      <c r="E4846" s="5">
        <v>18</v>
      </c>
      <c r="F4846" t="s" s="2">
        <v>9209</v>
      </c>
      <c r="G4846" t="s" s="2">
        <v>9210</v>
      </c>
      <c r="H4846" s="5">
        <v>550</v>
      </c>
      <c r="I4846" t="s" s="2">
        <v>526</v>
      </c>
      <c r="J4846" t="s" s="2">
        <v>9204</v>
      </c>
      <c r="K4846" s="6"/>
      <c r="L4846" s="6"/>
      <c r="M4846" s="6"/>
      <c r="N4846" s="6"/>
      <c r="O4846" t="s" s="2">
        <v>25</v>
      </c>
      <c r="P4846" s="6"/>
      <c r="Q4846" t="s" s="2">
        <v>9211</v>
      </c>
      <c r="R4846" t="s" s="2">
        <f>_xlfn.IFERROR(INDEX('model_byCAP'!$D$2:$D$377,MATCH(Q4846,'model_byCAP'!$A$2:$A$377,0)),0)</f>
        <v>8430</v>
      </c>
    </row>
    <row r="4847" ht="15.35" customHeight="1">
      <c r="A4847" t="s" s="2">
        <v>9237</v>
      </c>
      <c r="B4847" s="4">
        <v>42618</v>
      </c>
      <c r="C4847" s="5">
        <v>25</v>
      </c>
      <c r="D4847" s="5">
        <v>14</v>
      </c>
      <c r="E4847" s="5">
        <v>18</v>
      </c>
      <c r="F4847" t="s" s="2">
        <v>9209</v>
      </c>
      <c r="G4847" t="s" s="2">
        <v>9210</v>
      </c>
      <c r="H4847" s="5">
        <v>550</v>
      </c>
      <c r="I4847" t="s" s="2">
        <v>526</v>
      </c>
      <c r="J4847" t="s" s="2">
        <v>9204</v>
      </c>
      <c r="K4847" s="6"/>
      <c r="L4847" s="6"/>
      <c r="M4847" s="5">
        <v>484347.38</v>
      </c>
      <c r="N4847" s="5">
        <v>6098475.36</v>
      </c>
      <c r="O4847" t="s" s="2">
        <v>305</v>
      </c>
      <c r="P4847" s="6"/>
      <c r="Q4847" t="s" s="2">
        <v>9211</v>
      </c>
      <c r="R4847" t="s" s="2">
        <f>_xlfn.IFERROR(INDEX('model_byCAP'!$D$2:$D$377,MATCH(Q4847,'model_byCAP'!$A$2:$A$377,0)),0)</f>
        <v>8430</v>
      </c>
    </row>
    <row r="4848" ht="15.35" customHeight="1">
      <c r="A4848" t="s" s="2">
        <v>9238</v>
      </c>
      <c r="B4848" s="4">
        <v>42632</v>
      </c>
      <c r="C4848" s="5">
        <v>25</v>
      </c>
      <c r="D4848" s="5">
        <v>14</v>
      </c>
      <c r="E4848" s="5">
        <v>18</v>
      </c>
      <c r="F4848" t="s" s="2">
        <v>9209</v>
      </c>
      <c r="G4848" t="s" s="2">
        <v>9210</v>
      </c>
      <c r="H4848" s="5">
        <v>550</v>
      </c>
      <c r="I4848" t="s" s="2">
        <v>526</v>
      </c>
      <c r="J4848" t="s" s="2">
        <v>9204</v>
      </c>
      <c r="K4848" s="6"/>
      <c r="L4848" s="6"/>
      <c r="M4848" s="6"/>
      <c r="N4848" s="6"/>
      <c r="O4848" t="s" s="2">
        <v>25</v>
      </c>
      <c r="P4848" s="6"/>
      <c r="Q4848" t="s" s="2">
        <v>9211</v>
      </c>
      <c r="R4848" t="s" s="2">
        <f>_xlfn.IFERROR(INDEX('model_byCAP'!$D$2:$D$377,MATCH(Q4848,'model_byCAP'!$A$2:$A$377,0)),0)</f>
        <v>8430</v>
      </c>
    </row>
    <row r="4849" ht="15.35" customHeight="1">
      <c r="A4849" t="s" s="2">
        <v>9239</v>
      </c>
      <c r="B4849" s="4">
        <v>42632</v>
      </c>
      <c r="C4849" s="5">
        <v>25</v>
      </c>
      <c r="D4849" s="5">
        <v>14</v>
      </c>
      <c r="E4849" s="5">
        <v>18</v>
      </c>
      <c r="F4849" t="s" s="2">
        <v>9209</v>
      </c>
      <c r="G4849" t="s" s="2">
        <v>9210</v>
      </c>
      <c r="H4849" s="5">
        <v>550</v>
      </c>
      <c r="I4849" t="s" s="2">
        <v>526</v>
      </c>
      <c r="J4849" t="s" s="2">
        <v>9204</v>
      </c>
      <c r="K4849" s="6"/>
      <c r="L4849" s="6"/>
      <c r="M4849" s="6"/>
      <c r="N4849" s="6"/>
      <c r="O4849" t="s" s="2">
        <v>25</v>
      </c>
      <c r="P4849" s="6"/>
      <c r="Q4849" t="s" s="2">
        <v>9211</v>
      </c>
      <c r="R4849" t="s" s="2">
        <f>_xlfn.IFERROR(INDEX('model_byCAP'!$D$2:$D$377,MATCH(Q4849,'model_byCAP'!$A$2:$A$377,0)),0)</f>
        <v>8430</v>
      </c>
    </row>
    <row r="4850" ht="15.35" customHeight="1">
      <c r="A4850" t="s" s="2">
        <v>9240</v>
      </c>
      <c r="B4850" s="4">
        <v>42621</v>
      </c>
      <c r="C4850" s="5">
        <v>25</v>
      </c>
      <c r="D4850" s="5">
        <v>14</v>
      </c>
      <c r="E4850" s="5">
        <v>18</v>
      </c>
      <c r="F4850" t="s" s="2">
        <v>9209</v>
      </c>
      <c r="G4850" t="s" s="2">
        <v>9210</v>
      </c>
      <c r="H4850" s="5">
        <v>550</v>
      </c>
      <c r="I4850" t="s" s="2">
        <v>526</v>
      </c>
      <c r="J4850" t="s" s="2">
        <v>9204</v>
      </c>
      <c r="K4850" s="6"/>
      <c r="L4850" s="6"/>
      <c r="M4850" s="6"/>
      <c r="N4850" s="6"/>
      <c r="O4850" t="s" s="2">
        <v>25</v>
      </c>
      <c r="P4850" s="6"/>
      <c r="Q4850" t="s" s="2">
        <v>9211</v>
      </c>
      <c r="R4850" t="s" s="2">
        <f>_xlfn.IFERROR(INDEX('model_byCAP'!$D$2:$D$377,MATCH(Q4850,'model_byCAP'!$A$2:$A$377,0)),0)</f>
        <v>8430</v>
      </c>
    </row>
    <row r="4851" ht="15.35" customHeight="1">
      <c r="A4851" t="s" s="2">
        <v>9241</v>
      </c>
      <c r="B4851" s="4">
        <v>42724</v>
      </c>
      <c r="C4851" s="5">
        <v>25</v>
      </c>
      <c r="D4851" s="5">
        <v>14</v>
      </c>
      <c r="E4851" s="5">
        <v>18</v>
      </c>
      <c r="F4851" t="s" s="2">
        <v>9209</v>
      </c>
      <c r="G4851" t="s" s="2">
        <v>9210</v>
      </c>
      <c r="H4851" s="5">
        <v>550</v>
      </c>
      <c r="I4851" t="s" s="2">
        <v>526</v>
      </c>
      <c r="J4851" t="s" s="2">
        <v>9204</v>
      </c>
      <c r="K4851" s="6"/>
      <c r="L4851" s="6"/>
      <c r="M4851" s="6"/>
      <c r="N4851" s="6"/>
      <c r="O4851" t="s" s="2">
        <v>25</v>
      </c>
      <c r="P4851" s="6"/>
      <c r="Q4851" t="s" s="2">
        <v>9211</v>
      </c>
      <c r="R4851" t="s" s="2">
        <f>_xlfn.IFERROR(INDEX('model_byCAP'!$D$2:$D$377,MATCH(Q4851,'model_byCAP'!$A$2:$A$377,0)),0)</f>
        <v>8430</v>
      </c>
    </row>
    <row r="4852" ht="15.35" customHeight="1">
      <c r="A4852" t="s" s="2">
        <v>9242</v>
      </c>
      <c r="B4852" s="4">
        <v>42725</v>
      </c>
      <c r="C4852" s="5">
        <v>25</v>
      </c>
      <c r="D4852" s="5">
        <v>14</v>
      </c>
      <c r="E4852" s="5">
        <v>18</v>
      </c>
      <c r="F4852" t="s" s="2">
        <v>9209</v>
      </c>
      <c r="G4852" t="s" s="2">
        <v>9210</v>
      </c>
      <c r="H4852" s="5">
        <v>550</v>
      </c>
      <c r="I4852" t="s" s="2">
        <v>526</v>
      </c>
      <c r="J4852" t="s" s="2">
        <v>9204</v>
      </c>
      <c r="K4852" s="6"/>
      <c r="L4852" s="6"/>
      <c r="M4852" s="6"/>
      <c r="N4852" s="6"/>
      <c r="O4852" t="s" s="2">
        <v>25</v>
      </c>
      <c r="P4852" s="6"/>
      <c r="Q4852" t="s" s="2">
        <v>9211</v>
      </c>
      <c r="R4852" t="s" s="2">
        <f>_xlfn.IFERROR(INDEX('model_byCAP'!$D$2:$D$377,MATCH(Q4852,'model_byCAP'!$A$2:$A$377,0)),0)</f>
        <v>8430</v>
      </c>
    </row>
    <row r="4853" ht="15.35" customHeight="1">
      <c r="A4853" t="s" s="2">
        <v>9243</v>
      </c>
      <c r="B4853" s="4">
        <v>42746</v>
      </c>
      <c r="C4853" s="5">
        <v>25</v>
      </c>
      <c r="D4853" s="5">
        <v>14</v>
      </c>
      <c r="E4853" s="5">
        <v>18</v>
      </c>
      <c r="F4853" t="s" s="2">
        <v>9209</v>
      </c>
      <c r="G4853" t="s" s="2">
        <v>9210</v>
      </c>
      <c r="H4853" s="5">
        <v>550</v>
      </c>
      <c r="I4853" t="s" s="2">
        <v>526</v>
      </c>
      <c r="J4853" t="s" s="2">
        <v>9204</v>
      </c>
      <c r="K4853" s="6"/>
      <c r="L4853" s="6"/>
      <c r="M4853" s="6"/>
      <c r="N4853" s="6"/>
      <c r="O4853" t="s" s="2">
        <v>25</v>
      </c>
      <c r="P4853" s="6"/>
      <c r="Q4853" t="s" s="2">
        <v>9211</v>
      </c>
      <c r="R4853" t="s" s="2">
        <f>_xlfn.IFERROR(INDEX('model_byCAP'!$D$2:$D$377,MATCH(Q4853,'model_byCAP'!$A$2:$A$377,0)),0)</f>
        <v>8430</v>
      </c>
    </row>
    <row r="4854" ht="15.35" customHeight="1">
      <c r="A4854" t="s" s="2">
        <v>9244</v>
      </c>
      <c r="B4854" s="4">
        <v>42745</v>
      </c>
      <c r="C4854" s="5">
        <v>25</v>
      </c>
      <c r="D4854" s="5">
        <v>14</v>
      </c>
      <c r="E4854" s="5">
        <v>18</v>
      </c>
      <c r="F4854" t="s" s="2">
        <v>9209</v>
      </c>
      <c r="G4854" t="s" s="2">
        <v>9210</v>
      </c>
      <c r="H4854" s="5">
        <v>550</v>
      </c>
      <c r="I4854" t="s" s="2">
        <v>526</v>
      </c>
      <c r="J4854" t="s" s="2">
        <v>9204</v>
      </c>
      <c r="K4854" s="6"/>
      <c r="L4854" s="6"/>
      <c r="M4854" s="6"/>
      <c r="N4854" s="6"/>
      <c r="O4854" t="s" s="2">
        <v>25</v>
      </c>
      <c r="P4854" s="6"/>
      <c r="Q4854" t="s" s="2">
        <v>9211</v>
      </c>
      <c r="R4854" t="s" s="2">
        <f>_xlfn.IFERROR(INDEX('model_byCAP'!$D$2:$D$377,MATCH(Q4854,'model_byCAP'!$A$2:$A$377,0)),0)</f>
        <v>8430</v>
      </c>
    </row>
    <row r="4855" ht="15.35" customHeight="1">
      <c r="A4855" t="s" s="2">
        <v>9245</v>
      </c>
      <c r="B4855" s="4">
        <v>43006</v>
      </c>
      <c r="C4855" s="5">
        <v>25</v>
      </c>
      <c r="D4855" s="5">
        <v>14</v>
      </c>
      <c r="E4855" s="5">
        <v>18</v>
      </c>
      <c r="F4855" t="s" s="2">
        <v>9209</v>
      </c>
      <c r="G4855" t="s" s="2">
        <v>9210</v>
      </c>
      <c r="H4855" s="5">
        <v>550</v>
      </c>
      <c r="I4855" t="s" s="2">
        <v>526</v>
      </c>
      <c r="J4855" t="s" s="2">
        <v>9204</v>
      </c>
      <c r="K4855" s="6"/>
      <c r="L4855" s="6"/>
      <c r="M4855" s="6"/>
      <c r="N4855" s="6"/>
      <c r="O4855" t="s" s="2">
        <v>25</v>
      </c>
      <c r="P4855" s="6"/>
      <c r="Q4855" t="s" s="2">
        <v>9211</v>
      </c>
      <c r="R4855" t="s" s="2">
        <f>_xlfn.IFERROR(INDEX('model_byCAP'!$D$2:$D$377,MATCH(Q4855,'model_byCAP'!$A$2:$A$377,0)),0)</f>
        <v>8430</v>
      </c>
    </row>
    <row r="4856" ht="15.35" customHeight="1">
      <c r="A4856" t="s" s="2">
        <v>9246</v>
      </c>
      <c r="B4856" s="4">
        <v>41774</v>
      </c>
      <c r="C4856" s="5">
        <v>25</v>
      </c>
      <c r="D4856" s="5">
        <v>15</v>
      </c>
      <c r="E4856" s="5">
        <v>17.5</v>
      </c>
      <c r="F4856" t="s" s="2">
        <v>301</v>
      </c>
      <c r="G4856" t="s" s="2">
        <v>9135</v>
      </c>
      <c r="H4856" s="5">
        <v>550</v>
      </c>
      <c r="I4856" t="s" s="2">
        <v>526</v>
      </c>
      <c r="J4856" t="s" s="2">
        <v>9204</v>
      </c>
      <c r="K4856" s="6"/>
      <c r="L4856" s="6"/>
      <c r="M4856" s="5">
        <v>481811.43</v>
      </c>
      <c r="N4856" s="5">
        <v>6120509.14</v>
      </c>
      <c r="O4856" t="s" s="2">
        <v>305</v>
      </c>
      <c r="P4856" s="6"/>
      <c r="Q4856" t="s" s="2">
        <v>9136</v>
      </c>
      <c r="R4856" t="s" s="2">
        <f>_xlfn.IFERROR(INDEX('model_byCAP'!$D$2:$D$377,MATCH(Q4856,'model_byCAP'!$A$2:$A$377,0)),0)</f>
        <v>8029</v>
      </c>
    </row>
    <row r="4857" ht="15.35" customHeight="1">
      <c r="A4857" t="s" s="2">
        <v>9247</v>
      </c>
      <c r="B4857" s="4">
        <v>42068</v>
      </c>
      <c r="C4857" s="5">
        <v>25</v>
      </c>
      <c r="D4857" s="5">
        <v>14</v>
      </c>
      <c r="E4857" s="5">
        <v>18</v>
      </c>
      <c r="F4857" t="s" s="2">
        <v>42</v>
      </c>
      <c r="G4857" t="s" s="2">
        <v>42</v>
      </c>
      <c r="H4857" s="5">
        <v>550</v>
      </c>
      <c r="I4857" t="s" s="2">
        <v>526</v>
      </c>
      <c r="J4857" t="s" s="2">
        <v>9204</v>
      </c>
      <c r="K4857" s="6"/>
      <c r="L4857" s="6"/>
      <c r="M4857" s="5">
        <v>484414.46</v>
      </c>
      <c r="N4857" s="5">
        <v>6109538.14</v>
      </c>
      <c r="O4857" t="s" s="2">
        <v>305</v>
      </c>
      <c r="P4857" s="6"/>
      <c r="Q4857" t="s" s="2">
        <v>43</v>
      </c>
      <c r="R4857" s="5">
        <f>_xlfn.IFERROR(INDEX('model_byCAP'!$D$2:$D$377,MATCH(Q4857,'model_byCAP'!$A$2:$A$377,0)),0)</f>
        <v>0</v>
      </c>
    </row>
    <row r="4858" ht="15.35" customHeight="1">
      <c r="A4858" t="s" s="2">
        <v>9248</v>
      </c>
      <c r="B4858" s="4">
        <v>42450</v>
      </c>
      <c r="C4858" s="5">
        <v>25</v>
      </c>
      <c r="D4858" s="5">
        <v>14</v>
      </c>
      <c r="E4858" s="5">
        <v>18</v>
      </c>
      <c r="F4858" t="s" s="2">
        <v>9209</v>
      </c>
      <c r="G4858" t="s" s="2">
        <v>9210</v>
      </c>
      <c r="H4858" s="5">
        <v>550</v>
      </c>
      <c r="I4858" t="s" s="2">
        <v>526</v>
      </c>
      <c r="J4858" t="s" s="2">
        <v>9204</v>
      </c>
      <c r="K4858" s="6"/>
      <c r="L4858" s="6"/>
      <c r="M4858" s="6"/>
      <c r="N4858" s="6"/>
      <c r="O4858" t="s" s="2">
        <v>25</v>
      </c>
      <c r="P4858" s="6"/>
      <c r="Q4858" t="s" s="2">
        <v>9211</v>
      </c>
      <c r="R4858" t="s" s="2">
        <f>_xlfn.IFERROR(INDEX('model_byCAP'!$D$2:$D$377,MATCH(Q4858,'model_byCAP'!$A$2:$A$377,0)),0)</f>
        <v>8430</v>
      </c>
    </row>
    <row r="4859" ht="15.35" customHeight="1">
      <c r="A4859" t="s" s="2">
        <v>9249</v>
      </c>
      <c r="B4859" s="4">
        <v>41491</v>
      </c>
      <c r="C4859" s="5">
        <v>25</v>
      </c>
      <c r="D4859" s="5">
        <v>13</v>
      </c>
      <c r="E4859" s="5">
        <v>18</v>
      </c>
      <c r="F4859" t="s" s="2">
        <v>9202</v>
      </c>
      <c r="G4859" t="s" s="2">
        <v>9203</v>
      </c>
      <c r="H4859" s="5">
        <v>561</v>
      </c>
      <c r="I4859" t="s" s="2">
        <v>196</v>
      </c>
      <c r="J4859" t="s" s="2">
        <v>9204</v>
      </c>
      <c r="K4859" s="6"/>
      <c r="L4859" s="6"/>
      <c r="M4859" s="5">
        <v>466386.44</v>
      </c>
      <c r="N4859" s="5">
        <v>6157610.8</v>
      </c>
      <c r="O4859" t="s" s="2">
        <v>305</v>
      </c>
      <c r="P4859" s="6"/>
      <c r="Q4859" t="s" s="2">
        <v>9205</v>
      </c>
      <c r="R4859" t="s" s="2">
        <f>_xlfn.IFERROR(INDEX('model_byCAP'!$D$2:$D$377,MATCH(Q4859,'model_byCAP'!$A$2:$A$377,0)),0)</f>
        <v>8430</v>
      </c>
    </row>
    <row r="4860" ht="15.35" customHeight="1">
      <c r="A4860" t="s" s="2">
        <v>9250</v>
      </c>
      <c r="B4860" s="4">
        <v>41491</v>
      </c>
      <c r="C4860" s="5">
        <v>25</v>
      </c>
      <c r="D4860" s="5">
        <v>12</v>
      </c>
      <c r="E4860" s="5">
        <v>18</v>
      </c>
      <c r="F4860" t="s" s="2">
        <v>9202</v>
      </c>
      <c r="G4860" t="s" s="2">
        <v>9203</v>
      </c>
      <c r="H4860" s="5">
        <v>561</v>
      </c>
      <c r="I4860" t="s" s="2">
        <v>196</v>
      </c>
      <c r="J4860" t="s" s="2">
        <v>9204</v>
      </c>
      <c r="K4860" s="6"/>
      <c r="L4860" s="6"/>
      <c r="M4860" s="5">
        <v>467944.65</v>
      </c>
      <c r="N4860" s="5">
        <v>6154921.54</v>
      </c>
      <c r="O4860" t="s" s="2">
        <v>305</v>
      </c>
      <c r="P4860" s="6"/>
      <c r="Q4860" t="s" s="2">
        <v>9205</v>
      </c>
      <c r="R4860" t="s" s="2">
        <f>_xlfn.IFERROR(INDEX('model_byCAP'!$D$2:$D$377,MATCH(Q4860,'model_byCAP'!$A$2:$A$377,0)),0)</f>
        <v>8430</v>
      </c>
    </row>
    <row r="4861" ht="15.35" customHeight="1">
      <c r="A4861" t="s" s="2">
        <v>9251</v>
      </c>
      <c r="B4861" s="4">
        <v>37973</v>
      </c>
      <c r="C4861" s="5">
        <v>25</v>
      </c>
      <c r="D4861" s="5">
        <v>7</v>
      </c>
      <c r="E4861" s="5">
        <v>18</v>
      </c>
      <c r="F4861" t="s" s="2">
        <v>301</v>
      </c>
      <c r="G4861" t="s" s="2">
        <v>9252</v>
      </c>
      <c r="H4861" s="5">
        <v>573</v>
      </c>
      <c r="I4861" t="s" s="2">
        <v>1041</v>
      </c>
      <c r="J4861" t="s" s="2">
        <v>9204</v>
      </c>
      <c r="K4861" s="6"/>
      <c r="L4861" s="6"/>
      <c r="M4861" s="5">
        <v>469950.91</v>
      </c>
      <c r="N4861" s="5">
        <v>6175867.57</v>
      </c>
      <c r="O4861" t="s" s="2">
        <v>305</v>
      </c>
      <c r="P4861" s="6"/>
      <c r="Q4861" t="s" s="2">
        <v>9253</v>
      </c>
      <c r="R4861" t="s" s="2">
        <f>_xlfn.IFERROR(INDEX('model_byCAP'!$D$2:$D$377,MATCH(Q4861,'model_byCAP'!$A$2:$A$377,0)),0)</f>
        <v>8029</v>
      </c>
    </row>
    <row r="4862" ht="15.35" customHeight="1">
      <c r="A4862" t="s" s="2">
        <v>9254</v>
      </c>
      <c r="B4862" s="4">
        <v>40915</v>
      </c>
      <c r="C4862" s="5">
        <v>25</v>
      </c>
      <c r="D4862" s="5">
        <v>15</v>
      </c>
      <c r="E4862" s="5">
        <v>17</v>
      </c>
      <c r="F4862" t="s" s="2">
        <v>301</v>
      </c>
      <c r="G4862" t="s" s="2">
        <v>9118</v>
      </c>
      <c r="H4862" s="5">
        <v>573</v>
      </c>
      <c r="I4862" t="s" s="2">
        <v>1041</v>
      </c>
      <c r="J4862" t="s" s="2">
        <v>9204</v>
      </c>
      <c r="K4862" s="6"/>
      <c r="L4862" s="6"/>
      <c r="M4862" s="5">
        <v>466632</v>
      </c>
      <c r="N4862" s="5">
        <v>6177285.3</v>
      </c>
      <c r="O4862" t="s" s="2">
        <v>305</v>
      </c>
      <c r="P4862" s="6"/>
      <c r="Q4862" t="s" s="2">
        <v>9120</v>
      </c>
      <c r="R4862" t="s" s="2">
        <f>_xlfn.IFERROR(INDEX('model_byCAP'!$D$2:$D$377,MATCH(Q4862,'model_byCAP'!$A$2:$A$377,0)),0)</f>
        <v>8029</v>
      </c>
    </row>
    <row r="4863" ht="15.35" customHeight="1">
      <c r="A4863" t="s" s="2">
        <v>9255</v>
      </c>
      <c r="B4863" s="4">
        <v>41668</v>
      </c>
      <c r="C4863" s="5">
        <v>25</v>
      </c>
      <c r="D4863" s="5">
        <v>13</v>
      </c>
      <c r="E4863" s="5">
        <v>18</v>
      </c>
      <c r="F4863" t="s" s="2">
        <v>9202</v>
      </c>
      <c r="G4863" t="s" s="2">
        <v>9203</v>
      </c>
      <c r="H4863" s="5">
        <v>573</v>
      </c>
      <c r="I4863" t="s" s="2">
        <v>1041</v>
      </c>
      <c r="J4863" t="s" s="2">
        <v>9204</v>
      </c>
      <c r="K4863" s="6"/>
      <c r="L4863" s="6"/>
      <c r="M4863" s="5">
        <v>471904.41</v>
      </c>
      <c r="N4863" s="5">
        <v>6167901.89</v>
      </c>
      <c r="O4863" t="s" s="2">
        <v>305</v>
      </c>
      <c r="P4863" s="6"/>
      <c r="Q4863" t="s" s="2">
        <v>9205</v>
      </c>
      <c r="R4863" t="s" s="2">
        <f>_xlfn.IFERROR(INDEX('model_byCAP'!$D$2:$D$377,MATCH(Q4863,'model_byCAP'!$A$2:$A$377,0)),0)</f>
        <v>8430</v>
      </c>
    </row>
    <row r="4864" ht="15.35" customHeight="1">
      <c r="A4864" t="s" s="2">
        <v>9256</v>
      </c>
      <c r="B4864" s="4">
        <v>39407</v>
      </c>
      <c r="C4864" s="5">
        <v>25</v>
      </c>
      <c r="D4864" s="5">
        <v>15</v>
      </c>
      <c r="E4864" s="5">
        <v>18</v>
      </c>
      <c r="F4864" t="s" s="2">
        <v>42</v>
      </c>
      <c r="G4864" t="s" s="2">
        <v>42</v>
      </c>
      <c r="H4864" s="5">
        <v>657</v>
      </c>
      <c r="I4864" t="s" s="2">
        <v>541</v>
      </c>
      <c r="J4864" t="s" s="2">
        <v>9204</v>
      </c>
      <c r="K4864" s="6"/>
      <c r="L4864" s="6"/>
      <c r="M4864" s="5">
        <v>499130</v>
      </c>
      <c r="N4864" s="5">
        <v>6195473.1</v>
      </c>
      <c r="O4864" t="s" s="2">
        <v>305</v>
      </c>
      <c r="P4864" s="6"/>
      <c r="Q4864" t="s" s="2">
        <v>43</v>
      </c>
      <c r="R4864" s="5">
        <f>_xlfn.IFERROR(INDEX('model_byCAP'!$D$2:$D$377,MATCH(Q4864,'model_byCAP'!$A$2:$A$377,0)),0)</f>
        <v>0</v>
      </c>
    </row>
    <row r="4865" ht="15.35" customHeight="1">
      <c r="A4865" t="s" s="2">
        <v>9257</v>
      </c>
      <c r="B4865" s="4">
        <v>40546</v>
      </c>
      <c r="C4865" s="5">
        <v>25</v>
      </c>
      <c r="D4865" s="5">
        <v>16</v>
      </c>
      <c r="E4865" s="5">
        <v>18</v>
      </c>
      <c r="F4865" t="s" s="2">
        <v>301</v>
      </c>
      <c r="G4865" t="s" s="2">
        <v>9118</v>
      </c>
      <c r="H4865" s="5">
        <v>657</v>
      </c>
      <c r="I4865" t="s" s="2">
        <v>541</v>
      </c>
      <c r="J4865" t="s" s="2">
        <v>9204</v>
      </c>
      <c r="K4865" s="6"/>
      <c r="L4865" s="6"/>
      <c r="M4865" s="5">
        <v>481902.73</v>
      </c>
      <c r="N4865" s="5">
        <v>6228983.41</v>
      </c>
      <c r="O4865" t="s" s="2">
        <v>305</v>
      </c>
      <c r="P4865" s="6"/>
      <c r="Q4865" t="s" s="2">
        <v>9120</v>
      </c>
      <c r="R4865" t="s" s="2">
        <f>_xlfn.IFERROR(INDEX('model_byCAP'!$D$2:$D$377,MATCH(Q4865,'model_byCAP'!$A$2:$A$377,0)),0)</f>
        <v>8029</v>
      </c>
    </row>
    <row r="4866" ht="15.35" customHeight="1">
      <c r="A4866" t="s" s="2">
        <v>9258</v>
      </c>
      <c r="B4866" s="4">
        <v>43576</v>
      </c>
      <c r="C4866" s="5">
        <v>25</v>
      </c>
      <c r="D4866" s="5">
        <v>12.3</v>
      </c>
      <c r="E4866" s="5">
        <v>18</v>
      </c>
      <c r="F4866" t="s" s="2">
        <v>42</v>
      </c>
      <c r="G4866" t="s" s="2">
        <v>42</v>
      </c>
      <c r="H4866" s="5">
        <v>657</v>
      </c>
      <c r="I4866" t="s" s="2">
        <v>541</v>
      </c>
      <c r="J4866" t="s" s="2">
        <v>9204</v>
      </c>
      <c r="K4866" s="6"/>
      <c r="L4866" s="6"/>
      <c r="M4866" s="6"/>
      <c r="N4866" s="6"/>
      <c r="O4866" t="s" s="2">
        <v>25</v>
      </c>
      <c r="P4866" s="6"/>
      <c r="Q4866" t="s" s="2">
        <v>43</v>
      </c>
      <c r="R4866" s="5">
        <f>_xlfn.IFERROR(INDEX('model_byCAP'!$D$2:$D$377,MATCH(Q4866,'model_byCAP'!$A$2:$A$377,0)),0)</f>
        <v>0</v>
      </c>
    </row>
    <row r="4867" ht="15.35" customHeight="1">
      <c r="A4867" t="s" s="2">
        <v>9259</v>
      </c>
      <c r="B4867" s="4">
        <v>41609</v>
      </c>
      <c r="C4867" s="5">
        <v>25</v>
      </c>
      <c r="D4867" s="5">
        <v>18.5</v>
      </c>
      <c r="E4867" s="5">
        <v>14</v>
      </c>
      <c r="F4867" t="s" s="2">
        <v>42</v>
      </c>
      <c r="G4867" t="s" s="2">
        <v>42</v>
      </c>
      <c r="H4867" s="5">
        <v>657</v>
      </c>
      <c r="I4867" t="s" s="2">
        <v>541</v>
      </c>
      <c r="J4867" t="s" s="2">
        <v>9204</v>
      </c>
      <c r="K4867" s="6"/>
      <c r="L4867" s="6"/>
      <c r="M4867" s="5">
        <v>476475.95</v>
      </c>
      <c r="N4867" s="5">
        <v>6229192.9</v>
      </c>
      <c r="O4867" t="s" s="2">
        <v>305</v>
      </c>
      <c r="P4867" s="6"/>
      <c r="Q4867" t="s" s="2">
        <v>43</v>
      </c>
      <c r="R4867" s="5">
        <f>_xlfn.IFERROR(INDEX('model_byCAP'!$D$2:$D$377,MATCH(Q4867,'model_byCAP'!$A$2:$A$377,0)),0)</f>
        <v>0</v>
      </c>
    </row>
    <row r="4868" ht="15.35" customHeight="1">
      <c r="A4868" t="s" s="2">
        <v>9260</v>
      </c>
      <c r="B4868" s="4">
        <v>40458</v>
      </c>
      <c r="C4868" s="5">
        <v>25</v>
      </c>
      <c r="D4868" s="5">
        <v>15</v>
      </c>
      <c r="E4868" s="5">
        <v>18</v>
      </c>
      <c r="F4868" t="s" s="2">
        <v>301</v>
      </c>
      <c r="G4868" t="s" s="2">
        <v>9118</v>
      </c>
      <c r="H4868" s="5">
        <v>661</v>
      </c>
      <c r="I4868" t="s" s="2">
        <v>562</v>
      </c>
      <c r="J4868" t="s" s="2">
        <v>9204</v>
      </c>
      <c r="K4868" s="6"/>
      <c r="L4868" s="6"/>
      <c r="M4868" s="5">
        <v>450491.71</v>
      </c>
      <c r="N4868" s="5">
        <v>6232910.09</v>
      </c>
      <c r="O4868" t="s" s="2">
        <v>305</v>
      </c>
      <c r="P4868" s="6"/>
      <c r="Q4868" t="s" s="2">
        <v>9120</v>
      </c>
      <c r="R4868" t="s" s="2">
        <f>_xlfn.IFERROR(INDEX('model_byCAP'!$D$2:$D$377,MATCH(Q4868,'model_byCAP'!$A$2:$A$377,0)),0)</f>
        <v>8029</v>
      </c>
    </row>
    <row r="4869" ht="15.35" customHeight="1">
      <c r="A4869" t="s" s="2">
        <v>9261</v>
      </c>
      <c r="B4869" s="4">
        <v>42124</v>
      </c>
      <c r="C4869" s="5">
        <v>25</v>
      </c>
      <c r="D4869" s="5">
        <v>14</v>
      </c>
      <c r="E4869" s="5">
        <v>18</v>
      </c>
      <c r="F4869" t="s" s="2">
        <v>9209</v>
      </c>
      <c r="G4869" t="s" s="2">
        <v>9210</v>
      </c>
      <c r="H4869" s="5">
        <v>661</v>
      </c>
      <c r="I4869" t="s" s="2">
        <v>562</v>
      </c>
      <c r="J4869" t="s" s="2">
        <v>9204</v>
      </c>
      <c r="K4869" s="6"/>
      <c r="L4869" s="6"/>
      <c r="M4869" s="5">
        <v>453964.49</v>
      </c>
      <c r="N4869" s="5">
        <v>6271282.6</v>
      </c>
      <c r="O4869" t="s" s="2">
        <v>305</v>
      </c>
      <c r="P4869" s="6"/>
      <c r="Q4869" t="s" s="2">
        <v>9211</v>
      </c>
      <c r="R4869" t="s" s="2">
        <f>_xlfn.IFERROR(INDEX('model_byCAP'!$D$2:$D$377,MATCH(Q4869,'model_byCAP'!$A$2:$A$377,0)),0)</f>
        <v>8430</v>
      </c>
    </row>
    <row r="4870" ht="15.35" customHeight="1">
      <c r="A4870" t="s" s="2">
        <v>9262</v>
      </c>
      <c r="B4870" s="4">
        <v>41982</v>
      </c>
      <c r="C4870" s="5">
        <v>25</v>
      </c>
      <c r="D4870" s="5">
        <v>14</v>
      </c>
      <c r="E4870" s="5">
        <v>18</v>
      </c>
      <c r="F4870" t="s" s="2">
        <v>9209</v>
      </c>
      <c r="G4870" t="s" s="2">
        <v>9210</v>
      </c>
      <c r="H4870" s="5">
        <v>661</v>
      </c>
      <c r="I4870" t="s" s="2">
        <v>562</v>
      </c>
      <c r="J4870" t="s" s="2">
        <v>9204</v>
      </c>
      <c r="K4870" s="6"/>
      <c r="L4870" s="6"/>
      <c r="M4870" s="6"/>
      <c r="N4870" s="6"/>
      <c r="O4870" t="s" s="2">
        <v>25</v>
      </c>
      <c r="P4870" s="6"/>
      <c r="Q4870" t="s" s="2">
        <v>9211</v>
      </c>
      <c r="R4870" t="s" s="2">
        <f>_xlfn.IFERROR(INDEX('model_byCAP'!$D$2:$D$377,MATCH(Q4870,'model_byCAP'!$A$2:$A$377,0)),0)</f>
        <v>8430</v>
      </c>
    </row>
    <row r="4871" ht="15.35" customHeight="1">
      <c r="A4871" t="s" s="2">
        <v>9263</v>
      </c>
      <c r="B4871" s="4">
        <v>41338</v>
      </c>
      <c r="C4871" s="5">
        <v>25</v>
      </c>
      <c r="D4871" s="5">
        <v>13</v>
      </c>
      <c r="E4871" s="5">
        <v>18</v>
      </c>
      <c r="F4871" t="s" s="2">
        <v>42</v>
      </c>
      <c r="G4871" t="s" s="2">
        <v>42</v>
      </c>
      <c r="H4871" s="5">
        <v>665</v>
      </c>
      <c r="I4871" t="s" s="2">
        <v>316</v>
      </c>
      <c r="J4871" t="s" s="2">
        <v>9204</v>
      </c>
      <c r="K4871" s="6"/>
      <c r="L4871" s="6"/>
      <c r="M4871" s="5">
        <v>454639.05</v>
      </c>
      <c r="N4871" s="5">
        <v>6259239.8</v>
      </c>
      <c r="O4871" t="s" s="2">
        <v>305</v>
      </c>
      <c r="P4871" s="6"/>
      <c r="Q4871" t="s" s="2">
        <v>43</v>
      </c>
      <c r="R4871" s="5">
        <f>_xlfn.IFERROR(INDEX('model_byCAP'!$D$2:$D$377,MATCH(Q4871,'model_byCAP'!$A$2:$A$377,0)),0)</f>
        <v>0</v>
      </c>
    </row>
    <row r="4872" ht="15.35" customHeight="1">
      <c r="A4872" t="s" s="2">
        <v>9264</v>
      </c>
      <c r="B4872" s="4">
        <v>41375</v>
      </c>
      <c r="C4872" s="5">
        <v>25</v>
      </c>
      <c r="D4872" s="5">
        <v>13</v>
      </c>
      <c r="E4872" s="5">
        <v>18</v>
      </c>
      <c r="F4872" t="s" s="2">
        <v>9202</v>
      </c>
      <c r="G4872" t="s" s="2">
        <v>9203</v>
      </c>
      <c r="H4872" s="5">
        <v>665</v>
      </c>
      <c r="I4872" t="s" s="2">
        <v>316</v>
      </c>
      <c r="J4872" t="s" s="2">
        <v>9204</v>
      </c>
      <c r="K4872" s="6"/>
      <c r="L4872" s="6"/>
      <c r="M4872" s="5">
        <v>450443.77</v>
      </c>
      <c r="N4872" s="5">
        <v>6271615.8</v>
      </c>
      <c r="O4872" t="s" s="2">
        <v>305</v>
      </c>
      <c r="P4872" s="6"/>
      <c r="Q4872" t="s" s="2">
        <v>9205</v>
      </c>
      <c r="R4872" t="s" s="2">
        <f>_xlfn.IFERROR(INDEX('model_byCAP'!$D$2:$D$377,MATCH(Q4872,'model_byCAP'!$A$2:$A$377,0)),0)</f>
        <v>8430</v>
      </c>
    </row>
    <row r="4873" ht="15.35" customHeight="1">
      <c r="A4873" t="s" s="2">
        <v>9265</v>
      </c>
      <c r="B4873" s="4">
        <v>42055</v>
      </c>
      <c r="C4873" s="5">
        <v>25</v>
      </c>
      <c r="D4873" s="5">
        <v>11.6</v>
      </c>
      <c r="E4873" s="5">
        <v>18.5</v>
      </c>
      <c r="F4873" t="s" s="2">
        <v>42</v>
      </c>
      <c r="G4873" t="s" s="2">
        <v>42</v>
      </c>
      <c r="H4873" s="5">
        <v>665</v>
      </c>
      <c r="I4873" t="s" s="2">
        <v>316</v>
      </c>
      <c r="J4873" t="s" s="2">
        <v>9204</v>
      </c>
      <c r="K4873" s="6"/>
      <c r="L4873" s="6"/>
      <c r="M4873" s="5">
        <v>450322.81</v>
      </c>
      <c r="N4873" s="5">
        <v>6249333.85</v>
      </c>
      <c r="O4873" t="s" s="2">
        <v>305</v>
      </c>
      <c r="P4873" s="6"/>
      <c r="Q4873" t="s" s="2">
        <v>43</v>
      </c>
      <c r="R4873" s="5">
        <f>_xlfn.IFERROR(INDEX('model_byCAP'!$D$2:$D$377,MATCH(Q4873,'model_byCAP'!$A$2:$A$377,0)),0)</f>
        <v>0</v>
      </c>
    </row>
    <row r="4874" ht="15.35" customHeight="1">
      <c r="A4874" t="s" s="2">
        <v>9266</v>
      </c>
      <c r="B4874" s="4">
        <v>41760</v>
      </c>
      <c r="C4874" s="5">
        <v>25</v>
      </c>
      <c r="D4874" s="5">
        <v>14</v>
      </c>
      <c r="E4874" s="5">
        <v>18</v>
      </c>
      <c r="F4874" t="s" s="2">
        <v>9267</v>
      </c>
      <c r="G4874" t="s" s="2">
        <v>9268</v>
      </c>
      <c r="H4874" s="5">
        <v>665</v>
      </c>
      <c r="I4874" t="s" s="2">
        <v>316</v>
      </c>
      <c r="J4874" t="s" s="2">
        <v>9204</v>
      </c>
      <c r="K4874" s="6"/>
      <c r="L4874" s="6"/>
      <c r="M4874" s="5">
        <v>455089.36</v>
      </c>
      <c r="N4874" s="5">
        <v>6263476.04</v>
      </c>
      <c r="O4874" t="s" s="2">
        <v>305</v>
      </c>
      <c r="P4874" s="6"/>
      <c r="Q4874" t="s" s="2">
        <v>9269</v>
      </c>
      <c r="R4874" s="5">
        <f>_xlfn.IFERROR(INDEX('model_byCAP'!$D$2:$D$377,MATCH(Q4874,'model_byCAP'!$A$2:$A$377,0)),0)</f>
        <v>0</v>
      </c>
    </row>
    <row r="4875" ht="15.35" customHeight="1">
      <c r="A4875" t="s" s="2">
        <v>9270</v>
      </c>
      <c r="B4875" s="4">
        <v>41781</v>
      </c>
      <c r="C4875" s="5">
        <v>25</v>
      </c>
      <c r="D4875" s="5">
        <v>14</v>
      </c>
      <c r="E4875" s="5">
        <v>18</v>
      </c>
      <c r="F4875" t="s" s="2">
        <v>9209</v>
      </c>
      <c r="G4875" t="s" s="2">
        <v>9210</v>
      </c>
      <c r="H4875" s="5">
        <v>665</v>
      </c>
      <c r="I4875" t="s" s="2">
        <v>316</v>
      </c>
      <c r="J4875" t="s" s="2">
        <v>9204</v>
      </c>
      <c r="K4875" s="6"/>
      <c r="L4875" s="6"/>
      <c r="M4875" s="5">
        <v>459211.39</v>
      </c>
      <c r="N4875" s="5">
        <v>6266092.22</v>
      </c>
      <c r="O4875" t="s" s="2">
        <v>305</v>
      </c>
      <c r="P4875" s="6"/>
      <c r="Q4875" t="s" s="2">
        <v>9211</v>
      </c>
      <c r="R4875" t="s" s="2">
        <f>_xlfn.IFERROR(INDEX('model_byCAP'!$D$2:$D$377,MATCH(Q4875,'model_byCAP'!$A$2:$A$377,0)),0)</f>
        <v>8430</v>
      </c>
    </row>
    <row r="4876" ht="15.35" customHeight="1">
      <c r="A4876" t="s" s="2">
        <v>9271</v>
      </c>
      <c r="B4876" s="4">
        <v>41781</v>
      </c>
      <c r="C4876" s="5">
        <v>25</v>
      </c>
      <c r="D4876" s="5">
        <v>14</v>
      </c>
      <c r="E4876" s="5">
        <v>18</v>
      </c>
      <c r="F4876" t="s" s="2">
        <v>42</v>
      </c>
      <c r="G4876" t="s" s="2">
        <v>42</v>
      </c>
      <c r="H4876" s="5">
        <v>665</v>
      </c>
      <c r="I4876" t="s" s="2">
        <v>316</v>
      </c>
      <c r="J4876" t="s" s="2">
        <v>9204</v>
      </c>
      <c r="K4876" s="6"/>
      <c r="L4876" s="6"/>
      <c r="M4876" s="5">
        <v>455012.71</v>
      </c>
      <c r="N4876" s="5">
        <v>6264663.37</v>
      </c>
      <c r="O4876" t="s" s="2">
        <v>305</v>
      </c>
      <c r="P4876" s="6"/>
      <c r="Q4876" t="s" s="2">
        <v>43</v>
      </c>
      <c r="R4876" s="5">
        <f>_xlfn.IFERROR(INDEX('model_byCAP'!$D$2:$D$377,MATCH(Q4876,'model_byCAP'!$A$2:$A$377,0)),0)</f>
        <v>0</v>
      </c>
    </row>
    <row r="4877" ht="15.35" customHeight="1">
      <c r="A4877" t="s" s="2">
        <v>9272</v>
      </c>
      <c r="B4877" s="4">
        <v>41977</v>
      </c>
      <c r="C4877" s="5">
        <v>25</v>
      </c>
      <c r="D4877" s="5">
        <v>14</v>
      </c>
      <c r="E4877" s="5">
        <v>18</v>
      </c>
      <c r="F4877" t="s" s="2">
        <v>9209</v>
      </c>
      <c r="G4877" t="s" s="2">
        <v>9210</v>
      </c>
      <c r="H4877" s="5">
        <v>665</v>
      </c>
      <c r="I4877" t="s" s="2">
        <v>316</v>
      </c>
      <c r="J4877" t="s" s="2">
        <v>9204</v>
      </c>
      <c r="K4877" s="6"/>
      <c r="L4877" s="6"/>
      <c r="M4877" s="5">
        <v>454319.25</v>
      </c>
      <c r="N4877" s="5">
        <v>6271177.47</v>
      </c>
      <c r="O4877" t="s" s="2">
        <v>305</v>
      </c>
      <c r="P4877" s="6"/>
      <c r="Q4877" t="s" s="2">
        <v>9211</v>
      </c>
      <c r="R4877" t="s" s="2">
        <f>_xlfn.IFERROR(INDEX('model_byCAP'!$D$2:$D$377,MATCH(Q4877,'model_byCAP'!$A$2:$A$377,0)),0)</f>
        <v>8430</v>
      </c>
    </row>
    <row r="4878" ht="15.35" customHeight="1">
      <c r="A4878" t="s" s="2">
        <v>9273</v>
      </c>
      <c r="B4878" s="4">
        <v>41989</v>
      </c>
      <c r="C4878" s="5">
        <v>25</v>
      </c>
      <c r="D4878" s="5">
        <v>14</v>
      </c>
      <c r="E4878" s="5">
        <v>18</v>
      </c>
      <c r="F4878" t="s" s="2">
        <v>9209</v>
      </c>
      <c r="G4878" t="s" s="2">
        <v>9210</v>
      </c>
      <c r="H4878" s="5">
        <v>665</v>
      </c>
      <c r="I4878" t="s" s="2">
        <v>316</v>
      </c>
      <c r="J4878" t="s" s="2">
        <v>9204</v>
      </c>
      <c r="K4878" s="6"/>
      <c r="L4878" s="6"/>
      <c r="M4878" s="5">
        <v>454803.75</v>
      </c>
      <c r="N4878" s="5">
        <v>6263946.25</v>
      </c>
      <c r="O4878" t="s" s="2">
        <v>305</v>
      </c>
      <c r="P4878" s="6"/>
      <c r="Q4878" t="s" s="2">
        <v>9211</v>
      </c>
      <c r="R4878" t="s" s="2">
        <f>_xlfn.IFERROR(INDEX('model_byCAP'!$D$2:$D$377,MATCH(Q4878,'model_byCAP'!$A$2:$A$377,0)),0)</f>
        <v>8430</v>
      </c>
    </row>
    <row r="4879" ht="15.35" customHeight="1">
      <c r="A4879" t="s" s="2">
        <v>9274</v>
      </c>
      <c r="B4879" s="4">
        <v>42037</v>
      </c>
      <c r="C4879" s="5">
        <v>25</v>
      </c>
      <c r="D4879" s="5">
        <v>14</v>
      </c>
      <c r="E4879" s="5">
        <v>18</v>
      </c>
      <c r="F4879" t="s" s="2">
        <v>9209</v>
      </c>
      <c r="G4879" t="s" s="2">
        <v>9210</v>
      </c>
      <c r="H4879" s="5">
        <v>665</v>
      </c>
      <c r="I4879" t="s" s="2">
        <v>316</v>
      </c>
      <c r="J4879" t="s" s="2">
        <v>9204</v>
      </c>
      <c r="K4879" s="6"/>
      <c r="L4879" s="6"/>
      <c r="M4879" s="5">
        <v>459461.93</v>
      </c>
      <c r="N4879" s="5">
        <v>6266096.05</v>
      </c>
      <c r="O4879" t="s" s="2">
        <v>305</v>
      </c>
      <c r="P4879" s="6"/>
      <c r="Q4879" t="s" s="2">
        <v>9211</v>
      </c>
      <c r="R4879" t="s" s="2">
        <f>_xlfn.IFERROR(INDEX('model_byCAP'!$D$2:$D$377,MATCH(Q4879,'model_byCAP'!$A$2:$A$377,0)),0)</f>
        <v>8430</v>
      </c>
    </row>
    <row r="4880" ht="15.35" customHeight="1">
      <c r="A4880" t="s" s="2">
        <v>9275</v>
      </c>
      <c r="B4880" s="4">
        <v>42044</v>
      </c>
      <c r="C4880" s="5">
        <v>25</v>
      </c>
      <c r="D4880" s="5">
        <v>14</v>
      </c>
      <c r="E4880" s="5">
        <v>18</v>
      </c>
      <c r="F4880" t="s" s="2">
        <v>9209</v>
      </c>
      <c r="G4880" t="s" s="2">
        <v>9210</v>
      </c>
      <c r="H4880" s="5">
        <v>665</v>
      </c>
      <c r="I4880" t="s" s="2">
        <v>316</v>
      </c>
      <c r="J4880" t="s" s="2">
        <v>9204</v>
      </c>
      <c r="K4880" s="6"/>
      <c r="L4880" s="6"/>
      <c r="M4880" s="5">
        <v>451435.09</v>
      </c>
      <c r="N4880" s="5">
        <v>6265598.29</v>
      </c>
      <c r="O4880" t="s" s="2">
        <v>305</v>
      </c>
      <c r="P4880" s="6"/>
      <c r="Q4880" t="s" s="2">
        <v>9211</v>
      </c>
      <c r="R4880" t="s" s="2">
        <f>_xlfn.IFERROR(INDEX('model_byCAP'!$D$2:$D$377,MATCH(Q4880,'model_byCAP'!$A$2:$A$377,0)),0)</f>
        <v>8430</v>
      </c>
    </row>
    <row r="4881" ht="15.35" customHeight="1">
      <c r="A4881" t="s" s="2">
        <v>9276</v>
      </c>
      <c r="B4881" s="4">
        <v>42103</v>
      </c>
      <c r="C4881" s="5">
        <v>25</v>
      </c>
      <c r="D4881" s="5">
        <v>14</v>
      </c>
      <c r="E4881" s="5">
        <v>18</v>
      </c>
      <c r="F4881" t="s" s="2">
        <v>9209</v>
      </c>
      <c r="G4881" t="s" s="2">
        <v>9210</v>
      </c>
      <c r="H4881" s="5">
        <v>665</v>
      </c>
      <c r="I4881" t="s" s="2">
        <v>316</v>
      </c>
      <c r="J4881" t="s" s="2">
        <v>9204</v>
      </c>
      <c r="K4881" s="6"/>
      <c r="L4881" s="6"/>
      <c r="M4881" s="5">
        <v>450795.75</v>
      </c>
      <c r="N4881" s="5">
        <v>6268975.49</v>
      </c>
      <c r="O4881" t="s" s="2">
        <v>305</v>
      </c>
      <c r="P4881" s="6"/>
      <c r="Q4881" t="s" s="2">
        <v>9211</v>
      </c>
      <c r="R4881" t="s" s="2">
        <f>_xlfn.IFERROR(INDEX('model_byCAP'!$D$2:$D$377,MATCH(Q4881,'model_byCAP'!$A$2:$A$377,0)),0)</f>
        <v>8430</v>
      </c>
    </row>
    <row r="4882" ht="15.35" customHeight="1">
      <c r="A4882" t="s" s="2">
        <v>9277</v>
      </c>
      <c r="B4882" s="4">
        <v>42089</v>
      </c>
      <c r="C4882" s="5">
        <v>25</v>
      </c>
      <c r="D4882" s="5">
        <v>14</v>
      </c>
      <c r="E4882" s="5">
        <v>18</v>
      </c>
      <c r="F4882" t="s" s="2">
        <v>9209</v>
      </c>
      <c r="G4882" t="s" s="2">
        <v>9210</v>
      </c>
      <c r="H4882" s="5">
        <v>665</v>
      </c>
      <c r="I4882" t="s" s="2">
        <v>316</v>
      </c>
      <c r="J4882" t="s" s="2">
        <v>9204</v>
      </c>
      <c r="K4882" s="6"/>
      <c r="L4882" s="6"/>
      <c r="M4882" s="5">
        <v>463194.76</v>
      </c>
      <c r="N4882" s="5">
        <v>6266999.29</v>
      </c>
      <c r="O4882" t="s" s="2">
        <v>305</v>
      </c>
      <c r="P4882" s="6"/>
      <c r="Q4882" t="s" s="2">
        <v>9211</v>
      </c>
      <c r="R4882" t="s" s="2">
        <f>_xlfn.IFERROR(INDEX('model_byCAP'!$D$2:$D$377,MATCH(Q4882,'model_byCAP'!$A$2:$A$377,0)),0)</f>
        <v>8430</v>
      </c>
    </row>
    <row r="4883" ht="15.35" customHeight="1">
      <c r="A4883" t="s" s="2">
        <v>9278</v>
      </c>
      <c r="B4883" s="4">
        <v>42114</v>
      </c>
      <c r="C4883" s="5">
        <v>25</v>
      </c>
      <c r="D4883" s="5">
        <v>13</v>
      </c>
      <c r="E4883" s="5">
        <v>18</v>
      </c>
      <c r="F4883" t="s" s="2">
        <v>9202</v>
      </c>
      <c r="G4883" t="s" s="2">
        <v>9203</v>
      </c>
      <c r="H4883" s="5">
        <v>665</v>
      </c>
      <c r="I4883" t="s" s="2">
        <v>316</v>
      </c>
      <c r="J4883" t="s" s="2">
        <v>9204</v>
      </c>
      <c r="K4883" s="6"/>
      <c r="L4883" s="6"/>
      <c r="M4883" s="5">
        <v>451108.09</v>
      </c>
      <c r="N4883" s="5">
        <v>6256691.67</v>
      </c>
      <c r="O4883" t="s" s="2">
        <v>305</v>
      </c>
      <c r="P4883" s="6"/>
      <c r="Q4883" t="s" s="2">
        <v>9205</v>
      </c>
      <c r="R4883" t="s" s="2">
        <f>_xlfn.IFERROR(INDEX('model_byCAP'!$D$2:$D$377,MATCH(Q4883,'model_byCAP'!$A$2:$A$377,0)),0)</f>
        <v>8430</v>
      </c>
    </row>
    <row r="4884" ht="15.35" customHeight="1">
      <c r="A4884" t="s" s="2">
        <v>9279</v>
      </c>
      <c r="B4884" s="4">
        <v>42257</v>
      </c>
      <c r="C4884" s="5">
        <v>25</v>
      </c>
      <c r="D4884" s="5">
        <v>14</v>
      </c>
      <c r="E4884" s="5">
        <v>18</v>
      </c>
      <c r="F4884" t="s" s="2">
        <v>9209</v>
      </c>
      <c r="G4884" t="s" s="2">
        <v>9210</v>
      </c>
      <c r="H4884" s="5">
        <v>665</v>
      </c>
      <c r="I4884" t="s" s="2">
        <v>316</v>
      </c>
      <c r="J4884" t="s" s="2">
        <v>9204</v>
      </c>
      <c r="K4884" s="6"/>
      <c r="L4884" s="6"/>
      <c r="M4884" s="5">
        <v>449939.99</v>
      </c>
      <c r="N4884" s="5">
        <v>6263434.31</v>
      </c>
      <c r="O4884" t="s" s="2">
        <v>305</v>
      </c>
      <c r="P4884" s="6"/>
      <c r="Q4884" t="s" s="2">
        <v>9211</v>
      </c>
      <c r="R4884" t="s" s="2">
        <f>_xlfn.IFERROR(INDEX('model_byCAP'!$D$2:$D$377,MATCH(Q4884,'model_byCAP'!$A$2:$A$377,0)),0)</f>
        <v>8430</v>
      </c>
    </row>
    <row r="4885" ht="15.35" customHeight="1">
      <c r="A4885" t="s" s="2">
        <v>9280</v>
      </c>
      <c r="B4885" s="4">
        <v>42270</v>
      </c>
      <c r="C4885" s="5">
        <v>25</v>
      </c>
      <c r="D4885" s="5">
        <v>14</v>
      </c>
      <c r="E4885" s="5">
        <v>18</v>
      </c>
      <c r="F4885" t="s" s="2">
        <v>9209</v>
      </c>
      <c r="G4885" t="s" s="2">
        <v>9210</v>
      </c>
      <c r="H4885" s="5">
        <v>665</v>
      </c>
      <c r="I4885" t="s" s="2">
        <v>316</v>
      </c>
      <c r="J4885" t="s" s="2">
        <v>9204</v>
      </c>
      <c r="K4885" s="6"/>
      <c r="L4885" s="6"/>
      <c r="M4885" s="5">
        <v>451304.24</v>
      </c>
      <c r="N4885" s="5">
        <v>6266795.53</v>
      </c>
      <c r="O4885" t="s" s="2">
        <v>305</v>
      </c>
      <c r="P4885" s="6"/>
      <c r="Q4885" t="s" s="2">
        <v>9211</v>
      </c>
      <c r="R4885" t="s" s="2">
        <f>_xlfn.IFERROR(INDEX('model_byCAP'!$D$2:$D$377,MATCH(Q4885,'model_byCAP'!$A$2:$A$377,0)),0)</f>
        <v>8430</v>
      </c>
    </row>
    <row r="4886" ht="15.35" customHeight="1">
      <c r="A4886" t="s" s="2">
        <v>9281</v>
      </c>
      <c r="B4886" s="4">
        <v>42304</v>
      </c>
      <c r="C4886" s="5">
        <v>25</v>
      </c>
      <c r="D4886" s="5">
        <v>14</v>
      </c>
      <c r="E4886" s="5">
        <v>18</v>
      </c>
      <c r="F4886" t="s" s="2">
        <v>9209</v>
      </c>
      <c r="G4886" t="s" s="2">
        <v>9210</v>
      </c>
      <c r="H4886" s="5">
        <v>665</v>
      </c>
      <c r="I4886" t="s" s="2">
        <v>316</v>
      </c>
      <c r="J4886" t="s" s="2">
        <v>9204</v>
      </c>
      <c r="K4886" s="6"/>
      <c r="L4886" s="6"/>
      <c r="M4886" s="5">
        <v>450713.48</v>
      </c>
      <c r="N4886" s="5">
        <v>6266073.86</v>
      </c>
      <c r="O4886" t="s" s="2">
        <v>305</v>
      </c>
      <c r="P4886" s="6"/>
      <c r="Q4886" t="s" s="2">
        <v>9211</v>
      </c>
      <c r="R4886" t="s" s="2">
        <f>_xlfn.IFERROR(INDEX('model_byCAP'!$D$2:$D$377,MATCH(Q4886,'model_byCAP'!$A$2:$A$377,0)),0)</f>
        <v>8430</v>
      </c>
    </row>
    <row r="4887" ht="15.35" customHeight="1">
      <c r="A4887" t="s" s="2">
        <v>9282</v>
      </c>
      <c r="B4887" s="4">
        <v>42326</v>
      </c>
      <c r="C4887" s="5">
        <v>25</v>
      </c>
      <c r="D4887" s="5">
        <v>14</v>
      </c>
      <c r="E4887" s="5">
        <v>18</v>
      </c>
      <c r="F4887" t="s" s="2">
        <v>9209</v>
      </c>
      <c r="G4887" t="s" s="2">
        <v>9210</v>
      </c>
      <c r="H4887" s="5">
        <v>665</v>
      </c>
      <c r="I4887" t="s" s="2">
        <v>316</v>
      </c>
      <c r="J4887" t="s" s="2">
        <v>9204</v>
      </c>
      <c r="K4887" s="6"/>
      <c r="L4887" s="6"/>
      <c r="M4887" s="5">
        <v>449944.33</v>
      </c>
      <c r="N4887" s="5">
        <v>6268349.91</v>
      </c>
      <c r="O4887" t="s" s="2">
        <v>305</v>
      </c>
      <c r="P4887" s="6"/>
      <c r="Q4887" t="s" s="2">
        <v>9211</v>
      </c>
      <c r="R4887" t="s" s="2">
        <f>_xlfn.IFERROR(INDEX('model_byCAP'!$D$2:$D$377,MATCH(Q4887,'model_byCAP'!$A$2:$A$377,0)),0)</f>
        <v>8430</v>
      </c>
    </row>
    <row r="4888" ht="15.35" customHeight="1">
      <c r="A4888" t="s" s="2">
        <v>9283</v>
      </c>
      <c r="B4888" s="4">
        <v>42361</v>
      </c>
      <c r="C4888" s="5">
        <v>25</v>
      </c>
      <c r="D4888" s="5">
        <v>14</v>
      </c>
      <c r="E4888" s="5">
        <v>18</v>
      </c>
      <c r="F4888" t="s" s="2">
        <v>9209</v>
      </c>
      <c r="G4888" t="s" s="2">
        <v>9210</v>
      </c>
      <c r="H4888" s="5">
        <v>665</v>
      </c>
      <c r="I4888" t="s" s="2">
        <v>316</v>
      </c>
      <c r="J4888" t="s" s="2">
        <v>9204</v>
      </c>
      <c r="K4888" s="6"/>
      <c r="L4888" s="6"/>
      <c r="M4888" s="5">
        <v>459151.29</v>
      </c>
      <c r="N4888" s="5">
        <v>6264631.74</v>
      </c>
      <c r="O4888" t="s" s="2">
        <v>305</v>
      </c>
      <c r="P4888" s="6"/>
      <c r="Q4888" t="s" s="2">
        <v>9211</v>
      </c>
      <c r="R4888" t="s" s="2">
        <f>_xlfn.IFERROR(INDEX('model_byCAP'!$D$2:$D$377,MATCH(Q4888,'model_byCAP'!$A$2:$A$377,0)),0)</f>
        <v>8430</v>
      </c>
    </row>
    <row r="4889" ht="15.35" customHeight="1">
      <c r="A4889" t="s" s="2">
        <v>9284</v>
      </c>
      <c r="B4889" s="4">
        <v>42479</v>
      </c>
      <c r="C4889" s="5">
        <v>25</v>
      </c>
      <c r="D4889" s="5">
        <v>14</v>
      </c>
      <c r="E4889" s="5">
        <v>18</v>
      </c>
      <c r="F4889" t="s" s="2">
        <v>9209</v>
      </c>
      <c r="G4889" t="s" s="2">
        <v>9210</v>
      </c>
      <c r="H4889" s="5">
        <v>665</v>
      </c>
      <c r="I4889" t="s" s="2">
        <v>316</v>
      </c>
      <c r="J4889" t="s" s="2">
        <v>9204</v>
      </c>
      <c r="K4889" s="6"/>
      <c r="L4889" s="6"/>
      <c r="M4889" s="5">
        <v>452174.25</v>
      </c>
      <c r="N4889" s="5">
        <v>6253735.48</v>
      </c>
      <c r="O4889" t="s" s="2">
        <v>305</v>
      </c>
      <c r="P4889" s="6"/>
      <c r="Q4889" t="s" s="2">
        <v>9211</v>
      </c>
      <c r="R4889" t="s" s="2">
        <f>_xlfn.IFERROR(INDEX('model_byCAP'!$D$2:$D$377,MATCH(Q4889,'model_byCAP'!$A$2:$A$377,0)),0)</f>
        <v>8430</v>
      </c>
    </row>
    <row r="4890" ht="15.35" customHeight="1">
      <c r="A4890" t="s" s="2">
        <v>9285</v>
      </c>
      <c r="B4890" s="4">
        <v>42529</v>
      </c>
      <c r="C4890" s="5">
        <v>25</v>
      </c>
      <c r="D4890" s="5">
        <v>14</v>
      </c>
      <c r="E4890" s="5">
        <v>18</v>
      </c>
      <c r="F4890" t="s" s="2">
        <v>9209</v>
      </c>
      <c r="G4890" t="s" s="2">
        <v>9210</v>
      </c>
      <c r="H4890" s="5">
        <v>665</v>
      </c>
      <c r="I4890" t="s" s="2">
        <v>316</v>
      </c>
      <c r="J4890" t="s" s="2">
        <v>9204</v>
      </c>
      <c r="K4890" s="6"/>
      <c r="L4890" s="6"/>
      <c r="M4890" s="6"/>
      <c r="N4890" s="6"/>
      <c r="O4890" t="s" s="2">
        <v>25</v>
      </c>
      <c r="P4890" s="6"/>
      <c r="Q4890" t="s" s="2">
        <v>9211</v>
      </c>
      <c r="R4890" t="s" s="2">
        <f>_xlfn.IFERROR(INDEX('model_byCAP'!$D$2:$D$377,MATCH(Q4890,'model_byCAP'!$A$2:$A$377,0)),0)</f>
        <v>8430</v>
      </c>
    </row>
    <row r="4891" ht="15.35" customHeight="1">
      <c r="A4891" t="s" s="2">
        <v>9286</v>
      </c>
      <c r="B4891" s="4">
        <v>42713</v>
      </c>
      <c r="C4891" s="5">
        <v>25</v>
      </c>
      <c r="D4891" s="5">
        <v>14</v>
      </c>
      <c r="E4891" s="5">
        <v>18</v>
      </c>
      <c r="F4891" t="s" s="2">
        <v>9209</v>
      </c>
      <c r="G4891" t="s" s="2">
        <v>9210</v>
      </c>
      <c r="H4891" s="5">
        <v>665</v>
      </c>
      <c r="I4891" t="s" s="2">
        <v>316</v>
      </c>
      <c r="J4891" t="s" s="2">
        <v>9204</v>
      </c>
      <c r="K4891" s="6"/>
      <c r="L4891" s="6"/>
      <c r="M4891" s="6"/>
      <c r="N4891" s="6"/>
      <c r="O4891" t="s" s="2">
        <v>25</v>
      </c>
      <c r="P4891" s="6"/>
      <c r="Q4891" t="s" s="2">
        <v>9211</v>
      </c>
      <c r="R4891" t="s" s="2">
        <f>_xlfn.IFERROR(INDEX('model_byCAP'!$D$2:$D$377,MATCH(Q4891,'model_byCAP'!$A$2:$A$377,0)),0)</f>
        <v>8430</v>
      </c>
    </row>
    <row r="4892" ht="15.35" customHeight="1">
      <c r="A4892" t="s" s="2">
        <v>9287</v>
      </c>
      <c r="B4892" s="4">
        <v>42716</v>
      </c>
      <c r="C4892" s="5">
        <v>25</v>
      </c>
      <c r="D4892" s="5">
        <v>14</v>
      </c>
      <c r="E4892" s="5">
        <v>18</v>
      </c>
      <c r="F4892" t="s" s="2">
        <v>9209</v>
      </c>
      <c r="G4892" t="s" s="2">
        <v>9210</v>
      </c>
      <c r="H4892" s="5">
        <v>665</v>
      </c>
      <c r="I4892" t="s" s="2">
        <v>316</v>
      </c>
      <c r="J4892" t="s" s="2">
        <v>9204</v>
      </c>
      <c r="K4892" s="6"/>
      <c r="L4892" s="6"/>
      <c r="M4892" s="6"/>
      <c r="N4892" s="6"/>
      <c r="O4892" t="s" s="2">
        <v>25</v>
      </c>
      <c r="P4892" s="6"/>
      <c r="Q4892" t="s" s="2">
        <v>9211</v>
      </c>
      <c r="R4892" t="s" s="2">
        <f>_xlfn.IFERROR(INDEX('model_byCAP'!$D$2:$D$377,MATCH(Q4892,'model_byCAP'!$A$2:$A$377,0)),0)</f>
        <v>8430</v>
      </c>
    </row>
    <row r="4893" ht="15.35" customHeight="1">
      <c r="A4893" t="s" s="2">
        <v>9288</v>
      </c>
      <c r="B4893" s="4">
        <v>42815</v>
      </c>
      <c r="C4893" s="5">
        <v>25</v>
      </c>
      <c r="D4893" s="5">
        <v>14</v>
      </c>
      <c r="E4893" s="5">
        <v>18</v>
      </c>
      <c r="F4893" t="s" s="2">
        <v>9209</v>
      </c>
      <c r="G4893" t="s" s="2">
        <v>9210</v>
      </c>
      <c r="H4893" s="5">
        <v>665</v>
      </c>
      <c r="I4893" t="s" s="2">
        <v>316</v>
      </c>
      <c r="J4893" t="s" s="2">
        <v>9204</v>
      </c>
      <c r="K4893" s="6"/>
      <c r="L4893" s="6"/>
      <c r="M4893" s="6"/>
      <c r="N4893" s="6"/>
      <c r="O4893" t="s" s="2">
        <v>25</v>
      </c>
      <c r="P4893" s="6"/>
      <c r="Q4893" t="s" s="2">
        <v>9211</v>
      </c>
      <c r="R4893" t="s" s="2">
        <f>_xlfn.IFERROR(INDEX('model_byCAP'!$D$2:$D$377,MATCH(Q4893,'model_byCAP'!$A$2:$A$377,0)),0)</f>
        <v>8430</v>
      </c>
    </row>
    <row r="4894" ht="15.35" customHeight="1">
      <c r="A4894" t="s" s="2">
        <v>9289</v>
      </c>
      <c r="B4894" s="4">
        <v>43152</v>
      </c>
      <c r="C4894" s="5">
        <v>25</v>
      </c>
      <c r="D4894" s="5">
        <v>14</v>
      </c>
      <c r="E4894" s="5">
        <v>18</v>
      </c>
      <c r="F4894" t="s" s="2">
        <v>9209</v>
      </c>
      <c r="G4894" t="s" s="2">
        <v>9210</v>
      </c>
      <c r="H4894" s="5">
        <v>665</v>
      </c>
      <c r="I4894" t="s" s="2">
        <v>316</v>
      </c>
      <c r="J4894" t="s" s="2">
        <v>9204</v>
      </c>
      <c r="K4894" s="6"/>
      <c r="L4894" s="6"/>
      <c r="M4894" s="6"/>
      <c r="N4894" s="6"/>
      <c r="O4894" t="s" s="2">
        <v>25</v>
      </c>
      <c r="P4894" s="6"/>
      <c r="Q4894" t="s" s="2">
        <v>9211</v>
      </c>
      <c r="R4894" t="s" s="2">
        <f>_xlfn.IFERROR(INDEX('model_byCAP'!$D$2:$D$377,MATCH(Q4894,'model_byCAP'!$A$2:$A$377,0)),0)</f>
        <v>8430</v>
      </c>
    </row>
    <row r="4895" ht="15.35" customHeight="1">
      <c r="A4895" t="s" s="2">
        <v>9290</v>
      </c>
      <c r="B4895" s="4">
        <v>41619</v>
      </c>
      <c r="C4895" s="5">
        <v>25</v>
      </c>
      <c r="D4895" s="5">
        <v>13</v>
      </c>
      <c r="E4895" s="5">
        <v>18</v>
      </c>
      <c r="F4895" t="s" s="2">
        <v>9202</v>
      </c>
      <c r="G4895" t="s" s="2">
        <v>9203</v>
      </c>
      <c r="H4895" s="5">
        <v>671</v>
      </c>
      <c r="I4895" t="s" s="2">
        <v>378</v>
      </c>
      <c r="J4895" t="s" s="2">
        <v>9204</v>
      </c>
      <c r="K4895" s="6"/>
      <c r="L4895" s="6"/>
      <c r="M4895" s="5">
        <v>470538.89</v>
      </c>
      <c r="N4895" s="5">
        <v>6274848.26</v>
      </c>
      <c r="O4895" t="s" s="2">
        <v>305</v>
      </c>
      <c r="P4895" s="6"/>
      <c r="Q4895" t="s" s="2">
        <v>9205</v>
      </c>
      <c r="R4895" t="s" s="2">
        <f>_xlfn.IFERROR(INDEX('model_byCAP'!$D$2:$D$377,MATCH(Q4895,'model_byCAP'!$A$2:$A$377,0)),0)</f>
        <v>8430</v>
      </c>
    </row>
    <row r="4896" ht="15.35" customHeight="1">
      <c r="A4896" t="s" s="2">
        <v>9291</v>
      </c>
      <c r="B4896" s="4">
        <v>41760</v>
      </c>
      <c r="C4896" s="5">
        <v>25</v>
      </c>
      <c r="D4896" s="5">
        <v>14</v>
      </c>
      <c r="E4896" s="5">
        <v>18</v>
      </c>
      <c r="F4896" t="s" s="2">
        <v>42</v>
      </c>
      <c r="G4896" t="s" s="2">
        <v>42</v>
      </c>
      <c r="H4896" s="5">
        <v>671</v>
      </c>
      <c r="I4896" t="s" s="2">
        <v>378</v>
      </c>
      <c r="J4896" t="s" s="2">
        <v>9204</v>
      </c>
      <c r="K4896" s="6"/>
      <c r="L4896" s="6"/>
      <c r="M4896" s="5">
        <v>468363.95</v>
      </c>
      <c r="N4896" s="5">
        <v>6280064.03</v>
      </c>
      <c r="O4896" t="s" s="2">
        <v>305</v>
      </c>
      <c r="P4896" s="6"/>
      <c r="Q4896" t="s" s="2">
        <v>43</v>
      </c>
      <c r="R4896" s="5">
        <f>_xlfn.IFERROR(INDEX('model_byCAP'!$D$2:$D$377,MATCH(Q4896,'model_byCAP'!$A$2:$A$377,0)),0)</f>
        <v>0</v>
      </c>
    </row>
    <row r="4897" ht="15.35" customHeight="1">
      <c r="A4897" t="s" s="2">
        <v>9292</v>
      </c>
      <c r="B4897" s="4">
        <v>44136</v>
      </c>
      <c r="C4897" s="5">
        <v>25</v>
      </c>
      <c r="D4897" s="5">
        <v>16</v>
      </c>
      <c r="E4897" s="5">
        <v>17</v>
      </c>
      <c r="F4897" t="s" s="2">
        <v>9209</v>
      </c>
      <c r="G4897" t="s" s="2">
        <v>9293</v>
      </c>
      <c r="H4897" s="5">
        <v>671</v>
      </c>
      <c r="I4897" t="s" s="2">
        <v>378</v>
      </c>
      <c r="J4897" t="s" s="2">
        <v>22</v>
      </c>
      <c r="K4897" t="s" s="2">
        <v>9294</v>
      </c>
      <c r="L4897" t="s" s="2">
        <v>3330</v>
      </c>
      <c r="M4897" s="5">
        <v>468688</v>
      </c>
      <c r="N4897" s="5">
        <v>6277135</v>
      </c>
      <c r="O4897" t="s" s="2">
        <v>25</v>
      </c>
      <c r="P4897" s="6"/>
      <c r="Q4897" t="s" s="2">
        <v>9295</v>
      </c>
      <c r="R4897" t="s" s="2">
        <f>_xlfn.IFERROR(INDEX('model_byCAP'!$D$2:$D$377,MATCH(Q4897,'model_byCAP'!$A$2:$A$377,0)),0)</f>
        <v>8430</v>
      </c>
    </row>
    <row r="4898" ht="15.35" customHeight="1">
      <c r="A4898" t="s" s="2">
        <v>9296</v>
      </c>
      <c r="B4898" s="4">
        <v>42172</v>
      </c>
      <c r="C4898" s="5">
        <v>25</v>
      </c>
      <c r="D4898" s="5">
        <v>14</v>
      </c>
      <c r="E4898" s="5">
        <v>18</v>
      </c>
      <c r="F4898" t="s" s="2">
        <v>9209</v>
      </c>
      <c r="G4898" t="s" s="2">
        <v>9210</v>
      </c>
      <c r="H4898" s="5">
        <v>671</v>
      </c>
      <c r="I4898" t="s" s="2">
        <v>378</v>
      </c>
      <c r="J4898" t="s" s="2">
        <v>9204</v>
      </c>
      <c r="K4898" s="6"/>
      <c r="L4898" s="6"/>
      <c r="M4898" s="5">
        <v>471464.11</v>
      </c>
      <c r="N4898" s="5">
        <v>6258324.13</v>
      </c>
      <c r="O4898" t="s" s="2">
        <v>305</v>
      </c>
      <c r="P4898" s="6"/>
      <c r="Q4898" t="s" s="2">
        <v>9211</v>
      </c>
      <c r="R4898" t="s" s="2">
        <f>_xlfn.IFERROR(INDEX('model_byCAP'!$D$2:$D$377,MATCH(Q4898,'model_byCAP'!$A$2:$A$377,0)),0)</f>
        <v>8430</v>
      </c>
    </row>
    <row r="4899" ht="15.35" customHeight="1">
      <c r="A4899" t="s" s="2">
        <v>9297</v>
      </c>
      <c r="B4899" s="4">
        <v>41761</v>
      </c>
      <c r="C4899" s="5">
        <v>25</v>
      </c>
      <c r="D4899" s="5">
        <v>13</v>
      </c>
      <c r="E4899" s="5">
        <v>18</v>
      </c>
      <c r="F4899" t="s" s="2">
        <v>42</v>
      </c>
      <c r="G4899" t="s" s="2">
        <v>42</v>
      </c>
      <c r="H4899" s="5">
        <v>706</v>
      </c>
      <c r="I4899" t="s" s="2">
        <v>3155</v>
      </c>
      <c r="J4899" t="s" s="2">
        <v>9204</v>
      </c>
      <c r="K4899" s="6"/>
      <c r="L4899" s="6"/>
      <c r="M4899" s="6"/>
      <c r="N4899" s="6"/>
      <c r="O4899" t="s" s="2">
        <v>25</v>
      </c>
      <c r="P4899" s="6"/>
      <c r="Q4899" t="s" s="2">
        <v>43</v>
      </c>
      <c r="R4899" s="5">
        <f>_xlfn.IFERROR(INDEX('model_byCAP'!$D$2:$D$377,MATCH(Q4899,'model_byCAP'!$A$2:$A$377,0)),0)</f>
        <v>0</v>
      </c>
    </row>
    <row r="4900" ht="15.35" customHeight="1">
      <c r="A4900" t="s" s="2">
        <v>9298</v>
      </c>
      <c r="B4900" s="4">
        <v>41761</v>
      </c>
      <c r="C4900" s="5">
        <v>25</v>
      </c>
      <c r="D4900" s="5">
        <v>13</v>
      </c>
      <c r="E4900" s="5">
        <v>18</v>
      </c>
      <c r="F4900" t="s" s="2">
        <v>42</v>
      </c>
      <c r="G4900" t="s" s="2">
        <v>42</v>
      </c>
      <c r="H4900" s="5">
        <v>706</v>
      </c>
      <c r="I4900" t="s" s="2">
        <v>3155</v>
      </c>
      <c r="J4900" t="s" s="2">
        <v>9204</v>
      </c>
      <c r="K4900" s="6"/>
      <c r="L4900" s="6"/>
      <c r="M4900" s="5">
        <v>584758.73</v>
      </c>
      <c r="N4900" s="5">
        <v>6242491.03</v>
      </c>
      <c r="O4900" t="s" s="2">
        <v>305</v>
      </c>
      <c r="P4900" s="6"/>
      <c r="Q4900" t="s" s="2">
        <v>43</v>
      </c>
      <c r="R4900" s="5">
        <f>_xlfn.IFERROR(INDEX('model_byCAP'!$D$2:$D$377,MATCH(Q4900,'model_byCAP'!$A$2:$A$377,0)),0)</f>
        <v>0</v>
      </c>
    </row>
    <row r="4901" ht="15.35" customHeight="1">
      <c r="A4901" t="s" s="2">
        <v>9299</v>
      </c>
      <c r="B4901" s="4">
        <v>43164</v>
      </c>
      <c r="C4901" s="5">
        <v>25</v>
      </c>
      <c r="D4901" s="5">
        <v>13</v>
      </c>
      <c r="E4901" s="5">
        <v>24</v>
      </c>
      <c r="F4901" t="s" s="2">
        <v>9202</v>
      </c>
      <c r="G4901" t="s" s="2">
        <v>9203</v>
      </c>
      <c r="H4901" s="5">
        <v>707</v>
      </c>
      <c r="I4901" t="s" s="2">
        <v>616</v>
      </c>
      <c r="J4901" t="s" s="2">
        <v>9204</v>
      </c>
      <c r="K4901" s="6"/>
      <c r="L4901" s="6"/>
      <c r="M4901" s="6"/>
      <c r="N4901" s="6"/>
      <c r="O4901" t="s" s="2">
        <v>25</v>
      </c>
      <c r="P4901" s="6"/>
      <c r="Q4901" t="s" s="2">
        <v>9205</v>
      </c>
      <c r="R4901" t="s" s="2">
        <f>_xlfn.IFERROR(INDEX('model_byCAP'!$D$2:$D$377,MATCH(Q4901,'model_byCAP'!$A$2:$A$377,0)),0)</f>
        <v>8430</v>
      </c>
    </row>
    <row r="4902" ht="15.35" customHeight="1">
      <c r="A4902" t="s" s="2">
        <v>9300</v>
      </c>
      <c r="B4902" s="4">
        <v>43356</v>
      </c>
      <c r="C4902" s="5">
        <v>25</v>
      </c>
      <c r="D4902" s="5">
        <v>13</v>
      </c>
      <c r="E4902" s="5">
        <v>18</v>
      </c>
      <c r="F4902" t="s" s="2">
        <v>9202</v>
      </c>
      <c r="G4902" t="s" s="2">
        <v>9203</v>
      </c>
      <c r="H4902" s="5">
        <v>707</v>
      </c>
      <c r="I4902" t="s" s="2">
        <v>616</v>
      </c>
      <c r="J4902" t="s" s="2">
        <v>9204</v>
      </c>
      <c r="K4902" s="6"/>
      <c r="L4902" s="6"/>
      <c r="M4902" s="6"/>
      <c r="N4902" s="6"/>
      <c r="O4902" t="s" s="2">
        <v>25</v>
      </c>
      <c r="P4902" s="6"/>
      <c r="Q4902" t="s" s="2">
        <v>9205</v>
      </c>
      <c r="R4902" t="s" s="2">
        <f>_xlfn.IFERROR(INDEX('model_byCAP'!$D$2:$D$377,MATCH(Q4902,'model_byCAP'!$A$2:$A$377,0)),0)</f>
        <v>8430</v>
      </c>
    </row>
    <row r="4903" ht="15.35" customHeight="1">
      <c r="A4903" t="s" s="2">
        <v>9301</v>
      </c>
      <c r="B4903" s="4">
        <v>41951</v>
      </c>
      <c r="C4903" s="5">
        <v>25</v>
      </c>
      <c r="D4903" s="5">
        <v>13</v>
      </c>
      <c r="E4903" s="5">
        <v>18</v>
      </c>
      <c r="F4903" t="s" s="2">
        <v>9202</v>
      </c>
      <c r="G4903" t="s" s="2">
        <v>9203</v>
      </c>
      <c r="H4903" s="5">
        <v>730</v>
      </c>
      <c r="I4903" t="s" s="2">
        <v>843</v>
      </c>
      <c r="J4903" t="s" s="2">
        <v>9204</v>
      </c>
      <c r="K4903" s="6"/>
      <c r="L4903" s="6"/>
      <c r="M4903" s="6"/>
      <c r="N4903" s="6"/>
      <c r="O4903" t="s" s="2">
        <v>25</v>
      </c>
      <c r="P4903" s="6"/>
      <c r="Q4903" t="s" s="2">
        <v>9205</v>
      </c>
      <c r="R4903" t="s" s="2">
        <f>_xlfn.IFERROR(INDEX('model_byCAP'!$D$2:$D$377,MATCH(Q4903,'model_byCAP'!$A$2:$A$377,0)),0)</f>
        <v>8430</v>
      </c>
    </row>
    <row r="4904" ht="15.35" customHeight="1">
      <c r="A4904" t="s" s="2">
        <v>9302</v>
      </c>
      <c r="B4904" s="4">
        <v>42192</v>
      </c>
      <c r="C4904" s="5">
        <v>25</v>
      </c>
      <c r="D4904" s="5">
        <v>14</v>
      </c>
      <c r="E4904" s="5">
        <v>18</v>
      </c>
      <c r="F4904" t="s" s="2">
        <v>9209</v>
      </c>
      <c r="G4904" t="s" s="2">
        <v>9210</v>
      </c>
      <c r="H4904" s="5">
        <v>740</v>
      </c>
      <c r="I4904" t="s" s="2">
        <v>899</v>
      </c>
      <c r="J4904" t="s" s="2">
        <v>9204</v>
      </c>
      <c r="K4904" s="6"/>
      <c r="L4904" s="6"/>
      <c r="M4904" s="5">
        <v>541379.4300000001</v>
      </c>
      <c r="N4904" s="5">
        <v>6224821.37</v>
      </c>
      <c r="O4904" t="s" s="2">
        <v>305</v>
      </c>
      <c r="P4904" s="6"/>
      <c r="Q4904" t="s" s="2">
        <v>9211</v>
      </c>
      <c r="R4904" t="s" s="2">
        <f>_xlfn.IFERROR(INDEX('model_byCAP'!$D$2:$D$377,MATCH(Q4904,'model_byCAP'!$A$2:$A$377,0)),0)</f>
        <v>8430</v>
      </c>
    </row>
    <row r="4905" ht="15.35" customHeight="1">
      <c r="A4905" t="s" s="2">
        <v>9303</v>
      </c>
      <c r="B4905" s="4">
        <v>42271</v>
      </c>
      <c r="C4905" s="5">
        <v>25</v>
      </c>
      <c r="D4905" s="5">
        <v>12.6</v>
      </c>
      <c r="E4905" s="5">
        <v>18</v>
      </c>
      <c r="F4905" t="s" s="2">
        <v>9304</v>
      </c>
      <c r="G4905" t="s" s="2">
        <v>9305</v>
      </c>
      <c r="H4905" s="5">
        <v>746</v>
      </c>
      <c r="I4905" t="s" s="2">
        <v>902</v>
      </c>
      <c r="J4905" t="s" s="2">
        <v>9204</v>
      </c>
      <c r="K4905" s="6"/>
      <c r="L4905" s="6"/>
      <c r="M4905" s="5">
        <v>553529.91</v>
      </c>
      <c r="N4905" s="5">
        <v>6214643.65</v>
      </c>
      <c r="O4905" t="s" s="2">
        <v>305</v>
      </c>
      <c r="P4905" s="6"/>
      <c r="Q4905" t="s" s="2">
        <v>9306</v>
      </c>
      <c r="R4905" s="5">
        <f>_xlfn.IFERROR(INDEX('model_byCAP'!$D$2:$D$377,MATCH(Q4905,'model_byCAP'!$A$2:$A$377,0)),0)</f>
        <v>0</v>
      </c>
    </row>
    <row r="4906" ht="15.35" customHeight="1">
      <c r="A4906" t="s" s="2">
        <v>9307</v>
      </c>
      <c r="B4906" s="4">
        <v>39763</v>
      </c>
      <c r="C4906" s="5">
        <v>25</v>
      </c>
      <c r="D4906" s="5">
        <v>15</v>
      </c>
      <c r="E4906" s="5">
        <v>18</v>
      </c>
      <c r="F4906" t="s" s="2">
        <v>301</v>
      </c>
      <c r="G4906" t="s" s="2">
        <v>9118</v>
      </c>
      <c r="H4906" s="5">
        <v>760</v>
      </c>
      <c r="I4906" t="s" s="2">
        <v>331</v>
      </c>
      <c r="J4906" t="s" s="2">
        <v>9204</v>
      </c>
      <c r="K4906" s="6"/>
      <c r="L4906" s="6"/>
      <c r="M4906" s="5">
        <v>474613.31</v>
      </c>
      <c r="N4906" s="5">
        <v>6205197.02</v>
      </c>
      <c r="O4906" t="s" s="2">
        <v>305</v>
      </c>
      <c r="P4906" s="6"/>
      <c r="Q4906" t="s" s="2">
        <v>9120</v>
      </c>
      <c r="R4906" t="s" s="2">
        <f>_xlfn.IFERROR(INDEX('model_byCAP'!$D$2:$D$377,MATCH(Q4906,'model_byCAP'!$A$2:$A$377,0)),0)</f>
        <v>8029</v>
      </c>
    </row>
    <row r="4907" ht="15.35" customHeight="1">
      <c r="A4907" t="s" s="2">
        <v>9308</v>
      </c>
      <c r="B4907" s="4">
        <v>40099</v>
      </c>
      <c r="C4907" s="5">
        <v>25</v>
      </c>
      <c r="D4907" s="5">
        <v>15</v>
      </c>
      <c r="E4907" s="5">
        <v>18</v>
      </c>
      <c r="F4907" t="s" s="2">
        <v>301</v>
      </c>
      <c r="G4907" t="s" s="2">
        <v>9118</v>
      </c>
      <c r="H4907" s="5">
        <v>760</v>
      </c>
      <c r="I4907" t="s" s="2">
        <v>331</v>
      </c>
      <c r="J4907" t="s" s="2">
        <v>9204</v>
      </c>
      <c r="K4907" s="6"/>
      <c r="L4907" s="6"/>
      <c r="M4907" s="5">
        <v>477088.22</v>
      </c>
      <c r="N4907" s="5">
        <v>6207241.17</v>
      </c>
      <c r="O4907" t="s" s="2">
        <v>305</v>
      </c>
      <c r="P4907" s="6"/>
      <c r="Q4907" t="s" s="2">
        <v>9120</v>
      </c>
      <c r="R4907" t="s" s="2">
        <f>_xlfn.IFERROR(INDEX('model_byCAP'!$D$2:$D$377,MATCH(Q4907,'model_byCAP'!$A$2:$A$377,0)),0)</f>
        <v>8029</v>
      </c>
    </row>
    <row r="4908" ht="15.35" customHeight="1">
      <c r="A4908" t="s" s="2">
        <v>9309</v>
      </c>
      <c r="B4908" s="4">
        <v>40118</v>
      </c>
      <c r="C4908" s="5">
        <v>25</v>
      </c>
      <c r="D4908" s="5">
        <v>15</v>
      </c>
      <c r="E4908" s="5">
        <v>18</v>
      </c>
      <c r="F4908" t="s" s="2">
        <v>301</v>
      </c>
      <c r="G4908" t="s" s="2">
        <v>9118</v>
      </c>
      <c r="H4908" s="5">
        <v>760</v>
      </c>
      <c r="I4908" t="s" s="2">
        <v>331</v>
      </c>
      <c r="J4908" t="s" s="2">
        <v>9204</v>
      </c>
      <c r="K4908" s="6"/>
      <c r="L4908" s="6"/>
      <c r="M4908" s="5">
        <v>461469.55</v>
      </c>
      <c r="N4908" s="5">
        <v>6200876.21</v>
      </c>
      <c r="O4908" t="s" s="2">
        <v>305</v>
      </c>
      <c r="P4908" s="6"/>
      <c r="Q4908" t="s" s="2">
        <v>9120</v>
      </c>
      <c r="R4908" t="s" s="2">
        <f>_xlfn.IFERROR(INDEX('model_byCAP'!$D$2:$D$377,MATCH(Q4908,'model_byCAP'!$A$2:$A$377,0)),0)</f>
        <v>8029</v>
      </c>
    </row>
    <row r="4909" ht="15.35" customHeight="1">
      <c r="A4909" t="s" s="2">
        <v>9310</v>
      </c>
      <c r="B4909" s="4">
        <v>40360</v>
      </c>
      <c r="C4909" s="5">
        <v>25</v>
      </c>
      <c r="D4909" s="5">
        <v>15</v>
      </c>
      <c r="E4909" s="5">
        <v>18</v>
      </c>
      <c r="F4909" t="s" s="2">
        <v>301</v>
      </c>
      <c r="G4909" t="s" s="2">
        <v>9118</v>
      </c>
      <c r="H4909" s="5">
        <v>760</v>
      </c>
      <c r="I4909" t="s" s="2">
        <v>331</v>
      </c>
      <c r="J4909" t="s" s="2">
        <v>9204</v>
      </c>
      <c r="K4909" s="6"/>
      <c r="L4909" s="6"/>
      <c r="M4909" s="5">
        <v>471572.67</v>
      </c>
      <c r="N4909" s="5">
        <v>6203473.26</v>
      </c>
      <c r="O4909" t="s" s="2">
        <v>305</v>
      </c>
      <c r="P4909" s="6"/>
      <c r="Q4909" t="s" s="2">
        <v>9120</v>
      </c>
      <c r="R4909" t="s" s="2">
        <f>_xlfn.IFERROR(INDEX('model_byCAP'!$D$2:$D$377,MATCH(Q4909,'model_byCAP'!$A$2:$A$377,0)),0)</f>
        <v>8029</v>
      </c>
    </row>
    <row r="4910" ht="15.35" customHeight="1">
      <c r="A4910" t="s" s="2">
        <v>9311</v>
      </c>
      <c r="B4910" s="4">
        <v>40695</v>
      </c>
      <c r="C4910" s="5">
        <v>25</v>
      </c>
      <c r="D4910" s="5">
        <v>15</v>
      </c>
      <c r="E4910" s="5">
        <v>18</v>
      </c>
      <c r="F4910" t="s" s="2">
        <v>301</v>
      </c>
      <c r="G4910" t="s" s="2">
        <v>9118</v>
      </c>
      <c r="H4910" s="5">
        <v>760</v>
      </c>
      <c r="I4910" t="s" s="2">
        <v>331</v>
      </c>
      <c r="J4910" t="s" s="2">
        <v>9204</v>
      </c>
      <c r="K4910" s="6"/>
      <c r="L4910" s="6"/>
      <c r="M4910" s="5">
        <v>462451.43</v>
      </c>
      <c r="N4910" s="5">
        <v>6206962.15</v>
      </c>
      <c r="O4910" t="s" s="2">
        <v>305</v>
      </c>
      <c r="P4910" s="6"/>
      <c r="Q4910" t="s" s="2">
        <v>9120</v>
      </c>
      <c r="R4910" t="s" s="2">
        <f>_xlfn.IFERROR(INDEX('model_byCAP'!$D$2:$D$377,MATCH(Q4910,'model_byCAP'!$A$2:$A$377,0)),0)</f>
        <v>8029</v>
      </c>
    </row>
    <row r="4911" ht="15.35" customHeight="1">
      <c r="A4911" t="s" s="2">
        <v>9312</v>
      </c>
      <c r="B4911" s="4">
        <v>41172</v>
      </c>
      <c r="C4911" s="5">
        <v>25</v>
      </c>
      <c r="D4911" s="5">
        <v>15</v>
      </c>
      <c r="E4911" s="5">
        <v>17</v>
      </c>
      <c r="F4911" t="s" s="2">
        <v>301</v>
      </c>
      <c r="G4911" t="s" s="2">
        <v>9118</v>
      </c>
      <c r="H4911" s="5">
        <v>760</v>
      </c>
      <c r="I4911" t="s" s="2">
        <v>331</v>
      </c>
      <c r="J4911" t="s" s="2">
        <v>9204</v>
      </c>
      <c r="K4911" s="6"/>
      <c r="L4911" s="6"/>
      <c r="M4911" s="5">
        <v>458628.13</v>
      </c>
      <c r="N4911" s="5">
        <v>6192151.12</v>
      </c>
      <c r="O4911" t="s" s="2">
        <v>305</v>
      </c>
      <c r="P4911" s="6"/>
      <c r="Q4911" t="s" s="2">
        <v>9120</v>
      </c>
      <c r="R4911" t="s" s="2">
        <f>_xlfn.IFERROR(INDEX('model_byCAP'!$D$2:$D$377,MATCH(Q4911,'model_byCAP'!$A$2:$A$377,0)),0)</f>
        <v>8029</v>
      </c>
    </row>
    <row r="4912" ht="15.35" customHeight="1">
      <c r="A4912" t="s" s="2">
        <v>9313</v>
      </c>
      <c r="B4912" s="4">
        <v>41586</v>
      </c>
      <c r="C4912" s="5">
        <v>25</v>
      </c>
      <c r="D4912" s="5">
        <v>14</v>
      </c>
      <c r="E4912" s="5">
        <v>18</v>
      </c>
      <c r="F4912" t="s" s="2">
        <v>9209</v>
      </c>
      <c r="G4912" t="s" s="2">
        <v>9210</v>
      </c>
      <c r="H4912" s="5">
        <v>760</v>
      </c>
      <c r="I4912" t="s" s="2">
        <v>331</v>
      </c>
      <c r="J4912" t="s" s="2">
        <v>9204</v>
      </c>
      <c r="K4912" s="6"/>
      <c r="L4912" s="6"/>
      <c r="M4912" s="5">
        <v>456371.95</v>
      </c>
      <c r="N4912" s="5">
        <v>6183918.35</v>
      </c>
      <c r="O4912" t="s" s="2">
        <v>305</v>
      </c>
      <c r="P4912" s="6"/>
      <c r="Q4912" t="s" s="2">
        <v>9211</v>
      </c>
      <c r="R4912" t="s" s="2">
        <f>_xlfn.IFERROR(INDEX('model_byCAP'!$D$2:$D$377,MATCH(Q4912,'model_byCAP'!$A$2:$A$377,0)),0)</f>
        <v>8430</v>
      </c>
    </row>
    <row r="4913" ht="15.35" customHeight="1">
      <c r="A4913" t="s" s="2">
        <v>9314</v>
      </c>
      <c r="B4913" s="4">
        <v>42137</v>
      </c>
      <c r="C4913" s="5">
        <v>25</v>
      </c>
      <c r="D4913" s="5">
        <v>14</v>
      </c>
      <c r="E4913" s="5">
        <v>18</v>
      </c>
      <c r="F4913" t="s" s="2">
        <v>9209</v>
      </c>
      <c r="G4913" t="s" s="2">
        <v>9210</v>
      </c>
      <c r="H4913" s="5">
        <v>760</v>
      </c>
      <c r="I4913" t="s" s="2">
        <v>331</v>
      </c>
      <c r="J4913" t="s" s="2">
        <v>9204</v>
      </c>
      <c r="K4913" s="6"/>
      <c r="L4913" s="6"/>
      <c r="M4913" s="5">
        <v>465809.97</v>
      </c>
      <c r="N4913" s="5">
        <v>6195040.38</v>
      </c>
      <c r="O4913" t="s" s="2">
        <v>305</v>
      </c>
      <c r="P4913" s="6"/>
      <c r="Q4913" t="s" s="2">
        <v>9211</v>
      </c>
      <c r="R4913" t="s" s="2">
        <f>_xlfn.IFERROR(INDEX('model_byCAP'!$D$2:$D$377,MATCH(Q4913,'model_byCAP'!$A$2:$A$377,0)),0)</f>
        <v>8430</v>
      </c>
    </row>
    <row r="4914" ht="15.35" customHeight="1">
      <c r="A4914" t="s" s="2">
        <v>9315</v>
      </c>
      <c r="B4914" s="4">
        <v>42166</v>
      </c>
      <c r="C4914" s="5">
        <v>25</v>
      </c>
      <c r="D4914" s="5">
        <v>14</v>
      </c>
      <c r="E4914" s="5">
        <v>18</v>
      </c>
      <c r="F4914" t="s" s="2">
        <v>9209</v>
      </c>
      <c r="G4914" t="s" s="2">
        <v>9210</v>
      </c>
      <c r="H4914" s="5">
        <v>760</v>
      </c>
      <c r="I4914" t="s" s="2">
        <v>331</v>
      </c>
      <c r="J4914" t="s" s="2">
        <v>9204</v>
      </c>
      <c r="K4914" s="6"/>
      <c r="L4914" s="6"/>
      <c r="M4914" s="5">
        <v>457163.01</v>
      </c>
      <c r="N4914" s="5">
        <v>6184629.12</v>
      </c>
      <c r="O4914" t="s" s="2">
        <v>305</v>
      </c>
      <c r="P4914" s="6"/>
      <c r="Q4914" t="s" s="2">
        <v>9211</v>
      </c>
      <c r="R4914" t="s" s="2">
        <f>_xlfn.IFERROR(INDEX('model_byCAP'!$D$2:$D$377,MATCH(Q4914,'model_byCAP'!$A$2:$A$377,0)),0)</f>
        <v>8430</v>
      </c>
    </row>
    <row r="4915" ht="15.35" customHeight="1">
      <c r="A4915" t="s" s="2">
        <v>9316</v>
      </c>
      <c r="B4915" s="4">
        <v>41521</v>
      </c>
      <c r="C4915" s="5">
        <v>25</v>
      </c>
      <c r="D4915" s="5">
        <v>13</v>
      </c>
      <c r="E4915" s="5">
        <v>18</v>
      </c>
      <c r="F4915" t="s" s="2">
        <v>9202</v>
      </c>
      <c r="G4915" t="s" s="2">
        <v>9203</v>
      </c>
      <c r="H4915" s="5">
        <v>760</v>
      </c>
      <c r="I4915" t="s" s="2">
        <v>331</v>
      </c>
      <c r="J4915" t="s" s="2">
        <v>9204</v>
      </c>
      <c r="K4915" s="6"/>
      <c r="L4915" s="6"/>
      <c r="M4915" s="5">
        <v>474202.46</v>
      </c>
      <c r="N4915" s="5">
        <v>6218112.62</v>
      </c>
      <c r="O4915" t="s" s="2">
        <v>305</v>
      </c>
      <c r="P4915" s="6"/>
      <c r="Q4915" t="s" s="2">
        <v>9205</v>
      </c>
      <c r="R4915" t="s" s="2">
        <f>_xlfn.IFERROR(INDEX('model_byCAP'!$D$2:$D$377,MATCH(Q4915,'model_byCAP'!$A$2:$A$377,0)),0)</f>
        <v>8430</v>
      </c>
    </row>
    <row r="4916" ht="15.35" customHeight="1">
      <c r="A4916" t="s" s="2">
        <v>9317</v>
      </c>
      <c r="B4916" s="4">
        <v>41671</v>
      </c>
      <c r="C4916" s="5">
        <v>25</v>
      </c>
      <c r="D4916" s="5">
        <v>14</v>
      </c>
      <c r="E4916" s="5">
        <v>18</v>
      </c>
      <c r="F4916" t="s" s="2">
        <v>42</v>
      </c>
      <c r="G4916" t="s" s="2">
        <v>42</v>
      </c>
      <c r="H4916" s="5">
        <v>760</v>
      </c>
      <c r="I4916" t="s" s="2">
        <v>331</v>
      </c>
      <c r="J4916" t="s" s="2">
        <v>9204</v>
      </c>
      <c r="K4916" s="6"/>
      <c r="L4916" s="6"/>
      <c r="M4916" s="5">
        <v>464832.73</v>
      </c>
      <c r="N4916" s="5">
        <v>6217439.14</v>
      </c>
      <c r="O4916" t="s" s="2">
        <v>305</v>
      </c>
      <c r="P4916" s="6"/>
      <c r="Q4916" t="s" s="2">
        <v>43</v>
      </c>
      <c r="R4916" s="5">
        <f>_xlfn.IFERROR(INDEX('model_byCAP'!$D$2:$D$377,MATCH(Q4916,'model_byCAP'!$A$2:$A$377,0)),0)</f>
        <v>0</v>
      </c>
    </row>
    <row r="4917" ht="15.35" customHeight="1">
      <c r="A4917" t="s" s="2">
        <v>9318</v>
      </c>
      <c r="B4917" s="4">
        <v>41743</v>
      </c>
      <c r="C4917" s="5">
        <v>25</v>
      </c>
      <c r="D4917" s="5">
        <v>14</v>
      </c>
      <c r="E4917" s="5">
        <v>18</v>
      </c>
      <c r="F4917" t="s" s="2">
        <v>42</v>
      </c>
      <c r="G4917" t="s" s="2">
        <v>42</v>
      </c>
      <c r="H4917" s="5">
        <v>760</v>
      </c>
      <c r="I4917" t="s" s="2">
        <v>331</v>
      </c>
      <c r="J4917" t="s" s="2">
        <v>9204</v>
      </c>
      <c r="K4917" s="6"/>
      <c r="L4917" s="6"/>
      <c r="M4917" s="5">
        <v>461957.17</v>
      </c>
      <c r="N4917" s="5">
        <v>6200877.59</v>
      </c>
      <c r="O4917" t="s" s="2">
        <v>305</v>
      </c>
      <c r="P4917" s="6"/>
      <c r="Q4917" t="s" s="2">
        <v>43</v>
      </c>
      <c r="R4917" s="5">
        <f>_xlfn.IFERROR(INDEX('model_byCAP'!$D$2:$D$377,MATCH(Q4917,'model_byCAP'!$A$2:$A$377,0)),0)</f>
        <v>0</v>
      </c>
    </row>
    <row r="4918" ht="15.35" customHeight="1">
      <c r="A4918" t="s" s="2">
        <v>9319</v>
      </c>
      <c r="B4918" s="4">
        <v>41883</v>
      </c>
      <c r="C4918" s="5">
        <v>25</v>
      </c>
      <c r="D4918" s="5">
        <v>14</v>
      </c>
      <c r="E4918" s="5">
        <v>18</v>
      </c>
      <c r="F4918" t="s" s="2">
        <v>9209</v>
      </c>
      <c r="G4918" t="s" s="2">
        <v>9210</v>
      </c>
      <c r="H4918" s="5">
        <v>760</v>
      </c>
      <c r="I4918" t="s" s="2">
        <v>331</v>
      </c>
      <c r="J4918" t="s" s="2">
        <v>9204</v>
      </c>
      <c r="K4918" s="6"/>
      <c r="L4918" s="6"/>
      <c r="M4918" s="5">
        <v>472416.43</v>
      </c>
      <c r="N4918" s="5">
        <v>6224649.42</v>
      </c>
      <c r="O4918" t="s" s="2">
        <v>305</v>
      </c>
      <c r="P4918" s="6"/>
      <c r="Q4918" t="s" s="2">
        <v>9211</v>
      </c>
      <c r="R4918" t="s" s="2">
        <f>_xlfn.IFERROR(INDEX('model_byCAP'!$D$2:$D$377,MATCH(Q4918,'model_byCAP'!$A$2:$A$377,0)),0)</f>
        <v>8430</v>
      </c>
    </row>
    <row r="4919" ht="15.35" customHeight="1">
      <c r="A4919" t="s" s="2">
        <v>9320</v>
      </c>
      <c r="B4919" s="4">
        <v>41969</v>
      </c>
      <c r="C4919" s="5">
        <v>25</v>
      </c>
      <c r="D4919" s="5">
        <v>14</v>
      </c>
      <c r="E4919" s="5">
        <v>18</v>
      </c>
      <c r="F4919" t="s" s="2">
        <v>9209</v>
      </c>
      <c r="G4919" t="s" s="2">
        <v>9210</v>
      </c>
      <c r="H4919" s="5">
        <v>760</v>
      </c>
      <c r="I4919" t="s" s="2">
        <v>331</v>
      </c>
      <c r="J4919" t="s" s="2">
        <v>9204</v>
      </c>
      <c r="K4919" s="6"/>
      <c r="L4919" s="6"/>
      <c r="M4919" s="5">
        <v>445337.81</v>
      </c>
      <c r="N4919" s="5">
        <v>6210775.15</v>
      </c>
      <c r="O4919" t="s" s="2">
        <v>305</v>
      </c>
      <c r="P4919" s="6"/>
      <c r="Q4919" t="s" s="2">
        <v>9211</v>
      </c>
      <c r="R4919" t="s" s="2">
        <f>_xlfn.IFERROR(INDEX('model_byCAP'!$D$2:$D$377,MATCH(Q4919,'model_byCAP'!$A$2:$A$377,0)),0)</f>
        <v>8430</v>
      </c>
    </row>
    <row r="4920" ht="15.35" customHeight="1">
      <c r="A4920" t="s" s="2">
        <v>9321</v>
      </c>
      <c r="B4920" s="4">
        <v>41719</v>
      </c>
      <c r="C4920" s="5">
        <v>25</v>
      </c>
      <c r="D4920" s="5">
        <v>14</v>
      </c>
      <c r="E4920" s="5">
        <v>18</v>
      </c>
      <c r="F4920" t="s" s="2">
        <v>42</v>
      </c>
      <c r="G4920" t="s" s="2">
        <v>42</v>
      </c>
      <c r="H4920" s="5">
        <v>760</v>
      </c>
      <c r="I4920" t="s" s="2">
        <v>331</v>
      </c>
      <c r="J4920" t="s" s="2">
        <v>9204</v>
      </c>
      <c r="K4920" s="6"/>
      <c r="L4920" s="6"/>
      <c r="M4920" s="5">
        <v>474724.1</v>
      </c>
      <c r="N4920" s="5">
        <v>6217616.3</v>
      </c>
      <c r="O4920" t="s" s="2">
        <v>305</v>
      </c>
      <c r="P4920" s="6"/>
      <c r="Q4920" t="s" s="2">
        <v>43</v>
      </c>
      <c r="R4920" s="5">
        <f>_xlfn.IFERROR(INDEX('model_byCAP'!$D$2:$D$377,MATCH(Q4920,'model_byCAP'!$A$2:$A$377,0)),0)</f>
        <v>0</v>
      </c>
    </row>
    <row r="4921" ht="15.35" customHeight="1">
      <c r="A4921" t="s" s="2">
        <v>9322</v>
      </c>
      <c r="B4921" s="4">
        <v>41627</v>
      </c>
      <c r="C4921" s="5">
        <v>25</v>
      </c>
      <c r="D4921" s="5">
        <v>13</v>
      </c>
      <c r="E4921" s="5">
        <v>18</v>
      </c>
      <c r="F4921" t="s" s="2">
        <v>9202</v>
      </c>
      <c r="G4921" t="s" s="2">
        <v>9203</v>
      </c>
      <c r="H4921" s="5">
        <v>773</v>
      </c>
      <c r="I4921" t="s" s="2">
        <v>1648</v>
      </c>
      <c r="J4921" t="s" s="2">
        <v>9204</v>
      </c>
      <c r="K4921" s="6"/>
      <c r="L4921" s="6"/>
      <c r="M4921" s="5">
        <v>482515.39</v>
      </c>
      <c r="N4921" s="5">
        <v>6303297.24</v>
      </c>
      <c r="O4921" t="s" s="2">
        <v>305</v>
      </c>
      <c r="P4921" s="6"/>
      <c r="Q4921" t="s" s="2">
        <v>9205</v>
      </c>
      <c r="R4921" t="s" s="2">
        <f>_xlfn.IFERROR(INDEX('model_byCAP'!$D$2:$D$377,MATCH(Q4921,'model_byCAP'!$A$2:$A$377,0)),0)</f>
        <v>8430</v>
      </c>
    </row>
    <row r="4922" ht="15.35" customHeight="1">
      <c r="A4922" t="s" s="2">
        <v>9323</v>
      </c>
      <c r="B4922" s="4">
        <v>41627</v>
      </c>
      <c r="C4922" s="5">
        <v>25</v>
      </c>
      <c r="D4922" s="5">
        <v>13</v>
      </c>
      <c r="E4922" s="5">
        <v>18</v>
      </c>
      <c r="F4922" t="s" s="2">
        <v>9202</v>
      </c>
      <c r="G4922" t="s" s="2">
        <v>9203</v>
      </c>
      <c r="H4922" s="5">
        <v>773</v>
      </c>
      <c r="I4922" t="s" s="2">
        <v>1648</v>
      </c>
      <c r="J4922" t="s" s="2">
        <v>9204</v>
      </c>
      <c r="K4922" s="6"/>
      <c r="L4922" s="6"/>
      <c r="M4922" s="5">
        <v>482229.63</v>
      </c>
      <c r="N4922" s="5">
        <v>6287429.05</v>
      </c>
      <c r="O4922" t="s" s="2">
        <v>305</v>
      </c>
      <c r="P4922" s="6"/>
      <c r="Q4922" t="s" s="2">
        <v>9205</v>
      </c>
      <c r="R4922" t="s" s="2">
        <f>_xlfn.IFERROR(INDEX('model_byCAP'!$D$2:$D$377,MATCH(Q4922,'model_byCAP'!$A$2:$A$377,0)),0)</f>
        <v>8430</v>
      </c>
    </row>
    <row r="4923" ht="15.35" customHeight="1">
      <c r="A4923" t="s" s="2">
        <v>9324</v>
      </c>
      <c r="B4923" s="4">
        <v>42024</v>
      </c>
      <c r="C4923" s="5">
        <v>25</v>
      </c>
      <c r="D4923" s="5">
        <v>14</v>
      </c>
      <c r="E4923" s="5">
        <v>18</v>
      </c>
      <c r="F4923" t="s" s="2">
        <v>9209</v>
      </c>
      <c r="G4923" t="s" s="2">
        <v>9210</v>
      </c>
      <c r="H4923" s="5">
        <v>773</v>
      </c>
      <c r="I4923" t="s" s="2">
        <v>1648</v>
      </c>
      <c r="J4923" t="s" s="2">
        <v>9204</v>
      </c>
      <c r="K4923" s="6"/>
      <c r="L4923" s="6"/>
      <c r="M4923" s="5">
        <v>479848.76</v>
      </c>
      <c r="N4923" s="5">
        <v>6301237.88</v>
      </c>
      <c r="O4923" t="s" s="2">
        <v>305</v>
      </c>
      <c r="P4923" s="6"/>
      <c r="Q4923" t="s" s="2">
        <v>9211</v>
      </c>
      <c r="R4923" t="s" s="2">
        <f>_xlfn.IFERROR(INDEX('model_byCAP'!$D$2:$D$377,MATCH(Q4923,'model_byCAP'!$A$2:$A$377,0)),0)</f>
        <v>8430</v>
      </c>
    </row>
    <row r="4924" ht="15.35" customHeight="1">
      <c r="A4924" t="s" s="2">
        <v>9325</v>
      </c>
      <c r="B4924" s="4">
        <v>41995</v>
      </c>
      <c r="C4924" s="5">
        <v>25</v>
      </c>
      <c r="D4924" s="5">
        <v>14</v>
      </c>
      <c r="E4924" s="5">
        <v>18</v>
      </c>
      <c r="F4924" t="s" s="2">
        <v>9209</v>
      </c>
      <c r="G4924" t="s" s="2">
        <v>9210</v>
      </c>
      <c r="H4924" s="5">
        <v>779</v>
      </c>
      <c r="I4924" t="s" s="2">
        <v>1308</v>
      </c>
      <c r="J4924" t="s" s="2">
        <v>9204</v>
      </c>
      <c r="K4924" s="6"/>
      <c r="L4924" s="6"/>
      <c r="M4924" s="5">
        <v>498851.05</v>
      </c>
      <c r="N4924" s="5">
        <v>6287902.1</v>
      </c>
      <c r="O4924" t="s" s="2">
        <v>305</v>
      </c>
      <c r="P4924" s="6"/>
      <c r="Q4924" t="s" s="2">
        <v>9211</v>
      </c>
      <c r="R4924" t="s" s="2">
        <f>_xlfn.IFERROR(INDEX('model_byCAP'!$D$2:$D$377,MATCH(Q4924,'model_byCAP'!$A$2:$A$377,0)),0)</f>
        <v>8430</v>
      </c>
    </row>
    <row r="4925" ht="15.35" customHeight="1">
      <c r="A4925" t="s" s="2">
        <v>9326</v>
      </c>
      <c r="B4925" s="4">
        <v>42285</v>
      </c>
      <c r="C4925" s="5">
        <v>25</v>
      </c>
      <c r="D4925" s="5">
        <v>13</v>
      </c>
      <c r="E4925" s="5">
        <v>18</v>
      </c>
      <c r="F4925" t="s" s="2">
        <v>9202</v>
      </c>
      <c r="G4925" t="s" s="2">
        <v>9203</v>
      </c>
      <c r="H4925" s="5">
        <v>167</v>
      </c>
      <c r="I4925" t="s" s="2">
        <v>949</v>
      </c>
      <c r="J4925" t="s" s="2">
        <v>9204</v>
      </c>
      <c r="K4925" s="6"/>
      <c r="L4925" s="6"/>
      <c r="M4925" s="5">
        <v>718462.36</v>
      </c>
      <c r="N4925" s="5">
        <v>6167832.23</v>
      </c>
      <c r="O4925" t="s" s="2">
        <v>305</v>
      </c>
      <c r="P4925" s="6"/>
      <c r="Q4925" t="s" s="2">
        <v>9205</v>
      </c>
      <c r="R4925" t="s" s="2">
        <f>_xlfn.IFERROR(INDEX('model_byCAP'!$D$2:$D$377,MATCH(Q4925,'model_byCAP'!$A$2:$A$377,0)),0)</f>
        <v>8430</v>
      </c>
    </row>
    <row r="4926" ht="15.35" customHeight="1">
      <c r="A4926" t="s" s="2">
        <v>9327</v>
      </c>
      <c r="B4926" s="4">
        <v>41858</v>
      </c>
      <c r="C4926" s="5">
        <v>25</v>
      </c>
      <c r="D4926" s="5">
        <v>13</v>
      </c>
      <c r="E4926" s="5">
        <v>18</v>
      </c>
      <c r="F4926" t="s" s="2">
        <v>9202</v>
      </c>
      <c r="G4926" t="s" s="2">
        <v>9203</v>
      </c>
      <c r="H4926" s="5">
        <v>217</v>
      </c>
      <c r="I4926" t="s" s="2">
        <v>9328</v>
      </c>
      <c r="J4926" t="s" s="2">
        <v>9204</v>
      </c>
      <c r="K4926" s="6"/>
      <c r="L4926" s="6"/>
      <c r="M4926" s="5">
        <v>719252.15</v>
      </c>
      <c r="N4926" s="5">
        <v>6215807.46</v>
      </c>
      <c r="O4926" t="s" s="2">
        <v>305</v>
      </c>
      <c r="P4926" s="6"/>
      <c r="Q4926" t="s" s="2">
        <v>9205</v>
      </c>
      <c r="R4926" t="s" s="2">
        <f>_xlfn.IFERROR(INDEX('model_byCAP'!$D$2:$D$377,MATCH(Q4926,'model_byCAP'!$A$2:$A$377,0)),0)</f>
        <v>8430</v>
      </c>
    </row>
    <row r="4927" ht="15.35" customHeight="1">
      <c r="A4927" t="s" s="2">
        <v>9329</v>
      </c>
      <c r="B4927" s="4">
        <v>42360</v>
      </c>
      <c r="C4927" s="5">
        <v>25</v>
      </c>
      <c r="D4927" s="5">
        <v>13</v>
      </c>
      <c r="E4927" s="5">
        <v>18</v>
      </c>
      <c r="F4927" t="s" s="2">
        <v>9202</v>
      </c>
      <c r="G4927" t="s" s="2">
        <v>9203</v>
      </c>
      <c r="H4927" s="5">
        <v>219</v>
      </c>
      <c r="I4927" t="s" s="2">
        <v>5779</v>
      </c>
      <c r="J4927" t="s" s="2">
        <v>9204</v>
      </c>
      <c r="K4927" s="6"/>
      <c r="L4927" s="6"/>
      <c r="M4927" s="5">
        <v>700808.52</v>
      </c>
      <c r="N4927" s="5">
        <v>6197559.68</v>
      </c>
      <c r="O4927" t="s" s="2">
        <v>305</v>
      </c>
      <c r="P4927" s="6"/>
      <c r="Q4927" t="s" s="2">
        <v>9205</v>
      </c>
      <c r="R4927" t="s" s="2">
        <f>_xlfn.IFERROR(INDEX('model_byCAP'!$D$2:$D$377,MATCH(Q4927,'model_byCAP'!$A$2:$A$377,0)),0)</f>
        <v>8430</v>
      </c>
    </row>
    <row r="4928" ht="15.35" customHeight="1">
      <c r="A4928" t="s" s="2">
        <v>9330</v>
      </c>
      <c r="B4928" s="4">
        <v>42366</v>
      </c>
      <c r="C4928" s="5">
        <v>25</v>
      </c>
      <c r="D4928" s="5">
        <v>13</v>
      </c>
      <c r="E4928" s="5">
        <v>18</v>
      </c>
      <c r="F4928" t="s" s="2">
        <v>9202</v>
      </c>
      <c r="G4928" t="s" s="2">
        <v>9203</v>
      </c>
      <c r="H4928" s="5">
        <v>219</v>
      </c>
      <c r="I4928" t="s" s="2">
        <v>5779</v>
      </c>
      <c r="J4928" t="s" s="2">
        <v>9204</v>
      </c>
      <c r="K4928" s="6"/>
      <c r="L4928" s="6"/>
      <c r="M4928" s="6"/>
      <c r="N4928" s="6"/>
      <c r="O4928" t="s" s="2">
        <v>25</v>
      </c>
      <c r="P4928" s="6"/>
      <c r="Q4928" t="s" s="2">
        <v>9205</v>
      </c>
      <c r="R4928" t="s" s="2">
        <f>_xlfn.IFERROR(INDEX('model_byCAP'!$D$2:$D$377,MATCH(Q4928,'model_byCAP'!$A$2:$A$377,0)),0)</f>
        <v>8430</v>
      </c>
    </row>
    <row r="4929" ht="15.35" customHeight="1">
      <c r="A4929" t="s" s="2">
        <v>9331</v>
      </c>
      <c r="B4929" s="4">
        <v>44575</v>
      </c>
      <c r="C4929" s="5">
        <v>25</v>
      </c>
      <c r="D4929" s="5">
        <v>13</v>
      </c>
      <c r="E4929" s="5">
        <v>18</v>
      </c>
      <c r="F4929" t="s" s="2">
        <v>9202</v>
      </c>
      <c r="G4929" t="s" s="2">
        <v>9203</v>
      </c>
      <c r="H4929" s="5">
        <v>250</v>
      </c>
      <c r="I4929" t="s" s="2">
        <v>7069</v>
      </c>
      <c r="J4929" t="s" s="2">
        <v>9204</v>
      </c>
      <c r="K4929" s="6"/>
      <c r="L4929" s="6"/>
      <c r="M4929" s="6"/>
      <c r="N4929" s="6"/>
      <c r="O4929" t="s" s="2">
        <v>25</v>
      </c>
      <c r="P4929" s="6"/>
      <c r="Q4929" t="s" s="2">
        <v>9205</v>
      </c>
      <c r="R4929" t="s" s="2">
        <f>_xlfn.IFERROR(INDEX('model_byCAP'!$D$2:$D$377,MATCH(Q4929,'model_byCAP'!$A$2:$A$377,0)),0)</f>
        <v>8430</v>
      </c>
    </row>
    <row r="4930" ht="15.35" customHeight="1">
      <c r="A4930" t="s" s="2">
        <v>9332</v>
      </c>
      <c r="B4930" s="4">
        <v>31372</v>
      </c>
      <c r="C4930" s="5">
        <v>25</v>
      </c>
      <c r="D4930" s="5">
        <v>15</v>
      </c>
      <c r="E4930" s="5">
        <v>18</v>
      </c>
      <c r="F4930" t="s" s="2">
        <v>301</v>
      </c>
      <c r="G4930" t="s" s="2">
        <v>9333</v>
      </c>
      <c r="H4930" s="5">
        <v>306</v>
      </c>
      <c r="I4930" t="s" s="2">
        <v>5800</v>
      </c>
      <c r="J4930" t="s" s="2">
        <v>9204</v>
      </c>
      <c r="K4930" s="6"/>
      <c r="L4930" s="6"/>
      <c r="M4930" s="5">
        <v>663807.29</v>
      </c>
      <c r="N4930" s="5">
        <v>6195686.95</v>
      </c>
      <c r="O4930" t="s" s="2">
        <v>305</v>
      </c>
      <c r="P4930" s="6"/>
      <c r="Q4930" t="s" s="2">
        <v>9334</v>
      </c>
      <c r="R4930" t="s" s="2">
        <f>_xlfn.IFERROR(INDEX('model_byCAP'!$D$2:$D$377,MATCH(Q4930,'model_byCAP'!$A$2:$A$377,0)),0)</f>
        <v>8029</v>
      </c>
    </row>
    <row r="4931" ht="15.35" customHeight="1">
      <c r="A4931" t="s" s="2">
        <v>9335</v>
      </c>
      <c r="B4931" s="4">
        <v>40805</v>
      </c>
      <c r="C4931" s="5">
        <v>25</v>
      </c>
      <c r="D4931" s="5">
        <v>13</v>
      </c>
      <c r="E4931" s="5">
        <v>25</v>
      </c>
      <c r="F4931" t="s" s="2">
        <v>9202</v>
      </c>
      <c r="G4931" t="s" s="2">
        <v>9203</v>
      </c>
      <c r="H4931" s="5">
        <v>787</v>
      </c>
      <c r="I4931" t="s" s="2">
        <v>21</v>
      </c>
      <c r="J4931" t="s" s="2">
        <v>9204</v>
      </c>
      <c r="K4931" s="6"/>
      <c r="L4931" s="6"/>
      <c r="M4931" s="5">
        <v>475408.43</v>
      </c>
      <c r="N4931" s="5">
        <v>6317249.48</v>
      </c>
      <c r="O4931" t="s" s="2">
        <v>305</v>
      </c>
      <c r="P4931" s="6"/>
      <c r="Q4931" t="s" s="2">
        <v>9205</v>
      </c>
      <c r="R4931" t="s" s="2">
        <f>_xlfn.IFERROR(INDEX('model_byCAP'!$D$2:$D$377,MATCH(Q4931,'model_byCAP'!$A$2:$A$377,0)),0)</f>
        <v>8430</v>
      </c>
    </row>
    <row r="4932" ht="15.35" customHeight="1">
      <c r="A4932" t="s" s="2">
        <v>9336</v>
      </c>
      <c r="B4932" s="4">
        <v>41548</v>
      </c>
      <c r="C4932" s="5">
        <v>25</v>
      </c>
      <c r="D4932" s="5">
        <v>13</v>
      </c>
      <c r="E4932" s="5">
        <v>18</v>
      </c>
      <c r="F4932" t="s" s="2">
        <v>9202</v>
      </c>
      <c r="G4932" t="s" s="2">
        <v>9203</v>
      </c>
      <c r="H4932" s="5">
        <v>787</v>
      </c>
      <c r="I4932" t="s" s="2">
        <v>21</v>
      </c>
      <c r="J4932" t="s" s="2">
        <v>9204</v>
      </c>
      <c r="K4932" s="6"/>
      <c r="L4932" s="6"/>
      <c r="M4932" s="5">
        <v>466668.91</v>
      </c>
      <c r="N4932" s="5">
        <v>6292047.09</v>
      </c>
      <c r="O4932" t="s" s="2">
        <v>305</v>
      </c>
      <c r="P4932" s="6"/>
      <c r="Q4932" t="s" s="2">
        <v>9205</v>
      </c>
      <c r="R4932" t="s" s="2">
        <f>_xlfn.IFERROR(INDEX('model_byCAP'!$D$2:$D$377,MATCH(Q4932,'model_byCAP'!$A$2:$A$377,0)),0)</f>
        <v>8430</v>
      </c>
    </row>
    <row r="4933" ht="15.35" customHeight="1">
      <c r="A4933" t="s" s="2">
        <v>9337</v>
      </c>
      <c r="B4933" s="4">
        <v>41536</v>
      </c>
      <c r="C4933" s="5">
        <v>25</v>
      </c>
      <c r="D4933" s="5">
        <v>13</v>
      </c>
      <c r="E4933" s="5">
        <v>18</v>
      </c>
      <c r="F4933" t="s" s="2">
        <v>9202</v>
      </c>
      <c r="G4933" t="s" s="2">
        <v>9203</v>
      </c>
      <c r="H4933" s="5">
        <v>787</v>
      </c>
      <c r="I4933" t="s" s="2">
        <v>21</v>
      </c>
      <c r="J4933" t="s" s="2">
        <v>9204</v>
      </c>
      <c r="K4933" s="6"/>
      <c r="L4933" s="6"/>
      <c r="M4933" s="5">
        <v>459579.45</v>
      </c>
      <c r="N4933" s="5">
        <v>6287560.71</v>
      </c>
      <c r="O4933" t="s" s="2">
        <v>305</v>
      </c>
      <c r="P4933" s="6"/>
      <c r="Q4933" t="s" s="2">
        <v>9205</v>
      </c>
      <c r="R4933" t="s" s="2">
        <f>_xlfn.IFERROR(INDEX('model_byCAP'!$D$2:$D$377,MATCH(Q4933,'model_byCAP'!$A$2:$A$377,0)),0)</f>
        <v>8430</v>
      </c>
    </row>
    <row r="4934" ht="15.35" customHeight="1">
      <c r="A4934" t="s" s="2">
        <v>9338</v>
      </c>
      <c r="B4934" s="4">
        <v>41599</v>
      </c>
      <c r="C4934" s="5">
        <v>25</v>
      </c>
      <c r="D4934" s="5">
        <v>13</v>
      </c>
      <c r="E4934" s="5">
        <v>18</v>
      </c>
      <c r="F4934" t="s" s="2">
        <v>9202</v>
      </c>
      <c r="G4934" t="s" s="2">
        <v>9203</v>
      </c>
      <c r="H4934" s="5">
        <v>787</v>
      </c>
      <c r="I4934" t="s" s="2">
        <v>21</v>
      </c>
      <c r="J4934" t="s" s="2">
        <v>9204</v>
      </c>
      <c r="K4934" s="6"/>
      <c r="L4934" s="6"/>
      <c r="M4934" s="5">
        <v>460126.27</v>
      </c>
      <c r="N4934" s="5">
        <v>6290994.06</v>
      </c>
      <c r="O4934" t="s" s="2">
        <v>305</v>
      </c>
      <c r="P4934" s="6"/>
      <c r="Q4934" t="s" s="2">
        <v>9205</v>
      </c>
      <c r="R4934" t="s" s="2">
        <f>_xlfn.IFERROR(INDEX('model_byCAP'!$D$2:$D$377,MATCH(Q4934,'model_byCAP'!$A$2:$A$377,0)),0)</f>
        <v>8430</v>
      </c>
    </row>
    <row r="4935" ht="15.35" customHeight="1">
      <c r="A4935" t="s" s="2">
        <v>9339</v>
      </c>
      <c r="B4935" s="4">
        <v>41599</v>
      </c>
      <c r="C4935" s="5">
        <v>25</v>
      </c>
      <c r="D4935" s="5">
        <v>13</v>
      </c>
      <c r="E4935" s="5">
        <v>18</v>
      </c>
      <c r="F4935" t="s" s="2">
        <v>9202</v>
      </c>
      <c r="G4935" t="s" s="2">
        <v>9203</v>
      </c>
      <c r="H4935" s="5">
        <v>787</v>
      </c>
      <c r="I4935" t="s" s="2">
        <v>21</v>
      </c>
      <c r="J4935" t="s" s="2">
        <v>9204</v>
      </c>
      <c r="K4935" s="6"/>
      <c r="L4935" s="6"/>
      <c r="M4935" s="5">
        <v>459982.13</v>
      </c>
      <c r="N4935" s="5">
        <v>6291754.82</v>
      </c>
      <c r="O4935" t="s" s="2">
        <v>305</v>
      </c>
      <c r="P4935" s="6"/>
      <c r="Q4935" t="s" s="2">
        <v>9205</v>
      </c>
      <c r="R4935" t="s" s="2">
        <f>_xlfn.IFERROR(INDEX('model_byCAP'!$D$2:$D$377,MATCH(Q4935,'model_byCAP'!$A$2:$A$377,0)),0)</f>
        <v>8430</v>
      </c>
    </row>
    <row r="4936" ht="15.35" customHeight="1">
      <c r="A4936" t="s" s="2">
        <v>9340</v>
      </c>
      <c r="B4936" s="4">
        <v>41577</v>
      </c>
      <c r="C4936" s="5">
        <v>25</v>
      </c>
      <c r="D4936" s="5">
        <v>13</v>
      </c>
      <c r="E4936" s="5">
        <v>18</v>
      </c>
      <c r="F4936" t="s" s="2">
        <v>9202</v>
      </c>
      <c r="G4936" t="s" s="2">
        <v>9203</v>
      </c>
      <c r="H4936" s="5">
        <v>787</v>
      </c>
      <c r="I4936" t="s" s="2">
        <v>21</v>
      </c>
      <c r="J4936" t="s" s="2">
        <v>9204</v>
      </c>
      <c r="K4936" s="6"/>
      <c r="L4936" s="6"/>
      <c r="M4936" s="6"/>
      <c r="N4936" s="6"/>
      <c r="O4936" t="s" s="2">
        <v>25</v>
      </c>
      <c r="P4936" s="6"/>
      <c r="Q4936" t="s" s="2">
        <v>9205</v>
      </c>
      <c r="R4936" t="s" s="2">
        <f>_xlfn.IFERROR(INDEX('model_byCAP'!$D$2:$D$377,MATCH(Q4936,'model_byCAP'!$A$2:$A$377,0)),0)</f>
        <v>8430</v>
      </c>
    </row>
    <row r="4937" ht="15.35" customHeight="1">
      <c r="A4937" t="s" s="2">
        <v>9341</v>
      </c>
      <c r="B4937" s="4">
        <v>41569</v>
      </c>
      <c r="C4937" s="5">
        <v>25</v>
      </c>
      <c r="D4937" s="5">
        <v>13</v>
      </c>
      <c r="E4937" s="5">
        <v>18</v>
      </c>
      <c r="F4937" t="s" s="2">
        <v>9202</v>
      </c>
      <c r="G4937" t="s" s="2">
        <v>9203</v>
      </c>
      <c r="H4937" s="5">
        <v>787</v>
      </c>
      <c r="I4937" t="s" s="2">
        <v>21</v>
      </c>
      <c r="J4937" t="s" s="2">
        <v>9204</v>
      </c>
      <c r="K4937" s="6"/>
      <c r="L4937" s="6"/>
      <c r="M4937" s="5">
        <v>456772.8</v>
      </c>
      <c r="N4937" s="5">
        <v>6292369.03</v>
      </c>
      <c r="O4937" t="s" s="2">
        <v>305</v>
      </c>
      <c r="P4937" s="6"/>
      <c r="Q4937" t="s" s="2">
        <v>9205</v>
      </c>
      <c r="R4937" t="s" s="2">
        <f>_xlfn.IFERROR(INDEX('model_byCAP'!$D$2:$D$377,MATCH(Q4937,'model_byCAP'!$A$2:$A$377,0)),0)</f>
        <v>8430</v>
      </c>
    </row>
    <row r="4938" ht="15.35" customHeight="1">
      <c r="A4938" t="s" s="2">
        <v>9342</v>
      </c>
      <c r="B4938" s="4">
        <v>41627</v>
      </c>
      <c r="C4938" s="5">
        <v>25</v>
      </c>
      <c r="D4938" s="5">
        <v>13</v>
      </c>
      <c r="E4938" s="5">
        <v>18</v>
      </c>
      <c r="F4938" t="s" s="2">
        <v>9202</v>
      </c>
      <c r="G4938" t="s" s="2">
        <v>9203</v>
      </c>
      <c r="H4938" s="5">
        <v>787</v>
      </c>
      <c r="I4938" t="s" s="2">
        <v>21</v>
      </c>
      <c r="J4938" t="s" s="2">
        <v>9204</v>
      </c>
      <c r="K4938" s="6"/>
      <c r="L4938" s="6"/>
      <c r="M4938" s="5">
        <v>464888.4</v>
      </c>
      <c r="N4938" s="5">
        <v>6284290.17</v>
      </c>
      <c r="O4938" t="s" s="2">
        <v>305</v>
      </c>
      <c r="P4938" s="6"/>
      <c r="Q4938" t="s" s="2">
        <v>9205</v>
      </c>
      <c r="R4938" t="s" s="2">
        <f>_xlfn.IFERROR(INDEX('model_byCAP'!$D$2:$D$377,MATCH(Q4938,'model_byCAP'!$A$2:$A$377,0)),0)</f>
        <v>8430</v>
      </c>
    </row>
    <row r="4939" ht="15.35" customHeight="1">
      <c r="A4939" t="s" s="2">
        <v>9343</v>
      </c>
      <c r="B4939" s="4">
        <v>41627</v>
      </c>
      <c r="C4939" s="5">
        <v>25</v>
      </c>
      <c r="D4939" s="5">
        <v>13</v>
      </c>
      <c r="E4939" s="5">
        <v>18</v>
      </c>
      <c r="F4939" t="s" s="2">
        <v>9202</v>
      </c>
      <c r="G4939" t="s" s="2">
        <v>9203</v>
      </c>
      <c r="H4939" s="5">
        <v>787</v>
      </c>
      <c r="I4939" t="s" s="2">
        <v>21</v>
      </c>
      <c r="J4939" t="s" s="2">
        <v>9204</v>
      </c>
      <c r="K4939" s="6"/>
      <c r="L4939" s="6"/>
      <c r="M4939" s="5">
        <v>455719.33</v>
      </c>
      <c r="N4939" s="5">
        <v>6293657.43</v>
      </c>
      <c r="O4939" t="s" s="2">
        <v>305</v>
      </c>
      <c r="P4939" s="6"/>
      <c r="Q4939" t="s" s="2">
        <v>9205</v>
      </c>
      <c r="R4939" t="s" s="2">
        <f>_xlfn.IFERROR(INDEX('model_byCAP'!$D$2:$D$377,MATCH(Q4939,'model_byCAP'!$A$2:$A$377,0)),0)</f>
        <v>8430</v>
      </c>
    </row>
    <row r="4940" ht="15.35" customHeight="1">
      <c r="A4940" t="s" s="2">
        <v>9344</v>
      </c>
      <c r="B4940" s="4">
        <v>41638</v>
      </c>
      <c r="C4940" s="5">
        <v>25</v>
      </c>
      <c r="D4940" s="5">
        <v>13</v>
      </c>
      <c r="E4940" s="5">
        <v>18</v>
      </c>
      <c r="F4940" t="s" s="2">
        <v>9202</v>
      </c>
      <c r="G4940" t="s" s="2">
        <v>9203</v>
      </c>
      <c r="H4940" s="5">
        <v>787</v>
      </c>
      <c r="I4940" t="s" s="2">
        <v>21</v>
      </c>
      <c r="J4940" t="s" s="2">
        <v>9204</v>
      </c>
      <c r="K4940" s="6"/>
      <c r="L4940" s="6"/>
      <c r="M4940" s="5">
        <v>464334.91</v>
      </c>
      <c r="N4940" s="5">
        <v>6304519.85</v>
      </c>
      <c r="O4940" t="s" s="2">
        <v>305</v>
      </c>
      <c r="P4940" s="6"/>
      <c r="Q4940" t="s" s="2">
        <v>9205</v>
      </c>
      <c r="R4940" t="s" s="2">
        <f>_xlfn.IFERROR(INDEX('model_byCAP'!$D$2:$D$377,MATCH(Q4940,'model_byCAP'!$A$2:$A$377,0)),0)</f>
        <v>8430</v>
      </c>
    </row>
    <row r="4941" ht="15.35" customHeight="1">
      <c r="A4941" t="s" s="2">
        <v>9345</v>
      </c>
      <c r="B4941" s="4">
        <v>41992</v>
      </c>
      <c r="C4941" s="5">
        <v>25</v>
      </c>
      <c r="D4941" s="5">
        <v>14</v>
      </c>
      <c r="E4941" s="5">
        <v>18</v>
      </c>
      <c r="F4941" t="s" s="2">
        <v>9209</v>
      </c>
      <c r="G4941" t="s" s="2">
        <v>9210</v>
      </c>
      <c r="H4941" s="5">
        <v>787</v>
      </c>
      <c r="I4941" t="s" s="2">
        <v>21</v>
      </c>
      <c r="J4941" t="s" s="2">
        <v>9204</v>
      </c>
      <c r="K4941" s="6"/>
      <c r="L4941" s="6"/>
      <c r="M4941" s="5">
        <v>461911.33</v>
      </c>
      <c r="N4941" s="5">
        <v>6285657.44</v>
      </c>
      <c r="O4941" t="s" s="2">
        <v>305</v>
      </c>
      <c r="P4941" s="6"/>
      <c r="Q4941" t="s" s="2">
        <v>9211</v>
      </c>
      <c r="R4941" t="s" s="2">
        <f>_xlfn.IFERROR(INDEX('model_byCAP'!$D$2:$D$377,MATCH(Q4941,'model_byCAP'!$A$2:$A$377,0)),0)</f>
        <v>8430</v>
      </c>
    </row>
    <row r="4942" ht="15.35" customHeight="1">
      <c r="A4942" t="s" s="2">
        <v>9346</v>
      </c>
      <c r="B4942" s="4">
        <v>42087</v>
      </c>
      <c r="C4942" s="5">
        <v>25</v>
      </c>
      <c r="D4942" s="5">
        <v>14</v>
      </c>
      <c r="E4942" s="5">
        <v>18</v>
      </c>
      <c r="F4942" t="s" s="2">
        <v>9209</v>
      </c>
      <c r="G4942" t="s" s="2">
        <v>9210</v>
      </c>
      <c r="H4942" s="5">
        <v>787</v>
      </c>
      <c r="I4942" t="s" s="2">
        <v>21</v>
      </c>
      <c r="J4942" t="s" s="2">
        <v>9204</v>
      </c>
      <c r="K4942" s="6"/>
      <c r="L4942" s="6"/>
      <c r="M4942" s="5">
        <v>481837.11</v>
      </c>
      <c r="N4942" s="5">
        <v>6315854.82</v>
      </c>
      <c r="O4942" t="s" s="2">
        <v>305</v>
      </c>
      <c r="P4942" s="6"/>
      <c r="Q4942" t="s" s="2">
        <v>9211</v>
      </c>
      <c r="R4942" t="s" s="2">
        <f>_xlfn.IFERROR(INDEX('model_byCAP'!$D$2:$D$377,MATCH(Q4942,'model_byCAP'!$A$2:$A$377,0)),0)</f>
        <v>8430</v>
      </c>
    </row>
    <row r="4943" ht="15.35" customHeight="1">
      <c r="A4943" t="s" s="2">
        <v>9347</v>
      </c>
      <c r="B4943" s="4">
        <v>42075</v>
      </c>
      <c r="C4943" s="5">
        <v>25</v>
      </c>
      <c r="D4943" s="5">
        <v>14</v>
      </c>
      <c r="E4943" s="5">
        <v>18</v>
      </c>
      <c r="F4943" t="s" s="2">
        <v>9209</v>
      </c>
      <c r="G4943" t="s" s="2">
        <v>9210</v>
      </c>
      <c r="H4943" s="5">
        <v>787</v>
      </c>
      <c r="I4943" t="s" s="2">
        <v>21</v>
      </c>
      <c r="J4943" t="s" s="2">
        <v>9204</v>
      </c>
      <c r="K4943" s="6"/>
      <c r="L4943" s="6"/>
      <c r="M4943" s="6"/>
      <c r="N4943" s="6"/>
      <c r="O4943" t="s" s="2">
        <v>25</v>
      </c>
      <c r="P4943" s="6"/>
      <c r="Q4943" t="s" s="2">
        <v>9211</v>
      </c>
      <c r="R4943" t="s" s="2">
        <f>_xlfn.IFERROR(INDEX('model_byCAP'!$D$2:$D$377,MATCH(Q4943,'model_byCAP'!$A$2:$A$377,0)),0)</f>
        <v>8430</v>
      </c>
    </row>
    <row r="4944" ht="15.35" customHeight="1">
      <c r="A4944" t="s" s="2">
        <v>9348</v>
      </c>
      <c r="B4944" s="4">
        <v>42087</v>
      </c>
      <c r="C4944" s="5">
        <v>25</v>
      </c>
      <c r="D4944" s="5">
        <v>13</v>
      </c>
      <c r="E4944" s="5">
        <v>18</v>
      </c>
      <c r="F4944" t="s" s="2">
        <v>9202</v>
      </c>
      <c r="G4944" t="s" s="2">
        <v>9203</v>
      </c>
      <c r="H4944" s="5">
        <v>787</v>
      </c>
      <c r="I4944" t="s" s="2">
        <v>21</v>
      </c>
      <c r="J4944" t="s" s="2">
        <v>9204</v>
      </c>
      <c r="K4944" s="6"/>
      <c r="L4944" s="6"/>
      <c r="M4944" s="5">
        <v>461318.63</v>
      </c>
      <c r="N4944" s="5">
        <v>6286801.94</v>
      </c>
      <c r="O4944" t="s" s="2">
        <v>305</v>
      </c>
      <c r="P4944" s="6"/>
      <c r="Q4944" t="s" s="2">
        <v>9205</v>
      </c>
      <c r="R4944" t="s" s="2">
        <f>_xlfn.IFERROR(INDEX('model_byCAP'!$D$2:$D$377,MATCH(Q4944,'model_byCAP'!$A$2:$A$377,0)),0)</f>
        <v>8430</v>
      </c>
    </row>
    <row r="4945" ht="15.35" customHeight="1">
      <c r="A4945" t="s" s="2">
        <v>9349</v>
      </c>
      <c r="B4945" s="4">
        <v>42130</v>
      </c>
      <c r="C4945" s="5">
        <v>25</v>
      </c>
      <c r="D4945" s="5">
        <v>14</v>
      </c>
      <c r="E4945" s="5">
        <v>18</v>
      </c>
      <c r="F4945" t="s" s="2">
        <v>9209</v>
      </c>
      <c r="G4945" t="s" s="2">
        <v>9210</v>
      </c>
      <c r="H4945" s="5">
        <v>787</v>
      </c>
      <c r="I4945" t="s" s="2">
        <v>21</v>
      </c>
      <c r="J4945" t="s" s="2">
        <v>9204</v>
      </c>
      <c r="K4945" s="6"/>
      <c r="L4945" s="6"/>
      <c r="M4945" s="5">
        <v>459915.94</v>
      </c>
      <c r="N4945" s="5">
        <v>6286366.4</v>
      </c>
      <c r="O4945" t="s" s="2">
        <v>305</v>
      </c>
      <c r="P4945" s="6"/>
      <c r="Q4945" t="s" s="2">
        <v>9211</v>
      </c>
      <c r="R4945" t="s" s="2">
        <f>_xlfn.IFERROR(INDEX('model_byCAP'!$D$2:$D$377,MATCH(Q4945,'model_byCAP'!$A$2:$A$377,0)),0)</f>
        <v>8430</v>
      </c>
    </row>
    <row r="4946" ht="15.35" customHeight="1">
      <c r="A4946" t="s" s="2">
        <v>9350</v>
      </c>
      <c r="B4946" s="4">
        <v>42131</v>
      </c>
      <c r="C4946" s="5">
        <v>25</v>
      </c>
      <c r="D4946" s="5">
        <v>14</v>
      </c>
      <c r="E4946" s="5">
        <v>18</v>
      </c>
      <c r="F4946" t="s" s="2">
        <v>9209</v>
      </c>
      <c r="G4946" t="s" s="2">
        <v>9210</v>
      </c>
      <c r="H4946" s="5">
        <v>787</v>
      </c>
      <c r="I4946" t="s" s="2">
        <v>21</v>
      </c>
      <c r="J4946" t="s" s="2">
        <v>9204</v>
      </c>
      <c r="K4946" s="6"/>
      <c r="L4946" s="6"/>
      <c r="M4946" s="5">
        <v>459165.61</v>
      </c>
      <c r="N4946" s="5">
        <v>6285854.8</v>
      </c>
      <c r="O4946" t="s" s="2">
        <v>305</v>
      </c>
      <c r="P4946" s="6"/>
      <c r="Q4946" t="s" s="2">
        <v>9211</v>
      </c>
      <c r="R4946" t="s" s="2">
        <f>_xlfn.IFERROR(INDEX('model_byCAP'!$D$2:$D$377,MATCH(Q4946,'model_byCAP'!$A$2:$A$377,0)),0)</f>
        <v>8430</v>
      </c>
    </row>
    <row r="4947" ht="15.35" customHeight="1">
      <c r="A4947" t="s" s="2">
        <v>9351</v>
      </c>
      <c r="B4947" s="4">
        <v>42129</v>
      </c>
      <c r="C4947" s="5">
        <v>25</v>
      </c>
      <c r="D4947" s="5">
        <v>14</v>
      </c>
      <c r="E4947" s="5">
        <v>18</v>
      </c>
      <c r="F4947" t="s" s="2">
        <v>9209</v>
      </c>
      <c r="G4947" t="s" s="2">
        <v>9210</v>
      </c>
      <c r="H4947" s="5">
        <v>787</v>
      </c>
      <c r="I4947" t="s" s="2">
        <v>21</v>
      </c>
      <c r="J4947" t="s" s="2">
        <v>9204</v>
      </c>
      <c r="K4947" s="6"/>
      <c r="L4947" s="6"/>
      <c r="M4947" s="5">
        <v>462194.23</v>
      </c>
      <c r="N4947" s="5">
        <v>6298346.59</v>
      </c>
      <c r="O4947" t="s" s="2">
        <v>305</v>
      </c>
      <c r="P4947" s="6"/>
      <c r="Q4947" t="s" s="2">
        <v>9211</v>
      </c>
      <c r="R4947" t="s" s="2">
        <f>_xlfn.IFERROR(INDEX('model_byCAP'!$D$2:$D$377,MATCH(Q4947,'model_byCAP'!$A$2:$A$377,0)),0)</f>
        <v>8430</v>
      </c>
    </row>
    <row r="4948" ht="15.35" customHeight="1">
      <c r="A4948" t="s" s="2">
        <v>9352</v>
      </c>
      <c r="B4948" s="4">
        <v>42151</v>
      </c>
      <c r="C4948" s="5">
        <v>25</v>
      </c>
      <c r="D4948" s="5">
        <v>14</v>
      </c>
      <c r="E4948" s="5">
        <v>18</v>
      </c>
      <c r="F4948" t="s" s="2">
        <v>9209</v>
      </c>
      <c r="G4948" t="s" s="2">
        <v>9210</v>
      </c>
      <c r="H4948" s="5">
        <v>787</v>
      </c>
      <c r="I4948" t="s" s="2">
        <v>21</v>
      </c>
      <c r="J4948" t="s" s="2">
        <v>9204</v>
      </c>
      <c r="K4948" s="6"/>
      <c r="L4948" s="6"/>
      <c r="M4948" s="5">
        <v>484201.22</v>
      </c>
      <c r="N4948" s="5">
        <v>6316239.66</v>
      </c>
      <c r="O4948" t="s" s="2">
        <v>305</v>
      </c>
      <c r="P4948" s="6"/>
      <c r="Q4948" t="s" s="2">
        <v>9211</v>
      </c>
      <c r="R4948" t="s" s="2">
        <f>_xlfn.IFERROR(INDEX('model_byCAP'!$D$2:$D$377,MATCH(Q4948,'model_byCAP'!$A$2:$A$377,0)),0)</f>
        <v>8430</v>
      </c>
    </row>
    <row r="4949" ht="15.35" customHeight="1">
      <c r="A4949" t="s" s="2">
        <v>9353</v>
      </c>
      <c r="B4949" s="4">
        <v>42213</v>
      </c>
      <c r="C4949" s="5">
        <v>25</v>
      </c>
      <c r="D4949" s="5">
        <v>14</v>
      </c>
      <c r="E4949" s="5">
        <v>18</v>
      </c>
      <c r="F4949" t="s" s="2">
        <v>9209</v>
      </c>
      <c r="G4949" t="s" s="2">
        <v>9210</v>
      </c>
      <c r="H4949" s="5">
        <v>787</v>
      </c>
      <c r="I4949" t="s" s="2">
        <v>21</v>
      </c>
      <c r="J4949" t="s" s="2">
        <v>9204</v>
      </c>
      <c r="K4949" s="6"/>
      <c r="L4949" s="6"/>
      <c r="M4949" s="5">
        <v>463399.45</v>
      </c>
      <c r="N4949" s="5">
        <v>6291345.59</v>
      </c>
      <c r="O4949" t="s" s="2">
        <v>305</v>
      </c>
      <c r="P4949" s="6"/>
      <c r="Q4949" t="s" s="2">
        <v>9211</v>
      </c>
      <c r="R4949" t="s" s="2">
        <f>_xlfn.IFERROR(INDEX('model_byCAP'!$D$2:$D$377,MATCH(Q4949,'model_byCAP'!$A$2:$A$377,0)),0)</f>
        <v>8430</v>
      </c>
    </row>
    <row r="4950" ht="15.35" customHeight="1">
      <c r="A4950" t="s" s="2">
        <v>9354</v>
      </c>
      <c r="B4950" s="4">
        <v>42227</v>
      </c>
      <c r="C4950" s="5">
        <v>25</v>
      </c>
      <c r="D4950" s="5">
        <v>14</v>
      </c>
      <c r="E4950" s="5">
        <v>18</v>
      </c>
      <c r="F4950" t="s" s="2">
        <v>9209</v>
      </c>
      <c r="G4950" t="s" s="2">
        <v>9210</v>
      </c>
      <c r="H4950" s="5">
        <v>787</v>
      </c>
      <c r="I4950" t="s" s="2">
        <v>21</v>
      </c>
      <c r="J4950" t="s" s="2">
        <v>9204</v>
      </c>
      <c r="K4950" s="6"/>
      <c r="L4950" s="6"/>
      <c r="M4950" s="6"/>
      <c r="N4950" s="6"/>
      <c r="O4950" t="s" s="2">
        <v>25</v>
      </c>
      <c r="P4950" s="6"/>
      <c r="Q4950" t="s" s="2">
        <v>9211</v>
      </c>
      <c r="R4950" t="s" s="2">
        <f>_xlfn.IFERROR(INDEX('model_byCAP'!$D$2:$D$377,MATCH(Q4950,'model_byCAP'!$A$2:$A$377,0)),0)</f>
        <v>8430</v>
      </c>
    </row>
    <row r="4951" ht="15.35" customHeight="1">
      <c r="A4951" t="s" s="2">
        <v>9355</v>
      </c>
      <c r="B4951" s="4">
        <v>42236</v>
      </c>
      <c r="C4951" s="5">
        <v>25</v>
      </c>
      <c r="D4951" s="5">
        <v>14</v>
      </c>
      <c r="E4951" s="5">
        <v>18</v>
      </c>
      <c r="F4951" t="s" s="2">
        <v>9209</v>
      </c>
      <c r="G4951" t="s" s="2">
        <v>9210</v>
      </c>
      <c r="H4951" s="5">
        <v>787</v>
      </c>
      <c r="I4951" t="s" s="2">
        <v>21</v>
      </c>
      <c r="J4951" t="s" s="2">
        <v>9204</v>
      </c>
      <c r="K4951" s="6"/>
      <c r="L4951" s="6"/>
      <c r="M4951" s="5">
        <v>469188.29</v>
      </c>
      <c r="N4951" s="5">
        <v>6311799.68</v>
      </c>
      <c r="O4951" t="s" s="2">
        <v>305</v>
      </c>
      <c r="P4951" s="6"/>
      <c r="Q4951" t="s" s="2">
        <v>9211</v>
      </c>
      <c r="R4951" t="s" s="2">
        <f>_xlfn.IFERROR(INDEX('model_byCAP'!$D$2:$D$377,MATCH(Q4951,'model_byCAP'!$A$2:$A$377,0)),0)</f>
        <v>8430</v>
      </c>
    </row>
    <row r="4952" ht="15.35" customHeight="1">
      <c r="A4952" t="s" s="2">
        <v>9356</v>
      </c>
      <c r="B4952" s="4">
        <v>42335</v>
      </c>
      <c r="C4952" s="5">
        <v>25</v>
      </c>
      <c r="D4952" s="5">
        <v>14</v>
      </c>
      <c r="E4952" s="5">
        <v>18</v>
      </c>
      <c r="F4952" t="s" s="2">
        <v>9209</v>
      </c>
      <c r="G4952" t="s" s="2">
        <v>9210</v>
      </c>
      <c r="H4952" s="5">
        <v>787</v>
      </c>
      <c r="I4952" t="s" s="2">
        <v>21</v>
      </c>
      <c r="J4952" t="s" s="2">
        <v>9204</v>
      </c>
      <c r="K4952" s="6"/>
      <c r="L4952" s="6"/>
      <c r="M4952" s="5">
        <v>474980.21</v>
      </c>
      <c r="N4952" s="5">
        <v>6314817.12</v>
      </c>
      <c r="O4952" t="s" s="2">
        <v>305</v>
      </c>
      <c r="P4952" s="6"/>
      <c r="Q4952" t="s" s="2">
        <v>9211</v>
      </c>
      <c r="R4952" t="s" s="2">
        <f>_xlfn.IFERROR(INDEX('model_byCAP'!$D$2:$D$377,MATCH(Q4952,'model_byCAP'!$A$2:$A$377,0)),0)</f>
        <v>8430</v>
      </c>
    </row>
    <row r="4953" ht="15.35" customHeight="1">
      <c r="A4953" t="s" s="2">
        <v>9357</v>
      </c>
      <c r="B4953" s="4">
        <v>42375</v>
      </c>
      <c r="C4953" s="5">
        <v>25</v>
      </c>
      <c r="D4953" s="5">
        <v>14</v>
      </c>
      <c r="E4953" s="5">
        <v>18</v>
      </c>
      <c r="F4953" t="s" s="2">
        <v>9209</v>
      </c>
      <c r="G4953" t="s" s="2">
        <v>9210</v>
      </c>
      <c r="H4953" s="5">
        <v>787</v>
      </c>
      <c r="I4953" t="s" s="2">
        <v>21</v>
      </c>
      <c r="J4953" t="s" s="2">
        <v>9204</v>
      </c>
      <c r="K4953" s="6"/>
      <c r="L4953" s="6"/>
      <c r="M4953" s="5">
        <v>484687.74</v>
      </c>
      <c r="N4953" s="5">
        <v>6318990.26</v>
      </c>
      <c r="O4953" t="s" s="2">
        <v>305</v>
      </c>
      <c r="P4953" s="6"/>
      <c r="Q4953" t="s" s="2">
        <v>9211</v>
      </c>
      <c r="R4953" t="s" s="2">
        <f>_xlfn.IFERROR(INDEX('model_byCAP'!$D$2:$D$377,MATCH(Q4953,'model_byCAP'!$A$2:$A$377,0)),0)</f>
        <v>8430</v>
      </c>
    </row>
    <row r="4954" ht="15.35" customHeight="1">
      <c r="A4954" t="s" s="2">
        <v>9358</v>
      </c>
      <c r="B4954" s="4">
        <v>42493</v>
      </c>
      <c r="C4954" s="5">
        <v>25</v>
      </c>
      <c r="D4954" s="5">
        <v>14</v>
      </c>
      <c r="E4954" s="5">
        <v>18</v>
      </c>
      <c r="F4954" t="s" s="2">
        <v>9209</v>
      </c>
      <c r="G4954" t="s" s="2">
        <v>9210</v>
      </c>
      <c r="H4954" s="5">
        <v>787</v>
      </c>
      <c r="I4954" t="s" s="2">
        <v>21</v>
      </c>
      <c r="J4954" t="s" s="2">
        <v>9204</v>
      </c>
      <c r="K4954" s="6"/>
      <c r="L4954" s="6"/>
      <c r="M4954" s="5">
        <v>480883.58</v>
      </c>
      <c r="N4954" s="5">
        <v>6320868.24</v>
      </c>
      <c r="O4954" t="s" s="2">
        <v>305</v>
      </c>
      <c r="P4954" s="6"/>
      <c r="Q4954" t="s" s="2">
        <v>9211</v>
      </c>
      <c r="R4954" t="s" s="2">
        <f>_xlfn.IFERROR(INDEX('model_byCAP'!$D$2:$D$377,MATCH(Q4954,'model_byCAP'!$A$2:$A$377,0)),0)</f>
        <v>8430</v>
      </c>
    </row>
    <row r="4955" ht="15.35" customHeight="1">
      <c r="A4955" t="s" s="2">
        <v>9359</v>
      </c>
      <c r="B4955" s="4">
        <v>42544</v>
      </c>
      <c r="C4955" s="5">
        <v>25</v>
      </c>
      <c r="D4955" s="5">
        <v>14</v>
      </c>
      <c r="E4955" s="5">
        <v>18</v>
      </c>
      <c r="F4955" t="s" s="2">
        <v>9209</v>
      </c>
      <c r="G4955" t="s" s="2">
        <v>9210</v>
      </c>
      <c r="H4955" s="5">
        <v>787</v>
      </c>
      <c r="I4955" t="s" s="2">
        <v>21</v>
      </c>
      <c r="J4955" t="s" s="2">
        <v>9204</v>
      </c>
      <c r="K4955" s="6"/>
      <c r="L4955" s="6"/>
      <c r="M4955" s="6"/>
      <c r="N4955" s="6"/>
      <c r="O4955" t="s" s="2">
        <v>25</v>
      </c>
      <c r="P4955" s="6"/>
      <c r="Q4955" t="s" s="2">
        <v>9211</v>
      </c>
      <c r="R4955" t="s" s="2">
        <f>_xlfn.IFERROR(INDEX('model_byCAP'!$D$2:$D$377,MATCH(Q4955,'model_byCAP'!$A$2:$A$377,0)),0)</f>
        <v>8430</v>
      </c>
    </row>
    <row r="4956" ht="15.35" customHeight="1">
      <c r="A4956" t="s" s="2">
        <v>9360</v>
      </c>
      <c r="B4956" s="4">
        <v>42670</v>
      </c>
      <c r="C4956" s="5">
        <v>25</v>
      </c>
      <c r="D4956" s="5">
        <v>14</v>
      </c>
      <c r="E4956" s="5">
        <v>18</v>
      </c>
      <c r="F4956" t="s" s="2">
        <v>9209</v>
      </c>
      <c r="G4956" t="s" s="2">
        <v>9210</v>
      </c>
      <c r="H4956" s="5">
        <v>787</v>
      </c>
      <c r="I4956" t="s" s="2">
        <v>21</v>
      </c>
      <c r="J4956" t="s" s="2">
        <v>9204</v>
      </c>
      <c r="K4956" s="6"/>
      <c r="L4956" s="6"/>
      <c r="M4956" s="6"/>
      <c r="N4956" s="6"/>
      <c r="O4956" t="s" s="2">
        <v>25</v>
      </c>
      <c r="P4956" s="6"/>
      <c r="Q4956" t="s" s="2">
        <v>9211</v>
      </c>
      <c r="R4956" t="s" s="2">
        <f>_xlfn.IFERROR(INDEX('model_byCAP'!$D$2:$D$377,MATCH(Q4956,'model_byCAP'!$A$2:$A$377,0)),0)</f>
        <v>8430</v>
      </c>
    </row>
    <row r="4957" ht="15.35" customHeight="1">
      <c r="A4957" t="s" s="2">
        <v>9361</v>
      </c>
      <c r="B4957" s="4">
        <v>42984</v>
      </c>
      <c r="C4957" s="5">
        <v>25</v>
      </c>
      <c r="D4957" s="5">
        <v>14</v>
      </c>
      <c r="E4957" s="5">
        <v>18</v>
      </c>
      <c r="F4957" t="s" s="2">
        <v>9209</v>
      </c>
      <c r="G4957" t="s" s="2">
        <v>9210</v>
      </c>
      <c r="H4957" s="5">
        <v>787</v>
      </c>
      <c r="I4957" t="s" s="2">
        <v>21</v>
      </c>
      <c r="J4957" t="s" s="2">
        <v>9204</v>
      </c>
      <c r="K4957" s="6"/>
      <c r="L4957" s="6"/>
      <c r="M4957" s="6"/>
      <c r="N4957" s="6"/>
      <c r="O4957" t="s" s="2">
        <v>25</v>
      </c>
      <c r="P4957" s="6"/>
      <c r="Q4957" t="s" s="2">
        <v>9211</v>
      </c>
      <c r="R4957" t="s" s="2">
        <f>_xlfn.IFERROR(INDEX('model_byCAP'!$D$2:$D$377,MATCH(Q4957,'model_byCAP'!$A$2:$A$377,0)),0)</f>
        <v>8430</v>
      </c>
    </row>
    <row r="4958" ht="15.35" customHeight="1">
      <c r="A4958" t="s" s="2">
        <v>9362</v>
      </c>
      <c r="B4958" s="4">
        <v>43377</v>
      </c>
      <c r="C4958" s="5">
        <v>25</v>
      </c>
      <c r="D4958" s="5">
        <v>14</v>
      </c>
      <c r="E4958" s="5">
        <v>18</v>
      </c>
      <c r="F4958" t="s" s="2">
        <v>9209</v>
      </c>
      <c r="G4958" t="s" s="2">
        <v>9210</v>
      </c>
      <c r="H4958" s="5">
        <v>787</v>
      </c>
      <c r="I4958" t="s" s="2">
        <v>21</v>
      </c>
      <c r="J4958" t="s" s="2">
        <v>9204</v>
      </c>
      <c r="K4958" s="6"/>
      <c r="L4958" s="6"/>
      <c r="M4958" s="6"/>
      <c r="N4958" s="6"/>
      <c r="O4958" t="s" s="2">
        <v>25</v>
      </c>
      <c r="P4958" s="6"/>
      <c r="Q4958" t="s" s="2">
        <v>9211</v>
      </c>
      <c r="R4958" t="s" s="2">
        <f>_xlfn.IFERROR(INDEX('model_byCAP'!$D$2:$D$377,MATCH(Q4958,'model_byCAP'!$A$2:$A$377,0)),0)</f>
        <v>8430</v>
      </c>
    </row>
    <row r="4959" ht="15.35" customHeight="1">
      <c r="A4959" t="s" s="2">
        <v>9363</v>
      </c>
      <c r="B4959" s="4">
        <v>43430</v>
      </c>
      <c r="C4959" s="5">
        <v>25</v>
      </c>
      <c r="D4959" s="5">
        <v>14</v>
      </c>
      <c r="E4959" s="5">
        <v>18</v>
      </c>
      <c r="F4959" t="s" s="2">
        <v>9209</v>
      </c>
      <c r="G4959" t="s" s="2">
        <v>9210</v>
      </c>
      <c r="H4959" s="5">
        <v>787</v>
      </c>
      <c r="I4959" t="s" s="2">
        <v>21</v>
      </c>
      <c r="J4959" t="s" s="2">
        <v>9204</v>
      </c>
      <c r="K4959" s="6"/>
      <c r="L4959" s="6"/>
      <c r="M4959" s="6"/>
      <c r="N4959" s="6"/>
      <c r="O4959" t="s" s="2">
        <v>25</v>
      </c>
      <c r="P4959" s="6"/>
      <c r="Q4959" t="s" s="2">
        <v>9211</v>
      </c>
      <c r="R4959" t="s" s="2">
        <f>_xlfn.IFERROR(INDEX('model_byCAP'!$D$2:$D$377,MATCH(Q4959,'model_byCAP'!$A$2:$A$377,0)),0)</f>
        <v>8430</v>
      </c>
    </row>
    <row r="4960" ht="15.35" customHeight="1">
      <c r="A4960" t="s" s="2">
        <v>9364</v>
      </c>
      <c r="B4960" s="4">
        <v>43650</v>
      </c>
      <c r="C4960" s="5">
        <v>25</v>
      </c>
      <c r="D4960" s="5">
        <v>14</v>
      </c>
      <c r="E4960" s="5">
        <v>18</v>
      </c>
      <c r="F4960" t="s" s="2">
        <v>9209</v>
      </c>
      <c r="G4960" t="s" s="2">
        <v>9210</v>
      </c>
      <c r="H4960" s="5">
        <v>787</v>
      </c>
      <c r="I4960" t="s" s="2">
        <v>21</v>
      </c>
      <c r="J4960" t="s" s="2">
        <v>9204</v>
      </c>
      <c r="K4960" s="6"/>
      <c r="L4960" s="6"/>
      <c r="M4960" s="6"/>
      <c r="N4960" s="6"/>
      <c r="O4960" t="s" s="2">
        <v>25</v>
      </c>
      <c r="P4960" s="6"/>
      <c r="Q4960" t="s" s="2">
        <v>9211</v>
      </c>
      <c r="R4960" t="s" s="2">
        <f>_xlfn.IFERROR(INDEX('model_byCAP'!$D$2:$D$377,MATCH(Q4960,'model_byCAP'!$A$2:$A$377,0)),0)</f>
        <v>8430</v>
      </c>
    </row>
    <row r="4961" ht="15.35" customHeight="1">
      <c r="A4961" t="s" s="2">
        <v>9365</v>
      </c>
      <c r="B4961" s="4">
        <v>41598</v>
      </c>
      <c r="C4961" s="5">
        <v>25</v>
      </c>
      <c r="D4961" s="5">
        <v>13</v>
      </c>
      <c r="E4961" s="5">
        <v>18</v>
      </c>
      <c r="F4961" t="s" s="2">
        <v>9202</v>
      </c>
      <c r="G4961" t="s" s="2">
        <v>9203</v>
      </c>
      <c r="H4961" s="5">
        <v>813</v>
      </c>
      <c r="I4961" t="s" s="2">
        <v>1708</v>
      </c>
      <c r="J4961" t="s" s="2">
        <v>9204</v>
      </c>
      <c r="K4961" s="6"/>
      <c r="L4961" s="6"/>
      <c r="M4961" s="5">
        <v>587851.11</v>
      </c>
      <c r="N4961" s="5">
        <v>6350674.93</v>
      </c>
      <c r="O4961" t="s" s="2">
        <v>305</v>
      </c>
      <c r="P4961" s="6"/>
      <c r="Q4961" t="s" s="2">
        <v>9205</v>
      </c>
      <c r="R4961" t="s" s="2">
        <f>_xlfn.IFERROR(INDEX('model_byCAP'!$D$2:$D$377,MATCH(Q4961,'model_byCAP'!$A$2:$A$377,0)),0)</f>
        <v>8430</v>
      </c>
    </row>
    <row r="4962" ht="15.35" customHeight="1">
      <c r="A4962" t="s" s="2">
        <v>9366</v>
      </c>
      <c r="B4962" s="4">
        <v>41593</v>
      </c>
      <c r="C4962" s="5">
        <v>25</v>
      </c>
      <c r="D4962" s="5">
        <v>13</v>
      </c>
      <c r="E4962" s="5">
        <v>18</v>
      </c>
      <c r="F4962" t="s" s="2">
        <v>9202</v>
      </c>
      <c r="G4962" t="s" s="2">
        <v>9203</v>
      </c>
      <c r="H4962" s="5">
        <v>813</v>
      </c>
      <c r="I4962" t="s" s="2">
        <v>1708</v>
      </c>
      <c r="J4962" t="s" s="2">
        <v>9204</v>
      </c>
      <c r="K4962" s="6"/>
      <c r="L4962" s="6"/>
      <c r="M4962" s="5">
        <v>580182.45</v>
      </c>
      <c r="N4962" s="5">
        <v>6351605.65</v>
      </c>
      <c r="O4962" t="s" s="2">
        <v>305</v>
      </c>
      <c r="P4962" s="6"/>
      <c r="Q4962" t="s" s="2">
        <v>9205</v>
      </c>
      <c r="R4962" t="s" s="2">
        <f>_xlfn.IFERROR(INDEX('model_byCAP'!$D$2:$D$377,MATCH(Q4962,'model_byCAP'!$A$2:$A$377,0)),0)</f>
        <v>8430</v>
      </c>
    </row>
    <row r="4963" ht="15.35" customHeight="1">
      <c r="A4963" t="s" s="2">
        <v>9367</v>
      </c>
      <c r="B4963" s="4">
        <v>41579</v>
      </c>
      <c r="C4963" s="5">
        <v>25</v>
      </c>
      <c r="D4963" s="5">
        <v>13</v>
      </c>
      <c r="E4963" s="5">
        <v>18</v>
      </c>
      <c r="F4963" t="s" s="2">
        <v>9202</v>
      </c>
      <c r="G4963" t="s" s="2">
        <v>9203</v>
      </c>
      <c r="H4963" s="5">
        <v>813</v>
      </c>
      <c r="I4963" t="s" s="2">
        <v>1708</v>
      </c>
      <c r="J4963" t="s" s="2">
        <v>9204</v>
      </c>
      <c r="K4963" s="6"/>
      <c r="L4963" s="6"/>
      <c r="M4963" s="5">
        <v>582496.1899999999</v>
      </c>
      <c r="N4963" s="5">
        <v>6373779.89</v>
      </c>
      <c r="O4963" t="s" s="2">
        <v>305</v>
      </c>
      <c r="P4963" s="6"/>
      <c r="Q4963" t="s" s="2">
        <v>9205</v>
      </c>
      <c r="R4963" t="s" s="2">
        <f>_xlfn.IFERROR(INDEX('model_byCAP'!$D$2:$D$377,MATCH(Q4963,'model_byCAP'!$A$2:$A$377,0)),0)</f>
        <v>8430</v>
      </c>
    </row>
    <row r="4964" ht="15.35" customHeight="1">
      <c r="A4964" t="s" s="2">
        <v>9368</v>
      </c>
      <c r="B4964" s="4">
        <v>41397</v>
      </c>
      <c r="C4964" s="5">
        <v>25</v>
      </c>
      <c r="D4964" s="5">
        <v>13</v>
      </c>
      <c r="E4964" s="5">
        <v>18</v>
      </c>
      <c r="F4964" t="s" s="2">
        <v>9202</v>
      </c>
      <c r="G4964" t="s" s="2">
        <v>9203</v>
      </c>
      <c r="H4964" s="5">
        <v>813</v>
      </c>
      <c r="I4964" t="s" s="2">
        <v>1708</v>
      </c>
      <c r="J4964" t="s" s="2">
        <v>9204</v>
      </c>
      <c r="K4964" s="6"/>
      <c r="L4964" s="6"/>
      <c r="M4964" s="5">
        <v>585532.88</v>
      </c>
      <c r="N4964" s="5">
        <v>6355426.55</v>
      </c>
      <c r="O4964" t="s" s="2">
        <v>305</v>
      </c>
      <c r="P4964" s="6"/>
      <c r="Q4964" t="s" s="2">
        <v>9205</v>
      </c>
      <c r="R4964" t="s" s="2">
        <f>_xlfn.IFERROR(INDEX('model_byCAP'!$D$2:$D$377,MATCH(Q4964,'model_byCAP'!$A$2:$A$377,0)),0)</f>
        <v>8430</v>
      </c>
    </row>
    <row r="4965" ht="15.35" customHeight="1">
      <c r="A4965" t="s" s="2">
        <v>9369</v>
      </c>
      <c r="B4965" s="4">
        <v>41193</v>
      </c>
      <c r="C4965" s="5">
        <v>25</v>
      </c>
      <c r="D4965" s="5">
        <v>7</v>
      </c>
      <c r="E4965" s="5">
        <v>18</v>
      </c>
      <c r="F4965" t="s" s="2">
        <v>42</v>
      </c>
      <c r="G4965" t="s" s="2">
        <v>42</v>
      </c>
      <c r="H4965" s="5">
        <v>813</v>
      </c>
      <c r="I4965" t="s" s="2">
        <v>1708</v>
      </c>
      <c r="J4965" t="s" s="2">
        <v>9204</v>
      </c>
      <c r="K4965" s="6"/>
      <c r="L4965" s="6"/>
      <c r="M4965" s="6"/>
      <c r="N4965" s="6"/>
      <c r="O4965" t="s" s="2">
        <v>25</v>
      </c>
      <c r="P4965" s="6"/>
      <c r="Q4965" t="s" s="2">
        <v>43</v>
      </c>
      <c r="R4965" s="5">
        <f>_xlfn.IFERROR(INDEX('model_byCAP'!$D$2:$D$377,MATCH(Q4965,'model_byCAP'!$A$2:$A$377,0)),0)</f>
        <v>0</v>
      </c>
    </row>
    <row r="4966" ht="15.35" customHeight="1">
      <c r="A4966" t="s" s="2">
        <v>9370</v>
      </c>
      <c r="B4966" s="4">
        <v>42233</v>
      </c>
      <c r="C4966" s="5">
        <v>25</v>
      </c>
      <c r="D4966" s="5">
        <v>14</v>
      </c>
      <c r="E4966" s="5">
        <v>18</v>
      </c>
      <c r="F4966" t="s" s="2">
        <v>9209</v>
      </c>
      <c r="G4966" t="s" s="2">
        <v>9210</v>
      </c>
      <c r="H4966" s="5">
        <v>840</v>
      </c>
      <c r="I4966" t="s" s="2">
        <v>973</v>
      </c>
      <c r="J4966" t="s" s="2">
        <v>9204</v>
      </c>
      <c r="K4966" s="6"/>
      <c r="L4966" s="6"/>
      <c r="M4966" s="6"/>
      <c r="N4966" s="6"/>
      <c r="O4966" t="s" s="2">
        <v>25</v>
      </c>
      <c r="P4966" s="6"/>
      <c r="Q4966" t="s" s="2">
        <v>9211</v>
      </c>
      <c r="R4966" t="s" s="2">
        <f>_xlfn.IFERROR(INDEX('model_byCAP'!$D$2:$D$377,MATCH(Q4966,'model_byCAP'!$A$2:$A$377,0)),0)</f>
        <v>8430</v>
      </c>
    </row>
    <row r="4967" ht="15.35" customHeight="1">
      <c r="A4967" t="s" s="2">
        <v>9371</v>
      </c>
      <c r="B4967" s="4">
        <v>41582</v>
      </c>
      <c r="C4967" s="5">
        <v>25</v>
      </c>
      <c r="D4967" s="5">
        <v>13</v>
      </c>
      <c r="E4967" s="5">
        <v>18</v>
      </c>
      <c r="F4967" t="s" s="2">
        <v>9202</v>
      </c>
      <c r="G4967" t="s" s="2">
        <v>9203</v>
      </c>
      <c r="H4967" s="5">
        <v>846</v>
      </c>
      <c r="I4967" t="s" s="2">
        <v>429</v>
      </c>
      <c r="J4967" t="s" s="2">
        <v>9204</v>
      </c>
      <c r="K4967" s="6"/>
      <c r="L4967" s="6"/>
      <c r="M4967" s="5">
        <v>550055.22</v>
      </c>
      <c r="N4967" s="5">
        <v>6291725.71</v>
      </c>
      <c r="O4967" t="s" s="2">
        <v>305</v>
      </c>
      <c r="P4967" s="6"/>
      <c r="Q4967" t="s" s="2">
        <v>9205</v>
      </c>
      <c r="R4967" t="s" s="2">
        <f>_xlfn.IFERROR(INDEX('model_byCAP'!$D$2:$D$377,MATCH(Q4967,'model_byCAP'!$A$2:$A$377,0)),0)</f>
        <v>8430</v>
      </c>
    </row>
    <row r="4968" ht="15.35" customHeight="1">
      <c r="A4968" t="s" s="2">
        <v>9372</v>
      </c>
      <c r="B4968" s="4">
        <v>42145</v>
      </c>
      <c r="C4968" s="5">
        <v>25</v>
      </c>
      <c r="D4968" s="5">
        <v>14</v>
      </c>
      <c r="E4968" s="5">
        <v>18</v>
      </c>
      <c r="F4968" t="s" s="2">
        <v>9209</v>
      </c>
      <c r="G4968" t="s" s="2">
        <v>9210</v>
      </c>
      <c r="H4968" s="5">
        <v>846</v>
      </c>
      <c r="I4968" t="s" s="2">
        <v>429</v>
      </c>
      <c r="J4968" t="s" s="2">
        <v>9204</v>
      </c>
      <c r="K4968" s="6"/>
      <c r="L4968" s="6"/>
      <c r="M4968" s="5">
        <v>543611.3199999999</v>
      </c>
      <c r="N4968" s="5">
        <v>6276202.59</v>
      </c>
      <c r="O4968" t="s" s="2">
        <v>305</v>
      </c>
      <c r="P4968" s="6"/>
      <c r="Q4968" t="s" s="2">
        <v>9211</v>
      </c>
      <c r="R4968" t="s" s="2">
        <f>_xlfn.IFERROR(INDEX('model_byCAP'!$D$2:$D$377,MATCH(Q4968,'model_byCAP'!$A$2:$A$377,0)),0)</f>
        <v>8430</v>
      </c>
    </row>
    <row r="4969" ht="15.35" customHeight="1">
      <c r="A4969" t="s" s="2">
        <v>9373</v>
      </c>
      <c r="B4969" s="4">
        <v>41352</v>
      </c>
      <c r="C4969" s="5">
        <v>25</v>
      </c>
      <c r="D4969" s="5">
        <v>13</v>
      </c>
      <c r="E4969" s="5">
        <v>18</v>
      </c>
      <c r="F4969" t="s" s="2">
        <v>42</v>
      </c>
      <c r="G4969" t="s" s="2">
        <v>42</v>
      </c>
      <c r="H4969" s="5">
        <v>849</v>
      </c>
      <c r="I4969" t="s" s="2">
        <v>411</v>
      </c>
      <c r="J4969" t="s" s="2">
        <v>9204</v>
      </c>
      <c r="K4969" s="6"/>
      <c r="L4969" s="6"/>
      <c r="M4969" s="5">
        <v>527038.09</v>
      </c>
      <c r="N4969" s="5">
        <v>6334454.05</v>
      </c>
      <c r="O4969" t="s" s="2">
        <v>305</v>
      </c>
      <c r="P4969" s="6"/>
      <c r="Q4969" t="s" s="2">
        <v>43</v>
      </c>
      <c r="R4969" s="5">
        <f>_xlfn.IFERROR(INDEX('model_byCAP'!$D$2:$D$377,MATCH(Q4969,'model_byCAP'!$A$2:$A$377,0)),0)</f>
        <v>0</v>
      </c>
    </row>
    <row r="4970" ht="15.35" customHeight="1">
      <c r="A4970" t="s" s="2">
        <v>9374</v>
      </c>
      <c r="B4970" s="4">
        <v>41534</v>
      </c>
      <c r="C4970" s="5">
        <v>25</v>
      </c>
      <c r="D4970" s="5">
        <v>13</v>
      </c>
      <c r="E4970" s="5">
        <v>18</v>
      </c>
      <c r="F4970" t="s" s="2">
        <v>42</v>
      </c>
      <c r="G4970" t="s" s="2">
        <v>42</v>
      </c>
      <c r="H4970" s="5">
        <v>849</v>
      </c>
      <c r="I4970" t="s" s="2">
        <v>411</v>
      </c>
      <c r="J4970" t="s" s="2">
        <v>9204</v>
      </c>
      <c r="K4970" s="6"/>
      <c r="L4970" s="6"/>
      <c r="M4970" s="5">
        <v>539297.99</v>
      </c>
      <c r="N4970" s="5">
        <v>6332027.2</v>
      </c>
      <c r="O4970" t="s" s="2">
        <v>305</v>
      </c>
      <c r="P4970" s="6"/>
      <c r="Q4970" t="s" s="2">
        <v>43</v>
      </c>
      <c r="R4970" s="5">
        <f>_xlfn.IFERROR(INDEX('model_byCAP'!$D$2:$D$377,MATCH(Q4970,'model_byCAP'!$A$2:$A$377,0)),0)</f>
        <v>0</v>
      </c>
    </row>
    <row r="4971" ht="15.35" customHeight="1">
      <c r="A4971" t="s" s="2">
        <v>9375</v>
      </c>
      <c r="B4971" s="4">
        <v>41809</v>
      </c>
      <c r="C4971" s="5">
        <v>25</v>
      </c>
      <c r="D4971" s="5">
        <v>13</v>
      </c>
      <c r="E4971" s="5">
        <v>18</v>
      </c>
      <c r="F4971" t="s" s="2">
        <v>42</v>
      </c>
      <c r="G4971" t="s" s="2">
        <v>42</v>
      </c>
      <c r="H4971" s="5">
        <v>849</v>
      </c>
      <c r="I4971" t="s" s="2">
        <v>411</v>
      </c>
      <c r="J4971" t="s" s="2">
        <v>9204</v>
      </c>
      <c r="K4971" s="6"/>
      <c r="L4971" s="6"/>
      <c r="M4971" s="5">
        <v>513425.64</v>
      </c>
      <c r="N4971" s="5">
        <v>6325637.96</v>
      </c>
      <c r="O4971" t="s" s="2">
        <v>305</v>
      </c>
      <c r="P4971" s="6"/>
      <c r="Q4971" t="s" s="2">
        <v>43</v>
      </c>
      <c r="R4971" s="5">
        <f>_xlfn.IFERROR(INDEX('model_byCAP'!$D$2:$D$377,MATCH(Q4971,'model_byCAP'!$A$2:$A$377,0)),0)</f>
        <v>0</v>
      </c>
    </row>
    <row r="4972" ht="15.35" customHeight="1">
      <c r="A4972" t="s" s="2">
        <v>9376</v>
      </c>
      <c r="B4972" s="4">
        <v>41970</v>
      </c>
      <c r="C4972" s="5">
        <v>25</v>
      </c>
      <c r="D4972" s="5">
        <v>13</v>
      </c>
      <c r="E4972" s="5">
        <v>18</v>
      </c>
      <c r="F4972" t="s" s="2">
        <v>9202</v>
      </c>
      <c r="G4972" t="s" s="2">
        <v>9203</v>
      </c>
      <c r="H4972" s="5">
        <v>849</v>
      </c>
      <c r="I4972" t="s" s="2">
        <v>411</v>
      </c>
      <c r="J4972" t="s" s="2">
        <v>9204</v>
      </c>
      <c r="K4972" s="6"/>
      <c r="L4972" s="6"/>
      <c r="M4972" s="6"/>
      <c r="N4972" s="6"/>
      <c r="O4972" t="s" s="2">
        <v>25</v>
      </c>
      <c r="P4972" s="6"/>
      <c r="Q4972" t="s" s="2">
        <v>9205</v>
      </c>
      <c r="R4972" t="s" s="2">
        <f>_xlfn.IFERROR(INDEX('model_byCAP'!$D$2:$D$377,MATCH(Q4972,'model_byCAP'!$A$2:$A$377,0)),0)</f>
        <v>8430</v>
      </c>
    </row>
    <row r="4973" ht="15.35" customHeight="1">
      <c r="A4973" t="s" s="2">
        <v>9377</v>
      </c>
      <c r="B4973" s="4">
        <v>42298</v>
      </c>
      <c r="C4973" s="5">
        <v>25</v>
      </c>
      <c r="D4973" s="5">
        <v>14</v>
      </c>
      <c r="E4973" s="5">
        <v>18</v>
      </c>
      <c r="F4973" t="s" s="2">
        <v>9209</v>
      </c>
      <c r="G4973" t="s" s="2">
        <v>9210</v>
      </c>
      <c r="H4973" s="5">
        <v>849</v>
      </c>
      <c r="I4973" t="s" s="2">
        <v>411</v>
      </c>
      <c r="J4973" t="s" s="2">
        <v>9204</v>
      </c>
      <c r="K4973" s="6"/>
      <c r="L4973" s="6"/>
      <c r="M4973" s="5">
        <v>545535.86</v>
      </c>
      <c r="N4973" s="5">
        <v>6348946.16</v>
      </c>
      <c r="O4973" t="s" s="2">
        <v>305</v>
      </c>
      <c r="P4973" s="6"/>
      <c r="Q4973" t="s" s="2">
        <v>9211</v>
      </c>
      <c r="R4973" t="s" s="2">
        <f>_xlfn.IFERROR(INDEX('model_byCAP'!$D$2:$D$377,MATCH(Q4973,'model_byCAP'!$A$2:$A$377,0)),0)</f>
        <v>8430</v>
      </c>
    </row>
    <row r="4974" ht="15.35" customHeight="1">
      <c r="A4974" t="s" s="2">
        <v>9378</v>
      </c>
      <c r="B4974" s="4">
        <v>42479</v>
      </c>
      <c r="C4974" s="5">
        <v>25</v>
      </c>
      <c r="D4974" s="5">
        <v>14</v>
      </c>
      <c r="E4974" s="5">
        <v>18</v>
      </c>
      <c r="F4974" t="s" s="2">
        <v>9209</v>
      </c>
      <c r="G4974" t="s" s="2">
        <v>9210</v>
      </c>
      <c r="H4974" s="5">
        <v>849</v>
      </c>
      <c r="I4974" t="s" s="2">
        <v>411</v>
      </c>
      <c r="J4974" t="s" s="2">
        <v>9204</v>
      </c>
      <c r="K4974" s="6"/>
      <c r="L4974" s="6"/>
      <c r="M4974" s="6"/>
      <c r="N4974" s="6"/>
      <c r="O4974" t="s" s="2">
        <v>25</v>
      </c>
      <c r="P4974" s="6"/>
      <c r="Q4974" t="s" s="2">
        <v>9211</v>
      </c>
      <c r="R4974" t="s" s="2">
        <f>_xlfn.IFERROR(INDEX('model_byCAP'!$D$2:$D$377,MATCH(Q4974,'model_byCAP'!$A$2:$A$377,0)),0)</f>
        <v>8430</v>
      </c>
    </row>
    <row r="4975" ht="15.35" customHeight="1">
      <c r="A4975" t="s" s="2">
        <v>9379</v>
      </c>
      <c r="B4975" s="4">
        <v>41557</v>
      </c>
      <c r="C4975" s="5">
        <v>25</v>
      </c>
      <c r="D4975" s="5">
        <v>13</v>
      </c>
      <c r="E4975" s="5">
        <v>18</v>
      </c>
      <c r="F4975" t="s" s="2">
        <v>9202</v>
      </c>
      <c r="G4975" t="s" s="2">
        <v>9203</v>
      </c>
      <c r="H4975" s="5">
        <v>851</v>
      </c>
      <c r="I4975" t="s" s="2">
        <v>1139</v>
      </c>
      <c r="J4975" t="s" s="2">
        <v>9204</v>
      </c>
      <c r="K4975" s="6"/>
      <c r="L4975" s="6"/>
      <c r="M4975" s="5">
        <v>539926.54</v>
      </c>
      <c r="N4975" s="5">
        <v>6311665.25</v>
      </c>
      <c r="O4975" t="s" s="2">
        <v>305</v>
      </c>
      <c r="P4975" s="6"/>
      <c r="Q4975" t="s" s="2">
        <v>9205</v>
      </c>
      <c r="R4975" t="s" s="2">
        <f>_xlfn.IFERROR(INDEX('model_byCAP'!$D$2:$D$377,MATCH(Q4975,'model_byCAP'!$A$2:$A$377,0)),0)</f>
        <v>8430</v>
      </c>
    </row>
    <row r="4976" ht="15.35" customHeight="1">
      <c r="A4976" t="s" s="2">
        <v>9380</v>
      </c>
      <c r="B4976" s="4">
        <v>42101</v>
      </c>
      <c r="C4976" s="5">
        <v>25</v>
      </c>
      <c r="D4976" s="5">
        <v>13</v>
      </c>
      <c r="E4976" s="5">
        <v>18</v>
      </c>
      <c r="F4976" t="s" s="2">
        <v>9202</v>
      </c>
      <c r="G4976" t="s" s="2">
        <v>9203</v>
      </c>
      <c r="H4976" s="5">
        <v>851</v>
      </c>
      <c r="I4976" t="s" s="2">
        <v>1139</v>
      </c>
      <c r="J4976" t="s" s="2">
        <v>9204</v>
      </c>
      <c r="K4976" s="6"/>
      <c r="L4976" s="6"/>
      <c r="M4976" s="5">
        <v>550525.16</v>
      </c>
      <c r="N4976" s="5">
        <v>6318872.93</v>
      </c>
      <c r="O4976" t="s" s="2">
        <v>305</v>
      </c>
      <c r="P4976" s="6"/>
      <c r="Q4976" t="s" s="2">
        <v>9205</v>
      </c>
      <c r="R4976" t="s" s="2">
        <f>_xlfn.IFERROR(INDEX('model_byCAP'!$D$2:$D$377,MATCH(Q4976,'model_byCAP'!$A$2:$A$377,0)),0)</f>
        <v>8430</v>
      </c>
    </row>
    <row r="4977" ht="15.35" customHeight="1">
      <c r="A4977" t="s" s="2">
        <v>9381</v>
      </c>
      <c r="B4977" s="4">
        <v>41517</v>
      </c>
      <c r="C4977" s="5">
        <v>25</v>
      </c>
      <c r="D4977" s="5">
        <v>13</v>
      </c>
      <c r="E4977" s="5">
        <v>18</v>
      </c>
      <c r="F4977" t="s" s="2">
        <v>9202</v>
      </c>
      <c r="G4977" t="s" s="2">
        <v>9203</v>
      </c>
      <c r="H4977" s="5">
        <v>860</v>
      </c>
      <c r="I4977" t="s" s="2">
        <v>449</v>
      </c>
      <c r="J4977" t="s" s="2">
        <v>9204</v>
      </c>
      <c r="K4977" s="6"/>
      <c r="L4977" s="6"/>
      <c r="M4977" s="5">
        <v>567914.88</v>
      </c>
      <c r="N4977" s="5">
        <v>6364745.08</v>
      </c>
      <c r="O4977" t="s" s="2">
        <v>305</v>
      </c>
      <c r="P4977" s="6"/>
      <c r="Q4977" t="s" s="2">
        <v>9205</v>
      </c>
      <c r="R4977" t="s" s="2">
        <f>_xlfn.IFERROR(INDEX('model_byCAP'!$D$2:$D$377,MATCH(Q4977,'model_byCAP'!$A$2:$A$377,0)),0)</f>
        <v>8430</v>
      </c>
    </row>
    <row r="4978" ht="15.35" customHeight="1">
      <c r="A4978" t="s" s="2">
        <v>9382</v>
      </c>
      <c r="B4978" s="4">
        <v>41573</v>
      </c>
      <c r="C4978" s="5">
        <v>25</v>
      </c>
      <c r="D4978" s="5">
        <v>13</v>
      </c>
      <c r="E4978" s="5">
        <v>18</v>
      </c>
      <c r="F4978" t="s" s="2">
        <v>9202</v>
      </c>
      <c r="G4978" t="s" s="2">
        <v>9203</v>
      </c>
      <c r="H4978" s="5">
        <v>860</v>
      </c>
      <c r="I4978" t="s" s="2">
        <v>449</v>
      </c>
      <c r="J4978" t="s" s="2">
        <v>9204</v>
      </c>
      <c r="K4978" s="6"/>
      <c r="L4978" s="6"/>
      <c r="M4978" s="6"/>
      <c r="N4978" s="6"/>
      <c r="O4978" t="s" s="2">
        <v>25</v>
      </c>
      <c r="P4978" s="6"/>
      <c r="Q4978" t="s" s="2">
        <v>9205</v>
      </c>
      <c r="R4978" t="s" s="2">
        <f>_xlfn.IFERROR(INDEX('model_byCAP'!$D$2:$D$377,MATCH(Q4978,'model_byCAP'!$A$2:$A$377,0)),0)</f>
        <v>8430</v>
      </c>
    </row>
    <row r="4979" ht="15.35" customHeight="1">
      <c r="A4979" t="s" s="2">
        <v>9383</v>
      </c>
      <c r="B4979" s="4">
        <v>41585</v>
      </c>
      <c r="C4979" s="5">
        <v>25</v>
      </c>
      <c r="D4979" s="5">
        <v>13</v>
      </c>
      <c r="E4979" s="5">
        <v>18</v>
      </c>
      <c r="F4979" t="s" s="2">
        <v>42</v>
      </c>
      <c r="G4979" t="s" s="2">
        <v>42</v>
      </c>
      <c r="H4979" s="5">
        <v>860</v>
      </c>
      <c r="I4979" t="s" s="2">
        <v>449</v>
      </c>
      <c r="J4979" t="s" s="2">
        <v>9204</v>
      </c>
      <c r="K4979" s="6"/>
      <c r="L4979" s="6"/>
      <c r="M4979" s="5">
        <v>563629.2</v>
      </c>
      <c r="N4979" s="5">
        <v>6353004.06</v>
      </c>
      <c r="O4979" t="s" s="2">
        <v>305</v>
      </c>
      <c r="P4979" s="6"/>
      <c r="Q4979" t="s" s="2">
        <v>43</v>
      </c>
      <c r="R4979" s="5">
        <f>_xlfn.IFERROR(INDEX('model_byCAP'!$D$2:$D$377,MATCH(Q4979,'model_byCAP'!$A$2:$A$377,0)),0)</f>
        <v>0</v>
      </c>
    </row>
    <row r="4980" ht="15.35" customHeight="1">
      <c r="A4980" t="s" s="2">
        <v>9384</v>
      </c>
      <c r="B4980" s="4">
        <v>41647</v>
      </c>
      <c r="C4980" s="5">
        <v>25</v>
      </c>
      <c r="D4980" s="5">
        <v>13</v>
      </c>
      <c r="E4980" s="5">
        <v>18</v>
      </c>
      <c r="F4980" t="s" s="2">
        <v>9202</v>
      </c>
      <c r="G4980" t="s" s="2">
        <v>9203</v>
      </c>
      <c r="H4980" s="5">
        <v>860</v>
      </c>
      <c r="I4980" t="s" s="2">
        <v>449</v>
      </c>
      <c r="J4980" t="s" s="2">
        <v>9204</v>
      </c>
      <c r="K4980" s="6"/>
      <c r="L4980" s="6"/>
      <c r="M4980" s="5">
        <v>556769.0699999999</v>
      </c>
      <c r="N4980" s="5">
        <v>6381481.87</v>
      </c>
      <c r="O4980" t="s" s="2">
        <v>305</v>
      </c>
      <c r="P4980" s="6"/>
      <c r="Q4980" t="s" s="2">
        <v>9205</v>
      </c>
      <c r="R4980" t="s" s="2">
        <f>_xlfn.IFERROR(INDEX('model_byCAP'!$D$2:$D$377,MATCH(Q4980,'model_byCAP'!$A$2:$A$377,0)),0)</f>
        <v>8430</v>
      </c>
    </row>
    <row r="4981" ht="15.35" customHeight="1">
      <c r="A4981" t="s" s="2">
        <v>9385</v>
      </c>
      <c r="B4981" s="4">
        <v>41655</v>
      </c>
      <c r="C4981" s="5">
        <v>25</v>
      </c>
      <c r="D4981" s="5">
        <v>13</v>
      </c>
      <c r="E4981" s="5">
        <v>18</v>
      </c>
      <c r="F4981" t="s" s="2">
        <v>9202</v>
      </c>
      <c r="G4981" t="s" s="2">
        <v>9203</v>
      </c>
      <c r="H4981" s="5">
        <v>860</v>
      </c>
      <c r="I4981" t="s" s="2">
        <v>449</v>
      </c>
      <c r="J4981" t="s" s="2">
        <v>9204</v>
      </c>
      <c r="K4981" s="6"/>
      <c r="L4981" s="6"/>
      <c r="M4981" s="5">
        <v>564433.29</v>
      </c>
      <c r="N4981" s="5">
        <v>6361789.88</v>
      </c>
      <c r="O4981" t="s" s="2">
        <v>305</v>
      </c>
      <c r="P4981" s="6"/>
      <c r="Q4981" t="s" s="2">
        <v>9205</v>
      </c>
      <c r="R4981" t="s" s="2">
        <f>_xlfn.IFERROR(INDEX('model_byCAP'!$D$2:$D$377,MATCH(Q4981,'model_byCAP'!$A$2:$A$377,0)),0)</f>
        <v>8430</v>
      </c>
    </row>
    <row r="4982" ht="15.35" customHeight="1">
      <c r="A4982" t="s" s="2">
        <v>9386</v>
      </c>
      <c r="B4982" s="4">
        <v>41570</v>
      </c>
      <c r="C4982" s="5">
        <v>25</v>
      </c>
      <c r="D4982" s="5">
        <v>13</v>
      </c>
      <c r="E4982" s="5">
        <v>18</v>
      </c>
      <c r="F4982" t="s" s="2">
        <v>9202</v>
      </c>
      <c r="G4982" t="s" s="2">
        <v>9203</v>
      </c>
      <c r="H4982" s="5">
        <v>860</v>
      </c>
      <c r="I4982" t="s" s="2">
        <v>449</v>
      </c>
      <c r="J4982" t="s" s="2">
        <v>9204</v>
      </c>
      <c r="K4982" s="6"/>
      <c r="L4982" s="6"/>
      <c r="M4982" s="5">
        <v>565041.1899999999</v>
      </c>
      <c r="N4982" s="5">
        <v>6381600.25</v>
      </c>
      <c r="O4982" t="s" s="2">
        <v>305</v>
      </c>
      <c r="P4982" s="6"/>
      <c r="Q4982" t="s" s="2">
        <v>9205</v>
      </c>
      <c r="R4982" t="s" s="2">
        <f>_xlfn.IFERROR(INDEX('model_byCAP'!$D$2:$D$377,MATCH(Q4982,'model_byCAP'!$A$2:$A$377,0)),0)</f>
        <v>8430</v>
      </c>
    </row>
    <row r="4983" ht="15.35" customHeight="1">
      <c r="A4983" t="s" s="2">
        <v>9387</v>
      </c>
      <c r="B4983" s="4">
        <v>43088</v>
      </c>
      <c r="C4983" s="5">
        <v>25</v>
      </c>
      <c r="D4983" s="5">
        <v>14</v>
      </c>
      <c r="E4983" s="5">
        <v>18</v>
      </c>
      <c r="F4983" t="s" s="2">
        <v>9209</v>
      </c>
      <c r="G4983" t="s" s="2">
        <v>9210</v>
      </c>
      <c r="H4983" s="5">
        <v>860</v>
      </c>
      <c r="I4983" t="s" s="2">
        <v>449</v>
      </c>
      <c r="J4983" t="s" s="2">
        <v>9204</v>
      </c>
      <c r="K4983" s="6"/>
      <c r="L4983" s="6"/>
      <c r="M4983" s="6"/>
      <c r="N4983" s="6"/>
      <c r="O4983" t="s" s="2">
        <v>25</v>
      </c>
      <c r="P4983" s="6"/>
      <c r="Q4983" t="s" s="2">
        <v>9211</v>
      </c>
      <c r="R4983" t="s" s="2">
        <f>_xlfn.IFERROR(INDEX('model_byCAP'!$D$2:$D$377,MATCH(Q4983,'model_byCAP'!$A$2:$A$377,0)),0)</f>
        <v>8430</v>
      </c>
    </row>
    <row r="4984" ht="15.35" customHeight="1">
      <c r="A4984" t="s" s="2">
        <v>9388</v>
      </c>
      <c r="B4984" s="4">
        <v>43439</v>
      </c>
      <c r="C4984" s="5">
        <v>25</v>
      </c>
      <c r="D4984" s="5">
        <v>14</v>
      </c>
      <c r="E4984" s="5">
        <v>18</v>
      </c>
      <c r="F4984" t="s" s="2">
        <v>9209</v>
      </c>
      <c r="G4984" t="s" s="2">
        <v>9210</v>
      </c>
      <c r="H4984" s="5">
        <v>860</v>
      </c>
      <c r="I4984" t="s" s="2">
        <v>449</v>
      </c>
      <c r="J4984" t="s" s="2">
        <v>9204</v>
      </c>
      <c r="K4984" s="6"/>
      <c r="L4984" s="6"/>
      <c r="M4984" s="6"/>
      <c r="N4984" s="6"/>
      <c r="O4984" t="s" s="2">
        <v>25</v>
      </c>
      <c r="P4984" s="6"/>
      <c r="Q4984" t="s" s="2">
        <v>9211</v>
      </c>
      <c r="R4984" t="s" s="2">
        <f>_xlfn.IFERROR(INDEX('model_byCAP'!$D$2:$D$377,MATCH(Q4984,'model_byCAP'!$A$2:$A$377,0)),0)</f>
        <v>8430</v>
      </c>
    </row>
    <row r="4985" ht="15.35" customHeight="1">
      <c r="A4985" t="s" s="2">
        <v>9389</v>
      </c>
      <c r="B4985" s="4">
        <v>28737</v>
      </c>
      <c r="C4985" s="5">
        <v>23</v>
      </c>
      <c r="D4985" s="5">
        <v>12</v>
      </c>
      <c r="E4985" s="5">
        <v>18</v>
      </c>
      <c r="F4985" t="s" s="2">
        <v>42</v>
      </c>
      <c r="G4985" t="s" s="2">
        <v>42</v>
      </c>
      <c r="H4985" s="5">
        <v>760</v>
      </c>
      <c r="I4985" t="s" s="2">
        <v>331</v>
      </c>
      <c r="J4985" t="s" s="2">
        <v>9204</v>
      </c>
      <c r="K4985" s="6"/>
      <c r="L4985" s="6"/>
      <c r="M4985" s="5">
        <v>475776.14</v>
      </c>
      <c r="N4985" s="5">
        <v>6212697.13</v>
      </c>
      <c r="O4985" t="s" s="2">
        <v>305</v>
      </c>
      <c r="P4985" s="6"/>
      <c r="Q4985" t="s" s="2">
        <v>43</v>
      </c>
      <c r="R4985" s="5">
        <f>_xlfn.IFERROR(INDEX('model_byCAP'!$D$2:$D$377,MATCH(Q4985,'model_byCAP'!$A$2:$A$377,0)),0)</f>
        <v>0</v>
      </c>
    </row>
    <row r="4986" ht="15.35" customHeight="1">
      <c r="A4986" t="s" s="2">
        <v>9390</v>
      </c>
      <c r="B4986" s="4">
        <v>31960</v>
      </c>
      <c r="C4986" s="5">
        <v>22</v>
      </c>
      <c r="D4986" s="5">
        <v>10.8</v>
      </c>
      <c r="E4986" s="5">
        <v>24</v>
      </c>
      <c r="F4986" t="s" s="2">
        <v>42</v>
      </c>
      <c r="G4986" t="s" s="2">
        <v>42</v>
      </c>
      <c r="H4986" s="5">
        <v>330</v>
      </c>
      <c r="I4986" t="s" s="2">
        <v>1491</v>
      </c>
      <c r="J4986" t="s" s="2">
        <v>9204</v>
      </c>
      <c r="K4986" s="6"/>
      <c r="L4986" s="6"/>
      <c r="M4986" s="5">
        <v>649815.33</v>
      </c>
      <c r="N4986" s="5">
        <v>6137389.35</v>
      </c>
      <c r="O4986" t="s" s="2">
        <v>305</v>
      </c>
      <c r="P4986" s="6"/>
      <c r="Q4986" t="s" s="2">
        <v>43</v>
      </c>
      <c r="R4986" s="5">
        <f>_xlfn.IFERROR(INDEX('model_byCAP'!$D$2:$D$377,MATCH(Q4986,'model_byCAP'!$A$2:$A$377,0)),0)</f>
        <v>0</v>
      </c>
    </row>
    <row r="4987" ht="15.35" customHeight="1">
      <c r="A4987" t="s" s="2">
        <v>9391</v>
      </c>
      <c r="B4987" s="4">
        <v>35132</v>
      </c>
      <c r="C4987" s="5">
        <v>22</v>
      </c>
      <c r="D4987" s="5">
        <v>11</v>
      </c>
      <c r="E4987" s="5">
        <v>18</v>
      </c>
      <c r="F4987" t="s" s="2">
        <v>6608</v>
      </c>
      <c r="G4987" t="s" s="2">
        <v>9392</v>
      </c>
      <c r="H4987" s="5">
        <v>330</v>
      </c>
      <c r="I4987" t="s" s="2">
        <v>1491</v>
      </c>
      <c r="J4987" t="s" s="2">
        <v>9204</v>
      </c>
      <c r="K4987" s="6"/>
      <c r="L4987" s="6"/>
      <c r="M4987" s="5">
        <v>639468.63</v>
      </c>
      <c r="N4987" s="5">
        <v>6138272.26</v>
      </c>
      <c r="O4987" t="s" s="2">
        <v>305</v>
      </c>
      <c r="P4987" s="6"/>
      <c r="Q4987" t="s" s="2">
        <v>9393</v>
      </c>
      <c r="R4987" t="s" s="2">
        <f>_xlfn.IFERROR(INDEX('model_byCAP'!$D$2:$D$377,MATCH(Q4987,'model_byCAP'!$A$2:$A$377,0)),0)</f>
        <v>9069</v>
      </c>
    </row>
    <row r="4988" ht="15.35" customHeight="1">
      <c r="A4988" t="s" s="2">
        <v>9394</v>
      </c>
      <c r="B4988" s="4">
        <v>29647</v>
      </c>
      <c r="C4988" s="5">
        <v>22</v>
      </c>
      <c r="D4988" s="5">
        <v>10</v>
      </c>
      <c r="E4988" s="5">
        <v>18</v>
      </c>
      <c r="F4988" t="s" s="2">
        <v>42</v>
      </c>
      <c r="G4988" t="s" s="2">
        <v>42</v>
      </c>
      <c r="H4988" s="5">
        <v>430</v>
      </c>
      <c r="I4988" t="s" s="2">
        <v>3470</v>
      </c>
      <c r="J4988" t="s" s="2">
        <v>9204</v>
      </c>
      <c r="K4988" s="6"/>
      <c r="L4988" s="6"/>
      <c r="M4988" s="5">
        <v>570662.91</v>
      </c>
      <c r="N4988" s="5">
        <v>6106459.75</v>
      </c>
      <c r="O4988" t="s" s="2">
        <v>305</v>
      </c>
      <c r="P4988" s="6"/>
      <c r="Q4988" t="s" s="2">
        <v>43</v>
      </c>
      <c r="R4988" s="5">
        <f>_xlfn.IFERROR(INDEX('model_byCAP'!$D$2:$D$377,MATCH(Q4988,'model_byCAP'!$A$2:$A$377,0)),0)</f>
        <v>0</v>
      </c>
    </row>
    <row r="4989" ht="15.35" customHeight="1">
      <c r="A4989" t="s" s="2">
        <v>9395</v>
      </c>
      <c r="B4989" s="4">
        <v>30784</v>
      </c>
      <c r="C4989" s="5">
        <v>22</v>
      </c>
      <c r="D4989" s="5">
        <v>10</v>
      </c>
      <c r="E4989" s="5">
        <v>18.5</v>
      </c>
      <c r="F4989" t="s" s="2">
        <v>42</v>
      </c>
      <c r="G4989" t="s" s="2">
        <v>42</v>
      </c>
      <c r="H4989" s="5">
        <v>550</v>
      </c>
      <c r="I4989" t="s" s="2">
        <v>526</v>
      </c>
      <c r="J4989" t="s" s="2">
        <v>9204</v>
      </c>
      <c r="K4989" s="6"/>
      <c r="L4989" s="6"/>
      <c r="M4989" s="5">
        <v>478728.62</v>
      </c>
      <c r="N4989" s="5">
        <v>6105420.3</v>
      </c>
      <c r="O4989" t="s" s="2">
        <v>305</v>
      </c>
      <c r="P4989" s="6"/>
      <c r="Q4989" t="s" s="2">
        <v>43</v>
      </c>
      <c r="R4989" s="5">
        <f>_xlfn.IFERROR(INDEX('model_byCAP'!$D$2:$D$377,MATCH(Q4989,'model_byCAP'!$A$2:$A$377,0)),0)</f>
        <v>0</v>
      </c>
    </row>
    <row r="4990" ht="15.35" customHeight="1">
      <c r="A4990" t="s" s="2">
        <v>9396</v>
      </c>
      <c r="B4990" s="4">
        <v>29168</v>
      </c>
      <c r="C4990" s="5">
        <v>22</v>
      </c>
      <c r="D4990" s="5">
        <v>0.1</v>
      </c>
      <c r="E4990" s="5">
        <v>0.1</v>
      </c>
      <c r="F4990" t="s" s="2">
        <v>42</v>
      </c>
      <c r="G4990" t="s" s="2">
        <v>42</v>
      </c>
      <c r="H4990" s="5">
        <v>573</v>
      </c>
      <c r="I4990" t="s" s="2">
        <v>1041</v>
      </c>
      <c r="J4990" t="s" s="2">
        <v>9204</v>
      </c>
      <c r="K4990" s="6"/>
      <c r="L4990" s="6"/>
      <c r="M4990" s="5">
        <v>456435.26</v>
      </c>
      <c r="N4990" s="5">
        <v>6168337.22</v>
      </c>
      <c r="O4990" t="s" s="2">
        <v>305</v>
      </c>
      <c r="P4990" s="6"/>
      <c r="Q4990" t="s" s="2">
        <v>43</v>
      </c>
      <c r="R4990" s="5">
        <f>_xlfn.IFERROR(INDEX('model_byCAP'!$D$2:$D$377,MATCH(Q4990,'model_byCAP'!$A$2:$A$377,0)),0)</f>
        <v>0</v>
      </c>
    </row>
    <row r="4991" ht="15.35" customHeight="1">
      <c r="A4991" t="s" s="2">
        <v>9397</v>
      </c>
      <c r="B4991" s="4">
        <v>30117</v>
      </c>
      <c r="C4991" s="5">
        <v>22</v>
      </c>
      <c r="D4991" s="5">
        <v>10</v>
      </c>
      <c r="E4991" s="5">
        <v>18</v>
      </c>
      <c r="F4991" t="s" s="2">
        <v>42</v>
      </c>
      <c r="G4991" t="s" s="2">
        <v>42</v>
      </c>
      <c r="H4991" s="5">
        <v>661</v>
      </c>
      <c r="I4991" t="s" s="2">
        <v>562</v>
      </c>
      <c r="J4991" t="s" s="2">
        <v>9204</v>
      </c>
      <c r="K4991" s="6"/>
      <c r="L4991" s="6"/>
      <c r="M4991" s="5">
        <v>483320.92</v>
      </c>
      <c r="N4991" s="5">
        <v>6249666.27</v>
      </c>
      <c r="O4991" t="s" s="2">
        <v>305</v>
      </c>
      <c r="P4991" s="6"/>
      <c r="Q4991" t="s" s="2">
        <v>43</v>
      </c>
      <c r="R4991" s="5">
        <f>_xlfn.IFERROR(INDEX('model_byCAP'!$D$2:$D$377,MATCH(Q4991,'model_byCAP'!$A$2:$A$377,0)),0)</f>
        <v>0</v>
      </c>
    </row>
    <row r="4992" ht="15.35" customHeight="1">
      <c r="A4992" t="s" s="2">
        <v>9398</v>
      </c>
      <c r="B4992" s="4">
        <v>40250</v>
      </c>
      <c r="C4992" s="5">
        <v>22</v>
      </c>
      <c r="D4992" s="5">
        <v>10.5</v>
      </c>
      <c r="E4992" s="5">
        <v>19</v>
      </c>
      <c r="F4992" t="s" s="2">
        <v>9399</v>
      </c>
      <c r="G4992" t="s" s="2">
        <v>9400</v>
      </c>
      <c r="H4992" s="5">
        <v>707</v>
      </c>
      <c r="I4992" t="s" s="2">
        <v>616</v>
      </c>
      <c r="J4992" t="s" s="2">
        <v>9204</v>
      </c>
      <c r="K4992" s="6"/>
      <c r="L4992" s="6"/>
      <c r="M4992" s="5">
        <v>609467.98</v>
      </c>
      <c r="N4992" s="5">
        <v>6247068.54</v>
      </c>
      <c r="O4992" t="s" s="2">
        <v>305</v>
      </c>
      <c r="P4992" s="6"/>
      <c r="Q4992" t="s" s="2">
        <v>9401</v>
      </c>
      <c r="R4992" s="5">
        <f>_xlfn.IFERROR(INDEX('model_byCAP'!$D$2:$D$377,MATCH(Q4992,'model_byCAP'!$A$2:$A$377,0)),0)</f>
        <v>0</v>
      </c>
    </row>
    <row r="4993" ht="15.35" customHeight="1">
      <c r="A4993" t="s" s="2">
        <v>9402</v>
      </c>
      <c r="B4993" s="4">
        <v>39611</v>
      </c>
      <c r="C4993" s="5">
        <v>22</v>
      </c>
      <c r="D4993" s="5">
        <v>10.5</v>
      </c>
      <c r="E4993" s="5">
        <v>18</v>
      </c>
      <c r="F4993" t="s" s="2">
        <v>42</v>
      </c>
      <c r="G4993" t="s" s="2">
        <v>42</v>
      </c>
      <c r="H4993" s="5">
        <v>741</v>
      </c>
      <c r="I4993" t="s" s="2">
        <v>2306</v>
      </c>
      <c r="J4993" t="s" s="2">
        <v>9204</v>
      </c>
      <c r="K4993" s="6"/>
      <c r="L4993" s="6"/>
      <c r="M4993" s="5">
        <v>597971.13</v>
      </c>
      <c r="N4993" s="5">
        <v>6185157.49</v>
      </c>
      <c r="O4993" t="s" s="2">
        <v>305</v>
      </c>
      <c r="P4993" s="6"/>
      <c r="Q4993" t="s" s="2">
        <v>43</v>
      </c>
      <c r="R4993" s="5">
        <f>_xlfn.IFERROR(INDEX('model_byCAP'!$D$2:$D$377,MATCH(Q4993,'model_byCAP'!$A$2:$A$377,0)),0)</f>
        <v>0</v>
      </c>
    </row>
    <row r="4994" ht="15.35" customHeight="1">
      <c r="A4994" t="s" s="2">
        <v>9403</v>
      </c>
      <c r="B4994" s="4">
        <v>36103</v>
      </c>
      <c r="C4994" s="5">
        <v>22</v>
      </c>
      <c r="D4994" s="5">
        <v>10</v>
      </c>
      <c r="E4994" s="5">
        <v>18</v>
      </c>
      <c r="F4994" t="s" s="2">
        <v>6608</v>
      </c>
      <c r="G4994" t="s" s="2">
        <v>9404</v>
      </c>
      <c r="H4994" s="5">
        <v>751</v>
      </c>
      <c r="I4994" t="s" s="2">
        <v>4849</v>
      </c>
      <c r="J4994" t="s" s="2">
        <v>9204</v>
      </c>
      <c r="K4994" s="6"/>
      <c r="L4994" s="6"/>
      <c r="M4994" s="5">
        <v>575835.63</v>
      </c>
      <c r="N4994" s="5">
        <v>6208744.97</v>
      </c>
      <c r="O4994" t="s" s="2">
        <v>305</v>
      </c>
      <c r="P4994" s="6"/>
      <c r="Q4994" t="s" s="2">
        <v>9405</v>
      </c>
      <c r="R4994" t="s" s="2">
        <f>_xlfn.IFERROR(INDEX('model_byCAP'!$D$2:$D$377,MATCH(Q4994,'model_byCAP'!$A$2:$A$377,0)),0)</f>
        <v>9069</v>
      </c>
    </row>
    <row r="4995" ht="15.35" customHeight="1">
      <c r="A4995" t="s" s="2">
        <v>9406</v>
      </c>
      <c r="B4995" s="4">
        <v>29646</v>
      </c>
      <c r="C4995" s="5">
        <v>22</v>
      </c>
      <c r="D4995" s="5">
        <v>12</v>
      </c>
      <c r="E4995" s="5">
        <v>19</v>
      </c>
      <c r="F4995" t="s" s="2">
        <v>301</v>
      </c>
      <c r="G4995" t="s" s="2">
        <v>9407</v>
      </c>
      <c r="H4995" s="5">
        <v>760</v>
      </c>
      <c r="I4995" t="s" s="2">
        <v>331</v>
      </c>
      <c r="J4995" t="s" s="2">
        <v>9204</v>
      </c>
      <c r="K4995" s="6"/>
      <c r="L4995" s="6"/>
      <c r="M4995" s="5">
        <v>476353.61</v>
      </c>
      <c r="N4995" s="5">
        <v>6206515.51</v>
      </c>
      <c r="O4995" t="s" s="2">
        <v>305</v>
      </c>
      <c r="P4995" s="6"/>
      <c r="Q4995" t="s" s="2">
        <v>9408</v>
      </c>
      <c r="R4995" t="s" s="2">
        <f>_xlfn.IFERROR(INDEX('model_byCAP'!$D$2:$D$377,MATCH(Q4995,'model_byCAP'!$A$2:$A$377,0)),0)</f>
        <v>8029</v>
      </c>
    </row>
    <row r="4996" ht="15.35" customHeight="1">
      <c r="A4996" t="s" s="2">
        <v>9409</v>
      </c>
      <c r="B4996" s="4">
        <v>38176</v>
      </c>
      <c r="C4996" s="5">
        <v>22</v>
      </c>
      <c r="D4996" s="5">
        <v>15</v>
      </c>
      <c r="E4996" s="5">
        <v>18</v>
      </c>
      <c r="F4996" t="s" s="2">
        <v>301</v>
      </c>
      <c r="G4996" t="s" s="2">
        <v>9118</v>
      </c>
      <c r="H4996" s="5">
        <v>760</v>
      </c>
      <c r="I4996" t="s" s="2">
        <v>331</v>
      </c>
      <c r="J4996" t="s" s="2">
        <v>9204</v>
      </c>
      <c r="K4996" s="6"/>
      <c r="L4996" s="6"/>
      <c r="M4996" s="5">
        <v>483889.8</v>
      </c>
      <c r="N4996" s="5">
        <v>6216847.28</v>
      </c>
      <c r="O4996" t="s" s="2">
        <v>305</v>
      </c>
      <c r="P4996" s="6"/>
      <c r="Q4996" t="s" s="2">
        <v>9120</v>
      </c>
      <c r="R4996" t="s" s="2">
        <f>_xlfn.IFERROR(INDEX('model_byCAP'!$D$2:$D$377,MATCH(Q4996,'model_byCAP'!$A$2:$A$377,0)),0)</f>
        <v>8029</v>
      </c>
    </row>
    <row r="4997" ht="15.35" customHeight="1">
      <c r="A4997" t="s" s="2">
        <v>9410</v>
      </c>
      <c r="B4997" s="4">
        <v>39765</v>
      </c>
      <c r="C4997" s="5">
        <v>22</v>
      </c>
      <c r="D4997" s="5">
        <v>15</v>
      </c>
      <c r="E4997" s="5">
        <v>18</v>
      </c>
      <c r="F4997" t="s" s="2">
        <v>301</v>
      </c>
      <c r="G4997" t="s" s="2">
        <v>9118</v>
      </c>
      <c r="H4997" s="5">
        <v>760</v>
      </c>
      <c r="I4997" t="s" s="2">
        <v>331</v>
      </c>
      <c r="J4997" t="s" s="2">
        <v>9204</v>
      </c>
      <c r="K4997" s="6"/>
      <c r="L4997" s="6"/>
      <c r="M4997" s="5">
        <v>477758.9</v>
      </c>
      <c r="N4997" s="5">
        <v>6208813.96</v>
      </c>
      <c r="O4997" t="s" s="2">
        <v>305</v>
      </c>
      <c r="P4997" s="6"/>
      <c r="Q4997" t="s" s="2">
        <v>9120</v>
      </c>
      <c r="R4997" t="s" s="2">
        <f>_xlfn.IFERROR(INDEX('model_byCAP'!$D$2:$D$377,MATCH(Q4997,'model_byCAP'!$A$2:$A$377,0)),0)</f>
        <v>8029</v>
      </c>
    </row>
    <row r="4998" ht="15.35" customHeight="1">
      <c r="A4998" t="s" s="2">
        <v>9411</v>
      </c>
      <c r="B4998" s="4">
        <v>39722</v>
      </c>
      <c r="C4998" s="5">
        <v>22</v>
      </c>
      <c r="D4998" s="5">
        <v>15</v>
      </c>
      <c r="E4998" s="5">
        <v>18</v>
      </c>
      <c r="F4998" t="s" s="2">
        <v>301</v>
      </c>
      <c r="G4998" t="s" s="2">
        <v>9128</v>
      </c>
      <c r="H4998" s="5">
        <v>760</v>
      </c>
      <c r="I4998" t="s" s="2">
        <v>331</v>
      </c>
      <c r="J4998" t="s" s="2">
        <v>9204</v>
      </c>
      <c r="K4998" s="6"/>
      <c r="L4998" s="6"/>
      <c r="M4998" s="5">
        <v>476585.74</v>
      </c>
      <c r="N4998" s="5">
        <v>6208156.71</v>
      </c>
      <c r="O4998" t="s" s="2">
        <v>305</v>
      </c>
      <c r="P4998" s="6"/>
      <c r="Q4998" t="s" s="2">
        <v>9130</v>
      </c>
      <c r="R4998" t="s" s="2">
        <f>_xlfn.IFERROR(INDEX('model_byCAP'!$D$2:$D$377,MATCH(Q4998,'model_byCAP'!$A$2:$A$377,0)),0)</f>
        <v>9028</v>
      </c>
    </row>
    <row r="4999" ht="15.35" customHeight="1">
      <c r="A4999" t="s" s="2">
        <v>9412</v>
      </c>
      <c r="B4999" s="4">
        <v>30062</v>
      </c>
      <c r="C4999" s="5">
        <v>22</v>
      </c>
      <c r="D4999" s="5">
        <v>10</v>
      </c>
      <c r="E4999" s="5">
        <v>20.5</v>
      </c>
      <c r="F4999" t="s" s="2">
        <v>6608</v>
      </c>
      <c r="G4999" t="s" s="2">
        <v>9392</v>
      </c>
      <c r="H4999" s="5">
        <v>779</v>
      </c>
      <c r="I4999" t="s" s="2">
        <v>1308</v>
      </c>
      <c r="J4999" t="s" s="2">
        <v>9204</v>
      </c>
      <c r="K4999" s="6"/>
      <c r="L4999" s="6"/>
      <c r="M4999" s="5">
        <v>489643.56</v>
      </c>
      <c r="N4999" s="5">
        <v>6275677.44</v>
      </c>
      <c r="O4999" t="s" s="2">
        <v>305</v>
      </c>
      <c r="P4999" s="6"/>
      <c r="Q4999" t="s" s="2">
        <v>9393</v>
      </c>
      <c r="R4999" t="s" s="2">
        <f>_xlfn.IFERROR(INDEX('model_byCAP'!$D$2:$D$377,MATCH(Q4999,'model_byCAP'!$A$2:$A$377,0)),0)</f>
        <v>9069</v>
      </c>
    </row>
    <row r="5000" ht="15.35" customHeight="1">
      <c r="A5000" t="s" s="2">
        <v>9413</v>
      </c>
      <c r="B5000" s="4">
        <v>29721</v>
      </c>
      <c r="C5000" s="5">
        <v>22</v>
      </c>
      <c r="D5000" s="5">
        <v>10</v>
      </c>
      <c r="E5000" s="5">
        <v>18.5</v>
      </c>
      <c r="F5000" t="s" s="2">
        <v>42</v>
      </c>
      <c r="G5000" t="s" s="2">
        <v>42</v>
      </c>
      <c r="H5000" s="5">
        <v>787</v>
      </c>
      <c r="I5000" t="s" s="2">
        <v>21</v>
      </c>
      <c r="J5000" t="s" s="2">
        <v>9204</v>
      </c>
      <c r="K5000" s="6"/>
      <c r="L5000" s="6"/>
      <c r="M5000" s="6"/>
      <c r="N5000" s="6"/>
      <c r="O5000" t="s" s="2">
        <v>25</v>
      </c>
      <c r="P5000" s="6"/>
      <c r="Q5000" t="s" s="2">
        <v>43</v>
      </c>
      <c r="R5000" s="5">
        <f>_xlfn.IFERROR(INDEX('model_byCAP'!$D$2:$D$377,MATCH(Q5000,'model_byCAP'!$A$2:$A$377,0)),0)</f>
        <v>0</v>
      </c>
    </row>
    <row r="5001" ht="15.35" customHeight="1">
      <c r="A5001" t="s" s="2">
        <v>9414</v>
      </c>
      <c r="B5001" s="4">
        <v>29636</v>
      </c>
      <c r="C5001" s="5">
        <v>22</v>
      </c>
      <c r="D5001" s="5">
        <v>10</v>
      </c>
      <c r="E5001" s="5">
        <v>18</v>
      </c>
      <c r="F5001" t="s" s="2">
        <v>42</v>
      </c>
      <c r="G5001" t="s" s="2">
        <v>42</v>
      </c>
      <c r="H5001" s="5">
        <v>306</v>
      </c>
      <c r="I5001" t="s" s="2">
        <v>5800</v>
      </c>
      <c r="J5001" t="s" s="2">
        <v>9204</v>
      </c>
      <c r="K5001" s="6"/>
      <c r="L5001" s="6"/>
      <c r="M5001" s="5">
        <v>650683.59</v>
      </c>
      <c r="N5001" s="5">
        <v>6203465</v>
      </c>
      <c r="O5001" t="s" s="2">
        <v>305</v>
      </c>
      <c r="P5001" s="6"/>
      <c r="Q5001" t="s" s="2">
        <v>43</v>
      </c>
      <c r="R5001" s="5">
        <f>_xlfn.IFERROR(INDEX('model_byCAP'!$D$2:$D$377,MATCH(Q5001,'model_byCAP'!$A$2:$A$377,0)),0)</f>
        <v>0</v>
      </c>
    </row>
    <row r="5002" ht="15.35" customHeight="1">
      <c r="A5002" t="s" s="2">
        <v>9415</v>
      </c>
      <c r="B5002" s="4">
        <v>29608</v>
      </c>
      <c r="C5002" s="5">
        <v>22</v>
      </c>
      <c r="D5002" s="5">
        <v>10</v>
      </c>
      <c r="E5002" s="5">
        <v>18</v>
      </c>
      <c r="F5002" t="s" s="2">
        <v>42</v>
      </c>
      <c r="G5002" t="s" s="2">
        <v>42</v>
      </c>
      <c r="H5002" s="5">
        <v>306</v>
      </c>
      <c r="I5002" t="s" s="2">
        <v>5800</v>
      </c>
      <c r="J5002" t="s" s="2">
        <v>9204</v>
      </c>
      <c r="K5002" s="6"/>
      <c r="L5002" s="6"/>
      <c r="M5002" s="5">
        <v>650758.84</v>
      </c>
      <c r="N5002" s="5">
        <v>6204032.22</v>
      </c>
      <c r="O5002" t="s" s="2">
        <v>305</v>
      </c>
      <c r="P5002" s="6"/>
      <c r="Q5002" t="s" s="2">
        <v>43</v>
      </c>
      <c r="R5002" s="5">
        <f>_xlfn.IFERROR(INDEX('model_byCAP'!$D$2:$D$377,MATCH(Q5002,'model_byCAP'!$A$2:$A$377,0)),0)</f>
        <v>0</v>
      </c>
    </row>
    <row r="5003" ht="15.35" customHeight="1">
      <c r="A5003" t="s" s="2">
        <v>9416</v>
      </c>
      <c r="B5003" s="4">
        <v>41017</v>
      </c>
      <c r="C5003" s="5">
        <v>20</v>
      </c>
      <c r="D5003" s="5">
        <v>8</v>
      </c>
      <c r="E5003" s="5">
        <v>13</v>
      </c>
      <c r="F5003" t="s" s="2">
        <v>9417</v>
      </c>
      <c r="G5003" t="s" s="2">
        <v>9418</v>
      </c>
      <c r="H5003" s="5">
        <v>751</v>
      </c>
      <c r="I5003" t="s" s="2">
        <v>4849</v>
      </c>
      <c r="J5003" t="s" s="2">
        <v>9204</v>
      </c>
      <c r="K5003" s="6"/>
      <c r="L5003" s="6"/>
      <c r="M5003" s="6"/>
      <c r="N5003" s="6"/>
      <c r="O5003" t="s" s="2">
        <v>25</v>
      </c>
      <c r="P5003" s="6"/>
      <c r="Q5003" t="s" s="2">
        <v>9419</v>
      </c>
      <c r="R5003" s="5">
        <f>_xlfn.IFERROR(INDEX('model_byCAP'!$D$2:$D$377,MATCH(Q5003,'model_byCAP'!$A$2:$A$377,0)),0)</f>
        <v>0</v>
      </c>
    </row>
    <row r="5004" ht="15.35" customHeight="1">
      <c r="A5004" t="s" s="2">
        <v>9420</v>
      </c>
      <c r="B5004" s="4">
        <v>28857</v>
      </c>
      <c r="C5004" s="5">
        <v>19</v>
      </c>
      <c r="D5004" s="5">
        <v>10</v>
      </c>
      <c r="E5004" s="5">
        <v>20</v>
      </c>
      <c r="F5004" t="s" s="2">
        <v>2452</v>
      </c>
      <c r="G5004" t="s" s="2">
        <v>9421</v>
      </c>
      <c r="H5004" s="5">
        <v>706</v>
      </c>
      <c r="I5004" t="s" s="2">
        <v>3155</v>
      </c>
      <c r="J5004" t="s" s="2">
        <v>9204</v>
      </c>
      <c r="K5004" s="6"/>
      <c r="L5004" s="6"/>
      <c r="M5004" s="5">
        <v>588658.42</v>
      </c>
      <c r="N5004" s="5">
        <v>6245121.93</v>
      </c>
      <c r="O5004" t="s" s="2">
        <v>305</v>
      </c>
      <c r="P5004" s="6"/>
      <c r="Q5004" t="s" s="2">
        <v>9422</v>
      </c>
      <c r="R5004" s="5">
        <f>_xlfn.IFERROR(INDEX('model_byCAP'!$D$2:$D$377,MATCH(Q5004,'model_byCAP'!$A$2:$A$377,0)),0)</f>
        <v>0</v>
      </c>
    </row>
    <row r="5005" ht="15.35" customHeight="1">
      <c r="A5005" t="s" s="2">
        <v>9423</v>
      </c>
      <c r="B5005" s="4">
        <v>29801</v>
      </c>
      <c r="C5005" s="5">
        <v>18.5</v>
      </c>
      <c r="D5005" s="5">
        <v>11</v>
      </c>
      <c r="E5005" s="5">
        <v>18</v>
      </c>
      <c r="F5005" t="s" s="2">
        <v>42</v>
      </c>
      <c r="G5005" t="s" s="2">
        <v>42</v>
      </c>
      <c r="H5005" s="5">
        <v>320</v>
      </c>
      <c r="I5005" t="s" s="2">
        <v>1006</v>
      </c>
      <c r="J5005" t="s" s="2">
        <v>9204</v>
      </c>
      <c r="K5005" s="6"/>
      <c r="L5005" s="6"/>
      <c r="M5005" s="5">
        <v>703099.59</v>
      </c>
      <c r="N5005" s="5">
        <v>6130910.74</v>
      </c>
      <c r="O5005" t="s" s="2">
        <v>305</v>
      </c>
      <c r="P5005" s="6"/>
      <c r="Q5005" t="s" s="2">
        <v>43</v>
      </c>
      <c r="R5005" s="5">
        <f>_xlfn.IFERROR(INDEX('model_byCAP'!$D$2:$D$377,MATCH(Q5005,'model_byCAP'!$A$2:$A$377,0)),0)</f>
        <v>0</v>
      </c>
    </row>
    <row r="5006" ht="15.35" customHeight="1">
      <c r="A5006" t="s" s="2">
        <v>9424</v>
      </c>
      <c r="B5006" s="4">
        <v>32225</v>
      </c>
      <c r="C5006" s="5">
        <v>18.5</v>
      </c>
      <c r="D5006" s="5">
        <v>10.8</v>
      </c>
      <c r="E5006" s="5">
        <v>18.6</v>
      </c>
      <c r="F5006" t="s" s="2">
        <v>42</v>
      </c>
      <c r="G5006" t="s" s="2">
        <v>42</v>
      </c>
      <c r="H5006" s="5">
        <v>326</v>
      </c>
      <c r="I5006" t="s" s="2">
        <v>1263</v>
      </c>
      <c r="J5006" t="s" s="2">
        <v>9204</v>
      </c>
      <c r="K5006" s="6"/>
      <c r="L5006" s="6"/>
      <c r="M5006" s="5">
        <v>630131.59</v>
      </c>
      <c r="N5006" s="5">
        <v>6198811.6</v>
      </c>
      <c r="O5006" t="s" s="2">
        <v>305</v>
      </c>
      <c r="P5006" s="6"/>
      <c r="Q5006" t="s" s="2">
        <v>43</v>
      </c>
      <c r="R5006" s="5">
        <f>_xlfn.IFERROR(INDEX('model_byCAP'!$D$2:$D$377,MATCH(Q5006,'model_byCAP'!$A$2:$A$377,0)),0)</f>
        <v>0</v>
      </c>
    </row>
    <row r="5007" ht="15.35" customHeight="1">
      <c r="A5007" t="s" s="2">
        <v>9425</v>
      </c>
      <c r="B5007" s="4">
        <v>29866</v>
      </c>
      <c r="C5007" s="5">
        <v>18.5</v>
      </c>
      <c r="D5007" s="5">
        <v>11</v>
      </c>
      <c r="E5007" s="5">
        <v>20</v>
      </c>
      <c r="F5007" t="s" s="2">
        <v>42</v>
      </c>
      <c r="G5007" t="s" s="2">
        <v>42</v>
      </c>
      <c r="H5007" s="5">
        <v>410</v>
      </c>
      <c r="I5007" t="s" s="2">
        <v>4278</v>
      </c>
      <c r="J5007" t="s" s="2">
        <v>9204</v>
      </c>
      <c r="K5007" s="6"/>
      <c r="L5007" s="6"/>
      <c r="M5007" s="5">
        <v>551498.6</v>
      </c>
      <c r="N5007" s="5">
        <v>6154136.57</v>
      </c>
      <c r="O5007" t="s" s="2">
        <v>1492</v>
      </c>
      <c r="P5007" s="6"/>
      <c r="Q5007" t="s" s="2">
        <v>43</v>
      </c>
      <c r="R5007" s="5">
        <f>_xlfn.IFERROR(INDEX('model_byCAP'!$D$2:$D$377,MATCH(Q5007,'model_byCAP'!$A$2:$A$377,0)),0)</f>
        <v>0</v>
      </c>
    </row>
    <row r="5008" ht="15.35" customHeight="1">
      <c r="A5008" t="s" s="2">
        <v>9426</v>
      </c>
      <c r="B5008" s="4">
        <v>33086</v>
      </c>
      <c r="C5008" s="5">
        <v>18.5</v>
      </c>
      <c r="D5008" s="5">
        <v>10.2</v>
      </c>
      <c r="E5008" s="5">
        <v>19</v>
      </c>
      <c r="F5008" t="s" s="2">
        <v>42</v>
      </c>
      <c r="G5008" t="s" s="2">
        <v>42</v>
      </c>
      <c r="H5008" s="5">
        <v>760</v>
      </c>
      <c r="I5008" t="s" s="2">
        <v>331</v>
      </c>
      <c r="J5008" t="s" s="2">
        <v>9204</v>
      </c>
      <c r="K5008" s="6"/>
      <c r="L5008" s="6"/>
      <c r="M5008" s="5">
        <v>478276.14</v>
      </c>
      <c r="N5008" s="5">
        <v>6216133.34</v>
      </c>
      <c r="O5008" t="s" s="2">
        <v>305</v>
      </c>
      <c r="P5008" s="6"/>
      <c r="Q5008" t="s" s="2">
        <v>43</v>
      </c>
      <c r="R5008" s="5">
        <f>_xlfn.IFERROR(INDEX('model_byCAP'!$D$2:$D$377,MATCH(Q5008,'model_byCAP'!$A$2:$A$377,0)),0)</f>
        <v>0</v>
      </c>
    </row>
    <row r="5009" ht="15.35" customHeight="1">
      <c r="A5009" t="s" s="2">
        <v>9427</v>
      </c>
      <c r="B5009" s="4">
        <v>30019</v>
      </c>
      <c r="C5009" s="5">
        <v>18.5</v>
      </c>
      <c r="D5009" s="5">
        <v>11</v>
      </c>
      <c r="E5009" s="5">
        <v>17.5</v>
      </c>
      <c r="F5009" t="s" s="2">
        <v>42</v>
      </c>
      <c r="G5009" t="s" s="2">
        <v>42</v>
      </c>
      <c r="H5009" s="5">
        <v>760</v>
      </c>
      <c r="I5009" t="s" s="2">
        <v>331</v>
      </c>
      <c r="J5009" t="s" s="2">
        <v>9204</v>
      </c>
      <c r="K5009" s="6"/>
      <c r="L5009" s="6"/>
      <c r="M5009" s="5">
        <v>476757.78</v>
      </c>
      <c r="N5009" s="5">
        <v>6214914</v>
      </c>
      <c r="O5009" t="s" s="2">
        <v>305</v>
      </c>
      <c r="P5009" s="6"/>
      <c r="Q5009" t="s" s="2">
        <v>43</v>
      </c>
      <c r="R5009" s="5">
        <f>_xlfn.IFERROR(INDEX('model_byCAP'!$D$2:$D$377,MATCH(Q5009,'model_byCAP'!$A$2:$A$377,0)),0)</f>
        <v>0</v>
      </c>
    </row>
    <row r="5010" ht="15.35" customHeight="1">
      <c r="A5010" t="s" s="2">
        <v>9428</v>
      </c>
      <c r="B5010" s="4">
        <v>31747</v>
      </c>
      <c r="C5010" s="5">
        <v>18</v>
      </c>
      <c r="D5010" s="5">
        <v>11</v>
      </c>
      <c r="E5010" s="5">
        <v>18</v>
      </c>
      <c r="F5010" t="s" s="2">
        <v>42</v>
      </c>
      <c r="G5010" t="s" s="2">
        <v>42</v>
      </c>
      <c r="H5010" s="5">
        <v>330</v>
      </c>
      <c r="I5010" t="s" s="2">
        <v>1491</v>
      </c>
      <c r="J5010" t="s" s="2">
        <v>9204</v>
      </c>
      <c r="K5010" s="6"/>
      <c r="L5010" s="6"/>
      <c r="M5010" s="5">
        <v>642484.55</v>
      </c>
      <c r="N5010" s="5">
        <v>6123958.79</v>
      </c>
      <c r="O5010" t="s" s="2">
        <v>305</v>
      </c>
      <c r="P5010" s="6"/>
      <c r="Q5010" t="s" s="2">
        <v>43</v>
      </c>
      <c r="R5010" s="5">
        <f>_xlfn.IFERROR(INDEX('model_byCAP'!$D$2:$D$377,MATCH(Q5010,'model_byCAP'!$A$2:$A$377,0)),0)</f>
        <v>0</v>
      </c>
    </row>
    <row r="5011" ht="15.35" customHeight="1">
      <c r="A5011" t="s" s="2">
        <v>9429</v>
      </c>
      <c r="B5011" s="4">
        <v>36655</v>
      </c>
      <c r="C5011" s="5">
        <v>18</v>
      </c>
      <c r="D5011" s="5">
        <v>10.8</v>
      </c>
      <c r="E5011" s="5">
        <v>18</v>
      </c>
      <c r="F5011" t="s" s="2">
        <v>9430</v>
      </c>
      <c r="G5011" t="s" s="2">
        <v>9431</v>
      </c>
      <c r="H5011" s="5">
        <v>336</v>
      </c>
      <c r="I5011" t="s" s="2">
        <v>4152</v>
      </c>
      <c r="J5011" t="s" s="2">
        <v>9204</v>
      </c>
      <c r="K5011" s="6"/>
      <c r="L5011" s="6"/>
      <c r="M5011" s="5">
        <v>714070.85</v>
      </c>
      <c r="N5011" s="5">
        <v>6132726.57</v>
      </c>
      <c r="O5011" t="s" s="2">
        <v>305</v>
      </c>
      <c r="P5011" s="6"/>
      <c r="Q5011" t="s" s="2">
        <v>9432</v>
      </c>
      <c r="R5011" s="5">
        <f>_xlfn.IFERROR(INDEX('model_byCAP'!$D$2:$D$377,MATCH(Q5011,'model_byCAP'!$A$2:$A$377,0)),0)</f>
        <v>0</v>
      </c>
    </row>
    <row r="5012" ht="15.35" customHeight="1">
      <c r="A5012" t="s" s="2">
        <v>9433</v>
      </c>
      <c r="B5012" s="4">
        <v>32578</v>
      </c>
      <c r="C5012" s="5">
        <v>18</v>
      </c>
      <c r="D5012" s="5">
        <v>10.4</v>
      </c>
      <c r="E5012" s="5">
        <v>25</v>
      </c>
      <c r="F5012" t="s" s="2">
        <v>42</v>
      </c>
      <c r="G5012" t="s" s="2">
        <v>42</v>
      </c>
      <c r="H5012" s="5">
        <v>400</v>
      </c>
      <c r="I5012" t="s" s="2">
        <v>2068</v>
      </c>
      <c r="J5012" t="s" s="2">
        <v>9204</v>
      </c>
      <c r="K5012" s="6"/>
      <c r="L5012" s="6"/>
      <c r="M5012" s="5">
        <v>873847.3</v>
      </c>
      <c r="N5012" s="5">
        <v>6120596.63</v>
      </c>
      <c r="O5012" t="s" s="2">
        <v>305</v>
      </c>
      <c r="P5012" s="6"/>
      <c r="Q5012" t="s" s="2">
        <v>43</v>
      </c>
      <c r="R5012" s="5">
        <f>_xlfn.IFERROR(INDEX('model_byCAP'!$D$2:$D$377,MATCH(Q5012,'model_byCAP'!$A$2:$A$377,0)),0)</f>
        <v>0</v>
      </c>
    </row>
    <row r="5013" ht="15.35" customHeight="1">
      <c r="A5013" t="s" s="2">
        <v>9434</v>
      </c>
      <c r="B5013" s="4">
        <v>42271</v>
      </c>
      <c r="C5013" s="5">
        <v>18</v>
      </c>
      <c r="D5013" s="5">
        <v>10.8</v>
      </c>
      <c r="E5013" s="5">
        <v>18.5</v>
      </c>
      <c r="F5013" t="s" s="2">
        <v>42</v>
      </c>
      <c r="G5013" t="s" s="2">
        <v>42</v>
      </c>
      <c r="H5013" s="5">
        <v>657</v>
      </c>
      <c r="I5013" t="s" s="2">
        <v>541</v>
      </c>
      <c r="J5013" t="s" s="2">
        <v>9204</v>
      </c>
      <c r="K5013" s="6"/>
      <c r="L5013" s="6"/>
      <c r="M5013" s="6"/>
      <c r="N5013" s="6"/>
      <c r="O5013" t="s" s="2">
        <v>25</v>
      </c>
      <c r="P5013" s="6"/>
      <c r="Q5013" t="s" s="2">
        <v>43</v>
      </c>
      <c r="R5013" s="5">
        <f>_xlfn.IFERROR(INDEX('model_byCAP'!$D$2:$D$377,MATCH(Q5013,'model_byCAP'!$A$2:$A$377,0)),0)</f>
        <v>0</v>
      </c>
    </row>
    <row r="5014" ht="15.35" customHeight="1">
      <c r="A5014" t="s" s="2">
        <v>9435</v>
      </c>
      <c r="B5014" s="4">
        <v>29632</v>
      </c>
      <c r="C5014" s="5">
        <v>18</v>
      </c>
      <c r="D5014" s="5">
        <v>10.8</v>
      </c>
      <c r="E5014" s="5">
        <v>19</v>
      </c>
      <c r="F5014" t="s" s="2">
        <v>42</v>
      </c>
      <c r="G5014" t="s" s="2">
        <v>42</v>
      </c>
      <c r="H5014" s="5">
        <v>661</v>
      </c>
      <c r="I5014" t="s" s="2">
        <v>562</v>
      </c>
      <c r="J5014" t="s" s="2">
        <v>9204</v>
      </c>
      <c r="K5014" s="6"/>
      <c r="L5014" s="6"/>
      <c r="M5014" s="5">
        <v>482887.79</v>
      </c>
      <c r="N5014" s="5">
        <v>6256233.94</v>
      </c>
      <c r="O5014" t="s" s="2">
        <v>305</v>
      </c>
      <c r="P5014" s="6"/>
      <c r="Q5014" t="s" s="2">
        <v>43</v>
      </c>
      <c r="R5014" s="5">
        <f>_xlfn.IFERROR(INDEX('model_byCAP'!$D$2:$D$377,MATCH(Q5014,'model_byCAP'!$A$2:$A$377,0)),0)</f>
        <v>0</v>
      </c>
    </row>
    <row r="5015" ht="15.35" customHeight="1">
      <c r="A5015" t="s" s="2">
        <v>9436</v>
      </c>
      <c r="B5015" s="4">
        <v>41506</v>
      </c>
      <c r="C5015" s="5">
        <v>18</v>
      </c>
      <c r="D5015" s="5">
        <v>10</v>
      </c>
      <c r="E5015" s="5">
        <v>18</v>
      </c>
      <c r="F5015" t="s" s="2">
        <v>9430</v>
      </c>
      <c r="G5015" t="s" s="2">
        <v>9437</v>
      </c>
      <c r="H5015" s="5">
        <v>740</v>
      </c>
      <c r="I5015" t="s" s="2">
        <v>899</v>
      </c>
      <c r="J5015" t="s" s="2">
        <v>9204</v>
      </c>
      <c r="K5015" s="6"/>
      <c r="L5015" s="6"/>
      <c r="M5015" s="6"/>
      <c r="N5015" s="6"/>
      <c r="O5015" t="s" s="2">
        <v>25</v>
      </c>
      <c r="P5015" s="6"/>
      <c r="Q5015" t="s" s="2">
        <v>9438</v>
      </c>
      <c r="R5015" s="5">
        <f>_xlfn.IFERROR(INDEX('model_byCAP'!$D$2:$D$377,MATCH(Q5015,'model_byCAP'!$A$2:$A$377,0)),0)</f>
        <v>0</v>
      </c>
    </row>
    <row r="5016" ht="15.35" customHeight="1">
      <c r="A5016" t="s" s="2">
        <v>9439</v>
      </c>
      <c r="B5016" s="4">
        <v>37948</v>
      </c>
      <c r="C5016" s="5">
        <v>18</v>
      </c>
      <c r="D5016" s="5">
        <v>11</v>
      </c>
      <c r="E5016" s="5">
        <v>18</v>
      </c>
      <c r="F5016" t="s" s="2">
        <v>42</v>
      </c>
      <c r="G5016" t="s" s="2">
        <v>42</v>
      </c>
      <c r="H5016" s="5">
        <v>741</v>
      </c>
      <c r="I5016" t="s" s="2">
        <v>2306</v>
      </c>
      <c r="J5016" t="s" s="2">
        <v>9204</v>
      </c>
      <c r="K5016" s="6"/>
      <c r="L5016" s="6"/>
      <c r="M5016" s="5">
        <v>602234.5600000001</v>
      </c>
      <c r="N5016" s="5">
        <v>6184239.17</v>
      </c>
      <c r="O5016" t="s" s="2">
        <v>305</v>
      </c>
      <c r="P5016" s="6"/>
      <c r="Q5016" t="s" s="2">
        <v>43</v>
      </c>
      <c r="R5016" s="5">
        <f>_xlfn.IFERROR(INDEX('model_byCAP'!$D$2:$D$377,MATCH(Q5016,'model_byCAP'!$A$2:$A$377,0)),0)</f>
        <v>0</v>
      </c>
    </row>
    <row r="5017" ht="15.35" customHeight="1">
      <c r="A5017" t="s" s="2">
        <v>9440</v>
      </c>
      <c r="B5017" s="4">
        <v>30599</v>
      </c>
      <c r="C5017" s="5">
        <v>18</v>
      </c>
      <c r="D5017" s="5">
        <v>11</v>
      </c>
      <c r="E5017" s="5">
        <v>24</v>
      </c>
      <c r="F5017" t="s" s="2">
        <v>42</v>
      </c>
      <c r="G5017" t="s" s="2">
        <v>42</v>
      </c>
      <c r="H5017" s="5">
        <v>787</v>
      </c>
      <c r="I5017" t="s" s="2">
        <v>21</v>
      </c>
      <c r="J5017" t="s" s="2">
        <v>9204</v>
      </c>
      <c r="K5017" s="6"/>
      <c r="L5017" s="6"/>
      <c r="M5017" s="5">
        <v>476967.93</v>
      </c>
      <c r="N5017" s="5">
        <v>6308218.73</v>
      </c>
      <c r="O5017" t="s" s="2">
        <v>305</v>
      </c>
      <c r="P5017" s="6"/>
      <c r="Q5017" t="s" s="2">
        <v>43</v>
      </c>
      <c r="R5017" s="5">
        <f>_xlfn.IFERROR(INDEX('model_byCAP'!$D$2:$D$377,MATCH(Q5017,'model_byCAP'!$A$2:$A$377,0)),0)</f>
        <v>0</v>
      </c>
    </row>
    <row r="5018" ht="15.35" customHeight="1">
      <c r="A5018" t="s" s="2">
        <v>9441</v>
      </c>
      <c r="B5018" s="4">
        <v>32174</v>
      </c>
      <c r="C5018" s="5">
        <v>18</v>
      </c>
      <c r="D5018" s="5">
        <v>0.1</v>
      </c>
      <c r="E5018" s="5">
        <v>0.1</v>
      </c>
      <c r="F5018" t="s" s="2">
        <v>42</v>
      </c>
      <c r="G5018" t="s" s="2">
        <v>42</v>
      </c>
      <c r="H5018" s="5">
        <v>813</v>
      </c>
      <c r="I5018" t="s" s="2">
        <v>1708</v>
      </c>
      <c r="J5018" t="s" s="2">
        <v>9204</v>
      </c>
      <c r="K5018" s="6"/>
      <c r="L5018" s="6"/>
      <c r="M5018" s="5">
        <v>582779.86</v>
      </c>
      <c r="N5018" s="5">
        <v>6357949.05</v>
      </c>
      <c r="O5018" t="s" s="2">
        <v>305</v>
      </c>
      <c r="P5018" s="6"/>
      <c r="Q5018" t="s" s="2">
        <v>43</v>
      </c>
      <c r="R5018" s="5">
        <f>_xlfn.IFERROR(INDEX('model_byCAP'!$D$2:$D$377,MATCH(Q5018,'model_byCAP'!$A$2:$A$377,0)),0)</f>
        <v>0</v>
      </c>
    </row>
    <row r="5019" ht="15.35" customHeight="1">
      <c r="A5019" t="s" s="2">
        <v>9442</v>
      </c>
      <c r="B5019" s="4">
        <v>30042</v>
      </c>
      <c r="C5019" s="5">
        <v>15</v>
      </c>
      <c r="D5019" s="5">
        <v>11</v>
      </c>
      <c r="E5019" s="5">
        <v>18</v>
      </c>
      <c r="F5019" t="s" s="2">
        <v>9443</v>
      </c>
      <c r="G5019" t="s" s="2">
        <v>9444</v>
      </c>
      <c r="H5019" s="5">
        <v>330</v>
      </c>
      <c r="I5019" t="s" s="2">
        <v>1491</v>
      </c>
      <c r="J5019" t="s" s="2">
        <v>9204</v>
      </c>
      <c r="K5019" s="6"/>
      <c r="L5019" s="6"/>
      <c r="M5019" s="5">
        <v>647193.8100000001</v>
      </c>
      <c r="N5019" s="5">
        <v>6123742.29</v>
      </c>
      <c r="O5019" t="s" s="2">
        <v>305</v>
      </c>
      <c r="P5019" s="6"/>
      <c r="Q5019" t="s" s="2">
        <v>9445</v>
      </c>
      <c r="R5019" s="5">
        <f>_xlfn.IFERROR(INDEX('model_byCAP'!$D$2:$D$377,MATCH(Q5019,'model_byCAP'!$A$2:$A$377,0)),0)</f>
        <v>0</v>
      </c>
    </row>
    <row r="5020" ht="15.35" customHeight="1">
      <c r="A5020" t="s" s="2">
        <v>9446</v>
      </c>
      <c r="B5020" s="4">
        <v>29985</v>
      </c>
      <c r="C5020" s="5">
        <v>15</v>
      </c>
      <c r="D5020" s="5">
        <v>10</v>
      </c>
      <c r="E5020" s="5">
        <v>18</v>
      </c>
      <c r="F5020" t="s" s="2">
        <v>42</v>
      </c>
      <c r="G5020" t="s" s="2">
        <v>42</v>
      </c>
      <c r="H5020" s="5">
        <v>420</v>
      </c>
      <c r="I5020" t="s" s="2">
        <v>3043</v>
      </c>
      <c r="J5020" t="s" s="2">
        <v>9204</v>
      </c>
      <c r="K5020" s="6"/>
      <c r="L5020" s="6"/>
      <c r="M5020" s="5">
        <v>569380.51</v>
      </c>
      <c r="N5020" s="5">
        <v>6125339</v>
      </c>
      <c r="O5020" t="s" s="2">
        <v>305</v>
      </c>
      <c r="P5020" s="6"/>
      <c r="Q5020" t="s" s="2">
        <v>43</v>
      </c>
      <c r="R5020" s="5">
        <f>_xlfn.IFERROR(INDEX('model_byCAP'!$D$2:$D$377,MATCH(Q5020,'model_byCAP'!$A$2:$A$377,0)),0)</f>
        <v>0</v>
      </c>
    </row>
    <row r="5021" ht="15.35" customHeight="1">
      <c r="A5021" t="s" s="2">
        <v>9447</v>
      </c>
      <c r="B5021" s="4">
        <v>30225</v>
      </c>
      <c r="C5021" s="5">
        <v>15</v>
      </c>
      <c r="D5021" s="5">
        <v>10.8</v>
      </c>
      <c r="E5021" s="5">
        <v>18</v>
      </c>
      <c r="F5021" t="s" s="2">
        <v>42</v>
      </c>
      <c r="G5021" t="s" s="2">
        <v>42</v>
      </c>
      <c r="H5021" s="5">
        <v>480</v>
      </c>
      <c r="I5021" t="s" s="2">
        <v>3957</v>
      </c>
      <c r="J5021" t="s" s="2">
        <v>9204</v>
      </c>
      <c r="K5021" s="6"/>
      <c r="L5021" s="6"/>
      <c r="M5021" s="5">
        <v>572651.25</v>
      </c>
      <c r="N5021" s="5">
        <v>6155158.48</v>
      </c>
      <c r="O5021" t="s" s="2">
        <v>1492</v>
      </c>
      <c r="P5021" s="6"/>
      <c r="Q5021" t="s" s="2">
        <v>43</v>
      </c>
      <c r="R5021" s="5">
        <f>_xlfn.IFERROR(INDEX('model_byCAP'!$D$2:$D$377,MATCH(Q5021,'model_byCAP'!$A$2:$A$377,0)),0)</f>
        <v>0</v>
      </c>
    </row>
    <row r="5022" ht="15.35" customHeight="1">
      <c r="A5022" t="s" s="2">
        <v>9448</v>
      </c>
      <c r="B5022" s="4">
        <v>30463</v>
      </c>
      <c r="C5022" s="5">
        <v>15</v>
      </c>
      <c r="D5022" s="5">
        <v>10</v>
      </c>
      <c r="E5022" s="5">
        <v>18.5</v>
      </c>
      <c r="F5022" t="s" s="2">
        <v>42</v>
      </c>
      <c r="G5022" t="s" s="2">
        <v>42</v>
      </c>
      <c r="H5022" s="5">
        <v>661</v>
      </c>
      <c r="I5022" t="s" s="2">
        <v>562</v>
      </c>
      <c r="J5022" t="s" s="2">
        <v>9204</v>
      </c>
      <c r="K5022" s="6"/>
      <c r="L5022" s="6"/>
      <c r="M5022" s="5">
        <v>488354.92</v>
      </c>
      <c r="N5022" s="5">
        <v>6266068.74</v>
      </c>
      <c r="O5022" t="s" s="2">
        <v>305</v>
      </c>
      <c r="P5022" s="6"/>
      <c r="Q5022" t="s" s="2">
        <v>43</v>
      </c>
      <c r="R5022" s="5">
        <f>_xlfn.IFERROR(INDEX('model_byCAP'!$D$2:$D$377,MATCH(Q5022,'model_byCAP'!$A$2:$A$377,0)),0)</f>
        <v>0</v>
      </c>
    </row>
    <row r="5023" ht="15.35" customHeight="1">
      <c r="A5023" t="s" s="2">
        <v>9449</v>
      </c>
      <c r="B5023" s="4">
        <v>30966</v>
      </c>
      <c r="C5023" s="5">
        <v>15</v>
      </c>
      <c r="D5023" s="5">
        <v>18</v>
      </c>
      <c r="E5023" s="5">
        <v>18</v>
      </c>
      <c r="F5023" t="s" s="2">
        <v>9430</v>
      </c>
      <c r="G5023" t="s" s="2">
        <v>9450</v>
      </c>
      <c r="H5023" s="5">
        <v>760</v>
      </c>
      <c r="I5023" t="s" s="2">
        <v>331</v>
      </c>
      <c r="J5023" t="s" s="2">
        <v>9204</v>
      </c>
      <c r="K5023" s="6"/>
      <c r="L5023" s="6"/>
      <c r="M5023" s="5">
        <v>476407.94</v>
      </c>
      <c r="N5023" s="5">
        <v>6214332.07</v>
      </c>
      <c r="O5023" t="s" s="2">
        <v>305</v>
      </c>
      <c r="P5023" s="6"/>
      <c r="Q5023" t="s" s="2">
        <v>9451</v>
      </c>
      <c r="R5023" s="5">
        <f>_xlfn.IFERROR(INDEX('model_byCAP'!$D$2:$D$377,MATCH(Q5023,'model_byCAP'!$A$2:$A$377,0)),0)</f>
        <v>0</v>
      </c>
    </row>
    <row r="5024" ht="15.35" customHeight="1">
      <c r="A5024" t="s" s="2">
        <v>9452</v>
      </c>
      <c r="B5024" s="4">
        <v>40210</v>
      </c>
      <c r="C5024" s="5">
        <v>15</v>
      </c>
      <c r="D5024" s="5">
        <v>11</v>
      </c>
      <c r="E5024" s="5">
        <v>18</v>
      </c>
      <c r="F5024" t="s" s="2">
        <v>42</v>
      </c>
      <c r="G5024" t="s" s="2">
        <v>42</v>
      </c>
      <c r="H5024" s="5">
        <v>760</v>
      </c>
      <c r="I5024" t="s" s="2">
        <v>331</v>
      </c>
      <c r="J5024" t="s" s="2">
        <v>9204</v>
      </c>
      <c r="K5024" s="6"/>
      <c r="L5024" s="6"/>
      <c r="M5024" s="6"/>
      <c r="N5024" s="6"/>
      <c r="O5024" t="s" s="2">
        <v>25</v>
      </c>
      <c r="P5024" s="6"/>
      <c r="Q5024" t="s" s="2">
        <v>43</v>
      </c>
      <c r="R5024" s="5">
        <f>_xlfn.IFERROR(INDEX('model_byCAP'!$D$2:$D$377,MATCH(Q5024,'model_byCAP'!$A$2:$A$377,0)),0)</f>
        <v>0</v>
      </c>
    </row>
    <row r="5025" ht="15.35" customHeight="1">
      <c r="A5025" t="s" s="2">
        <v>9453</v>
      </c>
      <c r="B5025" s="4">
        <v>29985</v>
      </c>
      <c r="C5025" s="5">
        <v>15</v>
      </c>
      <c r="D5025" s="5">
        <v>11</v>
      </c>
      <c r="E5025" s="5">
        <v>18</v>
      </c>
      <c r="F5025" t="s" s="2">
        <v>9454</v>
      </c>
      <c r="G5025" t="s" s="2">
        <v>9455</v>
      </c>
      <c r="H5025" s="5">
        <v>851</v>
      </c>
      <c r="I5025" t="s" s="2">
        <v>1139</v>
      </c>
      <c r="J5025" t="s" s="2">
        <v>9204</v>
      </c>
      <c r="K5025" s="6"/>
      <c r="L5025" s="6"/>
      <c r="M5025" s="5">
        <v>547693.65</v>
      </c>
      <c r="N5025" s="5">
        <v>6314261.88</v>
      </c>
      <c r="O5025" t="s" s="2">
        <v>305</v>
      </c>
      <c r="P5025" s="6"/>
      <c r="Q5025" t="s" s="2">
        <v>9456</v>
      </c>
      <c r="R5025" s="5">
        <f>_xlfn.IFERROR(INDEX('model_byCAP'!$D$2:$D$377,MATCH(Q5025,'model_byCAP'!$A$2:$A$377,0)),0)</f>
        <v>0</v>
      </c>
    </row>
    <row r="5026" ht="15.35" customHeight="1">
      <c r="A5026" t="s" s="2">
        <v>9457</v>
      </c>
      <c r="B5026" s="4">
        <v>40842</v>
      </c>
      <c r="C5026" s="5">
        <v>12</v>
      </c>
      <c r="D5026" s="5">
        <v>13</v>
      </c>
      <c r="E5026" s="5">
        <v>18</v>
      </c>
      <c r="F5026" t="s" s="2">
        <v>42</v>
      </c>
      <c r="G5026" t="s" s="2">
        <v>42</v>
      </c>
      <c r="H5026" s="5">
        <v>320</v>
      </c>
      <c r="I5026" t="s" s="2">
        <v>1006</v>
      </c>
      <c r="J5026" t="s" s="2">
        <v>9204</v>
      </c>
      <c r="K5026" s="6"/>
      <c r="L5026" s="6"/>
      <c r="M5026" s="5">
        <v>681788.9</v>
      </c>
      <c r="N5026" s="5">
        <v>6132066.19</v>
      </c>
      <c r="O5026" t="s" s="2">
        <v>305</v>
      </c>
      <c r="P5026" s="6"/>
      <c r="Q5026" t="s" s="2">
        <v>43</v>
      </c>
      <c r="R5026" s="5">
        <f>_xlfn.IFERROR(INDEX('model_byCAP'!$D$2:$D$377,MATCH(Q5026,'model_byCAP'!$A$2:$A$377,0)),0)</f>
        <v>0</v>
      </c>
    </row>
    <row r="5027" ht="15.35" customHeight="1">
      <c r="A5027" t="s" s="2">
        <v>9458</v>
      </c>
      <c r="B5027" s="4">
        <v>35963</v>
      </c>
      <c r="C5027" s="5">
        <v>12</v>
      </c>
      <c r="D5027" s="5">
        <v>13</v>
      </c>
      <c r="E5027" s="5">
        <v>18</v>
      </c>
      <c r="F5027" t="s" s="2">
        <v>42</v>
      </c>
      <c r="G5027" t="s" s="2">
        <v>42</v>
      </c>
      <c r="H5027" s="5">
        <v>706</v>
      </c>
      <c r="I5027" t="s" s="2">
        <v>3155</v>
      </c>
      <c r="J5027" t="s" s="2">
        <v>9204</v>
      </c>
      <c r="K5027" s="6"/>
      <c r="L5027" s="6"/>
      <c r="M5027" s="5">
        <v>589085.03</v>
      </c>
      <c r="N5027" s="5">
        <v>6240050.13</v>
      </c>
      <c r="O5027" t="s" s="2">
        <v>305</v>
      </c>
      <c r="P5027" s="6"/>
      <c r="Q5027" t="s" s="2">
        <v>43</v>
      </c>
      <c r="R5027" s="5">
        <f>_xlfn.IFERROR(INDEX('model_byCAP'!$D$2:$D$377,MATCH(Q5027,'model_byCAP'!$A$2:$A$377,0)),0)</f>
        <v>0</v>
      </c>
    </row>
    <row r="5028" ht="15.35" customHeight="1">
      <c r="A5028" t="s" s="2">
        <v>9459</v>
      </c>
      <c r="B5028" s="4">
        <v>36090</v>
      </c>
      <c r="C5028" s="5">
        <v>12</v>
      </c>
      <c r="D5028" s="5">
        <v>13</v>
      </c>
      <c r="E5028" s="5">
        <v>18</v>
      </c>
      <c r="F5028" t="s" s="2">
        <v>42</v>
      </c>
      <c r="G5028" t="s" s="2">
        <v>42</v>
      </c>
      <c r="H5028" s="5">
        <v>751</v>
      </c>
      <c r="I5028" t="s" s="2">
        <v>4849</v>
      </c>
      <c r="J5028" t="s" s="2">
        <v>9204</v>
      </c>
      <c r="K5028" s="6"/>
      <c r="L5028" s="6"/>
      <c r="M5028" s="5">
        <v>577673.09</v>
      </c>
      <c r="N5028" s="5">
        <v>6236698.11</v>
      </c>
      <c r="O5028" t="s" s="2">
        <v>305</v>
      </c>
      <c r="P5028" s="6"/>
      <c r="Q5028" t="s" s="2">
        <v>43</v>
      </c>
      <c r="R5028" s="5">
        <f>_xlfn.IFERROR(INDEX('model_byCAP'!$D$2:$D$377,MATCH(Q5028,'model_byCAP'!$A$2:$A$377,0)),0)</f>
        <v>0</v>
      </c>
    </row>
    <row r="5029" ht="15.35" customHeight="1">
      <c r="A5029" t="s" s="2">
        <v>9460</v>
      </c>
      <c r="B5029" s="4">
        <v>40731</v>
      </c>
      <c r="C5029" s="5">
        <v>12</v>
      </c>
      <c r="D5029" s="5">
        <v>8.5</v>
      </c>
      <c r="E5029" s="5">
        <v>15</v>
      </c>
      <c r="F5029" t="s" s="2">
        <v>42</v>
      </c>
      <c r="G5029" t="s" s="2">
        <v>42</v>
      </c>
      <c r="H5029" s="5">
        <v>270</v>
      </c>
      <c r="I5029" t="s" s="2">
        <v>7093</v>
      </c>
      <c r="J5029" t="s" s="2">
        <v>9204</v>
      </c>
      <c r="K5029" s="6"/>
      <c r="L5029" s="6"/>
      <c r="M5029" s="5">
        <v>708033.27</v>
      </c>
      <c r="N5029" s="5">
        <v>6222715.26</v>
      </c>
      <c r="O5029" t="s" s="2">
        <v>305</v>
      </c>
      <c r="P5029" s="6"/>
      <c r="Q5029" t="s" s="2">
        <v>43</v>
      </c>
      <c r="R5029" s="5">
        <f>_xlfn.IFERROR(INDEX('model_byCAP'!$D$2:$D$377,MATCH(Q5029,'model_byCAP'!$A$2:$A$377,0)),0)</f>
        <v>0</v>
      </c>
    </row>
    <row r="5030" ht="15.35" customHeight="1">
      <c r="A5030" t="s" s="2">
        <v>9461</v>
      </c>
      <c r="B5030" s="4">
        <v>40960</v>
      </c>
      <c r="C5030" s="5">
        <v>12</v>
      </c>
      <c r="D5030" s="5">
        <v>8.5</v>
      </c>
      <c r="E5030" s="5">
        <v>15</v>
      </c>
      <c r="F5030" t="s" s="2">
        <v>9462</v>
      </c>
      <c r="G5030" t="s" s="2">
        <v>9463</v>
      </c>
      <c r="H5030" s="5">
        <v>270</v>
      </c>
      <c r="I5030" t="s" s="2">
        <v>7093</v>
      </c>
      <c r="J5030" t="s" s="2">
        <v>9204</v>
      </c>
      <c r="K5030" s="6"/>
      <c r="L5030" s="6"/>
      <c r="M5030" s="6"/>
      <c r="N5030" s="6"/>
      <c r="O5030" t="s" s="2">
        <v>25</v>
      </c>
      <c r="P5030" s="6"/>
      <c r="Q5030" t="s" s="2">
        <v>9464</v>
      </c>
      <c r="R5030" s="5">
        <f>_xlfn.IFERROR(INDEX('model_byCAP'!$D$2:$D$377,MATCH(Q5030,'model_byCAP'!$A$2:$A$377,0)),0)</f>
        <v>0</v>
      </c>
    </row>
    <row r="5031" ht="15.35" customHeight="1">
      <c r="A5031" t="s" s="2">
        <v>9465</v>
      </c>
      <c r="B5031" s="4">
        <v>36599</v>
      </c>
      <c r="C5031" s="5">
        <v>11</v>
      </c>
      <c r="D5031" s="5">
        <v>13</v>
      </c>
      <c r="E5031" s="5">
        <v>18.2</v>
      </c>
      <c r="F5031" t="s" s="2">
        <v>42</v>
      </c>
      <c r="G5031" t="s" s="2">
        <v>42</v>
      </c>
      <c r="H5031" s="5">
        <v>306</v>
      </c>
      <c r="I5031" t="s" s="2">
        <v>5800</v>
      </c>
      <c r="J5031" t="s" s="2">
        <v>9204</v>
      </c>
      <c r="K5031" s="6"/>
      <c r="L5031" s="6"/>
      <c r="M5031" s="5">
        <v>660688.03</v>
      </c>
      <c r="N5031" s="5">
        <v>6195253.99</v>
      </c>
      <c r="O5031" t="s" s="2">
        <v>305</v>
      </c>
      <c r="P5031" s="6"/>
      <c r="Q5031" t="s" s="2">
        <v>43</v>
      </c>
      <c r="R5031" s="5">
        <f>_xlfn.IFERROR(INDEX('model_byCAP'!$D$2:$D$377,MATCH(Q5031,'model_byCAP'!$A$2:$A$377,0)),0)</f>
        <v>0</v>
      </c>
    </row>
    <row r="5032" ht="15.35" customHeight="1">
      <c r="A5032" t="s" s="2">
        <v>9466</v>
      </c>
      <c r="B5032" s="4">
        <v>36656</v>
      </c>
      <c r="C5032" s="5">
        <v>11</v>
      </c>
      <c r="D5032" s="5">
        <v>13</v>
      </c>
      <c r="E5032" s="5">
        <v>18.2</v>
      </c>
      <c r="F5032" t="s" s="2">
        <v>42</v>
      </c>
      <c r="G5032" t="s" s="2">
        <v>42</v>
      </c>
      <c r="H5032" s="5">
        <v>320</v>
      </c>
      <c r="I5032" t="s" s="2">
        <v>1006</v>
      </c>
      <c r="J5032" t="s" s="2">
        <v>9204</v>
      </c>
      <c r="K5032" s="6"/>
      <c r="L5032" s="6"/>
      <c r="M5032" s="5">
        <v>698826.42</v>
      </c>
      <c r="N5032" s="5">
        <v>6134593.08</v>
      </c>
      <c r="O5032" t="s" s="2">
        <v>305</v>
      </c>
      <c r="P5032" s="6"/>
      <c r="Q5032" t="s" s="2">
        <v>43</v>
      </c>
      <c r="R5032" s="5">
        <f>_xlfn.IFERROR(INDEX('model_byCAP'!$D$2:$D$377,MATCH(Q5032,'model_byCAP'!$A$2:$A$377,0)),0)</f>
        <v>0</v>
      </c>
    </row>
    <row r="5033" ht="15.35" customHeight="1">
      <c r="A5033" t="s" s="2">
        <v>9467</v>
      </c>
      <c r="B5033" s="4">
        <v>41122</v>
      </c>
      <c r="C5033" s="5">
        <v>11</v>
      </c>
      <c r="D5033" s="5">
        <v>13</v>
      </c>
      <c r="E5033" s="5">
        <v>18.3</v>
      </c>
      <c r="F5033" t="s" s="2">
        <v>42</v>
      </c>
      <c r="G5033" t="s" s="2">
        <v>42</v>
      </c>
      <c r="H5033" s="5">
        <v>320</v>
      </c>
      <c r="I5033" t="s" s="2">
        <v>1006</v>
      </c>
      <c r="J5033" t="s" s="2">
        <v>9204</v>
      </c>
      <c r="K5033" s="6"/>
      <c r="L5033" s="6"/>
      <c r="M5033" s="5">
        <v>690782.17</v>
      </c>
      <c r="N5033" s="5">
        <v>6135836.36</v>
      </c>
      <c r="O5033" t="s" s="2">
        <v>305</v>
      </c>
      <c r="P5033" s="6"/>
      <c r="Q5033" t="s" s="2">
        <v>43</v>
      </c>
      <c r="R5033" s="5">
        <f>_xlfn.IFERROR(INDEX('model_byCAP'!$D$2:$D$377,MATCH(Q5033,'model_byCAP'!$A$2:$A$377,0)),0)</f>
        <v>0</v>
      </c>
    </row>
    <row r="5034" ht="15.35" customHeight="1">
      <c r="A5034" t="s" s="2">
        <v>9468</v>
      </c>
      <c r="B5034" s="4">
        <v>35867</v>
      </c>
      <c r="C5034" s="5">
        <v>11</v>
      </c>
      <c r="D5034" s="5">
        <v>11</v>
      </c>
      <c r="E5034" s="5">
        <v>18</v>
      </c>
      <c r="F5034" t="s" s="2">
        <v>42</v>
      </c>
      <c r="G5034" t="s" s="2">
        <v>42</v>
      </c>
      <c r="H5034" s="5">
        <v>326</v>
      </c>
      <c r="I5034" t="s" s="2">
        <v>1263</v>
      </c>
      <c r="J5034" t="s" s="2">
        <v>9204</v>
      </c>
      <c r="K5034" s="6"/>
      <c r="L5034" s="6"/>
      <c r="M5034" s="5">
        <v>642764.25</v>
      </c>
      <c r="N5034" s="5">
        <v>6156260.06</v>
      </c>
      <c r="O5034" t="s" s="2">
        <v>305</v>
      </c>
      <c r="P5034" s="6"/>
      <c r="Q5034" t="s" s="2">
        <v>43</v>
      </c>
      <c r="R5034" s="5">
        <f>_xlfn.IFERROR(INDEX('model_byCAP'!$D$2:$D$377,MATCH(Q5034,'model_byCAP'!$A$2:$A$377,0)),0)</f>
        <v>0</v>
      </c>
    </row>
    <row r="5035" ht="15.35" customHeight="1">
      <c r="A5035" t="s" s="2">
        <v>9469</v>
      </c>
      <c r="B5035" s="4">
        <v>40572</v>
      </c>
      <c r="C5035" s="5">
        <v>11</v>
      </c>
      <c r="D5035" s="5">
        <v>13</v>
      </c>
      <c r="E5035" s="5">
        <v>18</v>
      </c>
      <c r="F5035" t="s" s="2">
        <v>42</v>
      </c>
      <c r="G5035" t="s" s="2">
        <v>42</v>
      </c>
      <c r="H5035" s="5">
        <v>326</v>
      </c>
      <c r="I5035" t="s" s="2">
        <v>1263</v>
      </c>
      <c r="J5035" t="s" s="2">
        <v>9204</v>
      </c>
      <c r="K5035" s="6"/>
      <c r="L5035" s="6"/>
      <c r="M5035" s="5">
        <v>622983.8</v>
      </c>
      <c r="N5035" s="5">
        <v>6179201.32</v>
      </c>
      <c r="O5035" t="s" s="2">
        <v>305</v>
      </c>
      <c r="P5035" s="6"/>
      <c r="Q5035" t="s" s="2">
        <v>43</v>
      </c>
      <c r="R5035" s="5">
        <f>_xlfn.IFERROR(INDEX('model_byCAP'!$D$2:$D$377,MATCH(Q5035,'model_byCAP'!$A$2:$A$377,0)),0)</f>
        <v>0</v>
      </c>
    </row>
    <row r="5036" ht="15.35" customHeight="1">
      <c r="A5036" t="s" s="2">
        <v>9470</v>
      </c>
      <c r="B5036" s="4">
        <v>40603</v>
      </c>
      <c r="C5036" s="5">
        <v>11</v>
      </c>
      <c r="D5036" s="5">
        <v>13</v>
      </c>
      <c r="E5036" s="5">
        <v>18.3</v>
      </c>
      <c r="F5036" t="s" s="2">
        <v>9471</v>
      </c>
      <c r="G5036" t="s" s="2">
        <v>9472</v>
      </c>
      <c r="H5036" s="5">
        <v>326</v>
      </c>
      <c r="I5036" t="s" s="2">
        <v>1263</v>
      </c>
      <c r="J5036" t="s" s="2">
        <v>9204</v>
      </c>
      <c r="K5036" s="6"/>
      <c r="L5036" s="6"/>
      <c r="M5036" s="5">
        <v>641745.85</v>
      </c>
      <c r="N5036" s="5">
        <v>6150638.47</v>
      </c>
      <c r="O5036" t="s" s="2">
        <v>305</v>
      </c>
      <c r="P5036" s="6"/>
      <c r="Q5036" t="s" s="2">
        <v>9473</v>
      </c>
      <c r="R5036" s="5">
        <f>_xlfn.IFERROR(INDEX('model_byCAP'!$D$2:$D$377,MATCH(Q5036,'model_byCAP'!$A$2:$A$377,0)),0)</f>
        <v>0</v>
      </c>
    </row>
    <row r="5037" ht="15.35" customHeight="1">
      <c r="A5037" t="s" s="2">
        <v>9474</v>
      </c>
      <c r="B5037" s="4">
        <v>41991</v>
      </c>
      <c r="C5037" s="5">
        <v>11</v>
      </c>
      <c r="D5037" s="5">
        <v>13</v>
      </c>
      <c r="E5037" s="5">
        <v>18</v>
      </c>
      <c r="F5037" t="s" s="2">
        <v>42</v>
      </c>
      <c r="G5037" t="s" s="2">
        <v>42</v>
      </c>
      <c r="H5037" s="5">
        <v>326</v>
      </c>
      <c r="I5037" t="s" s="2">
        <v>1263</v>
      </c>
      <c r="J5037" t="s" s="2">
        <v>9204</v>
      </c>
      <c r="K5037" s="6"/>
      <c r="L5037" s="6"/>
      <c r="M5037" s="5">
        <v>645057.58</v>
      </c>
      <c r="N5037" s="5">
        <v>6165876.86</v>
      </c>
      <c r="O5037" t="s" s="2">
        <v>305</v>
      </c>
      <c r="P5037" s="6"/>
      <c r="Q5037" t="s" s="2">
        <v>43</v>
      </c>
      <c r="R5037" s="5">
        <f>_xlfn.IFERROR(INDEX('model_byCAP'!$D$2:$D$377,MATCH(Q5037,'model_byCAP'!$A$2:$A$377,0)),0)</f>
        <v>0</v>
      </c>
    </row>
    <row r="5038" ht="15.35" customHeight="1">
      <c r="A5038" t="s" s="2">
        <v>9475</v>
      </c>
      <c r="B5038" s="4">
        <v>36404</v>
      </c>
      <c r="C5038" s="5">
        <v>11</v>
      </c>
      <c r="D5038" s="5">
        <v>13</v>
      </c>
      <c r="E5038" s="5">
        <v>18.2</v>
      </c>
      <c r="F5038" t="s" s="2">
        <v>42</v>
      </c>
      <c r="G5038" t="s" s="2">
        <v>42</v>
      </c>
      <c r="H5038" s="5">
        <v>330</v>
      </c>
      <c r="I5038" t="s" s="2">
        <v>1491</v>
      </c>
      <c r="J5038" t="s" s="2">
        <v>9204</v>
      </c>
      <c r="K5038" s="6"/>
      <c r="L5038" s="6"/>
      <c r="M5038" s="5">
        <v>639855.73</v>
      </c>
      <c r="N5038" s="5">
        <v>6133026.96</v>
      </c>
      <c r="O5038" t="s" s="2">
        <v>305</v>
      </c>
      <c r="P5038" s="6"/>
      <c r="Q5038" t="s" s="2">
        <v>43</v>
      </c>
      <c r="R5038" s="5">
        <f>_xlfn.IFERROR(INDEX('model_byCAP'!$D$2:$D$377,MATCH(Q5038,'model_byCAP'!$A$2:$A$377,0)),0)</f>
        <v>0</v>
      </c>
    </row>
    <row r="5039" ht="15.35" customHeight="1">
      <c r="A5039" t="s" s="2">
        <v>9476</v>
      </c>
      <c r="B5039" s="4">
        <v>37130</v>
      </c>
      <c r="C5039" s="5">
        <v>11</v>
      </c>
      <c r="D5039" s="5">
        <v>13</v>
      </c>
      <c r="E5039" s="5">
        <v>18</v>
      </c>
      <c r="F5039" t="s" s="2">
        <v>42</v>
      </c>
      <c r="G5039" t="s" s="2">
        <v>42</v>
      </c>
      <c r="H5039" s="5">
        <v>330</v>
      </c>
      <c r="I5039" t="s" s="2">
        <v>1491</v>
      </c>
      <c r="J5039" t="s" s="2">
        <v>9204</v>
      </c>
      <c r="K5039" s="6"/>
      <c r="L5039" s="6"/>
      <c r="M5039" s="5">
        <v>640628.65</v>
      </c>
      <c r="N5039" s="5">
        <v>6132706.85</v>
      </c>
      <c r="O5039" t="s" s="2">
        <v>305</v>
      </c>
      <c r="P5039" s="6"/>
      <c r="Q5039" t="s" s="2">
        <v>43</v>
      </c>
      <c r="R5039" s="5">
        <f>_xlfn.IFERROR(INDEX('model_byCAP'!$D$2:$D$377,MATCH(Q5039,'model_byCAP'!$A$2:$A$377,0)),0)</f>
        <v>0</v>
      </c>
    </row>
    <row r="5040" ht="15.35" customHeight="1">
      <c r="A5040" t="s" s="2">
        <v>9477</v>
      </c>
      <c r="B5040" s="4">
        <v>36250</v>
      </c>
      <c r="C5040" s="5">
        <v>11</v>
      </c>
      <c r="D5040" s="5">
        <v>13</v>
      </c>
      <c r="E5040" s="5">
        <v>18.3</v>
      </c>
      <c r="F5040" t="s" s="2">
        <v>42</v>
      </c>
      <c r="G5040" t="s" s="2">
        <v>42</v>
      </c>
      <c r="H5040" s="5">
        <v>336</v>
      </c>
      <c r="I5040" t="s" s="2">
        <v>4152</v>
      </c>
      <c r="J5040" t="s" s="2">
        <v>9204</v>
      </c>
      <c r="K5040" s="6"/>
      <c r="L5040" s="6"/>
      <c r="M5040" s="5">
        <v>714076.79</v>
      </c>
      <c r="N5040" s="5">
        <v>6133656.89</v>
      </c>
      <c r="O5040" t="s" s="2">
        <v>305</v>
      </c>
      <c r="P5040" s="6"/>
      <c r="Q5040" t="s" s="2">
        <v>43</v>
      </c>
      <c r="R5040" s="5">
        <f>_xlfn.IFERROR(INDEX('model_byCAP'!$D$2:$D$377,MATCH(Q5040,'model_byCAP'!$A$2:$A$377,0)),0)</f>
        <v>0</v>
      </c>
    </row>
    <row r="5041" ht="15.35" customHeight="1">
      <c r="A5041" t="s" s="2">
        <v>9478</v>
      </c>
      <c r="B5041" s="4">
        <v>36447</v>
      </c>
      <c r="C5041" s="5">
        <v>11</v>
      </c>
      <c r="D5041" s="5">
        <v>13</v>
      </c>
      <c r="E5041" s="5">
        <v>18</v>
      </c>
      <c r="F5041" t="s" s="2">
        <v>42</v>
      </c>
      <c r="G5041" t="s" s="2">
        <v>42</v>
      </c>
      <c r="H5041" s="5">
        <v>336</v>
      </c>
      <c r="I5041" t="s" s="2">
        <v>4152</v>
      </c>
      <c r="J5041" t="s" s="2">
        <v>9204</v>
      </c>
      <c r="K5041" s="6"/>
      <c r="L5041" s="6"/>
      <c r="M5041" s="5">
        <v>713467.98</v>
      </c>
      <c r="N5041" s="5">
        <v>6131619.89</v>
      </c>
      <c r="O5041" t="s" s="2">
        <v>305</v>
      </c>
      <c r="P5041" s="6"/>
      <c r="Q5041" t="s" s="2">
        <v>43</v>
      </c>
      <c r="R5041" s="5">
        <f>_xlfn.IFERROR(INDEX('model_byCAP'!$D$2:$D$377,MATCH(Q5041,'model_byCAP'!$A$2:$A$377,0)),0)</f>
        <v>0</v>
      </c>
    </row>
    <row r="5042" ht="15.35" customHeight="1">
      <c r="A5042" t="s" s="2">
        <v>9479</v>
      </c>
      <c r="B5042" s="4">
        <v>36837</v>
      </c>
      <c r="C5042" s="5">
        <v>11</v>
      </c>
      <c r="D5042" s="5">
        <v>16</v>
      </c>
      <c r="E5042" s="5">
        <v>18.3</v>
      </c>
      <c r="F5042" t="s" s="2">
        <v>42</v>
      </c>
      <c r="G5042" t="s" s="2">
        <v>42</v>
      </c>
      <c r="H5042" s="5">
        <v>336</v>
      </c>
      <c r="I5042" t="s" s="2">
        <v>4152</v>
      </c>
      <c r="J5042" t="s" s="2">
        <v>9204</v>
      </c>
      <c r="K5042" s="6"/>
      <c r="L5042" s="6"/>
      <c r="M5042" s="5">
        <v>710412.4399999999</v>
      </c>
      <c r="N5042" s="5">
        <v>6140036.76</v>
      </c>
      <c r="O5042" t="s" s="2">
        <v>305</v>
      </c>
      <c r="P5042" s="6"/>
      <c r="Q5042" t="s" s="2">
        <v>43</v>
      </c>
      <c r="R5042" s="5">
        <f>_xlfn.IFERROR(INDEX('model_byCAP'!$D$2:$D$377,MATCH(Q5042,'model_byCAP'!$A$2:$A$377,0)),0)</f>
        <v>0</v>
      </c>
    </row>
    <row r="5043" ht="15.35" customHeight="1">
      <c r="A5043" t="s" s="2">
        <v>9480</v>
      </c>
      <c r="B5043" s="4">
        <v>39668</v>
      </c>
      <c r="C5043" s="5">
        <v>11</v>
      </c>
      <c r="D5043" s="5">
        <v>13</v>
      </c>
      <c r="E5043" s="5">
        <v>18</v>
      </c>
      <c r="F5043" t="s" s="2">
        <v>42</v>
      </c>
      <c r="G5043" t="s" s="2">
        <v>42</v>
      </c>
      <c r="H5043" s="5">
        <v>340</v>
      </c>
      <c r="I5043" t="s" s="2">
        <v>1795</v>
      </c>
      <c r="J5043" t="s" s="2">
        <v>9204</v>
      </c>
      <c r="K5043" s="6"/>
      <c r="L5043" s="6"/>
      <c r="M5043" s="5">
        <v>662512.6800000001</v>
      </c>
      <c r="N5043" s="5">
        <v>6155957.06</v>
      </c>
      <c r="O5043" t="s" s="2">
        <v>305</v>
      </c>
      <c r="P5043" s="6"/>
      <c r="Q5043" t="s" s="2">
        <v>43</v>
      </c>
      <c r="R5043" s="5">
        <f>_xlfn.IFERROR(INDEX('model_byCAP'!$D$2:$D$377,MATCH(Q5043,'model_byCAP'!$A$2:$A$377,0)),0)</f>
        <v>0</v>
      </c>
    </row>
    <row r="5044" ht="15.35" customHeight="1">
      <c r="A5044" t="s" s="2">
        <v>9481</v>
      </c>
      <c r="B5044" s="4">
        <v>36269</v>
      </c>
      <c r="C5044" s="5">
        <v>11</v>
      </c>
      <c r="D5044" s="5">
        <v>13</v>
      </c>
      <c r="E5044" s="5">
        <v>18</v>
      </c>
      <c r="F5044" t="s" s="2">
        <v>42</v>
      </c>
      <c r="G5044" t="s" s="2">
        <v>42</v>
      </c>
      <c r="H5044" s="5">
        <v>350</v>
      </c>
      <c r="I5044" t="s" s="2">
        <v>3451</v>
      </c>
      <c r="J5044" t="s" s="2">
        <v>9204</v>
      </c>
      <c r="K5044" s="6"/>
      <c r="L5044" s="6"/>
      <c r="M5044" s="5">
        <v>681692.29</v>
      </c>
      <c r="N5044" s="5">
        <v>6170711.51</v>
      </c>
      <c r="O5044" t="s" s="2">
        <v>305</v>
      </c>
      <c r="P5044" s="6"/>
      <c r="Q5044" t="s" s="2">
        <v>43</v>
      </c>
      <c r="R5044" s="5">
        <f>_xlfn.IFERROR(INDEX('model_byCAP'!$D$2:$D$377,MATCH(Q5044,'model_byCAP'!$A$2:$A$377,0)),0)</f>
        <v>0</v>
      </c>
    </row>
    <row r="5045" ht="15.35" customHeight="1">
      <c r="A5045" t="s" s="2">
        <v>9482</v>
      </c>
      <c r="B5045" s="4">
        <v>41022</v>
      </c>
      <c r="C5045" s="5">
        <v>11</v>
      </c>
      <c r="D5045" s="5">
        <v>13</v>
      </c>
      <c r="E5045" s="5">
        <v>18.5</v>
      </c>
      <c r="F5045" t="s" s="2">
        <v>42</v>
      </c>
      <c r="G5045" t="s" s="2">
        <v>42</v>
      </c>
      <c r="H5045" s="5">
        <v>360</v>
      </c>
      <c r="I5045" t="s" s="2">
        <v>463</v>
      </c>
      <c r="J5045" t="s" s="2">
        <v>9204</v>
      </c>
      <c r="K5045" s="6"/>
      <c r="L5045" s="6"/>
      <c r="M5045" s="5">
        <v>635114.22</v>
      </c>
      <c r="N5045" s="5">
        <v>6082732.67</v>
      </c>
      <c r="O5045" t="s" s="2">
        <v>305</v>
      </c>
      <c r="P5045" s="6"/>
      <c r="Q5045" t="s" s="2">
        <v>43</v>
      </c>
      <c r="R5045" s="5">
        <f>_xlfn.IFERROR(INDEX('model_byCAP'!$D$2:$D$377,MATCH(Q5045,'model_byCAP'!$A$2:$A$377,0)),0)</f>
        <v>0</v>
      </c>
    </row>
    <row r="5046" ht="15.35" customHeight="1">
      <c r="A5046" t="s" s="2">
        <v>9483</v>
      </c>
      <c r="B5046" s="4">
        <v>36476</v>
      </c>
      <c r="C5046" s="5">
        <v>11</v>
      </c>
      <c r="D5046" s="5">
        <v>13</v>
      </c>
      <c r="E5046" s="5">
        <v>18.2</v>
      </c>
      <c r="F5046" t="s" s="2">
        <v>42</v>
      </c>
      <c r="G5046" t="s" s="2">
        <v>42</v>
      </c>
      <c r="H5046" s="5">
        <v>370</v>
      </c>
      <c r="I5046" t="s" s="2">
        <v>520</v>
      </c>
      <c r="J5046" t="s" s="2">
        <v>9204</v>
      </c>
      <c r="K5046" s="6"/>
      <c r="L5046" s="6"/>
      <c r="M5046" s="5">
        <v>682070.67</v>
      </c>
      <c r="N5046" s="5">
        <v>6126802.14</v>
      </c>
      <c r="O5046" t="s" s="2">
        <v>305</v>
      </c>
      <c r="P5046" s="6"/>
      <c r="Q5046" t="s" s="2">
        <v>43</v>
      </c>
      <c r="R5046" s="5">
        <f>_xlfn.IFERROR(INDEX('model_byCAP'!$D$2:$D$377,MATCH(Q5046,'model_byCAP'!$A$2:$A$377,0)),0)</f>
        <v>0</v>
      </c>
    </row>
    <row r="5047" ht="15.35" customHeight="1">
      <c r="A5047" t="s" s="2">
        <v>9484</v>
      </c>
      <c r="B5047" s="4">
        <v>36789</v>
      </c>
      <c r="C5047" s="5">
        <v>11</v>
      </c>
      <c r="D5047" s="5">
        <v>13</v>
      </c>
      <c r="E5047" s="5">
        <v>18.3</v>
      </c>
      <c r="F5047" t="s" s="2">
        <v>42</v>
      </c>
      <c r="G5047" t="s" s="2">
        <v>42</v>
      </c>
      <c r="H5047" s="5">
        <v>370</v>
      </c>
      <c r="I5047" t="s" s="2">
        <v>520</v>
      </c>
      <c r="J5047" t="s" s="2">
        <v>9204</v>
      </c>
      <c r="K5047" s="6"/>
      <c r="L5047" s="6"/>
      <c r="M5047" s="5">
        <v>684275.5</v>
      </c>
      <c r="N5047" s="5">
        <v>6126591.95</v>
      </c>
      <c r="O5047" t="s" s="2">
        <v>305</v>
      </c>
      <c r="P5047" s="6"/>
      <c r="Q5047" t="s" s="2">
        <v>43</v>
      </c>
      <c r="R5047" s="5">
        <f>_xlfn.IFERROR(INDEX('model_byCAP'!$D$2:$D$377,MATCH(Q5047,'model_byCAP'!$A$2:$A$377,0)),0)</f>
        <v>0</v>
      </c>
    </row>
    <row r="5048" ht="15.35" customHeight="1">
      <c r="A5048" t="s" s="2">
        <v>9485</v>
      </c>
      <c r="B5048" s="4">
        <v>37272</v>
      </c>
      <c r="C5048" s="5">
        <v>11</v>
      </c>
      <c r="D5048" s="5">
        <v>13</v>
      </c>
      <c r="E5048" s="5">
        <v>18</v>
      </c>
      <c r="F5048" t="s" s="2">
        <v>42</v>
      </c>
      <c r="G5048" t="s" s="2">
        <v>42</v>
      </c>
      <c r="H5048" s="5">
        <v>370</v>
      </c>
      <c r="I5048" t="s" s="2">
        <v>520</v>
      </c>
      <c r="J5048" t="s" s="2">
        <v>9204</v>
      </c>
      <c r="K5048" s="6"/>
      <c r="L5048" s="6"/>
      <c r="M5048" s="5">
        <v>660683</v>
      </c>
      <c r="N5048" s="5">
        <v>6133740.16</v>
      </c>
      <c r="O5048" t="s" s="2">
        <v>305</v>
      </c>
      <c r="P5048" s="6"/>
      <c r="Q5048" t="s" s="2">
        <v>43</v>
      </c>
      <c r="R5048" s="5">
        <f>_xlfn.IFERROR(INDEX('model_byCAP'!$D$2:$D$377,MATCH(Q5048,'model_byCAP'!$A$2:$A$377,0)),0)</f>
        <v>0</v>
      </c>
    </row>
    <row r="5049" ht="15.35" customHeight="1">
      <c r="A5049" t="s" s="2">
        <v>9486</v>
      </c>
      <c r="B5049" s="4">
        <v>39783</v>
      </c>
      <c r="C5049" s="5">
        <v>11</v>
      </c>
      <c r="D5049" s="5">
        <v>13</v>
      </c>
      <c r="E5049" s="5">
        <v>18</v>
      </c>
      <c r="F5049" t="s" s="2">
        <v>42</v>
      </c>
      <c r="G5049" t="s" s="2">
        <v>42</v>
      </c>
      <c r="H5049" s="5">
        <v>376</v>
      </c>
      <c r="I5049" t="s" s="2">
        <v>1991</v>
      </c>
      <c r="J5049" t="s" s="2">
        <v>9204</v>
      </c>
      <c r="K5049" s="6"/>
      <c r="L5049" s="6"/>
      <c r="M5049" s="5">
        <v>691680.99</v>
      </c>
      <c r="N5049" s="5">
        <v>6071032.14</v>
      </c>
      <c r="O5049" t="s" s="2">
        <v>305</v>
      </c>
      <c r="P5049" s="6"/>
      <c r="Q5049" t="s" s="2">
        <v>43</v>
      </c>
      <c r="R5049" s="5">
        <f>_xlfn.IFERROR(INDEX('model_byCAP'!$D$2:$D$377,MATCH(Q5049,'model_byCAP'!$A$2:$A$377,0)),0)</f>
        <v>0</v>
      </c>
    </row>
    <row r="5050" ht="15.35" customHeight="1">
      <c r="A5050" t="s" s="2">
        <v>9487</v>
      </c>
      <c r="B5050" s="4">
        <v>41271</v>
      </c>
      <c r="C5050" s="5">
        <v>11</v>
      </c>
      <c r="D5050" s="5">
        <v>13</v>
      </c>
      <c r="E5050" s="5">
        <v>18.3</v>
      </c>
      <c r="F5050" t="s" s="2">
        <v>42</v>
      </c>
      <c r="G5050" t="s" s="2">
        <v>42</v>
      </c>
      <c r="H5050" s="5">
        <v>376</v>
      </c>
      <c r="I5050" t="s" s="2">
        <v>1991</v>
      </c>
      <c r="J5050" t="s" s="2">
        <v>9204</v>
      </c>
      <c r="K5050" s="6"/>
      <c r="L5050" s="6"/>
      <c r="M5050" s="5">
        <v>693933.8100000001</v>
      </c>
      <c r="N5050" s="5">
        <v>6072322.91</v>
      </c>
      <c r="O5050" t="s" s="2">
        <v>305</v>
      </c>
      <c r="P5050" s="6"/>
      <c r="Q5050" t="s" s="2">
        <v>43</v>
      </c>
      <c r="R5050" s="5">
        <f>_xlfn.IFERROR(INDEX('model_byCAP'!$D$2:$D$377,MATCH(Q5050,'model_byCAP'!$A$2:$A$377,0)),0)</f>
        <v>0</v>
      </c>
    </row>
    <row r="5051" ht="15.35" customHeight="1">
      <c r="A5051" t="s" s="2">
        <v>9488</v>
      </c>
      <c r="B5051" s="4">
        <v>36014</v>
      </c>
      <c r="C5051" s="5">
        <v>11</v>
      </c>
      <c r="D5051" s="5">
        <v>13</v>
      </c>
      <c r="E5051" s="5">
        <v>18.3</v>
      </c>
      <c r="F5051" t="s" s="2">
        <v>42</v>
      </c>
      <c r="G5051" t="s" s="2">
        <v>42</v>
      </c>
      <c r="H5051" s="5">
        <v>390</v>
      </c>
      <c r="I5051" t="s" s="2">
        <v>46</v>
      </c>
      <c r="J5051" t="s" s="2">
        <v>9204</v>
      </c>
      <c r="K5051" s="6"/>
      <c r="L5051" s="6"/>
      <c r="M5051" s="5">
        <v>700245.78</v>
      </c>
      <c r="N5051" s="5">
        <v>6100914.35</v>
      </c>
      <c r="O5051" t="s" s="2">
        <v>305</v>
      </c>
      <c r="P5051" s="6"/>
      <c r="Q5051" t="s" s="2">
        <v>43</v>
      </c>
      <c r="R5051" s="5">
        <f>_xlfn.IFERROR(INDEX('model_byCAP'!$D$2:$D$377,MATCH(Q5051,'model_byCAP'!$A$2:$A$377,0)),0)</f>
        <v>0</v>
      </c>
    </row>
    <row r="5052" ht="15.35" customHeight="1">
      <c r="A5052" t="s" s="2">
        <v>9489</v>
      </c>
      <c r="B5052" s="4">
        <v>40785</v>
      </c>
      <c r="C5052" s="5">
        <v>11</v>
      </c>
      <c r="D5052" s="5">
        <v>13</v>
      </c>
      <c r="E5052" s="5">
        <v>18</v>
      </c>
      <c r="F5052" t="s" s="2">
        <v>42</v>
      </c>
      <c r="G5052" t="s" s="2">
        <v>42</v>
      </c>
      <c r="H5052" s="5">
        <v>390</v>
      </c>
      <c r="I5052" t="s" s="2">
        <v>46</v>
      </c>
      <c r="J5052" t="s" s="2">
        <v>9204</v>
      </c>
      <c r="K5052" s="6"/>
      <c r="L5052" s="6"/>
      <c r="M5052" s="5">
        <v>709932.3199999999</v>
      </c>
      <c r="N5052" s="5">
        <v>6094020.31</v>
      </c>
      <c r="O5052" t="s" s="2">
        <v>305</v>
      </c>
      <c r="P5052" s="6"/>
      <c r="Q5052" t="s" s="2">
        <v>43</v>
      </c>
      <c r="R5052" s="5">
        <f>_xlfn.IFERROR(INDEX('model_byCAP'!$D$2:$D$377,MATCH(Q5052,'model_byCAP'!$A$2:$A$377,0)),0)</f>
        <v>0</v>
      </c>
    </row>
    <row r="5053" ht="15.35" customHeight="1">
      <c r="A5053" t="s" s="2">
        <v>9490</v>
      </c>
      <c r="B5053" s="4">
        <v>36516</v>
      </c>
      <c r="C5053" s="5">
        <v>11</v>
      </c>
      <c r="D5053" s="5">
        <v>13</v>
      </c>
      <c r="E5053" s="5">
        <v>18.2</v>
      </c>
      <c r="F5053" t="s" s="2">
        <v>42</v>
      </c>
      <c r="G5053" t="s" s="2">
        <v>42</v>
      </c>
      <c r="H5053" s="5">
        <v>400</v>
      </c>
      <c r="I5053" t="s" s="2">
        <v>2068</v>
      </c>
      <c r="J5053" t="s" s="2">
        <v>9204</v>
      </c>
      <c r="K5053" s="6"/>
      <c r="L5053" s="6"/>
      <c r="M5053" s="5">
        <v>887346.13</v>
      </c>
      <c r="N5053" s="5">
        <v>6128266.72</v>
      </c>
      <c r="O5053" t="s" s="2">
        <v>305</v>
      </c>
      <c r="P5053" s="6"/>
      <c r="Q5053" t="s" s="2">
        <v>43</v>
      </c>
      <c r="R5053" s="5">
        <f>_xlfn.IFERROR(INDEX('model_byCAP'!$D$2:$D$377,MATCH(Q5053,'model_byCAP'!$A$2:$A$377,0)),0)</f>
        <v>0</v>
      </c>
    </row>
    <row r="5054" ht="15.35" customHeight="1">
      <c r="A5054" t="s" s="2">
        <v>9491</v>
      </c>
      <c r="B5054" s="4">
        <v>40942</v>
      </c>
      <c r="C5054" s="5">
        <v>11</v>
      </c>
      <c r="D5054" s="5">
        <v>13</v>
      </c>
      <c r="E5054" s="5">
        <v>18.2</v>
      </c>
      <c r="F5054" t="s" s="2">
        <v>42</v>
      </c>
      <c r="G5054" t="s" s="2">
        <v>42</v>
      </c>
      <c r="H5054" s="5">
        <v>420</v>
      </c>
      <c r="I5054" t="s" s="2">
        <v>3043</v>
      </c>
      <c r="J5054" t="s" s="2">
        <v>9204</v>
      </c>
      <c r="K5054" s="6"/>
      <c r="L5054" s="6"/>
      <c r="M5054" s="5">
        <v>562804.39</v>
      </c>
      <c r="N5054" s="5">
        <v>6140882.21</v>
      </c>
      <c r="O5054" t="s" s="2">
        <v>305</v>
      </c>
      <c r="P5054" s="6"/>
      <c r="Q5054" t="s" s="2">
        <v>43</v>
      </c>
      <c r="R5054" s="5">
        <f>_xlfn.IFERROR(INDEX('model_byCAP'!$D$2:$D$377,MATCH(Q5054,'model_byCAP'!$A$2:$A$377,0)),0)</f>
        <v>0</v>
      </c>
    </row>
    <row r="5055" ht="15.35" customHeight="1">
      <c r="A5055" t="s" s="2">
        <v>9492</v>
      </c>
      <c r="B5055" s="4">
        <v>37621</v>
      </c>
      <c r="C5055" s="5">
        <v>11</v>
      </c>
      <c r="D5055" s="5">
        <v>13</v>
      </c>
      <c r="E5055" s="5">
        <v>18.2</v>
      </c>
      <c r="F5055" t="s" s="2">
        <v>42</v>
      </c>
      <c r="G5055" t="s" s="2">
        <v>42</v>
      </c>
      <c r="H5055" s="5">
        <v>430</v>
      </c>
      <c r="I5055" t="s" s="2">
        <v>3470</v>
      </c>
      <c r="J5055" t="s" s="2">
        <v>9204</v>
      </c>
      <c r="K5055" s="6"/>
      <c r="L5055" s="6"/>
      <c r="M5055" s="5">
        <v>587622.98</v>
      </c>
      <c r="N5055" s="5">
        <v>6128216.52</v>
      </c>
      <c r="O5055" t="s" s="2">
        <v>305</v>
      </c>
      <c r="P5055" s="6"/>
      <c r="Q5055" t="s" s="2">
        <v>43</v>
      </c>
      <c r="R5055" s="5">
        <f>_xlfn.IFERROR(INDEX('model_byCAP'!$D$2:$D$377,MATCH(Q5055,'model_byCAP'!$A$2:$A$377,0)),0)</f>
        <v>0</v>
      </c>
    </row>
    <row r="5056" ht="15.35" customHeight="1">
      <c r="A5056" t="s" s="2">
        <v>9493</v>
      </c>
      <c r="B5056" s="4">
        <v>35369</v>
      </c>
      <c r="C5056" s="5">
        <v>11</v>
      </c>
      <c r="D5056" s="5">
        <v>13</v>
      </c>
      <c r="E5056" s="5">
        <v>18.2</v>
      </c>
      <c r="F5056" t="s" s="2">
        <v>42</v>
      </c>
      <c r="G5056" t="s" s="2">
        <v>42</v>
      </c>
      <c r="H5056" s="5">
        <v>480</v>
      </c>
      <c r="I5056" t="s" s="2">
        <v>3957</v>
      </c>
      <c r="J5056" t="s" s="2">
        <v>9204</v>
      </c>
      <c r="K5056" s="6"/>
      <c r="L5056" s="6"/>
      <c r="M5056" s="5">
        <v>587092.86</v>
      </c>
      <c r="N5056" s="5">
        <v>6151117.87</v>
      </c>
      <c r="O5056" t="s" s="2">
        <v>305</v>
      </c>
      <c r="P5056" s="6"/>
      <c r="Q5056" t="s" s="2">
        <v>43</v>
      </c>
      <c r="R5056" s="5">
        <f>_xlfn.IFERROR(INDEX('model_byCAP'!$D$2:$D$377,MATCH(Q5056,'model_byCAP'!$A$2:$A$377,0)),0)</f>
        <v>0</v>
      </c>
    </row>
    <row r="5057" ht="15.35" customHeight="1">
      <c r="A5057" t="s" s="2">
        <v>9494</v>
      </c>
      <c r="B5057" s="4">
        <v>35298</v>
      </c>
      <c r="C5057" s="5">
        <v>11</v>
      </c>
      <c r="D5057" s="5">
        <v>13</v>
      </c>
      <c r="E5057" s="5">
        <v>18</v>
      </c>
      <c r="F5057" t="s" s="2">
        <v>42</v>
      </c>
      <c r="G5057" t="s" s="2">
        <v>42</v>
      </c>
      <c r="H5057" s="5">
        <v>510</v>
      </c>
      <c r="I5057" t="s" s="2">
        <v>3049</v>
      </c>
      <c r="J5057" t="s" s="2">
        <v>9204</v>
      </c>
      <c r="K5057" s="6"/>
      <c r="L5057" s="6"/>
      <c r="M5057" s="5">
        <v>534868.86</v>
      </c>
      <c r="N5057" s="5">
        <v>6118942.58</v>
      </c>
      <c r="O5057" t="s" s="2">
        <v>305</v>
      </c>
      <c r="P5057" s="6"/>
      <c r="Q5057" t="s" s="2">
        <v>43</v>
      </c>
      <c r="R5057" s="5">
        <f>_xlfn.IFERROR(INDEX('model_byCAP'!$D$2:$D$377,MATCH(Q5057,'model_byCAP'!$A$2:$A$377,0)),0)</f>
        <v>0</v>
      </c>
    </row>
    <row r="5058" ht="15.35" customHeight="1">
      <c r="A5058" t="s" s="2">
        <v>9495</v>
      </c>
      <c r="B5058" s="4">
        <v>40623</v>
      </c>
      <c r="C5058" s="5">
        <v>11</v>
      </c>
      <c r="D5058" s="5">
        <v>13</v>
      </c>
      <c r="E5058" s="5">
        <v>18</v>
      </c>
      <c r="F5058" t="s" s="2">
        <v>42</v>
      </c>
      <c r="G5058" t="s" s="2">
        <v>42</v>
      </c>
      <c r="H5058" s="5">
        <v>540</v>
      </c>
      <c r="I5058" t="s" s="2">
        <v>2092</v>
      </c>
      <c r="J5058" t="s" s="2">
        <v>9204</v>
      </c>
      <c r="K5058" s="6"/>
      <c r="L5058" s="6"/>
      <c r="M5058" s="5">
        <v>546249.28</v>
      </c>
      <c r="N5058" s="5">
        <v>6091477.34</v>
      </c>
      <c r="O5058" t="s" s="2">
        <v>305</v>
      </c>
      <c r="P5058" s="6"/>
      <c r="Q5058" t="s" s="2">
        <v>43</v>
      </c>
      <c r="R5058" s="5">
        <f>_xlfn.IFERROR(INDEX('model_byCAP'!$D$2:$D$377,MATCH(Q5058,'model_byCAP'!$A$2:$A$377,0)),0)</f>
        <v>0</v>
      </c>
    </row>
    <row r="5059" ht="15.35" customHeight="1">
      <c r="A5059" t="s" s="2">
        <v>9496</v>
      </c>
      <c r="B5059" s="4">
        <v>41239</v>
      </c>
      <c r="C5059" s="5">
        <v>11</v>
      </c>
      <c r="D5059" s="5">
        <v>13</v>
      </c>
      <c r="E5059" s="5">
        <v>18.3</v>
      </c>
      <c r="F5059" t="s" s="2">
        <v>42</v>
      </c>
      <c r="G5059" t="s" s="2">
        <v>42</v>
      </c>
      <c r="H5059" s="5">
        <v>540</v>
      </c>
      <c r="I5059" t="s" s="2">
        <v>2092</v>
      </c>
      <c r="J5059" t="s" s="2">
        <v>9204</v>
      </c>
      <c r="K5059" s="6"/>
      <c r="L5059" s="6"/>
      <c r="M5059" s="5">
        <v>546868.04</v>
      </c>
      <c r="N5059" s="5">
        <v>6087470.35</v>
      </c>
      <c r="O5059" t="s" s="2">
        <v>305</v>
      </c>
      <c r="P5059" s="6"/>
      <c r="Q5059" t="s" s="2">
        <v>43</v>
      </c>
      <c r="R5059" s="5">
        <f>_xlfn.IFERROR(INDEX('model_byCAP'!$D$2:$D$377,MATCH(Q5059,'model_byCAP'!$A$2:$A$377,0)),0)</f>
        <v>0</v>
      </c>
    </row>
    <row r="5060" ht="15.35" customHeight="1">
      <c r="A5060" t="s" s="2">
        <v>9497</v>
      </c>
      <c r="B5060" s="4">
        <v>35312</v>
      </c>
      <c r="C5060" s="5">
        <v>11</v>
      </c>
      <c r="D5060" s="5">
        <v>13</v>
      </c>
      <c r="E5060" s="5">
        <v>18</v>
      </c>
      <c r="F5060" t="s" s="2">
        <v>9140</v>
      </c>
      <c r="G5060" t="s" s="2">
        <v>9141</v>
      </c>
      <c r="H5060" s="5">
        <v>573</v>
      </c>
      <c r="I5060" t="s" s="2">
        <v>1041</v>
      </c>
      <c r="J5060" t="s" s="2">
        <v>9204</v>
      </c>
      <c r="K5060" s="6"/>
      <c r="L5060" s="6"/>
      <c r="M5060" s="5">
        <v>484859.53</v>
      </c>
      <c r="N5060" s="5">
        <v>6174499.67</v>
      </c>
      <c r="O5060" t="s" s="2">
        <v>305</v>
      </c>
      <c r="P5060" s="6"/>
      <c r="Q5060" t="s" s="2">
        <v>9143</v>
      </c>
      <c r="R5060" s="5">
        <f>_xlfn.IFERROR(INDEX('model_byCAP'!$D$2:$D$377,MATCH(Q5060,'model_byCAP'!$A$2:$A$377,0)),0)</f>
        <v>0</v>
      </c>
    </row>
    <row r="5061" ht="15.35" customHeight="1">
      <c r="A5061" t="s" s="2">
        <v>9498</v>
      </c>
      <c r="B5061" s="4">
        <v>35739</v>
      </c>
      <c r="C5061" s="5">
        <v>11</v>
      </c>
      <c r="D5061" s="5">
        <v>13</v>
      </c>
      <c r="E5061" s="5">
        <v>18</v>
      </c>
      <c r="F5061" t="s" s="2">
        <v>9471</v>
      </c>
      <c r="G5061" t="s" s="2">
        <v>9499</v>
      </c>
      <c r="H5061" s="5">
        <v>573</v>
      </c>
      <c r="I5061" t="s" s="2">
        <v>1041</v>
      </c>
      <c r="J5061" t="s" s="2">
        <v>9204</v>
      </c>
      <c r="K5061" s="6"/>
      <c r="L5061" s="6"/>
      <c r="M5061" s="5">
        <v>482375.24</v>
      </c>
      <c r="N5061" s="5">
        <v>6161351.96</v>
      </c>
      <c r="O5061" t="s" s="2">
        <v>305</v>
      </c>
      <c r="P5061" s="6"/>
      <c r="Q5061" t="s" s="2">
        <v>9500</v>
      </c>
      <c r="R5061" s="5">
        <f>_xlfn.IFERROR(INDEX('model_byCAP'!$D$2:$D$377,MATCH(Q5061,'model_byCAP'!$A$2:$A$377,0)),0)</f>
        <v>0</v>
      </c>
    </row>
    <row r="5062" ht="15.35" customHeight="1">
      <c r="A5062" t="s" s="2">
        <v>9501</v>
      </c>
      <c r="B5062" s="4">
        <v>36300</v>
      </c>
      <c r="C5062" s="5">
        <v>11</v>
      </c>
      <c r="D5062" s="5">
        <v>13</v>
      </c>
      <c r="E5062" s="5">
        <v>18</v>
      </c>
      <c r="F5062" t="s" s="2">
        <v>42</v>
      </c>
      <c r="G5062" t="s" s="2">
        <v>42</v>
      </c>
      <c r="H5062" s="5">
        <v>573</v>
      </c>
      <c r="I5062" t="s" s="2">
        <v>1041</v>
      </c>
      <c r="J5062" t="s" s="2">
        <v>9204</v>
      </c>
      <c r="K5062" s="6"/>
      <c r="L5062" s="6"/>
      <c r="M5062" s="5">
        <v>456673.08</v>
      </c>
      <c r="N5062" s="5">
        <v>6177974.38</v>
      </c>
      <c r="O5062" t="s" s="2">
        <v>305</v>
      </c>
      <c r="P5062" s="6"/>
      <c r="Q5062" t="s" s="2">
        <v>43</v>
      </c>
      <c r="R5062" s="5">
        <f>_xlfn.IFERROR(INDEX('model_byCAP'!$D$2:$D$377,MATCH(Q5062,'model_byCAP'!$A$2:$A$377,0)),0)</f>
        <v>0</v>
      </c>
    </row>
    <row r="5063" ht="15.35" customHeight="1">
      <c r="A5063" t="s" s="2">
        <v>9502</v>
      </c>
      <c r="B5063" s="4">
        <v>40164</v>
      </c>
      <c r="C5063" s="5">
        <v>11</v>
      </c>
      <c r="D5063" s="5">
        <v>0</v>
      </c>
      <c r="E5063" s="5">
        <v>18</v>
      </c>
      <c r="F5063" t="s" s="2">
        <v>42</v>
      </c>
      <c r="G5063" t="s" s="2">
        <v>42</v>
      </c>
      <c r="H5063" s="5">
        <v>573</v>
      </c>
      <c r="I5063" t="s" s="2">
        <v>1041</v>
      </c>
      <c r="J5063" t="s" s="2">
        <v>9204</v>
      </c>
      <c r="K5063" s="6"/>
      <c r="L5063" s="6"/>
      <c r="M5063" s="5">
        <v>476813.02</v>
      </c>
      <c r="N5063" s="5">
        <v>6177419.87</v>
      </c>
      <c r="O5063" t="s" s="2">
        <v>305</v>
      </c>
      <c r="P5063" s="6"/>
      <c r="Q5063" t="s" s="2">
        <v>43</v>
      </c>
      <c r="R5063" s="5">
        <f>_xlfn.IFERROR(INDEX('model_byCAP'!$D$2:$D$377,MATCH(Q5063,'model_byCAP'!$A$2:$A$377,0)),0)</f>
        <v>0</v>
      </c>
    </row>
    <row r="5064" ht="15.35" customHeight="1">
      <c r="A5064" t="s" s="2">
        <v>9503</v>
      </c>
      <c r="B5064" s="4">
        <v>36651</v>
      </c>
      <c r="C5064" s="5">
        <v>11</v>
      </c>
      <c r="D5064" s="5">
        <v>13</v>
      </c>
      <c r="E5064" s="5">
        <v>18</v>
      </c>
      <c r="F5064" t="s" s="2">
        <v>42</v>
      </c>
      <c r="G5064" t="s" s="2">
        <v>42</v>
      </c>
      <c r="H5064" s="5">
        <v>575</v>
      </c>
      <c r="I5064" t="s" s="2">
        <v>2952</v>
      </c>
      <c r="J5064" t="s" s="2">
        <v>9204</v>
      </c>
      <c r="K5064" s="6"/>
      <c r="L5064" s="6"/>
      <c r="M5064" s="5">
        <v>515239.16</v>
      </c>
      <c r="N5064" s="5">
        <v>6154032.33</v>
      </c>
      <c r="O5064" t="s" s="2">
        <v>305</v>
      </c>
      <c r="P5064" s="6"/>
      <c r="Q5064" t="s" s="2">
        <v>43</v>
      </c>
      <c r="R5064" s="5">
        <f>_xlfn.IFERROR(INDEX('model_byCAP'!$D$2:$D$377,MATCH(Q5064,'model_byCAP'!$A$2:$A$377,0)),0)</f>
        <v>0</v>
      </c>
    </row>
    <row r="5065" ht="15.35" customHeight="1">
      <c r="A5065" t="s" s="2">
        <v>9504</v>
      </c>
      <c r="B5065" s="4">
        <v>35411</v>
      </c>
      <c r="C5065" s="5">
        <v>11</v>
      </c>
      <c r="D5065" s="5">
        <v>13</v>
      </c>
      <c r="E5065" s="5">
        <v>18</v>
      </c>
      <c r="F5065" t="s" s="2">
        <v>9471</v>
      </c>
      <c r="G5065" t="s" s="2">
        <v>9505</v>
      </c>
      <c r="H5065" s="5">
        <v>580</v>
      </c>
      <c r="I5065" t="s" s="2">
        <v>1542</v>
      </c>
      <c r="J5065" t="s" s="2">
        <v>9204</v>
      </c>
      <c r="K5065" s="6"/>
      <c r="L5065" s="6"/>
      <c r="M5065" s="5">
        <v>518443.13</v>
      </c>
      <c r="N5065" s="5">
        <v>6081950.64</v>
      </c>
      <c r="O5065" t="s" s="2">
        <v>305</v>
      </c>
      <c r="P5065" s="6"/>
      <c r="Q5065" t="s" s="2">
        <v>9506</v>
      </c>
      <c r="R5065" s="5">
        <f>_xlfn.IFERROR(INDEX('model_byCAP'!$D$2:$D$377,MATCH(Q5065,'model_byCAP'!$A$2:$A$377,0)),0)</f>
        <v>0</v>
      </c>
    </row>
    <row r="5066" ht="15.35" customHeight="1">
      <c r="A5066" t="s" s="2">
        <v>9507</v>
      </c>
      <c r="B5066" s="4">
        <v>35944</v>
      </c>
      <c r="C5066" s="5">
        <v>11</v>
      </c>
      <c r="D5066" s="5">
        <v>13</v>
      </c>
      <c r="E5066" s="5">
        <v>18</v>
      </c>
      <c r="F5066" t="s" s="2">
        <v>42</v>
      </c>
      <c r="G5066" t="s" s="2">
        <v>42</v>
      </c>
      <c r="H5066" s="5">
        <v>630</v>
      </c>
      <c r="I5066" t="s" s="2">
        <v>1268</v>
      </c>
      <c r="J5066" t="s" s="2">
        <v>9204</v>
      </c>
      <c r="K5066" s="6"/>
      <c r="L5066" s="6"/>
      <c r="M5066" s="5">
        <v>517378.38</v>
      </c>
      <c r="N5066" s="5">
        <v>6190242.23</v>
      </c>
      <c r="O5066" t="s" s="2">
        <v>305</v>
      </c>
      <c r="P5066" s="6"/>
      <c r="Q5066" t="s" s="2">
        <v>43</v>
      </c>
      <c r="R5066" s="5">
        <f>_xlfn.IFERROR(INDEX('model_byCAP'!$D$2:$D$377,MATCH(Q5066,'model_byCAP'!$A$2:$A$377,0)),0)</f>
        <v>0</v>
      </c>
    </row>
    <row r="5067" ht="15.35" customHeight="1">
      <c r="A5067" t="s" s="2">
        <v>9508</v>
      </c>
      <c r="B5067" s="4">
        <v>35594</v>
      </c>
      <c r="C5067" s="5">
        <v>11</v>
      </c>
      <c r="D5067" s="5">
        <v>13</v>
      </c>
      <c r="E5067" s="5">
        <v>18.2</v>
      </c>
      <c r="F5067" t="s" s="2">
        <v>42</v>
      </c>
      <c r="G5067" t="s" s="2">
        <v>42</v>
      </c>
      <c r="H5067" s="5">
        <v>630</v>
      </c>
      <c r="I5067" t="s" s="2">
        <v>1268</v>
      </c>
      <c r="J5067" t="s" s="2">
        <v>9204</v>
      </c>
      <c r="K5067" s="6"/>
      <c r="L5067" s="6"/>
      <c r="M5067" s="5">
        <v>525401.13</v>
      </c>
      <c r="N5067" s="5">
        <v>6182087.61</v>
      </c>
      <c r="O5067" t="s" s="2">
        <v>305</v>
      </c>
      <c r="P5067" s="6"/>
      <c r="Q5067" t="s" s="2">
        <v>43</v>
      </c>
      <c r="R5067" s="5">
        <f>_xlfn.IFERROR(INDEX('model_byCAP'!$D$2:$D$377,MATCH(Q5067,'model_byCAP'!$A$2:$A$377,0)),0)</f>
        <v>0</v>
      </c>
    </row>
    <row r="5068" ht="15.35" customHeight="1">
      <c r="A5068" t="s" s="2">
        <v>9509</v>
      </c>
      <c r="B5068" s="4">
        <v>41131</v>
      </c>
      <c r="C5068" s="5">
        <v>11</v>
      </c>
      <c r="D5068" s="5">
        <v>13</v>
      </c>
      <c r="E5068" s="5">
        <v>18</v>
      </c>
      <c r="F5068" t="s" s="2">
        <v>42</v>
      </c>
      <c r="G5068" t="s" s="2">
        <v>42</v>
      </c>
      <c r="H5068" s="5">
        <v>630</v>
      </c>
      <c r="I5068" t="s" s="2">
        <v>1268</v>
      </c>
      <c r="J5068" t="s" s="2">
        <v>9204</v>
      </c>
      <c r="K5068" s="6"/>
      <c r="L5068" s="6"/>
      <c r="M5068" s="5">
        <v>531478.67</v>
      </c>
      <c r="N5068" s="5">
        <v>6186527.75</v>
      </c>
      <c r="O5068" t="s" s="2">
        <v>305</v>
      </c>
      <c r="P5068" s="6"/>
      <c r="Q5068" t="s" s="2">
        <v>43</v>
      </c>
      <c r="R5068" s="5">
        <f>_xlfn.IFERROR(INDEX('model_byCAP'!$D$2:$D$377,MATCH(Q5068,'model_byCAP'!$A$2:$A$377,0)),0)</f>
        <v>0</v>
      </c>
    </row>
    <row r="5069" ht="15.35" customHeight="1">
      <c r="A5069" t="s" s="2">
        <v>9510</v>
      </c>
      <c r="B5069" s="4">
        <v>36636</v>
      </c>
      <c r="C5069" s="5">
        <v>11</v>
      </c>
      <c r="D5069" s="5">
        <v>13</v>
      </c>
      <c r="E5069" s="5">
        <v>18</v>
      </c>
      <c r="F5069" t="s" s="2">
        <v>42</v>
      </c>
      <c r="G5069" t="s" s="2">
        <v>42</v>
      </c>
      <c r="H5069" s="5">
        <v>657</v>
      </c>
      <c r="I5069" t="s" s="2">
        <v>541</v>
      </c>
      <c r="J5069" t="s" s="2">
        <v>9204</v>
      </c>
      <c r="K5069" s="6"/>
      <c r="L5069" s="6"/>
      <c r="M5069" s="5">
        <v>476253.12</v>
      </c>
      <c r="N5069" s="5">
        <v>6237721.89</v>
      </c>
      <c r="O5069" t="s" s="2">
        <v>305</v>
      </c>
      <c r="P5069" s="6"/>
      <c r="Q5069" t="s" s="2">
        <v>43</v>
      </c>
      <c r="R5069" s="5">
        <f>_xlfn.IFERROR(INDEX('model_byCAP'!$D$2:$D$377,MATCH(Q5069,'model_byCAP'!$A$2:$A$377,0)),0)</f>
        <v>0</v>
      </c>
    </row>
    <row r="5070" ht="15.35" customHeight="1">
      <c r="A5070" t="s" s="2">
        <v>9511</v>
      </c>
      <c r="B5070" s="4">
        <v>36381</v>
      </c>
      <c r="C5070" s="5">
        <v>11</v>
      </c>
      <c r="D5070" s="5">
        <v>13</v>
      </c>
      <c r="E5070" s="5">
        <v>18</v>
      </c>
      <c r="F5070" t="s" s="2">
        <v>42</v>
      </c>
      <c r="G5070" t="s" s="2">
        <v>42</v>
      </c>
      <c r="H5070" s="5">
        <v>661</v>
      </c>
      <c r="I5070" t="s" s="2">
        <v>562</v>
      </c>
      <c r="J5070" t="s" s="2">
        <v>9204</v>
      </c>
      <c r="K5070" s="6"/>
      <c r="L5070" s="6"/>
      <c r="M5070" s="5">
        <v>489237.32</v>
      </c>
      <c r="N5070" s="5">
        <v>6266370.05</v>
      </c>
      <c r="O5070" t="s" s="2">
        <v>305</v>
      </c>
      <c r="P5070" s="6"/>
      <c r="Q5070" t="s" s="2">
        <v>43</v>
      </c>
      <c r="R5070" s="5">
        <f>_xlfn.IFERROR(INDEX('model_byCAP'!$D$2:$D$377,MATCH(Q5070,'model_byCAP'!$A$2:$A$377,0)),0)</f>
        <v>0</v>
      </c>
    </row>
    <row r="5071" ht="15.35" customHeight="1">
      <c r="A5071" t="s" s="2">
        <v>9512</v>
      </c>
      <c r="B5071" s="4">
        <v>36509</v>
      </c>
      <c r="C5071" s="5">
        <v>11</v>
      </c>
      <c r="D5071" s="5">
        <v>13</v>
      </c>
      <c r="E5071" s="5">
        <v>18</v>
      </c>
      <c r="F5071" t="s" s="2">
        <v>42</v>
      </c>
      <c r="G5071" t="s" s="2">
        <v>42</v>
      </c>
      <c r="H5071" s="5">
        <v>661</v>
      </c>
      <c r="I5071" t="s" s="2">
        <v>562</v>
      </c>
      <c r="J5071" t="s" s="2">
        <v>9204</v>
      </c>
      <c r="K5071" s="6"/>
      <c r="L5071" s="6"/>
      <c r="M5071" s="5">
        <v>470908.56</v>
      </c>
      <c r="N5071" s="5">
        <v>6252237.62</v>
      </c>
      <c r="O5071" t="s" s="2">
        <v>305</v>
      </c>
      <c r="P5071" s="6"/>
      <c r="Q5071" t="s" s="2">
        <v>43</v>
      </c>
      <c r="R5071" s="5">
        <f>_xlfn.IFERROR(INDEX('model_byCAP'!$D$2:$D$377,MATCH(Q5071,'model_byCAP'!$A$2:$A$377,0)),0)</f>
        <v>0</v>
      </c>
    </row>
    <row r="5072" ht="15.35" customHeight="1">
      <c r="A5072" t="s" s="2">
        <v>9513</v>
      </c>
      <c r="B5072" s="4">
        <v>36034</v>
      </c>
      <c r="C5072" s="5">
        <v>11</v>
      </c>
      <c r="D5072" s="5">
        <v>13</v>
      </c>
      <c r="E5072" s="5">
        <v>18</v>
      </c>
      <c r="F5072" t="s" s="2">
        <v>42</v>
      </c>
      <c r="G5072" t="s" s="2">
        <v>42</v>
      </c>
      <c r="H5072" s="5">
        <v>661</v>
      </c>
      <c r="I5072" t="s" s="2">
        <v>562</v>
      </c>
      <c r="J5072" t="s" s="2">
        <v>9204</v>
      </c>
      <c r="K5072" s="6"/>
      <c r="L5072" s="6"/>
      <c r="M5072" s="5">
        <v>471974.47</v>
      </c>
      <c r="N5072" s="5">
        <v>6242056.21</v>
      </c>
      <c r="O5072" t="s" s="2">
        <v>305</v>
      </c>
      <c r="P5072" s="6"/>
      <c r="Q5072" t="s" s="2">
        <v>43</v>
      </c>
      <c r="R5072" s="5">
        <f>_xlfn.IFERROR(INDEX('model_byCAP'!$D$2:$D$377,MATCH(Q5072,'model_byCAP'!$A$2:$A$377,0)),0)</f>
        <v>0</v>
      </c>
    </row>
    <row r="5073" ht="15.35" customHeight="1">
      <c r="A5073" t="s" s="2">
        <v>9514</v>
      </c>
      <c r="B5073" s="4">
        <v>36448</v>
      </c>
      <c r="C5073" s="5">
        <v>11</v>
      </c>
      <c r="D5073" s="5">
        <v>13</v>
      </c>
      <c r="E5073" s="5">
        <v>18.3</v>
      </c>
      <c r="F5073" t="s" s="2">
        <v>42</v>
      </c>
      <c r="G5073" t="s" s="2">
        <v>42</v>
      </c>
      <c r="H5073" s="5">
        <v>661</v>
      </c>
      <c r="I5073" t="s" s="2">
        <v>562</v>
      </c>
      <c r="J5073" t="s" s="2">
        <v>9204</v>
      </c>
      <c r="K5073" s="6"/>
      <c r="L5073" s="6"/>
      <c r="M5073" s="5">
        <v>483423.84</v>
      </c>
      <c r="N5073" s="5">
        <v>6256424.54</v>
      </c>
      <c r="O5073" t="s" s="2">
        <v>305</v>
      </c>
      <c r="P5073" s="6"/>
      <c r="Q5073" t="s" s="2">
        <v>43</v>
      </c>
      <c r="R5073" s="5">
        <f>_xlfn.IFERROR(INDEX('model_byCAP'!$D$2:$D$377,MATCH(Q5073,'model_byCAP'!$A$2:$A$377,0)),0)</f>
        <v>0</v>
      </c>
    </row>
    <row r="5074" ht="15.35" customHeight="1">
      <c r="A5074" t="s" s="2">
        <v>9515</v>
      </c>
      <c r="B5074" s="4">
        <v>36878</v>
      </c>
      <c r="C5074" s="5">
        <v>11</v>
      </c>
      <c r="D5074" s="5">
        <v>13</v>
      </c>
      <c r="E5074" s="5">
        <v>18</v>
      </c>
      <c r="F5074" t="s" s="2">
        <v>42</v>
      </c>
      <c r="G5074" t="s" s="2">
        <v>42</v>
      </c>
      <c r="H5074" s="5">
        <v>661</v>
      </c>
      <c r="I5074" t="s" s="2">
        <v>562</v>
      </c>
      <c r="J5074" t="s" s="2">
        <v>9204</v>
      </c>
      <c r="K5074" s="6"/>
      <c r="L5074" s="6"/>
      <c r="M5074" s="5">
        <v>458488.04</v>
      </c>
      <c r="N5074" s="5">
        <v>6241997.91</v>
      </c>
      <c r="O5074" t="s" s="2">
        <v>305</v>
      </c>
      <c r="P5074" s="6"/>
      <c r="Q5074" t="s" s="2">
        <v>43</v>
      </c>
      <c r="R5074" s="5">
        <f>_xlfn.IFERROR(INDEX('model_byCAP'!$D$2:$D$377,MATCH(Q5074,'model_byCAP'!$A$2:$A$377,0)),0)</f>
        <v>0</v>
      </c>
    </row>
    <row r="5075" ht="15.35" customHeight="1">
      <c r="A5075" t="s" s="2">
        <v>9516</v>
      </c>
      <c r="B5075" s="4">
        <v>36708</v>
      </c>
      <c r="C5075" s="5">
        <v>11</v>
      </c>
      <c r="D5075" s="5">
        <v>13</v>
      </c>
      <c r="E5075" s="5">
        <v>18.2</v>
      </c>
      <c r="F5075" t="s" s="2">
        <v>42</v>
      </c>
      <c r="G5075" t="s" s="2">
        <v>42</v>
      </c>
      <c r="H5075" s="5">
        <v>661</v>
      </c>
      <c r="I5075" t="s" s="2">
        <v>562</v>
      </c>
      <c r="J5075" t="s" s="2">
        <v>9204</v>
      </c>
      <c r="K5075" s="6"/>
      <c r="L5075" s="6"/>
      <c r="M5075" s="5">
        <v>488711.57</v>
      </c>
      <c r="N5075" s="5">
        <v>6262094.67</v>
      </c>
      <c r="O5075" t="s" s="2">
        <v>305</v>
      </c>
      <c r="P5075" s="6"/>
      <c r="Q5075" t="s" s="2">
        <v>43</v>
      </c>
      <c r="R5075" s="5">
        <f>_xlfn.IFERROR(INDEX('model_byCAP'!$D$2:$D$377,MATCH(Q5075,'model_byCAP'!$A$2:$A$377,0)),0)</f>
        <v>0</v>
      </c>
    </row>
    <row r="5076" ht="15.35" customHeight="1">
      <c r="A5076" t="s" s="2">
        <v>9517</v>
      </c>
      <c r="B5076" s="4">
        <v>39003</v>
      </c>
      <c r="C5076" s="5">
        <v>11</v>
      </c>
      <c r="D5076" s="5">
        <v>13</v>
      </c>
      <c r="E5076" s="5">
        <v>18.2</v>
      </c>
      <c r="F5076" t="s" s="2">
        <v>42</v>
      </c>
      <c r="G5076" t="s" s="2">
        <v>42</v>
      </c>
      <c r="H5076" s="5">
        <v>661</v>
      </c>
      <c r="I5076" t="s" s="2">
        <v>562</v>
      </c>
      <c r="J5076" t="s" s="2">
        <v>9204</v>
      </c>
      <c r="K5076" s="6"/>
      <c r="L5076" s="6"/>
      <c r="M5076" s="5">
        <v>470423.5</v>
      </c>
      <c r="N5076" s="5">
        <v>6252410.18</v>
      </c>
      <c r="O5076" t="s" s="2">
        <v>305</v>
      </c>
      <c r="P5076" s="6"/>
      <c r="Q5076" t="s" s="2">
        <v>43</v>
      </c>
      <c r="R5076" s="5">
        <f>_xlfn.IFERROR(INDEX('model_byCAP'!$D$2:$D$377,MATCH(Q5076,'model_byCAP'!$A$2:$A$377,0)),0)</f>
        <v>0</v>
      </c>
    </row>
    <row r="5077" ht="15.35" customHeight="1">
      <c r="A5077" t="s" s="2">
        <v>9518</v>
      </c>
      <c r="B5077" s="4">
        <v>39714</v>
      </c>
      <c r="C5077" s="5">
        <v>11</v>
      </c>
      <c r="D5077" s="5">
        <v>13</v>
      </c>
      <c r="E5077" s="5">
        <v>18</v>
      </c>
      <c r="F5077" t="s" s="2">
        <v>42</v>
      </c>
      <c r="G5077" t="s" s="2">
        <v>42</v>
      </c>
      <c r="H5077" s="5">
        <v>661</v>
      </c>
      <c r="I5077" t="s" s="2">
        <v>562</v>
      </c>
      <c r="J5077" t="s" s="2">
        <v>9204</v>
      </c>
      <c r="K5077" s="6"/>
      <c r="L5077" s="6"/>
      <c r="M5077" s="5">
        <v>454003.12</v>
      </c>
      <c r="N5077" s="5">
        <v>6236261.96</v>
      </c>
      <c r="O5077" t="s" s="2">
        <v>305</v>
      </c>
      <c r="P5077" s="6"/>
      <c r="Q5077" t="s" s="2">
        <v>43</v>
      </c>
      <c r="R5077" s="5">
        <f>_xlfn.IFERROR(INDEX('model_byCAP'!$D$2:$D$377,MATCH(Q5077,'model_byCAP'!$A$2:$A$377,0)),0)</f>
        <v>0</v>
      </c>
    </row>
    <row r="5078" ht="15.35" customHeight="1">
      <c r="A5078" t="s" s="2">
        <v>9519</v>
      </c>
      <c r="B5078" s="4">
        <v>35016</v>
      </c>
      <c r="C5078" s="5">
        <v>11</v>
      </c>
      <c r="D5078" s="5">
        <v>12</v>
      </c>
      <c r="E5078" s="5">
        <v>18</v>
      </c>
      <c r="F5078" t="s" s="2">
        <v>42</v>
      </c>
      <c r="G5078" t="s" s="2">
        <v>42</v>
      </c>
      <c r="H5078" s="5">
        <v>671</v>
      </c>
      <c r="I5078" t="s" s="2">
        <v>378</v>
      </c>
      <c r="J5078" t="s" s="2">
        <v>9204</v>
      </c>
      <c r="K5078" s="6"/>
      <c r="L5078" s="6"/>
      <c r="M5078" s="5">
        <v>473671.42</v>
      </c>
      <c r="N5078" s="5">
        <v>6257655</v>
      </c>
      <c r="O5078" t="s" s="2">
        <v>305</v>
      </c>
      <c r="P5078" s="6"/>
      <c r="Q5078" t="s" s="2">
        <v>43</v>
      </c>
      <c r="R5078" s="5">
        <f>_xlfn.IFERROR(INDEX('model_byCAP'!$D$2:$D$377,MATCH(Q5078,'model_byCAP'!$A$2:$A$377,0)),0)</f>
        <v>0</v>
      </c>
    </row>
    <row r="5079" ht="15.35" customHeight="1">
      <c r="A5079" t="s" s="2">
        <v>9520</v>
      </c>
      <c r="B5079" s="4">
        <v>35943</v>
      </c>
      <c r="C5079" s="5">
        <v>11</v>
      </c>
      <c r="D5079" s="5">
        <v>13</v>
      </c>
      <c r="E5079" s="5">
        <v>18.2</v>
      </c>
      <c r="F5079" t="s" s="2">
        <v>42</v>
      </c>
      <c r="G5079" t="s" s="2">
        <v>42</v>
      </c>
      <c r="H5079" s="5">
        <v>671</v>
      </c>
      <c r="I5079" t="s" s="2">
        <v>378</v>
      </c>
      <c r="J5079" t="s" s="2">
        <v>9204</v>
      </c>
      <c r="K5079" s="6"/>
      <c r="L5079" s="6"/>
      <c r="M5079" s="5">
        <v>475920.31</v>
      </c>
      <c r="N5079" s="5">
        <v>6254782.62</v>
      </c>
      <c r="O5079" t="s" s="2">
        <v>305</v>
      </c>
      <c r="P5079" s="6"/>
      <c r="Q5079" t="s" s="2">
        <v>43</v>
      </c>
      <c r="R5079" s="5">
        <f>_xlfn.IFERROR(INDEX('model_byCAP'!$D$2:$D$377,MATCH(Q5079,'model_byCAP'!$A$2:$A$377,0)),0)</f>
        <v>0</v>
      </c>
    </row>
    <row r="5080" ht="15.35" customHeight="1">
      <c r="A5080" t="s" s="2">
        <v>9521</v>
      </c>
      <c r="B5080" s="4">
        <v>36019</v>
      </c>
      <c r="C5080" s="5">
        <v>11</v>
      </c>
      <c r="D5080" s="5">
        <v>13</v>
      </c>
      <c r="E5080" s="5">
        <v>18.2</v>
      </c>
      <c r="F5080" t="s" s="2">
        <v>42</v>
      </c>
      <c r="G5080" t="s" s="2">
        <v>42</v>
      </c>
      <c r="H5080" s="5">
        <v>671</v>
      </c>
      <c r="I5080" t="s" s="2">
        <v>378</v>
      </c>
      <c r="J5080" t="s" s="2">
        <v>9204</v>
      </c>
      <c r="K5080" s="6"/>
      <c r="L5080" s="6"/>
      <c r="M5080" s="5">
        <v>475231.65</v>
      </c>
      <c r="N5080" s="5">
        <v>6256028.72</v>
      </c>
      <c r="O5080" t="s" s="2">
        <v>305</v>
      </c>
      <c r="P5080" s="6"/>
      <c r="Q5080" t="s" s="2">
        <v>43</v>
      </c>
      <c r="R5080" s="5">
        <f>_xlfn.IFERROR(INDEX('model_byCAP'!$D$2:$D$377,MATCH(Q5080,'model_byCAP'!$A$2:$A$377,0)),0)</f>
        <v>0</v>
      </c>
    </row>
    <row r="5081" ht="15.35" customHeight="1">
      <c r="A5081" t="s" s="2">
        <v>9522</v>
      </c>
      <c r="B5081" s="4">
        <v>36298</v>
      </c>
      <c r="C5081" s="5">
        <v>11</v>
      </c>
      <c r="D5081" s="5">
        <v>13</v>
      </c>
      <c r="E5081" s="5">
        <v>18.3</v>
      </c>
      <c r="F5081" t="s" s="2">
        <v>42</v>
      </c>
      <c r="G5081" t="s" s="2">
        <v>42</v>
      </c>
      <c r="H5081" s="5">
        <v>671</v>
      </c>
      <c r="I5081" t="s" s="2">
        <v>378</v>
      </c>
      <c r="J5081" t="s" s="2">
        <v>9204</v>
      </c>
      <c r="K5081" s="6"/>
      <c r="L5081" s="6"/>
      <c r="M5081" s="5">
        <v>474143.68</v>
      </c>
      <c r="N5081" s="5">
        <v>6257504.64</v>
      </c>
      <c r="O5081" t="s" s="2">
        <v>305</v>
      </c>
      <c r="P5081" s="6"/>
      <c r="Q5081" t="s" s="2">
        <v>43</v>
      </c>
      <c r="R5081" s="5">
        <f>_xlfn.IFERROR(INDEX('model_byCAP'!$D$2:$D$377,MATCH(Q5081,'model_byCAP'!$A$2:$A$377,0)),0)</f>
        <v>0</v>
      </c>
    </row>
    <row r="5082" ht="15.35" customHeight="1">
      <c r="A5082" t="s" s="2">
        <v>9523</v>
      </c>
      <c r="B5082" s="4">
        <v>40721</v>
      </c>
      <c r="C5082" s="5">
        <v>11</v>
      </c>
      <c r="D5082" s="5">
        <v>13</v>
      </c>
      <c r="E5082" s="5">
        <v>18</v>
      </c>
      <c r="F5082" t="s" s="2">
        <v>42</v>
      </c>
      <c r="G5082" t="s" s="2">
        <v>42</v>
      </c>
      <c r="H5082" s="5">
        <v>671</v>
      </c>
      <c r="I5082" t="s" s="2">
        <v>378</v>
      </c>
      <c r="J5082" t="s" s="2">
        <v>9204</v>
      </c>
      <c r="K5082" s="6"/>
      <c r="L5082" s="6"/>
      <c r="M5082" s="5">
        <v>472442.59</v>
      </c>
      <c r="N5082" s="5">
        <v>6265395.11</v>
      </c>
      <c r="O5082" t="s" s="2">
        <v>305</v>
      </c>
      <c r="P5082" s="6"/>
      <c r="Q5082" t="s" s="2">
        <v>43</v>
      </c>
      <c r="R5082" s="5">
        <f>_xlfn.IFERROR(INDEX('model_byCAP'!$D$2:$D$377,MATCH(Q5082,'model_byCAP'!$A$2:$A$377,0)),0)</f>
        <v>0</v>
      </c>
    </row>
    <row r="5083" ht="15.35" customHeight="1">
      <c r="A5083" t="s" s="2">
        <v>9524</v>
      </c>
      <c r="B5083" s="4">
        <v>35509</v>
      </c>
      <c r="C5083" s="5">
        <v>11</v>
      </c>
      <c r="D5083" s="5">
        <v>13</v>
      </c>
      <c r="E5083" s="5">
        <v>18</v>
      </c>
      <c r="F5083" t="s" s="2">
        <v>42</v>
      </c>
      <c r="G5083" t="s" s="2">
        <v>42</v>
      </c>
      <c r="H5083" s="5">
        <v>706</v>
      </c>
      <c r="I5083" t="s" s="2">
        <v>3155</v>
      </c>
      <c r="J5083" t="s" s="2">
        <v>9204</v>
      </c>
      <c r="K5083" s="6"/>
      <c r="L5083" s="6"/>
      <c r="M5083" s="5">
        <v>606179.88</v>
      </c>
      <c r="N5083" s="5">
        <v>6224588.14</v>
      </c>
      <c r="O5083" t="s" s="2">
        <v>305</v>
      </c>
      <c r="P5083" s="6"/>
      <c r="Q5083" t="s" s="2">
        <v>43</v>
      </c>
      <c r="R5083" s="5">
        <f>_xlfn.IFERROR(INDEX('model_byCAP'!$D$2:$D$377,MATCH(Q5083,'model_byCAP'!$A$2:$A$377,0)),0)</f>
        <v>0</v>
      </c>
    </row>
    <row r="5084" ht="15.35" customHeight="1">
      <c r="A5084" t="s" s="2">
        <v>9525</v>
      </c>
      <c r="B5084" s="4">
        <v>39617</v>
      </c>
      <c r="C5084" s="5">
        <v>11</v>
      </c>
      <c r="D5084" s="5">
        <v>13</v>
      </c>
      <c r="E5084" s="5">
        <v>18.2</v>
      </c>
      <c r="F5084" t="s" s="2">
        <v>9526</v>
      </c>
      <c r="G5084" t="s" s="2">
        <v>9527</v>
      </c>
      <c r="H5084" s="5">
        <v>706</v>
      </c>
      <c r="I5084" t="s" s="2">
        <v>3155</v>
      </c>
      <c r="J5084" t="s" s="2">
        <v>9204</v>
      </c>
      <c r="K5084" s="6"/>
      <c r="L5084" s="6"/>
      <c r="M5084" s="5">
        <v>592727.66</v>
      </c>
      <c r="N5084" s="5">
        <v>6233137.87</v>
      </c>
      <c r="O5084" t="s" s="2">
        <v>305</v>
      </c>
      <c r="P5084" s="6"/>
      <c r="Q5084" t="s" s="2">
        <v>9528</v>
      </c>
      <c r="R5084" s="5">
        <f>_xlfn.IFERROR(INDEX('model_byCAP'!$D$2:$D$377,MATCH(Q5084,'model_byCAP'!$A$2:$A$377,0)),0)</f>
        <v>0</v>
      </c>
    </row>
    <row r="5085" ht="15.35" customHeight="1">
      <c r="A5085" t="s" s="2">
        <v>9529</v>
      </c>
      <c r="B5085" s="4">
        <v>41123</v>
      </c>
      <c r="C5085" s="5">
        <v>11</v>
      </c>
      <c r="D5085" s="5">
        <v>13</v>
      </c>
      <c r="E5085" s="5">
        <v>18</v>
      </c>
      <c r="F5085" t="s" s="2">
        <v>42</v>
      </c>
      <c r="G5085" t="s" s="2">
        <v>42</v>
      </c>
      <c r="H5085" s="5">
        <v>707</v>
      </c>
      <c r="I5085" t="s" s="2">
        <v>616</v>
      </c>
      <c r="J5085" t="s" s="2">
        <v>9204</v>
      </c>
      <c r="K5085" s="6"/>
      <c r="L5085" s="6"/>
      <c r="M5085" s="5">
        <v>608454.1</v>
      </c>
      <c r="N5085" s="5">
        <v>6257178.14</v>
      </c>
      <c r="O5085" t="s" s="2">
        <v>305</v>
      </c>
      <c r="P5085" s="6"/>
      <c r="Q5085" t="s" s="2">
        <v>43</v>
      </c>
      <c r="R5085" s="5">
        <f>_xlfn.IFERROR(INDEX('model_byCAP'!$D$2:$D$377,MATCH(Q5085,'model_byCAP'!$A$2:$A$377,0)),0)</f>
        <v>0</v>
      </c>
    </row>
    <row r="5086" ht="15.35" customHeight="1">
      <c r="A5086" t="s" s="2">
        <v>9530</v>
      </c>
      <c r="B5086" s="4">
        <v>35753</v>
      </c>
      <c r="C5086" s="5">
        <v>11</v>
      </c>
      <c r="D5086" s="5">
        <v>12</v>
      </c>
      <c r="E5086" s="5">
        <v>18</v>
      </c>
      <c r="F5086" t="s" s="2">
        <v>42</v>
      </c>
      <c r="G5086" t="s" s="2">
        <v>42</v>
      </c>
      <c r="H5086" s="5">
        <v>710</v>
      </c>
      <c r="I5086" t="s" s="2">
        <v>3630</v>
      </c>
      <c r="J5086" t="s" s="2">
        <v>9204</v>
      </c>
      <c r="K5086" s="6"/>
      <c r="L5086" s="6"/>
      <c r="M5086" s="5">
        <v>549573.29</v>
      </c>
      <c r="N5086" s="5">
        <v>6233433.76</v>
      </c>
      <c r="O5086" t="s" s="2">
        <v>305</v>
      </c>
      <c r="P5086" s="6"/>
      <c r="Q5086" t="s" s="2">
        <v>43</v>
      </c>
      <c r="R5086" s="5">
        <f>_xlfn.IFERROR(INDEX('model_byCAP'!$D$2:$D$377,MATCH(Q5086,'model_byCAP'!$A$2:$A$377,0)),0)</f>
        <v>0</v>
      </c>
    </row>
    <row r="5087" ht="15.35" customHeight="1">
      <c r="A5087" t="s" s="2">
        <v>9531</v>
      </c>
      <c r="B5087" s="4">
        <v>40296</v>
      </c>
      <c r="C5087" s="5">
        <v>11</v>
      </c>
      <c r="D5087" s="5">
        <v>13</v>
      </c>
      <c r="E5087" s="5">
        <v>18</v>
      </c>
      <c r="F5087" t="s" s="2">
        <v>42</v>
      </c>
      <c r="G5087" t="s" s="2">
        <v>42</v>
      </c>
      <c r="H5087" s="5">
        <v>710</v>
      </c>
      <c r="I5087" t="s" s="2">
        <v>3630</v>
      </c>
      <c r="J5087" t="s" s="2">
        <v>9204</v>
      </c>
      <c r="K5087" s="6"/>
      <c r="L5087" s="6"/>
      <c r="M5087" s="5">
        <v>548697.2</v>
      </c>
      <c r="N5087" s="5">
        <v>6252537.3</v>
      </c>
      <c r="O5087" t="s" s="2">
        <v>305</v>
      </c>
      <c r="P5087" s="6"/>
      <c r="Q5087" t="s" s="2">
        <v>43</v>
      </c>
      <c r="R5087" s="5">
        <f>_xlfn.IFERROR(INDEX('model_byCAP'!$D$2:$D$377,MATCH(Q5087,'model_byCAP'!$A$2:$A$377,0)),0)</f>
        <v>0</v>
      </c>
    </row>
    <row r="5088" ht="15.35" customHeight="1">
      <c r="A5088" t="s" s="2">
        <v>9532</v>
      </c>
      <c r="B5088" s="4">
        <v>40841</v>
      </c>
      <c r="C5088" s="5">
        <v>11</v>
      </c>
      <c r="D5088" s="5">
        <v>13</v>
      </c>
      <c r="E5088" s="5">
        <v>18</v>
      </c>
      <c r="F5088" t="s" s="2">
        <v>42</v>
      </c>
      <c r="G5088" t="s" s="2">
        <v>42</v>
      </c>
      <c r="H5088" s="5">
        <v>710</v>
      </c>
      <c r="I5088" t="s" s="2">
        <v>3630</v>
      </c>
      <c r="J5088" t="s" s="2">
        <v>9204</v>
      </c>
      <c r="K5088" s="6"/>
      <c r="L5088" s="6"/>
      <c r="M5088" s="5">
        <v>548803.78</v>
      </c>
      <c r="N5088" s="5">
        <v>6239037.73</v>
      </c>
      <c r="O5088" t="s" s="2">
        <v>305</v>
      </c>
      <c r="P5088" s="6"/>
      <c r="Q5088" t="s" s="2">
        <v>43</v>
      </c>
      <c r="R5088" s="5">
        <f>_xlfn.IFERROR(INDEX('model_byCAP'!$D$2:$D$377,MATCH(Q5088,'model_byCAP'!$A$2:$A$377,0)),0)</f>
        <v>0</v>
      </c>
    </row>
    <row r="5089" ht="15.35" customHeight="1">
      <c r="A5089" t="s" s="2">
        <v>9533</v>
      </c>
      <c r="B5089" s="4">
        <v>40179</v>
      </c>
      <c r="C5089" s="5">
        <v>11</v>
      </c>
      <c r="D5089" s="5">
        <v>13</v>
      </c>
      <c r="E5089" s="5">
        <v>18</v>
      </c>
      <c r="F5089" t="s" s="2">
        <v>42</v>
      </c>
      <c r="G5089" t="s" s="2">
        <v>42</v>
      </c>
      <c r="H5089" s="5">
        <v>727</v>
      </c>
      <c r="I5089" t="s" s="2">
        <v>2452</v>
      </c>
      <c r="J5089" t="s" s="2">
        <v>9204</v>
      </c>
      <c r="K5089" s="6"/>
      <c r="L5089" s="6"/>
      <c r="M5089" s="5">
        <v>574766.0600000001</v>
      </c>
      <c r="N5089" s="5">
        <v>6202862.38</v>
      </c>
      <c r="O5089" t="s" s="2">
        <v>305</v>
      </c>
      <c r="P5089" s="6"/>
      <c r="Q5089" t="s" s="2">
        <v>43</v>
      </c>
      <c r="R5089" s="5">
        <f>_xlfn.IFERROR(INDEX('model_byCAP'!$D$2:$D$377,MATCH(Q5089,'model_byCAP'!$A$2:$A$377,0)),0)</f>
        <v>0</v>
      </c>
    </row>
    <row r="5090" ht="15.35" customHeight="1">
      <c r="A5090" t="s" s="2">
        <v>9534</v>
      </c>
      <c r="B5090" s="4">
        <v>35185</v>
      </c>
      <c r="C5090" s="5">
        <v>11</v>
      </c>
      <c r="D5090" s="5">
        <v>12.8</v>
      </c>
      <c r="E5090" s="5">
        <v>12</v>
      </c>
      <c r="F5090" t="s" s="2">
        <v>9535</v>
      </c>
      <c r="G5090" t="s" s="2">
        <v>9536</v>
      </c>
      <c r="H5090" s="5">
        <v>730</v>
      </c>
      <c r="I5090" t="s" s="2">
        <v>843</v>
      </c>
      <c r="J5090" t="s" s="2">
        <v>9204</v>
      </c>
      <c r="K5090" s="6"/>
      <c r="L5090" s="6"/>
      <c r="M5090" s="5">
        <v>556466.6899999999</v>
      </c>
      <c r="N5090" s="5">
        <v>6264035.04</v>
      </c>
      <c r="O5090" t="s" s="2">
        <v>305</v>
      </c>
      <c r="P5090" s="6"/>
      <c r="Q5090" t="s" s="2">
        <v>9537</v>
      </c>
      <c r="R5090" s="5">
        <f>_xlfn.IFERROR(INDEX('model_byCAP'!$D$2:$D$377,MATCH(Q5090,'model_byCAP'!$A$2:$A$377,0)),0)</f>
        <v>0</v>
      </c>
    </row>
    <row r="5091" ht="15.35" customHeight="1">
      <c r="A5091" t="s" s="2">
        <v>9538</v>
      </c>
      <c r="B5091" s="4">
        <v>36631</v>
      </c>
      <c r="C5091" s="5">
        <v>11</v>
      </c>
      <c r="D5091" s="5">
        <v>13</v>
      </c>
      <c r="E5091" s="5">
        <v>24</v>
      </c>
      <c r="F5091" t="s" s="2">
        <v>9471</v>
      </c>
      <c r="G5091" t="s" s="2">
        <v>9539</v>
      </c>
      <c r="H5091" s="5">
        <v>730</v>
      </c>
      <c r="I5091" t="s" s="2">
        <v>843</v>
      </c>
      <c r="J5091" t="s" s="2">
        <v>9204</v>
      </c>
      <c r="K5091" s="6"/>
      <c r="L5091" s="6"/>
      <c r="M5091" s="5">
        <v>557995.48</v>
      </c>
      <c r="N5091" s="5">
        <v>6270201.05</v>
      </c>
      <c r="O5091" t="s" s="2">
        <v>305</v>
      </c>
      <c r="P5091" s="6"/>
      <c r="Q5091" t="s" s="2">
        <v>9540</v>
      </c>
      <c r="R5091" s="5">
        <f>_xlfn.IFERROR(INDEX('model_byCAP'!$D$2:$D$377,MATCH(Q5091,'model_byCAP'!$A$2:$A$377,0)),0)</f>
        <v>0</v>
      </c>
    </row>
    <row r="5092" ht="15.35" customHeight="1">
      <c r="A5092" t="s" s="2">
        <v>9541</v>
      </c>
      <c r="B5092" s="4">
        <v>35746</v>
      </c>
      <c r="C5092" s="5">
        <v>11</v>
      </c>
      <c r="D5092" s="5">
        <v>13</v>
      </c>
      <c r="E5092" s="5">
        <v>18</v>
      </c>
      <c r="F5092" t="s" s="2">
        <v>42</v>
      </c>
      <c r="G5092" t="s" s="2">
        <v>42</v>
      </c>
      <c r="H5092" s="5">
        <v>730</v>
      </c>
      <c r="I5092" t="s" s="2">
        <v>843</v>
      </c>
      <c r="J5092" t="s" s="2">
        <v>9204</v>
      </c>
      <c r="K5092" s="6"/>
      <c r="L5092" s="6"/>
      <c r="M5092" s="5">
        <v>563191.8100000001</v>
      </c>
      <c r="N5092" s="5">
        <v>6262969.11</v>
      </c>
      <c r="O5092" t="s" s="2">
        <v>305</v>
      </c>
      <c r="P5092" s="6"/>
      <c r="Q5092" t="s" s="2">
        <v>43</v>
      </c>
      <c r="R5092" s="5">
        <f>_xlfn.IFERROR(INDEX('model_byCAP'!$D$2:$D$377,MATCH(Q5092,'model_byCAP'!$A$2:$A$377,0)),0)</f>
        <v>0</v>
      </c>
    </row>
    <row r="5093" ht="15.35" customHeight="1">
      <c r="A5093" t="s" s="2">
        <v>9542</v>
      </c>
      <c r="B5093" s="4">
        <v>41631</v>
      </c>
      <c r="C5093" s="5">
        <v>11</v>
      </c>
      <c r="D5093" s="5">
        <v>13</v>
      </c>
      <c r="E5093" s="5">
        <v>18.2</v>
      </c>
      <c r="F5093" t="s" s="2">
        <v>42</v>
      </c>
      <c r="G5093" t="s" s="2">
        <v>42</v>
      </c>
      <c r="H5093" s="5">
        <v>730</v>
      </c>
      <c r="I5093" t="s" s="2">
        <v>843</v>
      </c>
      <c r="J5093" t="s" s="2">
        <v>9204</v>
      </c>
      <c r="K5093" s="6"/>
      <c r="L5093" s="6"/>
      <c r="M5093" s="5">
        <v>565563.65</v>
      </c>
      <c r="N5093" s="5">
        <v>6250280.86</v>
      </c>
      <c r="O5093" t="s" s="2">
        <v>305</v>
      </c>
      <c r="P5093" s="6"/>
      <c r="Q5093" t="s" s="2">
        <v>43</v>
      </c>
      <c r="R5093" s="5">
        <f>_xlfn.IFERROR(INDEX('model_byCAP'!$D$2:$D$377,MATCH(Q5093,'model_byCAP'!$A$2:$A$377,0)),0)</f>
        <v>0</v>
      </c>
    </row>
    <row r="5094" ht="15.35" customHeight="1">
      <c r="A5094" t="s" s="2">
        <v>9543</v>
      </c>
      <c r="B5094" s="4">
        <v>38108</v>
      </c>
      <c r="C5094" s="5">
        <v>11</v>
      </c>
      <c r="D5094" s="5">
        <v>13</v>
      </c>
      <c r="E5094" s="5">
        <v>18</v>
      </c>
      <c r="F5094" t="s" s="2">
        <v>42</v>
      </c>
      <c r="G5094" t="s" s="2">
        <v>42</v>
      </c>
      <c r="H5094" s="5">
        <v>740</v>
      </c>
      <c r="I5094" t="s" s="2">
        <v>899</v>
      </c>
      <c r="J5094" t="s" s="2">
        <v>9204</v>
      </c>
      <c r="K5094" s="6"/>
      <c r="L5094" s="6"/>
      <c r="M5094" s="5">
        <v>530534.15</v>
      </c>
      <c r="N5094" s="5">
        <v>6230765.03</v>
      </c>
      <c r="O5094" t="s" s="2">
        <v>305</v>
      </c>
      <c r="P5094" s="6"/>
      <c r="Q5094" t="s" s="2">
        <v>43</v>
      </c>
      <c r="R5094" s="5">
        <f>_xlfn.IFERROR(INDEX('model_byCAP'!$D$2:$D$377,MATCH(Q5094,'model_byCAP'!$A$2:$A$377,0)),0)</f>
        <v>0</v>
      </c>
    </row>
    <row r="5095" ht="15.35" customHeight="1">
      <c r="A5095" t="s" s="2">
        <v>9544</v>
      </c>
      <c r="B5095" s="4">
        <v>40389</v>
      </c>
      <c r="C5095" s="5">
        <v>11</v>
      </c>
      <c r="D5095" s="5">
        <v>13</v>
      </c>
      <c r="E5095" s="5">
        <v>18</v>
      </c>
      <c r="F5095" t="s" s="2">
        <v>42</v>
      </c>
      <c r="G5095" t="s" s="2">
        <v>42</v>
      </c>
      <c r="H5095" s="5">
        <v>740</v>
      </c>
      <c r="I5095" t="s" s="2">
        <v>899</v>
      </c>
      <c r="J5095" t="s" s="2">
        <v>9204</v>
      </c>
      <c r="K5095" s="6"/>
      <c r="L5095" s="6"/>
      <c r="M5095" s="5">
        <v>528956.5699999999</v>
      </c>
      <c r="N5095" s="5">
        <v>6218737.22</v>
      </c>
      <c r="O5095" t="s" s="2">
        <v>305</v>
      </c>
      <c r="P5095" s="6"/>
      <c r="Q5095" t="s" s="2">
        <v>43</v>
      </c>
      <c r="R5095" s="5">
        <f>_xlfn.IFERROR(INDEX('model_byCAP'!$D$2:$D$377,MATCH(Q5095,'model_byCAP'!$A$2:$A$377,0)),0)</f>
        <v>0</v>
      </c>
    </row>
    <row r="5096" ht="15.35" customHeight="1">
      <c r="A5096" t="s" s="2">
        <v>9545</v>
      </c>
      <c r="B5096" s="4">
        <v>40514</v>
      </c>
      <c r="C5096" s="5">
        <v>11</v>
      </c>
      <c r="D5096" s="5">
        <v>13</v>
      </c>
      <c r="E5096" s="5">
        <v>18</v>
      </c>
      <c r="F5096" t="s" s="2">
        <v>42</v>
      </c>
      <c r="G5096" t="s" s="2">
        <v>42</v>
      </c>
      <c r="H5096" s="5">
        <v>740</v>
      </c>
      <c r="I5096" t="s" s="2">
        <v>899</v>
      </c>
      <c r="J5096" t="s" s="2">
        <v>9204</v>
      </c>
      <c r="K5096" s="6"/>
      <c r="L5096" s="6"/>
      <c r="M5096" s="5">
        <v>525759.6800000001</v>
      </c>
      <c r="N5096" s="5">
        <v>6233488.02</v>
      </c>
      <c r="O5096" t="s" s="2">
        <v>305</v>
      </c>
      <c r="P5096" s="6"/>
      <c r="Q5096" t="s" s="2">
        <v>43</v>
      </c>
      <c r="R5096" s="5">
        <f>_xlfn.IFERROR(INDEX('model_byCAP'!$D$2:$D$377,MATCH(Q5096,'model_byCAP'!$A$2:$A$377,0)),0)</f>
        <v>0</v>
      </c>
    </row>
    <row r="5097" ht="15.35" customHeight="1">
      <c r="A5097" t="s" s="2">
        <v>9546</v>
      </c>
      <c r="B5097" s="4">
        <v>40840</v>
      </c>
      <c r="C5097" s="5">
        <v>11</v>
      </c>
      <c r="D5097" s="5">
        <v>13</v>
      </c>
      <c r="E5097" s="5">
        <v>18</v>
      </c>
      <c r="F5097" t="s" s="2">
        <v>42</v>
      </c>
      <c r="G5097" t="s" s="2">
        <v>42</v>
      </c>
      <c r="H5097" s="5">
        <v>740</v>
      </c>
      <c r="I5097" t="s" s="2">
        <v>899</v>
      </c>
      <c r="J5097" t="s" s="2">
        <v>9204</v>
      </c>
      <c r="K5097" s="6"/>
      <c r="L5097" s="6"/>
      <c r="M5097" s="5">
        <v>523676.85</v>
      </c>
      <c r="N5097" s="5">
        <v>6232912.4</v>
      </c>
      <c r="O5097" t="s" s="2">
        <v>305</v>
      </c>
      <c r="P5097" s="6"/>
      <c r="Q5097" t="s" s="2">
        <v>43</v>
      </c>
      <c r="R5097" s="5">
        <f>_xlfn.IFERROR(INDEX('model_byCAP'!$D$2:$D$377,MATCH(Q5097,'model_byCAP'!$A$2:$A$377,0)),0)</f>
        <v>0</v>
      </c>
    </row>
    <row r="5098" ht="15.35" customHeight="1">
      <c r="A5098" t="s" s="2">
        <v>9547</v>
      </c>
      <c r="B5098" s="4">
        <v>40722</v>
      </c>
      <c r="C5098" s="5">
        <v>11</v>
      </c>
      <c r="D5098" s="5">
        <v>13</v>
      </c>
      <c r="E5098" s="5">
        <v>18.2</v>
      </c>
      <c r="F5098" t="s" s="2">
        <v>9526</v>
      </c>
      <c r="G5098" t="s" s="2">
        <v>9527</v>
      </c>
      <c r="H5098" s="5">
        <v>740</v>
      </c>
      <c r="I5098" t="s" s="2">
        <v>899</v>
      </c>
      <c r="J5098" t="s" s="2">
        <v>9204</v>
      </c>
      <c r="K5098" s="6"/>
      <c r="L5098" s="6"/>
      <c r="M5098" s="5">
        <v>548288.9399999999</v>
      </c>
      <c r="N5098" s="5">
        <v>6227572.61</v>
      </c>
      <c r="O5098" t="s" s="2">
        <v>305</v>
      </c>
      <c r="P5098" s="6"/>
      <c r="Q5098" t="s" s="2">
        <v>9528</v>
      </c>
      <c r="R5098" s="5">
        <f>_xlfn.IFERROR(INDEX('model_byCAP'!$D$2:$D$377,MATCH(Q5098,'model_byCAP'!$A$2:$A$377,0)),0)</f>
        <v>0</v>
      </c>
    </row>
    <row r="5099" ht="15.35" customHeight="1">
      <c r="A5099" t="s" s="2">
        <v>9548</v>
      </c>
      <c r="B5099" s="4">
        <v>40890</v>
      </c>
      <c r="C5099" s="5">
        <v>11</v>
      </c>
      <c r="D5099" s="5">
        <v>13</v>
      </c>
      <c r="E5099" s="5">
        <v>19</v>
      </c>
      <c r="F5099" t="s" s="2">
        <v>42</v>
      </c>
      <c r="G5099" t="s" s="2">
        <v>42</v>
      </c>
      <c r="H5099" s="5">
        <v>740</v>
      </c>
      <c r="I5099" t="s" s="2">
        <v>899</v>
      </c>
      <c r="J5099" t="s" s="2">
        <v>9204</v>
      </c>
      <c r="K5099" s="6"/>
      <c r="L5099" s="6"/>
      <c r="M5099" s="5">
        <v>529244.2</v>
      </c>
      <c r="N5099" s="5">
        <v>6231229.42</v>
      </c>
      <c r="O5099" t="s" s="2">
        <v>305</v>
      </c>
      <c r="P5099" s="6"/>
      <c r="Q5099" t="s" s="2">
        <v>43</v>
      </c>
      <c r="R5099" s="5">
        <f>_xlfn.IFERROR(INDEX('model_byCAP'!$D$2:$D$377,MATCH(Q5099,'model_byCAP'!$A$2:$A$377,0)),0)</f>
        <v>0</v>
      </c>
    </row>
    <row r="5100" ht="15.35" customHeight="1">
      <c r="A5100" t="s" s="2">
        <v>9549</v>
      </c>
      <c r="B5100" s="4">
        <v>36278</v>
      </c>
      <c r="C5100" s="5">
        <v>11</v>
      </c>
      <c r="D5100" s="5">
        <v>13</v>
      </c>
      <c r="E5100" s="5">
        <v>18.3</v>
      </c>
      <c r="F5100" t="s" s="2">
        <v>42</v>
      </c>
      <c r="G5100" t="s" s="2">
        <v>42</v>
      </c>
      <c r="H5100" s="5">
        <v>741</v>
      </c>
      <c r="I5100" t="s" s="2">
        <v>2306</v>
      </c>
      <c r="J5100" t="s" s="2">
        <v>9204</v>
      </c>
      <c r="K5100" s="6"/>
      <c r="L5100" s="6"/>
      <c r="M5100" s="5">
        <v>599931.88</v>
      </c>
      <c r="N5100" s="5">
        <v>6189582.96</v>
      </c>
      <c r="O5100" t="s" s="2">
        <v>305</v>
      </c>
      <c r="P5100" s="6"/>
      <c r="Q5100" t="s" s="2">
        <v>43</v>
      </c>
      <c r="R5100" s="5">
        <f>_xlfn.IFERROR(INDEX('model_byCAP'!$D$2:$D$377,MATCH(Q5100,'model_byCAP'!$A$2:$A$377,0)),0)</f>
        <v>0</v>
      </c>
    </row>
    <row r="5101" ht="15.35" customHeight="1">
      <c r="A5101" t="s" s="2">
        <v>9550</v>
      </c>
      <c r="B5101" s="4">
        <v>37344</v>
      </c>
      <c r="C5101" s="5">
        <v>11</v>
      </c>
      <c r="D5101" s="5">
        <v>12</v>
      </c>
      <c r="E5101" s="5">
        <v>18.5</v>
      </c>
      <c r="F5101" t="s" s="2">
        <v>42</v>
      </c>
      <c r="G5101" t="s" s="2">
        <v>42</v>
      </c>
      <c r="H5101" s="5">
        <v>751</v>
      </c>
      <c r="I5101" t="s" s="2">
        <v>4849</v>
      </c>
      <c r="J5101" t="s" s="2">
        <v>9204</v>
      </c>
      <c r="K5101" s="6"/>
      <c r="L5101" s="6"/>
      <c r="M5101" s="5">
        <v>579074.76</v>
      </c>
      <c r="N5101" s="5">
        <v>6237801.91</v>
      </c>
      <c r="O5101" t="s" s="2">
        <v>305</v>
      </c>
      <c r="P5101" s="6"/>
      <c r="Q5101" t="s" s="2">
        <v>43</v>
      </c>
      <c r="R5101" s="5">
        <f>_xlfn.IFERROR(INDEX('model_byCAP'!$D$2:$D$377,MATCH(Q5101,'model_byCAP'!$A$2:$A$377,0)),0)</f>
        <v>0</v>
      </c>
    </row>
    <row r="5102" ht="15.35" customHeight="1">
      <c r="A5102" t="s" s="2">
        <v>9551</v>
      </c>
      <c r="B5102" s="4">
        <v>40087</v>
      </c>
      <c r="C5102" s="5">
        <v>11</v>
      </c>
      <c r="D5102" s="5">
        <v>13</v>
      </c>
      <c r="E5102" s="5">
        <v>18</v>
      </c>
      <c r="F5102" t="s" s="2">
        <v>42</v>
      </c>
      <c r="G5102" t="s" s="2">
        <v>42</v>
      </c>
      <c r="H5102" s="5">
        <v>751</v>
      </c>
      <c r="I5102" t="s" s="2">
        <v>4849</v>
      </c>
      <c r="J5102" t="s" s="2">
        <v>9204</v>
      </c>
      <c r="K5102" s="6"/>
      <c r="L5102" s="6"/>
      <c r="M5102" s="5">
        <v>570697.09</v>
      </c>
      <c r="N5102" s="5">
        <v>6209403.56</v>
      </c>
      <c r="O5102" t="s" s="2">
        <v>305</v>
      </c>
      <c r="P5102" s="6"/>
      <c r="Q5102" t="s" s="2">
        <v>43</v>
      </c>
      <c r="R5102" s="5">
        <f>_xlfn.IFERROR(INDEX('model_byCAP'!$D$2:$D$377,MATCH(Q5102,'model_byCAP'!$A$2:$A$377,0)),0)</f>
        <v>0</v>
      </c>
    </row>
    <row r="5103" ht="15.35" customHeight="1">
      <c r="A5103" t="s" s="2">
        <v>9552</v>
      </c>
      <c r="B5103" s="4">
        <v>36116</v>
      </c>
      <c r="C5103" s="5">
        <v>11</v>
      </c>
      <c r="D5103" s="5">
        <v>13</v>
      </c>
      <c r="E5103" s="5">
        <v>18</v>
      </c>
      <c r="F5103" t="s" s="2">
        <v>42</v>
      </c>
      <c r="G5103" t="s" s="2">
        <v>42</v>
      </c>
      <c r="H5103" s="5">
        <v>756</v>
      </c>
      <c r="I5103" t="s" s="2">
        <v>456</v>
      </c>
      <c r="J5103" t="s" s="2">
        <v>9204</v>
      </c>
      <c r="K5103" s="6"/>
      <c r="L5103" s="6"/>
      <c r="M5103" s="5">
        <v>521958.51</v>
      </c>
      <c r="N5103" s="5">
        <v>6203850.37</v>
      </c>
      <c r="O5103" t="s" s="2">
        <v>305</v>
      </c>
      <c r="P5103" s="6"/>
      <c r="Q5103" t="s" s="2">
        <v>43</v>
      </c>
      <c r="R5103" s="5">
        <f>_xlfn.IFERROR(INDEX('model_byCAP'!$D$2:$D$377,MATCH(Q5103,'model_byCAP'!$A$2:$A$377,0)),0)</f>
        <v>0</v>
      </c>
    </row>
    <row r="5104" ht="15.35" customHeight="1">
      <c r="A5104" t="s" s="2">
        <v>9553</v>
      </c>
      <c r="B5104" s="4">
        <v>35593</v>
      </c>
      <c r="C5104" s="5">
        <v>11</v>
      </c>
      <c r="D5104" s="5">
        <v>13</v>
      </c>
      <c r="E5104" s="5">
        <v>18</v>
      </c>
      <c r="F5104" t="s" s="2">
        <v>42</v>
      </c>
      <c r="G5104" t="s" s="2">
        <v>42</v>
      </c>
      <c r="H5104" s="5">
        <v>756</v>
      </c>
      <c r="I5104" t="s" s="2">
        <v>456</v>
      </c>
      <c r="J5104" t="s" s="2">
        <v>9204</v>
      </c>
      <c r="K5104" s="6"/>
      <c r="L5104" s="6"/>
      <c r="M5104" s="5">
        <v>520758.98</v>
      </c>
      <c r="N5104" s="5">
        <v>6203579.68</v>
      </c>
      <c r="O5104" t="s" s="2">
        <v>305</v>
      </c>
      <c r="P5104" s="6"/>
      <c r="Q5104" t="s" s="2">
        <v>43</v>
      </c>
      <c r="R5104" s="5">
        <f>_xlfn.IFERROR(INDEX('model_byCAP'!$D$2:$D$377,MATCH(Q5104,'model_byCAP'!$A$2:$A$377,0)),0)</f>
        <v>0</v>
      </c>
    </row>
    <row r="5105" ht="15.35" customHeight="1">
      <c r="A5105" t="s" s="2">
        <v>9554</v>
      </c>
      <c r="B5105" s="4">
        <v>40756</v>
      </c>
      <c r="C5105" s="5">
        <v>11</v>
      </c>
      <c r="D5105" s="5">
        <v>13</v>
      </c>
      <c r="E5105" s="5">
        <v>18</v>
      </c>
      <c r="F5105" t="s" s="2">
        <v>42</v>
      </c>
      <c r="G5105" t="s" s="2">
        <v>42</v>
      </c>
      <c r="H5105" s="5">
        <v>756</v>
      </c>
      <c r="I5105" t="s" s="2">
        <v>456</v>
      </c>
      <c r="J5105" t="s" s="2">
        <v>9204</v>
      </c>
      <c r="K5105" s="6"/>
      <c r="L5105" s="6"/>
      <c r="M5105" s="5">
        <v>527891.88</v>
      </c>
      <c r="N5105" s="5">
        <v>6203757.48</v>
      </c>
      <c r="O5105" t="s" s="2">
        <v>305</v>
      </c>
      <c r="P5105" s="6"/>
      <c r="Q5105" t="s" s="2">
        <v>43</v>
      </c>
      <c r="R5105" s="5">
        <f>_xlfn.IFERROR(INDEX('model_byCAP'!$D$2:$D$377,MATCH(Q5105,'model_byCAP'!$A$2:$A$377,0)),0)</f>
        <v>0</v>
      </c>
    </row>
    <row r="5106" ht="15.35" customHeight="1">
      <c r="A5106" t="s" s="2">
        <v>9555</v>
      </c>
      <c r="B5106" s="4">
        <v>40892</v>
      </c>
      <c r="C5106" s="5">
        <v>11</v>
      </c>
      <c r="D5106" s="5">
        <v>13</v>
      </c>
      <c r="E5106" s="5">
        <v>18.2</v>
      </c>
      <c r="F5106" t="s" s="2">
        <v>42</v>
      </c>
      <c r="G5106" t="s" s="2">
        <v>42</v>
      </c>
      <c r="H5106" s="5">
        <v>756</v>
      </c>
      <c r="I5106" t="s" s="2">
        <v>456</v>
      </c>
      <c r="J5106" t="s" s="2">
        <v>9204</v>
      </c>
      <c r="K5106" s="6"/>
      <c r="L5106" s="6"/>
      <c r="M5106" s="5">
        <v>513522.16</v>
      </c>
      <c r="N5106" s="5">
        <v>6221666.02</v>
      </c>
      <c r="O5106" t="s" s="2">
        <v>305</v>
      </c>
      <c r="P5106" s="6"/>
      <c r="Q5106" t="s" s="2">
        <v>43</v>
      </c>
      <c r="R5106" s="5">
        <f>_xlfn.IFERROR(INDEX('model_byCAP'!$D$2:$D$377,MATCH(Q5106,'model_byCAP'!$A$2:$A$377,0)),0)</f>
        <v>0</v>
      </c>
    </row>
    <row r="5107" ht="15.35" customHeight="1">
      <c r="A5107" t="s" s="2">
        <v>9556</v>
      </c>
      <c r="B5107" s="4">
        <v>41872</v>
      </c>
      <c r="C5107" s="5">
        <v>11</v>
      </c>
      <c r="D5107" s="5">
        <v>13</v>
      </c>
      <c r="E5107" s="5">
        <v>18.2</v>
      </c>
      <c r="F5107" t="s" s="2">
        <v>42</v>
      </c>
      <c r="G5107" t="s" s="2">
        <v>42</v>
      </c>
      <c r="H5107" s="5">
        <v>756</v>
      </c>
      <c r="I5107" t="s" s="2">
        <v>456</v>
      </c>
      <c r="J5107" t="s" s="2">
        <v>9204</v>
      </c>
      <c r="K5107" s="6"/>
      <c r="L5107" s="6"/>
      <c r="M5107" s="6"/>
      <c r="N5107" s="6"/>
      <c r="O5107" t="s" s="2">
        <v>25</v>
      </c>
      <c r="P5107" s="6"/>
      <c r="Q5107" t="s" s="2">
        <v>43</v>
      </c>
      <c r="R5107" s="5">
        <f>_xlfn.IFERROR(INDEX('model_byCAP'!$D$2:$D$377,MATCH(Q5107,'model_byCAP'!$A$2:$A$377,0)),0)</f>
        <v>0</v>
      </c>
    </row>
    <row r="5108" ht="15.35" customHeight="1">
      <c r="A5108" t="s" s="2">
        <v>9557</v>
      </c>
      <c r="B5108" s="4">
        <v>35349</v>
      </c>
      <c r="C5108" s="5">
        <v>11</v>
      </c>
      <c r="D5108" s="5">
        <v>13</v>
      </c>
      <c r="E5108" s="5">
        <v>18</v>
      </c>
      <c r="F5108" t="s" s="2">
        <v>42</v>
      </c>
      <c r="G5108" t="s" s="2">
        <v>42</v>
      </c>
      <c r="H5108" s="5">
        <v>760</v>
      </c>
      <c r="I5108" t="s" s="2">
        <v>331</v>
      </c>
      <c r="J5108" t="s" s="2">
        <v>9204</v>
      </c>
      <c r="K5108" s="6"/>
      <c r="L5108" s="6"/>
      <c r="M5108" s="5">
        <v>462033.58</v>
      </c>
      <c r="N5108" s="5">
        <v>6185654.57</v>
      </c>
      <c r="O5108" t="s" s="2">
        <v>305</v>
      </c>
      <c r="P5108" s="6"/>
      <c r="Q5108" t="s" s="2">
        <v>43</v>
      </c>
      <c r="R5108" s="5">
        <f>_xlfn.IFERROR(INDEX('model_byCAP'!$D$2:$D$377,MATCH(Q5108,'model_byCAP'!$A$2:$A$377,0)),0)</f>
        <v>0</v>
      </c>
    </row>
    <row r="5109" ht="15.35" customHeight="1">
      <c r="A5109" t="s" s="2">
        <v>9558</v>
      </c>
      <c r="B5109" s="4">
        <v>39387</v>
      </c>
      <c r="C5109" s="5">
        <v>11</v>
      </c>
      <c r="D5109" s="5">
        <v>13</v>
      </c>
      <c r="E5109" s="5">
        <v>18</v>
      </c>
      <c r="F5109" t="s" s="2">
        <v>42</v>
      </c>
      <c r="G5109" t="s" s="2">
        <v>42</v>
      </c>
      <c r="H5109" s="5">
        <v>760</v>
      </c>
      <c r="I5109" t="s" s="2">
        <v>331</v>
      </c>
      <c r="J5109" t="s" s="2">
        <v>9204</v>
      </c>
      <c r="K5109" s="6"/>
      <c r="L5109" s="6"/>
      <c r="M5109" s="5">
        <v>457840.79</v>
      </c>
      <c r="N5109" s="5">
        <v>6212245.38</v>
      </c>
      <c r="O5109" t="s" s="2">
        <v>305</v>
      </c>
      <c r="P5109" s="6"/>
      <c r="Q5109" t="s" s="2">
        <v>43</v>
      </c>
      <c r="R5109" s="5">
        <f>_xlfn.IFERROR(INDEX('model_byCAP'!$D$2:$D$377,MATCH(Q5109,'model_byCAP'!$A$2:$A$377,0)),0)</f>
        <v>0</v>
      </c>
    </row>
    <row r="5110" ht="15.35" customHeight="1">
      <c r="A5110" t="s" s="2">
        <v>9559</v>
      </c>
      <c r="B5110" s="4">
        <v>35671</v>
      </c>
      <c r="C5110" s="5">
        <v>11</v>
      </c>
      <c r="D5110" s="5">
        <v>13</v>
      </c>
      <c r="E5110" s="5">
        <v>18.2</v>
      </c>
      <c r="F5110" t="s" s="2">
        <v>42</v>
      </c>
      <c r="G5110" t="s" s="2">
        <v>42</v>
      </c>
      <c r="H5110" s="5">
        <v>766</v>
      </c>
      <c r="I5110" t="s" s="2">
        <v>3363</v>
      </c>
      <c r="J5110" t="s" s="2">
        <v>9204</v>
      </c>
      <c r="K5110" s="6"/>
      <c r="L5110" s="6"/>
      <c r="M5110" s="5">
        <v>532733.59</v>
      </c>
      <c r="N5110" s="5">
        <v>6182965.22</v>
      </c>
      <c r="O5110" t="s" s="2">
        <v>305</v>
      </c>
      <c r="P5110" s="6"/>
      <c r="Q5110" t="s" s="2">
        <v>43</v>
      </c>
      <c r="R5110" s="5">
        <f>_xlfn.IFERROR(INDEX('model_byCAP'!$D$2:$D$377,MATCH(Q5110,'model_byCAP'!$A$2:$A$377,0)),0)</f>
        <v>0</v>
      </c>
    </row>
    <row r="5111" ht="15.35" customHeight="1">
      <c r="A5111" t="s" s="2">
        <v>9560</v>
      </c>
      <c r="B5111" s="4">
        <v>39407</v>
      </c>
      <c r="C5111" s="5">
        <v>11</v>
      </c>
      <c r="D5111" s="5">
        <v>13</v>
      </c>
      <c r="E5111" s="5">
        <v>18.2</v>
      </c>
      <c r="F5111" t="s" s="2">
        <v>42</v>
      </c>
      <c r="G5111" t="s" s="2">
        <v>42</v>
      </c>
      <c r="H5111" s="5">
        <v>766</v>
      </c>
      <c r="I5111" t="s" s="2">
        <v>3363</v>
      </c>
      <c r="J5111" t="s" s="2">
        <v>9204</v>
      </c>
      <c r="K5111" s="6"/>
      <c r="L5111" s="6"/>
      <c r="M5111" s="5">
        <v>539201.3</v>
      </c>
      <c r="N5111" s="5">
        <v>6194448.56</v>
      </c>
      <c r="O5111" t="s" s="2">
        <v>305</v>
      </c>
      <c r="P5111" s="6"/>
      <c r="Q5111" t="s" s="2">
        <v>43</v>
      </c>
      <c r="R5111" s="5">
        <f>_xlfn.IFERROR(INDEX('model_byCAP'!$D$2:$D$377,MATCH(Q5111,'model_byCAP'!$A$2:$A$377,0)),0)</f>
        <v>0</v>
      </c>
    </row>
    <row r="5112" ht="15.35" customHeight="1">
      <c r="A5112" t="s" s="2">
        <v>9561</v>
      </c>
      <c r="B5112" s="4">
        <v>39441</v>
      </c>
      <c r="C5112" s="5">
        <v>11</v>
      </c>
      <c r="D5112" s="5">
        <v>13</v>
      </c>
      <c r="E5112" s="5">
        <v>18.2</v>
      </c>
      <c r="F5112" t="s" s="2">
        <v>42</v>
      </c>
      <c r="G5112" t="s" s="2">
        <v>42</v>
      </c>
      <c r="H5112" s="5">
        <v>766</v>
      </c>
      <c r="I5112" t="s" s="2">
        <v>3363</v>
      </c>
      <c r="J5112" t="s" s="2">
        <v>9204</v>
      </c>
      <c r="K5112" s="6"/>
      <c r="L5112" s="6"/>
      <c r="M5112" s="5">
        <v>535811.09</v>
      </c>
      <c r="N5112" s="5">
        <v>6190240.91</v>
      </c>
      <c r="O5112" t="s" s="2">
        <v>305</v>
      </c>
      <c r="P5112" s="6"/>
      <c r="Q5112" t="s" s="2">
        <v>43</v>
      </c>
      <c r="R5112" s="5">
        <f>_xlfn.IFERROR(INDEX('model_byCAP'!$D$2:$D$377,MATCH(Q5112,'model_byCAP'!$A$2:$A$377,0)),0)</f>
        <v>0</v>
      </c>
    </row>
    <row r="5113" ht="15.35" customHeight="1">
      <c r="A5113" t="s" s="2">
        <v>9562</v>
      </c>
      <c r="B5113" s="4">
        <v>39615</v>
      </c>
      <c r="C5113" s="5">
        <v>11</v>
      </c>
      <c r="D5113" s="5">
        <v>13</v>
      </c>
      <c r="E5113" s="5">
        <v>18.2</v>
      </c>
      <c r="F5113" t="s" s="2">
        <v>9526</v>
      </c>
      <c r="G5113" t="s" s="2">
        <v>9527</v>
      </c>
      <c r="H5113" s="5">
        <v>766</v>
      </c>
      <c r="I5113" t="s" s="2">
        <v>3363</v>
      </c>
      <c r="J5113" t="s" s="2">
        <v>9204</v>
      </c>
      <c r="K5113" s="6"/>
      <c r="L5113" s="6"/>
      <c r="M5113" s="5">
        <v>554906.33</v>
      </c>
      <c r="N5113" s="5">
        <v>6178792.44</v>
      </c>
      <c r="O5113" t="s" s="2">
        <v>305</v>
      </c>
      <c r="P5113" s="6"/>
      <c r="Q5113" t="s" s="2">
        <v>9528</v>
      </c>
      <c r="R5113" s="5">
        <f>_xlfn.IFERROR(INDEX('model_byCAP'!$D$2:$D$377,MATCH(Q5113,'model_byCAP'!$A$2:$A$377,0)),0)</f>
        <v>0</v>
      </c>
    </row>
    <row r="5114" ht="15.35" customHeight="1">
      <c r="A5114" t="s" s="2">
        <v>9563</v>
      </c>
      <c r="B5114" s="4">
        <v>36690</v>
      </c>
      <c r="C5114" s="5">
        <v>11</v>
      </c>
      <c r="D5114" s="5">
        <v>13</v>
      </c>
      <c r="E5114" s="5">
        <v>15</v>
      </c>
      <c r="F5114" t="s" s="2">
        <v>42</v>
      </c>
      <c r="G5114" t="s" s="2">
        <v>42</v>
      </c>
      <c r="H5114" s="5">
        <v>773</v>
      </c>
      <c r="I5114" t="s" s="2">
        <v>1648</v>
      </c>
      <c r="J5114" t="s" s="2">
        <v>9204</v>
      </c>
      <c r="K5114" s="6"/>
      <c r="L5114" s="6"/>
      <c r="M5114" s="5">
        <v>479332.56</v>
      </c>
      <c r="N5114" s="5">
        <v>6300726.93</v>
      </c>
      <c r="O5114" t="s" s="2">
        <v>305</v>
      </c>
      <c r="P5114" s="6"/>
      <c r="Q5114" t="s" s="2">
        <v>43</v>
      </c>
      <c r="R5114" s="5">
        <f>_xlfn.IFERROR(INDEX('model_byCAP'!$D$2:$D$377,MATCH(Q5114,'model_byCAP'!$A$2:$A$377,0)),0)</f>
        <v>0</v>
      </c>
    </row>
    <row r="5115" ht="15.35" customHeight="1">
      <c r="A5115" t="s" s="2">
        <v>9564</v>
      </c>
      <c r="B5115" s="4">
        <v>41446</v>
      </c>
      <c r="C5115" s="5">
        <v>11</v>
      </c>
      <c r="D5115" s="5">
        <v>13</v>
      </c>
      <c r="E5115" s="5">
        <v>18</v>
      </c>
      <c r="F5115" t="s" s="2">
        <v>42</v>
      </c>
      <c r="G5115" t="s" s="2">
        <v>42</v>
      </c>
      <c r="H5115" s="5">
        <v>779</v>
      </c>
      <c r="I5115" t="s" s="2">
        <v>1308</v>
      </c>
      <c r="J5115" t="s" s="2">
        <v>9204</v>
      </c>
      <c r="K5115" s="6"/>
      <c r="L5115" s="6"/>
      <c r="M5115" s="6"/>
      <c r="N5115" s="6"/>
      <c r="O5115" t="s" s="2">
        <v>25</v>
      </c>
      <c r="P5115" s="6"/>
      <c r="Q5115" t="s" s="2">
        <v>43</v>
      </c>
      <c r="R5115" s="5">
        <f>_xlfn.IFERROR(INDEX('model_byCAP'!$D$2:$D$377,MATCH(Q5115,'model_byCAP'!$A$2:$A$377,0)),0)</f>
        <v>0</v>
      </c>
    </row>
    <row r="5116" ht="15.35" customHeight="1">
      <c r="A5116" t="s" s="2">
        <v>9565</v>
      </c>
      <c r="B5116" s="4">
        <v>37725</v>
      </c>
      <c r="C5116" s="5">
        <v>11</v>
      </c>
      <c r="D5116" s="5">
        <v>13</v>
      </c>
      <c r="E5116" s="5">
        <v>18.3</v>
      </c>
      <c r="F5116" t="s" s="2">
        <v>42</v>
      </c>
      <c r="G5116" t="s" s="2">
        <v>42</v>
      </c>
      <c r="H5116" s="5">
        <v>183</v>
      </c>
      <c r="I5116" t="s" s="2">
        <v>9566</v>
      </c>
      <c r="J5116" t="s" s="2">
        <v>9204</v>
      </c>
      <c r="K5116" s="6"/>
      <c r="L5116" s="6"/>
      <c r="M5116" s="5">
        <v>705619.6800000001</v>
      </c>
      <c r="N5116" s="5">
        <v>6169598.06</v>
      </c>
      <c r="O5116" t="s" s="2">
        <v>305</v>
      </c>
      <c r="P5116" s="6"/>
      <c r="Q5116" t="s" s="2">
        <v>43</v>
      </c>
      <c r="R5116" s="5">
        <f>_xlfn.IFERROR(INDEX('model_byCAP'!$D$2:$D$377,MATCH(Q5116,'model_byCAP'!$A$2:$A$377,0)),0)</f>
        <v>0</v>
      </c>
    </row>
    <row r="5117" ht="15.35" customHeight="1">
      <c r="A5117" t="s" s="2">
        <v>9567</v>
      </c>
      <c r="B5117" s="4">
        <v>37503</v>
      </c>
      <c r="C5117" s="5">
        <v>11</v>
      </c>
      <c r="D5117" s="5">
        <v>13</v>
      </c>
      <c r="E5117" s="5">
        <v>15</v>
      </c>
      <c r="F5117" t="s" s="2">
        <v>42</v>
      </c>
      <c r="G5117" t="s" s="2">
        <v>42</v>
      </c>
      <c r="H5117" s="5">
        <v>201</v>
      </c>
      <c r="I5117" t="s" s="2">
        <v>2804</v>
      </c>
      <c r="J5117" t="s" s="2">
        <v>9204</v>
      </c>
      <c r="K5117" s="6"/>
      <c r="L5117" s="6"/>
      <c r="M5117" s="5">
        <v>706559.9</v>
      </c>
      <c r="N5117" s="5">
        <v>6193645.96</v>
      </c>
      <c r="O5117" t="s" s="2">
        <v>305</v>
      </c>
      <c r="P5117" s="6"/>
      <c r="Q5117" t="s" s="2">
        <v>43</v>
      </c>
      <c r="R5117" s="5">
        <f>_xlfn.IFERROR(INDEX('model_byCAP'!$D$2:$D$377,MATCH(Q5117,'model_byCAP'!$A$2:$A$377,0)),0)</f>
        <v>0</v>
      </c>
    </row>
    <row r="5118" ht="15.35" customHeight="1">
      <c r="A5118" t="s" s="2">
        <v>9568</v>
      </c>
      <c r="B5118" s="4">
        <v>39468</v>
      </c>
      <c r="C5118" s="5">
        <v>11</v>
      </c>
      <c r="D5118" s="5">
        <v>13</v>
      </c>
      <c r="E5118" s="5">
        <v>18</v>
      </c>
      <c r="F5118" t="s" s="2">
        <v>42</v>
      </c>
      <c r="G5118" t="s" s="2">
        <v>42</v>
      </c>
      <c r="H5118" s="5">
        <v>201</v>
      </c>
      <c r="I5118" t="s" s="2">
        <v>2804</v>
      </c>
      <c r="J5118" t="s" s="2">
        <v>9204</v>
      </c>
      <c r="K5118" s="6"/>
      <c r="L5118" s="6"/>
      <c r="M5118" s="5">
        <v>704521.84</v>
      </c>
      <c r="N5118" s="5">
        <v>6194560.34</v>
      </c>
      <c r="O5118" t="s" s="2">
        <v>305</v>
      </c>
      <c r="P5118" s="6"/>
      <c r="Q5118" t="s" s="2">
        <v>43</v>
      </c>
      <c r="R5118" s="5">
        <f>_xlfn.IFERROR(INDEX('model_byCAP'!$D$2:$D$377,MATCH(Q5118,'model_byCAP'!$A$2:$A$377,0)),0)</f>
        <v>0</v>
      </c>
    </row>
    <row r="5119" ht="15.35" customHeight="1">
      <c r="A5119" t="s" s="2">
        <v>9569</v>
      </c>
      <c r="B5119" s="4">
        <v>40909</v>
      </c>
      <c r="C5119" s="5">
        <v>11</v>
      </c>
      <c r="D5119" s="5">
        <v>13</v>
      </c>
      <c r="E5119" s="5">
        <v>18</v>
      </c>
      <c r="F5119" t="s" s="2">
        <v>42</v>
      </c>
      <c r="G5119" t="s" s="2">
        <v>42</v>
      </c>
      <c r="H5119" s="5">
        <v>217</v>
      </c>
      <c r="I5119" t="s" s="2">
        <v>9328</v>
      </c>
      <c r="J5119" t="s" s="2">
        <v>9204</v>
      </c>
      <c r="K5119" s="6"/>
      <c r="L5119" s="6"/>
      <c r="M5119" s="5">
        <v>717509.35</v>
      </c>
      <c r="N5119" s="5">
        <v>6218205.44</v>
      </c>
      <c r="O5119" t="s" s="2">
        <v>305</v>
      </c>
      <c r="P5119" s="6"/>
      <c r="Q5119" t="s" s="2">
        <v>43</v>
      </c>
      <c r="R5119" s="5">
        <f>_xlfn.IFERROR(INDEX('model_byCAP'!$D$2:$D$377,MATCH(Q5119,'model_byCAP'!$A$2:$A$377,0)),0)</f>
        <v>0</v>
      </c>
    </row>
    <row r="5120" ht="15.35" customHeight="1">
      <c r="A5120" t="s" s="2">
        <v>9570</v>
      </c>
      <c r="B5120" s="4">
        <v>37260</v>
      </c>
      <c r="C5120" s="5">
        <v>11</v>
      </c>
      <c r="D5120" s="5">
        <v>13</v>
      </c>
      <c r="E5120" s="5">
        <v>18</v>
      </c>
      <c r="F5120" t="s" s="2">
        <v>42</v>
      </c>
      <c r="G5120" t="s" s="2">
        <v>42</v>
      </c>
      <c r="H5120" s="5">
        <v>253</v>
      </c>
      <c r="I5120" t="s" s="2">
        <v>7927</v>
      </c>
      <c r="J5120" t="s" s="2">
        <v>9204</v>
      </c>
      <c r="K5120" s="6"/>
      <c r="L5120" s="6"/>
      <c r="M5120" s="5">
        <v>702289.3</v>
      </c>
      <c r="N5120" s="5">
        <v>6165768.11</v>
      </c>
      <c r="O5120" t="s" s="2">
        <v>305</v>
      </c>
      <c r="P5120" s="6"/>
      <c r="Q5120" t="s" s="2">
        <v>43</v>
      </c>
      <c r="R5120" s="5">
        <f>_xlfn.IFERROR(INDEX('model_byCAP'!$D$2:$D$377,MATCH(Q5120,'model_byCAP'!$A$2:$A$377,0)),0)</f>
        <v>0</v>
      </c>
    </row>
    <row r="5121" ht="15.35" customHeight="1">
      <c r="A5121" t="s" s="2">
        <v>9571</v>
      </c>
      <c r="B5121" s="4">
        <v>30451</v>
      </c>
      <c r="C5121" s="5">
        <v>11</v>
      </c>
      <c r="D5121" s="5">
        <v>8.6</v>
      </c>
      <c r="E5121" s="5">
        <v>12.5</v>
      </c>
      <c r="F5121" t="s" s="2">
        <v>42</v>
      </c>
      <c r="G5121" t="s" s="2">
        <v>42</v>
      </c>
      <c r="H5121" s="5">
        <v>787</v>
      </c>
      <c r="I5121" t="s" s="2">
        <v>21</v>
      </c>
      <c r="J5121" t="s" s="2">
        <v>9204</v>
      </c>
      <c r="K5121" s="6"/>
      <c r="L5121" s="6"/>
      <c r="M5121" s="5">
        <v>463110.41</v>
      </c>
      <c r="N5121" s="5">
        <v>6291929.46</v>
      </c>
      <c r="O5121" t="s" s="2">
        <v>305</v>
      </c>
      <c r="P5121" s="6"/>
      <c r="Q5121" t="s" s="2">
        <v>43</v>
      </c>
      <c r="R5121" s="5">
        <f>_xlfn.IFERROR(INDEX('model_byCAP'!$D$2:$D$377,MATCH(Q5121,'model_byCAP'!$A$2:$A$377,0)),0)</f>
        <v>0</v>
      </c>
    </row>
    <row r="5122" ht="15.35" customHeight="1">
      <c r="A5122" t="s" s="2">
        <v>9572</v>
      </c>
      <c r="B5122" s="4">
        <v>40779</v>
      </c>
      <c r="C5122" s="5">
        <v>11</v>
      </c>
      <c r="D5122" s="5">
        <v>13</v>
      </c>
      <c r="E5122" s="5">
        <v>18</v>
      </c>
      <c r="F5122" t="s" s="2">
        <v>42</v>
      </c>
      <c r="G5122" t="s" s="2">
        <v>42</v>
      </c>
      <c r="H5122" s="5">
        <v>265</v>
      </c>
      <c r="I5122" t="s" s="2">
        <v>3920</v>
      </c>
      <c r="J5122" t="s" s="2">
        <v>9204</v>
      </c>
      <c r="K5122" s="6"/>
      <c r="L5122" s="6"/>
      <c r="M5122" s="5">
        <v>696406.2</v>
      </c>
      <c r="N5122" s="5">
        <v>6173990.7</v>
      </c>
      <c r="O5122" t="s" s="2">
        <v>305</v>
      </c>
      <c r="P5122" s="6"/>
      <c r="Q5122" t="s" s="2">
        <v>43</v>
      </c>
      <c r="R5122" s="5">
        <f>_xlfn.IFERROR(INDEX('model_byCAP'!$D$2:$D$377,MATCH(Q5122,'model_byCAP'!$A$2:$A$377,0)),0)</f>
        <v>0</v>
      </c>
    </row>
    <row r="5123" ht="15.35" customHeight="1">
      <c r="A5123" t="s" s="2">
        <v>9573</v>
      </c>
      <c r="B5123" s="4">
        <v>35704</v>
      </c>
      <c r="C5123" s="5">
        <v>11</v>
      </c>
      <c r="D5123" s="5">
        <v>13</v>
      </c>
      <c r="E5123" s="5">
        <v>18</v>
      </c>
      <c r="F5123" t="s" s="2">
        <v>42</v>
      </c>
      <c r="G5123" t="s" s="2">
        <v>42</v>
      </c>
      <c r="H5123" s="5">
        <v>269</v>
      </c>
      <c r="I5123" t="s" s="2">
        <v>7947</v>
      </c>
      <c r="J5123" t="s" s="2">
        <v>9204</v>
      </c>
      <c r="K5123" s="6"/>
      <c r="L5123" s="6"/>
      <c r="M5123" s="5">
        <v>697437.29</v>
      </c>
      <c r="N5123" s="5">
        <v>6158890.39</v>
      </c>
      <c r="O5123" t="s" s="2">
        <v>305</v>
      </c>
      <c r="P5123" s="6"/>
      <c r="Q5123" t="s" s="2">
        <v>43</v>
      </c>
      <c r="R5123" s="5">
        <f>_xlfn.IFERROR(INDEX('model_byCAP'!$D$2:$D$377,MATCH(Q5123,'model_byCAP'!$A$2:$A$377,0)),0)</f>
        <v>0</v>
      </c>
    </row>
    <row r="5124" ht="15.35" customHeight="1">
      <c r="A5124" t="s" s="2">
        <v>9574</v>
      </c>
      <c r="B5124" s="4">
        <v>36152</v>
      </c>
      <c r="C5124" s="5">
        <v>11</v>
      </c>
      <c r="D5124" s="5">
        <v>13</v>
      </c>
      <c r="E5124" s="5">
        <v>18</v>
      </c>
      <c r="F5124" t="s" s="2">
        <v>42</v>
      </c>
      <c r="G5124" t="s" s="2">
        <v>42</v>
      </c>
      <c r="H5124" s="5">
        <v>306</v>
      </c>
      <c r="I5124" t="s" s="2">
        <v>5800</v>
      </c>
      <c r="J5124" t="s" s="2">
        <v>9204</v>
      </c>
      <c r="K5124" s="6"/>
      <c r="L5124" s="6"/>
      <c r="M5124" s="5">
        <v>660912.96</v>
      </c>
      <c r="N5124" s="5">
        <v>6197448.49</v>
      </c>
      <c r="O5124" t="s" s="2">
        <v>305</v>
      </c>
      <c r="P5124" s="6"/>
      <c r="Q5124" t="s" s="2">
        <v>43</v>
      </c>
      <c r="R5124" s="5">
        <f>_xlfn.IFERROR(INDEX('model_byCAP'!$D$2:$D$377,MATCH(Q5124,'model_byCAP'!$A$2:$A$377,0)),0)</f>
        <v>0</v>
      </c>
    </row>
    <row r="5125" ht="15.35" customHeight="1">
      <c r="A5125" t="s" s="2">
        <v>9575</v>
      </c>
      <c r="B5125" s="4">
        <v>36391</v>
      </c>
      <c r="C5125" s="5">
        <v>11</v>
      </c>
      <c r="D5125" s="5">
        <v>13</v>
      </c>
      <c r="E5125" s="5">
        <v>15.3</v>
      </c>
      <c r="F5125" t="s" s="2">
        <v>42</v>
      </c>
      <c r="G5125" t="s" s="2">
        <v>42</v>
      </c>
      <c r="H5125" s="5">
        <v>306</v>
      </c>
      <c r="I5125" t="s" s="2">
        <v>5800</v>
      </c>
      <c r="J5125" t="s" s="2">
        <v>9204</v>
      </c>
      <c r="K5125" s="6"/>
      <c r="L5125" s="6"/>
      <c r="M5125" s="5">
        <v>664763.37</v>
      </c>
      <c r="N5125" s="5">
        <v>6191065</v>
      </c>
      <c r="O5125" t="s" s="2">
        <v>305</v>
      </c>
      <c r="P5125" s="6"/>
      <c r="Q5125" t="s" s="2">
        <v>43</v>
      </c>
      <c r="R5125" s="5">
        <f>_xlfn.IFERROR(INDEX('model_byCAP'!$D$2:$D$377,MATCH(Q5125,'model_byCAP'!$A$2:$A$377,0)),0)</f>
        <v>0</v>
      </c>
    </row>
    <row r="5126" ht="15.35" customHeight="1">
      <c r="A5126" t="s" s="2">
        <v>9576</v>
      </c>
      <c r="B5126" s="4">
        <v>36425</v>
      </c>
      <c r="C5126" s="5">
        <v>11</v>
      </c>
      <c r="D5126" s="5">
        <v>13</v>
      </c>
      <c r="E5126" s="5">
        <v>18</v>
      </c>
      <c r="F5126" t="s" s="2">
        <v>42</v>
      </c>
      <c r="G5126" t="s" s="2">
        <v>42</v>
      </c>
      <c r="H5126" s="5">
        <v>306</v>
      </c>
      <c r="I5126" t="s" s="2">
        <v>5800</v>
      </c>
      <c r="J5126" t="s" s="2">
        <v>9204</v>
      </c>
      <c r="K5126" s="6"/>
      <c r="L5126" s="6"/>
      <c r="M5126" s="5">
        <v>658329.0600000001</v>
      </c>
      <c r="N5126" s="5">
        <v>6202155.18</v>
      </c>
      <c r="O5126" t="s" s="2">
        <v>305</v>
      </c>
      <c r="P5126" s="6"/>
      <c r="Q5126" t="s" s="2">
        <v>43</v>
      </c>
      <c r="R5126" s="5">
        <f>_xlfn.IFERROR(INDEX('model_byCAP'!$D$2:$D$377,MATCH(Q5126,'model_byCAP'!$A$2:$A$377,0)),0)</f>
        <v>0</v>
      </c>
    </row>
    <row r="5127" ht="15.35" customHeight="1">
      <c r="A5127" t="s" s="2">
        <v>9577</v>
      </c>
      <c r="B5127" s="4">
        <v>39744</v>
      </c>
      <c r="C5127" s="5">
        <v>11</v>
      </c>
      <c r="D5127" s="5">
        <v>13</v>
      </c>
      <c r="E5127" s="5">
        <v>18.2</v>
      </c>
      <c r="F5127" t="s" s="2">
        <v>42</v>
      </c>
      <c r="G5127" t="s" s="2">
        <v>42</v>
      </c>
      <c r="H5127" s="5">
        <v>787</v>
      </c>
      <c r="I5127" t="s" s="2">
        <v>21</v>
      </c>
      <c r="J5127" t="s" s="2">
        <v>9204</v>
      </c>
      <c r="K5127" s="6"/>
      <c r="L5127" s="6"/>
      <c r="M5127" s="5">
        <v>481620.49</v>
      </c>
      <c r="N5127" s="5">
        <v>6316004.37</v>
      </c>
      <c r="O5127" t="s" s="2">
        <v>305</v>
      </c>
      <c r="P5127" s="6"/>
      <c r="Q5127" t="s" s="2">
        <v>43</v>
      </c>
      <c r="R5127" s="5">
        <f>_xlfn.IFERROR(INDEX('model_byCAP'!$D$2:$D$377,MATCH(Q5127,'model_byCAP'!$A$2:$A$377,0)),0)</f>
        <v>0</v>
      </c>
    </row>
    <row r="5128" ht="15.35" customHeight="1">
      <c r="A5128" t="s" s="2">
        <v>9578</v>
      </c>
      <c r="B5128" s="4">
        <v>29609</v>
      </c>
      <c r="C5128" s="5">
        <v>11</v>
      </c>
      <c r="D5128" s="5">
        <v>10</v>
      </c>
      <c r="E5128" s="5">
        <v>16</v>
      </c>
      <c r="F5128" t="s" s="2">
        <v>42</v>
      </c>
      <c r="G5128" t="s" s="2">
        <v>42</v>
      </c>
      <c r="H5128" s="5">
        <v>791</v>
      </c>
      <c r="I5128" t="s" s="2">
        <v>1447</v>
      </c>
      <c r="J5128" t="s" s="2">
        <v>9204</v>
      </c>
      <c r="K5128" s="6"/>
      <c r="L5128" s="6"/>
      <c r="M5128" s="5">
        <v>529760.7</v>
      </c>
      <c r="N5128" s="5">
        <v>6260334.6</v>
      </c>
      <c r="O5128" t="s" s="2">
        <v>305</v>
      </c>
      <c r="P5128" s="6"/>
      <c r="Q5128" t="s" s="2">
        <v>43</v>
      </c>
      <c r="R5128" s="5">
        <f>_xlfn.IFERROR(INDEX('model_byCAP'!$D$2:$D$377,MATCH(Q5128,'model_byCAP'!$A$2:$A$377,0)),0)</f>
        <v>0</v>
      </c>
    </row>
    <row r="5129" ht="15.35" customHeight="1">
      <c r="A5129" t="s" s="2">
        <v>9579</v>
      </c>
      <c r="B5129" s="4">
        <v>36530</v>
      </c>
      <c r="C5129" s="5">
        <v>11</v>
      </c>
      <c r="D5129" s="5">
        <v>10</v>
      </c>
      <c r="E5129" s="5">
        <v>15</v>
      </c>
      <c r="F5129" t="s" s="2">
        <v>9430</v>
      </c>
      <c r="G5129" t="s" s="2">
        <v>9580</v>
      </c>
      <c r="H5129" s="5">
        <v>791</v>
      </c>
      <c r="I5129" t="s" s="2">
        <v>1447</v>
      </c>
      <c r="J5129" t="s" s="2">
        <v>9204</v>
      </c>
      <c r="K5129" s="6"/>
      <c r="L5129" s="6"/>
      <c r="M5129" s="5">
        <v>530706.52</v>
      </c>
      <c r="N5129" s="5">
        <v>6260356.89</v>
      </c>
      <c r="O5129" t="s" s="2">
        <v>305</v>
      </c>
      <c r="P5129" s="6"/>
      <c r="Q5129" t="s" s="2">
        <v>9581</v>
      </c>
      <c r="R5129" s="5">
        <f>_xlfn.IFERROR(INDEX('model_byCAP'!$D$2:$D$377,MATCH(Q5129,'model_byCAP'!$A$2:$A$377,0)),0)</f>
        <v>0</v>
      </c>
    </row>
    <row r="5130" ht="15.35" customHeight="1">
      <c r="A5130" t="s" s="2">
        <v>9582</v>
      </c>
      <c r="B5130" s="4">
        <v>35984</v>
      </c>
      <c r="C5130" s="5">
        <v>11</v>
      </c>
      <c r="D5130" s="5">
        <v>15</v>
      </c>
      <c r="E5130" s="5">
        <v>15</v>
      </c>
      <c r="F5130" t="s" s="2">
        <v>42</v>
      </c>
      <c r="G5130" t="s" s="2">
        <v>42</v>
      </c>
      <c r="H5130" s="5">
        <v>791</v>
      </c>
      <c r="I5130" t="s" s="2">
        <v>1447</v>
      </c>
      <c r="J5130" t="s" s="2">
        <v>9204</v>
      </c>
      <c r="K5130" s="6"/>
      <c r="L5130" s="6"/>
      <c r="M5130" s="5">
        <v>527937.33</v>
      </c>
      <c r="N5130" s="5">
        <v>6265347.58</v>
      </c>
      <c r="O5130" t="s" s="2">
        <v>305</v>
      </c>
      <c r="P5130" s="6"/>
      <c r="Q5130" t="s" s="2">
        <v>43</v>
      </c>
      <c r="R5130" s="5">
        <f>_xlfn.IFERROR(INDEX('model_byCAP'!$D$2:$D$377,MATCH(Q5130,'model_byCAP'!$A$2:$A$377,0)),0)</f>
        <v>0</v>
      </c>
    </row>
    <row r="5131" ht="15.35" customHeight="1">
      <c r="A5131" t="s" s="2">
        <v>9583</v>
      </c>
      <c r="B5131" s="4">
        <v>29168</v>
      </c>
      <c r="C5131" s="5">
        <v>11</v>
      </c>
      <c r="D5131" s="5">
        <v>15</v>
      </c>
      <c r="E5131" s="5">
        <v>15</v>
      </c>
      <c r="F5131" t="s" s="2">
        <v>42</v>
      </c>
      <c r="G5131" t="s" s="2">
        <v>42</v>
      </c>
      <c r="H5131" s="5">
        <v>791</v>
      </c>
      <c r="I5131" t="s" s="2">
        <v>1447</v>
      </c>
      <c r="J5131" t="s" s="2">
        <v>9204</v>
      </c>
      <c r="K5131" s="6"/>
      <c r="L5131" s="6"/>
      <c r="M5131" s="5">
        <v>534403.36</v>
      </c>
      <c r="N5131" s="5">
        <v>6269458.64</v>
      </c>
      <c r="O5131" t="s" s="2">
        <v>305</v>
      </c>
      <c r="P5131" s="6"/>
      <c r="Q5131" t="s" s="2">
        <v>43</v>
      </c>
      <c r="R5131" s="5">
        <f>_xlfn.IFERROR(INDEX('model_byCAP'!$D$2:$D$377,MATCH(Q5131,'model_byCAP'!$A$2:$A$377,0)),0)</f>
        <v>0</v>
      </c>
    </row>
    <row r="5132" ht="15.35" customHeight="1">
      <c r="A5132" t="s" s="2">
        <v>9584</v>
      </c>
      <c r="B5132" s="4">
        <v>40704</v>
      </c>
      <c r="C5132" s="5">
        <v>11</v>
      </c>
      <c r="D5132" s="5">
        <v>13</v>
      </c>
      <c r="E5132" s="5">
        <v>18</v>
      </c>
      <c r="F5132" t="s" s="2">
        <v>42</v>
      </c>
      <c r="G5132" t="s" s="2">
        <v>42</v>
      </c>
      <c r="H5132" s="5">
        <v>791</v>
      </c>
      <c r="I5132" t="s" s="2">
        <v>1447</v>
      </c>
      <c r="J5132" t="s" s="2">
        <v>9204</v>
      </c>
      <c r="K5132" s="6"/>
      <c r="L5132" s="6"/>
      <c r="M5132" s="5">
        <v>524157.97</v>
      </c>
      <c r="N5132" s="5">
        <v>6278897.1</v>
      </c>
      <c r="O5132" t="s" s="2">
        <v>305</v>
      </c>
      <c r="P5132" s="6"/>
      <c r="Q5132" t="s" s="2">
        <v>43</v>
      </c>
      <c r="R5132" s="5">
        <f>_xlfn.IFERROR(INDEX('model_byCAP'!$D$2:$D$377,MATCH(Q5132,'model_byCAP'!$A$2:$A$377,0)),0)</f>
        <v>0</v>
      </c>
    </row>
    <row r="5133" ht="15.35" customHeight="1">
      <c r="A5133" t="s" s="2">
        <v>9585</v>
      </c>
      <c r="B5133" s="4">
        <v>37021</v>
      </c>
      <c r="C5133" s="5">
        <v>11</v>
      </c>
      <c r="D5133" s="5">
        <v>13</v>
      </c>
      <c r="E5133" s="5">
        <v>15</v>
      </c>
      <c r="F5133" t="s" s="2">
        <v>42</v>
      </c>
      <c r="G5133" t="s" s="2">
        <v>42</v>
      </c>
      <c r="H5133" s="5">
        <v>810</v>
      </c>
      <c r="I5133" t="s" s="2">
        <v>1102</v>
      </c>
      <c r="J5133" t="s" s="2">
        <v>9204</v>
      </c>
      <c r="K5133" s="6"/>
      <c r="L5133" s="6"/>
      <c r="M5133" s="5">
        <v>557590.08</v>
      </c>
      <c r="N5133" s="5">
        <v>6352325.08</v>
      </c>
      <c r="O5133" t="s" s="2">
        <v>305</v>
      </c>
      <c r="P5133" s="6"/>
      <c r="Q5133" t="s" s="2">
        <v>43</v>
      </c>
      <c r="R5133" s="5">
        <f>_xlfn.IFERROR(INDEX('model_byCAP'!$D$2:$D$377,MATCH(Q5133,'model_byCAP'!$A$2:$A$377,0)),0)</f>
        <v>0</v>
      </c>
    </row>
    <row r="5134" ht="15.35" customHeight="1">
      <c r="A5134" t="s" s="2">
        <v>9586</v>
      </c>
      <c r="B5134" s="4">
        <v>39448</v>
      </c>
      <c r="C5134" s="5">
        <v>11</v>
      </c>
      <c r="D5134" s="5">
        <v>13</v>
      </c>
      <c r="E5134" s="5">
        <v>18.2</v>
      </c>
      <c r="F5134" t="s" s="2">
        <v>9471</v>
      </c>
      <c r="G5134" t="s" s="2">
        <v>9587</v>
      </c>
      <c r="H5134" s="5">
        <v>810</v>
      </c>
      <c r="I5134" t="s" s="2">
        <v>1102</v>
      </c>
      <c r="J5134" t="s" s="2">
        <v>9204</v>
      </c>
      <c r="K5134" s="6"/>
      <c r="L5134" s="6"/>
      <c r="M5134" s="5">
        <v>555977.71</v>
      </c>
      <c r="N5134" s="5">
        <v>6345624.33</v>
      </c>
      <c r="O5134" t="s" s="2">
        <v>305</v>
      </c>
      <c r="P5134" s="6"/>
      <c r="Q5134" t="s" s="2">
        <v>9588</v>
      </c>
      <c r="R5134" s="5">
        <f>_xlfn.IFERROR(INDEX('model_byCAP'!$D$2:$D$377,MATCH(Q5134,'model_byCAP'!$A$2:$A$377,0)),0)</f>
        <v>0</v>
      </c>
    </row>
    <row r="5135" ht="15.35" customHeight="1">
      <c r="A5135" t="s" s="2">
        <v>9589</v>
      </c>
      <c r="B5135" s="4">
        <v>39197</v>
      </c>
      <c r="C5135" s="5">
        <v>11</v>
      </c>
      <c r="D5135" s="5">
        <v>13</v>
      </c>
      <c r="E5135" s="5">
        <v>18</v>
      </c>
      <c r="F5135" t="s" s="2">
        <v>42</v>
      </c>
      <c r="G5135" t="s" s="2">
        <v>42</v>
      </c>
      <c r="H5135" s="5">
        <v>813</v>
      </c>
      <c r="I5135" t="s" s="2">
        <v>1708</v>
      </c>
      <c r="J5135" t="s" s="2">
        <v>9204</v>
      </c>
      <c r="K5135" s="6"/>
      <c r="L5135" s="6"/>
      <c r="M5135" s="5">
        <v>586375.26</v>
      </c>
      <c r="N5135" s="5">
        <v>6369747.44</v>
      </c>
      <c r="O5135" t="s" s="2">
        <v>1492</v>
      </c>
      <c r="P5135" s="6"/>
      <c r="Q5135" t="s" s="2">
        <v>43</v>
      </c>
      <c r="R5135" s="5">
        <f>_xlfn.IFERROR(INDEX('model_byCAP'!$D$2:$D$377,MATCH(Q5135,'model_byCAP'!$A$2:$A$377,0)),0)</f>
        <v>0</v>
      </c>
    </row>
    <row r="5136" ht="15.35" customHeight="1">
      <c r="A5136" t="s" s="2">
        <v>9590</v>
      </c>
      <c r="B5136" s="4">
        <v>36599</v>
      </c>
      <c r="C5136" s="5">
        <v>11</v>
      </c>
      <c r="D5136" s="5">
        <v>13</v>
      </c>
      <c r="E5136" s="5">
        <v>18</v>
      </c>
      <c r="F5136" t="s" s="2">
        <v>42</v>
      </c>
      <c r="G5136" t="s" s="2">
        <v>42</v>
      </c>
      <c r="H5136" s="5">
        <v>820</v>
      </c>
      <c r="I5136" t="s" s="2">
        <v>388</v>
      </c>
      <c r="J5136" t="s" s="2">
        <v>9204</v>
      </c>
      <c r="K5136" s="6"/>
      <c r="L5136" s="6"/>
      <c r="M5136" s="5">
        <v>533734.11</v>
      </c>
      <c r="N5136" s="5">
        <v>6293886.95</v>
      </c>
      <c r="O5136" t="s" s="2">
        <v>305</v>
      </c>
      <c r="P5136" s="6"/>
      <c r="Q5136" t="s" s="2">
        <v>43</v>
      </c>
      <c r="R5136" s="5">
        <f>_xlfn.IFERROR(INDEX('model_byCAP'!$D$2:$D$377,MATCH(Q5136,'model_byCAP'!$A$2:$A$377,0)),0)</f>
        <v>0</v>
      </c>
    </row>
    <row r="5137" ht="15.35" customHeight="1">
      <c r="A5137" t="s" s="2">
        <v>9591</v>
      </c>
      <c r="B5137" s="4">
        <v>40185</v>
      </c>
      <c r="C5137" s="5">
        <v>11</v>
      </c>
      <c r="D5137" s="5">
        <v>12</v>
      </c>
      <c r="E5137" s="5">
        <v>18.5</v>
      </c>
      <c r="F5137" t="s" s="2">
        <v>42</v>
      </c>
      <c r="G5137" t="s" s="2">
        <v>42</v>
      </c>
      <c r="H5137" s="5">
        <v>820</v>
      </c>
      <c r="I5137" t="s" s="2">
        <v>388</v>
      </c>
      <c r="J5137" t="s" s="2">
        <v>9204</v>
      </c>
      <c r="K5137" s="6"/>
      <c r="L5137" s="6"/>
      <c r="M5137" s="5">
        <v>534324.58</v>
      </c>
      <c r="N5137" s="5">
        <v>6293270.42</v>
      </c>
      <c r="O5137" t="s" s="2">
        <v>305</v>
      </c>
      <c r="P5137" s="6"/>
      <c r="Q5137" t="s" s="2">
        <v>43</v>
      </c>
      <c r="R5137" s="5">
        <f>_xlfn.IFERROR(INDEX('model_byCAP'!$D$2:$D$377,MATCH(Q5137,'model_byCAP'!$A$2:$A$377,0)),0)</f>
        <v>0</v>
      </c>
    </row>
    <row r="5138" ht="15.35" customHeight="1">
      <c r="A5138" t="s" s="2">
        <v>9592</v>
      </c>
      <c r="B5138" s="4">
        <v>40107</v>
      </c>
      <c r="C5138" s="5">
        <v>11</v>
      </c>
      <c r="D5138" s="5">
        <v>12</v>
      </c>
      <c r="E5138" s="5">
        <v>18.5</v>
      </c>
      <c r="F5138" t="s" s="2">
        <v>42</v>
      </c>
      <c r="G5138" t="s" s="2">
        <v>42</v>
      </c>
      <c r="H5138" s="5">
        <v>840</v>
      </c>
      <c r="I5138" t="s" s="2">
        <v>973</v>
      </c>
      <c r="J5138" t="s" s="2">
        <v>9204</v>
      </c>
      <c r="K5138" s="6"/>
      <c r="L5138" s="6"/>
      <c r="M5138" s="5">
        <v>542136.65</v>
      </c>
      <c r="N5138" s="5">
        <v>6298204.98</v>
      </c>
      <c r="O5138" t="s" s="2">
        <v>305</v>
      </c>
      <c r="P5138" s="6"/>
      <c r="Q5138" t="s" s="2">
        <v>43</v>
      </c>
      <c r="R5138" s="5">
        <f>_xlfn.IFERROR(INDEX('model_byCAP'!$D$2:$D$377,MATCH(Q5138,'model_byCAP'!$A$2:$A$377,0)),0)</f>
        <v>0</v>
      </c>
    </row>
    <row r="5139" ht="15.35" customHeight="1">
      <c r="A5139" t="s" s="2">
        <v>9593</v>
      </c>
      <c r="B5139" s="4">
        <v>40513</v>
      </c>
      <c r="C5139" s="5">
        <v>11</v>
      </c>
      <c r="D5139" s="5">
        <v>1</v>
      </c>
      <c r="E5139" s="5">
        <v>1</v>
      </c>
      <c r="F5139" t="s" s="2">
        <v>42</v>
      </c>
      <c r="G5139" t="s" s="2">
        <v>42</v>
      </c>
      <c r="H5139" s="5">
        <v>860</v>
      </c>
      <c r="I5139" t="s" s="2">
        <v>449</v>
      </c>
      <c r="J5139" t="s" s="2">
        <v>9204</v>
      </c>
      <c r="K5139" s="6"/>
      <c r="L5139" s="6"/>
      <c r="M5139" s="5">
        <v>570806.8199999999</v>
      </c>
      <c r="N5139" s="5">
        <v>6376600.37</v>
      </c>
      <c r="O5139" t="s" s="2">
        <v>305</v>
      </c>
      <c r="P5139" s="6"/>
      <c r="Q5139" t="s" s="2">
        <v>43</v>
      </c>
      <c r="R5139" s="5">
        <f>_xlfn.IFERROR(INDEX('model_byCAP'!$D$2:$D$377,MATCH(Q5139,'model_byCAP'!$A$2:$A$377,0)),0)</f>
        <v>0</v>
      </c>
    </row>
    <row r="5140" ht="15.35" customHeight="1">
      <c r="A5140" t="s" s="2">
        <v>9594</v>
      </c>
      <c r="B5140" s="4">
        <v>41991</v>
      </c>
      <c r="C5140" s="5">
        <v>10</v>
      </c>
      <c r="D5140" s="5">
        <v>7.1</v>
      </c>
      <c r="E5140" s="5">
        <v>21.4</v>
      </c>
      <c r="F5140" t="s" s="2">
        <v>42</v>
      </c>
      <c r="G5140" t="s" s="2">
        <v>42</v>
      </c>
      <c r="H5140" s="5">
        <v>306</v>
      </c>
      <c r="I5140" t="s" s="2">
        <v>5800</v>
      </c>
      <c r="J5140" t="s" s="2">
        <v>9204</v>
      </c>
      <c r="K5140" s="6"/>
      <c r="L5140" s="6"/>
      <c r="M5140" s="5">
        <v>648438.63</v>
      </c>
      <c r="N5140" s="5">
        <v>6204436.7</v>
      </c>
      <c r="O5140" t="s" s="2">
        <v>305</v>
      </c>
      <c r="P5140" s="6"/>
      <c r="Q5140" t="s" s="2">
        <v>43</v>
      </c>
      <c r="R5140" s="5">
        <f>_xlfn.IFERROR(INDEX('model_byCAP'!$D$2:$D$377,MATCH(Q5140,'model_byCAP'!$A$2:$A$377,0)),0)</f>
        <v>0</v>
      </c>
    </row>
    <row r="5141" ht="15.35" customHeight="1">
      <c r="A5141" t="s" s="2">
        <v>9595</v>
      </c>
      <c r="B5141" s="4">
        <v>42319</v>
      </c>
      <c r="C5141" s="5">
        <v>10</v>
      </c>
      <c r="D5141" s="5">
        <v>7.1</v>
      </c>
      <c r="E5141" s="5">
        <v>21.4</v>
      </c>
      <c r="F5141" t="s" s="2">
        <v>42</v>
      </c>
      <c r="G5141" t="s" s="2">
        <v>42</v>
      </c>
      <c r="H5141" s="5">
        <v>306</v>
      </c>
      <c r="I5141" t="s" s="2">
        <v>5800</v>
      </c>
      <c r="J5141" t="s" s="2">
        <v>9204</v>
      </c>
      <c r="K5141" s="6"/>
      <c r="L5141" s="6"/>
      <c r="M5141" s="6"/>
      <c r="N5141" s="6"/>
      <c r="O5141" t="s" s="2">
        <v>25</v>
      </c>
      <c r="P5141" s="6"/>
      <c r="Q5141" t="s" s="2">
        <v>43</v>
      </c>
      <c r="R5141" s="5">
        <f>_xlfn.IFERROR(INDEX('model_byCAP'!$D$2:$D$377,MATCH(Q5141,'model_byCAP'!$A$2:$A$377,0)),0)</f>
        <v>0</v>
      </c>
    </row>
    <row r="5142" ht="15.35" customHeight="1">
      <c r="A5142" t="s" s="2">
        <v>9596</v>
      </c>
      <c r="B5142" s="4">
        <v>42349</v>
      </c>
      <c r="C5142" s="5">
        <v>10</v>
      </c>
      <c r="D5142" s="5">
        <v>7.1</v>
      </c>
      <c r="E5142" s="5">
        <v>21.4</v>
      </c>
      <c r="F5142" t="s" s="2">
        <v>42</v>
      </c>
      <c r="G5142" t="s" s="2">
        <v>42</v>
      </c>
      <c r="H5142" s="5">
        <v>306</v>
      </c>
      <c r="I5142" t="s" s="2">
        <v>5800</v>
      </c>
      <c r="J5142" t="s" s="2">
        <v>9204</v>
      </c>
      <c r="K5142" s="6"/>
      <c r="L5142" s="6"/>
      <c r="M5142" s="5">
        <v>646514.3199999999</v>
      </c>
      <c r="N5142" s="5">
        <v>6205313.08</v>
      </c>
      <c r="O5142" t="s" s="2">
        <v>305</v>
      </c>
      <c r="P5142" s="6"/>
      <c r="Q5142" t="s" s="2">
        <v>43</v>
      </c>
      <c r="R5142" s="5">
        <f>_xlfn.IFERROR(INDEX('model_byCAP'!$D$2:$D$377,MATCH(Q5142,'model_byCAP'!$A$2:$A$377,0)),0)</f>
        <v>0</v>
      </c>
    </row>
    <row r="5143" ht="15.35" customHeight="1">
      <c r="A5143" t="s" s="2">
        <v>9597</v>
      </c>
      <c r="B5143" s="4">
        <v>42445</v>
      </c>
      <c r="C5143" s="5">
        <v>10</v>
      </c>
      <c r="D5143" s="5">
        <v>7.1</v>
      </c>
      <c r="E5143" s="5">
        <v>21.4</v>
      </c>
      <c r="F5143" t="s" s="2">
        <v>42</v>
      </c>
      <c r="G5143" t="s" s="2">
        <v>42</v>
      </c>
      <c r="H5143" s="5">
        <v>306</v>
      </c>
      <c r="I5143" t="s" s="2">
        <v>5800</v>
      </c>
      <c r="J5143" t="s" s="2">
        <v>9204</v>
      </c>
      <c r="K5143" s="6"/>
      <c r="L5143" s="6"/>
      <c r="M5143" s="5">
        <v>655343.65</v>
      </c>
      <c r="N5143" s="5">
        <v>6189388.26</v>
      </c>
      <c r="O5143" t="s" s="2">
        <v>305</v>
      </c>
      <c r="P5143" s="6"/>
      <c r="Q5143" t="s" s="2">
        <v>43</v>
      </c>
      <c r="R5143" s="5">
        <f>_xlfn.IFERROR(INDEX('model_byCAP'!$D$2:$D$377,MATCH(Q5143,'model_byCAP'!$A$2:$A$377,0)),0)</f>
        <v>0</v>
      </c>
    </row>
    <row r="5144" ht="15.35" customHeight="1">
      <c r="A5144" t="s" s="2">
        <v>9598</v>
      </c>
      <c r="B5144" s="4">
        <v>43369</v>
      </c>
      <c r="C5144" s="5">
        <v>10</v>
      </c>
      <c r="D5144" s="5">
        <v>9.300000000000001</v>
      </c>
      <c r="E5144" s="5">
        <v>20.3</v>
      </c>
      <c r="F5144" t="s" s="2">
        <v>9599</v>
      </c>
      <c r="G5144" t="s" s="2">
        <v>9600</v>
      </c>
      <c r="H5144" s="5">
        <v>306</v>
      </c>
      <c r="I5144" t="s" s="2">
        <v>5800</v>
      </c>
      <c r="J5144" t="s" s="2">
        <v>9204</v>
      </c>
      <c r="K5144" s="6"/>
      <c r="L5144" s="6"/>
      <c r="M5144" s="6"/>
      <c r="N5144" s="6"/>
      <c r="O5144" t="s" s="2">
        <v>25</v>
      </c>
      <c r="P5144" s="6"/>
      <c r="Q5144" t="s" s="2">
        <v>9601</v>
      </c>
      <c r="R5144" s="5">
        <f>_xlfn.IFERROR(INDEX('model_byCAP'!$D$2:$D$377,MATCH(Q5144,'model_byCAP'!$A$2:$A$377,0)),0)</f>
        <v>0</v>
      </c>
    </row>
    <row r="5145" ht="15.35" customHeight="1">
      <c r="A5145" t="s" s="2">
        <v>9602</v>
      </c>
      <c r="B5145" s="4">
        <v>41941</v>
      </c>
      <c r="C5145" s="5">
        <v>10</v>
      </c>
      <c r="D5145" s="5">
        <v>7.1</v>
      </c>
      <c r="E5145" s="5">
        <v>18.5</v>
      </c>
      <c r="F5145" t="s" s="2">
        <v>42</v>
      </c>
      <c r="G5145" t="s" s="2">
        <v>42</v>
      </c>
      <c r="H5145" s="5">
        <v>316</v>
      </c>
      <c r="I5145" t="s" s="2">
        <v>1769</v>
      </c>
      <c r="J5145" t="s" s="2">
        <v>9204</v>
      </c>
      <c r="K5145" s="6"/>
      <c r="L5145" s="6"/>
      <c r="M5145" s="6"/>
      <c r="N5145" s="6"/>
      <c r="O5145" t="s" s="2">
        <v>25</v>
      </c>
      <c r="P5145" s="6"/>
      <c r="Q5145" t="s" s="2">
        <v>43</v>
      </c>
      <c r="R5145" s="5">
        <f>_xlfn.IFERROR(INDEX('model_byCAP'!$D$2:$D$377,MATCH(Q5145,'model_byCAP'!$A$2:$A$377,0)),0)</f>
        <v>0</v>
      </c>
    </row>
    <row r="5146" ht="15.35" customHeight="1">
      <c r="A5146" t="s" s="2">
        <v>9603</v>
      </c>
      <c r="B5146" s="4">
        <v>41948</v>
      </c>
      <c r="C5146" s="5">
        <v>10</v>
      </c>
      <c r="D5146" s="5">
        <v>7.1</v>
      </c>
      <c r="E5146" s="5">
        <v>21.4</v>
      </c>
      <c r="F5146" t="s" s="2">
        <v>42</v>
      </c>
      <c r="G5146" t="s" s="2">
        <v>42</v>
      </c>
      <c r="H5146" s="5">
        <v>316</v>
      </c>
      <c r="I5146" t="s" s="2">
        <v>1769</v>
      </c>
      <c r="J5146" t="s" s="2">
        <v>9204</v>
      </c>
      <c r="K5146" s="6"/>
      <c r="L5146" s="6"/>
      <c r="M5146" s="6"/>
      <c r="N5146" s="6"/>
      <c r="O5146" t="s" s="2">
        <v>25</v>
      </c>
      <c r="P5146" s="6"/>
      <c r="Q5146" t="s" s="2">
        <v>43</v>
      </c>
      <c r="R5146" s="5">
        <f>_xlfn.IFERROR(INDEX('model_byCAP'!$D$2:$D$377,MATCH(Q5146,'model_byCAP'!$A$2:$A$377,0)),0)</f>
        <v>0</v>
      </c>
    </row>
    <row r="5147" ht="15.35" customHeight="1">
      <c r="A5147" t="s" s="2">
        <v>9604</v>
      </c>
      <c r="B5147" s="4">
        <v>42064</v>
      </c>
      <c r="C5147" s="5">
        <v>10</v>
      </c>
      <c r="D5147" s="5">
        <v>7.1</v>
      </c>
      <c r="E5147" s="5">
        <v>21.5</v>
      </c>
      <c r="F5147" t="s" s="2">
        <v>42</v>
      </c>
      <c r="G5147" t="s" s="2">
        <v>42</v>
      </c>
      <c r="H5147" s="5">
        <v>316</v>
      </c>
      <c r="I5147" t="s" s="2">
        <v>1769</v>
      </c>
      <c r="J5147" t="s" s="2">
        <v>9204</v>
      </c>
      <c r="K5147" s="6"/>
      <c r="L5147" s="6"/>
      <c r="M5147" s="6"/>
      <c r="N5147" s="6"/>
      <c r="O5147" t="s" s="2">
        <v>25</v>
      </c>
      <c r="P5147" s="6"/>
      <c r="Q5147" t="s" s="2">
        <v>43</v>
      </c>
      <c r="R5147" s="5">
        <f>_xlfn.IFERROR(INDEX('model_byCAP'!$D$2:$D$377,MATCH(Q5147,'model_byCAP'!$A$2:$A$377,0)),0)</f>
        <v>0</v>
      </c>
    </row>
    <row r="5148" ht="15.35" customHeight="1">
      <c r="A5148" t="s" s="2">
        <v>9605</v>
      </c>
      <c r="B5148" s="4">
        <v>42401</v>
      </c>
      <c r="C5148" s="5">
        <v>10</v>
      </c>
      <c r="D5148" s="5">
        <v>13</v>
      </c>
      <c r="E5148" s="5">
        <v>18.2</v>
      </c>
      <c r="F5148" t="s" s="2">
        <v>9471</v>
      </c>
      <c r="G5148" t="s" s="2">
        <v>9606</v>
      </c>
      <c r="H5148" s="5">
        <v>316</v>
      </c>
      <c r="I5148" t="s" s="2">
        <v>1769</v>
      </c>
      <c r="J5148" t="s" s="2">
        <v>9204</v>
      </c>
      <c r="K5148" s="6"/>
      <c r="L5148" s="6"/>
      <c r="M5148" s="5">
        <v>674535.08</v>
      </c>
      <c r="N5148" s="5">
        <v>6175414.24</v>
      </c>
      <c r="O5148" t="s" s="2">
        <v>305</v>
      </c>
      <c r="P5148" s="6"/>
      <c r="Q5148" t="s" s="2">
        <v>9607</v>
      </c>
      <c r="R5148" s="5">
        <f>_xlfn.IFERROR(INDEX('model_byCAP'!$D$2:$D$377,MATCH(Q5148,'model_byCAP'!$A$2:$A$377,0)),0)</f>
        <v>0</v>
      </c>
    </row>
    <row r="5149" ht="15.35" customHeight="1">
      <c r="A5149" t="s" s="2">
        <v>9608</v>
      </c>
      <c r="B5149" s="4">
        <v>41880</v>
      </c>
      <c r="C5149" s="5">
        <v>10</v>
      </c>
      <c r="D5149" s="5">
        <v>13</v>
      </c>
      <c r="E5149" s="5">
        <v>18.2</v>
      </c>
      <c r="F5149" t="s" s="2">
        <v>42</v>
      </c>
      <c r="G5149" t="s" s="2">
        <v>42</v>
      </c>
      <c r="H5149" s="5">
        <v>320</v>
      </c>
      <c r="I5149" t="s" s="2">
        <v>1006</v>
      </c>
      <c r="J5149" t="s" s="2">
        <v>9204</v>
      </c>
      <c r="K5149" s="6"/>
      <c r="L5149" s="6"/>
      <c r="M5149" s="5">
        <v>698070.8</v>
      </c>
      <c r="N5149" s="5">
        <v>6135418.39</v>
      </c>
      <c r="O5149" t="s" s="2">
        <v>305</v>
      </c>
      <c r="P5149" s="6"/>
      <c r="Q5149" t="s" s="2">
        <v>43</v>
      </c>
      <c r="R5149" s="5">
        <f>_xlfn.IFERROR(INDEX('model_byCAP'!$D$2:$D$377,MATCH(Q5149,'model_byCAP'!$A$2:$A$377,0)),0)</f>
        <v>0</v>
      </c>
    </row>
    <row r="5150" ht="15.35" customHeight="1">
      <c r="A5150" t="s" s="2">
        <v>9609</v>
      </c>
      <c r="B5150" s="4">
        <v>42503</v>
      </c>
      <c r="C5150" s="5">
        <v>10</v>
      </c>
      <c r="D5150" s="5">
        <v>7.1</v>
      </c>
      <c r="E5150" s="5">
        <v>18</v>
      </c>
      <c r="F5150" t="s" s="2">
        <v>42</v>
      </c>
      <c r="G5150" t="s" s="2">
        <v>42</v>
      </c>
      <c r="H5150" s="5">
        <v>320</v>
      </c>
      <c r="I5150" t="s" s="2">
        <v>1006</v>
      </c>
      <c r="J5150" t="s" s="2">
        <v>9204</v>
      </c>
      <c r="K5150" s="6"/>
      <c r="L5150" s="6"/>
      <c r="M5150" s="6"/>
      <c r="N5150" s="6"/>
      <c r="O5150" t="s" s="2">
        <v>25</v>
      </c>
      <c r="P5150" s="6"/>
      <c r="Q5150" t="s" s="2">
        <v>43</v>
      </c>
      <c r="R5150" s="5">
        <f>_xlfn.IFERROR(INDEX('model_byCAP'!$D$2:$D$377,MATCH(Q5150,'model_byCAP'!$A$2:$A$377,0)),0)</f>
        <v>0</v>
      </c>
    </row>
    <row r="5151" ht="15.35" customHeight="1">
      <c r="A5151" t="s" s="2">
        <v>9610</v>
      </c>
      <c r="B5151" s="4">
        <v>41992</v>
      </c>
      <c r="C5151" s="5">
        <v>10</v>
      </c>
      <c r="D5151" s="5">
        <v>13</v>
      </c>
      <c r="E5151" s="5">
        <v>18</v>
      </c>
      <c r="F5151" t="s" s="2">
        <v>42</v>
      </c>
      <c r="G5151" t="s" s="2">
        <v>42</v>
      </c>
      <c r="H5151" s="5">
        <v>326</v>
      </c>
      <c r="I5151" t="s" s="2">
        <v>1263</v>
      </c>
      <c r="J5151" t="s" s="2">
        <v>9204</v>
      </c>
      <c r="K5151" s="6"/>
      <c r="L5151" s="6"/>
      <c r="M5151" s="5">
        <v>634963.91</v>
      </c>
      <c r="N5151" s="5">
        <v>6195297.27</v>
      </c>
      <c r="O5151" t="s" s="2">
        <v>305</v>
      </c>
      <c r="P5151" s="6"/>
      <c r="Q5151" t="s" s="2">
        <v>43</v>
      </c>
      <c r="R5151" s="5">
        <f>_xlfn.IFERROR(INDEX('model_byCAP'!$D$2:$D$377,MATCH(Q5151,'model_byCAP'!$A$2:$A$377,0)),0)</f>
        <v>0</v>
      </c>
    </row>
    <row r="5152" ht="15.35" customHeight="1">
      <c r="A5152" t="s" s="2">
        <v>9611</v>
      </c>
      <c r="B5152" s="4">
        <v>41760</v>
      </c>
      <c r="C5152" s="5">
        <v>10</v>
      </c>
      <c r="D5152" s="5">
        <v>7.1</v>
      </c>
      <c r="E5152" s="5">
        <v>21</v>
      </c>
      <c r="F5152" t="s" s="2">
        <v>42</v>
      </c>
      <c r="G5152" t="s" s="2">
        <v>42</v>
      </c>
      <c r="H5152" s="5">
        <v>326</v>
      </c>
      <c r="I5152" t="s" s="2">
        <v>1263</v>
      </c>
      <c r="J5152" t="s" s="2">
        <v>9204</v>
      </c>
      <c r="K5152" s="6"/>
      <c r="L5152" s="6"/>
      <c r="M5152" s="5">
        <v>640936.51</v>
      </c>
      <c r="N5152" s="5">
        <v>6165807.12</v>
      </c>
      <c r="O5152" t="s" s="2">
        <v>305</v>
      </c>
      <c r="P5152" s="6"/>
      <c r="Q5152" t="s" s="2">
        <v>43</v>
      </c>
      <c r="R5152" s="5">
        <f>_xlfn.IFERROR(INDEX('model_byCAP'!$D$2:$D$377,MATCH(Q5152,'model_byCAP'!$A$2:$A$377,0)),0)</f>
        <v>0</v>
      </c>
    </row>
    <row r="5153" ht="15.35" customHeight="1">
      <c r="A5153" t="s" s="2">
        <v>9612</v>
      </c>
      <c r="B5153" s="4">
        <v>42146</v>
      </c>
      <c r="C5153" s="5">
        <v>10</v>
      </c>
      <c r="D5153" s="5">
        <v>7.1</v>
      </c>
      <c r="E5153" s="5">
        <v>21.4</v>
      </c>
      <c r="F5153" t="s" s="2">
        <v>42</v>
      </c>
      <c r="G5153" t="s" s="2">
        <v>42</v>
      </c>
      <c r="H5153" s="5">
        <v>326</v>
      </c>
      <c r="I5153" t="s" s="2">
        <v>1263</v>
      </c>
      <c r="J5153" t="s" s="2">
        <v>9204</v>
      </c>
      <c r="K5153" s="6"/>
      <c r="L5153" s="6"/>
      <c r="M5153" s="5">
        <v>636403.0699999999</v>
      </c>
      <c r="N5153" s="5">
        <v>6163318.9</v>
      </c>
      <c r="O5153" t="s" s="2">
        <v>305</v>
      </c>
      <c r="P5153" s="6"/>
      <c r="Q5153" t="s" s="2">
        <v>43</v>
      </c>
      <c r="R5153" s="5">
        <f>_xlfn.IFERROR(INDEX('model_byCAP'!$D$2:$D$377,MATCH(Q5153,'model_byCAP'!$A$2:$A$377,0)),0)</f>
        <v>0</v>
      </c>
    </row>
    <row r="5154" ht="15.35" customHeight="1">
      <c r="A5154" t="s" s="2">
        <v>9613</v>
      </c>
      <c r="B5154" s="4">
        <v>42005</v>
      </c>
      <c r="C5154" s="5">
        <v>10</v>
      </c>
      <c r="D5154" s="5">
        <v>7.1</v>
      </c>
      <c r="E5154" s="5">
        <v>21</v>
      </c>
      <c r="F5154" t="s" s="2">
        <v>42</v>
      </c>
      <c r="G5154" t="s" s="2">
        <v>42</v>
      </c>
      <c r="H5154" s="5">
        <v>326</v>
      </c>
      <c r="I5154" t="s" s="2">
        <v>1263</v>
      </c>
      <c r="J5154" t="s" s="2">
        <v>9204</v>
      </c>
      <c r="K5154" s="6"/>
      <c r="L5154" s="6"/>
      <c r="M5154" s="5">
        <v>642469.72</v>
      </c>
      <c r="N5154" s="5">
        <v>6153124.7</v>
      </c>
      <c r="O5154" t="s" s="2">
        <v>305</v>
      </c>
      <c r="P5154" s="6"/>
      <c r="Q5154" t="s" s="2">
        <v>43</v>
      </c>
      <c r="R5154" s="5">
        <f>_xlfn.IFERROR(INDEX('model_byCAP'!$D$2:$D$377,MATCH(Q5154,'model_byCAP'!$A$2:$A$377,0)),0)</f>
        <v>0</v>
      </c>
    </row>
    <row r="5155" ht="15.35" customHeight="1">
      <c r="A5155" t="s" s="2">
        <v>9614</v>
      </c>
      <c r="B5155" s="4">
        <v>42172</v>
      </c>
      <c r="C5155" s="5">
        <v>10</v>
      </c>
      <c r="D5155" s="5">
        <v>13</v>
      </c>
      <c r="E5155" s="5">
        <v>18</v>
      </c>
      <c r="F5155" t="s" s="2">
        <v>9471</v>
      </c>
      <c r="G5155" t="s" s="2">
        <v>9606</v>
      </c>
      <c r="H5155" s="5">
        <v>326</v>
      </c>
      <c r="I5155" t="s" s="2">
        <v>1263</v>
      </c>
      <c r="J5155" t="s" s="2">
        <v>9204</v>
      </c>
      <c r="K5155" s="6"/>
      <c r="L5155" s="6"/>
      <c r="M5155" s="5">
        <v>649811.85</v>
      </c>
      <c r="N5155" s="5">
        <v>6177712.21</v>
      </c>
      <c r="O5155" t="s" s="2">
        <v>305</v>
      </c>
      <c r="P5155" s="6"/>
      <c r="Q5155" t="s" s="2">
        <v>9607</v>
      </c>
      <c r="R5155" s="5">
        <f>_xlfn.IFERROR(INDEX('model_byCAP'!$D$2:$D$377,MATCH(Q5155,'model_byCAP'!$A$2:$A$377,0)),0)</f>
        <v>0</v>
      </c>
    </row>
    <row r="5156" ht="15.35" customHeight="1">
      <c r="A5156" t="s" s="2">
        <v>9615</v>
      </c>
      <c r="B5156" s="4">
        <v>42401</v>
      </c>
      <c r="C5156" s="5">
        <v>10</v>
      </c>
      <c r="D5156" s="5">
        <v>7.1</v>
      </c>
      <c r="E5156" s="5">
        <v>21.4</v>
      </c>
      <c r="F5156" t="s" s="2">
        <v>42</v>
      </c>
      <c r="G5156" t="s" s="2">
        <v>42</v>
      </c>
      <c r="H5156" s="5">
        <v>326</v>
      </c>
      <c r="I5156" t="s" s="2">
        <v>1263</v>
      </c>
      <c r="J5156" t="s" s="2">
        <v>9204</v>
      </c>
      <c r="K5156" s="6"/>
      <c r="L5156" s="6"/>
      <c r="M5156" s="5">
        <v>639164.6</v>
      </c>
      <c r="N5156" s="5">
        <v>6170496.16</v>
      </c>
      <c r="O5156" t="s" s="2">
        <v>305</v>
      </c>
      <c r="P5156" s="6"/>
      <c r="Q5156" t="s" s="2">
        <v>43</v>
      </c>
      <c r="R5156" s="5">
        <f>_xlfn.IFERROR(INDEX('model_byCAP'!$D$2:$D$377,MATCH(Q5156,'model_byCAP'!$A$2:$A$377,0)),0)</f>
        <v>0</v>
      </c>
    </row>
    <row r="5157" ht="15.35" customHeight="1">
      <c r="A5157" t="s" s="2">
        <v>9616</v>
      </c>
      <c r="B5157" s="4">
        <v>42228</v>
      </c>
      <c r="C5157" s="5">
        <v>10</v>
      </c>
      <c r="D5157" s="5">
        <v>7.1</v>
      </c>
      <c r="E5157" s="5">
        <v>21.5</v>
      </c>
      <c r="F5157" t="s" s="2">
        <v>42</v>
      </c>
      <c r="G5157" t="s" s="2">
        <v>42</v>
      </c>
      <c r="H5157" s="5">
        <v>326</v>
      </c>
      <c r="I5157" t="s" s="2">
        <v>1263</v>
      </c>
      <c r="J5157" t="s" s="2">
        <v>9204</v>
      </c>
      <c r="K5157" s="6"/>
      <c r="L5157" s="6"/>
      <c r="M5157" s="5">
        <v>639665.67</v>
      </c>
      <c r="N5157" s="5">
        <v>6170795.82</v>
      </c>
      <c r="O5157" t="s" s="2">
        <v>305</v>
      </c>
      <c r="P5157" s="6"/>
      <c r="Q5157" t="s" s="2">
        <v>43</v>
      </c>
      <c r="R5157" s="5">
        <f>_xlfn.IFERROR(INDEX('model_byCAP'!$D$2:$D$377,MATCH(Q5157,'model_byCAP'!$A$2:$A$377,0)),0)</f>
        <v>0</v>
      </c>
    </row>
    <row r="5158" ht="15.35" customHeight="1">
      <c r="A5158" t="s" s="2">
        <v>9617</v>
      </c>
      <c r="B5158" s="4">
        <v>42254</v>
      </c>
      <c r="C5158" s="5">
        <v>10</v>
      </c>
      <c r="D5158" s="5">
        <v>13</v>
      </c>
      <c r="E5158" s="5">
        <v>18.2</v>
      </c>
      <c r="F5158" t="s" s="2">
        <v>9471</v>
      </c>
      <c r="G5158" t="s" s="2">
        <v>9606</v>
      </c>
      <c r="H5158" s="5">
        <v>326</v>
      </c>
      <c r="I5158" t="s" s="2">
        <v>1263</v>
      </c>
      <c r="J5158" t="s" s="2">
        <v>9204</v>
      </c>
      <c r="K5158" s="6"/>
      <c r="L5158" s="6"/>
      <c r="M5158" s="5">
        <v>641866.0600000001</v>
      </c>
      <c r="N5158" s="5">
        <v>6154269.03</v>
      </c>
      <c r="O5158" t="s" s="2">
        <v>305</v>
      </c>
      <c r="P5158" s="6"/>
      <c r="Q5158" t="s" s="2">
        <v>9607</v>
      </c>
      <c r="R5158" s="5">
        <f>_xlfn.IFERROR(INDEX('model_byCAP'!$D$2:$D$377,MATCH(Q5158,'model_byCAP'!$A$2:$A$377,0)),0)</f>
        <v>0</v>
      </c>
    </row>
    <row r="5159" ht="15.35" customHeight="1">
      <c r="A5159" t="s" s="2">
        <v>9618</v>
      </c>
      <c r="B5159" s="4">
        <v>42256</v>
      </c>
      <c r="C5159" s="5">
        <v>10</v>
      </c>
      <c r="D5159" s="5">
        <v>7.1</v>
      </c>
      <c r="E5159" s="5">
        <v>21</v>
      </c>
      <c r="F5159" t="s" s="2">
        <v>42</v>
      </c>
      <c r="G5159" t="s" s="2">
        <v>42</v>
      </c>
      <c r="H5159" s="5">
        <v>326</v>
      </c>
      <c r="I5159" t="s" s="2">
        <v>1263</v>
      </c>
      <c r="J5159" t="s" s="2">
        <v>9204</v>
      </c>
      <c r="K5159" s="6"/>
      <c r="L5159" s="6"/>
      <c r="M5159" s="5">
        <v>632779.63</v>
      </c>
      <c r="N5159" s="5">
        <v>6166917.36</v>
      </c>
      <c r="O5159" t="s" s="2">
        <v>305</v>
      </c>
      <c r="P5159" s="6"/>
      <c r="Q5159" t="s" s="2">
        <v>43</v>
      </c>
      <c r="R5159" s="5">
        <f>_xlfn.IFERROR(INDEX('model_byCAP'!$D$2:$D$377,MATCH(Q5159,'model_byCAP'!$A$2:$A$377,0)),0)</f>
        <v>0</v>
      </c>
    </row>
    <row r="5160" ht="15.35" customHeight="1">
      <c r="A5160" t="s" s="2">
        <v>9619</v>
      </c>
      <c r="B5160" s="4">
        <v>42311</v>
      </c>
      <c r="C5160" s="5">
        <v>10</v>
      </c>
      <c r="D5160" s="5">
        <v>13</v>
      </c>
      <c r="E5160" s="5">
        <v>18.2</v>
      </c>
      <c r="F5160" t="s" s="2">
        <v>9471</v>
      </c>
      <c r="G5160" t="s" s="2">
        <v>9606</v>
      </c>
      <c r="H5160" s="5">
        <v>326</v>
      </c>
      <c r="I5160" t="s" s="2">
        <v>1263</v>
      </c>
      <c r="J5160" t="s" s="2">
        <v>9204</v>
      </c>
      <c r="K5160" s="6"/>
      <c r="L5160" s="6"/>
      <c r="M5160" s="5">
        <v>642799.33</v>
      </c>
      <c r="N5160" s="5">
        <v>6153282.78</v>
      </c>
      <c r="O5160" t="s" s="2">
        <v>305</v>
      </c>
      <c r="P5160" s="6"/>
      <c r="Q5160" t="s" s="2">
        <v>9607</v>
      </c>
      <c r="R5160" s="5">
        <f>_xlfn.IFERROR(INDEX('model_byCAP'!$D$2:$D$377,MATCH(Q5160,'model_byCAP'!$A$2:$A$377,0)),0)</f>
        <v>0</v>
      </c>
    </row>
    <row r="5161" ht="15.35" customHeight="1">
      <c r="A5161" t="s" s="2">
        <v>9620</v>
      </c>
      <c r="B5161" s="4">
        <v>42341</v>
      </c>
      <c r="C5161" s="5">
        <v>10</v>
      </c>
      <c r="D5161" s="5">
        <v>13</v>
      </c>
      <c r="E5161" s="5">
        <v>18</v>
      </c>
      <c r="F5161" t="s" s="2">
        <v>9471</v>
      </c>
      <c r="G5161" t="s" s="2">
        <v>9606</v>
      </c>
      <c r="H5161" s="5">
        <v>326</v>
      </c>
      <c r="I5161" t="s" s="2">
        <v>1263</v>
      </c>
      <c r="J5161" t="s" s="2">
        <v>9204</v>
      </c>
      <c r="K5161" s="6"/>
      <c r="L5161" s="6"/>
      <c r="M5161" s="5">
        <v>638141.9399999999</v>
      </c>
      <c r="N5161" s="5">
        <v>6162656.55</v>
      </c>
      <c r="O5161" t="s" s="2">
        <v>305</v>
      </c>
      <c r="P5161" s="6"/>
      <c r="Q5161" t="s" s="2">
        <v>9607</v>
      </c>
      <c r="R5161" s="5">
        <f>_xlfn.IFERROR(INDEX('model_byCAP'!$D$2:$D$377,MATCH(Q5161,'model_byCAP'!$A$2:$A$377,0)),0)</f>
        <v>0</v>
      </c>
    </row>
    <row r="5162" ht="15.35" customHeight="1">
      <c r="A5162" t="s" s="2">
        <v>9621</v>
      </c>
      <c r="B5162" s="4">
        <v>42366</v>
      </c>
      <c r="C5162" s="5">
        <v>10</v>
      </c>
      <c r="D5162" s="5">
        <v>13</v>
      </c>
      <c r="E5162" s="5">
        <v>18</v>
      </c>
      <c r="F5162" t="s" s="2">
        <v>9471</v>
      </c>
      <c r="G5162" t="s" s="2">
        <v>9606</v>
      </c>
      <c r="H5162" s="5">
        <v>326</v>
      </c>
      <c r="I5162" t="s" s="2">
        <v>1263</v>
      </c>
      <c r="J5162" t="s" s="2">
        <v>9204</v>
      </c>
      <c r="K5162" s="6"/>
      <c r="L5162" s="6"/>
      <c r="M5162" s="5">
        <v>634852.95</v>
      </c>
      <c r="N5162" s="5">
        <v>6195361.32</v>
      </c>
      <c r="O5162" t="s" s="2">
        <v>305</v>
      </c>
      <c r="P5162" s="6"/>
      <c r="Q5162" t="s" s="2">
        <v>9607</v>
      </c>
      <c r="R5162" s="5">
        <f>_xlfn.IFERROR(INDEX('model_byCAP'!$D$2:$D$377,MATCH(Q5162,'model_byCAP'!$A$2:$A$377,0)),0)</f>
        <v>0</v>
      </c>
    </row>
    <row r="5163" ht="15.35" customHeight="1">
      <c r="A5163" t="s" s="2">
        <v>9622</v>
      </c>
      <c r="B5163" s="4">
        <v>43080</v>
      </c>
      <c r="C5163" s="5">
        <v>10</v>
      </c>
      <c r="D5163" s="5">
        <v>7.1</v>
      </c>
      <c r="E5163" s="5">
        <v>21.4</v>
      </c>
      <c r="F5163" t="s" s="2">
        <v>42</v>
      </c>
      <c r="G5163" t="s" s="2">
        <v>42</v>
      </c>
      <c r="H5163" s="5">
        <v>326</v>
      </c>
      <c r="I5163" t="s" s="2">
        <v>1263</v>
      </c>
      <c r="J5163" t="s" s="2">
        <v>9204</v>
      </c>
      <c r="K5163" s="6"/>
      <c r="L5163" s="6"/>
      <c r="M5163" s="6"/>
      <c r="N5163" s="6"/>
      <c r="O5163" t="s" s="2">
        <v>25</v>
      </c>
      <c r="P5163" s="6"/>
      <c r="Q5163" t="s" s="2">
        <v>43</v>
      </c>
      <c r="R5163" s="5">
        <f>_xlfn.IFERROR(INDEX('model_byCAP'!$D$2:$D$377,MATCH(Q5163,'model_byCAP'!$A$2:$A$377,0)),0)</f>
        <v>0</v>
      </c>
    </row>
    <row r="5164" ht="15.35" customHeight="1">
      <c r="A5164" t="s" s="2">
        <v>9623</v>
      </c>
      <c r="B5164" s="4">
        <v>42555</v>
      </c>
      <c r="C5164" s="5">
        <v>10</v>
      </c>
      <c r="D5164" s="5">
        <v>14</v>
      </c>
      <c r="E5164" s="5">
        <v>18</v>
      </c>
      <c r="F5164" t="s" s="2">
        <v>9209</v>
      </c>
      <c r="G5164" t="s" s="2">
        <v>9293</v>
      </c>
      <c r="H5164" s="5">
        <v>329</v>
      </c>
      <c r="I5164" t="s" s="2">
        <v>2902</v>
      </c>
      <c r="J5164" t="s" s="2">
        <v>9204</v>
      </c>
      <c r="K5164" s="6"/>
      <c r="L5164" s="6"/>
      <c r="M5164" s="6"/>
      <c r="N5164" s="6"/>
      <c r="O5164" t="s" s="2">
        <v>25</v>
      </c>
      <c r="P5164" s="6"/>
      <c r="Q5164" t="s" s="2">
        <v>9295</v>
      </c>
      <c r="R5164" t="s" s="2">
        <f>_xlfn.IFERROR(INDEX('model_byCAP'!$D$2:$D$377,MATCH(Q5164,'model_byCAP'!$A$2:$A$377,0)),0)</f>
        <v>8430</v>
      </c>
    </row>
    <row r="5165" ht="15.35" customHeight="1">
      <c r="A5165" t="s" s="2">
        <v>9624</v>
      </c>
      <c r="B5165" s="4">
        <v>41621</v>
      </c>
      <c r="C5165" s="5">
        <v>10</v>
      </c>
      <c r="D5165" s="5">
        <v>7.1</v>
      </c>
      <c r="E5165" s="5">
        <v>21.5</v>
      </c>
      <c r="F5165" t="s" s="2">
        <v>42</v>
      </c>
      <c r="G5165" t="s" s="2">
        <v>42</v>
      </c>
      <c r="H5165" s="5">
        <v>330</v>
      </c>
      <c r="I5165" t="s" s="2">
        <v>1491</v>
      </c>
      <c r="J5165" t="s" s="2">
        <v>9204</v>
      </c>
      <c r="K5165" s="6"/>
      <c r="L5165" s="6"/>
      <c r="M5165" s="5">
        <v>650872.95</v>
      </c>
      <c r="N5165" s="5">
        <v>6145730.38</v>
      </c>
      <c r="O5165" t="s" s="2">
        <v>305</v>
      </c>
      <c r="P5165" s="6"/>
      <c r="Q5165" t="s" s="2">
        <v>43</v>
      </c>
      <c r="R5165" s="5">
        <f>_xlfn.IFERROR(INDEX('model_byCAP'!$D$2:$D$377,MATCH(Q5165,'model_byCAP'!$A$2:$A$377,0)),0)</f>
        <v>0</v>
      </c>
    </row>
    <row r="5166" ht="15.35" customHeight="1">
      <c r="A5166" t="s" s="2">
        <v>9625</v>
      </c>
      <c r="B5166" s="4">
        <v>41883</v>
      </c>
      <c r="C5166" s="5">
        <v>10</v>
      </c>
      <c r="D5166" s="5">
        <v>0</v>
      </c>
      <c r="E5166" s="5">
        <v>0</v>
      </c>
      <c r="F5166" t="s" s="2">
        <v>42</v>
      </c>
      <c r="G5166" t="s" s="2">
        <v>42</v>
      </c>
      <c r="H5166" s="5">
        <v>330</v>
      </c>
      <c r="I5166" t="s" s="2">
        <v>1491</v>
      </c>
      <c r="J5166" t="s" s="2">
        <v>9204</v>
      </c>
      <c r="K5166" s="6"/>
      <c r="L5166" s="6"/>
      <c r="M5166" s="5">
        <v>643266.7</v>
      </c>
      <c r="N5166" s="5">
        <v>6133659.09</v>
      </c>
      <c r="O5166" t="s" s="2">
        <v>305</v>
      </c>
      <c r="P5166" s="6"/>
      <c r="Q5166" t="s" s="2">
        <v>43</v>
      </c>
      <c r="R5166" s="5">
        <f>_xlfn.IFERROR(INDEX('model_byCAP'!$D$2:$D$377,MATCH(Q5166,'model_byCAP'!$A$2:$A$377,0)),0)</f>
        <v>0</v>
      </c>
    </row>
    <row r="5167" ht="15.35" customHeight="1">
      <c r="A5167" t="s" s="2">
        <v>9626</v>
      </c>
      <c r="B5167" s="4">
        <v>41640</v>
      </c>
      <c r="C5167" s="5">
        <v>10</v>
      </c>
      <c r="D5167" s="5">
        <v>12.8</v>
      </c>
      <c r="E5167" s="5">
        <v>15</v>
      </c>
      <c r="F5167" t="s" s="2">
        <v>42</v>
      </c>
      <c r="G5167" t="s" s="2">
        <v>42</v>
      </c>
      <c r="H5167" s="5">
        <v>330</v>
      </c>
      <c r="I5167" t="s" s="2">
        <v>1491</v>
      </c>
      <c r="J5167" t="s" s="2">
        <v>9204</v>
      </c>
      <c r="K5167" s="6"/>
      <c r="L5167" s="6"/>
      <c r="M5167" s="6"/>
      <c r="N5167" s="6"/>
      <c r="O5167" t="s" s="2">
        <v>25</v>
      </c>
      <c r="P5167" s="6"/>
      <c r="Q5167" t="s" s="2">
        <v>43</v>
      </c>
      <c r="R5167" s="5">
        <f>_xlfn.IFERROR(INDEX('model_byCAP'!$D$2:$D$377,MATCH(Q5167,'model_byCAP'!$A$2:$A$377,0)),0)</f>
        <v>0</v>
      </c>
    </row>
    <row r="5168" ht="15.35" customHeight="1">
      <c r="A5168" t="s" s="2">
        <v>9627</v>
      </c>
      <c r="B5168" s="4">
        <v>42548</v>
      </c>
      <c r="C5168" s="5">
        <v>10</v>
      </c>
      <c r="D5168" s="5">
        <v>7.1</v>
      </c>
      <c r="E5168" s="5">
        <v>18</v>
      </c>
      <c r="F5168" t="s" s="2">
        <v>42</v>
      </c>
      <c r="G5168" t="s" s="2">
        <v>42</v>
      </c>
      <c r="H5168" s="5">
        <v>330</v>
      </c>
      <c r="I5168" t="s" s="2">
        <v>1491</v>
      </c>
      <c r="J5168" t="s" s="2">
        <v>9204</v>
      </c>
      <c r="K5168" s="6"/>
      <c r="L5168" s="6"/>
      <c r="M5168" s="6"/>
      <c r="N5168" s="6"/>
      <c r="O5168" t="s" s="2">
        <v>25</v>
      </c>
      <c r="P5168" s="6"/>
      <c r="Q5168" t="s" s="2">
        <v>43</v>
      </c>
      <c r="R5168" s="5">
        <f>_xlfn.IFERROR(INDEX('model_byCAP'!$D$2:$D$377,MATCH(Q5168,'model_byCAP'!$A$2:$A$377,0)),0)</f>
        <v>0</v>
      </c>
    </row>
    <row r="5169" ht="15.35" customHeight="1">
      <c r="A5169" t="s" s="2">
        <v>9628</v>
      </c>
      <c r="B5169" s="4">
        <v>42412</v>
      </c>
      <c r="C5169" s="5">
        <v>10</v>
      </c>
      <c r="D5169" s="5">
        <v>13</v>
      </c>
      <c r="E5169" s="5">
        <v>18.2</v>
      </c>
      <c r="F5169" t="s" s="2">
        <v>9471</v>
      </c>
      <c r="G5169" t="s" s="2">
        <v>9606</v>
      </c>
      <c r="H5169" s="5">
        <v>336</v>
      </c>
      <c r="I5169" t="s" s="2">
        <v>4152</v>
      </c>
      <c r="J5169" t="s" s="2">
        <v>9204</v>
      </c>
      <c r="K5169" s="6"/>
      <c r="L5169" s="6"/>
      <c r="M5169" s="5">
        <v>709970.25</v>
      </c>
      <c r="N5169" s="5">
        <v>6140329.52</v>
      </c>
      <c r="O5169" t="s" s="2">
        <v>305</v>
      </c>
      <c r="P5169" s="6"/>
      <c r="Q5169" t="s" s="2">
        <v>9607</v>
      </c>
      <c r="R5169" s="5">
        <f>_xlfn.IFERROR(INDEX('model_byCAP'!$D$2:$D$377,MATCH(Q5169,'model_byCAP'!$A$2:$A$377,0)),0)</f>
        <v>0</v>
      </c>
    </row>
    <row r="5170" ht="15.35" customHeight="1">
      <c r="A5170" t="s" s="2">
        <v>9629</v>
      </c>
      <c r="B5170" s="4">
        <v>44102</v>
      </c>
      <c r="C5170" s="5">
        <v>10</v>
      </c>
      <c r="D5170" s="5">
        <v>9.9</v>
      </c>
      <c r="E5170" s="5">
        <v>20</v>
      </c>
      <c r="F5170" t="s" s="2">
        <v>9599</v>
      </c>
      <c r="G5170" t="s" s="2">
        <v>9600</v>
      </c>
      <c r="H5170" s="5">
        <v>340</v>
      </c>
      <c r="I5170" t="s" s="2">
        <v>1795</v>
      </c>
      <c r="J5170" t="s" s="2">
        <v>9204</v>
      </c>
      <c r="K5170" s="6"/>
      <c r="L5170" s="6"/>
      <c r="M5170" s="6"/>
      <c r="N5170" s="6"/>
      <c r="O5170" t="s" s="2">
        <v>25</v>
      </c>
      <c r="P5170" s="6"/>
      <c r="Q5170" t="s" s="2">
        <v>9601</v>
      </c>
      <c r="R5170" s="5">
        <f>_xlfn.IFERROR(INDEX('model_byCAP'!$D$2:$D$377,MATCH(Q5170,'model_byCAP'!$A$2:$A$377,0)),0)</f>
        <v>0</v>
      </c>
    </row>
    <row r="5171" ht="15.35" customHeight="1">
      <c r="A5171" t="s" s="2">
        <v>9630</v>
      </c>
      <c r="B5171" s="4">
        <v>42195</v>
      </c>
      <c r="C5171" s="5">
        <v>10</v>
      </c>
      <c r="D5171" s="5">
        <v>7.1</v>
      </c>
      <c r="E5171" s="5">
        <v>21.3</v>
      </c>
      <c r="F5171" t="s" s="2">
        <v>42</v>
      </c>
      <c r="G5171" t="s" s="2">
        <v>42</v>
      </c>
      <c r="H5171" s="5">
        <v>350</v>
      </c>
      <c r="I5171" t="s" s="2">
        <v>3451</v>
      </c>
      <c r="J5171" t="s" s="2">
        <v>9204</v>
      </c>
      <c r="K5171" s="6"/>
      <c r="L5171" s="6"/>
      <c r="M5171" s="6"/>
      <c r="N5171" s="6"/>
      <c r="O5171" t="s" s="2">
        <v>25</v>
      </c>
      <c r="P5171" s="6"/>
      <c r="Q5171" t="s" s="2">
        <v>43</v>
      </c>
      <c r="R5171" s="5">
        <f>_xlfn.IFERROR(INDEX('model_byCAP'!$D$2:$D$377,MATCH(Q5171,'model_byCAP'!$A$2:$A$377,0)),0)</f>
        <v>0</v>
      </c>
    </row>
    <row r="5172" ht="15.35" customHeight="1">
      <c r="A5172" t="s" s="2">
        <v>9631</v>
      </c>
      <c r="B5172" s="4">
        <v>42171</v>
      </c>
      <c r="C5172" s="5">
        <v>10</v>
      </c>
      <c r="D5172" s="5">
        <v>13</v>
      </c>
      <c r="E5172" s="5">
        <v>18</v>
      </c>
      <c r="F5172" t="s" s="2">
        <v>42</v>
      </c>
      <c r="G5172" t="s" s="2">
        <v>42</v>
      </c>
      <c r="H5172" s="5">
        <v>360</v>
      </c>
      <c r="I5172" t="s" s="2">
        <v>463</v>
      </c>
      <c r="J5172" t="s" s="2">
        <v>9204</v>
      </c>
      <c r="K5172" s="6"/>
      <c r="L5172" s="6"/>
      <c r="M5172" s="5">
        <v>654403.64</v>
      </c>
      <c r="N5172" s="5">
        <v>6074047.6</v>
      </c>
      <c r="O5172" t="s" s="2">
        <v>305</v>
      </c>
      <c r="P5172" s="6"/>
      <c r="Q5172" t="s" s="2">
        <v>43</v>
      </c>
      <c r="R5172" s="5">
        <f>_xlfn.IFERROR(INDEX('model_byCAP'!$D$2:$D$377,MATCH(Q5172,'model_byCAP'!$A$2:$A$377,0)),0)</f>
        <v>0</v>
      </c>
    </row>
    <row r="5173" ht="15.35" customHeight="1">
      <c r="A5173" t="s" s="2">
        <v>9632</v>
      </c>
      <c r="B5173" s="4">
        <v>42145</v>
      </c>
      <c r="C5173" s="5">
        <v>10</v>
      </c>
      <c r="D5173" s="5">
        <v>13</v>
      </c>
      <c r="E5173" s="5">
        <v>18</v>
      </c>
      <c r="F5173" t="s" s="2">
        <v>42</v>
      </c>
      <c r="G5173" t="s" s="2">
        <v>42</v>
      </c>
      <c r="H5173" s="5">
        <v>360</v>
      </c>
      <c r="I5173" t="s" s="2">
        <v>463</v>
      </c>
      <c r="J5173" t="s" s="2">
        <v>9204</v>
      </c>
      <c r="K5173" s="6"/>
      <c r="L5173" s="6"/>
      <c r="M5173" s="5">
        <v>654127.42</v>
      </c>
      <c r="N5173" s="5">
        <v>6073646.75</v>
      </c>
      <c r="O5173" t="s" s="2">
        <v>305</v>
      </c>
      <c r="P5173" s="6"/>
      <c r="Q5173" t="s" s="2">
        <v>43</v>
      </c>
      <c r="R5173" s="5">
        <f>_xlfn.IFERROR(INDEX('model_byCAP'!$D$2:$D$377,MATCH(Q5173,'model_byCAP'!$A$2:$A$377,0)),0)</f>
        <v>0</v>
      </c>
    </row>
    <row r="5174" ht="15.35" customHeight="1">
      <c r="A5174" t="s" s="2">
        <v>9633</v>
      </c>
      <c r="B5174" s="4">
        <v>41948</v>
      </c>
      <c r="C5174" s="5">
        <v>10</v>
      </c>
      <c r="D5174" s="5">
        <v>13</v>
      </c>
      <c r="E5174" s="5">
        <v>18.2</v>
      </c>
      <c r="F5174" t="s" s="2">
        <v>42</v>
      </c>
      <c r="G5174" t="s" s="2">
        <v>42</v>
      </c>
      <c r="H5174" s="5">
        <v>360</v>
      </c>
      <c r="I5174" t="s" s="2">
        <v>463</v>
      </c>
      <c r="J5174" t="s" s="2">
        <v>9204</v>
      </c>
      <c r="K5174" s="6"/>
      <c r="L5174" s="6"/>
      <c r="M5174" s="5">
        <v>637660.41</v>
      </c>
      <c r="N5174" s="5">
        <v>6074593.76</v>
      </c>
      <c r="O5174" t="s" s="2">
        <v>305</v>
      </c>
      <c r="P5174" s="6"/>
      <c r="Q5174" t="s" s="2">
        <v>43</v>
      </c>
      <c r="R5174" s="5">
        <f>_xlfn.IFERROR(INDEX('model_byCAP'!$D$2:$D$377,MATCH(Q5174,'model_byCAP'!$A$2:$A$377,0)),0)</f>
        <v>0</v>
      </c>
    </row>
    <row r="5175" ht="15.35" customHeight="1">
      <c r="A5175" t="s" s="2">
        <v>9634</v>
      </c>
      <c r="B5175" s="4">
        <v>41948</v>
      </c>
      <c r="C5175" s="5">
        <v>10</v>
      </c>
      <c r="D5175" s="5">
        <v>7.1</v>
      </c>
      <c r="E5175" s="5">
        <v>21.4</v>
      </c>
      <c r="F5175" t="s" s="2">
        <v>42</v>
      </c>
      <c r="G5175" t="s" s="2">
        <v>42</v>
      </c>
      <c r="H5175" s="5">
        <v>360</v>
      </c>
      <c r="I5175" t="s" s="2">
        <v>463</v>
      </c>
      <c r="J5175" t="s" s="2">
        <v>9204</v>
      </c>
      <c r="K5175" s="6"/>
      <c r="L5175" s="6"/>
      <c r="M5175" s="5">
        <v>633388.33</v>
      </c>
      <c r="N5175" s="5">
        <v>6081511.58</v>
      </c>
      <c r="O5175" t="s" s="2">
        <v>305</v>
      </c>
      <c r="P5175" s="6"/>
      <c r="Q5175" t="s" s="2">
        <v>43</v>
      </c>
      <c r="R5175" s="5">
        <f>_xlfn.IFERROR(INDEX('model_byCAP'!$D$2:$D$377,MATCH(Q5175,'model_byCAP'!$A$2:$A$377,0)),0)</f>
        <v>0</v>
      </c>
    </row>
    <row r="5176" ht="15.35" customHeight="1">
      <c r="A5176" t="s" s="2">
        <v>9635</v>
      </c>
      <c r="B5176" s="4">
        <v>42121</v>
      </c>
      <c r="C5176" s="5">
        <v>10</v>
      </c>
      <c r="D5176" s="5">
        <v>13</v>
      </c>
      <c r="E5176" s="5">
        <v>18.2</v>
      </c>
      <c r="F5176" t="s" s="2">
        <v>42</v>
      </c>
      <c r="G5176" t="s" s="2">
        <v>42</v>
      </c>
      <c r="H5176" s="5">
        <v>360</v>
      </c>
      <c r="I5176" t="s" s="2">
        <v>463</v>
      </c>
      <c r="J5176" t="s" s="2">
        <v>9204</v>
      </c>
      <c r="K5176" s="6"/>
      <c r="L5176" s="6"/>
      <c r="M5176" s="6"/>
      <c r="N5176" s="6"/>
      <c r="O5176" t="s" s="2">
        <v>25</v>
      </c>
      <c r="P5176" s="6"/>
      <c r="Q5176" t="s" s="2">
        <v>43</v>
      </c>
      <c r="R5176" s="5">
        <f>_xlfn.IFERROR(INDEX('model_byCAP'!$D$2:$D$377,MATCH(Q5176,'model_byCAP'!$A$2:$A$377,0)),0)</f>
        <v>0</v>
      </c>
    </row>
    <row r="5177" ht="15.35" customHeight="1">
      <c r="A5177" t="s" s="2">
        <v>9636</v>
      </c>
      <c r="B5177" s="4">
        <v>42156</v>
      </c>
      <c r="C5177" s="5">
        <v>10</v>
      </c>
      <c r="D5177" s="5">
        <v>13</v>
      </c>
      <c r="E5177" s="5">
        <v>18.2</v>
      </c>
      <c r="F5177" t="s" s="2">
        <v>9471</v>
      </c>
      <c r="G5177" t="s" s="2">
        <v>9606</v>
      </c>
      <c r="H5177" s="5">
        <v>360</v>
      </c>
      <c r="I5177" t="s" s="2">
        <v>463</v>
      </c>
      <c r="J5177" t="s" s="2">
        <v>9204</v>
      </c>
      <c r="K5177" s="6"/>
      <c r="L5177" s="6"/>
      <c r="M5177" s="6"/>
      <c r="N5177" s="6"/>
      <c r="O5177" t="s" s="2">
        <v>25</v>
      </c>
      <c r="P5177" s="6"/>
      <c r="Q5177" t="s" s="2">
        <v>9607</v>
      </c>
      <c r="R5177" s="5">
        <f>_xlfn.IFERROR(INDEX('model_byCAP'!$D$2:$D$377,MATCH(Q5177,'model_byCAP'!$A$2:$A$377,0)),0)</f>
        <v>0</v>
      </c>
    </row>
    <row r="5178" ht="15.35" customHeight="1">
      <c r="A5178" t="s" s="2">
        <v>9637</v>
      </c>
      <c r="B5178" s="4">
        <v>42228</v>
      </c>
      <c r="C5178" s="5">
        <v>10</v>
      </c>
      <c r="D5178" s="5">
        <v>14</v>
      </c>
      <c r="E5178" s="5">
        <v>18</v>
      </c>
      <c r="F5178" t="s" s="2">
        <v>9209</v>
      </c>
      <c r="G5178" t="s" s="2">
        <v>9638</v>
      </c>
      <c r="H5178" s="5">
        <v>360</v>
      </c>
      <c r="I5178" t="s" s="2">
        <v>463</v>
      </c>
      <c r="J5178" t="s" s="2">
        <v>9204</v>
      </c>
      <c r="K5178" s="6"/>
      <c r="L5178" s="6"/>
      <c r="M5178" s="6"/>
      <c r="N5178" s="6"/>
      <c r="O5178" t="s" s="2">
        <v>25</v>
      </c>
      <c r="P5178" s="6"/>
      <c r="Q5178" t="s" s="2">
        <v>9639</v>
      </c>
      <c r="R5178" s="5">
        <f>_xlfn.IFERROR(INDEX('model_byCAP'!$D$2:$D$377,MATCH(Q5178,'model_byCAP'!$A$2:$A$377,0)),0)</f>
        <v>0</v>
      </c>
    </row>
    <row r="5179" ht="15.35" customHeight="1">
      <c r="A5179" t="s" s="2">
        <v>9640</v>
      </c>
      <c r="B5179" s="4">
        <v>42279</v>
      </c>
      <c r="C5179" s="5">
        <v>10</v>
      </c>
      <c r="D5179" s="5">
        <v>14</v>
      </c>
      <c r="E5179" s="5">
        <v>18</v>
      </c>
      <c r="F5179" t="s" s="2">
        <v>9209</v>
      </c>
      <c r="G5179" t="s" s="2">
        <v>9293</v>
      </c>
      <c r="H5179" s="5">
        <v>360</v>
      </c>
      <c r="I5179" t="s" s="2">
        <v>463</v>
      </c>
      <c r="J5179" t="s" s="2">
        <v>9204</v>
      </c>
      <c r="K5179" s="6"/>
      <c r="L5179" s="6"/>
      <c r="M5179" s="6"/>
      <c r="N5179" s="6"/>
      <c r="O5179" t="s" s="2">
        <v>25</v>
      </c>
      <c r="P5179" s="6"/>
      <c r="Q5179" t="s" s="2">
        <v>9295</v>
      </c>
      <c r="R5179" t="s" s="2">
        <f>_xlfn.IFERROR(INDEX('model_byCAP'!$D$2:$D$377,MATCH(Q5179,'model_byCAP'!$A$2:$A$377,0)),0)</f>
        <v>8430</v>
      </c>
    </row>
    <row r="5180" ht="15.35" customHeight="1">
      <c r="A5180" t="s" s="2">
        <v>9641</v>
      </c>
      <c r="B5180" s="4">
        <v>42241</v>
      </c>
      <c r="C5180" s="5">
        <v>10</v>
      </c>
      <c r="D5180" s="5">
        <v>14</v>
      </c>
      <c r="E5180" s="5">
        <v>18</v>
      </c>
      <c r="F5180" t="s" s="2">
        <v>9209</v>
      </c>
      <c r="G5180" t="s" s="2">
        <v>9293</v>
      </c>
      <c r="H5180" s="5">
        <v>360</v>
      </c>
      <c r="I5180" t="s" s="2">
        <v>463</v>
      </c>
      <c r="J5180" t="s" s="2">
        <v>9204</v>
      </c>
      <c r="K5180" s="6"/>
      <c r="L5180" s="6"/>
      <c r="M5180" s="5">
        <v>660420.77</v>
      </c>
      <c r="N5180" s="5">
        <v>6060071.94</v>
      </c>
      <c r="O5180" t="s" s="2">
        <v>305</v>
      </c>
      <c r="P5180" s="6"/>
      <c r="Q5180" t="s" s="2">
        <v>9295</v>
      </c>
      <c r="R5180" t="s" s="2">
        <f>_xlfn.IFERROR(INDEX('model_byCAP'!$D$2:$D$377,MATCH(Q5180,'model_byCAP'!$A$2:$A$377,0)),0)</f>
        <v>8430</v>
      </c>
    </row>
    <row r="5181" ht="15.35" customHeight="1">
      <c r="A5181" t="s" s="2">
        <v>9642</v>
      </c>
      <c r="B5181" s="4">
        <v>42353</v>
      </c>
      <c r="C5181" s="5">
        <v>10</v>
      </c>
      <c r="D5181" s="5">
        <v>14</v>
      </c>
      <c r="E5181" s="5">
        <v>18</v>
      </c>
      <c r="F5181" t="s" s="2">
        <v>9209</v>
      </c>
      <c r="G5181" t="s" s="2">
        <v>9293</v>
      </c>
      <c r="H5181" s="5">
        <v>360</v>
      </c>
      <c r="I5181" t="s" s="2">
        <v>463</v>
      </c>
      <c r="J5181" t="s" s="2">
        <v>9204</v>
      </c>
      <c r="K5181" s="6"/>
      <c r="L5181" s="6"/>
      <c r="M5181" s="6"/>
      <c r="N5181" s="6"/>
      <c r="O5181" t="s" s="2">
        <v>25</v>
      </c>
      <c r="P5181" s="6"/>
      <c r="Q5181" t="s" s="2">
        <v>9295</v>
      </c>
      <c r="R5181" t="s" s="2">
        <f>_xlfn.IFERROR(INDEX('model_byCAP'!$D$2:$D$377,MATCH(Q5181,'model_byCAP'!$A$2:$A$377,0)),0)</f>
        <v>8430</v>
      </c>
    </row>
    <row r="5182" ht="15.35" customHeight="1">
      <c r="A5182" t="s" s="2">
        <v>9643</v>
      </c>
      <c r="B5182" s="4">
        <v>42724</v>
      </c>
      <c r="C5182" s="5">
        <v>10</v>
      </c>
      <c r="D5182" s="5">
        <v>7.1</v>
      </c>
      <c r="E5182" s="5">
        <v>21.4</v>
      </c>
      <c r="F5182" t="s" s="2">
        <v>42</v>
      </c>
      <c r="G5182" t="s" s="2">
        <v>42</v>
      </c>
      <c r="H5182" s="5">
        <v>360</v>
      </c>
      <c r="I5182" t="s" s="2">
        <v>463</v>
      </c>
      <c r="J5182" t="s" s="2">
        <v>9204</v>
      </c>
      <c r="K5182" s="6"/>
      <c r="L5182" s="6"/>
      <c r="M5182" s="6"/>
      <c r="N5182" s="6"/>
      <c r="O5182" t="s" s="2">
        <v>25</v>
      </c>
      <c r="P5182" s="6"/>
      <c r="Q5182" t="s" s="2">
        <v>43</v>
      </c>
      <c r="R5182" s="5">
        <f>_xlfn.IFERROR(INDEX('model_byCAP'!$D$2:$D$377,MATCH(Q5182,'model_byCAP'!$A$2:$A$377,0)),0)</f>
        <v>0</v>
      </c>
    </row>
    <row r="5183" ht="15.35" customHeight="1">
      <c r="A5183" t="s" s="2">
        <v>9644</v>
      </c>
      <c r="B5183" s="4">
        <v>41540</v>
      </c>
      <c r="C5183" s="5">
        <v>10</v>
      </c>
      <c r="D5183" s="5">
        <v>7.1</v>
      </c>
      <c r="E5183" s="5">
        <v>21</v>
      </c>
      <c r="F5183" t="s" s="2">
        <v>42</v>
      </c>
      <c r="G5183" t="s" s="2">
        <v>42</v>
      </c>
      <c r="H5183" s="5">
        <v>370</v>
      </c>
      <c r="I5183" t="s" s="2">
        <v>520</v>
      </c>
      <c r="J5183" t="s" s="2">
        <v>9204</v>
      </c>
      <c r="K5183" s="6"/>
      <c r="L5183" s="6"/>
      <c r="M5183" s="6"/>
      <c r="N5183" s="6"/>
      <c r="O5183" t="s" s="2">
        <v>25</v>
      </c>
      <c r="P5183" s="6"/>
      <c r="Q5183" t="s" s="2">
        <v>43</v>
      </c>
      <c r="R5183" s="5">
        <f>_xlfn.IFERROR(INDEX('model_byCAP'!$D$2:$D$377,MATCH(Q5183,'model_byCAP'!$A$2:$A$377,0)),0)</f>
        <v>0</v>
      </c>
    </row>
    <row r="5184" ht="15.35" customHeight="1">
      <c r="A5184" t="s" s="2">
        <v>9645</v>
      </c>
      <c r="B5184" s="4">
        <v>41730</v>
      </c>
      <c r="C5184" s="5">
        <v>10</v>
      </c>
      <c r="D5184" s="5">
        <v>7.1</v>
      </c>
      <c r="E5184" s="5">
        <v>22</v>
      </c>
      <c r="F5184" t="s" s="2">
        <v>42</v>
      </c>
      <c r="G5184" t="s" s="2">
        <v>42</v>
      </c>
      <c r="H5184" s="5">
        <v>370</v>
      </c>
      <c r="I5184" t="s" s="2">
        <v>520</v>
      </c>
      <c r="J5184" t="s" s="2">
        <v>9204</v>
      </c>
      <c r="K5184" s="6"/>
      <c r="L5184" s="6"/>
      <c r="M5184" s="6"/>
      <c r="N5184" s="6"/>
      <c r="O5184" t="s" s="2">
        <v>25</v>
      </c>
      <c r="P5184" s="6"/>
      <c r="Q5184" t="s" s="2">
        <v>43</v>
      </c>
      <c r="R5184" s="5">
        <f>_xlfn.IFERROR(INDEX('model_byCAP'!$D$2:$D$377,MATCH(Q5184,'model_byCAP'!$A$2:$A$377,0)),0)</f>
        <v>0</v>
      </c>
    </row>
    <row r="5185" ht="15.35" customHeight="1">
      <c r="A5185" t="s" s="2">
        <v>9646</v>
      </c>
      <c r="B5185" s="4">
        <v>41730</v>
      </c>
      <c r="C5185" s="5">
        <v>10</v>
      </c>
      <c r="D5185" s="5">
        <v>7.1</v>
      </c>
      <c r="E5185" s="5">
        <v>21.5</v>
      </c>
      <c r="F5185" t="s" s="2">
        <v>42</v>
      </c>
      <c r="G5185" t="s" s="2">
        <v>42</v>
      </c>
      <c r="H5185" s="5">
        <v>370</v>
      </c>
      <c r="I5185" t="s" s="2">
        <v>520</v>
      </c>
      <c r="J5185" t="s" s="2">
        <v>9204</v>
      </c>
      <c r="K5185" s="6"/>
      <c r="L5185" s="6"/>
      <c r="M5185" s="5">
        <v>684368.17</v>
      </c>
      <c r="N5185" s="5">
        <v>6118004.36</v>
      </c>
      <c r="O5185" t="s" s="2">
        <v>305</v>
      </c>
      <c r="P5185" s="6"/>
      <c r="Q5185" t="s" s="2">
        <v>43</v>
      </c>
      <c r="R5185" s="5">
        <f>_xlfn.IFERROR(INDEX('model_byCAP'!$D$2:$D$377,MATCH(Q5185,'model_byCAP'!$A$2:$A$377,0)),0)</f>
        <v>0</v>
      </c>
    </row>
    <row r="5186" ht="15.35" customHeight="1">
      <c r="A5186" t="s" s="2">
        <v>9647</v>
      </c>
      <c r="B5186" s="4">
        <v>41975</v>
      </c>
      <c r="C5186" s="5">
        <v>10</v>
      </c>
      <c r="D5186" s="5">
        <v>13</v>
      </c>
      <c r="E5186" s="5">
        <v>18.2</v>
      </c>
      <c r="F5186" t="s" s="2">
        <v>42</v>
      </c>
      <c r="G5186" t="s" s="2">
        <v>42</v>
      </c>
      <c r="H5186" s="5">
        <v>370</v>
      </c>
      <c r="I5186" t="s" s="2">
        <v>520</v>
      </c>
      <c r="J5186" t="s" s="2">
        <v>9204</v>
      </c>
      <c r="K5186" s="6"/>
      <c r="L5186" s="6"/>
      <c r="M5186" s="5">
        <v>683988.9399999999</v>
      </c>
      <c r="N5186" s="5">
        <v>6117630.75</v>
      </c>
      <c r="O5186" t="s" s="2">
        <v>305</v>
      </c>
      <c r="P5186" s="6"/>
      <c r="Q5186" t="s" s="2">
        <v>43</v>
      </c>
      <c r="R5186" s="5">
        <f>_xlfn.IFERROR(INDEX('model_byCAP'!$D$2:$D$377,MATCH(Q5186,'model_byCAP'!$A$2:$A$377,0)),0)</f>
        <v>0</v>
      </c>
    </row>
    <row r="5187" ht="15.35" customHeight="1">
      <c r="A5187" t="s" s="2">
        <v>9648</v>
      </c>
      <c r="B5187" s="4">
        <v>42780</v>
      </c>
      <c r="C5187" s="5">
        <v>10</v>
      </c>
      <c r="D5187" s="5">
        <v>14</v>
      </c>
      <c r="E5187" s="5">
        <v>18</v>
      </c>
      <c r="F5187" t="s" s="2">
        <v>9209</v>
      </c>
      <c r="G5187" t="s" s="2">
        <v>9293</v>
      </c>
      <c r="H5187" s="5">
        <v>370</v>
      </c>
      <c r="I5187" t="s" s="2">
        <v>520</v>
      </c>
      <c r="J5187" t="s" s="2">
        <v>9204</v>
      </c>
      <c r="K5187" s="6"/>
      <c r="L5187" s="6"/>
      <c r="M5187" s="6"/>
      <c r="N5187" s="6"/>
      <c r="O5187" t="s" s="2">
        <v>25</v>
      </c>
      <c r="P5187" s="6"/>
      <c r="Q5187" t="s" s="2">
        <v>9295</v>
      </c>
      <c r="R5187" t="s" s="2">
        <f>_xlfn.IFERROR(INDEX('model_byCAP'!$D$2:$D$377,MATCH(Q5187,'model_byCAP'!$A$2:$A$377,0)),0)</f>
        <v>8430</v>
      </c>
    </row>
    <row r="5188" ht="15.35" customHeight="1">
      <c r="A5188" t="s" s="2">
        <v>9649</v>
      </c>
      <c r="B5188" s="4">
        <v>41699</v>
      </c>
      <c r="C5188" s="5">
        <v>10</v>
      </c>
      <c r="D5188" s="5">
        <v>13</v>
      </c>
      <c r="E5188" s="5">
        <v>18</v>
      </c>
      <c r="F5188" t="s" s="2">
        <v>42</v>
      </c>
      <c r="G5188" t="s" s="2">
        <v>42</v>
      </c>
      <c r="H5188" s="5">
        <v>376</v>
      </c>
      <c r="I5188" t="s" s="2">
        <v>1991</v>
      </c>
      <c r="J5188" t="s" s="2">
        <v>9204</v>
      </c>
      <c r="K5188" s="6"/>
      <c r="L5188" s="6"/>
      <c r="M5188" s="5">
        <v>697526.1</v>
      </c>
      <c r="N5188" s="5">
        <v>6080725.01</v>
      </c>
      <c r="O5188" t="s" s="2">
        <v>305</v>
      </c>
      <c r="P5188" s="6"/>
      <c r="Q5188" t="s" s="2">
        <v>43</v>
      </c>
      <c r="R5188" s="5">
        <f>_xlfn.IFERROR(INDEX('model_byCAP'!$D$2:$D$377,MATCH(Q5188,'model_byCAP'!$A$2:$A$377,0)),0)</f>
        <v>0</v>
      </c>
    </row>
    <row r="5189" ht="15.35" customHeight="1">
      <c r="A5189" t="s" s="2">
        <v>9650</v>
      </c>
      <c r="B5189" s="4">
        <v>41620</v>
      </c>
      <c r="C5189" s="5">
        <v>10</v>
      </c>
      <c r="D5189" s="5">
        <v>13</v>
      </c>
      <c r="E5189" s="5">
        <v>18</v>
      </c>
      <c r="F5189" t="s" s="2">
        <v>42</v>
      </c>
      <c r="G5189" t="s" s="2">
        <v>42</v>
      </c>
      <c r="H5189" s="5">
        <v>376</v>
      </c>
      <c r="I5189" t="s" s="2">
        <v>1991</v>
      </c>
      <c r="J5189" t="s" s="2">
        <v>9204</v>
      </c>
      <c r="K5189" s="6"/>
      <c r="L5189" s="6"/>
      <c r="M5189" s="6"/>
      <c r="N5189" s="6"/>
      <c r="O5189" t="s" s="2">
        <v>25</v>
      </c>
      <c r="P5189" s="6"/>
      <c r="Q5189" t="s" s="2">
        <v>43</v>
      </c>
      <c r="R5189" s="5">
        <f>_xlfn.IFERROR(INDEX('model_byCAP'!$D$2:$D$377,MATCH(Q5189,'model_byCAP'!$A$2:$A$377,0)),0)</f>
        <v>0</v>
      </c>
    </row>
    <row r="5190" ht="15.35" customHeight="1">
      <c r="A5190" t="s" s="2">
        <v>9651</v>
      </c>
      <c r="B5190" s="4">
        <v>41609</v>
      </c>
      <c r="C5190" s="5">
        <v>10</v>
      </c>
      <c r="D5190" s="5">
        <v>13</v>
      </c>
      <c r="E5190" s="5">
        <v>18</v>
      </c>
      <c r="F5190" t="s" s="2">
        <v>42</v>
      </c>
      <c r="G5190" t="s" s="2">
        <v>42</v>
      </c>
      <c r="H5190" s="5">
        <v>376</v>
      </c>
      <c r="I5190" t="s" s="2">
        <v>1991</v>
      </c>
      <c r="J5190" t="s" s="2">
        <v>9204</v>
      </c>
      <c r="K5190" s="6"/>
      <c r="L5190" s="6"/>
      <c r="M5190" s="5">
        <v>666171.95</v>
      </c>
      <c r="N5190" s="5">
        <v>6064665.89</v>
      </c>
      <c r="O5190" t="s" s="2">
        <v>305</v>
      </c>
      <c r="P5190" s="6"/>
      <c r="Q5190" t="s" s="2">
        <v>43</v>
      </c>
      <c r="R5190" s="5">
        <f>_xlfn.IFERROR(INDEX('model_byCAP'!$D$2:$D$377,MATCH(Q5190,'model_byCAP'!$A$2:$A$377,0)),0)</f>
        <v>0</v>
      </c>
    </row>
    <row r="5191" ht="15.35" customHeight="1">
      <c r="A5191" t="s" s="2">
        <v>9652</v>
      </c>
      <c r="B5191" s="4">
        <v>41627</v>
      </c>
      <c r="C5191" s="5">
        <v>10</v>
      </c>
      <c r="D5191" s="5">
        <v>13</v>
      </c>
      <c r="E5191" s="5">
        <v>18</v>
      </c>
      <c r="F5191" t="s" s="2">
        <v>42</v>
      </c>
      <c r="G5191" t="s" s="2">
        <v>42</v>
      </c>
      <c r="H5191" s="5">
        <v>376</v>
      </c>
      <c r="I5191" t="s" s="2">
        <v>1991</v>
      </c>
      <c r="J5191" t="s" s="2">
        <v>9204</v>
      </c>
      <c r="K5191" s="6"/>
      <c r="L5191" s="6"/>
      <c r="M5191" s="5">
        <v>673627.24</v>
      </c>
      <c r="N5191" s="5">
        <v>6063600.52</v>
      </c>
      <c r="O5191" t="s" s="2">
        <v>305</v>
      </c>
      <c r="P5191" s="6"/>
      <c r="Q5191" t="s" s="2">
        <v>43</v>
      </c>
      <c r="R5191" s="5">
        <f>_xlfn.IFERROR(INDEX('model_byCAP'!$D$2:$D$377,MATCH(Q5191,'model_byCAP'!$A$2:$A$377,0)),0)</f>
        <v>0</v>
      </c>
    </row>
    <row r="5192" ht="15.35" customHeight="1">
      <c r="A5192" t="s" s="2">
        <v>9653</v>
      </c>
      <c r="B5192" s="4">
        <v>41730</v>
      </c>
      <c r="C5192" s="5">
        <v>10</v>
      </c>
      <c r="D5192" s="5">
        <v>13</v>
      </c>
      <c r="E5192" s="5">
        <v>18</v>
      </c>
      <c r="F5192" t="s" s="2">
        <v>42</v>
      </c>
      <c r="G5192" t="s" s="2">
        <v>42</v>
      </c>
      <c r="H5192" s="5">
        <v>376</v>
      </c>
      <c r="I5192" t="s" s="2">
        <v>1991</v>
      </c>
      <c r="J5192" t="s" s="2">
        <v>9204</v>
      </c>
      <c r="K5192" s="6"/>
      <c r="L5192" s="6"/>
      <c r="M5192" s="5">
        <v>688308.16</v>
      </c>
      <c r="N5192" s="5">
        <v>6055384.64</v>
      </c>
      <c r="O5192" t="s" s="2">
        <v>305</v>
      </c>
      <c r="P5192" s="6"/>
      <c r="Q5192" t="s" s="2">
        <v>43</v>
      </c>
      <c r="R5192" s="5">
        <f>_xlfn.IFERROR(INDEX('model_byCAP'!$D$2:$D$377,MATCH(Q5192,'model_byCAP'!$A$2:$A$377,0)),0)</f>
        <v>0</v>
      </c>
    </row>
    <row r="5193" ht="15.35" customHeight="1">
      <c r="A5193" t="s" s="2">
        <v>9654</v>
      </c>
      <c r="B5193" s="4">
        <v>41836</v>
      </c>
      <c r="C5193" s="5">
        <v>10</v>
      </c>
      <c r="D5193" s="5">
        <v>13</v>
      </c>
      <c r="E5193" s="5">
        <v>18</v>
      </c>
      <c r="F5193" t="s" s="2">
        <v>42</v>
      </c>
      <c r="G5193" t="s" s="2">
        <v>42</v>
      </c>
      <c r="H5193" s="5">
        <v>376</v>
      </c>
      <c r="I5193" t="s" s="2">
        <v>1991</v>
      </c>
      <c r="J5193" t="s" s="2">
        <v>9204</v>
      </c>
      <c r="K5193" s="6"/>
      <c r="L5193" s="6"/>
      <c r="M5193" s="5">
        <v>698761.86</v>
      </c>
      <c r="N5193" s="5">
        <v>6080714.65</v>
      </c>
      <c r="O5193" t="s" s="2">
        <v>305</v>
      </c>
      <c r="P5193" s="6"/>
      <c r="Q5193" t="s" s="2">
        <v>43</v>
      </c>
      <c r="R5193" s="5">
        <f>_xlfn.IFERROR(INDEX('model_byCAP'!$D$2:$D$377,MATCH(Q5193,'model_byCAP'!$A$2:$A$377,0)),0)</f>
        <v>0</v>
      </c>
    </row>
    <row r="5194" ht="15.35" customHeight="1">
      <c r="A5194" t="s" s="2">
        <v>9655</v>
      </c>
      <c r="B5194" s="4">
        <v>42179</v>
      </c>
      <c r="C5194" s="5">
        <v>10</v>
      </c>
      <c r="D5194" s="5">
        <v>13</v>
      </c>
      <c r="E5194" s="5">
        <v>18</v>
      </c>
      <c r="F5194" t="s" s="2">
        <v>9471</v>
      </c>
      <c r="G5194" t="s" s="2">
        <v>9606</v>
      </c>
      <c r="H5194" s="5">
        <v>376</v>
      </c>
      <c r="I5194" t="s" s="2">
        <v>1991</v>
      </c>
      <c r="J5194" t="s" s="2">
        <v>9204</v>
      </c>
      <c r="K5194" s="6"/>
      <c r="L5194" s="6"/>
      <c r="M5194" s="5">
        <v>672084.23</v>
      </c>
      <c r="N5194" s="5">
        <v>6062297.47</v>
      </c>
      <c r="O5194" t="s" s="2">
        <v>305</v>
      </c>
      <c r="P5194" s="6"/>
      <c r="Q5194" t="s" s="2">
        <v>9607</v>
      </c>
      <c r="R5194" s="5">
        <f>_xlfn.IFERROR(INDEX('model_byCAP'!$D$2:$D$377,MATCH(Q5194,'model_byCAP'!$A$2:$A$377,0)),0)</f>
        <v>0</v>
      </c>
    </row>
    <row r="5195" ht="15.35" customHeight="1">
      <c r="A5195" t="s" s="2">
        <v>9656</v>
      </c>
      <c r="B5195" s="4">
        <v>42186</v>
      </c>
      <c r="C5195" s="5">
        <v>10</v>
      </c>
      <c r="D5195" s="5">
        <v>13</v>
      </c>
      <c r="E5195" s="5">
        <v>18.2</v>
      </c>
      <c r="F5195" t="s" s="2">
        <v>9471</v>
      </c>
      <c r="G5195" t="s" s="2">
        <v>9606</v>
      </c>
      <c r="H5195" s="5">
        <v>376</v>
      </c>
      <c r="I5195" t="s" s="2">
        <v>1991</v>
      </c>
      <c r="J5195" t="s" s="2">
        <v>9204</v>
      </c>
      <c r="K5195" s="6"/>
      <c r="L5195" s="6"/>
      <c r="M5195" s="6"/>
      <c r="N5195" s="6"/>
      <c r="O5195" t="s" s="2">
        <v>25</v>
      </c>
      <c r="P5195" s="6"/>
      <c r="Q5195" t="s" s="2">
        <v>9607</v>
      </c>
      <c r="R5195" s="5">
        <f>_xlfn.IFERROR(INDEX('model_byCAP'!$D$2:$D$377,MATCH(Q5195,'model_byCAP'!$A$2:$A$377,0)),0)</f>
        <v>0</v>
      </c>
    </row>
    <row r="5196" ht="15.35" customHeight="1">
      <c r="A5196" t="s" s="2">
        <v>9657</v>
      </c>
      <c r="B5196" s="4">
        <v>42146</v>
      </c>
      <c r="C5196" s="5">
        <v>10</v>
      </c>
      <c r="D5196" s="5">
        <v>13</v>
      </c>
      <c r="E5196" s="5">
        <v>18.2</v>
      </c>
      <c r="F5196" t="s" s="2">
        <v>9471</v>
      </c>
      <c r="G5196" t="s" s="2">
        <v>9606</v>
      </c>
      <c r="H5196" s="5">
        <v>376</v>
      </c>
      <c r="I5196" t="s" s="2">
        <v>1991</v>
      </c>
      <c r="J5196" t="s" s="2">
        <v>9204</v>
      </c>
      <c r="K5196" s="6"/>
      <c r="L5196" s="6"/>
      <c r="M5196" s="5">
        <v>700376.1800000001</v>
      </c>
      <c r="N5196" s="5">
        <v>6080676.5</v>
      </c>
      <c r="O5196" t="s" s="2">
        <v>305</v>
      </c>
      <c r="P5196" s="6"/>
      <c r="Q5196" t="s" s="2">
        <v>9607</v>
      </c>
      <c r="R5196" s="5">
        <f>_xlfn.IFERROR(INDEX('model_byCAP'!$D$2:$D$377,MATCH(Q5196,'model_byCAP'!$A$2:$A$377,0)),0)</f>
        <v>0</v>
      </c>
    </row>
    <row r="5197" ht="15.35" customHeight="1">
      <c r="A5197" t="s" s="2">
        <v>9658</v>
      </c>
      <c r="B5197" s="4">
        <v>42179</v>
      </c>
      <c r="C5197" s="5">
        <v>10</v>
      </c>
      <c r="D5197" s="5">
        <v>13</v>
      </c>
      <c r="E5197" s="5">
        <v>18.2</v>
      </c>
      <c r="F5197" t="s" s="2">
        <v>9471</v>
      </c>
      <c r="G5197" t="s" s="2">
        <v>9606</v>
      </c>
      <c r="H5197" s="5">
        <v>376</v>
      </c>
      <c r="I5197" t="s" s="2">
        <v>1991</v>
      </c>
      <c r="J5197" t="s" s="2">
        <v>9204</v>
      </c>
      <c r="K5197" s="6"/>
      <c r="L5197" s="6"/>
      <c r="M5197" s="5">
        <v>669427.36</v>
      </c>
      <c r="N5197" s="5">
        <v>6064072.21</v>
      </c>
      <c r="O5197" t="s" s="2">
        <v>305</v>
      </c>
      <c r="P5197" s="6"/>
      <c r="Q5197" t="s" s="2">
        <v>9607</v>
      </c>
      <c r="R5197" s="5">
        <f>_xlfn.IFERROR(INDEX('model_byCAP'!$D$2:$D$377,MATCH(Q5197,'model_byCAP'!$A$2:$A$377,0)),0)</f>
        <v>0</v>
      </c>
    </row>
    <row r="5198" ht="15.35" customHeight="1">
      <c r="A5198" t="s" s="2">
        <v>9659</v>
      </c>
      <c r="B5198" s="4">
        <v>42192</v>
      </c>
      <c r="C5198" s="5">
        <v>10</v>
      </c>
      <c r="D5198" s="5">
        <v>13</v>
      </c>
      <c r="E5198" s="5">
        <v>18</v>
      </c>
      <c r="F5198" t="s" s="2">
        <v>42</v>
      </c>
      <c r="G5198" t="s" s="2">
        <v>42</v>
      </c>
      <c r="H5198" s="5">
        <v>376</v>
      </c>
      <c r="I5198" t="s" s="2">
        <v>1991</v>
      </c>
      <c r="J5198" t="s" s="2">
        <v>9204</v>
      </c>
      <c r="K5198" s="6"/>
      <c r="L5198" s="6"/>
      <c r="M5198" s="5">
        <v>698016.54</v>
      </c>
      <c r="N5198" s="5">
        <v>6078215.7</v>
      </c>
      <c r="O5198" t="s" s="2">
        <v>305</v>
      </c>
      <c r="P5198" s="6"/>
      <c r="Q5198" t="s" s="2">
        <v>43</v>
      </c>
      <c r="R5198" s="5">
        <f>_xlfn.IFERROR(INDEX('model_byCAP'!$D$2:$D$377,MATCH(Q5198,'model_byCAP'!$A$2:$A$377,0)),0)</f>
        <v>0</v>
      </c>
    </row>
    <row r="5199" ht="15.35" customHeight="1">
      <c r="A5199" t="s" s="2">
        <v>9660</v>
      </c>
      <c r="B5199" s="4">
        <v>42185</v>
      </c>
      <c r="C5199" s="5">
        <v>10</v>
      </c>
      <c r="D5199" s="5">
        <v>13</v>
      </c>
      <c r="E5199" s="5">
        <v>18.2</v>
      </c>
      <c r="F5199" t="s" s="2">
        <v>9471</v>
      </c>
      <c r="G5199" t="s" s="2">
        <v>9606</v>
      </c>
      <c r="H5199" s="5">
        <v>376</v>
      </c>
      <c r="I5199" t="s" s="2">
        <v>1991</v>
      </c>
      <c r="J5199" t="s" s="2">
        <v>9204</v>
      </c>
      <c r="K5199" s="6"/>
      <c r="L5199" s="6"/>
      <c r="M5199" s="6"/>
      <c r="N5199" s="6"/>
      <c r="O5199" t="s" s="2">
        <v>25</v>
      </c>
      <c r="P5199" s="6"/>
      <c r="Q5199" t="s" s="2">
        <v>9607</v>
      </c>
      <c r="R5199" s="5">
        <f>_xlfn.IFERROR(INDEX('model_byCAP'!$D$2:$D$377,MATCH(Q5199,'model_byCAP'!$A$2:$A$377,0)),0)</f>
        <v>0</v>
      </c>
    </row>
    <row r="5200" ht="15.35" customHeight="1">
      <c r="A5200" t="s" s="2">
        <v>9661</v>
      </c>
      <c r="B5200" s="4">
        <v>42223</v>
      </c>
      <c r="C5200" s="5">
        <v>10</v>
      </c>
      <c r="D5200" s="5">
        <v>13</v>
      </c>
      <c r="E5200" s="5">
        <v>18</v>
      </c>
      <c r="F5200" t="s" s="2">
        <v>42</v>
      </c>
      <c r="G5200" t="s" s="2">
        <v>42</v>
      </c>
      <c r="H5200" s="5">
        <v>376</v>
      </c>
      <c r="I5200" t="s" s="2">
        <v>1991</v>
      </c>
      <c r="J5200" t="s" s="2">
        <v>9204</v>
      </c>
      <c r="K5200" s="6"/>
      <c r="L5200" s="6"/>
      <c r="M5200" s="5">
        <v>677913.8</v>
      </c>
      <c r="N5200" s="5">
        <v>6069420.66</v>
      </c>
      <c r="O5200" t="s" s="2">
        <v>305</v>
      </c>
      <c r="P5200" s="6"/>
      <c r="Q5200" t="s" s="2">
        <v>43</v>
      </c>
      <c r="R5200" s="5">
        <f>_xlfn.IFERROR(INDEX('model_byCAP'!$D$2:$D$377,MATCH(Q5200,'model_byCAP'!$A$2:$A$377,0)),0)</f>
        <v>0</v>
      </c>
    </row>
    <row r="5201" ht="15.35" customHeight="1">
      <c r="A5201" t="s" s="2">
        <v>9662</v>
      </c>
      <c r="B5201" s="4">
        <v>42264</v>
      </c>
      <c r="C5201" s="5">
        <v>10</v>
      </c>
      <c r="D5201" s="5">
        <v>14</v>
      </c>
      <c r="E5201" s="5">
        <v>18</v>
      </c>
      <c r="F5201" t="s" s="2">
        <v>9209</v>
      </c>
      <c r="G5201" t="s" s="2">
        <v>9293</v>
      </c>
      <c r="H5201" s="5">
        <v>376</v>
      </c>
      <c r="I5201" t="s" s="2">
        <v>1991</v>
      </c>
      <c r="J5201" t="s" s="2">
        <v>9204</v>
      </c>
      <c r="K5201" s="6"/>
      <c r="L5201" s="6"/>
      <c r="M5201" s="5">
        <v>694161.6800000001</v>
      </c>
      <c r="N5201" s="5">
        <v>6080264.01</v>
      </c>
      <c r="O5201" t="s" s="2">
        <v>305</v>
      </c>
      <c r="P5201" s="6"/>
      <c r="Q5201" t="s" s="2">
        <v>9295</v>
      </c>
      <c r="R5201" t="s" s="2">
        <f>_xlfn.IFERROR(INDEX('model_byCAP'!$D$2:$D$377,MATCH(Q5201,'model_byCAP'!$A$2:$A$377,0)),0)</f>
        <v>8430</v>
      </c>
    </row>
    <row r="5202" ht="15.35" customHeight="1">
      <c r="A5202" t="s" s="2">
        <v>9663</v>
      </c>
      <c r="B5202" s="4">
        <v>42310</v>
      </c>
      <c r="C5202" s="5">
        <v>10</v>
      </c>
      <c r="D5202" s="5">
        <v>13</v>
      </c>
      <c r="E5202" s="5">
        <v>18.2</v>
      </c>
      <c r="F5202" t="s" s="2">
        <v>9471</v>
      </c>
      <c r="G5202" t="s" s="2">
        <v>9606</v>
      </c>
      <c r="H5202" s="5">
        <v>376</v>
      </c>
      <c r="I5202" t="s" s="2">
        <v>1991</v>
      </c>
      <c r="J5202" t="s" s="2">
        <v>9204</v>
      </c>
      <c r="K5202" s="6"/>
      <c r="L5202" s="6"/>
      <c r="M5202" s="5">
        <v>672467.96</v>
      </c>
      <c r="N5202" s="5">
        <v>6065485.2</v>
      </c>
      <c r="O5202" t="s" s="2">
        <v>305</v>
      </c>
      <c r="P5202" s="6"/>
      <c r="Q5202" t="s" s="2">
        <v>9607</v>
      </c>
      <c r="R5202" s="5">
        <f>_xlfn.IFERROR(INDEX('model_byCAP'!$D$2:$D$377,MATCH(Q5202,'model_byCAP'!$A$2:$A$377,0)),0)</f>
        <v>0</v>
      </c>
    </row>
    <row r="5203" ht="15.35" customHeight="1">
      <c r="A5203" t="s" s="2">
        <v>9664</v>
      </c>
      <c r="B5203" s="4">
        <v>42751</v>
      </c>
      <c r="C5203" s="5">
        <v>10</v>
      </c>
      <c r="D5203" s="5">
        <v>14</v>
      </c>
      <c r="E5203" s="5">
        <v>18</v>
      </c>
      <c r="F5203" t="s" s="2">
        <v>9209</v>
      </c>
      <c r="G5203" t="s" s="2">
        <v>9293</v>
      </c>
      <c r="H5203" s="5">
        <v>376</v>
      </c>
      <c r="I5203" t="s" s="2">
        <v>1991</v>
      </c>
      <c r="J5203" t="s" s="2">
        <v>9204</v>
      </c>
      <c r="K5203" s="6"/>
      <c r="L5203" s="6"/>
      <c r="M5203" s="6"/>
      <c r="N5203" s="6"/>
      <c r="O5203" t="s" s="2">
        <v>25</v>
      </c>
      <c r="P5203" s="6"/>
      <c r="Q5203" t="s" s="2">
        <v>9295</v>
      </c>
      <c r="R5203" t="s" s="2">
        <f>_xlfn.IFERROR(INDEX('model_byCAP'!$D$2:$D$377,MATCH(Q5203,'model_byCAP'!$A$2:$A$377,0)),0)</f>
        <v>8430</v>
      </c>
    </row>
    <row r="5204" ht="15.35" customHeight="1">
      <c r="A5204" t="s" s="2">
        <v>9665</v>
      </c>
      <c r="B5204" s="4">
        <v>42321</v>
      </c>
      <c r="C5204" s="5">
        <v>10</v>
      </c>
      <c r="D5204" s="5">
        <v>13</v>
      </c>
      <c r="E5204" s="5">
        <v>18.2</v>
      </c>
      <c r="F5204" t="s" s="2">
        <v>9471</v>
      </c>
      <c r="G5204" t="s" s="2">
        <v>9606</v>
      </c>
      <c r="H5204" s="5">
        <v>376</v>
      </c>
      <c r="I5204" t="s" s="2">
        <v>1991</v>
      </c>
      <c r="J5204" t="s" s="2">
        <v>9204</v>
      </c>
      <c r="K5204" s="6"/>
      <c r="L5204" s="6"/>
      <c r="M5204" s="5">
        <v>677627.8</v>
      </c>
      <c r="N5204" s="5">
        <v>6065488.06</v>
      </c>
      <c r="O5204" t="s" s="2">
        <v>305</v>
      </c>
      <c r="P5204" s="6"/>
      <c r="Q5204" t="s" s="2">
        <v>9607</v>
      </c>
      <c r="R5204" s="5">
        <f>_xlfn.IFERROR(INDEX('model_byCAP'!$D$2:$D$377,MATCH(Q5204,'model_byCAP'!$A$2:$A$377,0)),0)</f>
        <v>0</v>
      </c>
    </row>
    <row r="5205" ht="15.35" customHeight="1">
      <c r="A5205" t="s" s="2">
        <v>9666</v>
      </c>
      <c r="B5205" s="4">
        <v>42335</v>
      </c>
      <c r="C5205" s="5">
        <v>10</v>
      </c>
      <c r="D5205" s="5">
        <v>7.1</v>
      </c>
      <c r="E5205" s="5">
        <v>21</v>
      </c>
      <c r="F5205" t="s" s="2">
        <v>42</v>
      </c>
      <c r="G5205" t="s" s="2">
        <v>42</v>
      </c>
      <c r="H5205" s="5">
        <v>376</v>
      </c>
      <c r="I5205" t="s" s="2">
        <v>1991</v>
      </c>
      <c r="J5205" t="s" s="2">
        <v>9204</v>
      </c>
      <c r="K5205" s="6"/>
      <c r="L5205" s="6"/>
      <c r="M5205" s="5">
        <v>684654.6800000001</v>
      </c>
      <c r="N5205" s="5">
        <v>6084286.98</v>
      </c>
      <c r="O5205" t="s" s="2">
        <v>305</v>
      </c>
      <c r="P5205" s="6"/>
      <c r="Q5205" t="s" s="2">
        <v>43</v>
      </c>
      <c r="R5205" s="5">
        <f>_xlfn.IFERROR(INDEX('model_byCAP'!$D$2:$D$377,MATCH(Q5205,'model_byCAP'!$A$2:$A$377,0)),0)</f>
        <v>0</v>
      </c>
    </row>
    <row r="5206" ht="15.35" customHeight="1">
      <c r="A5206" t="s" s="2">
        <v>9667</v>
      </c>
      <c r="B5206" s="4">
        <v>42458</v>
      </c>
      <c r="C5206" s="5">
        <v>10</v>
      </c>
      <c r="D5206" s="5">
        <v>7.1</v>
      </c>
      <c r="E5206" s="5">
        <v>21</v>
      </c>
      <c r="F5206" t="s" s="2">
        <v>42</v>
      </c>
      <c r="G5206" t="s" s="2">
        <v>42</v>
      </c>
      <c r="H5206" s="5">
        <v>376</v>
      </c>
      <c r="I5206" t="s" s="2">
        <v>1991</v>
      </c>
      <c r="J5206" t="s" s="2">
        <v>9204</v>
      </c>
      <c r="K5206" s="6"/>
      <c r="L5206" s="6"/>
      <c r="M5206" s="5">
        <v>686286.13</v>
      </c>
      <c r="N5206" s="5">
        <v>6081025.44</v>
      </c>
      <c r="O5206" t="s" s="2">
        <v>305</v>
      </c>
      <c r="P5206" s="6"/>
      <c r="Q5206" t="s" s="2">
        <v>43</v>
      </c>
      <c r="R5206" s="5">
        <f>_xlfn.IFERROR(INDEX('model_byCAP'!$D$2:$D$377,MATCH(Q5206,'model_byCAP'!$A$2:$A$377,0)),0)</f>
        <v>0</v>
      </c>
    </row>
    <row r="5207" ht="15.35" customHeight="1">
      <c r="A5207" t="s" s="2">
        <v>9668</v>
      </c>
      <c r="B5207" s="4">
        <v>42459</v>
      </c>
      <c r="C5207" s="5">
        <v>10</v>
      </c>
      <c r="D5207" s="5">
        <v>7.1</v>
      </c>
      <c r="E5207" s="5">
        <v>21.4</v>
      </c>
      <c r="F5207" t="s" s="2">
        <v>42</v>
      </c>
      <c r="G5207" t="s" s="2">
        <v>42</v>
      </c>
      <c r="H5207" s="5">
        <v>376</v>
      </c>
      <c r="I5207" t="s" s="2">
        <v>1991</v>
      </c>
      <c r="J5207" t="s" s="2">
        <v>9204</v>
      </c>
      <c r="K5207" s="6"/>
      <c r="L5207" s="6"/>
      <c r="M5207" s="5">
        <v>668574.9300000001</v>
      </c>
      <c r="N5207" s="5">
        <v>6072070.44</v>
      </c>
      <c r="O5207" t="s" s="2">
        <v>305</v>
      </c>
      <c r="P5207" s="6"/>
      <c r="Q5207" t="s" s="2">
        <v>43</v>
      </c>
      <c r="R5207" s="5">
        <f>_xlfn.IFERROR(INDEX('model_byCAP'!$D$2:$D$377,MATCH(Q5207,'model_byCAP'!$A$2:$A$377,0)),0)</f>
        <v>0</v>
      </c>
    </row>
    <row r="5208" ht="15.35" customHeight="1">
      <c r="A5208" t="s" s="2">
        <v>9669</v>
      </c>
      <c r="B5208" s="4">
        <v>42555</v>
      </c>
      <c r="C5208" s="5">
        <v>10</v>
      </c>
      <c r="D5208" s="5">
        <v>14</v>
      </c>
      <c r="E5208" s="5">
        <v>18</v>
      </c>
      <c r="F5208" t="s" s="2">
        <v>9209</v>
      </c>
      <c r="G5208" t="s" s="2">
        <v>9293</v>
      </c>
      <c r="H5208" s="5">
        <v>376</v>
      </c>
      <c r="I5208" t="s" s="2">
        <v>1991</v>
      </c>
      <c r="J5208" t="s" s="2">
        <v>9204</v>
      </c>
      <c r="K5208" s="6"/>
      <c r="L5208" s="6"/>
      <c r="M5208" s="5">
        <v>674016.0600000001</v>
      </c>
      <c r="N5208" s="5">
        <v>6062008.57</v>
      </c>
      <c r="O5208" t="s" s="2">
        <v>305</v>
      </c>
      <c r="P5208" s="6"/>
      <c r="Q5208" t="s" s="2">
        <v>9295</v>
      </c>
      <c r="R5208" t="s" s="2">
        <f>_xlfn.IFERROR(INDEX('model_byCAP'!$D$2:$D$377,MATCH(Q5208,'model_byCAP'!$A$2:$A$377,0)),0)</f>
        <v>8430</v>
      </c>
    </row>
    <row r="5209" ht="15.35" customHeight="1">
      <c r="A5209" t="s" s="2">
        <v>9670</v>
      </c>
      <c r="B5209" s="4">
        <v>42466</v>
      </c>
      <c r="C5209" s="5">
        <v>10</v>
      </c>
      <c r="D5209" s="5">
        <v>13</v>
      </c>
      <c r="E5209" s="5">
        <v>18.2</v>
      </c>
      <c r="F5209" t="s" s="2">
        <v>9471</v>
      </c>
      <c r="G5209" t="s" s="2">
        <v>9606</v>
      </c>
      <c r="H5209" s="5">
        <v>376</v>
      </c>
      <c r="I5209" t="s" s="2">
        <v>1991</v>
      </c>
      <c r="J5209" t="s" s="2">
        <v>9204</v>
      </c>
      <c r="K5209" s="6"/>
      <c r="L5209" s="6"/>
      <c r="M5209" s="5">
        <v>694998.8100000001</v>
      </c>
      <c r="N5209" s="5">
        <v>6081000.43</v>
      </c>
      <c r="O5209" t="s" s="2">
        <v>305</v>
      </c>
      <c r="P5209" s="6"/>
      <c r="Q5209" t="s" s="2">
        <v>9607</v>
      </c>
      <c r="R5209" s="5">
        <f>_xlfn.IFERROR(INDEX('model_byCAP'!$D$2:$D$377,MATCH(Q5209,'model_byCAP'!$A$2:$A$377,0)),0)</f>
        <v>0</v>
      </c>
    </row>
    <row r="5210" ht="15.35" customHeight="1">
      <c r="A5210" t="s" s="2">
        <v>9671</v>
      </c>
      <c r="B5210" s="4">
        <v>42726</v>
      </c>
      <c r="C5210" s="5">
        <v>10</v>
      </c>
      <c r="D5210" s="5">
        <v>13</v>
      </c>
      <c r="E5210" s="5">
        <v>18.2</v>
      </c>
      <c r="F5210" t="s" s="2">
        <v>9471</v>
      </c>
      <c r="G5210" t="s" s="2">
        <v>9606</v>
      </c>
      <c r="H5210" s="5">
        <v>376</v>
      </c>
      <c r="I5210" t="s" s="2">
        <v>1991</v>
      </c>
      <c r="J5210" t="s" s="2">
        <v>9204</v>
      </c>
      <c r="K5210" s="6"/>
      <c r="L5210" s="6"/>
      <c r="M5210" s="6"/>
      <c r="N5210" s="6"/>
      <c r="O5210" t="s" s="2">
        <v>25</v>
      </c>
      <c r="P5210" s="6"/>
      <c r="Q5210" t="s" s="2">
        <v>9607</v>
      </c>
      <c r="R5210" s="5">
        <f>_xlfn.IFERROR(INDEX('model_byCAP'!$D$2:$D$377,MATCH(Q5210,'model_byCAP'!$A$2:$A$377,0)),0)</f>
        <v>0</v>
      </c>
    </row>
    <row r="5211" ht="15.35" customHeight="1">
      <c r="A5211" t="s" s="2">
        <v>9672</v>
      </c>
      <c r="B5211" s="4">
        <v>43609</v>
      </c>
      <c r="C5211" s="5">
        <v>10</v>
      </c>
      <c r="D5211" s="5">
        <v>9.699999999999999</v>
      </c>
      <c r="E5211" s="5">
        <v>15.5</v>
      </c>
      <c r="F5211" t="s" s="2">
        <v>9673</v>
      </c>
      <c r="G5211" t="s" s="2">
        <v>9674</v>
      </c>
      <c r="H5211" s="5">
        <v>376</v>
      </c>
      <c r="I5211" t="s" s="2">
        <v>1991</v>
      </c>
      <c r="J5211" t="s" s="2">
        <v>9204</v>
      </c>
      <c r="K5211" s="6"/>
      <c r="L5211" s="6"/>
      <c r="M5211" s="6"/>
      <c r="N5211" s="6"/>
      <c r="O5211" t="s" s="2">
        <v>25</v>
      </c>
      <c r="P5211" s="6"/>
      <c r="Q5211" t="s" s="2">
        <v>9675</v>
      </c>
      <c r="R5211" s="5">
        <f>_xlfn.IFERROR(INDEX('model_byCAP'!$D$2:$D$377,MATCH(Q5211,'model_byCAP'!$A$2:$A$377,0)),0)</f>
        <v>0</v>
      </c>
    </row>
    <row r="5212" ht="15.35" customHeight="1">
      <c r="A5212" t="s" s="2">
        <v>9676</v>
      </c>
      <c r="B5212" s="4">
        <v>41955</v>
      </c>
      <c r="C5212" s="5">
        <v>10</v>
      </c>
      <c r="D5212" s="5">
        <v>7.1</v>
      </c>
      <c r="E5212" s="5">
        <v>21.4</v>
      </c>
      <c r="F5212" t="s" s="2">
        <v>42</v>
      </c>
      <c r="G5212" t="s" s="2">
        <v>42</v>
      </c>
      <c r="H5212" s="5">
        <v>390</v>
      </c>
      <c r="I5212" t="s" s="2">
        <v>46</v>
      </c>
      <c r="J5212" t="s" s="2">
        <v>9204</v>
      </c>
      <c r="K5212" s="6"/>
      <c r="L5212" s="6"/>
      <c r="M5212" s="5">
        <v>718867.4300000001</v>
      </c>
      <c r="N5212" s="5">
        <v>6100249.49</v>
      </c>
      <c r="O5212" t="s" s="2">
        <v>305</v>
      </c>
      <c r="P5212" s="6"/>
      <c r="Q5212" t="s" s="2">
        <v>43</v>
      </c>
      <c r="R5212" s="5">
        <f>_xlfn.IFERROR(INDEX('model_byCAP'!$D$2:$D$377,MATCH(Q5212,'model_byCAP'!$A$2:$A$377,0)),0)</f>
        <v>0</v>
      </c>
    </row>
    <row r="5213" ht="15.35" customHeight="1">
      <c r="A5213" t="s" s="2">
        <v>9677</v>
      </c>
      <c r="B5213" s="4">
        <v>42041</v>
      </c>
      <c r="C5213" s="5">
        <v>10</v>
      </c>
      <c r="D5213" s="5">
        <v>13</v>
      </c>
      <c r="E5213" s="5">
        <v>18.2</v>
      </c>
      <c r="F5213" t="s" s="2">
        <v>42</v>
      </c>
      <c r="G5213" t="s" s="2">
        <v>42</v>
      </c>
      <c r="H5213" s="5">
        <v>390</v>
      </c>
      <c r="I5213" t="s" s="2">
        <v>46</v>
      </c>
      <c r="J5213" t="s" s="2">
        <v>9204</v>
      </c>
      <c r="K5213" s="6"/>
      <c r="L5213" s="6"/>
      <c r="M5213" s="5">
        <v>684377.3100000001</v>
      </c>
      <c r="N5213" s="5">
        <v>6103467.1</v>
      </c>
      <c r="O5213" t="s" s="2">
        <v>305</v>
      </c>
      <c r="P5213" s="6"/>
      <c r="Q5213" t="s" s="2">
        <v>43</v>
      </c>
      <c r="R5213" s="5">
        <f>_xlfn.IFERROR(INDEX('model_byCAP'!$D$2:$D$377,MATCH(Q5213,'model_byCAP'!$A$2:$A$377,0)),0)</f>
        <v>0</v>
      </c>
    </row>
    <row r="5214" ht="15.35" customHeight="1">
      <c r="A5214" t="s" s="2">
        <v>9678</v>
      </c>
      <c r="B5214" s="4">
        <v>42144</v>
      </c>
      <c r="C5214" s="5">
        <v>10</v>
      </c>
      <c r="D5214" s="5">
        <v>7.1</v>
      </c>
      <c r="E5214" s="5">
        <v>21</v>
      </c>
      <c r="F5214" t="s" s="2">
        <v>42</v>
      </c>
      <c r="G5214" t="s" s="2">
        <v>42</v>
      </c>
      <c r="H5214" s="5">
        <v>390</v>
      </c>
      <c r="I5214" t="s" s="2">
        <v>46</v>
      </c>
      <c r="J5214" t="s" s="2">
        <v>9204</v>
      </c>
      <c r="K5214" s="6"/>
      <c r="L5214" s="6"/>
      <c r="M5214" s="5">
        <v>716063.24</v>
      </c>
      <c r="N5214" s="5">
        <v>6101015.46</v>
      </c>
      <c r="O5214" t="s" s="2">
        <v>305</v>
      </c>
      <c r="P5214" s="6"/>
      <c r="Q5214" t="s" s="2">
        <v>43</v>
      </c>
      <c r="R5214" s="5">
        <f>_xlfn.IFERROR(INDEX('model_byCAP'!$D$2:$D$377,MATCH(Q5214,'model_byCAP'!$A$2:$A$377,0)),0)</f>
        <v>0</v>
      </c>
    </row>
    <row r="5215" ht="15.35" customHeight="1">
      <c r="A5215" t="s" s="2">
        <v>9679</v>
      </c>
      <c r="B5215" s="4">
        <v>42418</v>
      </c>
      <c r="C5215" s="5">
        <v>10</v>
      </c>
      <c r="D5215" s="5">
        <v>7.1</v>
      </c>
      <c r="E5215" s="5">
        <v>21</v>
      </c>
      <c r="F5215" t="s" s="2">
        <v>42</v>
      </c>
      <c r="G5215" t="s" s="2">
        <v>42</v>
      </c>
      <c r="H5215" s="5">
        <v>390</v>
      </c>
      <c r="I5215" t="s" s="2">
        <v>46</v>
      </c>
      <c r="J5215" t="s" s="2">
        <v>9204</v>
      </c>
      <c r="K5215" s="6"/>
      <c r="L5215" s="6"/>
      <c r="M5215" s="5">
        <v>716670.85</v>
      </c>
      <c r="N5215" s="5">
        <v>6098292.98</v>
      </c>
      <c r="O5215" t="s" s="2">
        <v>305</v>
      </c>
      <c r="P5215" s="6"/>
      <c r="Q5215" t="s" s="2">
        <v>43</v>
      </c>
      <c r="R5215" s="5">
        <f>_xlfn.IFERROR(INDEX('model_byCAP'!$D$2:$D$377,MATCH(Q5215,'model_byCAP'!$A$2:$A$377,0)),0)</f>
        <v>0</v>
      </c>
    </row>
    <row r="5216" ht="15.35" customHeight="1">
      <c r="A5216" t="s" s="2">
        <v>9680</v>
      </c>
      <c r="B5216" s="4">
        <v>42297</v>
      </c>
      <c r="C5216" s="5">
        <v>10</v>
      </c>
      <c r="D5216" s="5">
        <v>7.1</v>
      </c>
      <c r="E5216" s="5">
        <v>21.4</v>
      </c>
      <c r="F5216" t="s" s="2">
        <v>42</v>
      </c>
      <c r="G5216" t="s" s="2">
        <v>42</v>
      </c>
      <c r="H5216" s="5">
        <v>390</v>
      </c>
      <c r="I5216" t="s" s="2">
        <v>46</v>
      </c>
      <c r="J5216" t="s" s="2">
        <v>9204</v>
      </c>
      <c r="K5216" s="6"/>
      <c r="L5216" s="6"/>
      <c r="M5216" s="5">
        <v>704181.5</v>
      </c>
      <c r="N5216" s="5">
        <v>6096568.83</v>
      </c>
      <c r="O5216" t="s" s="2">
        <v>305</v>
      </c>
      <c r="P5216" s="6"/>
      <c r="Q5216" t="s" s="2">
        <v>43</v>
      </c>
      <c r="R5216" s="5">
        <f>_xlfn.IFERROR(INDEX('model_byCAP'!$D$2:$D$377,MATCH(Q5216,'model_byCAP'!$A$2:$A$377,0)),0)</f>
        <v>0</v>
      </c>
    </row>
    <row r="5217" ht="15.35" customHeight="1">
      <c r="A5217" t="s" s="2">
        <v>9681</v>
      </c>
      <c r="B5217" s="4">
        <v>42471</v>
      </c>
      <c r="C5217" s="5">
        <v>10</v>
      </c>
      <c r="D5217" s="5">
        <v>7.1</v>
      </c>
      <c r="E5217" s="5">
        <v>21.4</v>
      </c>
      <c r="F5217" t="s" s="2">
        <v>42</v>
      </c>
      <c r="G5217" t="s" s="2">
        <v>42</v>
      </c>
      <c r="H5217" s="5">
        <v>390</v>
      </c>
      <c r="I5217" t="s" s="2">
        <v>46</v>
      </c>
      <c r="J5217" t="s" s="2">
        <v>9204</v>
      </c>
      <c r="K5217" s="6"/>
      <c r="L5217" s="6"/>
      <c r="M5217" s="6"/>
      <c r="N5217" s="6"/>
      <c r="O5217" t="s" s="2">
        <v>25</v>
      </c>
      <c r="P5217" s="6"/>
      <c r="Q5217" t="s" s="2">
        <v>43</v>
      </c>
      <c r="R5217" s="5">
        <f>_xlfn.IFERROR(INDEX('model_byCAP'!$D$2:$D$377,MATCH(Q5217,'model_byCAP'!$A$2:$A$377,0)),0)</f>
        <v>0</v>
      </c>
    </row>
    <row r="5218" ht="15.35" customHeight="1">
      <c r="A5218" t="s" s="2">
        <v>9682</v>
      </c>
      <c r="B5218" s="4">
        <v>41509</v>
      </c>
      <c r="C5218" s="5">
        <v>10</v>
      </c>
      <c r="D5218" s="5">
        <v>7.1</v>
      </c>
      <c r="E5218" s="5">
        <v>21.5</v>
      </c>
      <c r="F5218" t="s" s="2">
        <v>42</v>
      </c>
      <c r="G5218" t="s" s="2">
        <v>42</v>
      </c>
      <c r="H5218" s="5">
        <v>400</v>
      </c>
      <c r="I5218" t="s" s="2">
        <v>2068</v>
      </c>
      <c r="J5218" t="s" s="2">
        <v>9204</v>
      </c>
      <c r="K5218" s="6"/>
      <c r="L5218" s="6"/>
      <c r="M5218" s="6"/>
      <c r="N5218" s="6"/>
      <c r="O5218" t="s" s="2">
        <v>25</v>
      </c>
      <c r="P5218" s="6"/>
      <c r="Q5218" t="s" s="2">
        <v>43</v>
      </c>
      <c r="R5218" s="5">
        <f>_xlfn.IFERROR(INDEX('model_byCAP'!$D$2:$D$377,MATCH(Q5218,'model_byCAP'!$A$2:$A$377,0)),0)</f>
        <v>0</v>
      </c>
    </row>
    <row r="5219" ht="15.35" customHeight="1">
      <c r="A5219" t="s" s="2">
        <v>9683</v>
      </c>
      <c r="B5219" s="4">
        <v>42164</v>
      </c>
      <c r="C5219" s="5">
        <v>10</v>
      </c>
      <c r="D5219" s="5">
        <v>7.1</v>
      </c>
      <c r="E5219" s="5">
        <v>21.5</v>
      </c>
      <c r="F5219" t="s" s="2">
        <v>42</v>
      </c>
      <c r="G5219" t="s" s="2">
        <v>42</v>
      </c>
      <c r="H5219" s="5">
        <v>400</v>
      </c>
      <c r="I5219" t="s" s="2">
        <v>2068</v>
      </c>
      <c r="J5219" t="s" s="2">
        <v>9204</v>
      </c>
      <c r="K5219" s="6"/>
      <c r="L5219" s="6"/>
      <c r="M5219" s="5">
        <v>880726.37</v>
      </c>
      <c r="N5219" s="5">
        <v>6125734.73</v>
      </c>
      <c r="O5219" t="s" s="2">
        <v>305</v>
      </c>
      <c r="P5219" s="6"/>
      <c r="Q5219" t="s" s="2">
        <v>43</v>
      </c>
      <c r="R5219" s="5">
        <f>_xlfn.IFERROR(INDEX('model_byCAP'!$D$2:$D$377,MATCH(Q5219,'model_byCAP'!$A$2:$A$377,0)),0)</f>
        <v>0</v>
      </c>
    </row>
    <row r="5220" ht="15.35" customHeight="1">
      <c r="A5220" t="s" s="2">
        <v>9684</v>
      </c>
      <c r="B5220" s="4">
        <v>42124</v>
      </c>
      <c r="C5220" s="5">
        <v>10</v>
      </c>
      <c r="D5220" s="5">
        <v>7.1</v>
      </c>
      <c r="E5220" s="5">
        <v>21.5</v>
      </c>
      <c r="F5220" t="s" s="2">
        <v>42</v>
      </c>
      <c r="G5220" t="s" s="2">
        <v>42</v>
      </c>
      <c r="H5220" s="5">
        <v>400</v>
      </c>
      <c r="I5220" t="s" s="2">
        <v>2068</v>
      </c>
      <c r="J5220" t="s" s="2">
        <v>9204</v>
      </c>
      <c r="K5220" s="6"/>
      <c r="L5220" s="6"/>
      <c r="M5220" s="6"/>
      <c r="N5220" s="6"/>
      <c r="O5220" t="s" s="2">
        <v>25</v>
      </c>
      <c r="P5220" s="6"/>
      <c r="Q5220" t="s" s="2">
        <v>43</v>
      </c>
      <c r="R5220" s="5">
        <f>_xlfn.IFERROR(INDEX('model_byCAP'!$D$2:$D$377,MATCH(Q5220,'model_byCAP'!$A$2:$A$377,0)),0)</f>
        <v>0</v>
      </c>
    </row>
    <row r="5221" ht="15.35" customHeight="1">
      <c r="A5221" t="s" s="2">
        <v>9685</v>
      </c>
      <c r="B5221" s="4">
        <v>42221</v>
      </c>
      <c r="C5221" s="5">
        <v>10</v>
      </c>
      <c r="D5221" s="5">
        <v>7.1</v>
      </c>
      <c r="E5221" s="5">
        <v>21.5</v>
      </c>
      <c r="F5221" t="s" s="2">
        <v>42</v>
      </c>
      <c r="G5221" t="s" s="2">
        <v>42</v>
      </c>
      <c r="H5221" s="5">
        <v>400</v>
      </c>
      <c r="I5221" t="s" s="2">
        <v>2068</v>
      </c>
      <c r="J5221" t="s" s="2">
        <v>9204</v>
      </c>
      <c r="K5221" s="6"/>
      <c r="L5221" s="6"/>
      <c r="M5221" s="5">
        <v>885815.09</v>
      </c>
      <c r="N5221" s="5">
        <v>6125486.66</v>
      </c>
      <c r="O5221" t="s" s="2">
        <v>305</v>
      </c>
      <c r="P5221" s="6"/>
      <c r="Q5221" t="s" s="2">
        <v>43</v>
      </c>
      <c r="R5221" s="5">
        <f>_xlfn.IFERROR(INDEX('model_byCAP'!$D$2:$D$377,MATCH(Q5221,'model_byCAP'!$A$2:$A$377,0)),0)</f>
        <v>0</v>
      </c>
    </row>
    <row r="5222" ht="15.35" customHeight="1">
      <c r="A5222" t="s" s="2">
        <v>9686</v>
      </c>
      <c r="B5222" s="4">
        <v>42299</v>
      </c>
      <c r="C5222" s="5">
        <v>10</v>
      </c>
      <c r="D5222" s="5">
        <v>7.1</v>
      </c>
      <c r="E5222" s="5">
        <v>21.5</v>
      </c>
      <c r="F5222" t="s" s="2">
        <v>42</v>
      </c>
      <c r="G5222" t="s" s="2">
        <v>42</v>
      </c>
      <c r="H5222" s="5">
        <v>400</v>
      </c>
      <c r="I5222" t="s" s="2">
        <v>2068</v>
      </c>
      <c r="J5222" t="s" s="2">
        <v>9204</v>
      </c>
      <c r="K5222" s="6"/>
      <c r="L5222" s="6"/>
      <c r="M5222" s="5">
        <v>863438.48</v>
      </c>
      <c r="N5222" s="5">
        <v>6134012.56</v>
      </c>
      <c r="O5222" t="s" s="2">
        <v>305</v>
      </c>
      <c r="P5222" s="6"/>
      <c r="Q5222" t="s" s="2">
        <v>43</v>
      </c>
      <c r="R5222" s="5">
        <f>_xlfn.IFERROR(INDEX('model_byCAP'!$D$2:$D$377,MATCH(Q5222,'model_byCAP'!$A$2:$A$377,0)),0)</f>
        <v>0</v>
      </c>
    </row>
    <row r="5223" ht="15.35" customHeight="1">
      <c r="A5223" t="s" s="2">
        <v>9687</v>
      </c>
      <c r="B5223" s="4">
        <v>42250</v>
      </c>
      <c r="C5223" s="5">
        <v>10</v>
      </c>
      <c r="D5223" s="5">
        <v>7.1</v>
      </c>
      <c r="E5223" s="5">
        <v>21.5</v>
      </c>
      <c r="F5223" t="s" s="2">
        <v>42</v>
      </c>
      <c r="G5223" t="s" s="2">
        <v>42</v>
      </c>
      <c r="H5223" s="5">
        <v>400</v>
      </c>
      <c r="I5223" t="s" s="2">
        <v>2068</v>
      </c>
      <c r="J5223" t="s" s="2">
        <v>9204</v>
      </c>
      <c r="K5223" s="6"/>
      <c r="L5223" s="6"/>
      <c r="M5223" s="5">
        <v>874175.58</v>
      </c>
      <c r="N5223" s="5">
        <v>6125997.07</v>
      </c>
      <c r="O5223" t="s" s="2">
        <v>305</v>
      </c>
      <c r="P5223" s="6"/>
      <c r="Q5223" t="s" s="2">
        <v>43</v>
      </c>
      <c r="R5223" s="5">
        <f>_xlfn.IFERROR(INDEX('model_byCAP'!$D$2:$D$377,MATCH(Q5223,'model_byCAP'!$A$2:$A$377,0)),0)</f>
        <v>0</v>
      </c>
    </row>
    <row r="5224" ht="15.35" customHeight="1">
      <c r="A5224" t="s" s="2">
        <v>9688</v>
      </c>
      <c r="B5224" s="4">
        <v>42354</v>
      </c>
      <c r="C5224" s="5">
        <v>10</v>
      </c>
      <c r="D5224" s="5">
        <v>7.1</v>
      </c>
      <c r="E5224" s="5">
        <v>21.5</v>
      </c>
      <c r="F5224" t="s" s="2">
        <v>42</v>
      </c>
      <c r="G5224" t="s" s="2">
        <v>42</v>
      </c>
      <c r="H5224" s="5">
        <v>400</v>
      </c>
      <c r="I5224" t="s" s="2">
        <v>2068</v>
      </c>
      <c r="J5224" t="s" s="2">
        <v>9204</v>
      </c>
      <c r="K5224" s="6"/>
      <c r="L5224" s="6"/>
      <c r="M5224" s="5">
        <v>884033.1899999999</v>
      </c>
      <c r="N5224" s="5">
        <v>6126658.86</v>
      </c>
      <c r="O5224" t="s" s="2">
        <v>305</v>
      </c>
      <c r="P5224" s="6"/>
      <c r="Q5224" t="s" s="2">
        <v>43</v>
      </c>
      <c r="R5224" s="5">
        <f>_xlfn.IFERROR(INDEX('model_byCAP'!$D$2:$D$377,MATCH(Q5224,'model_byCAP'!$A$2:$A$377,0)),0)</f>
        <v>0</v>
      </c>
    </row>
    <row r="5225" ht="15.35" customHeight="1">
      <c r="A5225" t="s" s="2">
        <v>9689</v>
      </c>
      <c r="B5225" s="4">
        <v>42298</v>
      </c>
      <c r="C5225" s="5">
        <v>10</v>
      </c>
      <c r="D5225" s="5">
        <v>7.1</v>
      </c>
      <c r="E5225" s="5">
        <v>21.5</v>
      </c>
      <c r="F5225" t="s" s="2">
        <v>42</v>
      </c>
      <c r="G5225" t="s" s="2">
        <v>42</v>
      </c>
      <c r="H5225" s="5">
        <v>400</v>
      </c>
      <c r="I5225" t="s" s="2">
        <v>2068</v>
      </c>
      <c r="J5225" t="s" s="2">
        <v>9204</v>
      </c>
      <c r="K5225" s="6"/>
      <c r="L5225" s="6"/>
      <c r="M5225" s="5">
        <v>886697.25</v>
      </c>
      <c r="N5225" s="5">
        <v>6113848.56</v>
      </c>
      <c r="O5225" t="s" s="2">
        <v>305</v>
      </c>
      <c r="P5225" s="6"/>
      <c r="Q5225" t="s" s="2">
        <v>43</v>
      </c>
      <c r="R5225" s="5">
        <f>_xlfn.IFERROR(INDEX('model_byCAP'!$D$2:$D$377,MATCH(Q5225,'model_byCAP'!$A$2:$A$377,0)),0)</f>
        <v>0</v>
      </c>
    </row>
    <row r="5226" ht="15.35" customHeight="1">
      <c r="A5226" t="s" s="2">
        <v>9690</v>
      </c>
      <c r="B5226" s="4">
        <v>42360</v>
      </c>
      <c r="C5226" s="5">
        <v>10</v>
      </c>
      <c r="D5226" s="5">
        <v>7.1</v>
      </c>
      <c r="E5226" s="5">
        <v>18</v>
      </c>
      <c r="F5226" t="s" s="2">
        <v>42</v>
      </c>
      <c r="G5226" t="s" s="2">
        <v>42</v>
      </c>
      <c r="H5226" s="5">
        <v>400</v>
      </c>
      <c r="I5226" t="s" s="2">
        <v>2068</v>
      </c>
      <c r="J5226" t="s" s="2">
        <v>9204</v>
      </c>
      <c r="K5226" s="6"/>
      <c r="L5226" s="6"/>
      <c r="M5226" s="5">
        <v>882695.67</v>
      </c>
      <c r="N5226" s="5">
        <v>6128515.6</v>
      </c>
      <c r="O5226" t="s" s="2">
        <v>305</v>
      </c>
      <c r="P5226" s="6"/>
      <c r="Q5226" t="s" s="2">
        <v>43</v>
      </c>
      <c r="R5226" s="5">
        <f>_xlfn.IFERROR(INDEX('model_byCAP'!$D$2:$D$377,MATCH(Q5226,'model_byCAP'!$A$2:$A$377,0)),0)</f>
        <v>0</v>
      </c>
    </row>
    <row r="5227" ht="15.35" customHeight="1">
      <c r="A5227" t="s" s="2">
        <v>9691</v>
      </c>
      <c r="B5227" s="4">
        <v>42447</v>
      </c>
      <c r="C5227" s="5">
        <v>10</v>
      </c>
      <c r="D5227" s="5">
        <v>7.1</v>
      </c>
      <c r="E5227" s="5">
        <v>21.5</v>
      </c>
      <c r="F5227" t="s" s="2">
        <v>42</v>
      </c>
      <c r="G5227" t="s" s="2">
        <v>42</v>
      </c>
      <c r="H5227" s="5">
        <v>400</v>
      </c>
      <c r="I5227" t="s" s="2">
        <v>2068</v>
      </c>
      <c r="J5227" t="s" s="2">
        <v>9204</v>
      </c>
      <c r="K5227" s="6"/>
      <c r="L5227" s="6"/>
      <c r="M5227" s="5">
        <v>887790.34</v>
      </c>
      <c r="N5227" s="5">
        <v>6114789.48</v>
      </c>
      <c r="O5227" t="s" s="2">
        <v>305</v>
      </c>
      <c r="P5227" s="6"/>
      <c r="Q5227" t="s" s="2">
        <v>43</v>
      </c>
      <c r="R5227" s="5">
        <f>_xlfn.IFERROR(INDEX('model_byCAP'!$D$2:$D$377,MATCH(Q5227,'model_byCAP'!$A$2:$A$377,0)),0)</f>
        <v>0</v>
      </c>
    </row>
    <row r="5228" ht="15.35" customHeight="1">
      <c r="A5228" t="s" s="2">
        <v>9692</v>
      </c>
      <c r="B5228" s="4">
        <v>42677</v>
      </c>
      <c r="C5228" s="5">
        <v>10</v>
      </c>
      <c r="D5228" s="5">
        <v>14</v>
      </c>
      <c r="E5228" s="5">
        <v>18</v>
      </c>
      <c r="F5228" t="s" s="2">
        <v>9209</v>
      </c>
      <c r="G5228" t="s" s="2">
        <v>9293</v>
      </c>
      <c r="H5228" s="5">
        <v>400</v>
      </c>
      <c r="I5228" t="s" s="2">
        <v>2068</v>
      </c>
      <c r="J5228" t="s" s="2">
        <v>9204</v>
      </c>
      <c r="K5228" s="6"/>
      <c r="L5228" s="6"/>
      <c r="M5228" s="6"/>
      <c r="N5228" s="6"/>
      <c r="O5228" t="s" s="2">
        <v>25</v>
      </c>
      <c r="P5228" s="6"/>
      <c r="Q5228" t="s" s="2">
        <v>9295</v>
      </c>
      <c r="R5228" t="s" s="2">
        <f>_xlfn.IFERROR(INDEX('model_byCAP'!$D$2:$D$377,MATCH(Q5228,'model_byCAP'!$A$2:$A$377,0)),0)</f>
        <v>8430</v>
      </c>
    </row>
    <row r="5229" ht="15.35" customHeight="1">
      <c r="A5229" t="s" s="2">
        <v>9693</v>
      </c>
      <c r="B5229" s="4">
        <v>42664</v>
      </c>
      <c r="C5229" s="5">
        <v>10</v>
      </c>
      <c r="D5229" s="5">
        <v>14</v>
      </c>
      <c r="E5229" s="5">
        <v>18</v>
      </c>
      <c r="F5229" t="s" s="2">
        <v>9209</v>
      </c>
      <c r="G5229" t="s" s="2">
        <v>9293</v>
      </c>
      <c r="H5229" s="5">
        <v>400</v>
      </c>
      <c r="I5229" t="s" s="2">
        <v>2068</v>
      </c>
      <c r="J5229" t="s" s="2">
        <v>9204</v>
      </c>
      <c r="K5229" s="6"/>
      <c r="L5229" s="6"/>
      <c r="M5229" s="6"/>
      <c r="N5229" s="6"/>
      <c r="O5229" t="s" s="2">
        <v>25</v>
      </c>
      <c r="P5229" s="6"/>
      <c r="Q5229" t="s" s="2">
        <v>9295</v>
      </c>
      <c r="R5229" t="s" s="2">
        <f>_xlfn.IFERROR(INDEX('model_byCAP'!$D$2:$D$377,MATCH(Q5229,'model_byCAP'!$A$2:$A$377,0)),0)</f>
        <v>8430</v>
      </c>
    </row>
    <row r="5230" ht="15.35" customHeight="1">
      <c r="A5230" t="s" s="2">
        <v>9694</v>
      </c>
      <c r="B5230" s="4">
        <v>42948</v>
      </c>
      <c r="C5230" s="5">
        <v>10</v>
      </c>
      <c r="D5230" s="5">
        <v>14</v>
      </c>
      <c r="E5230" s="5">
        <v>18</v>
      </c>
      <c r="F5230" t="s" s="2">
        <v>9209</v>
      </c>
      <c r="G5230" t="s" s="2">
        <v>9638</v>
      </c>
      <c r="H5230" s="5">
        <v>400</v>
      </c>
      <c r="I5230" t="s" s="2">
        <v>2068</v>
      </c>
      <c r="J5230" t="s" s="2">
        <v>9204</v>
      </c>
      <c r="K5230" s="6"/>
      <c r="L5230" s="6"/>
      <c r="M5230" s="6"/>
      <c r="N5230" s="6"/>
      <c r="O5230" t="s" s="2">
        <v>25</v>
      </c>
      <c r="P5230" s="6"/>
      <c r="Q5230" t="s" s="2">
        <v>9639</v>
      </c>
      <c r="R5230" s="5">
        <f>_xlfn.IFERROR(INDEX('model_byCAP'!$D$2:$D$377,MATCH(Q5230,'model_byCAP'!$A$2:$A$377,0)),0)</f>
        <v>0</v>
      </c>
    </row>
    <row r="5231" ht="15.35" customHeight="1">
      <c r="A5231" t="s" s="2">
        <v>9695</v>
      </c>
      <c r="B5231" s="4">
        <v>44154</v>
      </c>
      <c r="C5231" s="5">
        <v>10</v>
      </c>
      <c r="D5231" s="5">
        <v>7.1</v>
      </c>
      <c r="E5231" s="5">
        <v>21.5</v>
      </c>
      <c r="F5231" t="s" s="2">
        <v>42</v>
      </c>
      <c r="G5231" t="s" s="2">
        <v>42</v>
      </c>
      <c r="H5231" s="5">
        <v>400</v>
      </c>
      <c r="I5231" t="s" s="2">
        <v>2068</v>
      </c>
      <c r="J5231" t="s" s="2">
        <v>9204</v>
      </c>
      <c r="K5231" s="6"/>
      <c r="L5231" s="6"/>
      <c r="M5231" s="6"/>
      <c r="N5231" s="6"/>
      <c r="O5231" t="s" s="2">
        <v>25</v>
      </c>
      <c r="P5231" s="6"/>
      <c r="Q5231" t="s" s="2">
        <v>43</v>
      </c>
      <c r="R5231" s="5">
        <f>_xlfn.IFERROR(INDEX('model_byCAP'!$D$2:$D$377,MATCH(Q5231,'model_byCAP'!$A$2:$A$377,0)),0)</f>
        <v>0</v>
      </c>
    </row>
    <row r="5232" ht="15.35" customHeight="1">
      <c r="A5232" t="s" s="2">
        <v>9696</v>
      </c>
      <c r="B5232" s="4">
        <v>42354</v>
      </c>
      <c r="C5232" s="5">
        <v>10</v>
      </c>
      <c r="D5232" s="5">
        <v>13</v>
      </c>
      <c r="E5232" s="5">
        <v>18</v>
      </c>
      <c r="F5232" t="s" s="2">
        <v>9202</v>
      </c>
      <c r="G5232" t="s" s="2">
        <v>9697</v>
      </c>
      <c r="H5232" s="5">
        <v>420</v>
      </c>
      <c r="I5232" t="s" s="2">
        <v>3043</v>
      </c>
      <c r="J5232" t="s" s="2">
        <v>9204</v>
      </c>
      <c r="K5232" s="6"/>
      <c r="L5232" s="6"/>
      <c r="M5232" s="5">
        <v>563100.4399999999</v>
      </c>
      <c r="N5232" s="5">
        <v>6135311.27</v>
      </c>
      <c r="O5232" t="s" s="2">
        <v>305</v>
      </c>
      <c r="P5232" s="6"/>
      <c r="Q5232" t="s" s="2">
        <v>9698</v>
      </c>
      <c r="R5232" s="5">
        <f>_xlfn.IFERROR(INDEX('model_byCAP'!$D$2:$D$377,MATCH(Q5232,'model_byCAP'!$A$2:$A$377,0)),0)</f>
        <v>0</v>
      </c>
    </row>
    <row r="5233" ht="15.35" customHeight="1">
      <c r="A5233" t="s" s="2">
        <v>9699</v>
      </c>
      <c r="B5233" s="4">
        <v>42310</v>
      </c>
      <c r="C5233" s="5">
        <v>10</v>
      </c>
      <c r="D5233" s="5">
        <v>14</v>
      </c>
      <c r="E5233" s="5">
        <v>18</v>
      </c>
      <c r="F5233" t="s" s="2">
        <v>9209</v>
      </c>
      <c r="G5233" t="s" s="2">
        <v>9293</v>
      </c>
      <c r="H5233" s="5">
        <v>420</v>
      </c>
      <c r="I5233" t="s" s="2">
        <v>3043</v>
      </c>
      <c r="J5233" t="s" s="2">
        <v>9204</v>
      </c>
      <c r="K5233" s="6"/>
      <c r="L5233" s="6"/>
      <c r="M5233" s="6"/>
      <c r="N5233" s="6"/>
      <c r="O5233" t="s" s="2">
        <v>25</v>
      </c>
      <c r="P5233" s="6"/>
      <c r="Q5233" t="s" s="2">
        <v>9295</v>
      </c>
      <c r="R5233" t="s" s="2">
        <f>_xlfn.IFERROR(INDEX('model_byCAP'!$D$2:$D$377,MATCH(Q5233,'model_byCAP'!$A$2:$A$377,0)),0)</f>
        <v>8430</v>
      </c>
    </row>
    <row r="5234" ht="15.35" customHeight="1">
      <c r="A5234" t="s" s="2">
        <v>9700</v>
      </c>
      <c r="B5234" s="4">
        <v>42732</v>
      </c>
      <c r="C5234" s="5">
        <v>10</v>
      </c>
      <c r="D5234" s="5">
        <v>13</v>
      </c>
      <c r="E5234" s="5">
        <v>18.3</v>
      </c>
      <c r="F5234" t="s" s="2">
        <v>9471</v>
      </c>
      <c r="G5234" t="s" s="2">
        <v>9606</v>
      </c>
      <c r="H5234" s="5">
        <v>430</v>
      </c>
      <c r="I5234" t="s" s="2">
        <v>3470</v>
      </c>
      <c r="J5234" t="s" s="2">
        <v>9204</v>
      </c>
      <c r="K5234" s="6"/>
      <c r="L5234" s="6"/>
      <c r="M5234" s="6"/>
      <c r="N5234" s="6"/>
      <c r="O5234" t="s" s="2">
        <v>25</v>
      </c>
      <c r="P5234" s="6"/>
      <c r="Q5234" t="s" s="2">
        <v>9607</v>
      </c>
      <c r="R5234" s="5">
        <f>_xlfn.IFERROR(INDEX('model_byCAP'!$D$2:$D$377,MATCH(Q5234,'model_byCAP'!$A$2:$A$377,0)),0)</f>
        <v>0</v>
      </c>
    </row>
    <row r="5235" ht="15.35" customHeight="1">
      <c r="A5235" t="s" s="2">
        <v>9701</v>
      </c>
      <c r="B5235" s="4">
        <v>42978</v>
      </c>
      <c r="C5235" s="5">
        <v>10</v>
      </c>
      <c r="D5235" s="5">
        <v>14</v>
      </c>
      <c r="E5235" s="5">
        <v>18</v>
      </c>
      <c r="F5235" t="s" s="2">
        <v>9209</v>
      </c>
      <c r="G5235" t="s" s="2">
        <v>9293</v>
      </c>
      <c r="H5235" s="5">
        <v>430</v>
      </c>
      <c r="I5235" t="s" s="2">
        <v>3470</v>
      </c>
      <c r="J5235" t="s" s="2">
        <v>9204</v>
      </c>
      <c r="K5235" s="6"/>
      <c r="L5235" s="6"/>
      <c r="M5235" s="6"/>
      <c r="N5235" s="6"/>
      <c r="O5235" t="s" s="2">
        <v>25</v>
      </c>
      <c r="P5235" s="6"/>
      <c r="Q5235" t="s" s="2">
        <v>9295</v>
      </c>
      <c r="R5235" t="s" s="2">
        <f>_xlfn.IFERROR(INDEX('model_byCAP'!$D$2:$D$377,MATCH(Q5235,'model_byCAP'!$A$2:$A$377,0)),0)</f>
        <v>8430</v>
      </c>
    </row>
    <row r="5236" ht="15.35" customHeight="1">
      <c r="A5236" t="s" s="2">
        <v>9702</v>
      </c>
      <c r="B5236" s="4">
        <v>42248</v>
      </c>
      <c r="C5236" s="5">
        <v>10</v>
      </c>
      <c r="D5236" s="5">
        <v>13</v>
      </c>
      <c r="E5236" s="5">
        <v>18.2</v>
      </c>
      <c r="F5236" t="s" s="2">
        <v>9471</v>
      </c>
      <c r="G5236" t="s" s="2">
        <v>9606</v>
      </c>
      <c r="H5236" s="5">
        <v>430</v>
      </c>
      <c r="I5236" t="s" s="2">
        <v>3470</v>
      </c>
      <c r="J5236" t="s" s="2">
        <v>9204</v>
      </c>
      <c r="K5236" s="6"/>
      <c r="L5236" s="6"/>
      <c r="M5236" s="5">
        <v>599396.78</v>
      </c>
      <c r="N5236" s="5">
        <v>6128877.28</v>
      </c>
      <c r="O5236" t="s" s="2">
        <v>305</v>
      </c>
      <c r="P5236" s="6"/>
      <c r="Q5236" t="s" s="2">
        <v>9607</v>
      </c>
      <c r="R5236" s="5">
        <f>_xlfn.IFERROR(INDEX('model_byCAP'!$D$2:$D$377,MATCH(Q5236,'model_byCAP'!$A$2:$A$377,0)),0)</f>
        <v>0</v>
      </c>
    </row>
    <row r="5237" ht="15.35" customHeight="1">
      <c r="A5237" t="s" s="2">
        <v>9703</v>
      </c>
      <c r="B5237" s="4">
        <v>42278</v>
      </c>
      <c r="C5237" s="5">
        <v>10</v>
      </c>
      <c r="D5237" s="5">
        <v>13</v>
      </c>
      <c r="E5237" s="5">
        <v>18.2</v>
      </c>
      <c r="F5237" t="s" s="2">
        <v>9471</v>
      </c>
      <c r="G5237" t="s" s="2">
        <v>9606</v>
      </c>
      <c r="H5237" s="5">
        <v>430</v>
      </c>
      <c r="I5237" t="s" s="2">
        <v>3470</v>
      </c>
      <c r="J5237" t="s" s="2">
        <v>9204</v>
      </c>
      <c r="K5237" s="6"/>
      <c r="L5237" s="6"/>
      <c r="M5237" s="6"/>
      <c r="N5237" s="6"/>
      <c r="O5237" t="s" s="2">
        <v>25</v>
      </c>
      <c r="P5237" s="6"/>
      <c r="Q5237" t="s" s="2">
        <v>9607</v>
      </c>
      <c r="R5237" s="5">
        <f>_xlfn.IFERROR(INDEX('model_byCAP'!$D$2:$D$377,MATCH(Q5237,'model_byCAP'!$A$2:$A$377,0)),0)</f>
        <v>0</v>
      </c>
    </row>
    <row r="5238" ht="15.35" customHeight="1">
      <c r="A5238" t="s" s="2">
        <v>9704</v>
      </c>
      <c r="B5238" s="4">
        <v>42359</v>
      </c>
      <c r="C5238" s="5">
        <v>10</v>
      </c>
      <c r="D5238" s="5">
        <v>13</v>
      </c>
      <c r="E5238" s="5">
        <v>18.2</v>
      </c>
      <c r="F5238" t="s" s="2">
        <v>9471</v>
      </c>
      <c r="G5238" t="s" s="2">
        <v>9606</v>
      </c>
      <c r="H5238" s="5">
        <v>430</v>
      </c>
      <c r="I5238" t="s" s="2">
        <v>3470</v>
      </c>
      <c r="J5238" t="s" s="2">
        <v>9204</v>
      </c>
      <c r="K5238" s="6"/>
      <c r="L5238" s="6"/>
      <c r="M5238" s="5">
        <v>599625.1</v>
      </c>
      <c r="N5238" s="5">
        <v>6129346.1</v>
      </c>
      <c r="O5238" t="s" s="2">
        <v>305</v>
      </c>
      <c r="P5238" s="6"/>
      <c r="Q5238" t="s" s="2">
        <v>9607</v>
      </c>
      <c r="R5238" s="5">
        <f>_xlfn.IFERROR(INDEX('model_byCAP'!$D$2:$D$377,MATCH(Q5238,'model_byCAP'!$A$2:$A$377,0)),0)</f>
        <v>0</v>
      </c>
    </row>
    <row r="5239" ht="15.35" customHeight="1">
      <c r="A5239" t="s" s="2">
        <v>9705</v>
      </c>
      <c r="B5239" s="4">
        <v>42358</v>
      </c>
      <c r="C5239" s="5">
        <v>10</v>
      </c>
      <c r="D5239" s="5">
        <v>13</v>
      </c>
      <c r="E5239" s="5">
        <v>18.4</v>
      </c>
      <c r="F5239" t="s" s="2">
        <v>9471</v>
      </c>
      <c r="G5239" t="s" s="2">
        <v>9606</v>
      </c>
      <c r="H5239" s="5">
        <v>430</v>
      </c>
      <c r="I5239" t="s" s="2">
        <v>3470</v>
      </c>
      <c r="J5239" t="s" s="2">
        <v>9204</v>
      </c>
      <c r="K5239" s="6"/>
      <c r="L5239" s="6"/>
      <c r="M5239" s="5">
        <v>596554.73</v>
      </c>
      <c r="N5239" s="5">
        <v>6119738.98</v>
      </c>
      <c r="O5239" t="s" s="2">
        <v>305</v>
      </c>
      <c r="P5239" s="6"/>
      <c r="Q5239" t="s" s="2">
        <v>9607</v>
      </c>
      <c r="R5239" s="5">
        <f>_xlfn.IFERROR(INDEX('model_byCAP'!$D$2:$D$377,MATCH(Q5239,'model_byCAP'!$A$2:$A$377,0)),0)</f>
        <v>0</v>
      </c>
    </row>
    <row r="5240" ht="15.35" customHeight="1">
      <c r="A5240" t="s" s="2">
        <v>9706</v>
      </c>
      <c r="B5240" s="4">
        <v>42055</v>
      </c>
      <c r="C5240" s="5">
        <v>10</v>
      </c>
      <c r="D5240" s="5">
        <v>13</v>
      </c>
      <c r="E5240" s="5">
        <v>18.2</v>
      </c>
      <c r="F5240" t="s" s="2">
        <v>9471</v>
      </c>
      <c r="G5240" t="s" s="2">
        <v>9606</v>
      </c>
      <c r="H5240" s="5">
        <v>479</v>
      </c>
      <c r="I5240" t="s" s="2">
        <v>2082</v>
      </c>
      <c r="J5240" t="s" s="2">
        <v>9204</v>
      </c>
      <c r="K5240" s="6"/>
      <c r="L5240" s="6"/>
      <c r="M5240" s="5">
        <v>596285.75</v>
      </c>
      <c r="N5240" s="5">
        <v>6108068.97</v>
      </c>
      <c r="O5240" t="s" s="2">
        <v>305</v>
      </c>
      <c r="P5240" s="6"/>
      <c r="Q5240" t="s" s="2">
        <v>9607</v>
      </c>
      <c r="R5240" s="5">
        <f>_xlfn.IFERROR(INDEX('model_byCAP'!$D$2:$D$377,MATCH(Q5240,'model_byCAP'!$A$2:$A$377,0)),0)</f>
        <v>0</v>
      </c>
    </row>
    <row r="5241" ht="15.35" customHeight="1">
      <c r="A5241" t="s" s="2">
        <v>9707</v>
      </c>
      <c r="B5241" s="4">
        <v>42124</v>
      </c>
      <c r="C5241" s="5">
        <v>10</v>
      </c>
      <c r="D5241" s="5">
        <v>13</v>
      </c>
      <c r="E5241" s="5">
        <v>18.2</v>
      </c>
      <c r="F5241" t="s" s="2">
        <v>9471</v>
      </c>
      <c r="G5241" t="s" s="2">
        <v>9606</v>
      </c>
      <c r="H5241" s="5">
        <v>479</v>
      </c>
      <c r="I5241" t="s" s="2">
        <v>2082</v>
      </c>
      <c r="J5241" t="s" s="2">
        <v>9204</v>
      </c>
      <c r="K5241" s="6"/>
      <c r="L5241" s="6"/>
      <c r="M5241" s="5">
        <v>604842.3</v>
      </c>
      <c r="N5241" s="5">
        <v>6106177.5</v>
      </c>
      <c r="O5241" t="s" s="2">
        <v>305</v>
      </c>
      <c r="P5241" s="6"/>
      <c r="Q5241" t="s" s="2">
        <v>9607</v>
      </c>
      <c r="R5241" s="5">
        <f>_xlfn.IFERROR(INDEX('model_byCAP'!$D$2:$D$377,MATCH(Q5241,'model_byCAP'!$A$2:$A$377,0)),0)</f>
        <v>0</v>
      </c>
    </row>
    <row r="5242" ht="15.35" customHeight="1">
      <c r="A5242" t="s" s="2">
        <v>9708</v>
      </c>
      <c r="B5242" s="4">
        <v>42346</v>
      </c>
      <c r="C5242" s="5">
        <v>10</v>
      </c>
      <c r="D5242" s="5">
        <v>7.1</v>
      </c>
      <c r="E5242" s="5">
        <v>21.4</v>
      </c>
      <c r="F5242" t="s" s="2">
        <v>42</v>
      </c>
      <c r="G5242" t="s" s="2">
        <v>42</v>
      </c>
      <c r="H5242" s="5">
        <v>479</v>
      </c>
      <c r="I5242" t="s" s="2">
        <v>2082</v>
      </c>
      <c r="J5242" t="s" s="2">
        <v>9204</v>
      </c>
      <c r="K5242" s="6"/>
      <c r="L5242" s="6"/>
      <c r="M5242" s="5">
        <v>607333.34</v>
      </c>
      <c r="N5242" s="5">
        <v>6103789.32</v>
      </c>
      <c r="O5242" t="s" s="2">
        <v>305</v>
      </c>
      <c r="P5242" s="6"/>
      <c r="Q5242" t="s" s="2">
        <v>43</v>
      </c>
      <c r="R5242" s="5">
        <f>_xlfn.IFERROR(INDEX('model_byCAP'!$D$2:$D$377,MATCH(Q5242,'model_byCAP'!$A$2:$A$377,0)),0)</f>
        <v>0</v>
      </c>
    </row>
    <row r="5243" ht="15.35" customHeight="1">
      <c r="A5243" t="s" s="2">
        <v>9709</v>
      </c>
      <c r="B5243" s="4">
        <v>42472</v>
      </c>
      <c r="C5243" s="5">
        <v>10</v>
      </c>
      <c r="D5243" s="5">
        <v>13</v>
      </c>
      <c r="E5243" s="5">
        <v>18.4</v>
      </c>
      <c r="F5243" t="s" s="2">
        <v>9471</v>
      </c>
      <c r="G5243" t="s" s="2">
        <v>9606</v>
      </c>
      <c r="H5243" s="5">
        <v>479</v>
      </c>
      <c r="I5243" t="s" s="2">
        <v>2082</v>
      </c>
      <c r="J5243" t="s" s="2">
        <v>9204</v>
      </c>
      <c r="K5243" s="6"/>
      <c r="L5243" s="6"/>
      <c r="M5243" s="5">
        <v>598106.05</v>
      </c>
      <c r="N5243" s="5">
        <v>6094162.51</v>
      </c>
      <c r="O5243" t="s" s="2">
        <v>305</v>
      </c>
      <c r="P5243" s="6"/>
      <c r="Q5243" t="s" s="2">
        <v>9607</v>
      </c>
      <c r="R5243" s="5">
        <f>_xlfn.IFERROR(INDEX('model_byCAP'!$D$2:$D$377,MATCH(Q5243,'model_byCAP'!$A$2:$A$377,0)),0)</f>
        <v>0</v>
      </c>
    </row>
    <row r="5244" ht="15.35" customHeight="1">
      <c r="A5244" t="s" s="2">
        <v>9710</v>
      </c>
      <c r="B5244" s="4">
        <v>42472</v>
      </c>
      <c r="C5244" s="5">
        <v>10</v>
      </c>
      <c r="D5244" s="5">
        <v>13</v>
      </c>
      <c r="E5244" s="5">
        <v>18.4</v>
      </c>
      <c r="F5244" t="s" s="2">
        <v>9471</v>
      </c>
      <c r="G5244" t="s" s="2">
        <v>9606</v>
      </c>
      <c r="H5244" s="5">
        <v>479</v>
      </c>
      <c r="I5244" t="s" s="2">
        <v>2082</v>
      </c>
      <c r="J5244" t="s" s="2">
        <v>9204</v>
      </c>
      <c r="K5244" s="6"/>
      <c r="L5244" s="6"/>
      <c r="M5244" s="5">
        <v>597954.77</v>
      </c>
      <c r="N5244" s="5">
        <v>6095059.61</v>
      </c>
      <c r="O5244" t="s" s="2">
        <v>305</v>
      </c>
      <c r="P5244" s="6"/>
      <c r="Q5244" t="s" s="2">
        <v>9607</v>
      </c>
      <c r="R5244" s="5">
        <f>_xlfn.IFERROR(INDEX('model_byCAP'!$D$2:$D$377,MATCH(Q5244,'model_byCAP'!$A$2:$A$377,0)),0)</f>
        <v>0</v>
      </c>
    </row>
    <row r="5245" ht="15.35" customHeight="1">
      <c r="A5245" t="s" s="2">
        <v>9711</v>
      </c>
      <c r="B5245" s="4">
        <v>42360</v>
      </c>
      <c r="C5245" s="5">
        <v>10</v>
      </c>
      <c r="D5245" s="5">
        <v>13</v>
      </c>
      <c r="E5245" s="5">
        <v>18.2</v>
      </c>
      <c r="F5245" t="s" s="2">
        <v>9471</v>
      </c>
      <c r="G5245" t="s" s="2">
        <v>9606</v>
      </c>
      <c r="H5245" s="5">
        <v>479</v>
      </c>
      <c r="I5245" t="s" s="2">
        <v>2082</v>
      </c>
      <c r="J5245" t="s" s="2">
        <v>9204</v>
      </c>
      <c r="K5245" s="6"/>
      <c r="L5245" s="6"/>
      <c r="M5245" s="5">
        <v>592943.3100000001</v>
      </c>
      <c r="N5245" s="5">
        <v>6111543.94</v>
      </c>
      <c r="O5245" t="s" s="2">
        <v>305</v>
      </c>
      <c r="P5245" s="6"/>
      <c r="Q5245" t="s" s="2">
        <v>9607</v>
      </c>
      <c r="R5245" s="5">
        <f>_xlfn.IFERROR(INDEX('model_byCAP'!$D$2:$D$377,MATCH(Q5245,'model_byCAP'!$A$2:$A$377,0)),0)</f>
        <v>0</v>
      </c>
    </row>
    <row r="5246" ht="15.35" customHeight="1">
      <c r="A5246" t="s" s="2">
        <v>9712</v>
      </c>
      <c r="B5246" s="4">
        <v>42360</v>
      </c>
      <c r="C5246" s="5">
        <v>10</v>
      </c>
      <c r="D5246" s="5">
        <v>13</v>
      </c>
      <c r="E5246" s="5">
        <v>18</v>
      </c>
      <c r="F5246" t="s" s="2">
        <v>9471</v>
      </c>
      <c r="G5246" t="s" s="2">
        <v>9606</v>
      </c>
      <c r="H5246" s="5">
        <v>480</v>
      </c>
      <c r="I5246" t="s" s="2">
        <v>3957</v>
      </c>
      <c r="J5246" t="s" s="2">
        <v>9204</v>
      </c>
      <c r="K5246" s="6"/>
      <c r="L5246" s="6"/>
      <c r="M5246" s="5">
        <v>573291.52</v>
      </c>
      <c r="N5246" s="5">
        <v>6151776.65</v>
      </c>
      <c r="O5246" t="s" s="2">
        <v>305</v>
      </c>
      <c r="P5246" s="6"/>
      <c r="Q5246" t="s" s="2">
        <v>9607</v>
      </c>
      <c r="R5246" s="5">
        <f>_xlfn.IFERROR(INDEX('model_byCAP'!$D$2:$D$377,MATCH(Q5246,'model_byCAP'!$A$2:$A$377,0)),0)</f>
        <v>0</v>
      </c>
    </row>
    <row r="5247" ht="15.35" customHeight="1">
      <c r="A5247" t="s" s="2">
        <v>9713</v>
      </c>
      <c r="B5247" s="4">
        <v>42298</v>
      </c>
      <c r="C5247" s="5">
        <v>10</v>
      </c>
      <c r="D5247" s="5">
        <v>7.1</v>
      </c>
      <c r="E5247" s="5">
        <v>21.4</v>
      </c>
      <c r="F5247" t="s" s="2">
        <v>42</v>
      </c>
      <c r="G5247" t="s" s="2">
        <v>42</v>
      </c>
      <c r="H5247" s="5">
        <v>480</v>
      </c>
      <c r="I5247" t="s" s="2">
        <v>3957</v>
      </c>
      <c r="J5247" t="s" s="2">
        <v>9204</v>
      </c>
      <c r="K5247" s="6"/>
      <c r="L5247" s="6"/>
      <c r="M5247" s="6"/>
      <c r="N5247" s="6"/>
      <c r="O5247" t="s" s="2">
        <v>25</v>
      </c>
      <c r="P5247" s="6"/>
      <c r="Q5247" t="s" s="2">
        <v>43</v>
      </c>
      <c r="R5247" s="5">
        <f>_xlfn.IFERROR(INDEX('model_byCAP'!$D$2:$D$377,MATCH(Q5247,'model_byCAP'!$A$2:$A$377,0)),0)</f>
        <v>0</v>
      </c>
    </row>
    <row r="5248" ht="15.35" customHeight="1">
      <c r="A5248" t="s" s="2">
        <v>9714</v>
      </c>
      <c r="B5248" s="4">
        <v>42090</v>
      </c>
      <c r="C5248" s="5">
        <v>10</v>
      </c>
      <c r="D5248" s="5">
        <v>13</v>
      </c>
      <c r="E5248" s="5">
        <v>18</v>
      </c>
      <c r="F5248" t="s" s="2">
        <v>9471</v>
      </c>
      <c r="G5248" t="s" s="2">
        <v>9606</v>
      </c>
      <c r="H5248" s="5">
        <v>482</v>
      </c>
      <c r="I5248" t="s" s="2">
        <v>1523</v>
      </c>
      <c r="J5248" t="s" s="2">
        <v>9204</v>
      </c>
      <c r="K5248" s="6"/>
      <c r="L5248" s="6"/>
      <c r="M5248" s="5">
        <v>611617.55</v>
      </c>
      <c r="N5248" s="5">
        <v>6082387.55</v>
      </c>
      <c r="O5248" t="s" s="2">
        <v>305</v>
      </c>
      <c r="P5248" s="6"/>
      <c r="Q5248" t="s" s="2">
        <v>9607</v>
      </c>
      <c r="R5248" s="5">
        <f>_xlfn.IFERROR(INDEX('model_byCAP'!$D$2:$D$377,MATCH(Q5248,'model_byCAP'!$A$2:$A$377,0)),0)</f>
        <v>0</v>
      </c>
    </row>
    <row r="5249" ht="15.35" customHeight="1">
      <c r="A5249" t="s" s="2">
        <v>9715</v>
      </c>
      <c r="B5249" s="4">
        <v>42180</v>
      </c>
      <c r="C5249" s="5">
        <v>10</v>
      </c>
      <c r="D5249" s="5">
        <v>14</v>
      </c>
      <c r="E5249" s="5">
        <v>18</v>
      </c>
      <c r="F5249" t="s" s="2">
        <v>9209</v>
      </c>
      <c r="G5249" t="s" s="2">
        <v>9638</v>
      </c>
      <c r="H5249" s="5">
        <v>482</v>
      </c>
      <c r="I5249" t="s" s="2">
        <v>1523</v>
      </c>
      <c r="J5249" t="s" s="2">
        <v>9204</v>
      </c>
      <c r="K5249" s="6"/>
      <c r="L5249" s="6"/>
      <c r="M5249" s="5">
        <v>619908.45</v>
      </c>
      <c r="N5249" s="5">
        <v>6105841.91</v>
      </c>
      <c r="O5249" t="s" s="2">
        <v>305</v>
      </c>
      <c r="P5249" s="6"/>
      <c r="Q5249" t="s" s="2">
        <v>9639</v>
      </c>
      <c r="R5249" s="5">
        <f>_xlfn.IFERROR(INDEX('model_byCAP'!$D$2:$D$377,MATCH(Q5249,'model_byCAP'!$A$2:$A$377,0)),0)</f>
        <v>0</v>
      </c>
    </row>
    <row r="5250" ht="15.35" customHeight="1">
      <c r="A5250" t="s" s="2">
        <v>9716</v>
      </c>
      <c r="B5250" s="4">
        <v>42233</v>
      </c>
      <c r="C5250" s="5">
        <v>10</v>
      </c>
      <c r="D5250" s="5">
        <v>13</v>
      </c>
      <c r="E5250" s="5">
        <v>18.2</v>
      </c>
      <c r="F5250" t="s" s="2">
        <v>9471</v>
      </c>
      <c r="G5250" t="s" s="2">
        <v>9606</v>
      </c>
      <c r="H5250" s="5">
        <v>482</v>
      </c>
      <c r="I5250" t="s" s="2">
        <v>1523</v>
      </c>
      <c r="J5250" t="s" s="2">
        <v>9204</v>
      </c>
      <c r="K5250" s="6"/>
      <c r="L5250" s="6"/>
      <c r="M5250" s="5">
        <v>613422.83</v>
      </c>
      <c r="N5250" s="5">
        <v>6085960.51</v>
      </c>
      <c r="O5250" t="s" s="2">
        <v>305</v>
      </c>
      <c r="P5250" s="6"/>
      <c r="Q5250" t="s" s="2">
        <v>9607</v>
      </c>
      <c r="R5250" s="5">
        <f>_xlfn.IFERROR(INDEX('model_byCAP'!$D$2:$D$377,MATCH(Q5250,'model_byCAP'!$A$2:$A$377,0)),0)</f>
        <v>0</v>
      </c>
    </row>
    <row r="5251" ht="15.35" customHeight="1">
      <c r="A5251" t="s" s="2">
        <v>9717</v>
      </c>
      <c r="B5251" s="4">
        <v>42270</v>
      </c>
      <c r="C5251" s="5">
        <v>10</v>
      </c>
      <c r="D5251" s="5">
        <v>14</v>
      </c>
      <c r="E5251" s="5">
        <v>18</v>
      </c>
      <c r="F5251" t="s" s="2">
        <v>9209</v>
      </c>
      <c r="G5251" t="s" s="2">
        <v>9210</v>
      </c>
      <c r="H5251" s="5">
        <v>482</v>
      </c>
      <c r="I5251" t="s" s="2">
        <v>1523</v>
      </c>
      <c r="J5251" t="s" s="2">
        <v>9204</v>
      </c>
      <c r="K5251" s="6"/>
      <c r="L5251" s="6"/>
      <c r="M5251" s="5">
        <v>611180.61</v>
      </c>
      <c r="N5251" s="5">
        <v>6076616.22</v>
      </c>
      <c r="O5251" t="s" s="2">
        <v>305</v>
      </c>
      <c r="P5251" s="6"/>
      <c r="Q5251" t="s" s="2">
        <v>9211</v>
      </c>
      <c r="R5251" t="s" s="2">
        <f>_xlfn.IFERROR(INDEX('model_byCAP'!$D$2:$D$377,MATCH(Q5251,'model_byCAP'!$A$2:$A$377,0)),0)</f>
        <v>8430</v>
      </c>
    </row>
    <row r="5252" ht="15.35" customHeight="1">
      <c r="A5252" t="s" s="2">
        <v>9718</v>
      </c>
      <c r="B5252" s="4">
        <v>42270</v>
      </c>
      <c r="C5252" s="5">
        <v>10</v>
      </c>
      <c r="D5252" s="5">
        <v>13</v>
      </c>
      <c r="E5252" s="5">
        <v>18.2</v>
      </c>
      <c r="F5252" t="s" s="2">
        <v>9471</v>
      </c>
      <c r="G5252" t="s" s="2">
        <v>9606</v>
      </c>
      <c r="H5252" s="5">
        <v>482</v>
      </c>
      <c r="I5252" t="s" s="2">
        <v>1523</v>
      </c>
      <c r="J5252" t="s" s="2">
        <v>9204</v>
      </c>
      <c r="K5252" s="6"/>
      <c r="L5252" s="6"/>
      <c r="M5252" s="5">
        <v>620651.2</v>
      </c>
      <c r="N5252" s="5">
        <v>6104448.94</v>
      </c>
      <c r="O5252" t="s" s="2">
        <v>305</v>
      </c>
      <c r="P5252" s="6"/>
      <c r="Q5252" t="s" s="2">
        <v>9607</v>
      </c>
      <c r="R5252" s="5">
        <f>_xlfn.IFERROR(INDEX('model_byCAP'!$D$2:$D$377,MATCH(Q5252,'model_byCAP'!$A$2:$A$377,0)),0)</f>
        <v>0</v>
      </c>
    </row>
    <row r="5253" ht="15.35" customHeight="1">
      <c r="A5253" t="s" s="2">
        <v>9719</v>
      </c>
      <c r="B5253" s="4">
        <v>42269</v>
      </c>
      <c r="C5253" s="5">
        <v>10</v>
      </c>
      <c r="D5253" s="5">
        <v>13</v>
      </c>
      <c r="E5253" s="5">
        <v>18.2</v>
      </c>
      <c r="F5253" t="s" s="2">
        <v>9471</v>
      </c>
      <c r="G5253" t="s" s="2">
        <v>9606</v>
      </c>
      <c r="H5253" s="5">
        <v>482</v>
      </c>
      <c r="I5253" t="s" s="2">
        <v>1523</v>
      </c>
      <c r="J5253" t="s" s="2">
        <v>9204</v>
      </c>
      <c r="K5253" s="6"/>
      <c r="L5253" s="6"/>
      <c r="M5253" s="5">
        <v>620510.17</v>
      </c>
      <c r="N5253" s="5">
        <v>6104692.06</v>
      </c>
      <c r="O5253" t="s" s="2">
        <v>305</v>
      </c>
      <c r="P5253" s="6"/>
      <c r="Q5253" t="s" s="2">
        <v>9607</v>
      </c>
      <c r="R5253" s="5">
        <f>_xlfn.IFERROR(INDEX('model_byCAP'!$D$2:$D$377,MATCH(Q5253,'model_byCAP'!$A$2:$A$377,0)),0)</f>
        <v>0</v>
      </c>
    </row>
    <row r="5254" ht="15.35" customHeight="1">
      <c r="A5254" t="s" s="2">
        <v>9720</v>
      </c>
      <c r="B5254" s="4">
        <v>42269</v>
      </c>
      <c r="C5254" s="5">
        <v>10</v>
      </c>
      <c r="D5254" s="5">
        <v>13</v>
      </c>
      <c r="E5254" s="5">
        <v>18.2</v>
      </c>
      <c r="F5254" t="s" s="2">
        <v>9471</v>
      </c>
      <c r="G5254" t="s" s="2">
        <v>9606</v>
      </c>
      <c r="H5254" s="5">
        <v>482</v>
      </c>
      <c r="I5254" t="s" s="2">
        <v>1523</v>
      </c>
      <c r="J5254" t="s" s="2">
        <v>9204</v>
      </c>
      <c r="K5254" s="6"/>
      <c r="L5254" s="6"/>
      <c r="M5254" s="5">
        <v>620363.6800000001</v>
      </c>
      <c r="N5254" s="5">
        <v>6104199.57</v>
      </c>
      <c r="O5254" t="s" s="2">
        <v>305</v>
      </c>
      <c r="P5254" s="6"/>
      <c r="Q5254" t="s" s="2">
        <v>9607</v>
      </c>
      <c r="R5254" s="5">
        <f>_xlfn.IFERROR(INDEX('model_byCAP'!$D$2:$D$377,MATCH(Q5254,'model_byCAP'!$A$2:$A$377,0)),0)</f>
        <v>0</v>
      </c>
    </row>
    <row r="5255" ht="15.35" customHeight="1">
      <c r="A5255" t="s" s="2">
        <v>9721</v>
      </c>
      <c r="B5255" s="4">
        <v>42273</v>
      </c>
      <c r="C5255" s="5">
        <v>10</v>
      </c>
      <c r="D5255" s="5">
        <v>14</v>
      </c>
      <c r="E5255" s="5">
        <v>18</v>
      </c>
      <c r="F5255" t="s" s="2">
        <v>9209</v>
      </c>
      <c r="G5255" t="s" s="2">
        <v>9293</v>
      </c>
      <c r="H5255" s="5">
        <v>482</v>
      </c>
      <c r="I5255" t="s" s="2">
        <v>1523</v>
      </c>
      <c r="J5255" t="s" s="2">
        <v>9204</v>
      </c>
      <c r="K5255" s="6"/>
      <c r="L5255" s="6"/>
      <c r="M5255" s="5">
        <v>612658.65</v>
      </c>
      <c r="N5255" s="5">
        <v>6086781.32</v>
      </c>
      <c r="O5255" t="s" s="2">
        <v>305</v>
      </c>
      <c r="P5255" s="6"/>
      <c r="Q5255" t="s" s="2">
        <v>9295</v>
      </c>
      <c r="R5255" t="s" s="2">
        <f>_xlfn.IFERROR(INDEX('model_byCAP'!$D$2:$D$377,MATCH(Q5255,'model_byCAP'!$A$2:$A$377,0)),0)</f>
        <v>8430</v>
      </c>
    </row>
    <row r="5256" ht="15.35" customHeight="1">
      <c r="A5256" t="s" s="2">
        <v>9722</v>
      </c>
      <c r="B5256" s="4">
        <v>42353</v>
      </c>
      <c r="C5256" s="5">
        <v>10</v>
      </c>
      <c r="D5256" s="5">
        <v>14</v>
      </c>
      <c r="E5256" s="5">
        <v>18</v>
      </c>
      <c r="F5256" t="s" s="2">
        <v>9209</v>
      </c>
      <c r="G5256" t="s" s="2">
        <v>9293</v>
      </c>
      <c r="H5256" s="5">
        <v>482</v>
      </c>
      <c r="I5256" t="s" s="2">
        <v>1523</v>
      </c>
      <c r="J5256" t="s" s="2">
        <v>9204</v>
      </c>
      <c r="K5256" s="6"/>
      <c r="L5256" s="6"/>
      <c r="M5256" s="5">
        <v>611176.29</v>
      </c>
      <c r="N5256" s="5">
        <v>6070851.87</v>
      </c>
      <c r="O5256" t="s" s="2">
        <v>305</v>
      </c>
      <c r="P5256" s="6"/>
      <c r="Q5256" t="s" s="2">
        <v>9295</v>
      </c>
      <c r="R5256" t="s" s="2">
        <f>_xlfn.IFERROR(INDEX('model_byCAP'!$D$2:$D$377,MATCH(Q5256,'model_byCAP'!$A$2:$A$377,0)),0)</f>
        <v>8430</v>
      </c>
    </row>
    <row r="5257" ht="15.35" customHeight="1">
      <c r="A5257" t="s" s="2">
        <v>9723</v>
      </c>
      <c r="B5257" s="4">
        <v>42324</v>
      </c>
      <c r="C5257" s="5">
        <v>10</v>
      </c>
      <c r="D5257" s="5">
        <v>14</v>
      </c>
      <c r="E5257" s="5">
        <v>18</v>
      </c>
      <c r="F5257" t="s" s="2">
        <v>9209</v>
      </c>
      <c r="G5257" t="s" s="2">
        <v>9293</v>
      </c>
      <c r="H5257" s="5">
        <v>482</v>
      </c>
      <c r="I5257" t="s" s="2">
        <v>1523</v>
      </c>
      <c r="J5257" t="s" s="2">
        <v>9204</v>
      </c>
      <c r="K5257" s="6"/>
      <c r="L5257" s="6"/>
      <c r="M5257" s="5">
        <v>611061.88</v>
      </c>
      <c r="N5257" s="5">
        <v>6068552.4</v>
      </c>
      <c r="O5257" t="s" s="2">
        <v>305</v>
      </c>
      <c r="P5257" s="6"/>
      <c r="Q5257" t="s" s="2">
        <v>9295</v>
      </c>
      <c r="R5257" t="s" s="2">
        <f>_xlfn.IFERROR(INDEX('model_byCAP'!$D$2:$D$377,MATCH(Q5257,'model_byCAP'!$A$2:$A$377,0)),0)</f>
        <v>8430</v>
      </c>
    </row>
    <row r="5258" ht="15.35" customHeight="1">
      <c r="A5258" t="s" s="2">
        <v>9724</v>
      </c>
      <c r="B5258" s="4">
        <v>42346</v>
      </c>
      <c r="C5258" s="5">
        <v>10</v>
      </c>
      <c r="D5258" s="5">
        <v>13</v>
      </c>
      <c r="E5258" s="5">
        <v>18.2</v>
      </c>
      <c r="F5258" t="s" s="2">
        <v>9471</v>
      </c>
      <c r="G5258" t="s" s="2">
        <v>9606</v>
      </c>
      <c r="H5258" s="5">
        <v>482</v>
      </c>
      <c r="I5258" t="s" s="2">
        <v>1523</v>
      </c>
      <c r="J5258" t="s" s="2">
        <v>9204</v>
      </c>
      <c r="K5258" s="6"/>
      <c r="L5258" s="6"/>
      <c r="M5258" s="5">
        <v>607214.84</v>
      </c>
      <c r="N5258" s="5">
        <v>6078105.83</v>
      </c>
      <c r="O5258" t="s" s="2">
        <v>305</v>
      </c>
      <c r="P5258" s="6"/>
      <c r="Q5258" t="s" s="2">
        <v>9607</v>
      </c>
      <c r="R5258" s="5">
        <f>_xlfn.IFERROR(INDEX('model_byCAP'!$D$2:$D$377,MATCH(Q5258,'model_byCAP'!$A$2:$A$377,0)),0)</f>
        <v>0</v>
      </c>
    </row>
    <row r="5259" ht="15.35" customHeight="1">
      <c r="A5259" t="s" s="2">
        <v>9725</v>
      </c>
      <c r="B5259" s="4">
        <v>42823</v>
      </c>
      <c r="C5259" s="5">
        <v>10</v>
      </c>
      <c r="D5259" s="5">
        <v>14</v>
      </c>
      <c r="E5259" s="5">
        <v>18</v>
      </c>
      <c r="F5259" t="s" s="2">
        <v>9209</v>
      </c>
      <c r="G5259" t="s" s="2">
        <v>9293</v>
      </c>
      <c r="H5259" s="5">
        <v>482</v>
      </c>
      <c r="I5259" t="s" s="2">
        <v>1523</v>
      </c>
      <c r="J5259" t="s" s="2">
        <v>9204</v>
      </c>
      <c r="K5259" s="6"/>
      <c r="L5259" s="6"/>
      <c r="M5259" s="6"/>
      <c r="N5259" s="6"/>
      <c r="O5259" t="s" s="2">
        <v>25</v>
      </c>
      <c r="P5259" s="6"/>
      <c r="Q5259" t="s" s="2">
        <v>9295</v>
      </c>
      <c r="R5259" t="s" s="2">
        <f>_xlfn.IFERROR(INDEX('model_byCAP'!$D$2:$D$377,MATCH(Q5259,'model_byCAP'!$A$2:$A$377,0)),0)</f>
        <v>8430</v>
      </c>
    </row>
    <row r="5260" ht="15.35" customHeight="1">
      <c r="A5260" t="s" s="2">
        <v>9726</v>
      </c>
      <c r="B5260" s="4">
        <v>42217</v>
      </c>
      <c r="C5260" s="5">
        <v>10</v>
      </c>
      <c r="D5260" s="5">
        <v>7.1</v>
      </c>
      <c r="E5260" s="5">
        <v>21.4</v>
      </c>
      <c r="F5260" t="s" s="2">
        <v>42</v>
      </c>
      <c r="G5260" t="s" s="2">
        <v>42</v>
      </c>
      <c r="H5260" s="5">
        <v>492</v>
      </c>
      <c r="I5260" t="s" s="2">
        <v>2498</v>
      </c>
      <c r="J5260" t="s" s="2">
        <v>9204</v>
      </c>
      <c r="K5260" s="6"/>
      <c r="L5260" s="6"/>
      <c r="M5260" s="6"/>
      <c r="N5260" s="6"/>
      <c r="O5260" t="s" s="2">
        <v>25</v>
      </c>
      <c r="P5260" s="6"/>
      <c r="Q5260" t="s" s="2">
        <v>43</v>
      </c>
      <c r="R5260" s="5">
        <f>_xlfn.IFERROR(INDEX('model_byCAP'!$D$2:$D$377,MATCH(Q5260,'model_byCAP'!$A$2:$A$377,0)),0)</f>
        <v>0</v>
      </c>
    </row>
    <row r="5261" ht="15.35" customHeight="1">
      <c r="A5261" t="s" s="2">
        <v>9727</v>
      </c>
      <c r="B5261" s="4">
        <v>42397</v>
      </c>
      <c r="C5261" s="5">
        <v>10</v>
      </c>
      <c r="D5261" s="5">
        <v>7.1</v>
      </c>
      <c r="E5261" s="5">
        <v>21.3</v>
      </c>
      <c r="F5261" t="s" s="2">
        <v>42</v>
      </c>
      <c r="G5261" t="s" s="2">
        <v>42</v>
      </c>
      <c r="H5261" s="5">
        <v>492</v>
      </c>
      <c r="I5261" t="s" s="2">
        <v>2498</v>
      </c>
      <c r="J5261" t="s" s="2">
        <v>9204</v>
      </c>
      <c r="K5261" s="6"/>
      <c r="L5261" s="6"/>
      <c r="M5261" s="5">
        <v>587663.4</v>
      </c>
      <c r="N5261" s="5">
        <v>6078537.15</v>
      </c>
      <c r="O5261" t="s" s="2">
        <v>305</v>
      </c>
      <c r="P5261" s="6"/>
      <c r="Q5261" t="s" s="2">
        <v>43</v>
      </c>
      <c r="R5261" s="5">
        <f>_xlfn.IFERROR(INDEX('model_byCAP'!$D$2:$D$377,MATCH(Q5261,'model_byCAP'!$A$2:$A$377,0)),0)</f>
        <v>0</v>
      </c>
    </row>
    <row r="5262" ht="15.35" customHeight="1">
      <c r="A5262" t="s" s="2">
        <v>9728</v>
      </c>
      <c r="B5262" s="4">
        <v>42670</v>
      </c>
      <c r="C5262" s="5">
        <v>10</v>
      </c>
      <c r="D5262" s="5">
        <v>7.1</v>
      </c>
      <c r="E5262" s="5">
        <v>21</v>
      </c>
      <c r="F5262" t="s" s="2">
        <v>42</v>
      </c>
      <c r="G5262" t="s" s="2">
        <v>42</v>
      </c>
      <c r="H5262" s="5">
        <v>510</v>
      </c>
      <c r="I5262" t="s" s="2">
        <v>3049</v>
      </c>
      <c r="J5262" t="s" s="2">
        <v>9204</v>
      </c>
      <c r="K5262" s="6"/>
      <c r="L5262" s="6"/>
      <c r="M5262" s="6"/>
      <c r="N5262" s="6"/>
      <c r="O5262" t="s" s="2">
        <v>25</v>
      </c>
      <c r="P5262" s="6"/>
      <c r="Q5262" t="s" s="2">
        <v>43</v>
      </c>
      <c r="R5262" s="5">
        <f>_xlfn.IFERROR(INDEX('model_byCAP'!$D$2:$D$377,MATCH(Q5262,'model_byCAP'!$A$2:$A$377,0)),0)</f>
        <v>0</v>
      </c>
    </row>
    <row r="5263" ht="15.35" customHeight="1">
      <c r="A5263" t="s" s="2">
        <v>9729</v>
      </c>
      <c r="B5263" s="4">
        <v>42121</v>
      </c>
      <c r="C5263" s="5">
        <v>10</v>
      </c>
      <c r="D5263" s="5">
        <v>7.1</v>
      </c>
      <c r="E5263" s="5">
        <v>21.4</v>
      </c>
      <c r="F5263" t="s" s="2">
        <v>42</v>
      </c>
      <c r="G5263" t="s" s="2">
        <v>42</v>
      </c>
      <c r="H5263" s="5">
        <v>510</v>
      </c>
      <c r="I5263" t="s" s="2">
        <v>3049</v>
      </c>
      <c r="J5263" t="s" s="2">
        <v>9204</v>
      </c>
      <c r="K5263" s="6"/>
      <c r="L5263" s="6"/>
      <c r="M5263" s="5">
        <v>497656.98</v>
      </c>
      <c r="N5263" s="5">
        <v>6121096.43</v>
      </c>
      <c r="O5263" t="s" s="2">
        <v>305</v>
      </c>
      <c r="P5263" s="6"/>
      <c r="Q5263" t="s" s="2">
        <v>43</v>
      </c>
      <c r="R5263" s="5">
        <f>_xlfn.IFERROR(INDEX('model_byCAP'!$D$2:$D$377,MATCH(Q5263,'model_byCAP'!$A$2:$A$377,0)),0)</f>
        <v>0</v>
      </c>
    </row>
    <row r="5264" ht="15.35" customHeight="1">
      <c r="A5264" t="s" s="2">
        <v>9730</v>
      </c>
      <c r="B5264" s="4">
        <v>42173</v>
      </c>
      <c r="C5264" s="5">
        <v>10</v>
      </c>
      <c r="D5264" s="5">
        <v>7.1</v>
      </c>
      <c r="E5264" s="5">
        <v>21.4</v>
      </c>
      <c r="F5264" t="s" s="2">
        <v>42</v>
      </c>
      <c r="G5264" t="s" s="2">
        <v>42</v>
      </c>
      <c r="H5264" s="5">
        <v>510</v>
      </c>
      <c r="I5264" t="s" s="2">
        <v>3049</v>
      </c>
      <c r="J5264" t="s" s="2">
        <v>9204</v>
      </c>
      <c r="K5264" s="6"/>
      <c r="L5264" s="6"/>
      <c r="M5264" s="6"/>
      <c r="N5264" s="6"/>
      <c r="O5264" t="s" s="2">
        <v>25</v>
      </c>
      <c r="P5264" s="6"/>
      <c r="Q5264" t="s" s="2">
        <v>43</v>
      </c>
      <c r="R5264" s="5">
        <f>_xlfn.IFERROR(INDEX('model_byCAP'!$D$2:$D$377,MATCH(Q5264,'model_byCAP'!$A$2:$A$377,0)),0)</f>
        <v>0</v>
      </c>
    </row>
    <row r="5265" ht="15.35" customHeight="1">
      <c r="A5265" t="s" s="2">
        <v>9731</v>
      </c>
      <c r="B5265" s="4">
        <v>42306</v>
      </c>
      <c r="C5265" s="5">
        <v>10</v>
      </c>
      <c r="D5265" s="5">
        <v>13</v>
      </c>
      <c r="E5265" s="5">
        <v>18.2</v>
      </c>
      <c r="F5265" t="s" s="2">
        <v>9471</v>
      </c>
      <c r="G5265" t="s" s="2">
        <v>9606</v>
      </c>
      <c r="H5265" s="5">
        <v>510</v>
      </c>
      <c r="I5265" t="s" s="2">
        <v>3049</v>
      </c>
      <c r="J5265" t="s" s="2">
        <v>9204</v>
      </c>
      <c r="K5265" s="6"/>
      <c r="L5265" s="6"/>
      <c r="M5265" s="5">
        <v>516819</v>
      </c>
      <c r="N5265" s="5">
        <v>6134296.74</v>
      </c>
      <c r="O5265" t="s" s="2">
        <v>305</v>
      </c>
      <c r="P5265" s="6"/>
      <c r="Q5265" t="s" s="2">
        <v>9607</v>
      </c>
      <c r="R5265" s="5">
        <f>_xlfn.IFERROR(INDEX('model_byCAP'!$D$2:$D$377,MATCH(Q5265,'model_byCAP'!$A$2:$A$377,0)),0)</f>
        <v>0</v>
      </c>
    </row>
    <row r="5266" ht="15.35" customHeight="1">
      <c r="A5266" t="s" s="2">
        <v>9732</v>
      </c>
      <c r="B5266" s="4">
        <v>42342</v>
      </c>
      <c r="C5266" s="5">
        <v>10</v>
      </c>
      <c r="D5266" s="5">
        <v>13</v>
      </c>
      <c r="E5266" s="5">
        <v>18.2</v>
      </c>
      <c r="F5266" t="s" s="2">
        <v>9733</v>
      </c>
      <c r="G5266" t="s" s="2">
        <v>9734</v>
      </c>
      <c r="H5266" s="5">
        <v>530</v>
      </c>
      <c r="I5266" t="s" s="2">
        <v>1357</v>
      </c>
      <c r="J5266" t="s" s="2">
        <v>9204</v>
      </c>
      <c r="K5266" s="6"/>
      <c r="L5266" s="6"/>
      <c r="M5266" s="5">
        <v>501023.33</v>
      </c>
      <c r="N5266" s="5">
        <v>6181270.76</v>
      </c>
      <c r="O5266" t="s" s="2">
        <v>305</v>
      </c>
      <c r="P5266" s="6"/>
      <c r="Q5266" t="s" s="2">
        <v>9735</v>
      </c>
      <c r="R5266" s="5">
        <f>_xlfn.IFERROR(INDEX('model_byCAP'!$D$2:$D$377,MATCH(Q5266,'model_byCAP'!$A$2:$A$377,0)),0)</f>
        <v>0</v>
      </c>
    </row>
    <row r="5267" ht="15.35" customHeight="1">
      <c r="A5267" t="s" s="2">
        <v>9736</v>
      </c>
      <c r="B5267" s="4">
        <v>42356</v>
      </c>
      <c r="C5267" s="5">
        <v>10</v>
      </c>
      <c r="D5267" s="5">
        <v>13</v>
      </c>
      <c r="E5267" s="5">
        <v>18</v>
      </c>
      <c r="F5267" t="s" s="2">
        <v>9471</v>
      </c>
      <c r="G5267" t="s" s="2">
        <v>9606</v>
      </c>
      <c r="H5267" s="5">
        <v>530</v>
      </c>
      <c r="I5267" t="s" s="2">
        <v>1357</v>
      </c>
      <c r="J5267" t="s" s="2">
        <v>9204</v>
      </c>
      <c r="K5267" s="6"/>
      <c r="L5267" s="6"/>
      <c r="M5267" s="5">
        <v>500084.95</v>
      </c>
      <c r="N5267" s="5">
        <v>6184942.61</v>
      </c>
      <c r="O5267" t="s" s="2">
        <v>305</v>
      </c>
      <c r="P5267" s="6"/>
      <c r="Q5267" t="s" s="2">
        <v>9607</v>
      </c>
      <c r="R5267" s="5">
        <f>_xlfn.IFERROR(INDEX('model_byCAP'!$D$2:$D$377,MATCH(Q5267,'model_byCAP'!$A$2:$A$377,0)),0)</f>
        <v>0</v>
      </c>
    </row>
    <row r="5268" ht="15.35" customHeight="1">
      <c r="A5268" t="s" s="2">
        <v>9737</v>
      </c>
      <c r="B5268" s="4">
        <v>42655</v>
      </c>
      <c r="C5268" s="5">
        <v>10</v>
      </c>
      <c r="D5268" s="5">
        <v>13</v>
      </c>
      <c r="E5268" s="5">
        <v>18.2</v>
      </c>
      <c r="F5268" t="s" s="2">
        <v>9471</v>
      </c>
      <c r="G5268" t="s" s="2">
        <v>9606</v>
      </c>
      <c r="H5268" s="5">
        <v>530</v>
      </c>
      <c r="I5268" t="s" s="2">
        <v>1357</v>
      </c>
      <c r="J5268" t="s" s="2">
        <v>9204</v>
      </c>
      <c r="K5268" s="6"/>
      <c r="L5268" s="6"/>
      <c r="M5268" s="6"/>
      <c r="N5268" s="6"/>
      <c r="O5268" t="s" s="2">
        <v>25</v>
      </c>
      <c r="P5268" s="6"/>
      <c r="Q5268" t="s" s="2">
        <v>9607</v>
      </c>
      <c r="R5268" s="5">
        <f>_xlfn.IFERROR(INDEX('model_byCAP'!$D$2:$D$377,MATCH(Q5268,'model_byCAP'!$A$2:$A$377,0)),0)</f>
        <v>0</v>
      </c>
    </row>
    <row r="5269" ht="15.35" customHeight="1">
      <c r="A5269" t="s" s="2">
        <v>9738</v>
      </c>
      <c r="B5269" s="4">
        <v>42713</v>
      </c>
      <c r="C5269" s="5">
        <v>10</v>
      </c>
      <c r="D5269" s="5">
        <v>14</v>
      </c>
      <c r="E5269" s="5">
        <v>18</v>
      </c>
      <c r="F5269" t="s" s="2">
        <v>9209</v>
      </c>
      <c r="G5269" t="s" s="2">
        <v>9293</v>
      </c>
      <c r="H5269" s="5">
        <v>540</v>
      </c>
      <c r="I5269" t="s" s="2">
        <v>2092</v>
      </c>
      <c r="J5269" t="s" s="2">
        <v>9204</v>
      </c>
      <c r="K5269" s="6"/>
      <c r="L5269" s="6"/>
      <c r="M5269" s="6"/>
      <c r="N5269" s="6"/>
      <c r="O5269" t="s" s="2">
        <v>25</v>
      </c>
      <c r="P5269" s="6"/>
      <c r="Q5269" t="s" s="2">
        <v>9295</v>
      </c>
      <c r="R5269" t="s" s="2">
        <f>_xlfn.IFERROR(INDEX('model_byCAP'!$D$2:$D$377,MATCH(Q5269,'model_byCAP'!$A$2:$A$377,0)),0)</f>
        <v>8430</v>
      </c>
    </row>
    <row r="5270" ht="15.35" customHeight="1">
      <c r="A5270" t="s" s="2">
        <v>9739</v>
      </c>
      <c r="B5270" s="4">
        <v>42754</v>
      </c>
      <c r="C5270" s="5">
        <v>10</v>
      </c>
      <c r="D5270" s="5">
        <v>14</v>
      </c>
      <c r="E5270" s="5">
        <v>18</v>
      </c>
      <c r="F5270" t="s" s="2">
        <v>9209</v>
      </c>
      <c r="G5270" t="s" s="2">
        <v>9293</v>
      </c>
      <c r="H5270" s="5">
        <v>540</v>
      </c>
      <c r="I5270" t="s" s="2">
        <v>2092</v>
      </c>
      <c r="J5270" t="s" s="2">
        <v>9204</v>
      </c>
      <c r="K5270" s="6"/>
      <c r="L5270" s="6"/>
      <c r="M5270" s="6"/>
      <c r="N5270" s="6"/>
      <c r="O5270" t="s" s="2">
        <v>25</v>
      </c>
      <c r="P5270" s="6"/>
      <c r="Q5270" t="s" s="2">
        <v>9295</v>
      </c>
      <c r="R5270" t="s" s="2">
        <f>_xlfn.IFERROR(INDEX('model_byCAP'!$D$2:$D$377,MATCH(Q5270,'model_byCAP'!$A$2:$A$377,0)),0)</f>
        <v>8430</v>
      </c>
    </row>
    <row r="5271" ht="15.35" customHeight="1">
      <c r="A5271" t="s" s="2">
        <v>9740</v>
      </c>
      <c r="B5271" s="4">
        <v>42760</v>
      </c>
      <c r="C5271" s="5">
        <v>10</v>
      </c>
      <c r="D5271" s="5">
        <v>14</v>
      </c>
      <c r="E5271" s="5">
        <v>18</v>
      </c>
      <c r="F5271" t="s" s="2">
        <v>9209</v>
      </c>
      <c r="G5271" t="s" s="2">
        <v>9293</v>
      </c>
      <c r="H5271" s="5">
        <v>540</v>
      </c>
      <c r="I5271" t="s" s="2">
        <v>2092</v>
      </c>
      <c r="J5271" t="s" s="2">
        <v>9204</v>
      </c>
      <c r="K5271" s="6"/>
      <c r="L5271" s="6"/>
      <c r="M5271" s="6"/>
      <c r="N5271" s="6"/>
      <c r="O5271" t="s" s="2">
        <v>25</v>
      </c>
      <c r="P5271" s="6"/>
      <c r="Q5271" t="s" s="2">
        <v>9295</v>
      </c>
      <c r="R5271" t="s" s="2">
        <f>_xlfn.IFERROR(INDEX('model_byCAP'!$D$2:$D$377,MATCH(Q5271,'model_byCAP'!$A$2:$A$377,0)),0)</f>
        <v>8430</v>
      </c>
    </row>
    <row r="5272" ht="15.35" customHeight="1">
      <c r="A5272" t="s" s="2">
        <v>9741</v>
      </c>
      <c r="B5272" s="4">
        <v>42747</v>
      </c>
      <c r="C5272" s="5">
        <v>10</v>
      </c>
      <c r="D5272" s="5">
        <v>14</v>
      </c>
      <c r="E5272" s="5">
        <v>18</v>
      </c>
      <c r="F5272" t="s" s="2">
        <v>9209</v>
      </c>
      <c r="G5272" t="s" s="2">
        <v>9293</v>
      </c>
      <c r="H5272" s="5">
        <v>540</v>
      </c>
      <c r="I5272" t="s" s="2">
        <v>2092</v>
      </c>
      <c r="J5272" t="s" s="2">
        <v>9204</v>
      </c>
      <c r="K5272" s="6"/>
      <c r="L5272" s="6"/>
      <c r="M5272" s="6"/>
      <c r="N5272" s="6"/>
      <c r="O5272" t="s" s="2">
        <v>25</v>
      </c>
      <c r="P5272" s="6"/>
      <c r="Q5272" t="s" s="2">
        <v>9295</v>
      </c>
      <c r="R5272" t="s" s="2">
        <f>_xlfn.IFERROR(INDEX('model_byCAP'!$D$2:$D$377,MATCH(Q5272,'model_byCAP'!$A$2:$A$377,0)),0)</f>
        <v>8430</v>
      </c>
    </row>
    <row r="5273" ht="15.35" customHeight="1">
      <c r="A5273" t="s" s="2">
        <v>9742</v>
      </c>
      <c r="B5273" s="4">
        <v>42888</v>
      </c>
      <c r="C5273" s="5">
        <v>10</v>
      </c>
      <c r="D5273" s="5">
        <v>13</v>
      </c>
      <c r="E5273" s="5">
        <v>18.4</v>
      </c>
      <c r="F5273" t="s" s="2">
        <v>9471</v>
      </c>
      <c r="G5273" t="s" s="2">
        <v>9606</v>
      </c>
      <c r="H5273" s="5">
        <v>540</v>
      </c>
      <c r="I5273" t="s" s="2">
        <v>2092</v>
      </c>
      <c r="J5273" t="s" s="2">
        <v>9204</v>
      </c>
      <c r="K5273" s="6"/>
      <c r="L5273" s="6"/>
      <c r="M5273" s="6"/>
      <c r="N5273" s="6"/>
      <c r="O5273" t="s" s="2">
        <v>25</v>
      </c>
      <c r="P5273" s="6"/>
      <c r="Q5273" t="s" s="2">
        <v>9607</v>
      </c>
      <c r="R5273" s="5">
        <f>_xlfn.IFERROR(INDEX('model_byCAP'!$D$2:$D$377,MATCH(Q5273,'model_byCAP'!$A$2:$A$377,0)),0)</f>
        <v>0</v>
      </c>
    </row>
    <row r="5274" ht="15.35" customHeight="1">
      <c r="A5274" t="s" s="2">
        <v>9743</v>
      </c>
      <c r="B5274" s="4">
        <v>43569</v>
      </c>
      <c r="C5274" s="5">
        <v>10</v>
      </c>
      <c r="D5274" s="5">
        <v>7.1</v>
      </c>
      <c r="E5274" s="5">
        <v>21.4</v>
      </c>
      <c r="F5274" t="s" s="2">
        <v>42</v>
      </c>
      <c r="G5274" t="s" s="2">
        <v>42</v>
      </c>
      <c r="H5274" s="5">
        <v>540</v>
      </c>
      <c r="I5274" t="s" s="2">
        <v>2092</v>
      </c>
      <c r="J5274" t="s" s="2">
        <v>9204</v>
      </c>
      <c r="K5274" s="6"/>
      <c r="L5274" s="6"/>
      <c r="M5274" s="6"/>
      <c r="N5274" s="6"/>
      <c r="O5274" t="s" s="2">
        <v>25</v>
      </c>
      <c r="P5274" s="6"/>
      <c r="Q5274" t="s" s="2">
        <v>43</v>
      </c>
      <c r="R5274" s="5">
        <f>_xlfn.IFERROR(INDEX('model_byCAP'!$D$2:$D$377,MATCH(Q5274,'model_byCAP'!$A$2:$A$377,0)),0)</f>
        <v>0</v>
      </c>
    </row>
    <row r="5275" ht="15.35" customHeight="1">
      <c r="A5275" t="s" s="2">
        <v>9744</v>
      </c>
      <c r="B5275" s="4">
        <v>42305</v>
      </c>
      <c r="C5275" s="5">
        <v>10</v>
      </c>
      <c r="D5275" s="5">
        <v>16</v>
      </c>
      <c r="E5275" s="5">
        <v>17</v>
      </c>
      <c r="F5275" t="s" s="2">
        <v>9209</v>
      </c>
      <c r="G5275" t="s" s="2">
        <v>9638</v>
      </c>
      <c r="H5275" s="5">
        <v>540</v>
      </c>
      <c r="I5275" t="s" s="2">
        <v>2092</v>
      </c>
      <c r="J5275" t="s" s="2">
        <v>9204</v>
      </c>
      <c r="K5275" s="6"/>
      <c r="L5275" s="6"/>
      <c r="M5275" s="5">
        <v>547516.6</v>
      </c>
      <c r="N5275" s="5">
        <v>6077471.84</v>
      </c>
      <c r="O5275" t="s" s="2">
        <v>305</v>
      </c>
      <c r="P5275" s="6"/>
      <c r="Q5275" t="s" s="2">
        <v>9639</v>
      </c>
      <c r="R5275" s="5">
        <f>_xlfn.IFERROR(INDEX('model_byCAP'!$D$2:$D$377,MATCH(Q5275,'model_byCAP'!$A$2:$A$377,0)),0)</f>
        <v>0</v>
      </c>
    </row>
    <row r="5276" ht="15.35" customHeight="1">
      <c r="A5276" t="s" s="2">
        <v>9745</v>
      </c>
      <c r="B5276" s="4">
        <v>42356</v>
      </c>
      <c r="C5276" s="5">
        <v>10</v>
      </c>
      <c r="D5276" s="5">
        <v>13</v>
      </c>
      <c r="E5276" s="5">
        <v>18</v>
      </c>
      <c r="F5276" t="s" s="2">
        <v>9471</v>
      </c>
      <c r="G5276" t="s" s="2">
        <v>9606</v>
      </c>
      <c r="H5276" s="5">
        <v>540</v>
      </c>
      <c r="I5276" t="s" s="2">
        <v>2092</v>
      </c>
      <c r="J5276" t="s" s="2">
        <v>9204</v>
      </c>
      <c r="K5276" s="6"/>
      <c r="L5276" s="6"/>
      <c r="M5276" s="6"/>
      <c r="N5276" s="6"/>
      <c r="O5276" t="s" s="2">
        <v>25</v>
      </c>
      <c r="P5276" s="6"/>
      <c r="Q5276" t="s" s="2">
        <v>9607</v>
      </c>
      <c r="R5276" s="5">
        <f>_xlfn.IFERROR(INDEX('model_byCAP'!$D$2:$D$377,MATCH(Q5276,'model_byCAP'!$A$2:$A$377,0)),0)</f>
        <v>0</v>
      </c>
    </row>
    <row r="5277" ht="15.35" customHeight="1">
      <c r="A5277" t="s" s="2">
        <v>9746</v>
      </c>
      <c r="B5277" s="4">
        <v>42429</v>
      </c>
      <c r="C5277" s="5">
        <v>10</v>
      </c>
      <c r="D5277" s="5">
        <v>7.1</v>
      </c>
      <c r="E5277" s="5">
        <v>21.4</v>
      </c>
      <c r="F5277" t="s" s="2">
        <v>42</v>
      </c>
      <c r="G5277" t="s" s="2">
        <v>42</v>
      </c>
      <c r="H5277" s="5">
        <v>540</v>
      </c>
      <c r="I5277" t="s" s="2">
        <v>2092</v>
      </c>
      <c r="J5277" t="s" s="2">
        <v>9204</v>
      </c>
      <c r="K5277" s="6"/>
      <c r="L5277" s="6"/>
      <c r="M5277" s="5">
        <v>542153.62</v>
      </c>
      <c r="N5277" s="5">
        <v>6100588.85</v>
      </c>
      <c r="O5277" t="s" s="2">
        <v>305</v>
      </c>
      <c r="P5277" s="6"/>
      <c r="Q5277" t="s" s="2">
        <v>43</v>
      </c>
      <c r="R5277" s="5">
        <f>_xlfn.IFERROR(INDEX('model_byCAP'!$D$2:$D$377,MATCH(Q5277,'model_byCAP'!$A$2:$A$377,0)),0)</f>
        <v>0</v>
      </c>
    </row>
    <row r="5278" ht="15.35" customHeight="1">
      <c r="A5278" t="s" s="2">
        <v>9747</v>
      </c>
      <c r="B5278" s="4">
        <v>42515</v>
      </c>
      <c r="C5278" s="5">
        <v>10</v>
      </c>
      <c r="D5278" s="5">
        <v>14</v>
      </c>
      <c r="E5278" s="5">
        <v>18</v>
      </c>
      <c r="F5278" t="s" s="2">
        <v>9209</v>
      </c>
      <c r="G5278" t="s" s="2">
        <v>9293</v>
      </c>
      <c r="H5278" s="5">
        <v>550</v>
      </c>
      <c r="I5278" t="s" s="2">
        <v>526</v>
      </c>
      <c r="J5278" t="s" s="2">
        <v>9204</v>
      </c>
      <c r="K5278" s="6"/>
      <c r="L5278" s="6"/>
      <c r="M5278" s="5">
        <v>492502.96</v>
      </c>
      <c r="N5278" s="5">
        <v>6092221.37</v>
      </c>
      <c r="O5278" t="s" s="2">
        <v>305</v>
      </c>
      <c r="P5278" s="6"/>
      <c r="Q5278" t="s" s="2">
        <v>9295</v>
      </c>
      <c r="R5278" t="s" s="2">
        <f>_xlfn.IFERROR(INDEX('model_byCAP'!$D$2:$D$377,MATCH(Q5278,'model_byCAP'!$A$2:$A$377,0)),0)</f>
        <v>8430</v>
      </c>
    </row>
    <row r="5279" ht="15.35" customHeight="1">
      <c r="A5279" t="s" s="2">
        <v>9748</v>
      </c>
      <c r="B5279" s="4">
        <v>42513</v>
      </c>
      <c r="C5279" s="5">
        <v>10</v>
      </c>
      <c r="D5279" s="5">
        <v>14</v>
      </c>
      <c r="E5279" s="5">
        <v>18</v>
      </c>
      <c r="F5279" t="s" s="2">
        <v>9209</v>
      </c>
      <c r="G5279" t="s" s="2">
        <v>9293</v>
      </c>
      <c r="H5279" s="5">
        <v>550</v>
      </c>
      <c r="I5279" t="s" s="2">
        <v>526</v>
      </c>
      <c r="J5279" t="s" s="2">
        <v>9204</v>
      </c>
      <c r="K5279" s="6"/>
      <c r="L5279" s="6"/>
      <c r="M5279" s="5">
        <v>480330.48</v>
      </c>
      <c r="N5279" s="5">
        <v>6092671.69</v>
      </c>
      <c r="O5279" t="s" s="2">
        <v>305</v>
      </c>
      <c r="P5279" s="6"/>
      <c r="Q5279" t="s" s="2">
        <v>9295</v>
      </c>
      <c r="R5279" t="s" s="2">
        <f>_xlfn.IFERROR(INDEX('model_byCAP'!$D$2:$D$377,MATCH(Q5279,'model_byCAP'!$A$2:$A$377,0)),0)</f>
        <v>8430</v>
      </c>
    </row>
    <row r="5280" ht="15.35" customHeight="1">
      <c r="A5280" t="s" s="2">
        <v>9749</v>
      </c>
      <c r="B5280" s="4">
        <v>42514</v>
      </c>
      <c r="C5280" s="5">
        <v>10</v>
      </c>
      <c r="D5280" s="5">
        <v>14</v>
      </c>
      <c r="E5280" s="5">
        <v>18</v>
      </c>
      <c r="F5280" t="s" s="2">
        <v>9209</v>
      </c>
      <c r="G5280" t="s" s="2">
        <v>9293</v>
      </c>
      <c r="H5280" s="5">
        <v>550</v>
      </c>
      <c r="I5280" t="s" s="2">
        <v>526</v>
      </c>
      <c r="J5280" t="s" s="2">
        <v>9204</v>
      </c>
      <c r="K5280" s="6"/>
      <c r="L5280" s="6"/>
      <c r="M5280" s="5">
        <v>479494.89</v>
      </c>
      <c r="N5280" s="5">
        <v>6094738.54</v>
      </c>
      <c r="O5280" t="s" s="2">
        <v>305</v>
      </c>
      <c r="P5280" s="6"/>
      <c r="Q5280" t="s" s="2">
        <v>9295</v>
      </c>
      <c r="R5280" t="s" s="2">
        <f>_xlfn.IFERROR(INDEX('model_byCAP'!$D$2:$D$377,MATCH(Q5280,'model_byCAP'!$A$2:$A$377,0)),0)</f>
        <v>8430</v>
      </c>
    </row>
    <row r="5281" ht="15.35" customHeight="1">
      <c r="A5281" t="s" s="2">
        <v>9750</v>
      </c>
      <c r="B5281" s="4">
        <v>42523</v>
      </c>
      <c r="C5281" s="5">
        <v>10</v>
      </c>
      <c r="D5281" s="5">
        <v>14</v>
      </c>
      <c r="E5281" s="5">
        <v>18</v>
      </c>
      <c r="F5281" t="s" s="2">
        <v>9209</v>
      </c>
      <c r="G5281" t="s" s="2">
        <v>9293</v>
      </c>
      <c r="H5281" s="5">
        <v>550</v>
      </c>
      <c r="I5281" t="s" s="2">
        <v>526</v>
      </c>
      <c r="J5281" t="s" s="2">
        <v>9204</v>
      </c>
      <c r="K5281" s="6"/>
      <c r="L5281" s="6"/>
      <c r="M5281" s="5">
        <v>486743.3</v>
      </c>
      <c r="N5281" s="5">
        <v>6097269.85</v>
      </c>
      <c r="O5281" t="s" s="2">
        <v>305</v>
      </c>
      <c r="P5281" s="6"/>
      <c r="Q5281" t="s" s="2">
        <v>9295</v>
      </c>
      <c r="R5281" t="s" s="2">
        <f>_xlfn.IFERROR(INDEX('model_byCAP'!$D$2:$D$377,MATCH(Q5281,'model_byCAP'!$A$2:$A$377,0)),0)</f>
        <v>8430</v>
      </c>
    </row>
    <row r="5282" ht="15.35" customHeight="1">
      <c r="A5282" t="s" s="2">
        <v>9751</v>
      </c>
      <c r="B5282" s="4">
        <v>42520</v>
      </c>
      <c r="C5282" s="5">
        <v>10</v>
      </c>
      <c r="D5282" s="5">
        <v>14</v>
      </c>
      <c r="E5282" s="5">
        <v>18</v>
      </c>
      <c r="F5282" t="s" s="2">
        <v>9209</v>
      </c>
      <c r="G5282" t="s" s="2">
        <v>9293</v>
      </c>
      <c r="H5282" s="5">
        <v>550</v>
      </c>
      <c r="I5282" t="s" s="2">
        <v>526</v>
      </c>
      <c r="J5282" t="s" s="2">
        <v>9204</v>
      </c>
      <c r="K5282" s="6"/>
      <c r="L5282" s="6"/>
      <c r="M5282" s="5">
        <v>483257.76</v>
      </c>
      <c r="N5282" s="5">
        <v>6100773.7</v>
      </c>
      <c r="O5282" t="s" s="2">
        <v>305</v>
      </c>
      <c r="P5282" s="6"/>
      <c r="Q5282" t="s" s="2">
        <v>9295</v>
      </c>
      <c r="R5282" t="s" s="2">
        <f>_xlfn.IFERROR(INDEX('model_byCAP'!$D$2:$D$377,MATCH(Q5282,'model_byCAP'!$A$2:$A$377,0)),0)</f>
        <v>8430</v>
      </c>
    </row>
    <row r="5283" ht="15.35" customHeight="1">
      <c r="A5283" t="s" s="2">
        <v>9752</v>
      </c>
      <c r="B5283" s="4">
        <v>42515</v>
      </c>
      <c r="C5283" s="5">
        <v>10</v>
      </c>
      <c r="D5283" s="5">
        <v>13</v>
      </c>
      <c r="E5283" s="5">
        <v>18.2</v>
      </c>
      <c r="F5283" t="s" s="2">
        <v>9471</v>
      </c>
      <c r="G5283" t="s" s="2">
        <v>9606</v>
      </c>
      <c r="H5283" s="5">
        <v>550</v>
      </c>
      <c r="I5283" t="s" s="2">
        <v>526</v>
      </c>
      <c r="J5283" t="s" s="2">
        <v>9204</v>
      </c>
      <c r="K5283" s="6"/>
      <c r="L5283" s="6"/>
      <c r="M5283" s="6"/>
      <c r="N5283" s="6"/>
      <c r="O5283" t="s" s="2">
        <v>25</v>
      </c>
      <c r="P5283" s="6"/>
      <c r="Q5283" t="s" s="2">
        <v>9607</v>
      </c>
      <c r="R5283" s="5">
        <f>_xlfn.IFERROR(INDEX('model_byCAP'!$D$2:$D$377,MATCH(Q5283,'model_byCAP'!$A$2:$A$377,0)),0)</f>
        <v>0</v>
      </c>
    </row>
    <row r="5284" ht="15.35" customHeight="1">
      <c r="A5284" t="s" s="2">
        <v>9753</v>
      </c>
      <c r="B5284" s="4">
        <v>42516</v>
      </c>
      <c r="C5284" s="5">
        <v>10</v>
      </c>
      <c r="D5284" s="5">
        <v>13</v>
      </c>
      <c r="E5284" s="5">
        <v>18.2</v>
      </c>
      <c r="F5284" t="s" s="2">
        <v>9471</v>
      </c>
      <c r="G5284" t="s" s="2">
        <v>9606</v>
      </c>
      <c r="H5284" s="5">
        <v>550</v>
      </c>
      <c r="I5284" t="s" s="2">
        <v>526</v>
      </c>
      <c r="J5284" t="s" s="2">
        <v>9204</v>
      </c>
      <c r="K5284" s="6"/>
      <c r="L5284" s="6"/>
      <c r="M5284" s="5">
        <v>488628.32</v>
      </c>
      <c r="N5284" s="5">
        <v>6093668.97</v>
      </c>
      <c r="O5284" t="s" s="2">
        <v>305</v>
      </c>
      <c r="P5284" s="6"/>
      <c r="Q5284" t="s" s="2">
        <v>9607</v>
      </c>
      <c r="R5284" s="5">
        <f>_xlfn.IFERROR(INDEX('model_byCAP'!$D$2:$D$377,MATCH(Q5284,'model_byCAP'!$A$2:$A$377,0)),0)</f>
        <v>0</v>
      </c>
    </row>
    <row r="5285" ht="15.35" customHeight="1">
      <c r="A5285" t="s" s="2">
        <v>9754</v>
      </c>
      <c r="B5285" s="4">
        <v>42517</v>
      </c>
      <c r="C5285" s="5">
        <v>10</v>
      </c>
      <c r="D5285" s="5">
        <v>13</v>
      </c>
      <c r="E5285" s="5">
        <v>18.2</v>
      </c>
      <c r="F5285" t="s" s="2">
        <v>9471</v>
      </c>
      <c r="G5285" t="s" s="2">
        <v>9606</v>
      </c>
      <c r="H5285" s="5">
        <v>550</v>
      </c>
      <c r="I5285" t="s" s="2">
        <v>526</v>
      </c>
      <c r="J5285" t="s" s="2">
        <v>9204</v>
      </c>
      <c r="K5285" s="6"/>
      <c r="L5285" s="6"/>
      <c r="M5285" s="5">
        <v>497317.07</v>
      </c>
      <c r="N5285" s="5">
        <v>6108092.68</v>
      </c>
      <c r="O5285" t="s" s="2">
        <v>305</v>
      </c>
      <c r="P5285" s="6"/>
      <c r="Q5285" t="s" s="2">
        <v>9607</v>
      </c>
      <c r="R5285" s="5">
        <f>_xlfn.IFERROR(INDEX('model_byCAP'!$D$2:$D$377,MATCH(Q5285,'model_byCAP'!$A$2:$A$377,0)),0)</f>
        <v>0</v>
      </c>
    </row>
    <row r="5286" ht="15.35" customHeight="1">
      <c r="A5286" t="s" s="2">
        <v>9755</v>
      </c>
      <c r="B5286" s="4">
        <v>42522</v>
      </c>
      <c r="C5286" s="5">
        <v>10</v>
      </c>
      <c r="D5286" s="5">
        <v>14</v>
      </c>
      <c r="E5286" s="5">
        <v>18</v>
      </c>
      <c r="F5286" t="s" s="2">
        <v>9209</v>
      </c>
      <c r="G5286" t="s" s="2">
        <v>9293</v>
      </c>
      <c r="H5286" s="5">
        <v>550</v>
      </c>
      <c r="I5286" t="s" s="2">
        <v>526</v>
      </c>
      <c r="J5286" t="s" s="2">
        <v>9204</v>
      </c>
      <c r="K5286" s="6"/>
      <c r="L5286" s="6"/>
      <c r="M5286" s="6"/>
      <c r="N5286" s="6"/>
      <c r="O5286" t="s" s="2">
        <v>25</v>
      </c>
      <c r="P5286" s="6"/>
      <c r="Q5286" t="s" s="2">
        <v>9295</v>
      </c>
      <c r="R5286" t="s" s="2">
        <f>_xlfn.IFERROR(INDEX('model_byCAP'!$D$2:$D$377,MATCH(Q5286,'model_byCAP'!$A$2:$A$377,0)),0)</f>
        <v>8430</v>
      </c>
    </row>
    <row r="5287" ht="15.35" customHeight="1">
      <c r="A5287" t="s" s="2">
        <v>9756</v>
      </c>
      <c r="B5287" s="4">
        <v>42521</v>
      </c>
      <c r="C5287" s="5">
        <v>10</v>
      </c>
      <c r="D5287" s="5">
        <v>13</v>
      </c>
      <c r="E5287" s="5">
        <v>18.2</v>
      </c>
      <c r="F5287" t="s" s="2">
        <v>9471</v>
      </c>
      <c r="G5287" t="s" s="2">
        <v>9606</v>
      </c>
      <c r="H5287" s="5">
        <v>550</v>
      </c>
      <c r="I5287" t="s" s="2">
        <v>526</v>
      </c>
      <c r="J5287" t="s" s="2">
        <v>9204</v>
      </c>
      <c r="K5287" s="6"/>
      <c r="L5287" s="6"/>
      <c r="M5287" s="6"/>
      <c r="N5287" s="6"/>
      <c r="O5287" t="s" s="2">
        <v>25</v>
      </c>
      <c r="P5287" s="6"/>
      <c r="Q5287" t="s" s="2">
        <v>9607</v>
      </c>
      <c r="R5287" s="5">
        <f>_xlfn.IFERROR(INDEX('model_byCAP'!$D$2:$D$377,MATCH(Q5287,'model_byCAP'!$A$2:$A$377,0)),0)</f>
        <v>0</v>
      </c>
    </row>
    <row r="5288" ht="15.35" customHeight="1">
      <c r="A5288" t="s" s="2">
        <v>9757</v>
      </c>
      <c r="B5288" s="4">
        <v>42541</v>
      </c>
      <c r="C5288" s="5">
        <v>10</v>
      </c>
      <c r="D5288" s="5">
        <v>14</v>
      </c>
      <c r="E5288" s="5">
        <v>18</v>
      </c>
      <c r="F5288" t="s" s="2">
        <v>9209</v>
      </c>
      <c r="G5288" t="s" s="2">
        <v>9293</v>
      </c>
      <c r="H5288" s="5">
        <v>550</v>
      </c>
      <c r="I5288" t="s" s="2">
        <v>526</v>
      </c>
      <c r="J5288" t="s" s="2">
        <v>9204</v>
      </c>
      <c r="K5288" s="6"/>
      <c r="L5288" s="6"/>
      <c r="M5288" s="5">
        <v>488901.36</v>
      </c>
      <c r="N5288" s="5">
        <v>6093577.48</v>
      </c>
      <c r="O5288" t="s" s="2">
        <v>305</v>
      </c>
      <c r="P5288" s="6"/>
      <c r="Q5288" t="s" s="2">
        <v>9295</v>
      </c>
      <c r="R5288" t="s" s="2">
        <f>_xlfn.IFERROR(INDEX('model_byCAP'!$D$2:$D$377,MATCH(Q5288,'model_byCAP'!$A$2:$A$377,0)),0)</f>
        <v>8430</v>
      </c>
    </row>
    <row r="5289" ht="15.35" customHeight="1">
      <c r="A5289" t="s" s="2">
        <v>9758</v>
      </c>
      <c r="B5289" s="4">
        <v>42535</v>
      </c>
      <c r="C5289" s="5">
        <v>10</v>
      </c>
      <c r="D5289" s="5">
        <v>14</v>
      </c>
      <c r="E5289" s="5">
        <v>18</v>
      </c>
      <c r="F5289" t="s" s="2">
        <v>9209</v>
      </c>
      <c r="G5289" t="s" s="2">
        <v>9293</v>
      </c>
      <c r="H5289" s="5">
        <v>550</v>
      </c>
      <c r="I5289" t="s" s="2">
        <v>526</v>
      </c>
      <c r="J5289" t="s" s="2">
        <v>9204</v>
      </c>
      <c r="K5289" s="6"/>
      <c r="L5289" s="6"/>
      <c r="M5289" s="5">
        <v>486657.56</v>
      </c>
      <c r="N5289" s="5">
        <v>6096792.77</v>
      </c>
      <c r="O5289" t="s" s="2">
        <v>305</v>
      </c>
      <c r="P5289" s="6"/>
      <c r="Q5289" t="s" s="2">
        <v>9295</v>
      </c>
      <c r="R5289" t="s" s="2">
        <f>_xlfn.IFERROR(INDEX('model_byCAP'!$D$2:$D$377,MATCH(Q5289,'model_byCAP'!$A$2:$A$377,0)),0)</f>
        <v>8430</v>
      </c>
    </row>
    <row r="5290" ht="15.35" customHeight="1">
      <c r="A5290" t="s" s="2">
        <v>9759</v>
      </c>
      <c r="B5290" s="4">
        <v>42544</v>
      </c>
      <c r="C5290" s="5">
        <v>10</v>
      </c>
      <c r="D5290" s="5">
        <v>14</v>
      </c>
      <c r="E5290" s="5">
        <v>18</v>
      </c>
      <c r="F5290" t="s" s="2">
        <v>9209</v>
      </c>
      <c r="G5290" t="s" s="2">
        <v>9293</v>
      </c>
      <c r="H5290" s="5">
        <v>550</v>
      </c>
      <c r="I5290" t="s" s="2">
        <v>526</v>
      </c>
      <c r="J5290" t="s" s="2">
        <v>9204</v>
      </c>
      <c r="K5290" s="6"/>
      <c r="L5290" s="6"/>
      <c r="M5290" s="5">
        <v>490337.07</v>
      </c>
      <c r="N5290" s="5">
        <v>6103829.74</v>
      </c>
      <c r="O5290" t="s" s="2">
        <v>305</v>
      </c>
      <c r="P5290" s="6"/>
      <c r="Q5290" t="s" s="2">
        <v>9295</v>
      </c>
      <c r="R5290" t="s" s="2">
        <f>_xlfn.IFERROR(INDEX('model_byCAP'!$D$2:$D$377,MATCH(Q5290,'model_byCAP'!$A$2:$A$377,0)),0)</f>
        <v>8430</v>
      </c>
    </row>
    <row r="5291" ht="15.35" customHeight="1">
      <c r="A5291" t="s" s="2">
        <v>9760</v>
      </c>
      <c r="B5291" s="4">
        <v>42537</v>
      </c>
      <c r="C5291" s="5">
        <v>10</v>
      </c>
      <c r="D5291" s="5">
        <v>14</v>
      </c>
      <c r="E5291" s="5">
        <v>18</v>
      </c>
      <c r="F5291" t="s" s="2">
        <v>9209</v>
      </c>
      <c r="G5291" t="s" s="2">
        <v>9293</v>
      </c>
      <c r="H5291" s="5">
        <v>550</v>
      </c>
      <c r="I5291" t="s" s="2">
        <v>526</v>
      </c>
      <c r="J5291" t="s" s="2">
        <v>9204</v>
      </c>
      <c r="K5291" s="6"/>
      <c r="L5291" s="6"/>
      <c r="M5291" s="5">
        <v>484430.94</v>
      </c>
      <c r="N5291" s="5">
        <v>6100924.87</v>
      </c>
      <c r="O5291" t="s" s="2">
        <v>305</v>
      </c>
      <c r="P5291" s="6"/>
      <c r="Q5291" t="s" s="2">
        <v>9295</v>
      </c>
      <c r="R5291" t="s" s="2">
        <f>_xlfn.IFERROR(INDEX('model_byCAP'!$D$2:$D$377,MATCH(Q5291,'model_byCAP'!$A$2:$A$377,0)),0)</f>
        <v>8430</v>
      </c>
    </row>
    <row r="5292" ht="15.35" customHeight="1">
      <c r="A5292" t="s" s="2">
        <v>9761</v>
      </c>
      <c r="B5292" s="4">
        <v>42607</v>
      </c>
      <c r="C5292" s="5">
        <v>10</v>
      </c>
      <c r="D5292" s="5">
        <v>14</v>
      </c>
      <c r="E5292" s="5">
        <v>18</v>
      </c>
      <c r="F5292" t="s" s="2">
        <v>9209</v>
      </c>
      <c r="G5292" t="s" s="2">
        <v>9293</v>
      </c>
      <c r="H5292" s="5">
        <v>550</v>
      </c>
      <c r="I5292" t="s" s="2">
        <v>526</v>
      </c>
      <c r="J5292" t="s" s="2">
        <v>9204</v>
      </c>
      <c r="K5292" s="6"/>
      <c r="L5292" s="6"/>
      <c r="M5292" s="6"/>
      <c r="N5292" s="6"/>
      <c r="O5292" t="s" s="2">
        <v>25</v>
      </c>
      <c r="P5292" s="6"/>
      <c r="Q5292" t="s" s="2">
        <v>9295</v>
      </c>
      <c r="R5292" t="s" s="2">
        <f>_xlfn.IFERROR(INDEX('model_byCAP'!$D$2:$D$377,MATCH(Q5292,'model_byCAP'!$A$2:$A$377,0)),0)</f>
        <v>8430</v>
      </c>
    </row>
    <row r="5293" ht="15.35" customHeight="1">
      <c r="A5293" t="s" s="2">
        <v>9762</v>
      </c>
      <c r="B5293" s="4">
        <v>42646</v>
      </c>
      <c r="C5293" s="5">
        <v>10</v>
      </c>
      <c r="D5293" s="5">
        <v>14</v>
      </c>
      <c r="E5293" s="5">
        <v>18</v>
      </c>
      <c r="F5293" t="s" s="2">
        <v>9209</v>
      </c>
      <c r="G5293" t="s" s="2">
        <v>9293</v>
      </c>
      <c r="H5293" s="5">
        <v>550</v>
      </c>
      <c r="I5293" t="s" s="2">
        <v>526</v>
      </c>
      <c r="J5293" t="s" s="2">
        <v>9204</v>
      </c>
      <c r="K5293" s="6"/>
      <c r="L5293" s="6"/>
      <c r="M5293" s="6"/>
      <c r="N5293" s="6"/>
      <c r="O5293" t="s" s="2">
        <v>25</v>
      </c>
      <c r="P5293" s="6"/>
      <c r="Q5293" t="s" s="2">
        <v>9295</v>
      </c>
      <c r="R5293" t="s" s="2">
        <f>_xlfn.IFERROR(INDEX('model_byCAP'!$D$2:$D$377,MATCH(Q5293,'model_byCAP'!$A$2:$A$377,0)),0)</f>
        <v>8430</v>
      </c>
    </row>
    <row r="5294" ht="15.35" customHeight="1">
      <c r="A5294" t="s" s="2">
        <v>9763</v>
      </c>
      <c r="B5294" s="4">
        <v>42647</v>
      </c>
      <c r="C5294" s="5">
        <v>10</v>
      </c>
      <c r="D5294" s="5">
        <v>14</v>
      </c>
      <c r="E5294" s="5">
        <v>18</v>
      </c>
      <c r="F5294" t="s" s="2">
        <v>9209</v>
      </c>
      <c r="G5294" t="s" s="2">
        <v>9293</v>
      </c>
      <c r="H5294" s="5">
        <v>550</v>
      </c>
      <c r="I5294" t="s" s="2">
        <v>526</v>
      </c>
      <c r="J5294" t="s" s="2">
        <v>9204</v>
      </c>
      <c r="K5294" s="6"/>
      <c r="L5294" s="6"/>
      <c r="M5294" s="6"/>
      <c r="N5294" s="6"/>
      <c r="O5294" t="s" s="2">
        <v>25</v>
      </c>
      <c r="P5294" s="6"/>
      <c r="Q5294" t="s" s="2">
        <v>9295</v>
      </c>
      <c r="R5294" t="s" s="2">
        <f>_xlfn.IFERROR(INDEX('model_byCAP'!$D$2:$D$377,MATCH(Q5294,'model_byCAP'!$A$2:$A$377,0)),0)</f>
        <v>8430</v>
      </c>
    </row>
    <row r="5295" ht="15.35" customHeight="1">
      <c r="A5295" t="s" s="2">
        <v>9764</v>
      </c>
      <c r="B5295" s="4">
        <v>42647</v>
      </c>
      <c r="C5295" s="5">
        <v>10</v>
      </c>
      <c r="D5295" s="5">
        <v>14</v>
      </c>
      <c r="E5295" s="5">
        <v>18</v>
      </c>
      <c r="F5295" t="s" s="2">
        <v>9209</v>
      </c>
      <c r="G5295" t="s" s="2">
        <v>9293</v>
      </c>
      <c r="H5295" s="5">
        <v>550</v>
      </c>
      <c r="I5295" t="s" s="2">
        <v>526</v>
      </c>
      <c r="J5295" t="s" s="2">
        <v>9204</v>
      </c>
      <c r="K5295" s="6"/>
      <c r="L5295" s="6"/>
      <c r="M5295" s="6"/>
      <c r="N5295" s="6"/>
      <c r="O5295" t="s" s="2">
        <v>25</v>
      </c>
      <c r="P5295" s="6"/>
      <c r="Q5295" t="s" s="2">
        <v>9295</v>
      </c>
      <c r="R5295" t="s" s="2">
        <f>_xlfn.IFERROR(INDEX('model_byCAP'!$D$2:$D$377,MATCH(Q5295,'model_byCAP'!$A$2:$A$377,0)),0)</f>
        <v>8430</v>
      </c>
    </row>
    <row r="5296" ht="15.35" customHeight="1">
      <c r="A5296" t="s" s="2">
        <v>9765</v>
      </c>
      <c r="B5296" s="4">
        <v>42688</v>
      </c>
      <c r="C5296" s="5">
        <v>10</v>
      </c>
      <c r="D5296" s="5">
        <v>14</v>
      </c>
      <c r="E5296" s="5">
        <v>18</v>
      </c>
      <c r="F5296" t="s" s="2">
        <v>9209</v>
      </c>
      <c r="G5296" t="s" s="2">
        <v>9293</v>
      </c>
      <c r="H5296" s="5">
        <v>550</v>
      </c>
      <c r="I5296" t="s" s="2">
        <v>526</v>
      </c>
      <c r="J5296" t="s" s="2">
        <v>9204</v>
      </c>
      <c r="K5296" s="6"/>
      <c r="L5296" s="6"/>
      <c r="M5296" s="6"/>
      <c r="N5296" s="6"/>
      <c r="O5296" t="s" s="2">
        <v>25</v>
      </c>
      <c r="P5296" s="6"/>
      <c r="Q5296" t="s" s="2">
        <v>9295</v>
      </c>
      <c r="R5296" t="s" s="2">
        <f>_xlfn.IFERROR(INDEX('model_byCAP'!$D$2:$D$377,MATCH(Q5296,'model_byCAP'!$A$2:$A$377,0)),0)</f>
        <v>8430</v>
      </c>
    </row>
    <row r="5297" ht="15.35" customHeight="1">
      <c r="A5297" t="s" s="2">
        <v>9766</v>
      </c>
      <c r="B5297" s="4">
        <v>42688</v>
      </c>
      <c r="C5297" s="5">
        <v>10</v>
      </c>
      <c r="D5297" s="5">
        <v>14</v>
      </c>
      <c r="E5297" s="5">
        <v>18</v>
      </c>
      <c r="F5297" t="s" s="2">
        <v>9209</v>
      </c>
      <c r="G5297" t="s" s="2">
        <v>9293</v>
      </c>
      <c r="H5297" s="5">
        <v>550</v>
      </c>
      <c r="I5297" t="s" s="2">
        <v>526</v>
      </c>
      <c r="J5297" t="s" s="2">
        <v>9204</v>
      </c>
      <c r="K5297" s="6"/>
      <c r="L5297" s="6"/>
      <c r="M5297" s="6"/>
      <c r="N5297" s="6"/>
      <c r="O5297" t="s" s="2">
        <v>25</v>
      </c>
      <c r="P5297" s="6"/>
      <c r="Q5297" t="s" s="2">
        <v>9295</v>
      </c>
      <c r="R5297" t="s" s="2">
        <f>_xlfn.IFERROR(INDEX('model_byCAP'!$D$2:$D$377,MATCH(Q5297,'model_byCAP'!$A$2:$A$377,0)),0)</f>
        <v>8430</v>
      </c>
    </row>
    <row r="5298" ht="15.35" customHeight="1">
      <c r="A5298" t="s" s="2">
        <v>9767</v>
      </c>
      <c r="B5298" s="4">
        <v>42690</v>
      </c>
      <c r="C5298" s="5">
        <v>10</v>
      </c>
      <c r="D5298" s="5">
        <v>14</v>
      </c>
      <c r="E5298" s="5">
        <v>18</v>
      </c>
      <c r="F5298" t="s" s="2">
        <v>9209</v>
      </c>
      <c r="G5298" t="s" s="2">
        <v>9293</v>
      </c>
      <c r="H5298" s="5">
        <v>550</v>
      </c>
      <c r="I5298" t="s" s="2">
        <v>526</v>
      </c>
      <c r="J5298" t="s" s="2">
        <v>9204</v>
      </c>
      <c r="K5298" s="6"/>
      <c r="L5298" s="6"/>
      <c r="M5298" s="6"/>
      <c r="N5298" s="6"/>
      <c r="O5298" t="s" s="2">
        <v>25</v>
      </c>
      <c r="P5298" s="6"/>
      <c r="Q5298" t="s" s="2">
        <v>9295</v>
      </c>
      <c r="R5298" t="s" s="2">
        <f>_xlfn.IFERROR(INDEX('model_byCAP'!$D$2:$D$377,MATCH(Q5298,'model_byCAP'!$A$2:$A$377,0)),0)</f>
        <v>8430</v>
      </c>
    </row>
    <row r="5299" ht="15.35" customHeight="1">
      <c r="A5299" t="s" s="2">
        <v>9768</v>
      </c>
      <c r="B5299" s="4">
        <v>42690</v>
      </c>
      <c r="C5299" s="5">
        <v>10</v>
      </c>
      <c r="D5299" s="5">
        <v>14</v>
      </c>
      <c r="E5299" s="5">
        <v>18</v>
      </c>
      <c r="F5299" t="s" s="2">
        <v>9209</v>
      </c>
      <c r="G5299" t="s" s="2">
        <v>9293</v>
      </c>
      <c r="H5299" s="5">
        <v>550</v>
      </c>
      <c r="I5299" t="s" s="2">
        <v>526</v>
      </c>
      <c r="J5299" t="s" s="2">
        <v>9204</v>
      </c>
      <c r="K5299" s="6"/>
      <c r="L5299" s="6"/>
      <c r="M5299" s="6"/>
      <c r="N5299" s="6"/>
      <c r="O5299" t="s" s="2">
        <v>25</v>
      </c>
      <c r="P5299" s="6"/>
      <c r="Q5299" t="s" s="2">
        <v>9295</v>
      </c>
      <c r="R5299" t="s" s="2">
        <f>_xlfn.IFERROR(INDEX('model_byCAP'!$D$2:$D$377,MATCH(Q5299,'model_byCAP'!$A$2:$A$377,0)),0)</f>
        <v>8430</v>
      </c>
    </row>
    <row r="5300" ht="15.35" customHeight="1">
      <c r="A5300" t="s" s="2">
        <v>9769</v>
      </c>
      <c r="B5300" s="4">
        <v>42744</v>
      </c>
      <c r="C5300" s="5">
        <v>10</v>
      </c>
      <c r="D5300" s="5">
        <v>14</v>
      </c>
      <c r="E5300" s="5">
        <v>18</v>
      </c>
      <c r="F5300" t="s" s="2">
        <v>9209</v>
      </c>
      <c r="G5300" t="s" s="2">
        <v>9293</v>
      </c>
      <c r="H5300" s="5">
        <v>550</v>
      </c>
      <c r="I5300" t="s" s="2">
        <v>526</v>
      </c>
      <c r="J5300" t="s" s="2">
        <v>9204</v>
      </c>
      <c r="K5300" s="6"/>
      <c r="L5300" s="6"/>
      <c r="M5300" s="6"/>
      <c r="N5300" s="6"/>
      <c r="O5300" t="s" s="2">
        <v>25</v>
      </c>
      <c r="P5300" s="6"/>
      <c r="Q5300" t="s" s="2">
        <v>9295</v>
      </c>
      <c r="R5300" t="s" s="2">
        <f>_xlfn.IFERROR(INDEX('model_byCAP'!$D$2:$D$377,MATCH(Q5300,'model_byCAP'!$A$2:$A$377,0)),0)</f>
        <v>8430</v>
      </c>
    </row>
    <row r="5301" ht="15.35" customHeight="1">
      <c r="A5301" t="s" s="2">
        <v>9770</v>
      </c>
      <c r="B5301" s="4">
        <v>42747</v>
      </c>
      <c r="C5301" s="5">
        <v>10</v>
      </c>
      <c r="D5301" s="5">
        <v>14</v>
      </c>
      <c r="E5301" s="5">
        <v>18</v>
      </c>
      <c r="F5301" t="s" s="2">
        <v>9209</v>
      </c>
      <c r="G5301" t="s" s="2">
        <v>9293</v>
      </c>
      <c r="H5301" s="5">
        <v>550</v>
      </c>
      <c r="I5301" t="s" s="2">
        <v>526</v>
      </c>
      <c r="J5301" t="s" s="2">
        <v>9204</v>
      </c>
      <c r="K5301" s="6"/>
      <c r="L5301" s="6"/>
      <c r="M5301" s="6"/>
      <c r="N5301" s="6"/>
      <c r="O5301" t="s" s="2">
        <v>25</v>
      </c>
      <c r="P5301" s="6"/>
      <c r="Q5301" t="s" s="2">
        <v>9295</v>
      </c>
      <c r="R5301" t="s" s="2">
        <f>_xlfn.IFERROR(INDEX('model_byCAP'!$D$2:$D$377,MATCH(Q5301,'model_byCAP'!$A$2:$A$377,0)),0)</f>
        <v>8430</v>
      </c>
    </row>
    <row r="5302" ht="15.35" customHeight="1">
      <c r="A5302" t="s" s="2">
        <v>9771</v>
      </c>
      <c r="B5302" s="4">
        <v>42991</v>
      </c>
      <c r="C5302" s="5">
        <v>10</v>
      </c>
      <c r="D5302" s="5">
        <v>14</v>
      </c>
      <c r="E5302" s="5">
        <v>18</v>
      </c>
      <c r="F5302" t="s" s="2">
        <v>9209</v>
      </c>
      <c r="G5302" t="s" s="2">
        <v>9293</v>
      </c>
      <c r="H5302" s="5">
        <v>550</v>
      </c>
      <c r="I5302" t="s" s="2">
        <v>526</v>
      </c>
      <c r="J5302" t="s" s="2">
        <v>9204</v>
      </c>
      <c r="K5302" s="6"/>
      <c r="L5302" s="6"/>
      <c r="M5302" s="6"/>
      <c r="N5302" s="6"/>
      <c r="O5302" t="s" s="2">
        <v>25</v>
      </c>
      <c r="P5302" s="6"/>
      <c r="Q5302" t="s" s="2">
        <v>9295</v>
      </c>
      <c r="R5302" t="s" s="2">
        <f>_xlfn.IFERROR(INDEX('model_byCAP'!$D$2:$D$377,MATCH(Q5302,'model_byCAP'!$A$2:$A$377,0)),0)</f>
        <v>8430</v>
      </c>
    </row>
    <row r="5303" ht="15.35" customHeight="1">
      <c r="A5303" t="s" s="2">
        <v>9772</v>
      </c>
      <c r="B5303" s="4">
        <v>42991</v>
      </c>
      <c r="C5303" s="5">
        <v>10</v>
      </c>
      <c r="D5303" s="5">
        <v>14</v>
      </c>
      <c r="E5303" s="5">
        <v>18</v>
      </c>
      <c r="F5303" t="s" s="2">
        <v>9209</v>
      </c>
      <c r="G5303" t="s" s="2">
        <v>9293</v>
      </c>
      <c r="H5303" s="5">
        <v>550</v>
      </c>
      <c r="I5303" t="s" s="2">
        <v>526</v>
      </c>
      <c r="J5303" t="s" s="2">
        <v>9204</v>
      </c>
      <c r="K5303" s="6"/>
      <c r="L5303" s="6"/>
      <c r="M5303" s="6"/>
      <c r="N5303" s="6"/>
      <c r="O5303" t="s" s="2">
        <v>25</v>
      </c>
      <c r="P5303" s="6"/>
      <c r="Q5303" t="s" s="2">
        <v>9295</v>
      </c>
      <c r="R5303" t="s" s="2">
        <f>_xlfn.IFERROR(INDEX('model_byCAP'!$D$2:$D$377,MATCH(Q5303,'model_byCAP'!$A$2:$A$377,0)),0)</f>
        <v>8430</v>
      </c>
    </row>
    <row r="5304" ht="15.35" customHeight="1">
      <c r="A5304" t="s" s="2">
        <v>9773</v>
      </c>
      <c r="B5304" s="4">
        <v>42727</v>
      </c>
      <c r="C5304" s="5">
        <v>10</v>
      </c>
      <c r="D5304" s="5">
        <v>14</v>
      </c>
      <c r="E5304" s="5">
        <v>18</v>
      </c>
      <c r="F5304" t="s" s="2">
        <v>9209</v>
      </c>
      <c r="G5304" t="s" s="2">
        <v>9293</v>
      </c>
      <c r="H5304" s="5">
        <v>550</v>
      </c>
      <c r="I5304" t="s" s="2">
        <v>526</v>
      </c>
      <c r="J5304" t="s" s="2">
        <v>9204</v>
      </c>
      <c r="K5304" s="6"/>
      <c r="L5304" s="6"/>
      <c r="M5304" s="6"/>
      <c r="N5304" s="6"/>
      <c r="O5304" t="s" s="2">
        <v>25</v>
      </c>
      <c r="P5304" s="6"/>
      <c r="Q5304" t="s" s="2">
        <v>9295</v>
      </c>
      <c r="R5304" t="s" s="2">
        <f>_xlfn.IFERROR(INDEX('model_byCAP'!$D$2:$D$377,MATCH(Q5304,'model_byCAP'!$A$2:$A$377,0)),0)</f>
        <v>8430</v>
      </c>
    </row>
    <row r="5305" ht="15.35" customHeight="1">
      <c r="A5305" t="s" s="2">
        <v>9774</v>
      </c>
      <c r="B5305" s="4">
        <v>42724</v>
      </c>
      <c r="C5305" s="5">
        <v>10</v>
      </c>
      <c r="D5305" s="5">
        <v>13</v>
      </c>
      <c r="E5305" s="5">
        <v>18.2</v>
      </c>
      <c r="F5305" t="s" s="2">
        <v>9471</v>
      </c>
      <c r="G5305" t="s" s="2">
        <v>9606</v>
      </c>
      <c r="H5305" s="5">
        <v>550</v>
      </c>
      <c r="I5305" t="s" s="2">
        <v>526</v>
      </c>
      <c r="J5305" t="s" s="2">
        <v>9204</v>
      </c>
      <c r="K5305" s="6"/>
      <c r="L5305" s="6"/>
      <c r="M5305" s="6"/>
      <c r="N5305" s="6"/>
      <c r="O5305" t="s" s="2">
        <v>25</v>
      </c>
      <c r="P5305" s="6"/>
      <c r="Q5305" t="s" s="2">
        <v>9607</v>
      </c>
      <c r="R5305" s="5">
        <f>_xlfn.IFERROR(INDEX('model_byCAP'!$D$2:$D$377,MATCH(Q5305,'model_byCAP'!$A$2:$A$377,0)),0)</f>
        <v>0</v>
      </c>
    </row>
    <row r="5306" ht="15.35" customHeight="1">
      <c r="A5306" t="s" s="2">
        <v>9775</v>
      </c>
      <c r="B5306" s="4">
        <v>42894</v>
      </c>
      <c r="C5306" s="5">
        <v>10</v>
      </c>
      <c r="D5306" s="5">
        <v>14</v>
      </c>
      <c r="E5306" s="5">
        <v>18</v>
      </c>
      <c r="F5306" t="s" s="2">
        <v>9209</v>
      </c>
      <c r="G5306" t="s" s="2">
        <v>9293</v>
      </c>
      <c r="H5306" s="5">
        <v>550</v>
      </c>
      <c r="I5306" t="s" s="2">
        <v>526</v>
      </c>
      <c r="J5306" t="s" s="2">
        <v>9204</v>
      </c>
      <c r="K5306" s="6"/>
      <c r="L5306" s="6"/>
      <c r="M5306" s="6"/>
      <c r="N5306" s="6"/>
      <c r="O5306" t="s" s="2">
        <v>25</v>
      </c>
      <c r="P5306" s="6"/>
      <c r="Q5306" t="s" s="2">
        <v>9295</v>
      </c>
      <c r="R5306" t="s" s="2">
        <f>_xlfn.IFERROR(INDEX('model_byCAP'!$D$2:$D$377,MATCH(Q5306,'model_byCAP'!$A$2:$A$377,0)),0)</f>
        <v>8430</v>
      </c>
    </row>
    <row r="5307" ht="15.35" customHeight="1">
      <c r="A5307" t="s" s="2">
        <v>9776</v>
      </c>
      <c r="B5307" s="4">
        <v>42744</v>
      </c>
      <c r="C5307" s="5">
        <v>10</v>
      </c>
      <c r="D5307" s="5">
        <v>13</v>
      </c>
      <c r="E5307" s="5">
        <v>18.2</v>
      </c>
      <c r="F5307" t="s" s="2">
        <v>9471</v>
      </c>
      <c r="G5307" t="s" s="2">
        <v>9606</v>
      </c>
      <c r="H5307" s="5">
        <v>550</v>
      </c>
      <c r="I5307" t="s" s="2">
        <v>526</v>
      </c>
      <c r="J5307" t="s" s="2">
        <v>9204</v>
      </c>
      <c r="K5307" s="6"/>
      <c r="L5307" s="6"/>
      <c r="M5307" s="6"/>
      <c r="N5307" s="6"/>
      <c r="O5307" t="s" s="2">
        <v>25</v>
      </c>
      <c r="P5307" s="6"/>
      <c r="Q5307" t="s" s="2">
        <v>9607</v>
      </c>
      <c r="R5307" s="5">
        <f>_xlfn.IFERROR(INDEX('model_byCAP'!$D$2:$D$377,MATCH(Q5307,'model_byCAP'!$A$2:$A$377,0)),0)</f>
        <v>0</v>
      </c>
    </row>
    <row r="5308" ht="15.35" customHeight="1">
      <c r="A5308" t="s" s="2">
        <v>9777</v>
      </c>
      <c r="B5308" s="4">
        <v>42832</v>
      </c>
      <c r="C5308" s="5">
        <v>10</v>
      </c>
      <c r="D5308" s="5">
        <v>14</v>
      </c>
      <c r="E5308" s="5">
        <v>18</v>
      </c>
      <c r="F5308" t="s" s="2">
        <v>9209</v>
      </c>
      <c r="G5308" t="s" s="2">
        <v>9293</v>
      </c>
      <c r="H5308" s="5">
        <v>550</v>
      </c>
      <c r="I5308" t="s" s="2">
        <v>526</v>
      </c>
      <c r="J5308" t="s" s="2">
        <v>9204</v>
      </c>
      <c r="K5308" s="6"/>
      <c r="L5308" s="6"/>
      <c r="M5308" s="6"/>
      <c r="N5308" s="6"/>
      <c r="O5308" t="s" s="2">
        <v>25</v>
      </c>
      <c r="P5308" s="6"/>
      <c r="Q5308" t="s" s="2">
        <v>9295</v>
      </c>
      <c r="R5308" t="s" s="2">
        <f>_xlfn.IFERROR(INDEX('model_byCAP'!$D$2:$D$377,MATCH(Q5308,'model_byCAP'!$A$2:$A$377,0)),0)</f>
        <v>8430</v>
      </c>
    </row>
    <row r="5309" ht="15.35" customHeight="1">
      <c r="A5309" t="s" s="2">
        <v>9778</v>
      </c>
      <c r="B5309" s="4">
        <v>42871</v>
      </c>
      <c r="C5309" s="5">
        <v>10</v>
      </c>
      <c r="D5309" s="5">
        <v>14</v>
      </c>
      <c r="E5309" s="5">
        <v>18</v>
      </c>
      <c r="F5309" t="s" s="2">
        <v>9209</v>
      </c>
      <c r="G5309" t="s" s="2">
        <v>9293</v>
      </c>
      <c r="H5309" s="5">
        <v>550</v>
      </c>
      <c r="I5309" t="s" s="2">
        <v>526</v>
      </c>
      <c r="J5309" t="s" s="2">
        <v>9204</v>
      </c>
      <c r="K5309" s="6"/>
      <c r="L5309" s="6"/>
      <c r="M5309" s="6"/>
      <c r="N5309" s="6"/>
      <c r="O5309" t="s" s="2">
        <v>25</v>
      </c>
      <c r="P5309" s="6"/>
      <c r="Q5309" t="s" s="2">
        <v>9295</v>
      </c>
      <c r="R5309" t="s" s="2">
        <f>_xlfn.IFERROR(INDEX('model_byCAP'!$D$2:$D$377,MATCH(Q5309,'model_byCAP'!$A$2:$A$377,0)),0)</f>
        <v>8430</v>
      </c>
    </row>
    <row r="5310" ht="15.35" customHeight="1">
      <c r="A5310" t="s" s="2">
        <v>9779</v>
      </c>
      <c r="B5310" s="4">
        <v>42857</v>
      </c>
      <c r="C5310" s="5">
        <v>10</v>
      </c>
      <c r="D5310" s="5">
        <v>14</v>
      </c>
      <c r="E5310" s="5">
        <v>18</v>
      </c>
      <c r="F5310" t="s" s="2">
        <v>9209</v>
      </c>
      <c r="G5310" t="s" s="2">
        <v>9293</v>
      </c>
      <c r="H5310" s="5">
        <v>550</v>
      </c>
      <c r="I5310" t="s" s="2">
        <v>526</v>
      </c>
      <c r="J5310" t="s" s="2">
        <v>9204</v>
      </c>
      <c r="K5310" s="6"/>
      <c r="L5310" s="6"/>
      <c r="M5310" s="6"/>
      <c r="N5310" s="6"/>
      <c r="O5310" t="s" s="2">
        <v>25</v>
      </c>
      <c r="P5310" s="6"/>
      <c r="Q5310" t="s" s="2">
        <v>9295</v>
      </c>
      <c r="R5310" t="s" s="2">
        <f>_xlfn.IFERROR(INDEX('model_byCAP'!$D$2:$D$377,MATCH(Q5310,'model_byCAP'!$A$2:$A$377,0)),0)</f>
        <v>8430</v>
      </c>
    </row>
    <row r="5311" ht="15.35" customHeight="1">
      <c r="A5311" t="s" s="2">
        <v>9780</v>
      </c>
      <c r="B5311" s="4">
        <v>42863</v>
      </c>
      <c r="C5311" s="5">
        <v>10</v>
      </c>
      <c r="D5311" s="5">
        <v>14</v>
      </c>
      <c r="E5311" s="5">
        <v>18</v>
      </c>
      <c r="F5311" t="s" s="2">
        <v>9209</v>
      </c>
      <c r="G5311" t="s" s="2">
        <v>9293</v>
      </c>
      <c r="H5311" s="5">
        <v>550</v>
      </c>
      <c r="I5311" t="s" s="2">
        <v>526</v>
      </c>
      <c r="J5311" t="s" s="2">
        <v>9204</v>
      </c>
      <c r="K5311" s="6"/>
      <c r="L5311" s="6"/>
      <c r="M5311" s="6"/>
      <c r="N5311" s="6"/>
      <c r="O5311" t="s" s="2">
        <v>25</v>
      </c>
      <c r="P5311" s="6"/>
      <c r="Q5311" t="s" s="2">
        <v>9295</v>
      </c>
      <c r="R5311" t="s" s="2">
        <f>_xlfn.IFERROR(INDEX('model_byCAP'!$D$2:$D$377,MATCH(Q5311,'model_byCAP'!$A$2:$A$377,0)),0)</f>
        <v>8430</v>
      </c>
    </row>
    <row r="5312" ht="15.35" customHeight="1">
      <c r="A5312" t="s" s="2">
        <v>9781</v>
      </c>
      <c r="B5312" s="4">
        <v>43034</v>
      </c>
      <c r="C5312" s="5">
        <v>10</v>
      </c>
      <c r="D5312" s="5">
        <v>13</v>
      </c>
      <c r="E5312" s="5">
        <v>18.2</v>
      </c>
      <c r="F5312" t="s" s="2">
        <v>9471</v>
      </c>
      <c r="G5312" t="s" s="2">
        <v>9606</v>
      </c>
      <c r="H5312" s="5">
        <v>550</v>
      </c>
      <c r="I5312" t="s" s="2">
        <v>526</v>
      </c>
      <c r="J5312" t="s" s="2">
        <v>9204</v>
      </c>
      <c r="K5312" s="6"/>
      <c r="L5312" s="6"/>
      <c r="M5312" s="6"/>
      <c r="N5312" s="6"/>
      <c r="O5312" t="s" s="2">
        <v>25</v>
      </c>
      <c r="P5312" s="6"/>
      <c r="Q5312" t="s" s="2">
        <v>9607</v>
      </c>
      <c r="R5312" s="5">
        <f>_xlfn.IFERROR(INDEX('model_byCAP'!$D$2:$D$377,MATCH(Q5312,'model_byCAP'!$A$2:$A$377,0)),0)</f>
        <v>0</v>
      </c>
    </row>
    <row r="5313" ht="15.35" customHeight="1">
      <c r="A5313" t="s" s="2">
        <v>9782</v>
      </c>
      <c r="B5313" s="4">
        <v>43027</v>
      </c>
      <c r="C5313" s="5">
        <v>10</v>
      </c>
      <c r="D5313" s="5">
        <v>14</v>
      </c>
      <c r="E5313" s="5">
        <v>18</v>
      </c>
      <c r="F5313" t="s" s="2">
        <v>9209</v>
      </c>
      <c r="G5313" t="s" s="2">
        <v>9293</v>
      </c>
      <c r="H5313" s="5">
        <v>550</v>
      </c>
      <c r="I5313" t="s" s="2">
        <v>526</v>
      </c>
      <c r="J5313" t="s" s="2">
        <v>9204</v>
      </c>
      <c r="K5313" s="6"/>
      <c r="L5313" s="6"/>
      <c r="M5313" s="6"/>
      <c r="N5313" s="6"/>
      <c r="O5313" t="s" s="2">
        <v>25</v>
      </c>
      <c r="P5313" s="6"/>
      <c r="Q5313" t="s" s="2">
        <v>9295</v>
      </c>
      <c r="R5313" t="s" s="2">
        <f>_xlfn.IFERROR(INDEX('model_byCAP'!$D$2:$D$377,MATCH(Q5313,'model_byCAP'!$A$2:$A$377,0)),0)</f>
        <v>8430</v>
      </c>
    </row>
    <row r="5314" ht="15.35" customHeight="1">
      <c r="A5314" t="s" s="2">
        <v>9783</v>
      </c>
      <c r="B5314" s="4">
        <v>43020</v>
      </c>
      <c r="C5314" s="5">
        <v>10</v>
      </c>
      <c r="D5314" s="5">
        <v>14</v>
      </c>
      <c r="E5314" s="5">
        <v>18</v>
      </c>
      <c r="F5314" t="s" s="2">
        <v>9209</v>
      </c>
      <c r="G5314" t="s" s="2">
        <v>9293</v>
      </c>
      <c r="H5314" s="5">
        <v>550</v>
      </c>
      <c r="I5314" t="s" s="2">
        <v>526</v>
      </c>
      <c r="J5314" t="s" s="2">
        <v>9204</v>
      </c>
      <c r="K5314" s="6"/>
      <c r="L5314" s="6"/>
      <c r="M5314" s="6"/>
      <c r="N5314" s="6"/>
      <c r="O5314" t="s" s="2">
        <v>25</v>
      </c>
      <c r="P5314" s="6"/>
      <c r="Q5314" t="s" s="2">
        <v>9295</v>
      </c>
      <c r="R5314" t="s" s="2">
        <f>_xlfn.IFERROR(INDEX('model_byCAP'!$D$2:$D$377,MATCH(Q5314,'model_byCAP'!$A$2:$A$377,0)),0)</f>
        <v>8430</v>
      </c>
    </row>
    <row r="5315" ht="15.35" customHeight="1">
      <c r="A5315" t="s" s="2">
        <v>9784</v>
      </c>
      <c r="B5315" s="4">
        <v>43033</v>
      </c>
      <c r="C5315" s="5">
        <v>10</v>
      </c>
      <c r="D5315" s="5">
        <v>14</v>
      </c>
      <c r="E5315" s="5">
        <v>18</v>
      </c>
      <c r="F5315" t="s" s="2">
        <v>9209</v>
      </c>
      <c r="G5315" t="s" s="2">
        <v>9293</v>
      </c>
      <c r="H5315" s="5">
        <v>550</v>
      </c>
      <c r="I5315" t="s" s="2">
        <v>526</v>
      </c>
      <c r="J5315" t="s" s="2">
        <v>9204</v>
      </c>
      <c r="K5315" s="6"/>
      <c r="L5315" s="6"/>
      <c r="M5315" s="6"/>
      <c r="N5315" s="6"/>
      <c r="O5315" t="s" s="2">
        <v>25</v>
      </c>
      <c r="P5315" s="6"/>
      <c r="Q5315" t="s" s="2">
        <v>9295</v>
      </c>
      <c r="R5315" t="s" s="2">
        <f>_xlfn.IFERROR(INDEX('model_byCAP'!$D$2:$D$377,MATCH(Q5315,'model_byCAP'!$A$2:$A$377,0)),0)</f>
        <v>8430</v>
      </c>
    </row>
    <row r="5316" ht="15.35" customHeight="1">
      <c r="A5316" t="s" s="2">
        <v>9785</v>
      </c>
      <c r="B5316" s="4">
        <v>43084</v>
      </c>
      <c r="C5316" s="5">
        <v>10</v>
      </c>
      <c r="D5316" s="5">
        <v>13</v>
      </c>
      <c r="E5316" s="5">
        <v>18.2</v>
      </c>
      <c r="F5316" t="s" s="2">
        <v>9471</v>
      </c>
      <c r="G5316" t="s" s="2">
        <v>9606</v>
      </c>
      <c r="H5316" s="5">
        <v>550</v>
      </c>
      <c r="I5316" t="s" s="2">
        <v>526</v>
      </c>
      <c r="J5316" t="s" s="2">
        <v>9204</v>
      </c>
      <c r="K5316" s="6"/>
      <c r="L5316" s="6"/>
      <c r="M5316" s="6"/>
      <c r="N5316" s="6"/>
      <c r="O5316" t="s" s="2">
        <v>25</v>
      </c>
      <c r="P5316" s="6"/>
      <c r="Q5316" t="s" s="2">
        <v>9607</v>
      </c>
      <c r="R5316" s="5">
        <f>_xlfn.IFERROR(INDEX('model_byCAP'!$D$2:$D$377,MATCH(Q5316,'model_byCAP'!$A$2:$A$377,0)),0)</f>
        <v>0</v>
      </c>
    </row>
    <row r="5317" ht="15.35" customHeight="1">
      <c r="A5317" t="s" s="2">
        <v>9786</v>
      </c>
      <c r="B5317" s="4">
        <v>43368</v>
      </c>
      <c r="C5317" s="5">
        <v>10</v>
      </c>
      <c r="D5317" s="5">
        <v>7.1</v>
      </c>
      <c r="E5317" s="5">
        <v>21</v>
      </c>
      <c r="F5317" t="s" s="2">
        <v>9599</v>
      </c>
      <c r="G5317" t="s" s="2">
        <v>9787</v>
      </c>
      <c r="H5317" s="5">
        <v>550</v>
      </c>
      <c r="I5317" t="s" s="2">
        <v>526</v>
      </c>
      <c r="J5317" t="s" s="2">
        <v>9204</v>
      </c>
      <c r="K5317" s="6"/>
      <c r="L5317" s="6"/>
      <c r="M5317" s="6"/>
      <c r="N5317" s="6"/>
      <c r="O5317" t="s" s="2">
        <v>25</v>
      </c>
      <c r="P5317" s="6"/>
      <c r="Q5317" t="s" s="2">
        <v>9788</v>
      </c>
      <c r="R5317" s="5">
        <f>_xlfn.IFERROR(INDEX('model_byCAP'!$D$2:$D$377,MATCH(Q5317,'model_byCAP'!$A$2:$A$377,0)),0)</f>
        <v>0</v>
      </c>
    </row>
    <row r="5318" ht="15.35" customHeight="1">
      <c r="A5318" t="s" s="2">
        <v>9789</v>
      </c>
      <c r="B5318" s="4">
        <v>43391</v>
      </c>
      <c r="C5318" s="5">
        <v>10</v>
      </c>
      <c r="D5318" s="5">
        <v>7.1</v>
      </c>
      <c r="E5318" s="5">
        <v>21.4</v>
      </c>
      <c r="F5318" t="s" s="2">
        <v>42</v>
      </c>
      <c r="G5318" t="s" s="2">
        <v>42</v>
      </c>
      <c r="H5318" s="5">
        <v>550</v>
      </c>
      <c r="I5318" t="s" s="2">
        <v>526</v>
      </c>
      <c r="J5318" t="s" s="2">
        <v>9204</v>
      </c>
      <c r="K5318" s="6"/>
      <c r="L5318" s="6"/>
      <c r="M5318" s="6"/>
      <c r="N5318" s="6"/>
      <c r="O5318" t="s" s="2">
        <v>25</v>
      </c>
      <c r="P5318" s="6"/>
      <c r="Q5318" t="s" s="2">
        <v>43</v>
      </c>
      <c r="R5318" s="5">
        <f>_xlfn.IFERROR(INDEX('model_byCAP'!$D$2:$D$377,MATCH(Q5318,'model_byCAP'!$A$2:$A$377,0)),0)</f>
        <v>0</v>
      </c>
    </row>
    <row r="5319" ht="15.35" customHeight="1">
      <c r="A5319" t="s" s="2">
        <v>9790</v>
      </c>
      <c r="B5319" s="4">
        <v>41636</v>
      </c>
      <c r="C5319" s="5">
        <v>10</v>
      </c>
      <c r="D5319" s="5">
        <v>7.1</v>
      </c>
      <c r="E5319" s="5">
        <v>21.5</v>
      </c>
      <c r="F5319" t="s" s="2">
        <v>42</v>
      </c>
      <c r="G5319" t="s" s="2">
        <v>42</v>
      </c>
      <c r="H5319" s="5">
        <v>550</v>
      </c>
      <c r="I5319" t="s" s="2">
        <v>526</v>
      </c>
      <c r="J5319" t="s" s="2">
        <v>9204</v>
      </c>
      <c r="K5319" s="6"/>
      <c r="L5319" s="6"/>
      <c r="M5319" s="5">
        <v>484707.7</v>
      </c>
      <c r="N5319" s="5">
        <v>6109240.46</v>
      </c>
      <c r="O5319" t="s" s="2">
        <v>305</v>
      </c>
      <c r="P5319" s="6"/>
      <c r="Q5319" t="s" s="2">
        <v>43</v>
      </c>
      <c r="R5319" s="5">
        <f>_xlfn.IFERROR(INDEX('model_byCAP'!$D$2:$D$377,MATCH(Q5319,'model_byCAP'!$A$2:$A$377,0)),0)</f>
        <v>0</v>
      </c>
    </row>
    <row r="5320" ht="15.35" customHeight="1">
      <c r="A5320" t="s" s="2">
        <v>9791</v>
      </c>
      <c r="B5320" s="4">
        <v>41781</v>
      </c>
      <c r="C5320" s="5">
        <v>10</v>
      </c>
      <c r="D5320" s="5">
        <v>13</v>
      </c>
      <c r="E5320" s="5">
        <v>18</v>
      </c>
      <c r="F5320" t="s" s="2">
        <v>42</v>
      </c>
      <c r="G5320" t="s" s="2">
        <v>42</v>
      </c>
      <c r="H5320" s="5">
        <v>550</v>
      </c>
      <c r="I5320" t="s" s="2">
        <v>526</v>
      </c>
      <c r="J5320" t="s" s="2">
        <v>9204</v>
      </c>
      <c r="K5320" s="6"/>
      <c r="L5320" s="6"/>
      <c r="M5320" s="5">
        <v>489332.88</v>
      </c>
      <c r="N5320" s="5">
        <v>6092596.21</v>
      </c>
      <c r="O5320" t="s" s="2">
        <v>305</v>
      </c>
      <c r="P5320" s="6"/>
      <c r="Q5320" t="s" s="2">
        <v>43</v>
      </c>
      <c r="R5320" s="5">
        <f>_xlfn.IFERROR(INDEX('model_byCAP'!$D$2:$D$377,MATCH(Q5320,'model_byCAP'!$A$2:$A$377,0)),0)</f>
        <v>0</v>
      </c>
    </row>
    <row r="5321" ht="15.35" customHeight="1">
      <c r="A5321" t="s" s="2">
        <v>9792</v>
      </c>
      <c r="B5321" s="4">
        <v>42075</v>
      </c>
      <c r="C5321" s="5">
        <v>10</v>
      </c>
      <c r="D5321" s="5">
        <v>13</v>
      </c>
      <c r="E5321" s="5">
        <v>18</v>
      </c>
      <c r="F5321" t="s" s="2">
        <v>9471</v>
      </c>
      <c r="G5321" t="s" s="2">
        <v>9606</v>
      </c>
      <c r="H5321" s="5">
        <v>550</v>
      </c>
      <c r="I5321" t="s" s="2">
        <v>526</v>
      </c>
      <c r="J5321" t="s" s="2">
        <v>9204</v>
      </c>
      <c r="K5321" s="6"/>
      <c r="L5321" s="6"/>
      <c r="M5321" s="5">
        <v>484992.14</v>
      </c>
      <c r="N5321" s="5">
        <v>6093585.74</v>
      </c>
      <c r="O5321" t="s" s="2">
        <v>305</v>
      </c>
      <c r="P5321" s="6"/>
      <c r="Q5321" t="s" s="2">
        <v>9607</v>
      </c>
      <c r="R5321" s="5">
        <f>_xlfn.IFERROR(INDEX('model_byCAP'!$D$2:$D$377,MATCH(Q5321,'model_byCAP'!$A$2:$A$377,0)),0)</f>
        <v>0</v>
      </c>
    </row>
    <row r="5322" ht="15.35" customHeight="1">
      <c r="A5322" t="s" s="2">
        <v>9793</v>
      </c>
      <c r="B5322" s="4">
        <v>42292</v>
      </c>
      <c r="C5322" s="5">
        <v>10</v>
      </c>
      <c r="D5322" s="5">
        <v>7.1</v>
      </c>
      <c r="E5322" s="5">
        <v>21.4</v>
      </c>
      <c r="F5322" t="s" s="2">
        <v>42</v>
      </c>
      <c r="G5322" t="s" s="2">
        <v>42</v>
      </c>
      <c r="H5322" s="5">
        <v>550</v>
      </c>
      <c r="I5322" t="s" s="2">
        <v>526</v>
      </c>
      <c r="J5322" t="s" s="2">
        <v>9204</v>
      </c>
      <c r="K5322" s="6"/>
      <c r="L5322" s="6"/>
      <c r="M5322" s="5">
        <v>488227.58</v>
      </c>
      <c r="N5322" s="5">
        <v>6117782.62</v>
      </c>
      <c r="O5322" t="s" s="2">
        <v>305</v>
      </c>
      <c r="P5322" s="6"/>
      <c r="Q5322" t="s" s="2">
        <v>43</v>
      </c>
      <c r="R5322" s="5">
        <f>_xlfn.IFERROR(INDEX('model_byCAP'!$D$2:$D$377,MATCH(Q5322,'model_byCAP'!$A$2:$A$377,0)),0)</f>
        <v>0</v>
      </c>
    </row>
    <row r="5323" ht="15.35" customHeight="1">
      <c r="A5323" t="s" s="2">
        <v>9794</v>
      </c>
      <c r="B5323" s="4">
        <v>42332</v>
      </c>
      <c r="C5323" s="5">
        <v>10</v>
      </c>
      <c r="D5323" s="5">
        <v>14</v>
      </c>
      <c r="E5323" s="5">
        <v>18</v>
      </c>
      <c r="F5323" t="s" s="2">
        <v>9209</v>
      </c>
      <c r="G5323" t="s" s="2">
        <v>9638</v>
      </c>
      <c r="H5323" s="5">
        <v>550</v>
      </c>
      <c r="I5323" t="s" s="2">
        <v>526</v>
      </c>
      <c r="J5323" t="s" s="2">
        <v>9204</v>
      </c>
      <c r="K5323" s="6"/>
      <c r="L5323" s="6"/>
      <c r="M5323" s="5">
        <v>495517.91</v>
      </c>
      <c r="N5323" s="5">
        <v>6093367.29</v>
      </c>
      <c r="O5323" t="s" s="2">
        <v>305</v>
      </c>
      <c r="P5323" s="6"/>
      <c r="Q5323" t="s" s="2">
        <v>9639</v>
      </c>
      <c r="R5323" s="5">
        <f>_xlfn.IFERROR(INDEX('model_byCAP'!$D$2:$D$377,MATCH(Q5323,'model_byCAP'!$A$2:$A$377,0)),0)</f>
        <v>0</v>
      </c>
    </row>
    <row r="5324" ht="15.35" customHeight="1">
      <c r="A5324" t="s" s="2">
        <v>9795</v>
      </c>
      <c r="B5324" s="4">
        <v>42292</v>
      </c>
      <c r="C5324" s="5">
        <v>10</v>
      </c>
      <c r="D5324" s="5">
        <v>7.1</v>
      </c>
      <c r="E5324" s="5">
        <v>21.4</v>
      </c>
      <c r="F5324" t="s" s="2">
        <v>42</v>
      </c>
      <c r="G5324" t="s" s="2">
        <v>42</v>
      </c>
      <c r="H5324" s="5">
        <v>550</v>
      </c>
      <c r="I5324" t="s" s="2">
        <v>526</v>
      </c>
      <c r="J5324" t="s" s="2">
        <v>9204</v>
      </c>
      <c r="K5324" s="6"/>
      <c r="L5324" s="6"/>
      <c r="M5324" s="5">
        <v>487833.87</v>
      </c>
      <c r="N5324" s="5">
        <v>6115550.47</v>
      </c>
      <c r="O5324" t="s" s="2">
        <v>305</v>
      </c>
      <c r="P5324" s="6"/>
      <c r="Q5324" t="s" s="2">
        <v>43</v>
      </c>
      <c r="R5324" s="5">
        <f>_xlfn.IFERROR(INDEX('model_byCAP'!$D$2:$D$377,MATCH(Q5324,'model_byCAP'!$A$2:$A$377,0)),0)</f>
        <v>0</v>
      </c>
    </row>
    <row r="5325" ht="15.35" customHeight="1">
      <c r="A5325" t="s" s="2">
        <v>9796</v>
      </c>
      <c r="B5325" s="4">
        <v>42329</v>
      </c>
      <c r="C5325" s="5">
        <v>10</v>
      </c>
      <c r="D5325" s="5">
        <v>13</v>
      </c>
      <c r="E5325" s="5">
        <v>18.2</v>
      </c>
      <c r="F5325" t="s" s="2">
        <v>9471</v>
      </c>
      <c r="G5325" t="s" s="2">
        <v>9606</v>
      </c>
      <c r="H5325" s="5">
        <v>550</v>
      </c>
      <c r="I5325" t="s" s="2">
        <v>526</v>
      </c>
      <c r="J5325" t="s" s="2">
        <v>9204</v>
      </c>
      <c r="K5325" s="6"/>
      <c r="L5325" s="6"/>
      <c r="M5325" s="5">
        <v>485852.57</v>
      </c>
      <c r="N5325" s="5">
        <v>6103464.9</v>
      </c>
      <c r="O5325" t="s" s="2">
        <v>305</v>
      </c>
      <c r="P5325" s="6"/>
      <c r="Q5325" t="s" s="2">
        <v>9607</v>
      </c>
      <c r="R5325" s="5">
        <f>_xlfn.IFERROR(INDEX('model_byCAP'!$D$2:$D$377,MATCH(Q5325,'model_byCAP'!$A$2:$A$377,0)),0)</f>
        <v>0</v>
      </c>
    </row>
    <row r="5326" ht="15.35" customHeight="1">
      <c r="A5326" t="s" s="2">
        <v>9797</v>
      </c>
      <c r="B5326" s="4">
        <v>42417</v>
      </c>
      <c r="C5326" s="5">
        <v>10</v>
      </c>
      <c r="D5326" s="5">
        <v>13</v>
      </c>
      <c r="E5326" s="5">
        <v>18</v>
      </c>
      <c r="F5326" t="s" s="2">
        <v>9471</v>
      </c>
      <c r="G5326" t="s" s="2">
        <v>9606</v>
      </c>
      <c r="H5326" s="5">
        <v>550</v>
      </c>
      <c r="I5326" t="s" s="2">
        <v>526</v>
      </c>
      <c r="J5326" t="s" s="2">
        <v>9204</v>
      </c>
      <c r="K5326" s="6"/>
      <c r="L5326" s="6"/>
      <c r="M5326" s="5">
        <v>496587.42</v>
      </c>
      <c r="N5326" s="5">
        <v>6090360.77</v>
      </c>
      <c r="O5326" t="s" s="2">
        <v>305</v>
      </c>
      <c r="P5326" s="6"/>
      <c r="Q5326" t="s" s="2">
        <v>9607</v>
      </c>
      <c r="R5326" s="5">
        <f>_xlfn.IFERROR(INDEX('model_byCAP'!$D$2:$D$377,MATCH(Q5326,'model_byCAP'!$A$2:$A$377,0)),0)</f>
        <v>0</v>
      </c>
    </row>
    <row r="5327" ht="15.35" customHeight="1">
      <c r="A5327" t="s" s="2">
        <v>9798</v>
      </c>
      <c r="B5327" s="4">
        <v>42499</v>
      </c>
      <c r="C5327" s="5">
        <v>10</v>
      </c>
      <c r="D5327" s="5">
        <v>14</v>
      </c>
      <c r="E5327" s="5">
        <v>18</v>
      </c>
      <c r="F5327" t="s" s="2">
        <v>9209</v>
      </c>
      <c r="G5327" t="s" s="2">
        <v>9293</v>
      </c>
      <c r="H5327" s="5">
        <v>550</v>
      </c>
      <c r="I5327" t="s" s="2">
        <v>526</v>
      </c>
      <c r="J5327" t="s" s="2">
        <v>9204</v>
      </c>
      <c r="K5327" s="6"/>
      <c r="L5327" s="6"/>
      <c r="M5327" s="5">
        <v>494153.14</v>
      </c>
      <c r="N5327" s="5">
        <v>6093314.59</v>
      </c>
      <c r="O5327" t="s" s="2">
        <v>305</v>
      </c>
      <c r="P5327" s="6"/>
      <c r="Q5327" t="s" s="2">
        <v>9295</v>
      </c>
      <c r="R5327" t="s" s="2">
        <f>_xlfn.IFERROR(INDEX('model_byCAP'!$D$2:$D$377,MATCH(Q5327,'model_byCAP'!$A$2:$A$377,0)),0)</f>
        <v>8430</v>
      </c>
    </row>
    <row r="5328" ht="15.35" customHeight="1">
      <c r="A5328" t="s" s="2">
        <v>9799</v>
      </c>
      <c r="B5328" s="4">
        <v>42340</v>
      </c>
      <c r="C5328" s="5">
        <v>10</v>
      </c>
      <c r="D5328" s="5">
        <v>13</v>
      </c>
      <c r="E5328" s="5">
        <v>18</v>
      </c>
      <c r="F5328" t="s" s="2">
        <v>9471</v>
      </c>
      <c r="G5328" t="s" s="2">
        <v>9606</v>
      </c>
      <c r="H5328" s="5">
        <v>550</v>
      </c>
      <c r="I5328" t="s" s="2">
        <v>526</v>
      </c>
      <c r="J5328" t="s" s="2">
        <v>9204</v>
      </c>
      <c r="K5328" s="6"/>
      <c r="L5328" s="6"/>
      <c r="M5328" s="5">
        <v>494840.85</v>
      </c>
      <c r="N5328" s="5">
        <v>6090150.33</v>
      </c>
      <c r="O5328" t="s" s="2">
        <v>305</v>
      </c>
      <c r="P5328" s="6"/>
      <c r="Q5328" t="s" s="2">
        <v>9607</v>
      </c>
      <c r="R5328" s="5">
        <f>_xlfn.IFERROR(INDEX('model_byCAP'!$D$2:$D$377,MATCH(Q5328,'model_byCAP'!$A$2:$A$377,0)),0)</f>
        <v>0</v>
      </c>
    </row>
    <row r="5329" ht="15.35" customHeight="1">
      <c r="A5329" t="s" s="2">
        <v>9800</v>
      </c>
      <c r="B5329" s="4">
        <v>42361</v>
      </c>
      <c r="C5329" s="5">
        <v>10</v>
      </c>
      <c r="D5329" s="5">
        <v>14</v>
      </c>
      <c r="E5329" s="5">
        <v>18</v>
      </c>
      <c r="F5329" t="s" s="2">
        <v>9209</v>
      </c>
      <c r="G5329" t="s" s="2">
        <v>9293</v>
      </c>
      <c r="H5329" s="5">
        <v>550</v>
      </c>
      <c r="I5329" t="s" s="2">
        <v>526</v>
      </c>
      <c r="J5329" t="s" s="2">
        <v>9204</v>
      </c>
      <c r="K5329" s="6"/>
      <c r="L5329" s="6"/>
      <c r="M5329" s="5">
        <v>484606.83</v>
      </c>
      <c r="N5329" s="5">
        <v>6100227.45</v>
      </c>
      <c r="O5329" t="s" s="2">
        <v>305</v>
      </c>
      <c r="P5329" s="6"/>
      <c r="Q5329" t="s" s="2">
        <v>9295</v>
      </c>
      <c r="R5329" t="s" s="2">
        <f>_xlfn.IFERROR(INDEX('model_byCAP'!$D$2:$D$377,MATCH(Q5329,'model_byCAP'!$A$2:$A$377,0)),0)</f>
        <v>8430</v>
      </c>
    </row>
    <row r="5330" ht="15.35" customHeight="1">
      <c r="A5330" t="s" s="2">
        <v>9801</v>
      </c>
      <c r="B5330" s="4">
        <v>42353</v>
      </c>
      <c r="C5330" s="5">
        <v>10</v>
      </c>
      <c r="D5330" s="5">
        <v>7.1</v>
      </c>
      <c r="E5330" s="5">
        <v>21.4</v>
      </c>
      <c r="F5330" t="s" s="2">
        <v>42</v>
      </c>
      <c r="G5330" t="s" s="2">
        <v>42</v>
      </c>
      <c r="H5330" s="5">
        <v>550</v>
      </c>
      <c r="I5330" t="s" s="2">
        <v>526</v>
      </c>
      <c r="J5330" t="s" s="2">
        <v>9204</v>
      </c>
      <c r="K5330" s="6"/>
      <c r="L5330" s="6"/>
      <c r="M5330" s="6"/>
      <c r="N5330" s="6"/>
      <c r="O5330" t="s" s="2">
        <v>25</v>
      </c>
      <c r="P5330" s="6"/>
      <c r="Q5330" t="s" s="2">
        <v>43</v>
      </c>
      <c r="R5330" s="5">
        <f>_xlfn.IFERROR(INDEX('model_byCAP'!$D$2:$D$377,MATCH(Q5330,'model_byCAP'!$A$2:$A$377,0)),0)</f>
        <v>0</v>
      </c>
    </row>
    <row r="5331" ht="15.35" customHeight="1">
      <c r="A5331" t="s" s="2">
        <v>9802</v>
      </c>
      <c r="B5331" s="4">
        <v>42538</v>
      </c>
      <c r="C5331" s="5">
        <v>10</v>
      </c>
      <c r="D5331" s="5">
        <v>14</v>
      </c>
      <c r="E5331" s="5">
        <v>18</v>
      </c>
      <c r="F5331" t="s" s="2">
        <v>9209</v>
      </c>
      <c r="G5331" t="s" s="2">
        <v>9293</v>
      </c>
      <c r="H5331" s="5">
        <v>550</v>
      </c>
      <c r="I5331" t="s" s="2">
        <v>526</v>
      </c>
      <c r="J5331" t="s" s="2">
        <v>9204</v>
      </c>
      <c r="K5331" s="6"/>
      <c r="L5331" s="6"/>
      <c r="M5331" s="5">
        <v>488134.95</v>
      </c>
      <c r="N5331" s="5">
        <v>6095827.93</v>
      </c>
      <c r="O5331" t="s" s="2">
        <v>305</v>
      </c>
      <c r="P5331" s="6"/>
      <c r="Q5331" t="s" s="2">
        <v>9295</v>
      </c>
      <c r="R5331" t="s" s="2">
        <f>_xlfn.IFERROR(INDEX('model_byCAP'!$D$2:$D$377,MATCH(Q5331,'model_byCAP'!$A$2:$A$377,0)),0)</f>
        <v>8430</v>
      </c>
    </row>
    <row r="5332" ht="15.35" customHeight="1">
      <c r="A5332" t="s" s="2">
        <v>9803</v>
      </c>
      <c r="B5332" s="4">
        <v>42601</v>
      </c>
      <c r="C5332" s="5">
        <v>10</v>
      </c>
      <c r="D5332" s="5">
        <v>13</v>
      </c>
      <c r="E5332" s="5">
        <v>18.2</v>
      </c>
      <c r="F5332" t="s" s="2">
        <v>9471</v>
      </c>
      <c r="G5332" t="s" s="2">
        <v>9606</v>
      </c>
      <c r="H5332" s="5">
        <v>550</v>
      </c>
      <c r="I5332" t="s" s="2">
        <v>526</v>
      </c>
      <c r="J5332" t="s" s="2">
        <v>9204</v>
      </c>
      <c r="K5332" s="6"/>
      <c r="L5332" s="6"/>
      <c r="M5332" s="6"/>
      <c r="N5332" s="6"/>
      <c r="O5332" t="s" s="2">
        <v>25</v>
      </c>
      <c r="P5332" s="6"/>
      <c r="Q5332" t="s" s="2">
        <v>9607</v>
      </c>
      <c r="R5332" s="5">
        <f>_xlfn.IFERROR(INDEX('model_byCAP'!$D$2:$D$377,MATCH(Q5332,'model_byCAP'!$A$2:$A$377,0)),0)</f>
        <v>0</v>
      </c>
    </row>
    <row r="5333" ht="15.35" customHeight="1">
      <c r="A5333" t="s" s="2">
        <v>9804</v>
      </c>
      <c r="B5333" s="4">
        <v>42366</v>
      </c>
      <c r="C5333" s="5">
        <v>10</v>
      </c>
      <c r="D5333" s="5">
        <v>13</v>
      </c>
      <c r="E5333" s="5">
        <v>18.2</v>
      </c>
      <c r="F5333" t="s" s="2">
        <v>9471</v>
      </c>
      <c r="G5333" t="s" s="2">
        <v>9606</v>
      </c>
      <c r="H5333" s="5">
        <v>550</v>
      </c>
      <c r="I5333" t="s" s="2">
        <v>526</v>
      </c>
      <c r="J5333" t="s" s="2">
        <v>9204</v>
      </c>
      <c r="K5333" s="6"/>
      <c r="L5333" s="6"/>
      <c r="M5333" s="5">
        <v>483991.95</v>
      </c>
      <c r="N5333" s="5">
        <v>6093532.93</v>
      </c>
      <c r="O5333" t="s" s="2">
        <v>305</v>
      </c>
      <c r="P5333" s="6"/>
      <c r="Q5333" t="s" s="2">
        <v>9607</v>
      </c>
      <c r="R5333" s="5">
        <f>_xlfn.IFERROR(INDEX('model_byCAP'!$D$2:$D$377,MATCH(Q5333,'model_byCAP'!$A$2:$A$377,0)),0)</f>
        <v>0</v>
      </c>
    </row>
    <row r="5334" ht="15.35" customHeight="1">
      <c r="A5334" t="s" s="2">
        <v>9805</v>
      </c>
      <c r="B5334" s="4">
        <v>42366</v>
      </c>
      <c r="C5334" s="5">
        <v>10</v>
      </c>
      <c r="D5334" s="5">
        <v>13</v>
      </c>
      <c r="E5334" s="5">
        <v>18.2</v>
      </c>
      <c r="F5334" t="s" s="2">
        <v>9471</v>
      </c>
      <c r="G5334" t="s" s="2">
        <v>9606</v>
      </c>
      <c r="H5334" s="5">
        <v>550</v>
      </c>
      <c r="I5334" t="s" s="2">
        <v>526</v>
      </c>
      <c r="J5334" t="s" s="2">
        <v>9204</v>
      </c>
      <c r="K5334" s="6"/>
      <c r="L5334" s="6"/>
      <c r="M5334" s="5">
        <v>484007.65</v>
      </c>
      <c r="N5334" s="5">
        <v>6093501.41</v>
      </c>
      <c r="O5334" t="s" s="2">
        <v>305</v>
      </c>
      <c r="P5334" s="6"/>
      <c r="Q5334" t="s" s="2">
        <v>9607</v>
      </c>
      <c r="R5334" s="5">
        <f>_xlfn.IFERROR(INDEX('model_byCAP'!$D$2:$D$377,MATCH(Q5334,'model_byCAP'!$A$2:$A$377,0)),0)</f>
        <v>0</v>
      </c>
    </row>
    <row r="5335" ht="15.35" customHeight="1">
      <c r="A5335" t="s" s="2">
        <v>9806</v>
      </c>
      <c r="B5335" s="4">
        <v>42361</v>
      </c>
      <c r="C5335" s="5">
        <v>10</v>
      </c>
      <c r="D5335" s="5">
        <v>7.1</v>
      </c>
      <c r="E5335" s="5">
        <v>21.4</v>
      </c>
      <c r="F5335" t="s" s="2">
        <v>42</v>
      </c>
      <c r="G5335" t="s" s="2">
        <v>42</v>
      </c>
      <c r="H5335" s="5">
        <v>550</v>
      </c>
      <c r="I5335" t="s" s="2">
        <v>526</v>
      </c>
      <c r="J5335" t="s" s="2">
        <v>9204</v>
      </c>
      <c r="K5335" s="6"/>
      <c r="L5335" s="6"/>
      <c r="M5335" s="6"/>
      <c r="N5335" s="6"/>
      <c r="O5335" t="s" s="2">
        <v>25</v>
      </c>
      <c r="P5335" s="6"/>
      <c r="Q5335" t="s" s="2">
        <v>43</v>
      </c>
      <c r="R5335" s="5">
        <f>_xlfn.IFERROR(INDEX('model_byCAP'!$D$2:$D$377,MATCH(Q5335,'model_byCAP'!$A$2:$A$377,0)),0)</f>
        <v>0</v>
      </c>
    </row>
    <row r="5336" ht="15.35" customHeight="1">
      <c r="A5336" t="s" s="2">
        <v>9807</v>
      </c>
      <c r="B5336" s="4">
        <v>42413</v>
      </c>
      <c r="C5336" s="5">
        <v>10</v>
      </c>
      <c r="D5336" s="5">
        <v>13</v>
      </c>
      <c r="E5336" s="5">
        <v>18</v>
      </c>
      <c r="F5336" t="s" s="2">
        <v>9471</v>
      </c>
      <c r="G5336" t="s" s="2">
        <v>9606</v>
      </c>
      <c r="H5336" s="5">
        <v>550</v>
      </c>
      <c r="I5336" t="s" s="2">
        <v>526</v>
      </c>
      <c r="J5336" t="s" s="2">
        <v>9204</v>
      </c>
      <c r="K5336" s="6"/>
      <c r="L5336" s="6"/>
      <c r="M5336" s="5">
        <v>496571.76</v>
      </c>
      <c r="N5336" s="5">
        <v>6090384.46</v>
      </c>
      <c r="O5336" t="s" s="2">
        <v>305</v>
      </c>
      <c r="P5336" s="6"/>
      <c r="Q5336" t="s" s="2">
        <v>9607</v>
      </c>
      <c r="R5336" s="5">
        <f>_xlfn.IFERROR(INDEX('model_byCAP'!$D$2:$D$377,MATCH(Q5336,'model_byCAP'!$A$2:$A$377,0)),0)</f>
        <v>0</v>
      </c>
    </row>
    <row r="5337" ht="15.35" customHeight="1">
      <c r="A5337" t="s" s="2">
        <v>9808</v>
      </c>
      <c r="B5337" s="4">
        <v>42432</v>
      </c>
      <c r="C5337" s="5">
        <v>10</v>
      </c>
      <c r="D5337" s="5">
        <v>14</v>
      </c>
      <c r="E5337" s="5">
        <v>18</v>
      </c>
      <c r="F5337" t="s" s="2">
        <v>9209</v>
      </c>
      <c r="G5337" t="s" s="2">
        <v>9293</v>
      </c>
      <c r="H5337" s="5">
        <v>550</v>
      </c>
      <c r="I5337" t="s" s="2">
        <v>526</v>
      </c>
      <c r="J5337" t="s" s="2">
        <v>9204</v>
      </c>
      <c r="K5337" s="6"/>
      <c r="L5337" s="6"/>
      <c r="M5337" s="5">
        <v>494867.54</v>
      </c>
      <c r="N5337" s="5">
        <v>6093616.98</v>
      </c>
      <c r="O5337" t="s" s="2">
        <v>305</v>
      </c>
      <c r="P5337" s="6"/>
      <c r="Q5337" t="s" s="2">
        <v>9295</v>
      </c>
      <c r="R5337" t="s" s="2">
        <f>_xlfn.IFERROR(INDEX('model_byCAP'!$D$2:$D$377,MATCH(Q5337,'model_byCAP'!$A$2:$A$377,0)),0)</f>
        <v>8430</v>
      </c>
    </row>
    <row r="5338" ht="15.35" customHeight="1">
      <c r="A5338" t="s" s="2">
        <v>9809</v>
      </c>
      <c r="B5338" s="4">
        <v>42557</v>
      </c>
      <c r="C5338" s="5">
        <v>10</v>
      </c>
      <c r="D5338" s="5">
        <v>14</v>
      </c>
      <c r="E5338" s="5">
        <v>18</v>
      </c>
      <c r="F5338" t="s" s="2">
        <v>9209</v>
      </c>
      <c r="G5338" t="s" s="2">
        <v>9293</v>
      </c>
      <c r="H5338" s="5">
        <v>561</v>
      </c>
      <c r="I5338" t="s" s="2">
        <v>196</v>
      </c>
      <c r="J5338" t="s" s="2">
        <v>9204</v>
      </c>
      <c r="K5338" s="6"/>
      <c r="L5338" s="6"/>
      <c r="M5338" s="6"/>
      <c r="N5338" s="6"/>
      <c r="O5338" t="s" s="2">
        <v>25</v>
      </c>
      <c r="P5338" s="6"/>
      <c r="Q5338" t="s" s="2">
        <v>9295</v>
      </c>
      <c r="R5338" t="s" s="2">
        <f>_xlfn.IFERROR(INDEX('model_byCAP'!$D$2:$D$377,MATCH(Q5338,'model_byCAP'!$A$2:$A$377,0)),0)</f>
        <v>8430</v>
      </c>
    </row>
    <row r="5339" ht="15.35" customHeight="1">
      <c r="A5339" t="s" s="2">
        <v>9810</v>
      </c>
      <c r="B5339" s="4">
        <v>42711</v>
      </c>
      <c r="C5339" s="5">
        <v>10</v>
      </c>
      <c r="D5339" s="5">
        <v>14</v>
      </c>
      <c r="E5339" s="5">
        <v>18</v>
      </c>
      <c r="F5339" t="s" s="2">
        <v>9209</v>
      </c>
      <c r="G5339" t="s" s="2">
        <v>9293</v>
      </c>
      <c r="H5339" s="5">
        <v>561</v>
      </c>
      <c r="I5339" t="s" s="2">
        <v>196</v>
      </c>
      <c r="J5339" t="s" s="2">
        <v>9204</v>
      </c>
      <c r="K5339" s="6"/>
      <c r="L5339" s="6"/>
      <c r="M5339" s="6"/>
      <c r="N5339" s="6"/>
      <c r="O5339" t="s" s="2">
        <v>25</v>
      </c>
      <c r="P5339" s="6"/>
      <c r="Q5339" t="s" s="2">
        <v>9295</v>
      </c>
      <c r="R5339" t="s" s="2">
        <f>_xlfn.IFERROR(INDEX('model_byCAP'!$D$2:$D$377,MATCH(Q5339,'model_byCAP'!$A$2:$A$377,0)),0)</f>
        <v>8430</v>
      </c>
    </row>
    <row r="5340" ht="15.35" customHeight="1">
      <c r="A5340" t="s" s="2">
        <v>9811</v>
      </c>
      <c r="B5340" s="4">
        <v>42709</v>
      </c>
      <c r="C5340" s="5">
        <v>10</v>
      </c>
      <c r="D5340" s="5">
        <v>14</v>
      </c>
      <c r="E5340" s="5">
        <v>18</v>
      </c>
      <c r="F5340" t="s" s="2">
        <v>9209</v>
      </c>
      <c r="G5340" t="s" s="2">
        <v>9293</v>
      </c>
      <c r="H5340" s="5">
        <v>561</v>
      </c>
      <c r="I5340" t="s" s="2">
        <v>196</v>
      </c>
      <c r="J5340" t="s" s="2">
        <v>9204</v>
      </c>
      <c r="K5340" s="6"/>
      <c r="L5340" s="6"/>
      <c r="M5340" s="6"/>
      <c r="N5340" s="6"/>
      <c r="O5340" t="s" s="2">
        <v>25</v>
      </c>
      <c r="P5340" s="6"/>
      <c r="Q5340" t="s" s="2">
        <v>9295</v>
      </c>
      <c r="R5340" t="s" s="2">
        <f>_xlfn.IFERROR(INDEX('model_byCAP'!$D$2:$D$377,MATCH(Q5340,'model_byCAP'!$A$2:$A$377,0)),0)</f>
        <v>8430</v>
      </c>
    </row>
    <row r="5341" ht="15.35" customHeight="1">
      <c r="A5341" t="s" s="2">
        <v>9812</v>
      </c>
      <c r="B5341" s="4">
        <v>42979</v>
      </c>
      <c r="C5341" s="5">
        <v>10</v>
      </c>
      <c r="D5341" s="5">
        <v>14</v>
      </c>
      <c r="E5341" s="5">
        <v>18</v>
      </c>
      <c r="F5341" t="s" s="2">
        <v>9209</v>
      </c>
      <c r="G5341" t="s" s="2">
        <v>9293</v>
      </c>
      <c r="H5341" s="5">
        <v>561</v>
      </c>
      <c r="I5341" t="s" s="2">
        <v>196</v>
      </c>
      <c r="J5341" t="s" s="2">
        <v>9204</v>
      </c>
      <c r="K5341" s="6"/>
      <c r="L5341" s="6"/>
      <c r="M5341" s="6"/>
      <c r="N5341" s="6"/>
      <c r="O5341" t="s" s="2">
        <v>25</v>
      </c>
      <c r="P5341" s="6"/>
      <c r="Q5341" t="s" s="2">
        <v>9295</v>
      </c>
      <c r="R5341" t="s" s="2">
        <f>_xlfn.IFERROR(INDEX('model_byCAP'!$D$2:$D$377,MATCH(Q5341,'model_byCAP'!$A$2:$A$377,0)),0)</f>
        <v>8430</v>
      </c>
    </row>
    <row r="5342" ht="15.35" customHeight="1">
      <c r="A5342" t="s" s="2">
        <v>9813</v>
      </c>
      <c r="B5342" s="4">
        <v>43773</v>
      </c>
      <c r="C5342" s="5">
        <v>10</v>
      </c>
      <c r="D5342" s="5">
        <v>9.300000000000001</v>
      </c>
      <c r="E5342" s="5">
        <v>19.4</v>
      </c>
      <c r="F5342" t="s" s="2">
        <v>9599</v>
      </c>
      <c r="G5342" t="s" s="2">
        <v>9600</v>
      </c>
      <c r="H5342" s="5">
        <v>561</v>
      </c>
      <c r="I5342" t="s" s="2">
        <v>196</v>
      </c>
      <c r="J5342" t="s" s="2">
        <v>9204</v>
      </c>
      <c r="K5342" s="6"/>
      <c r="L5342" s="6"/>
      <c r="M5342" s="6"/>
      <c r="N5342" s="6"/>
      <c r="O5342" t="s" s="2">
        <v>25</v>
      </c>
      <c r="P5342" s="6"/>
      <c r="Q5342" t="s" s="2">
        <v>9601</v>
      </c>
      <c r="R5342" s="5">
        <f>_xlfn.IFERROR(INDEX('model_byCAP'!$D$2:$D$377,MATCH(Q5342,'model_byCAP'!$A$2:$A$377,0)),0)</f>
        <v>0</v>
      </c>
    </row>
    <row r="5343" ht="15.35" customHeight="1">
      <c r="A5343" t="s" s="2">
        <v>9814</v>
      </c>
      <c r="B5343" s="4">
        <v>41609</v>
      </c>
      <c r="C5343" s="5">
        <v>10</v>
      </c>
      <c r="D5343" s="5">
        <v>7.1</v>
      </c>
      <c r="E5343" s="5">
        <v>21</v>
      </c>
      <c r="F5343" t="s" s="2">
        <v>42</v>
      </c>
      <c r="G5343" t="s" s="2">
        <v>42</v>
      </c>
      <c r="H5343" s="5">
        <v>561</v>
      </c>
      <c r="I5343" t="s" s="2">
        <v>196</v>
      </c>
      <c r="J5343" t="s" s="2">
        <v>9204</v>
      </c>
      <c r="K5343" s="6"/>
      <c r="L5343" s="6"/>
      <c r="M5343" s="6"/>
      <c r="N5343" s="6"/>
      <c r="O5343" t="s" s="2">
        <v>25</v>
      </c>
      <c r="P5343" s="6"/>
      <c r="Q5343" t="s" s="2">
        <v>43</v>
      </c>
      <c r="R5343" s="5">
        <f>_xlfn.IFERROR(INDEX('model_byCAP'!$D$2:$D$377,MATCH(Q5343,'model_byCAP'!$A$2:$A$377,0)),0)</f>
        <v>0</v>
      </c>
    </row>
    <row r="5344" ht="15.35" customHeight="1">
      <c r="A5344" t="s" s="2">
        <v>9815</v>
      </c>
      <c r="B5344" s="4">
        <v>42431</v>
      </c>
      <c r="C5344" s="5">
        <v>10</v>
      </c>
      <c r="D5344" s="5">
        <v>14</v>
      </c>
      <c r="E5344" s="5">
        <v>18</v>
      </c>
      <c r="F5344" t="s" s="2">
        <v>9209</v>
      </c>
      <c r="G5344" t="s" s="2">
        <v>9293</v>
      </c>
      <c r="H5344" s="5">
        <v>561</v>
      </c>
      <c r="I5344" t="s" s="2">
        <v>196</v>
      </c>
      <c r="J5344" t="s" s="2">
        <v>9204</v>
      </c>
      <c r="K5344" s="6"/>
      <c r="L5344" s="6"/>
      <c r="M5344" s="6"/>
      <c r="N5344" s="6"/>
      <c r="O5344" t="s" s="2">
        <v>25</v>
      </c>
      <c r="P5344" s="6"/>
      <c r="Q5344" t="s" s="2">
        <v>9295</v>
      </c>
      <c r="R5344" t="s" s="2">
        <f>_xlfn.IFERROR(INDEX('model_byCAP'!$D$2:$D$377,MATCH(Q5344,'model_byCAP'!$A$2:$A$377,0)),0)</f>
        <v>8430</v>
      </c>
    </row>
    <row r="5345" ht="15.35" customHeight="1">
      <c r="A5345" t="s" s="2">
        <v>9816</v>
      </c>
      <c r="B5345" s="4">
        <v>42494</v>
      </c>
      <c r="C5345" s="5">
        <v>10</v>
      </c>
      <c r="D5345" s="5">
        <v>13</v>
      </c>
      <c r="E5345" s="5">
        <v>18.2</v>
      </c>
      <c r="F5345" t="s" s="2">
        <v>9471</v>
      </c>
      <c r="G5345" t="s" s="2">
        <v>9606</v>
      </c>
      <c r="H5345" s="5">
        <v>573</v>
      </c>
      <c r="I5345" t="s" s="2">
        <v>1041</v>
      </c>
      <c r="J5345" t="s" s="2">
        <v>9204</v>
      </c>
      <c r="K5345" s="6"/>
      <c r="L5345" s="6"/>
      <c r="M5345" s="5">
        <v>482018.23</v>
      </c>
      <c r="N5345" s="5">
        <v>6183130.73</v>
      </c>
      <c r="O5345" t="s" s="2">
        <v>305</v>
      </c>
      <c r="P5345" s="6"/>
      <c r="Q5345" t="s" s="2">
        <v>9607</v>
      </c>
      <c r="R5345" s="5">
        <f>_xlfn.IFERROR(INDEX('model_byCAP'!$D$2:$D$377,MATCH(Q5345,'model_byCAP'!$A$2:$A$377,0)),0)</f>
        <v>0</v>
      </c>
    </row>
    <row r="5346" ht="15.35" customHeight="1">
      <c r="A5346" t="s" s="2">
        <v>9817</v>
      </c>
      <c r="B5346" s="4">
        <v>42524</v>
      </c>
      <c r="C5346" s="5">
        <v>10</v>
      </c>
      <c r="D5346" s="5">
        <v>14</v>
      </c>
      <c r="E5346" s="5">
        <v>18</v>
      </c>
      <c r="F5346" t="s" s="2">
        <v>9209</v>
      </c>
      <c r="G5346" t="s" s="2">
        <v>9293</v>
      </c>
      <c r="H5346" s="5">
        <v>573</v>
      </c>
      <c r="I5346" t="s" s="2">
        <v>1041</v>
      </c>
      <c r="J5346" t="s" s="2">
        <v>9204</v>
      </c>
      <c r="K5346" s="6"/>
      <c r="L5346" s="6"/>
      <c r="M5346" s="5">
        <v>489301.5</v>
      </c>
      <c r="N5346" s="5">
        <v>6164985.73</v>
      </c>
      <c r="O5346" t="s" s="2">
        <v>305</v>
      </c>
      <c r="P5346" s="6"/>
      <c r="Q5346" t="s" s="2">
        <v>9295</v>
      </c>
      <c r="R5346" t="s" s="2">
        <f>_xlfn.IFERROR(INDEX('model_byCAP'!$D$2:$D$377,MATCH(Q5346,'model_byCAP'!$A$2:$A$377,0)),0)</f>
        <v>8430</v>
      </c>
    </row>
    <row r="5347" ht="15.35" customHeight="1">
      <c r="A5347" t="s" s="2">
        <v>9818</v>
      </c>
      <c r="B5347" s="4">
        <v>42611</v>
      </c>
      <c r="C5347" s="5">
        <v>10</v>
      </c>
      <c r="D5347" s="5">
        <v>14</v>
      </c>
      <c r="E5347" s="5">
        <v>18</v>
      </c>
      <c r="F5347" t="s" s="2">
        <v>9209</v>
      </c>
      <c r="G5347" t="s" s="2">
        <v>9293</v>
      </c>
      <c r="H5347" s="5">
        <v>573</v>
      </c>
      <c r="I5347" t="s" s="2">
        <v>1041</v>
      </c>
      <c r="J5347" t="s" s="2">
        <v>9204</v>
      </c>
      <c r="K5347" s="6"/>
      <c r="L5347" s="6"/>
      <c r="M5347" s="6"/>
      <c r="N5347" s="6"/>
      <c r="O5347" t="s" s="2">
        <v>25</v>
      </c>
      <c r="P5347" s="6"/>
      <c r="Q5347" t="s" s="2">
        <v>9295</v>
      </c>
      <c r="R5347" t="s" s="2">
        <f>_xlfn.IFERROR(INDEX('model_byCAP'!$D$2:$D$377,MATCH(Q5347,'model_byCAP'!$A$2:$A$377,0)),0)</f>
        <v>8430</v>
      </c>
    </row>
    <row r="5348" ht="15.35" customHeight="1">
      <c r="A5348" t="s" s="2">
        <v>9819</v>
      </c>
      <c r="B5348" s="4">
        <v>41548</v>
      </c>
      <c r="C5348" s="5">
        <v>10</v>
      </c>
      <c r="D5348" s="5">
        <v>7.1</v>
      </c>
      <c r="E5348" s="5">
        <v>21</v>
      </c>
      <c r="F5348" t="s" s="2">
        <v>42</v>
      </c>
      <c r="G5348" t="s" s="2">
        <v>42</v>
      </c>
      <c r="H5348" s="5">
        <v>573</v>
      </c>
      <c r="I5348" t="s" s="2">
        <v>1041</v>
      </c>
      <c r="J5348" t="s" s="2">
        <v>9204</v>
      </c>
      <c r="K5348" s="6"/>
      <c r="L5348" s="6"/>
      <c r="M5348" s="5">
        <v>477839.37</v>
      </c>
      <c r="N5348" s="5">
        <v>6168548.29</v>
      </c>
      <c r="O5348" t="s" s="2">
        <v>9820</v>
      </c>
      <c r="P5348" s="6"/>
      <c r="Q5348" t="s" s="2">
        <v>43</v>
      </c>
      <c r="R5348" s="5">
        <f>_xlfn.IFERROR(INDEX('model_byCAP'!$D$2:$D$377,MATCH(Q5348,'model_byCAP'!$A$2:$A$377,0)),0)</f>
        <v>0</v>
      </c>
    </row>
    <row r="5349" ht="15.35" customHeight="1">
      <c r="A5349" t="s" s="2">
        <v>9821</v>
      </c>
      <c r="B5349" s="4">
        <v>42317</v>
      </c>
      <c r="C5349" s="5">
        <v>10</v>
      </c>
      <c r="D5349" s="5">
        <v>7.1</v>
      </c>
      <c r="E5349" s="5">
        <v>21.5</v>
      </c>
      <c r="F5349" t="s" s="2">
        <v>42</v>
      </c>
      <c r="G5349" t="s" s="2">
        <v>42</v>
      </c>
      <c r="H5349" s="5">
        <v>573</v>
      </c>
      <c r="I5349" t="s" s="2">
        <v>1041</v>
      </c>
      <c r="J5349" t="s" s="2">
        <v>9204</v>
      </c>
      <c r="K5349" s="6"/>
      <c r="L5349" s="6"/>
      <c r="M5349" s="5">
        <v>480240.09</v>
      </c>
      <c r="N5349" s="5">
        <v>6175538.13</v>
      </c>
      <c r="O5349" t="s" s="2">
        <v>305</v>
      </c>
      <c r="P5349" s="6"/>
      <c r="Q5349" t="s" s="2">
        <v>43</v>
      </c>
      <c r="R5349" s="5">
        <f>_xlfn.IFERROR(INDEX('model_byCAP'!$D$2:$D$377,MATCH(Q5349,'model_byCAP'!$A$2:$A$377,0)),0)</f>
        <v>0</v>
      </c>
    </row>
    <row r="5350" ht="15.35" customHeight="1">
      <c r="A5350" t="s" s="2">
        <v>9822</v>
      </c>
      <c r="B5350" s="4">
        <v>41991</v>
      </c>
      <c r="C5350" s="5">
        <v>10</v>
      </c>
      <c r="D5350" s="5">
        <v>7.1</v>
      </c>
      <c r="E5350" s="5">
        <v>21</v>
      </c>
      <c r="F5350" t="s" s="2">
        <v>42</v>
      </c>
      <c r="G5350" t="s" s="2">
        <v>42</v>
      </c>
      <c r="H5350" s="5">
        <v>573</v>
      </c>
      <c r="I5350" t="s" s="2">
        <v>1041</v>
      </c>
      <c r="J5350" t="s" s="2">
        <v>9204</v>
      </c>
      <c r="K5350" s="6"/>
      <c r="L5350" s="6"/>
      <c r="M5350" s="5">
        <v>457095.6</v>
      </c>
      <c r="N5350" s="5">
        <v>6175757.49</v>
      </c>
      <c r="O5350" t="s" s="2">
        <v>305</v>
      </c>
      <c r="P5350" s="6"/>
      <c r="Q5350" t="s" s="2">
        <v>43</v>
      </c>
      <c r="R5350" s="5">
        <f>_xlfn.IFERROR(INDEX('model_byCAP'!$D$2:$D$377,MATCH(Q5350,'model_byCAP'!$A$2:$A$377,0)),0)</f>
        <v>0</v>
      </c>
    </row>
    <row r="5351" ht="15.35" customHeight="1">
      <c r="A5351" t="s" s="2">
        <v>9823</v>
      </c>
      <c r="B5351" s="4">
        <v>42272</v>
      </c>
      <c r="C5351" s="5">
        <v>10</v>
      </c>
      <c r="D5351" s="5">
        <v>7.1</v>
      </c>
      <c r="E5351" s="5">
        <v>21</v>
      </c>
      <c r="F5351" t="s" s="2">
        <v>42</v>
      </c>
      <c r="G5351" t="s" s="2">
        <v>42</v>
      </c>
      <c r="H5351" s="5">
        <v>573</v>
      </c>
      <c r="I5351" t="s" s="2">
        <v>1041</v>
      </c>
      <c r="J5351" t="s" s="2">
        <v>9204</v>
      </c>
      <c r="K5351" s="6"/>
      <c r="L5351" s="6"/>
      <c r="M5351" s="5">
        <v>460012.4</v>
      </c>
      <c r="N5351" s="5">
        <v>6172549.57</v>
      </c>
      <c r="O5351" t="s" s="2">
        <v>305</v>
      </c>
      <c r="P5351" s="6"/>
      <c r="Q5351" t="s" s="2">
        <v>43</v>
      </c>
      <c r="R5351" s="5">
        <f>_xlfn.IFERROR(INDEX('model_byCAP'!$D$2:$D$377,MATCH(Q5351,'model_byCAP'!$A$2:$A$377,0)),0)</f>
        <v>0</v>
      </c>
    </row>
    <row r="5352" ht="15.35" customHeight="1">
      <c r="A5352" t="s" s="2">
        <v>9824</v>
      </c>
      <c r="B5352" s="4">
        <v>42381</v>
      </c>
      <c r="C5352" s="5">
        <v>10</v>
      </c>
      <c r="D5352" s="5">
        <v>14</v>
      </c>
      <c r="E5352" s="5">
        <v>18</v>
      </c>
      <c r="F5352" t="s" s="2">
        <v>9209</v>
      </c>
      <c r="G5352" t="s" s="2">
        <v>9293</v>
      </c>
      <c r="H5352" s="5">
        <v>573</v>
      </c>
      <c r="I5352" t="s" s="2">
        <v>1041</v>
      </c>
      <c r="J5352" t="s" s="2">
        <v>9204</v>
      </c>
      <c r="K5352" s="6"/>
      <c r="L5352" s="6"/>
      <c r="M5352" s="5">
        <v>487982.69</v>
      </c>
      <c r="N5352" s="5">
        <v>6160266.25</v>
      </c>
      <c r="O5352" t="s" s="2">
        <v>305</v>
      </c>
      <c r="P5352" s="6"/>
      <c r="Q5352" t="s" s="2">
        <v>9295</v>
      </c>
      <c r="R5352" t="s" s="2">
        <f>_xlfn.IFERROR(INDEX('model_byCAP'!$D$2:$D$377,MATCH(Q5352,'model_byCAP'!$A$2:$A$377,0)),0)</f>
        <v>8430</v>
      </c>
    </row>
    <row r="5353" ht="15.35" customHeight="1">
      <c r="A5353" t="s" s="2">
        <v>9825</v>
      </c>
      <c r="B5353" s="4">
        <v>42167</v>
      </c>
      <c r="C5353" s="5">
        <v>10</v>
      </c>
      <c r="D5353" s="5">
        <v>14</v>
      </c>
      <c r="E5353" s="5">
        <v>18</v>
      </c>
      <c r="F5353" t="s" s="2">
        <v>9209</v>
      </c>
      <c r="G5353" t="s" s="2">
        <v>9210</v>
      </c>
      <c r="H5353" s="5">
        <v>573</v>
      </c>
      <c r="I5353" t="s" s="2">
        <v>1041</v>
      </c>
      <c r="J5353" t="s" s="2">
        <v>9204</v>
      </c>
      <c r="K5353" s="6"/>
      <c r="L5353" s="6"/>
      <c r="M5353" s="5">
        <v>471736.44</v>
      </c>
      <c r="N5353" s="5">
        <v>6167774.92</v>
      </c>
      <c r="O5353" t="s" s="2">
        <v>305</v>
      </c>
      <c r="P5353" s="6"/>
      <c r="Q5353" t="s" s="2">
        <v>9211</v>
      </c>
      <c r="R5353" t="s" s="2">
        <f>_xlfn.IFERROR(INDEX('model_byCAP'!$D$2:$D$377,MATCH(Q5353,'model_byCAP'!$A$2:$A$377,0)),0)</f>
        <v>8430</v>
      </c>
    </row>
    <row r="5354" ht="15.35" customHeight="1">
      <c r="A5354" t="s" s="2">
        <v>9826</v>
      </c>
      <c r="B5354" s="4">
        <v>42333</v>
      </c>
      <c r="C5354" s="5">
        <v>10</v>
      </c>
      <c r="D5354" s="5">
        <v>7.1</v>
      </c>
      <c r="E5354" s="5">
        <v>21.4</v>
      </c>
      <c r="F5354" t="s" s="2">
        <v>42</v>
      </c>
      <c r="G5354" t="s" s="2">
        <v>42</v>
      </c>
      <c r="H5354" s="5">
        <v>573</v>
      </c>
      <c r="I5354" t="s" s="2">
        <v>1041</v>
      </c>
      <c r="J5354" t="s" s="2">
        <v>9204</v>
      </c>
      <c r="K5354" s="6"/>
      <c r="L5354" s="6"/>
      <c r="M5354" s="6"/>
      <c r="N5354" s="6"/>
      <c r="O5354" t="s" s="2">
        <v>25</v>
      </c>
      <c r="P5354" s="6"/>
      <c r="Q5354" t="s" s="2">
        <v>43</v>
      </c>
      <c r="R5354" s="5">
        <f>_xlfn.IFERROR(INDEX('model_byCAP'!$D$2:$D$377,MATCH(Q5354,'model_byCAP'!$A$2:$A$377,0)),0)</f>
        <v>0</v>
      </c>
    </row>
    <row r="5355" ht="15.35" customHeight="1">
      <c r="A5355" t="s" s="2">
        <v>9827</v>
      </c>
      <c r="B5355" s="4">
        <v>42051</v>
      </c>
      <c r="C5355" s="5">
        <v>10</v>
      </c>
      <c r="D5355" s="5">
        <v>7.1</v>
      </c>
      <c r="E5355" s="5">
        <v>21</v>
      </c>
      <c r="F5355" t="s" s="2">
        <v>42</v>
      </c>
      <c r="G5355" t="s" s="2">
        <v>42</v>
      </c>
      <c r="H5355" s="5">
        <v>573</v>
      </c>
      <c r="I5355" t="s" s="2">
        <v>1041</v>
      </c>
      <c r="J5355" t="s" s="2">
        <v>9204</v>
      </c>
      <c r="K5355" s="6"/>
      <c r="L5355" s="6"/>
      <c r="M5355" s="5">
        <v>463737.48</v>
      </c>
      <c r="N5355" s="5">
        <v>6181227.55</v>
      </c>
      <c r="O5355" t="s" s="2">
        <v>305</v>
      </c>
      <c r="P5355" s="6"/>
      <c r="Q5355" t="s" s="2">
        <v>43</v>
      </c>
      <c r="R5355" s="5">
        <f>_xlfn.IFERROR(INDEX('model_byCAP'!$D$2:$D$377,MATCH(Q5355,'model_byCAP'!$A$2:$A$377,0)),0)</f>
        <v>0</v>
      </c>
    </row>
    <row r="5356" ht="15.35" customHeight="1">
      <c r="A5356" t="s" s="2">
        <v>9828</v>
      </c>
      <c r="B5356" s="4">
        <v>42366</v>
      </c>
      <c r="C5356" s="5">
        <v>10</v>
      </c>
      <c r="D5356" s="5">
        <v>13</v>
      </c>
      <c r="E5356" s="5">
        <v>18</v>
      </c>
      <c r="F5356" t="s" s="2">
        <v>9471</v>
      </c>
      <c r="G5356" t="s" s="2">
        <v>9606</v>
      </c>
      <c r="H5356" s="5">
        <v>573</v>
      </c>
      <c r="I5356" t="s" s="2">
        <v>1041</v>
      </c>
      <c r="J5356" t="s" s="2">
        <v>9204</v>
      </c>
      <c r="K5356" s="6"/>
      <c r="L5356" s="6"/>
      <c r="M5356" s="5">
        <v>459944.25</v>
      </c>
      <c r="N5356" s="5">
        <v>6176825.11</v>
      </c>
      <c r="O5356" t="s" s="2">
        <v>305</v>
      </c>
      <c r="P5356" s="6"/>
      <c r="Q5356" t="s" s="2">
        <v>9607</v>
      </c>
      <c r="R5356" s="5">
        <f>_xlfn.IFERROR(INDEX('model_byCAP'!$D$2:$D$377,MATCH(Q5356,'model_byCAP'!$A$2:$A$377,0)),0)</f>
        <v>0</v>
      </c>
    </row>
    <row r="5357" ht="15.35" customHeight="1">
      <c r="A5357" t="s" s="2">
        <v>9829</v>
      </c>
      <c r="B5357" s="4">
        <v>42738</v>
      </c>
      <c r="C5357" s="5">
        <v>10</v>
      </c>
      <c r="D5357" s="5">
        <v>14</v>
      </c>
      <c r="E5357" s="5">
        <v>18</v>
      </c>
      <c r="F5357" t="s" s="2">
        <v>9209</v>
      </c>
      <c r="G5357" t="s" s="2">
        <v>9293</v>
      </c>
      <c r="H5357" s="5">
        <v>573</v>
      </c>
      <c r="I5357" t="s" s="2">
        <v>1041</v>
      </c>
      <c r="J5357" t="s" s="2">
        <v>9204</v>
      </c>
      <c r="K5357" s="6"/>
      <c r="L5357" s="6"/>
      <c r="M5357" s="6"/>
      <c r="N5357" s="6"/>
      <c r="O5357" t="s" s="2">
        <v>25</v>
      </c>
      <c r="P5357" s="6"/>
      <c r="Q5357" t="s" s="2">
        <v>9295</v>
      </c>
      <c r="R5357" t="s" s="2">
        <f>_xlfn.IFERROR(INDEX('model_byCAP'!$D$2:$D$377,MATCH(Q5357,'model_byCAP'!$A$2:$A$377,0)),0)</f>
        <v>8430</v>
      </c>
    </row>
    <row r="5358" ht="15.35" customHeight="1">
      <c r="A5358" t="s" s="2">
        <v>9830</v>
      </c>
      <c r="B5358" s="4">
        <v>42976</v>
      </c>
      <c r="C5358" s="5">
        <v>10</v>
      </c>
      <c r="D5358" s="5">
        <v>13</v>
      </c>
      <c r="E5358" s="5">
        <v>18.3</v>
      </c>
      <c r="F5358" t="s" s="2">
        <v>9471</v>
      </c>
      <c r="G5358" t="s" s="2">
        <v>9606</v>
      </c>
      <c r="H5358" s="5">
        <v>573</v>
      </c>
      <c r="I5358" t="s" s="2">
        <v>1041</v>
      </c>
      <c r="J5358" t="s" s="2">
        <v>9204</v>
      </c>
      <c r="K5358" s="6"/>
      <c r="L5358" s="6"/>
      <c r="M5358" s="6"/>
      <c r="N5358" s="6"/>
      <c r="O5358" t="s" s="2">
        <v>25</v>
      </c>
      <c r="P5358" s="6"/>
      <c r="Q5358" t="s" s="2">
        <v>9607</v>
      </c>
      <c r="R5358" s="5">
        <f>_xlfn.IFERROR(INDEX('model_byCAP'!$D$2:$D$377,MATCH(Q5358,'model_byCAP'!$A$2:$A$377,0)),0)</f>
        <v>0</v>
      </c>
    </row>
    <row r="5359" ht="15.35" customHeight="1">
      <c r="A5359" t="s" s="2">
        <v>9831</v>
      </c>
      <c r="B5359" s="4">
        <v>43028</v>
      </c>
      <c r="C5359" s="5">
        <v>10</v>
      </c>
      <c r="D5359" s="5">
        <v>13</v>
      </c>
      <c r="E5359" s="5">
        <v>18.2</v>
      </c>
      <c r="F5359" t="s" s="2">
        <v>9471</v>
      </c>
      <c r="G5359" t="s" s="2">
        <v>9606</v>
      </c>
      <c r="H5359" s="5">
        <v>573</v>
      </c>
      <c r="I5359" t="s" s="2">
        <v>1041</v>
      </c>
      <c r="J5359" t="s" s="2">
        <v>9204</v>
      </c>
      <c r="K5359" s="6"/>
      <c r="L5359" s="6"/>
      <c r="M5359" s="6"/>
      <c r="N5359" s="6"/>
      <c r="O5359" t="s" s="2">
        <v>25</v>
      </c>
      <c r="P5359" s="6"/>
      <c r="Q5359" t="s" s="2">
        <v>9607</v>
      </c>
      <c r="R5359" s="5">
        <f>_xlfn.IFERROR(INDEX('model_byCAP'!$D$2:$D$377,MATCH(Q5359,'model_byCAP'!$A$2:$A$377,0)),0)</f>
        <v>0</v>
      </c>
    </row>
    <row r="5360" ht="15.35" customHeight="1">
      <c r="A5360" t="s" s="2">
        <v>9832</v>
      </c>
      <c r="B5360" s="4">
        <v>43028</v>
      </c>
      <c r="C5360" s="5">
        <v>10</v>
      </c>
      <c r="D5360" s="5">
        <v>7.1</v>
      </c>
      <c r="E5360" s="5">
        <v>21</v>
      </c>
      <c r="F5360" t="s" s="2">
        <v>42</v>
      </c>
      <c r="G5360" t="s" s="2">
        <v>42</v>
      </c>
      <c r="H5360" s="5">
        <v>573</v>
      </c>
      <c r="I5360" t="s" s="2">
        <v>1041</v>
      </c>
      <c r="J5360" t="s" s="2">
        <v>9204</v>
      </c>
      <c r="K5360" s="6"/>
      <c r="L5360" s="6"/>
      <c r="M5360" s="6"/>
      <c r="N5360" s="6"/>
      <c r="O5360" t="s" s="2">
        <v>25</v>
      </c>
      <c r="P5360" s="6"/>
      <c r="Q5360" t="s" s="2">
        <v>43</v>
      </c>
      <c r="R5360" s="5">
        <f>_xlfn.IFERROR(INDEX('model_byCAP'!$D$2:$D$377,MATCH(Q5360,'model_byCAP'!$A$2:$A$377,0)),0)</f>
        <v>0</v>
      </c>
    </row>
    <row r="5361" ht="15.35" customHeight="1">
      <c r="A5361" t="s" s="2">
        <v>9833</v>
      </c>
      <c r="B5361" s="4">
        <v>43035</v>
      </c>
      <c r="C5361" s="5">
        <v>10</v>
      </c>
      <c r="D5361" s="5">
        <v>14</v>
      </c>
      <c r="E5361" s="5">
        <v>18</v>
      </c>
      <c r="F5361" t="s" s="2">
        <v>9209</v>
      </c>
      <c r="G5361" t="s" s="2">
        <v>9293</v>
      </c>
      <c r="H5361" s="5">
        <v>573</v>
      </c>
      <c r="I5361" t="s" s="2">
        <v>1041</v>
      </c>
      <c r="J5361" t="s" s="2">
        <v>9204</v>
      </c>
      <c r="K5361" s="6"/>
      <c r="L5361" s="6"/>
      <c r="M5361" s="6"/>
      <c r="N5361" s="6"/>
      <c r="O5361" t="s" s="2">
        <v>25</v>
      </c>
      <c r="P5361" s="6"/>
      <c r="Q5361" t="s" s="2">
        <v>9295</v>
      </c>
      <c r="R5361" t="s" s="2">
        <f>_xlfn.IFERROR(INDEX('model_byCAP'!$D$2:$D$377,MATCH(Q5361,'model_byCAP'!$A$2:$A$377,0)),0)</f>
        <v>8430</v>
      </c>
    </row>
    <row r="5362" ht="15.35" customHeight="1">
      <c r="A5362" t="s" s="2">
        <v>9834</v>
      </c>
      <c r="B5362" s="4">
        <v>42493</v>
      </c>
      <c r="C5362" s="5">
        <v>10</v>
      </c>
      <c r="D5362" s="5">
        <v>7.1</v>
      </c>
      <c r="E5362" s="5">
        <v>21</v>
      </c>
      <c r="F5362" t="s" s="2">
        <v>42</v>
      </c>
      <c r="G5362" t="s" s="2">
        <v>42</v>
      </c>
      <c r="H5362" s="5">
        <v>575</v>
      </c>
      <c r="I5362" t="s" s="2">
        <v>2952</v>
      </c>
      <c r="J5362" t="s" s="2">
        <v>9204</v>
      </c>
      <c r="K5362" s="6"/>
      <c r="L5362" s="6"/>
      <c r="M5362" s="5">
        <v>501513.92</v>
      </c>
      <c r="N5362" s="5">
        <v>6153400.94</v>
      </c>
      <c r="O5362" t="s" s="2">
        <v>305</v>
      </c>
      <c r="P5362" s="6"/>
      <c r="Q5362" t="s" s="2">
        <v>43</v>
      </c>
      <c r="R5362" s="5">
        <f>_xlfn.IFERROR(INDEX('model_byCAP'!$D$2:$D$377,MATCH(Q5362,'model_byCAP'!$A$2:$A$377,0)),0)</f>
        <v>0</v>
      </c>
    </row>
    <row r="5363" ht="15.35" customHeight="1">
      <c r="A5363" t="s" s="2">
        <v>9835</v>
      </c>
      <c r="B5363" s="4">
        <v>41891</v>
      </c>
      <c r="C5363" s="5">
        <v>10</v>
      </c>
      <c r="D5363" s="5">
        <v>7.1</v>
      </c>
      <c r="E5363" s="5">
        <v>12</v>
      </c>
      <c r="F5363" t="s" s="2">
        <v>42</v>
      </c>
      <c r="G5363" t="s" s="2">
        <v>42</v>
      </c>
      <c r="H5363" s="5">
        <v>575</v>
      </c>
      <c r="I5363" t="s" s="2">
        <v>2952</v>
      </c>
      <c r="J5363" t="s" s="2">
        <v>9204</v>
      </c>
      <c r="K5363" s="6"/>
      <c r="L5363" s="6"/>
      <c r="M5363" s="5">
        <v>501944.64</v>
      </c>
      <c r="N5363" s="5">
        <v>6152559.04</v>
      </c>
      <c r="O5363" t="s" s="2">
        <v>305</v>
      </c>
      <c r="P5363" s="6"/>
      <c r="Q5363" t="s" s="2">
        <v>43</v>
      </c>
      <c r="R5363" s="5">
        <f>_xlfn.IFERROR(INDEX('model_byCAP'!$D$2:$D$377,MATCH(Q5363,'model_byCAP'!$A$2:$A$377,0)),0)</f>
        <v>0</v>
      </c>
    </row>
    <row r="5364" ht="15.35" customHeight="1">
      <c r="A5364" t="s" s="2">
        <v>9836</v>
      </c>
      <c r="B5364" s="4">
        <v>42083</v>
      </c>
      <c r="C5364" s="5">
        <v>10</v>
      </c>
      <c r="D5364" s="5">
        <v>7.1</v>
      </c>
      <c r="E5364" s="5">
        <v>21.4</v>
      </c>
      <c r="F5364" t="s" s="2">
        <v>42</v>
      </c>
      <c r="G5364" t="s" s="2">
        <v>42</v>
      </c>
      <c r="H5364" s="5">
        <v>575</v>
      </c>
      <c r="I5364" t="s" s="2">
        <v>2952</v>
      </c>
      <c r="J5364" t="s" s="2">
        <v>9204</v>
      </c>
      <c r="K5364" s="6"/>
      <c r="L5364" s="6"/>
      <c r="M5364" s="5">
        <v>497215.9</v>
      </c>
      <c r="N5364" s="5">
        <v>6146116.49</v>
      </c>
      <c r="O5364" t="s" s="2">
        <v>305</v>
      </c>
      <c r="P5364" s="6"/>
      <c r="Q5364" t="s" s="2">
        <v>43</v>
      </c>
      <c r="R5364" s="5">
        <f>_xlfn.IFERROR(INDEX('model_byCAP'!$D$2:$D$377,MATCH(Q5364,'model_byCAP'!$A$2:$A$377,0)),0)</f>
        <v>0</v>
      </c>
    </row>
    <row r="5365" ht="15.35" customHeight="1">
      <c r="A5365" t="s" s="2">
        <v>9837</v>
      </c>
      <c r="B5365" s="4">
        <v>42711</v>
      </c>
      <c r="C5365" s="5">
        <v>10</v>
      </c>
      <c r="D5365" s="5">
        <v>14</v>
      </c>
      <c r="E5365" s="5">
        <v>18</v>
      </c>
      <c r="F5365" t="s" s="2">
        <v>9209</v>
      </c>
      <c r="G5365" t="s" s="2">
        <v>9293</v>
      </c>
      <c r="H5365" s="5">
        <v>575</v>
      </c>
      <c r="I5365" t="s" s="2">
        <v>2952</v>
      </c>
      <c r="J5365" t="s" s="2">
        <v>9204</v>
      </c>
      <c r="K5365" s="6"/>
      <c r="L5365" s="6"/>
      <c r="M5365" s="6"/>
      <c r="N5365" s="6"/>
      <c r="O5365" t="s" s="2">
        <v>25</v>
      </c>
      <c r="P5365" s="6"/>
      <c r="Q5365" t="s" s="2">
        <v>9295</v>
      </c>
      <c r="R5365" t="s" s="2">
        <f>_xlfn.IFERROR(INDEX('model_byCAP'!$D$2:$D$377,MATCH(Q5365,'model_byCAP'!$A$2:$A$377,0)),0)</f>
        <v>8430</v>
      </c>
    </row>
    <row r="5366" ht="15.35" customHeight="1">
      <c r="A5366" t="s" s="2">
        <v>9838</v>
      </c>
      <c r="B5366" s="4">
        <v>42513</v>
      </c>
      <c r="C5366" s="5">
        <v>10</v>
      </c>
      <c r="D5366" s="5">
        <v>13</v>
      </c>
      <c r="E5366" s="5">
        <v>18.2</v>
      </c>
      <c r="F5366" t="s" s="2">
        <v>9471</v>
      </c>
      <c r="G5366" t="s" s="2">
        <v>9606</v>
      </c>
      <c r="H5366" s="5">
        <v>580</v>
      </c>
      <c r="I5366" t="s" s="2">
        <v>1542</v>
      </c>
      <c r="J5366" t="s" s="2">
        <v>9204</v>
      </c>
      <c r="K5366" s="6"/>
      <c r="L5366" s="6"/>
      <c r="M5366" s="5">
        <v>538637.29</v>
      </c>
      <c r="N5366" s="5">
        <v>6097282.76</v>
      </c>
      <c r="O5366" t="s" s="2">
        <v>305</v>
      </c>
      <c r="P5366" s="6"/>
      <c r="Q5366" t="s" s="2">
        <v>9607</v>
      </c>
      <c r="R5366" s="5">
        <f>_xlfn.IFERROR(INDEX('model_byCAP'!$D$2:$D$377,MATCH(Q5366,'model_byCAP'!$A$2:$A$377,0)),0)</f>
        <v>0</v>
      </c>
    </row>
    <row r="5367" ht="15.35" customHeight="1">
      <c r="A5367" t="s" s="2">
        <v>9839</v>
      </c>
      <c r="B5367" s="4">
        <v>42712</v>
      </c>
      <c r="C5367" s="5">
        <v>10</v>
      </c>
      <c r="D5367" s="5">
        <v>14</v>
      </c>
      <c r="E5367" s="5">
        <v>18</v>
      </c>
      <c r="F5367" t="s" s="2">
        <v>9209</v>
      </c>
      <c r="G5367" t="s" s="2">
        <v>9293</v>
      </c>
      <c r="H5367" s="5">
        <v>580</v>
      </c>
      <c r="I5367" t="s" s="2">
        <v>1542</v>
      </c>
      <c r="J5367" t="s" s="2">
        <v>9204</v>
      </c>
      <c r="K5367" s="6"/>
      <c r="L5367" s="6"/>
      <c r="M5367" s="6"/>
      <c r="N5367" s="6"/>
      <c r="O5367" t="s" s="2">
        <v>25</v>
      </c>
      <c r="P5367" s="6"/>
      <c r="Q5367" t="s" s="2">
        <v>9295</v>
      </c>
      <c r="R5367" t="s" s="2">
        <f>_xlfn.IFERROR(INDEX('model_byCAP'!$D$2:$D$377,MATCH(Q5367,'model_byCAP'!$A$2:$A$377,0)),0)</f>
        <v>8430</v>
      </c>
    </row>
    <row r="5368" ht="15.35" customHeight="1">
      <c r="A5368" t="s" s="2">
        <v>9840</v>
      </c>
      <c r="B5368" s="4">
        <v>42677</v>
      </c>
      <c r="C5368" s="5">
        <v>10</v>
      </c>
      <c r="D5368" s="5">
        <v>13</v>
      </c>
      <c r="E5368" s="5">
        <v>18</v>
      </c>
      <c r="F5368" t="s" s="2">
        <v>9471</v>
      </c>
      <c r="G5368" t="s" s="2">
        <v>9606</v>
      </c>
      <c r="H5368" s="5">
        <v>580</v>
      </c>
      <c r="I5368" t="s" s="2">
        <v>1542</v>
      </c>
      <c r="J5368" t="s" s="2">
        <v>9204</v>
      </c>
      <c r="K5368" s="6"/>
      <c r="L5368" s="6"/>
      <c r="M5368" s="6"/>
      <c r="N5368" s="6"/>
      <c r="O5368" t="s" s="2">
        <v>25</v>
      </c>
      <c r="P5368" s="6"/>
      <c r="Q5368" t="s" s="2">
        <v>9607</v>
      </c>
      <c r="R5368" s="5">
        <f>_xlfn.IFERROR(INDEX('model_byCAP'!$D$2:$D$377,MATCH(Q5368,'model_byCAP'!$A$2:$A$377,0)),0)</f>
        <v>0</v>
      </c>
    </row>
    <row r="5369" ht="15.35" customHeight="1">
      <c r="A5369" t="s" s="2">
        <v>9841</v>
      </c>
      <c r="B5369" s="4">
        <v>42677</v>
      </c>
      <c r="C5369" s="5">
        <v>10</v>
      </c>
      <c r="D5369" s="5">
        <v>13</v>
      </c>
      <c r="E5369" s="5">
        <v>18</v>
      </c>
      <c r="F5369" t="s" s="2">
        <v>9471</v>
      </c>
      <c r="G5369" t="s" s="2">
        <v>9606</v>
      </c>
      <c r="H5369" s="5">
        <v>580</v>
      </c>
      <c r="I5369" t="s" s="2">
        <v>1542</v>
      </c>
      <c r="J5369" t="s" s="2">
        <v>9204</v>
      </c>
      <c r="K5369" s="6"/>
      <c r="L5369" s="6"/>
      <c r="M5369" s="6"/>
      <c r="N5369" s="6"/>
      <c r="O5369" t="s" s="2">
        <v>25</v>
      </c>
      <c r="P5369" s="6"/>
      <c r="Q5369" t="s" s="2">
        <v>9607</v>
      </c>
      <c r="R5369" s="5">
        <f>_xlfn.IFERROR(INDEX('model_byCAP'!$D$2:$D$377,MATCH(Q5369,'model_byCAP'!$A$2:$A$377,0)),0)</f>
        <v>0</v>
      </c>
    </row>
    <row r="5370" ht="15.35" customHeight="1">
      <c r="A5370" t="s" s="2">
        <v>9842</v>
      </c>
      <c r="B5370" s="4">
        <v>42688</v>
      </c>
      <c r="C5370" s="5">
        <v>10</v>
      </c>
      <c r="D5370" s="5">
        <v>13</v>
      </c>
      <c r="E5370" s="5">
        <v>18.2</v>
      </c>
      <c r="F5370" t="s" s="2">
        <v>9471</v>
      </c>
      <c r="G5370" t="s" s="2">
        <v>9606</v>
      </c>
      <c r="H5370" s="5">
        <v>580</v>
      </c>
      <c r="I5370" t="s" s="2">
        <v>1542</v>
      </c>
      <c r="J5370" t="s" s="2">
        <v>9204</v>
      </c>
      <c r="K5370" s="6"/>
      <c r="L5370" s="6"/>
      <c r="M5370" s="6"/>
      <c r="N5370" s="6"/>
      <c r="O5370" t="s" s="2">
        <v>25</v>
      </c>
      <c r="P5370" s="6"/>
      <c r="Q5370" t="s" s="2">
        <v>9607</v>
      </c>
      <c r="R5370" s="5">
        <f>_xlfn.IFERROR(INDEX('model_byCAP'!$D$2:$D$377,MATCH(Q5370,'model_byCAP'!$A$2:$A$377,0)),0)</f>
        <v>0</v>
      </c>
    </row>
    <row r="5371" ht="15.35" customHeight="1">
      <c r="A5371" t="s" s="2">
        <v>9843</v>
      </c>
      <c r="B5371" s="4">
        <v>42688</v>
      </c>
      <c r="C5371" s="5">
        <v>10</v>
      </c>
      <c r="D5371" s="5">
        <v>13</v>
      </c>
      <c r="E5371" s="5">
        <v>18.2</v>
      </c>
      <c r="F5371" t="s" s="2">
        <v>9471</v>
      </c>
      <c r="G5371" t="s" s="2">
        <v>9606</v>
      </c>
      <c r="H5371" s="5">
        <v>580</v>
      </c>
      <c r="I5371" t="s" s="2">
        <v>1542</v>
      </c>
      <c r="J5371" t="s" s="2">
        <v>9204</v>
      </c>
      <c r="K5371" s="6"/>
      <c r="L5371" s="6"/>
      <c r="M5371" s="6"/>
      <c r="N5371" s="6"/>
      <c r="O5371" t="s" s="2">
        <v>25</v>
      </c>
      <c r="P5371" s="6"/>
      <c r="Q5371" t="s" s="2">
        <v>9607</v>
      </c>
      <c r="R5371" s="5">
        <f>_xlfn.IFERROR(INDEX('model_byCAP'!$D$2:$D$377,MATCH(Q5371,'model_byCAP'!$A$2:$A$377,0)),0)</f>
        <v>0</v>
      </c>
    </row>
    <row r="5372" ht="15.35" customHeight="1">
      <c r="A5372" t="s" s="2">
        <v>9844</v>
      </c>
      <c r="B5372" s="4">
        <v>42719</v>
      </c>
      <c r="C5372" s="5">
        <v>10</v>
      </c>
      <c r="D5372" s="5">
        <v>13</v>
      </c>
      <c r="E5372" s="5">
        <v>18.2</v>
      </c>
      <c r="F5372" t="s" s="2">
        <v>9471</v>
      </c>
      <c r="G5372" t="s" s="2">
        <v>9606</v>
      </c>
      <c r="H5372" s="5">
        <v>580</v>
      </c>
      <c r="I5372" t="s" s="2">
        <v>1542</v>
      </c>
      <c r="J5372" t="s" s="2">
        <v>9204</v>
      </c>
      <c r="K5372" s="6"/>
      <c r="L5372" s="6"/>
      <c r="M5372" s="6"/>
      <c r="N5372" s="6"/>
      <c r="O5372" t="s" s="2">
        <v>25</v>
      </c>
      <c r="P5372" s="6"/>
      <c r="Q5372" t="s" s="2">
        <v>9607</v>
      </c>
      <c r="R5372" s="5">
        <f>_xlfn.IFERROR(INDEX('model_byCAP'!$D$2:$D$377,MATCH(Q5372,'model_byCAP'!$A$2:$A$377,0)),0)</f>
        <v>0</v>
      </c>
    </row>
    <row r="5373" ht="15.35" customHeight="1">
      <c r="A5373" t="s" s="2">
        <v>9845</v>
      </c>
      <c r="B5373" s="4">
        <v>42719</v>
      </c>
      <c r="C5373" s="5">
        <v>10</v>
      </c>
      <c r="D5373" s="5">
        <v>13</v>
      </c>
      <c r="E5373" s="5">
        <v>18.2</v>
      </c>
      <c r="F5373" t="s" s="2">
        <v>9471</v>
      </c>
      <c r="G5373" t="s" s="2">
        <v>9606</v>
      </c>
      <c r="H5373" s="5">
        <v>580</v>
      </c>
      <c r="I5373" t="s" s="2">
        <v>1542</v>
      </c>
      <c r="J5373" t="s" s="2">
        <v>9204</v>
      </c>
      <c r="K5373" s="6"/>
      <c r="L5373" s="6"/>
      <c r="M5373" s="6"/>
      <c r="N5373" s="6"/>
      <c r="O5373" t="s" s="2">
        <v>25</v>
      </c>
      <c r="P5373" s="6"/>
      <c r="Q5373" t="s" s="2">
        <v>9607</v>
      </c>
      <c r="R5373" s="5">
        <f>_xlfn.IFERROR(INDEX('model_byCAP'!$D$2:$D$377,MATCH(Q5373,'model_byCAP'!$A$2:$A$377,0)),0)</f>
        <v>0</v>
      </c>
    </row>
    <row r="5374" ht="15.35" customHeight="1">
      <c r="A5374" t="s" s="2">
        <v>9846</v>
      </c>
      <c r="B5374" s="4">
        <v>42976</v>
      </c>
      <c r="C5374" s="5">
        <v>10</v>
      </c>
      <c r="D5374" s="5">
        <v>14</v>
      </c>
      <c r="E5374" s="5">
        <v>18</v>
      </c>
      <c r="F5374" t="s" s="2">
        <v>9209</v>
      </c>
      <c r="G5374" t="s" s="2">
        <v>9293</v>
      </c>
      <c r="H5374" s="5">
        <v>580</v>
      </c>
      <c r="I5374" t="s" s="2">
        <v>1542</v>
      </c>
      <c r="J5374" t="s" s="2">
        <v>9204</v>
      </c>
      <c r="K5374" s="6"/>
      <c r="L5374" s="6"/>
      <c r="M5374" s="6"/>
      <c r="N5374" s="6"/>
      <c r="O5374" t="s" s="2">
        <v>25</v>
      </c>
      <c r="P5374" s="6"/>
      <c r="Q5374" t="s" s="2">
        <v>9295</v>
      </c>
      <c r="R5374" t="s" s="2">
        <f>_xlfn.IFERROR(INDEX('model_byCAP'!$D$2:$D$377,MATCH(Q5374,'model_byCAP'!$A$2:$A$377,0)),0)</f>
        <v>8430</v>
      </c>
    </row>
    <row r="5375" ht="15.35" customHeight="1">
      <c r="A5375" t="s" s="2">
        <v>9847</v>
      </c>
      <c r="B5375" s="4">
        <v>42747</v>
      </c>
      <c r="C5375" s="5">
        <v>10</v>
      </c>
      <c r="D5375" s="5">
        <v>14</v>
      </c>
      <c r="E5375" s="5">
        <v>18</v>
      </c>
      <c r="F5375" t="s" s="2">
        <v>9209</v>
      </c>
      <c r="G5375" t="s" s="2">
        <v>9293</v>
      </c>
      <c r="H5375" s="5">
        <v>580</v>
      </c>
      <c r="I5375" t="s" s="2">
        <v>1542</v>
      </c>
      <c r="J5375" t="s" s="2">
        <v>9204</v>
      </c>
      <c r="K5375" s="6"/>
      <c r="L5375" s="6"/>
      <c r="M5375" s="6"/>
      <c r="N5375" s="6"/>
      <c r="O5375" t="s" s="2">
        <v>25</v>
      </c>
      <c r="P5375" s="6"/>
      <c r="Q5375" t="s" s="2">
        <v>9295</v>
      </c>
      <c r="R5375" t="s" s="2">
        <f>_xlfn.IFERROR(INDEX('model_byCAP'!$D$2:$D$377,MATCH(Q5375,'model_byCAP'!$A$2:$A$377,0)),0)</f>
        <v>8430</v>
      </c>
    </row>
    <row r="5376" ht="15.35" customHeight="1">
      <c r="A5376" t="s" s="2">
        <v>9848</v>
      </c>
      <c r="B5376" s="4">
        <v>42774</v>
      </c>
      <c r="C5376" s="5">
        <v>10</v>
      </c>
      <c r="D5376" s="5">
        <v>14</v>
      </c>
      <c r="E5376" s="5">
        <v>18</v>
      </c>
      <c r="F5376" t="s" s="2">
        <v>9209</v>
      </c>
      <c r="G5376" t="s" s="2">
        <v>9293</v>
      </c>
      <c r="H5376" s="5">
        <v>580</v>
      </c>
      <c r="I5376" t="s" s="2">
        <v>1542</v>
      </c>
      <c r="J5376" t="s" s="2">
        <v>9204</v>
      </c>
      <c r="K5376" s="6"/>
      <c r="L5376" s="6"/>
      <c r="M5376" s="6"/>
      <c r="N5376" s="6"/>
      <c r="O5376" t="s" s="2">
        <v>25</v>
      </c>
      <c r="P5376" s="6"/>
      <c r="Q5376" t="s" s="2">
        <v>9295</v>
      </c>
      <c r="R5376" t="s" s="2">
        <f>_xlfn.IFERROR(INDEX('model_byCAP'!$D$2:$D$377,MATCH(Q5376,'model_byCAP'!$A$2:$A$377,0)),0)</f>
        <v>8430</v>
      </c>
    </row>
    <row r="5377" ht="15.35" customHeight="1">
      <c r="A5377" t="s" s="2">
        <v>9849</v>
      </c>
      <c r="B5377" s="4">
        <v>42774</v>
      </c>
      <c r="C5377" s="5">
        <v>10</v>
      </c>
      <c r="D5377" s="5">
        <v>14</v>
      </c>
      <c r="E5377" s="5">
        <v>18</v>
      </c>
      <c r="F5377" t="s" s="2">
        <v>9209</v>
      </c>
      <c r="G5377" t="s" s="2">
        <v>9293</v>
      </c>
      <c r="H5377" s="5">
        <v>580</v>
      </c>
      <c r="I5377" t="s" s="2">
        <v>1542</v>
      </c>
      <c r="J5377" t="s" s="2">
        <v>9204</v>
      </c>
      <c r="K5377" s="6"/>
      <c r="L5377" s="6"/>
      <c r="M5377" s="6"/>
      <c r="N5377" s="6"/>
      <c r="O5377" t="s" s="2">
        <v>25</v>
      </c>
      <c r="P5377" s="6"/>
      <c r="Q5377" t="s" s="2">
        <v>9295</v>
      </c>
      <c r="R5377" t="s" s="2">
        <f>_xlfn.IFERROR(INDEX('model_byCAP'!$D$2:$D$377,MATCH(Q5377,'model_byCAP'!$A$2:$A$377,0)),0)</f>
        <v>8430</v>
      </c>
    </row>
    <row r="5378" ht="15.35" customHeight="1">
      <c r="A5378" t="s" s="2">
        <v>9850</v>
      </c>
      <c r="B5378" s="4">
        <v>42989</v>
      </c>
      <c r="C5378" s="5">
        <v>10</v>
      </c>
      <c r="D5378" s="5">
        <v>13</v>
      </c>
      <c r="E5378" s="5">
        <v>18.2</v>
      </c>
      <c r="F5378" t="s" s="2">
        <v>9471</v>
      </c>
      <c r="G5378" t="s" s="2">
        <v>9606</v>
      </c>
      <c r="H5378" s="5">
        <v>580</v>
      </c>
      <c r="I5378" t="s" s="2">
        <v>1542</v>
      </c>
      <c r="J5378" t="s" s="2">
        <v>9204</v>
      </c>
      <c r="K5378" s="6"/>
      <c r="L5378" s="6"/>
      <c r="M5378" s="6"/>
      <c r="N5378" s="6"/>
      <c r="O5378" t="s" s="2">
        <v>25</v>
      </c>
      <c r="P5378" s="6"/>
      <c r="Q5378" t="s" s="2">
        <v>9607</v>
      </c>
      <c r="R5378" s="5">
        <f>_xlfn.IFERROR(INDEX('model_byCAP'!$D$2:$D$377,MATCH(Q5378,'model_byCAP'!$A$2:$A$377,0)),0)</f>
        <v>0</v>
      </c>
    </row>
    <row r="5379" ht="15.35" customHeight="1">
      <c r="A5379" t="s" s="2">
        <v>9851</v>
      </c>
      <c r="B5379" s="4">
        <v>43025</v>
      </c>
      <c r="C5379" s="5">
        <v>10</v>
      </c>
      <c r="D5379" s="5">
        <v>13</v>
      </c>
      <c r="E5379" s="5">
        <v>18.3</v>
      </c>
      <c r="F5379" t="s" s="2">
        <v>9471</v>
      </c>
      <c r="G5379" t="s" s="2">
        <v>9606</v>
      </c>
      <c r="H5379" s="5">
        <v>580</v>
      </c>
      <c r="I5379" t="s" s="2">
        <v>1542</v>
      </c>
      <c r="J5379" t="s" s="2">
        <v>9204</v>
      </c>
      <c r="K5379" s="6"/>
      <c r="L5379" s="6"/>
      <c r="M5379" s="6"/>
      <c r="N5379" s="6"/>
      <c r="O5379" t="s" s="2">
        <v>25</v>
      </c>
      <c r="P5379" s="6"/>
      <c r="Q5379" t="s" s="2">
        <v>9607</v>
      </c>
      <c r="R5379" s="5">
        <f>_xlfn.IFERROR(INDEX('model_byCAP'!$D$2:$D$377,MATCH(Q5379,'model_byCAP'!$A$2:$A$377,0)),0)</f>
        <v>0</v>
      </c>
    </row>
    <row r="5380" ht="15.35" customHeight="1">
      <c r="A5380" t="s" s="2">
        <v>9852</v>
      </c>
      <c r="B5380" s="4">
        <v>43025</v>
      </c>
      <c r="C5380" s="5">
        <v>10</v>
      </c>
      <c r="D5380" s="5">
        <v>13</v>
      </c>
      <c r="E5380" s="5">
        <v>18.3</v>
      </c>
      <c r="F5380" t="s" s="2">
        <v>9471</v>
      </c>
      <c r="G5380" t="s" s="2">
        <v>9606</v>
      </c>
      <c r="H5380" s="5">
        <v>580</v>
      </c>
      <c r="I5380" t="s" s="2">
        <v>1542</v>
      </c>
      <c r="J5380" t="s" s="2">
        <v>9204</v>
      </c>
      <c r="K5380" s="6"/>
      <c r="L5380" s="6"/>
      <c r="M5380" s="6"/>
      <c r="N5380" s="6"/>
      <c r="O5380" t="s" s="2">
        <v>25</v>
      </c>
      <c r="P5380" s="6"/>
      <c r="Q5380" t="s" s="2">
        <v>9607</v>
      </c>
      <c r="R5380" s="5">
        <f>_xlfn.IFERROR(INDEX('model_byCAP'!$D$2:$D$377,MATCH(Q5380,'model_byCAP'!$A$2:$A$377,0)),0)</f>
        <v>0</v>
      </c>
    </row>
    <row r="5381" ht="15.35" customHeight="1">
      <c r="A5381" t="s" s="2">
        <v>9853</v>
      </c>
      <c r="B5381" s="4">
        <v>41609</v>
      </c>
      <c r="C5381" s="5">
        <v>10</v>
      </c>
      <c r="D5381" s="5">
        <v>13</v>
      </c>
      <c r="E5381" s="5">
        <v>18.2</v>
      </c>
      <c r="F5381" t="s" s="2">
        <v>9471</v>
      </c>
      <c r="G5381" t="s" s="2">
        <v>9606</v>
      </c>
      <c r="H5381" s="5">
        <v>580</v>
      </c>
      <c r="I5381" t="s" s="2">
        <v>1542</v>
      </c>
      <c r="J5381" t="s" s="2">
        <v>9204</v>
      </c>
      <c r="K5381" s="6"/>
      <c r="L5381" s="6"/>
      <c r="M5381" s="5">
        <v>535203.35</v>
      </c>
      <c r="N5381" s="5">
        <v>6089746.34</v>
      </c>
      <c r="O5381" t="s" s="2">
        <v>305</v>
      </c>
      <c r="P5381" s="6"/>
      <c r="Q5381" t="s" s="2">
        <v>9607</v>
      </c>
      <c r="R5381" s="5">
        <f>_xlfn.IFERROR(INDEX('model_byCAP'!$D$2:$D$377,MATCH(Q5381,'model_byCAP'!$A$2:$A$377,0)),0)</f>
        <v>0</v>
      </c>
    </row>
    <row r="5382" ht="15.35" customHeight="1">
      <c r="A5382" t="s" s="2">
        <v>9854</v>
      </c>
      <c r="B5382" s="4">
        <v>41791</v>
      </c>
      <c r="C5382" s="5">
        <v>10</v>
      </c>
      <c r="D5382" s="5">
        <v>16</v>
      </c>
      <c r="E5382" s="5">
        <v>17</v>
      </c>
      <c r="F5382" t="s" s="2">
        <v>9209</v>
      </c>
      <c r="G5382" t="s" s="2">
        <v>9638</v>
      </c>
      <c r="H5382" s="5">
        <v>580</v>
      </c>
      <c r="I5382" t="s" s="2">
        <v>1542</v>
      </c>
      <c r="J5382" t="s" s="2">
        <v>9204</v>
      </c>
      <c r="K5382" s="6"/>
      <c r="L5382" s="6"/>
      <c r="M5382" s="5">
        <v>533695.92</v>
      </c>
      <c r="N5382" s="5">
        <v>6093348.58</v>
      </c>
      <c r="O5382" t="s" s="2">
        <v>305</v>
      </c>
      <c r="P5382" s="6"/>
      <c r="Q5382" t="s" s="2">
        <v>9639</v>
      </c>
      <c r="R5382" s="5">
        <f>_xlfn.IFERROR(INDEX('model_byCAP'!$D$2:$D$377,MATCH(Q5382,'model_byCAP'!$A$2:$A$377,0)),0)</f>
        <v>0</v>
      </c>
    </row>
    <row r="5383" ht="15.35" customHeight="1">
      <c r="A5383" t="s" s="2">
        <v>9855</v>
      </c>
      <c r="B5383" s="4">
        <v>41992</v>
      </c>
      <c r="C5383" s="5">
        <v>10</v>
      </c>
      <c r="D5383" s="5">
        <v>13</v>
      </c>
      <c r="E5383" s="5">
        <v>18.2</v>
      </c>
      <c r="F5383" t="s" s="2">
        <v>42</v>
      </c>
      <c r="G5383" t="s" s="2">
        <v>42</v>
      </c>
      <c r="H5383" s="5">
        <v>580</v>
      </c>
      <c r="I5383" t="s" s="2">
        <v>1542</v>
      </c>
      <c r="J5383" t="s" s="2">
        <v>9204</v>
      </c>
      <c r="K5383" s="6"/>
      <c r="L5383" s="6"/>
      <c r="M5383" s="5">
        <v>538703.91</v>
      </c>
      <c r="N5383" s="5">
        <v>6097204.82</v>
      </c>
      <c r="O5383" t="s" s="2">
        <v>305</v>
      </c>
      <c r="P5383" s="6"/>
      <c r="Q5383" t="s" s="2">
        <v>43</v>
      </c>
      <c r="R5383" s="5">
        <f>_xlfn.IFERROR(INDEX('model_byCAP'!$D$2:$D$377,MATCH(Q5383,'model_byCAP'!$A$2:$A$377,0)),0)</f>
        <v>0</v>
      </c>
    </row>
    <row r="5384" ht="15.35" customHeight="1">
      <c r="A5384" t="s" s="2">
        <v>9856</v>
      </c>
      <c r="B5384" s="4">
        <v>42661</v>
      </c>
      <c r="C5384" s="5">
        <v>10</v>
      </c>
      <c r="D5384" s="5">
        <v>13</v>
      </c>
      <c r="E5384" s="5">
        <v>18</v>
      </c>
      <c r="F5384" t="s" s="2">
        <v>42</v>
      </c>
      <c r="G5384" t="s" s="2">
        <v>42</v>
      </c>
      <c r="H5384" s="5">
        <v>607</v>
      </c>
      <c r="I5384" t="s" s="2">
        <v>4566</v>
      </c>
      <c r="J5384" t="s" s="2">
        <v>9204</v>
      </c>
      <c r="K5384" s="6"/>
      <c r="L5384" s="6"/>
      <c r="M5384" s="6"/>
      <c r="N5384" s="6"/>
      <c r="O5384" t="s" s="2">
        <v>25</v>
      </c>
      <c r="P5384" s="6"/>
      <c r="Q5384" t="s" s="2">
        <v>43</v>
      </c>
      <c r="R5384" s="5">
        <f>_xlfn.IFERROR(INDEX('model_byCAP'!$D$2:$D$377,MATCH(Q5384,'model_byCAP'!$A$2:$A$377,0)),0)</f>
        <v>0</v>
      </c>
    </row>
    <row r="5385" ht="15.35" customHeight="1">
      <c r="A5385" t="s" s="2">
        <v>9857</v>
      </c>
      <c r="B5385" s="4">
        <v>42339</v>
      </c>
      <c r="C5385" s="5">
        <v>10</v>
      </c>
      <c r="D5385" s="5">
        <v>13</v>
      </c>
      <c r="E5385" s="5">
        <v>18.2</v>
      </c>
      <c r="F5385" t="s" s="2">
        <v>9471</v>
      </c>
      <c r="G5385" t="s" s="2">
        <v>9606</v>
      </c>
      <c r="H5385" s="5">
        <v>615</v>
      </c>
      <c r="I5385" t="s" s="2">
        <v>3590</v>
      </c>
      <c r="J5385" t="s" s="2">
        <v>9204</v>
      </c>
      <c r="K5385" s="6"/>
      <c r="L5385" s="6"/>
      <c r="M5385" s="5">
        <v>534177.39</v>
      </c>
      <c r="N5385" s="5">
        <v>6202624.73</v>
      </c>
      <c r="O5385" t="s" s="2">
        <v>305</v>
      </c>
      <c r="P5385" s="6"/>
      <c r="Q5385" t="s" s="2">
        <v>9607</v>
      </c>
      <c r="R5385" s="5">
        <f>_xlfn.IFERROR(INDEX('model_byCAP'!$D$2:$D$377,MATCH(Q5385,'model_byCAP'!$A$2:$A$377,0)),0)</f>
        <v>0</v>
      </c>
    </row>
    <row r="5386" ht="15.35" customHeight="1">
      <c r="A5386" t="s" s="2">
        <v>9858</v>
      </c>
      <c r="B5386" s="4">
        <v>42765</v>
      </c>
      <c r="C5386" s="5">
        <v>10</v>
      </c>
      <c r="D5386" s="5">
        <v>14</v>
      </c>
      <c r="E5386" s="5">
        <v>18</v>
      </c>
      <c r="F5386" t="s" s="2">
        <v>9209</v>
      </c>
      <c r="G5386" t="s" s="2">
        <v>9293</v>
      </c>
      <c r="H5386" s="5">
        <v>621</v>
      </c>
      <c r="I5386" t="s" s="2">
        <v>2921</v>
      </c>
      <c r="J5386" t="s" s="2">
        <v>9204</v>
      </c>
      <c r="K5386" s="6"/>
      <c r="L5386" s="6"/>
      <c r="M5386" s="6"/>
      <c r="N5386" s="6"/>
      <c r="O5386" t="s" s="2">
        <v>25</v>
      </c>
      <c r="P5386" s="6"/>
      <c r="Q5386" t="s" s="2">
        <v>9295</v>
      </c>
      <c r="R5386" t="s" s="2">
        <f>_xlfn.IFERROR(INDEX('model_byCAP'!$D$2:$D$377,MATCH(Q5386,'model_byCAP'!$A$2:$A$377,0)),0)</f>
        <v>8430</v>
      </c>
    </row>
    <row r="5387" ht="15.35" customHeight="1">
      <c r="A5387" t="s" s="2">
        <v>9859</v>
      </c>
      <c r="B5387" s="4">
        <v>43686</v>
      </c>
      <c r="C5387" s="5">
        <v>10</v>
      </c>
      <c r="D5387" s="5">
        <v>9</v>
      </c>
      <c r="E5387" s="5">
        <v>20</v>
      </c>
      <c r="F5387" t="s" s="2">
        <v>9599</v>
      </c>
      <c r="G5387" t="s" s="2">
        <v>9600</v>
      </c>
      <c r="H5387" s="5">
        <v>621</v>
      </c>
      <c r="I5387" t="s" s="2">
        <v>2921</v>
      </c>
      <c r="J5387" t="s" s="2">
        <v>9204</v>
      </c>
      <c r="K5387" s="6"/>
      <c r="L5387" s="6"/>
      <c r="M5387" s="6"/>
      <c r="N5387" s="6"/>
      <c r="O5387" t="s" s="2">
        <v>25</v>
      </c>
      <c r="P5387" s="6"/>
      <c r="Q5387" t="s" s="2">
        <v>9601</v>
      </c>
      <c r="R5387" s="5">
        <f>_xlfn.IFERROR(INDEX('model_byCAP'!$D$2:$D$377,MATCH(Q5387,'model_byCAP'!$A$2:$A$377,0)),0)</f>
        <v>0</v>
      </c>
    </row>
    <row r="5388" ht="15.35" customHeight="1">
      <c r="A5388" t="s" s="2">
        <v>9860</v>
      </c>
      <c r="B5388" s="4">
        <v>42185</v>
      </c>
      <c r="C5388" s="5">
        <v>10</v>
      </c>
      <c r="D5388" s="5">
        <v>14</v>
      </c>
      <c r="E5388" s="5">
        <v>18</v>
      </c>
      <c r="F5388" t="s" s="2">
        <v>9209</v>
      </c>
      <c r="G5388" t="s" s="2">
        <v>9638</v>
      </c>
      <c r="H5388" s="5">
        <v>630</v>
      </c>
      <c r="I5388" t="s" s="2">
        <v>1268</v>
      </c>
      <c r="J5388" t="s" s="2">
        <v>9204</v>
      </c>
      <c r="K5388" s="6"/>
      <c r="L5388" s="6"/>
      <c r="M5388" s="5">
        <v>470057.77</v>
      </c>
      <c r="N5388" s="5">
        <v>6193932.25</v>
      </c>
      <c r="O5388" t="s" s="2">
        <v>305</v>
      </c>
      <c r="P5388" s="6"/>
      <c r="Q5388" t="s" s="2">
        <v>9639</v>
      </c>
      <c r="R5388" s="5">
        <f>_xlfn.IFERROR(INDEX('model_byCAP'!$D$2:$D$377,MATCH(Q5388,'model_byCAP'!$A$2:$A$377,0)),0)</f>
        <v>0</v>
      </c>
    </row>
    <row r="5389" ht="15.35" customHeight="1">
      <c r="A5389" t="s" s="2">
        <v>9861</v>
      </c>
      <c r="B5389" s="4">
        <v>42303</v>
      </c>
      <c r="C5389" s="5">
        <v>10</v>
      </c>
      <c r="D5389" s="5">
        <v>13</v>
      </c>
      <c r="E5389" s="5">
        <v>18.2</v>
      </c>
      <c r="F5389" t="s" s="2">
        <v>9471</v>
      </c>
      <c r="G5389" t="s" s="2">
        <v>9606</v>
      </c>
      <c r="H5389" s="5">
        <v>630</v>
      </c>
      <c r="I5389" t="s" s="2">
        <v>1268</v>
      </c>
      <c r="J5389" t="s" s="2">
        <v>9204</v>
      </c>
      <c r="K5389" s="6"/>
      <c r="L5389" s="6"/>
      <c r="M5389" s="6"/>
      <c r="N5389" s="6"/>
      <c r="O5389" t="s" s="2">
        <v>25</v>
      </c>
      <c r="P5389" s="6"/>
      <c r="Q5389" t="s" s="2">
        <v>9607</v>
      </c>
      <c r="R5389" s="5">
        <f>_xlfn.IFERROR(INDEX('model_byCAP'!$D$2:$D$377,MATCH(Q5389,'model_byCAP'!$A$2:$A$377,0)),0)</f>
        <v>0</v>
      </c>
    </row>
    <row r="5390" ht="15.35" customHeight="1">
      <c r="A5390" t="s" s="2">
        <v>9862</v>
      </c>
      <c r="B5390" s="4">
        <v>42826</v>
      </c>
      <c r="C5390" s="5">
        <v>10</v>
      </c>
      <c r="D5390" s="5">
        <v>13</v>
      </c>
      <c r="E5390" s="5">
        <v>18</v>
      </c>
      <c r="F5390" t="s" s="2">
        <v>9471</v>
      </c>
      <c r="G5390" t="s" s="2">
        <v>9606</v>
      </c>
      <c r="H5390" s="5">
        <v>630</v>
      </c>
      <c r="I5390" t="s" s="2">
        <v>1268</v>
      </c>
      <c r="J5390" t="s" s="2">
        <v>9204</v>
      </c>
      <c r="K5390" s="6"/>
      <c r="L5390" s="6"/>
      <c r="M5390" s="6"/>
      <c r="N5390" s="6"/>
      <c r="O5390" t="s" s="2">
        <v>25</v>
      </c>
      <c r="P5390" s="6"/>
      <c r="Q5390" t="s" s="2">
        <v>9607</v>
      </c>
      <c r="R5390" s="5">
        <f>_xlfn.IFERROR(INDEX('model_byCAP'!$D$2:$D$377,MATCH(Q5390,'model_byCAP'!$A$2:$A$377,0)),0)</f>
        <v>0</v>
      </c>
    </row>
    <row r="5391" ht="15.35" customHeight="1">
      <c r="A5391" t="s" s="2">
        <v>9863</v>
      </c>
      <c r="B5391" s="4">
        <v>42178</v>
      </c>
      <c r="C5391" s="5">
        <v>10</v>
      </c>
      <c r="D5391" s="5">
        <v>13</v>
      </c>
      <c r="E5391" s="5">
        <v>18</v>
      </c>
      <c r="F5391" t="s" s="2">
        <v>9471</v>
      </c>
      <c r="G5391" t="s" s="2">
        <v>9606</v>
      </c>
      <c r="H5391" s="5">
        <v>630</v>
      </c>
      <c r="I5391" t="s" s="2">
        <v>1268</v>
      </c>
      <c r="J5391" t="s" s="2">
        <v>9204</v>
      </c>
      <c r="K5391" s="6"/>
      <c r="L5391" s="6"/>
      <c r="M5391" s="6"/>
      <c r="N5391" s="6"/>
      <c r="O5391" t="s" s="2">
        <v>25</v>
      </c>
      <c r="P5391" s="6"/>
      <c r="Q5391" t="s" s="2">
        <v>9607</v>
      </c>
      <c r="R5391" s="5">
        <f>_xlfn.IFERROR(INDEX('model_byCAP'!$D$2:$D$377,MATCH(Q5391,'model_byCAP'!$A$2:$A$377,0)),0)</f>
        <v>0</v>
      </c>
    </row>
    <row r="5392" ht="15.35" customHeight="1">
      <c r="A5392" t="s" s="2">
        <v>9864</v>
      </c>
      <c r="B5392" s="4">
        <v>42305</v>
      </c>
      <c r="C5392" s="5">
        <v>10</v>
      </c>
      <c r="D5392" s="5">
        <v>13</v>
      </c>
      <c r="E5392" s="5">
        <v>18.2</v>
      </c>
      <c r="F5392" t="s" s="2">
        <v>9471</v>
      </c>
      <c r="G5392" t="s" s="2">
        <v>9606</v>
      </c>
      <c r="H5392" s="5">
        <v>630</v>
      </c>
      <c r="I5392" t="s" s="2">
        <v>1268</v>
      </c>
      <c r="J5392" t="s" s="2">
        <v>9204</v>
      </c>
      <c r="K5392" s="6"/>
      <c r="L5392" s="6"/>
      <c r="M5392" s="5">
        <v>525683.39</v>
      </c>
      <c r="N5392" s="5">
        <v>6175627.71</v>
      </c>
      <c r="O5392" t="s" s="2">
        <v>305</v>
      </c>
      <c r="P5392" s="6"/>
      <c r="Q5392" t="s" s="2">
        <v>9607</v>
      </c>
      <c r="R5392" s="5">
        <f>_xlfn.IFERROR(INDEX('model_byCAP'!$D$2:$D$377,MATCH(Q5392,'model_byCAP'!$A$2:$A$377,0)),0)</f>
        <v>0</v>
      </c>
    </row>
    <row r="5393" ht="15.35" customHeight="1">
      <c r="A5393" t="s" s="2">
        <v>9865</v>
      </c>
      <c r="B5393" s="4">
        <v>42825</v>
      </c>
      <c r="C5393" s="5">
        <v>10</v>
      </c>
      <c r="D5393" s="5">
        <v>7.1</v>
      </c>
      <c r="E5393" s="5">
        <v>18</v>
      </c>
      <c r="F5393" t="s" s="2">
        <v>42</v>
      </c>
      <c r="G5393" t="s" s="2">
        <v>42</v>
      </c>
      <c r="H5393" s="5">
        <v>630</v>
      </c>
      <c r="I5393" t="s" s="2">
        <v>1268</v>
      </c>
      <c r="J5393" t="s" s="2">
        <v>9204</v>
      </c>
      <c r="K5393" s="6"/>
      <c r="L5393" s="6"/>
      <c r="M5393" s="6"/>
      <c r="N5393" s="6"/>
      <c r="O5393" t="s" s="2">
        <v>25</v>
      </c>
      <c r="P5393" s="6"/>
      <c r="Q5393" t="s" s="2">
        <v>43</v>
      </c>
      <c r="R5393" s="5">
        <f>_xlfn.IFERROR(INDEX('model_byCAP'!$D$2:$D$377,MATCH(Q5393,'model_byCAP'!$A$2:$A$377,0)),0)</f>
        <v>0</v>
      </c>
    </row>
    <row r="5394" ht="15.35" customHeight="1">
      <c r="A5394" t="s" s="2">
        <v>9866</v>
      </c>
      <c r="B5394" s="4">
        <v>43035</v>
      </c>
      <c r="C5394" s="5">
        <v>10</v>
      </c>
      <c r="D5394" s="5">
        <v>13</v>
      </c>
      <c r="E5394" s="5">
        <v>18.3</v>
      </c>
      <c r="F5394" t="s" s="2">
        <v>9471</v>
      </c>
      <c r="G5394" t="s" s="2">
        <v>9606</v>
      </c>
      <c r="H5394" s="5">
        <v>630</v>
      </c>
      <c r="I5394" t="s" s="2">
        <v>1268</v>
      </c>
      <c r="J5394" t="s" s="2">
        <v>9204</v>
      </c>
      <c r="K5394" s="6"/>
      <c r="L5394" s="6"/>
      <c r="M5394" s="6"/>
      <c r="N5394" s="6"/>
      <c r="O5394" t="s" s="2">
        <v>25</v>
      </c>
      <c r="P5394" s="6"/>
      <c r="Q5394" t="s" s="2">
        <v>9607</v>
      </c>
      <c r="R5394" s="5">
        <f>_xlfn.IFERROR(INDEX('model_byCAP'!$D$2:$D$377,MATCH(Q5394,'model_byCAP'!$A$2:$A$377,0)),0)</f>
        <v>0</v>
      </c>
    </row>
    <row r="5395" ht="15.35" customHeight="1">
      <c r="A5395" t="s" s="2">
        <v>9867</v>
      </c>
      <c r="B5395" s="4">
        <v>42481</v>
      </c>
      <c r="C5395" s="5">
        <v>10</v>
      </c>
      <c r="D5395" s="5">
        <v>14</v>
      </c>
      <c r="E5395" s="5">
        <v>18</v>
      </c>
      <c r="F5395" t="s" s="2">
        <v>9209</v>
      </c>
      <c r="G5395" t="s" s="2">
        <v>9293</v>
      </c>
      <c r="H5395" s="5">
        <v>657</v>
      </c>
      <c r="I5395" t="s" s="2">
        <v>541</v>
      </c>
      <c r="J5395" t="s" s="2">
        <v>9204</v>
      </c>
      <c r="K5395" s="6"/>
      <c r="L5395" s="6"/>
      <c r="M5395" s="5">
        <v>481622</v>
      </c>
      <c r="N5395" s="5">
        <v>6233799.95</v>
      </c>
      <c r="O5395" t="s" s="2">
        <v>305</v>
      </c>
      <c r="P5395" s="6"/>
      <c r="Q5395" t="s" s="2">
        <v>9295</v>
      </c>
      <c r="R5395" t="s" s="2">
        <f>_xlfn.IFERROR(INDEX('model_byCAP'!$D$2:$D$377,MATCH(Q5395,'model_byCAP'!$A$2:$A$377,0)),0)</f>
        <v>8430</v>
      </c>
    </row>
    <row r="5396" ht="15.35" customHeight="1">
      <c r="A5396" t="s" s="2">
        <v>9868</v>
      </c>
      <c r="B5396" s="4">
        <v>43369</v>
      </c>
      <c r="C5396" s="5">
        <v>10</v>
      </c>
      <c r="D5396" s="5">
        <v>7.1</v>
      </c>
      <c r="E5396" s="5">
        <v>21</v>
      </c>
      <c r="F5396" t="s" s="2">
        <v>42</v>
      </c>
      <c r="G5396" t="s" s="2">
        <v>42</v>
      </c>
      <c r="H5396" s="5">
        <v>657</v>
      </c>
      <c r="I5396" t="s" s="2">
        <v>541</v>
      </c>
      <c r="J5396" t="s" s="2">
        <v>9204</v>
      </c>
      <c r="K5396" s="6"/>
      <c r="L5396" s="6"/>
      <c r="M5396" s="6"/>
      <c r="N5396" s="6"/>
      <c r="O5396" t="s" s="2">
        <v>25</v>
      </c>
      <c r="P5396" s="6"/>
      <c r="Q5396" t="s" s="2">
        <v>43</v>
      </c>
      <c r="R5396" s="5">
        <f>_xlfn.IFERROR(INDEX('model_byCAP'!$D$2:$D$377,MATCH(Q5396,'model_byCAP'!$A$2:$A$377,0)),0)</f>
        <v>0</v>
      </c>
    </row>
    <row r="5397" ht="15.35" customHeight="1">
      <c r="A5397" t="s" s="2">
        <v>9869</v>
      </c>
      <c r="B5397" s="4">
        <v>41996</v>
      </c>
      <c r="C5397" s="5">
        <v>10</v>
      </c>
      <c r="D5397" s="5">
        <v>13</v>
      </c>
      <c r="E5397" s="5">
        <v>18</v>
      </c>
      <c r="F5397" t="s" s="2">
        <v>42</v>
      </c>
      <c r="G5397" t="s" s="2">
        <v>42</v>
      </c>
      <c r="H5397" s="5">
        <v>657</v>
      </c>
      <c r="I5397" t="s" s="2">
        <v>541</v>
      </c>
      <c r="J5397" t="s" s="2">
        <v>9204</v>
      </c>
      <c r="K5397" s="6"/>
      <c r="L5397" s="6"/>
      <c r="M5397" s="6"/>
      <c r="N5397" s="6"/>
      <c r="O5397" t="s" s="2">
        <v>25</v>
      </c>
      <c r="P5397" s="6"/>
      <c r="Q5397" t="s" s="2">
        <v>43</v>
      </c>
      <c r="R5397" s="5">
        <f>_xlfn.IFERROR(INDEX('model_byCAP'!$D$2:$D$377,MATCH(Q5397,'model_byCAP'!$A$2:$A$377,0)),0)</f>
        <v>0</v>
      </c>
    </row>
    <row r="5398" ht="15.35" customHeight="1">
      <c r="A5398" t="s" s="2">
        <v>9870</v>
      </c>
      <c r="B5398" s="4">
        <v>42306</v>
      </c>
      <c r="C5398" s="5">
        <v>10</v>
      </c>
      <c r="D5398" s="5">
        <v>7.1</v>
      </c>
      <c r="E5398" s="5">
        <v>21.4</v>
      </c>
      <c r="F5398" t="s" s="2">
        <v>42</v>
      </c>
      <c r="G5398" t="s" s="2">
        <v>42</v>
      </c>
      <c r="H5398" s="5">
        <v>657</v>
      </c>
      <c r="I5398" t="s" s="2">
        <v>541</v>
      </c>
      <c r="J5398" t="s" s="2">
        <v>9204</v>
      </c>
      <c r="K5398" s="6"/>
      <c r="L5398" s="6"/>
      <c r="M5398" s="5">
        <v>478734.02</v>
      </c>
      <c r="N5398" s="5">
        <v>6238527.48</v>
      </c>
      <c r="O5398" t="s" s="2">
        <v>305</v>
      </c>
      <c r="P5398" s="6"/>
      <c r="Q5398" t="s" s="2">
        <v>43</v>
      </c>
      <c r="R5398" s="5">
        <f>_xlfn.IFERROR(INDEX('model_byCAP'!$D$2:$D$377,MATCH(Q5398,'model_byCAP'!$A$2:$A$377,0)),0)</f>
        <v>0</v>
      </c>
    </row>
    <row r="5399" ht="15.35" customHeight="1">
      <c r="A5399" t="s" s="2">
        <v>9871</v>
      </c>
      <c r="B5399" s="4">
        <v>42214</v>
      </c>
      <c r="C5399" s="5">
        <v>10</v>
      </c>
      <c r="D5399" s="5">
        <v>13</v>
      </c>
      <c r="E5399" s="5">
        <v>18</v>
      </c>
      <c r="F5399" t="s" s="2">
        <v>9471</v>
      </c>
      <c r="G5399" t="s" s="2">
        <v>9606</v>
      </c>
      <c r="H5399" s="5">
        <v>657</v>
      </c>
      <c r="I5399" t="s" s="2">
        <v>541</v>
      </c>
      <c r="J5399" t="s" s="2">
        <v>9204</v>
      </c>
      <c r="K5399" s="6"/>
      <c r="L5399" s="6"/>
      <c r="M5399" s="6"/>
      <c r="N5399" s="6"/>
      <c r="O5399" t="s" s="2">
        <v>25</v>
      </c>
      <c r="P5399" s="6"/>
      <c r="Q5399" t="s" s="2">
        <v>9607</v>
      </c>
      <c r="R5399" s="5">
        <f>_xlfn.IFERROR(INDEX('model_byCAP'!$D$2:$D$377,MATCH(Q5399,'model_byCAP'!$A$2:$A$377,0)),0)</f>
        <v>0</v>
      </c>
    </row>
    <row r="5400" ht="15.35" customHeight="1">
      <c r="A5400" t="s" s="2">
        <v>9872</v>
      </c>
      <c r="B5400" s="4">
        <v>42272</v>
      </c>
      <c r="C5400" s="5">
        <v>10</v>
      </c>
      <c r="D5400" s="5">
        <v>13</v>
      </c>
      <c r="E5400" s="5">
        <v>18.2</v>
      </c>
      <c r="F5400" t="s" s="2">
        <v>9471</v>
      </c>
      <c r="G5400" t="s" s="2">
        <v>9606</v>
      </c>
      <c r="H5400" s="5">
        <v>657</v>
      </c>
      <c r="I5400" t="s" s="2">
        <v>541</v>
      </c>
      <c r="J5400" t="s" s="2">
        <v>9204</v>
      </c>
      <c r="K5400" s="6"/>
      <c r="L5400" s="6"/>
      <c r="M5400" s="5">
        <v>472451.97</v>
      </c>
      <c r="N5400" s="5">
        <v>6230154.14</v>
      </c>
      <c r="O5400" t="s" s="2">
        <v>305</v>
      </c>
      <c r="P5400" s="6"/>
      <c r="Q5400" t="s" s="2">
        <v>9607</v>
      </c>
      <c r="R5400" s="5">
        <f>_xlfn.IFERROR(INDEX('model_byCAP'!$D$2:$D$377,MATCH(Q5400,'model_byCAP'!$A$2:$A$377,0)),0)</f>
        <v>0</v>
      </c>
    </row>
    <row r="5401" ht="15.35" customHeight="1">
      <c r="A5401" t="s" s="2">
        <v>9873</v>
      </c>
      <c r="B5401" s="4">
        <v>42647</v>
      </c>
      <c r="C5401" s="5">
        <v>10</v>
      </c>
      <c r="D5401" s="5">
        <v>13</v>
      </c>
      <c r="E5401" s="5">
        <v>18.2</v>
      </c>
      <c r="F5401" t="s" s="2">
        <v>9471</v>
      </c>
      <c r="G5401" t="s" s="2">
        <v>9606</v>
      </c>
      <c r="H5401" s="5">
        <v>657</v>
      </c>
      <c r="I5401" t="s" s="2">
        <v>541</v>
      </c>
      <c r="J5401" t="s" s="2">
        <v>9204</v>
      </c>
      <c r="K5401" s="6"/>
      <c r="L5401" s="6"/>
      <c r="M5401" s="6"/>
      <c r="N5401" s="6"/>
      <c r="O5401" t="s" s="2">
        <v>25</v>
      </c>
      <c r="P5401" s="6"/>
      <c r="Q5401" t="s" s="2">
        <v>9607</v>
      </c>
      <c r="R5401" s="5">
        <f>_xlfn.IFERROR(INDEX('model_byCAP'!$D$2:$D$377,MATCH(Q5401,'model_byCAP'!$A$2:$A$377,0)),0)</f>
        <v>0</v>
      </c>
    </row>
    <row r="5402" ht="15.35" customHeight="1">
      <c r="A5402" t="s" s="2">
        <v>9874</v>
      </c>
      <c r="B5402" s="4">
        <v>41681</v>
      </c>
      <c r="C5402" s="5">
        <v>10</v>
      </c>
      <c r="D5402" s="5">
        <v>7.1</v>
      </c>
      <c r="E5402" s="5">
        <v>18</v>
      </c>
      <c r="F5402" t="s" s="2">
        <v>42</v>
      </c>
      <c r="G5402" t="s" s="2">
        <v>42</v>
      </c>
      <c r="H5402" s="5">
        <v>657</v>
      </c>
      <c r="I5402" t="s" s="2">
        <v>541</v>
      </c>
      <c r="J5402" t="s" s="2">
        <v>9204</v>
      </c>
      <c r="K5402" s="6"/>
      <c r="L5402" s="6"/>
      <c r="M5402" s="5">
        <v>502714.87</v>
      </c>
      <c r="N5402" s="5">
        <v>6207586.77</v>
      </c>
      <c r="O5402" t="s" s="2">
        <v>305</v>
      </c>
      <c r="P5402" s="6"/>
      <c r="Q5402" t="s" s="2">
        <v>43</v>
      </c>
      <c r="R5402" s="5">
        <f>_xlfn.IFERROR(INDEX('model_byCAP'!$D$2:$D$377,MATCH(Q5402,'model_byCAP'!$A$2:$A$377,0)),0)</f>
        <v>0</v>
      </c>
    </row>
    <row r="5403" ht="15.35" customHeight="1">
      <c r="A5403" t="s" s="2">
        <v>9875</v>
      </c>
      <c r="B5403" s="4">
        <v>41690</v>
      </c>
      <c r="C5403" s="5">
        <v>10</v>
      </c>
      <c r="D5403" s="5">
        <v>7.1</v>
      </c>
      <c r="E5403" s="5">
        <v>18</v>
      </c>
      <c r="F5403" t="s" s="2">
        <v>9876</v>
      </c>
      <c r="G5403" t="s" s="2">
        <v>9877</v>
      </c>
      <c r="H5403" s="5">
        <v>657</v>
      </c>
      <c r="I5403" t="s" s="2">
        <v>541</v>
      </c>
      <c r="J5403" t="s" s="2">
        <v>9204</v>
      </c>
      <c r="K5403" s="6"/>
      <c r="L5403" s="6"/>
      <c r="M5403" s="5">
        <v>503140.22</v>
      </c>
      <c r="N5403" s="5">
        <v>6209317.97</v>
      </c>
      <c r="O5403" t="s" s="2">
        <v>305</v>
      </c>
      <c r="P5403" s="6"/>
      <c r="Q5403" t="s" s="2">
        <v>9878</v>
      </c>
      <c r="R5403" s="5">
        <f>_xlfn.IFERROR(INDEX('model_byCAP'!$D$2:$D$377,MATCH(Q5403,'model_byCAP'!$A$2:$A$377,0)),0)</f>
        <v>0</v>
      </c>
    </row>
    <row r="5404" ht="15.35" customHeight="1">
      <c r="A5404" t="s" s="2">
        <v>9879</v>
      </c>
      <c r="B5404" s="4">
        <v>41940</v>
      </c>
      <c r="C5404" s="5">
        <v>10</v>
      </c>
      <c r="D5404" s="5">
        <v>7.1</v>
      </c>
      <c r="E5404" s="5">
        <v>21</v>
      </c>
      <c r="F5404" t="s" s="2">
        <v>42</v>
      </c>
      <c r="G5404" t="s" s="2">
        <v>42</v>
      </c>
      <c r="H5404" s="5">
        <v>657</v>
      </c>
      <c r="I5404" t="s" s="2">
        <v>541</v>
      </c>
      <c r="J5404" t="s" s="2">
        <v>9204</v>
      </c>
      <c r="K5404" s="6"/>
      <c r="L5404" s="6"/>
      <c r="M5404" s="5">
        <v>487362</v>
      </c>
      <c r="N5404" s="5">
        <v>6236869.32</v>
      </c>
      <c r="O5404" t="s" s="2">
        <v>305</v>
      </c>
      <c r="P5404" s="6"/>
      <c r="Q5404" t="s" s="2">
        <v>43</v>
      </c>
      <c r="R5404" s="5">
        <f>_xlfn.IFERROR(INDEX('model_byCAP'!$D$2:$D$377,MATCH(Q5404,'model_byCAP'!$A$2:$A$377,0)),0)</f>
        <v>0</v>
      </c>
    </row>
    <row r="5405" ht="15.35" customHeight="1">
      <c r="A5405" t="s" s="2">
        <v>9880</v>
      </c>
      <c r="B5405" s="4">
        <v>42166</v>
      </c>
      <c r="C5405" s="5">
        <v>10</v>
      </c>
      <c r="D5405" s="5">
        <v>7.1</v>
      </c>
      <c r="E5405" s="5">
        <v>21.4</v>
      </c>
      <c r="F5405" t="s" s="2">
        <v>42</v>
      </c>
      <c r="G5405" t="s" s="2">
        <v>42</v>
      </c>
      <c r="H5405" s="5">
        <v>657</v>
      </c>
      <c r="I5405" t="s" s="2">
        <v>541</v>
      </c>
      <c r="J5405" t="s" s="2">
        <v>9204</v>
      </c>
      <c r="K5405" s="6"/>
      <c r="L5405" s="6"/>
      <c r="M5405" s="5">
        <v>491460.18</v>
      </c>
      <c r="N5405" s="5">
        <v>6231731.63</v>
      </c>
      <c r="O5405" t="s" s="2">
        <v>305</v>
      </c>
      <c r="P5405" s="6"/>
      <c r="Q5405" t="s" s="2">
        <v>43</v>
      </c>
      <c r="R5405" s="5">
        <f>_xlfn.IFERROR(INDEX('model_byCAP'!$D$2:$D$377,MATCH(Q5405,'model_byCAP'!$A$2:$A$377,0)),0)</f>
        <v>0</v>
      </c>
    </row>
    <row r="5406" ht="15.35" customHeight="1">
      <c r="A5406" t="s" s="2">
        <v>9881</v>
      </c>
      <c r="B5406" s="4">
        <v>42179</v>
      </c>
      <c r="C5406" s="5">
        <v>10</v>
      </c>
      <c r="D5406" s="5">
        <v>13</v>
      </c>
      <c r="E5406" s="5">
        <v>18.2</v>
      </c>
      <c r="F5406" t="s" s="2">
        <v>9471</v>
      </c>
      <c r="G5406" t="s" s="2">
        <v>9606</v>
      </c>
      <c r="H5406" s="5">
        <v>657</v>
      </c>
      <c r="I5406" t="s" s="2">
        <v>541</v>
      </c>
      <c r="J5406" t="s" s="2">
        <v>9204</v>
      </c>
      <c r="K5406" s="6"/>
      <c r="L5406" s="6"/>
      <c r="M5406" s="5">
        <v>484089.99</v>
      </c>
      <c r="N5406" s="5">
        <v>6227984.17</v>
      </c>
      <c r="O5406" t="s" s="2">
        <v>305</v>
      </c>
      <c r="P5406" s="6"/>
      <c r="Q5406" t="s" s="2">
        <v>9607</v>
      </c>
      <c r="R5406" s="5">
        <f>_xlfn.IFERROR(INDEX('model_byCAP'!$D$2:$D$377,MATCH(Q5406,'model_byCAP'!$A$2:$A$377,0)),0)</f>
        <v>0</v>
      </c>
    </row>
    <row r="5407" ht="15.35" customHeight="1">
      <c r="A5407" t="s" s="2">
        <v>9882</v>
      </c>
      <c r="B5407" s="4">
        <v>42214</v>
      </c>
      <c r="C5407" s="5">
        <v>10</v>
      </c>
      <c r="D5407" s="5">
        <v>13</v>
      </c>
      <c r="E5407" s="5">
        <v>18.2</v>
      </c>
      <c r="F5407" t="s" s="2">
        <v>9471</v>
      </c>
      <c r="G5407" t="s" s="2">
        <v>9606</v>
      </c>
      <c r="H5407" s="5">
        <v>657</v>
      </c>
      <c r="I5407" t="s" s="2">
        <v>541</v>
      </c>
      <c r="J5407" t="s" s="2">
        <v>9204</v>
      </c>
      <c r="K5407" s="6"/>
      <c r="L5407" s="6"/>
      <c r="M5407" s="5">
        <v>489918.73</v>
      </c>
      <c r="N5407" s="5">
        <v>6238583.92</v>
      </c>
      <c r="O5407" t="s" s="2">
        <v>305</v>
      </c>
      <c r="P5407" s="6"/>
      <c r="Q5407" t="s" s="2">
        <v>9607</v>
      </c>
      <c r="R5407" s="5">
        <f>_xlfn.IFERROR(INDEX('model_byCAP'!$D$2:$D$377,MATCH(Q5407,'model_byCAP'!$A$2:$A$377,0)),0)</f>
        <v>0</v>
      </c>
    </row>
    <row r="5408" ht="15.35" customHeight="1">
      <c r="A5408" t="s" s="2">
        <v>9883</v>
      </c>
      <c r="B5408" s="4">
        <v>42273</v>
      </c>
      <c r="C5408" s="5">
        <v>10</v>
      </c>
      <c r="D5408" s="5">
        <v>7.1</v>
      </c>
      <c r="E5408" s="5">
        <v>21.4</v>
      </c>
      <c r="F5408" t="s" s="2">
        <v>42</v>
      </c>
      <c r="G5408" t="s" s="2">
        <v>42</v>
      </c>
      <c r="H5408" s="5">
        <v>657</v>
      </c>
      <c r="I5408" t="s" s="2">
        <v>541</v>
      </c>
      <c r="J5408" t="s" s="2">
        <v>9204</v>
      </c>
      <c r="K5408" s="6"/>
      <c r="L5408" s="6"/>
      <c r="M5408" s="5">
        <v>485453.07</v>
      </c>
      <c r="N5408" s="5">
        <v>6232182.99</v>
      </c>
      <c r="O5408" t="s" s="2">
        <v>305</v>
      </c>
      <c r="P5408" s="6"/>
      <c r="Q5408" t="s" s="2">
        <v>43</v>
      </c>
      <c r="R5408" s="5">
        <f>_xlfn.IFERROR(INDEX('model_byCAP'!$D$2:$D$377,MATCH(Q5408,'model_byCAP'!$A$2:$A$377,0)),0)</f>
        <v>0</v>
      </c>
    </row>
    <row r="5409" ht="15.35" customHeight="1">
      <c r="A5409" t="s" s="2">
        <v>9884</v>
      </c>
      <c r="B5409" s="4">
        <v>42269</v>
      </c>
      <c r="C5409" s="5">
        <v>10</v>
      </c>
      <c r="D5409" s="5">
        <v>7.1</v>
      </c>
      <c r="E5409" s="5">
        <v>18</v>
      </c>
      <c r="F5409" t="s" s="2">
        <v>42</v>
      </c>
      <c r="G5409" t="s" s="2">
        <v>42</v>
      </c>
      <c r="H5409" s="5">
        <v>657</v>
      </c>
      <c r="I5409" t="s" s="2">
        <v>541</v>
      </c>
      <c r="J5409" t="s" s="2">
        <v>9204</v>
      </c>
      <c r="K5409" s="6"/>
      <c r="L5409" s="6"/>
      <c r="M5409" s="6"/>
      <c r="N5409" s="6"/>
      <c r="O5409" t="s" s="2">
        <v>25</v>
      </c>
      <c r="P5409" s="6"/>
      <c r="Q5409" t="s" s="2">
        <v>43</v>
      </c>
      <c r="R5409" s="5">
        <f>_xlfn.IFERROR(INDEX('model_byCAP'!$D$2:$D$377,MATCH(Q5409,'model_byCAP'!$A$2:$A$377,0)),0)</f>
        <v>0</v>
      </c>
    </row>
    <row r="5410" ht="15.35" customHeight="1">
      <c r="A5410" t="s" s="2">
        <v>9885</v>
      </c>
      <c r="B5410" s="4">
        <v>42269</v>
      </c>
      <c r="C5410" s="5">
        <v>10</v>
      </c>
      <c r="D5410" s="5">
        <v>7.1</v>
      </c>
      <c r="E5410" s="5">
        <v>18</v>
      </c>
      <c r="F5410" t="s" s="2">
        <v>42</v>
      </c>
      <c r="G5410" t="s" s="2">
        <v>42</v>
      </c>
      <c r="H5410" s="5">
        <v>657</v>
      </c>
      <c r="I5410" t="s" s="2">
        <v>541</v>
      </c>
      <c r="J5410" t="s" s="2">
        <v>9204</v>
      </c>
      <c r="K5410" s="6"/>
      <c r="L5410" s="6"/>
      <c r="M5410" s="5">
        <v>502673.33</v>
      </c>
      <c r="N5410" s="5">
        <v>6207438.54</v>
      </c>
      <c r="O5410" t="s" s="2">
        <v>305</v>
      </c>
      <c r="P5410" s="6"/>
      <c r="Q5410" t="s" s="2">
        <v>43</v>
      </c>
      <c r="R5410" s="5">
        <f>_xlfn.IFERROR(INDEX('model_byCAP'!$D$2:$D$377,MATCH(Q5410,'model_byCAP'!$A$2:$A$377,0)),0)</f>
        <v>0</v>
      </c>
    </row>
    <row r="5411" ht="15.35" customHeight="1">
      <c r="A5411" t="s" s="2">
        <v>9886</v>
      </c>
      <c r="B5411" s="4">
        <v>42297</v>
      </c>
      <c r="C5411" s="5">
        <v>10</v>
      </c>
      <c r="D5411" s="5">
        <v>7.1</v>
      </c>
      <c r="E5411" s="5">
        <v>18</v>
      </c>
      <c r="F5411" t="s" s="2">
        <v>42</v>
      </c>
      <c r="G5411" t="s" s="2">
        <v>42</v>
      </c>
      <c r="H5411" s="5">
        <v>657</v>
      </c>
      <c r="I5411" t="s" s="2">
        <v>541</v>
      </c>
      <c r="J5411" t="s" s="2">
        <v>9204</v>
      </c>
      <c r="K5411" s="6"/>
      <c r="L5411" s="6"/>
      <c r="M5411" s="6"/>
      <c r="N5411" s="6"/>
      <c r="O5411" t="s" s="2">
        <v>25</v>
      </c>
      <c r="P5411" s="6"/>
      <c r="Q5411" t="s" s="2">
        <v>43</v>
      </c>
      <c r="R5411" s="5">
        <f>_xlfn.IFERROR(INDEX('model_byCAP'!$D$2:$D$377,MATCH(Q5411,'model_byCAP'!$A$2:$A$377,0)),0)</f>
        <v>0</v>
      </c>
    </row>
    <row r="5412" ht="15.35" customHeight="1">
      <c r="A5412" t="s" s="2">
        <v>9887</v>
      </c>
      <c r="B5412" s="4">
        <v>42393</v>
      </c>
      <c r="C5412" s="5">
        <v>10</v>
      </c>
      <c r="D5412" s="5">
        <v>7.1</v>
      </c>
      <c r="E5412" s="5">
        <v>18</v>
      </c>
      <c r="F5412" t="s" s="2">
        <v>42</v>
      </c>
      <c r="G5412" t="s" s="2">
        <v>42</v>
      </c>
      <c r="H5412" s="5">
        <v>657</v>
      </c>
      <c r="I5412" t="s" s="2">
        <v>541</v>
      </c>
      <c r="J5412" t="s" s="2">
        <v>9204</v>
      </c>
      <c r="K5412" s="6"/>
      <c r="L5412" s="6"/>
      <c r="M5412" s="5">
        <v>501348.54</v>
      </c>
      <c r="N5412" s="5">
        <v>6209620.61</v>
      </c>
      <c r="O5412" t="s" s="2">
        <v>305</v>
      </c>
      <c r="P5412" s="6"/>
      <c r="Q5412" t="s" s="2">
        <v>43</v>
      </c>
      <c r="R5412" s="5">
        <f>_xlfn.IFERROR(INDEX('model_byCAP'!$D$2:$D$377,MATCH(Q5412,'model_byCAP'!$A$2:$A$377,0)),0)</f>
        <v>0</v>
      </c>
    </row>
    <row r="5413" ht="15.35" customHeight="1">
      <c r="A5413" t="s" s="2">
        <v>9888</v>
      </c>
      <c r="B5413" s="4">
        <v>42355</v>
      </c>
      <c r="C5413" s="5">
        <v>10</v>
      </c>
      <c r="D5413" s="5">
        <v>13</v>
      </c>
      <c r="E5413" s="5">
        <v>18.2</v>
      </c>
      <c r="F5413" t="s" s="2">
        <v>9471</v>
      </c>
      <c r="G5413" t="s" s="2">
        <v>9606</v>
      </c>
      <c r="H5413" s="5">
        <v>657</v>
      </c>
      <c r="I5413" t="s" s="2">
        <v>541</v>
      </c>
      <c r="J5413" t="s" s="2">
        <v>9204</v>
      </c>
      <c r="K5413" s="6"/>
      <c r="L5413" s="6"/>
      <c r="M5413" s="5">
        <v>493198.1</v>
      </c>
      <c r="N5413" s="5">
        <v>6222570.22</v>
      </c>
      <c r="O5413" t="s" s="2">
        <v>305</v>
      </c>
      <c r="P5413" s="6"/>
      <c r="Q5413" t="s" s="2">
        <v>9607</v>
      </c>
      <c r="R5413" s="5">
        <f>_xlfn.IFERROR(INDEX('model_byCAP'!$D$2:$D$377,MATCH(Q5413,'model_byCAP'!$A$2:$A$377,0)),0)</f>
        <v>0</v>
      </c>
    </row>
    <row r="5414" ht="15.35" customHeight="1">
      <c r="A5414" t="s" s="2">
        <v>9889</v>
      </c>
      <c r="B5414" s="4">
        <v>42339</v>
      </c>
      <c r="C5414" s="5">
        <v>10</v>
      </c>
      <c r="D5414" s="5">
        <v>14</v>
      </c>
      <c r="E5414" s="5">
        <v>18</v>
      </c>
      <c r="F5414" t="s" s="2">
        <v>9209</v>
      </c>
      <c r="G5414" t="s" s="2">
        <v>9293</v>
      </c>
      <c r="H5414" s="5">
        <v>657</v>
      </c>
      <c r="I5414" t="s" s="2">
        <v>541</v>
      </c>
      <c r="J5414" t="s" s="2">
        <v>9204</v>
      </c>
      <c r="K5414" s="6"/>
      <c r="L5414" s="6"/>
      <c r="M5414" s="6"/>
      <c r="N5414" s="6"/>
      <c r="O5414" t="s" s="2">
        <v>25</v>
      </c>
      <c r="P5414" s="6"/>
      <c r="Q5414" t="s" s="2">
        <v>9295</v>
      </c>
      <c r="R5414" t="s" s="2">
        <f>_xlfn.IFERROR(INDEX('model_byCAP'!$D$2:$D$377,MATCH(Q5414,'model_byCAP'!$A$2:$A$377,0)),0)</f>
        <v>8430</v>
      </c>
    </row>
    <row r="5415" ht="15.35" customHeight="1">
      <c r="A5415" t="s" s="2">
        <v>9890</v>
      </c>
      <c r="B5415" s="4">
        <v>42493</v>
      </c>
      <c r="C5415" s="5">
        <v>10</v>
      </c>
      <c r="D5415" s="5">
        <v>14</v>
      </c>
      <c r="E5415" s="5">
        <v>18</v>
      </c>
      <c r="F5415" t="s" s="2">
        <v>9209</v>
      </c>
      <c r="G5415" t="s" s="2">
        <v>9293</v>
      </c>
      <c r="H5415" s="5">
        <v>657</v>
      </c>
      <c r="I5415" t="s" s="2">
        <v>541</v>
      </c>
      <c r="J5415" t="s" s="2">
        <v>9204</v>
      </c>
      <c r="K5415" s="6"/>
      <c r="L5415" s="6"/>
      <c r="M5415" s="6"/>
      <c r="N5415" s="6"/>
      <c r="O5415" t="s" s="2">
        <v>25</v>
      </c>
      <c r="P5415" s="6"/>
      <c r="Q5415" t="s" s="2">
        <v>9295</v>
      </c>
      <c r="R5415" t="s" s="2">
        <f>_xlfn.IFERROR(INDEX('model_byCAP'!$D$2:$D$377,MATCH(Q5415,'model_byCAP'!$A$2:$A$377,0)),0)</f>
        <v>8430</v>
      </c>
    </row>
    <row r="5416" ht="15.35" customHeight="1">
      <c r="A5416" t="s" s="2">
        <v>9891</v>
      </c>
      <c r="B5416" s="4">
        <v>42514</v>
      </c>
      <c r="C5416" s="5">
        <v>10</v>
      </c>
      <c r="D5416" s="5">
        <v>13</v>
      </c>
      <c r="E5416" s="5">
        <v>18.2</v>
      </c>
      <c r="F5416" t="s" s="2">
        <v>9471</v>
      </c>
      <c r="G5416" t="s" s="2">
        <v>9606</v>
      </c>
      <c r="H5416" s="5">
        <v>657</v>
      </c>
      <c r="I5416" t="s" s="2">
        <v>541</v>
      </c>
      <c r="J5416" t="s" s="2">
        <v>9204</v>
      </c>
      <c r="K5416" s="6"/>
      <c r="L5416" s="6"/>
      <c r="M5416" s="5">
        <v>489676.86</v>
      </c>
      <c r="N5416" s="5">
        <v>6216684.03</v>
      </c>
      <c r="O5416" t="s" s="2">
        <v>305</v>
      </c>
      <c r="P5416" s="6"/>
      <c r="Q5416" t="s" s="2">
        <v>9607</v>
      </c>
      <c r="R5416" s="5">
        <f>_xlfn.IFERROR(INDEX('model_byCAP'!$D$2:$D$377,MATCH(Q5416,'model_byCAP'!$A$2:$A$377,0)),0)</f>
        <v>0</v>
      </c>
    </row>
    <row r="5417" ht="15.35" customHeight="1">
      <c r="A5417" t="s" s="2">
        <v>9892</v>
      </c>
      <c r="B5417" s="4">
        <v>42723</v>
      </c>
      <c r="C5417" s="5">
        <v>10</v>
      </c>
      <c r="D5417" s="5">
        <v>7.1</v>
      </c>
      <c r="E5417" s="5">
        <v>21</v>
      </c>
      <c r="F5417" t="s" s="2">
        <v>42</v>
      </c>
      <c r="G5417" t="s" s="2">
        <v>42</v>
      </c>
      <c r="H5417" s="5">
        <v>657</v>
      </c>
      <c r="I5417" t="s" s="2">
        <v>541</v>
      </c>
      <c r="J5417" t="s" s="2">
        <v>9204</v>
      </c>
      <c r="K5417" s="6"/>
      <c r="L5417" s="6"/>
      <c r="M5417" s="6"/>
      <c r="N5417" s="6"/>
      <c r="O5417" t="s" s="2">
        <v>25</v>
      </c>
      <c r="P5417" s="6"/>
      <c r="Q5417" t="s" s="2">
        <v>43</v>
      </c>
      <c r="R5417" s="5">
        <f>_xlfn.IFERROR(INDEX('model_byCAP'!$D$2:$D$377,MATCH(Q5417,'model_byCAP'!$A$2:$A$377,0)),0)</f>
        <v>0</v>
      </c>
    </row>
    <row r="5418" ht="15.35" customHeight="1">
      <c r="A5418" t="s" s="2">
        <v>9893</v>
      </c>
      <c r="B5418" s="4">
        <v>42721</v>
      </c>
      <c r="C5418" s="5">
        <v>10</v>
      </c>
      <c r="D5418" s="5">
        <v>7.1</v>
      </c>
      <c r="E5418" s="5">
        <v>21.4</v>
      </c>
      <c r="F5418" t="s" s="2">
        <v>42</v>
      </c>
      <c r="G5418" t="s" s="2">
        <v>42</v>
      </c>
      <c r="H5418" s="5">
        <v>661</v>
      </c>
      <c r="I5418" t="s" s="2">
        <v>562</v>
      </c>
      <c r="J5418" t="s" s="2">
        <v>9204</v>
      </c>
      <c r="K5418" s="6"/>
      <c r="L5418" s="6"/>
      <c r="M5418" s="6"/>
      <c r="N5418" s="6"/>
      <c r="O5418" t="s" s="2">
        <v>25</v>
      </c>
      <c r="P5418" s="6"/>
      <c r="Q5418" t="s" s="2">
        <v>43</v>
      </c>
      <c r="R5418" s="5">
        <f>_xlfn.IFERROR(INDEX('model_byCAP'!$D$2:$D$377,MATCH(Q5418,'model_byCAP'!$A$2:$A$377,0)),0)</f>
        <v>0</v>
      </c>
    </row>
    <row r="5419" ht="15.35" customHeight="1">
      <c r="A5419" t="s" s="2">
        <v>9894</v>
      </c>
      <c r="B5419" s="4">
        <v>41892</v>
      </c>
      <c r="C5419" s="5">
        <v>10</v>
      </c>
      <c r="D5419" s="5">
        <v>7</v>
      </c>
      <c r="E5419" s="5">
        <v>21.4</v>
      </c>
      <c r="F5419" t="s" s="2">
        <v>42</v>
      </c>
      <c r="G5419" t="s" s="2">
        <v>42</v>
      </c>
      <c r="H5419" s="5">
        <v>661</v>
      </c>
      <c r="I5419" t="s" s="2">
        <v>562</v>
      </c>
      <c r="J5419" t="s" s="2">
        <v>9204</v>
      </c>
      <c r="K5419" s="6"/>
      <c r="L5419" s="6"/>
      <c r="M5419" s="5">
        <v>489111.69</v>
      </c>
      <c r="N5419" s="5">
        <v>6250709.47</v>
      </c>
      <c r="O5419" t="s" s="2">
        <v>305</v>
      </c>
      <c r="P5419" s="6"/>
      <c r="Q5419" t="s" s="2">
        <v>43</v>
      </c>
      <c r="R5419" s="5">
        <f>_xlfn.IFERROR(INDEX('model_byCAP'!$D$2:$D$377,MATCH(Q5419,'model_byCAP'!$A$2:$A$377,0)),0)</f>
        <v>0</v>
      </c>
    </row>
    <row r="5420" ht="15.35" customHeight="1">
      <c r="A5420" t="s" s="2">
        <v>9895</v>
      </c>
      <c r="B5420" s="4">
        <v>42284</v>
      </c>
      <c r="C5420" s="5">
        <v>10</v>
      </c>
      <c r="D5420" s="5">
        <v>7.1</v>
      </c>
      <c r="E5420" s="5">
        <v>21.4</v>
      </c>
      <c r="F5420" t="s" s="2">
        <v>42</v>
      </c>
      <c r="G5420" t="s" s="2">
        <v>42</v>
      </c>
      <c r="H5420" s="5">
        <v>661</v>
      </c>
      <c r="I5420" t="s" s="2">
        <v>562</v>
      </c>
      <c r="J5420" t="s" s="2">
        <v>9204</v>
      </c>
      <c r="K5420" s="6"/>
      <c r="L5420" s="6"/>
      <c r="M5420" s="6"/>
      <c r="N5420" s="6"/>
      <c r="O5420" t="s" s="2">
        <v>25</v>
      </c>
      <c r="P5420" s="6"/>
      <c r="Q5420" t="s" s="2">
        <v>43</v>
      </c>
      <c r="R5420" s="5">
        <f>_xlfn.IFERROR(INDEX('model_byCAP'!$D$2:$D$377,MATCH(Q5420,'model_byCAP'!$A$2:$A$377,0)),0)</f>
        <v>0</v>
      </c>
    </row>
    <row r="5421" ht="15.35" customHeight="1">
      <c r="A5421" t="s" s="2">
        <v>9896</v>
      </c>
      <c r="B5421" s="4">
        <v>42366</v>
      </c>
      <c r="C5421" s="5">
        <v>10</v>
      </c>
      <c r="D5421" s="5">
        <v>13</v>
      </c>
      <c r="E5421" s="5">
        <v>18.2</v>
      </c>
      <c r="F5421" t="s" s="2">
        <v>9471</v>
      </c>
      <c r="G5421" t="s" s="2">
        <v>9606</v>
      </c>
      <c r="H5421" s="5">
        <v>661</v>
      </c>
      <c r="I5421" t="s" s="2">
        <v>562</v>
      </c>
      <c r="J5421" t="s" s="2">
        <v>9204</v>
      </c>
      <c r="K5421" s="6"/>
      <c r="L5421" s="6"/>
      <c r="M5421" s="5">
        <v>471487.9</v>
      </c>
      <c r="N5421" s="5">
        <v>6249092.28</v>
      </c>
      <c r="O5421" t="s" s="2">
        <v>305</v>
      </c>
      <c r="P5421" s="6"/>
      <c r="Q5421" t="s" s="2">
        <v>9607</v>
      </c>
      <c r="R5421" s="5">
        <f>_xlfn.IFERROR(INDEX('model_byCAP'!$D$2:$D$377,MATCH(Q5421,'model_byCAP'!$A$2:$A$377,0)),0)</f>
        <v>0</v>
      </c>
    </row>
    <row r="5422" ht="15.35" customHeight="1">
      <c r="A5422" t="s" s="2">
        <v>9897</v>
      </c>
      <c r="B5422" s="4">
        <v>42349</v>
      </c>
      <c r="C5422" s="5">
        <v>10</v>
      </c>
      <c r="D5422" s="5">
        <v>14</v>
      </c>
      <c r="E5422" s="5">
        <v>18</v>
      </c>
      <c r="F5422" t="s" s="2">
        <v>9209</v>
      </c>
      <c r="G5422" t="s" s="2">
        <v>9293</v>
      </c>
      <c r="H5422" s="5">
        <v>661</v>
      </c>
      <c r="I5422" t="s" s="2">
        <v>562</v>
      </c>
      <c r="J5422" t="s" s="2">
        <v>9204</v>
      </c>
      <c r="K5422" s="6"/>
      <c r="L5422" s="6"/>
      <c r="M5422" s="5">
        <v>473490.44</v>
      </c>
      <c r="N5422" s="5">
        <v>6251015.01</v>
      </c>
      <c r="O5422" t="s" s="2">
        <v>305</v>
      </c>
      <c r="P5422" s="6"/>
      <c r="Q5422" t="s" s="2">
        <v>9295</v>
      </c>
      <c r="R5422" t="s" s="2">
        <f>_xlfn.IFERROR(INDEX('model_byCAP'!$D$2:$D$377,MATCH(Q5422,'model_byCAP'!$A$2:$A$377,0)),0)</f>
        <v>8430</v>
      </c>
    </row>
    <row r="5423" ht="15.35" customHeight="1">
      <c r="A5423" t="s" s="2">
        <v>9898</v>
      </c>
      <c r="B5423" s="4">
        <v>42355</v>
      </c>
      <c r="C5423" s="5">
        <v>10</v>
      </c>
      <c r="D5423" s="5">
        <v>14</v>
      </c>
      <c r="E5423" s="5">
        <v>18</v>
      </c>
      <c r="F5423" t="s" s="2">
        <v>9209</v>
      </c>
      <c r="G5423" t="s" s="2">
        <v>9293</v>
      </c>
      <c r="H5423" s="5">
        <v>661</v>
      </c>
      <c r="I5423" t="s" s="2">
        <v>562</v>
      </c>
      <c r="J5423" t="s" s="2">
        <v>9204</v>
      </c>
      <c r="K5423" s="6"/>
      <c r="L5423" s="6"/>
      <c r="M5423" s="5">
        <v>473411.21</v>
      </c>
      <c r="N5423" s="5">
        <v>6250588.47</v>
      </c>
      <c r="O5423" t="s" s="2">
        <v>305</v>
      </c>
      <c r="P5423" s="6"/>
      <c r="Q5423" t="s" s="2">
        <v>9295</v>
      </c>
      <c r="R5423" t="s" s="2">
        <f>_xlfn.IFERROR(INDEX('model_byCAP'!$D$2:$D$377,MATCH(Q5423,'model_byCAP'!$A$2:$A$377,0)),0)</f>
        <v>8430</v>
      </c>
    </row>
    <row r="5424" ht="15.35" customHeight="1">
      <c r="A5424" t="s" s="2">
        <v>9899</v>
      </c>
      <c r="B5424" s="4">
        <v>42464</v>
      </c>
      <c r="C5424" s="5">
        <v>10</v>
      </c>
      <c r="D5424" s="5">
        <v>13</v>
      </c>
      <c r="E5424" s="5">
        <v>18.2</v>
      </c>
      <c r="F5424" t="s" s="2">
        <v>9471</v>
      </c>
      <c r="G5424" t="s" s="2">
        <v>9606</v>
      </c>
      <c r="H5424" s="5">
        <v>661</v>
      </c>
      <c r="I5424" t="s" s="2">
        <v>562</v>
      </c>
      <c r="J5424" t="s" s="2">
        <v>9204</v>
      </c>
      <c r="K5424" s="6"/>
      <c r="L5424" s="6"/>
      <c r="M5424" s="5">
        <v>481253.46</v>
      </c>
      <c r="N5424" s="5">
        <v>6248875.56</v>
      </c>
      <c r="O5424" t="s" s="2">
        <v>305</v>
      </c>
      <c r="P5424" s="6"/>
      <c r="Q5424" t="s" s="2">
        <v>9607</v>
      </c>
      <c r="R5424" s="5">
        <f>_xlfn.IFERROR(INDEX('model_byCAP'!$D$2:$D$377,MATCH(Q5424,'model_byCAP'!$A$2:$A$377,0)),0)</f>
        <v>0</v>
      </c>
    </row>
    <row r="5425" ht="15.35" customHeight="1">
      <c r="A5425" t="s" s="2">
        <v>9900</v>
      </c>
      <c r="B5425" s="4">
        <v>42487</v>
      </c>
      <c r="C5425" s="5">
        <v>10</v>
      </c>
      <c r="D5425" s="5">
        <v>14</v>
      </c>
      <c r="E5425" s="5">
        <v>18</v>
      </c>
      <c r="F5425" t="s" s="2">
        <v>9209</v>
      </c>
      <c r="G5425" t="s" s="2">
        <v>9293</v>
      </c>
      <c r="H5425" s="5">
        <v>661</v>
      </c>
      <c r="I5425" t="s" s="2">
        <v>562</v>
      </c>
      <c r="J5425" t="s" s="2">
        <v>9204</v>
      </c>
      <c r="K5425" s="6"/>
      <c r="L5425" s="6"/>
      <c r="M5425" s="6"/>
      <c r="N5425" s="6"/>
      <c r="O5425" t="s" s="2">
        <v>25</v>
      </c>
      <c r="P5425" s="6"/>
      <c r="Q5425" t="s" s="2">
        <v>9295</v>
      </c>
      <c r="R5425" t="s" s="2">
        <f>_xlfn.IFERROR(INDEX('model_byCAP'!$D$2:$D$377,MATCH(Q5425,'model_byCAP'!$A$2:$A$377,0)),0)</f>
        <v>8430</v>
      </c>
    </row>
    <row r="5426" ht="15.35" customHeight="1">
      <c r="A5426" t="s" s="2">
        <v>9901</v>
      </c>
      <c r="B5426" s="4">
        <v>42492</v>
      </c>
      <c r="C5426" s="5">
        <v>10</v>
      </c>
      <c r="D5426" s="5">
        <v>14</v>
      </c>
      <c r="E5426" s="5">
        <v>18</v>
      </c>
      <c r="F5426" t="s" s="2">
        <v>9209</v>
      </c>
      <c r="G5426" t="s" s="2">
        <v>9293</v>
      </c>
      <c r="H5426" s="5">
        <v>661</v>
      </c>
      <c r="I5426" t="s" s="2">
        <v>562</v>
      </c>
      <c r="J5426" t="s" s="2">
        <v>9204</v>
      </c>
      <c r="K5426" s="6"/>
      <c r="L5426" s="6"/>
      <c r="M5426" s="6"/>
      <c r="N5426" s="6"/>
      <c r="O5426" t="s" s="2">
        <v>25</v>
      </c>
      <c r="P5426" s="6"/>
      <c r="Q5426" t="s" s="2">
        <v>9295</v>
      </c>
      <c r="R5426" t="s" s="2">
        <f>_xlfn.IFERROR(INDEX('model_byCAP'!$D$2:$D$377,MATCH(Q5426,'model_byCAP'!$A$2:$A$377,0)),0)</f>
        <v>8430</v>
      </c>
    </row>
    <row r="5427" ht="15.35" customHeight="1">
      <c r="A5427" t="s" s="2">
        <v>9902</v>
      </c>
      <c r="B5427" s="4">
        <v>42655</v>
      </c>
      <c r="C5427" s="5">
        <v>10</v>
      </c>
      <c r="D5427" s="5">
        <v>13</v>
      </c>
      <c r="E5427" s="5">
        <v>18.3</v>
      </c>
      <c r="F5427" t="s" s="2">
        <v>9471</v>
      </c>
      <c r="G5427" t="s" s="2">
        <v>9606</v>
      </c>
      <c r="H5427" s="5">
        <v>661</v>
      </c>
      <c r="I5427" t="s" s="2">
        <v>562</v>
      </c>
      <c r="J5427" t="s" s="2">
        <v>9204</v>
      </c>
      <c r="K5427" s="6"/>
      <c r="L5427" s="6"/>
      <c r="M5427" s="6"/>
      <c r="N5427" s="6"/>
      <c r="O5427" t="s" s="2">
        <v>25</v>
      </c>
      <c r="P5427" s="6"/>
      <c r="Q5427" t="s" s="2">
        <v>9607</v>
      </c>
      <c r="R5427" s="5">
        <f>_xlfn.IFERROR(INDEX('model_byCAP'!$D$2:$D$377,MATCH(Q5427,'model_byCAP'!$A$2:$A$377,0)),0)</f>
        <v>0</v>
      </c>
    </row>
    <row r="5428" ht="15.35" customHeight="1">
      <c r="A5428" t="s" s="2">
        <v>9903</v>
      </c>
      <c r="B5428" s="4">
        <v>42655</v>
      </c>
      <c r="C5428" s="5">
        <v>10</v>
      </c>
      <c r="D5428" s="5">
        <v>13</v>
      </c>
      <c r="E5428" s="5">
        <v>18.3</v>
      </c>
      <c r="F5428" t="s" s="2">
        <v>9471</v>
      </c>
      <c r="G5428" t="s" s="2">
        <v>9606</v>
      </c>
      <c r="H5428" s="5">
        <v>661</v>
      </c>
      <c r="I5428" t="s" s="2">
        <v>562</v>
      </c>
      <c r="J5428" t="s" s="2">
        <v>9204</v>
      </c>
      <c r="K5428" s="6"/>
      <c r="L5428" s="6"/>
      <c r="M5428" s="6"/>
      <c r="N5428" s="6"/>
      <c r="O5428" t="s" s="2">
        <v>25</v>
      </c>
      <c r="P5428" s="6"/>
      <c r="Q5428" t="s" s="2">
        <v>9607</v>
      </c>
      <c r="R5428" s="5">
        <f>_xlfn.IFERROR(INDEX('model_byCAP'!$D$2:$D$377,MATCH(Q5428,'model_byCAP'!$A$2:$A$377,0)),0)</f>
        <v>0</v>
      </c>
    </row>
    <row r="5429" ht="15.35" customHeight="1">
      <c r="A5429" t="s" s="2">
        <v>9904</v>
      </c>
      <c r="B5429" s="4">
        <v>42655</v>
      </c>
      <c r="C5429" s="5">
        <v>10</v>
      </c>
      <c r="D5429" s="5">
        <v>13</v>
      </c>
      <c r="E5429" s="5">
        <v>18.3</v>
      </c>
      <c r="F5429" t="s" s="2">
        <v>9471</v>
      </c>
      <c r="G5429" t="s" s="2">
        <v>9606</v>
      </c>
      <c r="H5429" s="5">
        <v>661</v>
      </c>
      <c r="I5429" t="s" s="2">
        <v>562</v>
      </c>
      <c r="J5429" t="s" s="2">
        <v>9204</v>
      </c>
      <c r="K5429" s="6"/>
      <c r="L5429" s="6"/>
      <c r="M5429" s="6"/>
      <c r="N5429" s="6"/>
      <c r="O5429" t="s" s="2">
        <v>25</v>
      </c>
      <c r="P5429" s="6"/>
      <c r="Q5429" t="s" s="2">
        <v>9607</v>
      </c>
      <c r="R5429" s="5">
        <f>_xlfn.IFERROR(INDEX('model_byCAP'!$D$2:$D$377,MATCH(Q5429,'model_byCAP'!$A$2:$A$377,0)),0)</f>
        <v>0</v>
      </c>
    </row>
    <row r="5430" ht="15.35" customHeight="1">
      <c r="A5430" t="s" s="2">
        <v>9905</v>
      </c>
      <c r="B5430" s="4">
        <v>42655</v>
      </c>
      <c r="C5430" s="5">
        <v>10</v>
      </c>
      <c r="D5430" s="5">
        <v>13</v>
      </c>
      <c r="E5430" s="5">
        <v>18.3</v>
      </c>
      <c r="F5430" t="s" s="2">
        <v>9471</v>
      </c>
      <c r="G5430" t="s" s="2">
        <v>9606</v>
      </c>
      <c r="H5430" s="5">
        <v>661</v>
      </c>
      <c r="I5430" t="s" s="2">
        <v>562</v>
      </c>
      <c r="J5430" t="s" s="2">
        <v>9204</v>
      </c>
      <c r="K5430" s="6"/>
      <c r="L5430" s="6"/>
      <c r="M5430" s="6"/>
      <c r="N5430" s="6"/>
      <c r="O5430" t="s" s="2">
        <v>25</v>
      </c>
      <c r="P5430" s="6"/>
      <c r="Q5430" t="s" s="2">
        <v>9607</v>
      </c>
      <c r="R5430" s="5">
        <f>_xlfn.IFERROR(INDEX('model_byCAP'!$D$2:$D$377,MATCH(Q5430,'model_byCAP'!$A$2:$A$377,0)),0)</f>
        <v>0</v>
      </c>
    </row>
    <row r="5431" ht="15.35" customHeight="1">
      <c r="A5431" t="s" s="2">
        <v>9906</v>
      </c>
      <c r="B5431" s="4">
        <v>42704</v>
      </c>
      <c r="C5431" s="5">
        <v>10</v>
      </c>
      <c r="D5431" s="5">
        <v>14</v>
      </c>
      <c r="E5431" s="5">
        <v>18</v>
      </c>
      <c r="F5431" t="s" s="2">
        <v>9209</v>
      </c>
      <c r="G5431" t="s" s="2">
        <v>9293</v>
      </c>
      <c r="H5431" s="5">
        <v>661</v>
      </c>
      <c r="I5431" t="s" s="2">
        <v>562</v>
      </c>
      <c r="J5431" t="s" s="2">
        <v>9204</v>
      </c>
      <c r="K5431" s="6"/>
      <c r="L5431" s="6"/>
      <c r="M5431" s="6"/>
      <c r="N5431" s="6"/>
      <c r="O5431" t="s" s="2">
        <v>25</v>
      </c>
      <c r="P5431" s="6"/>
      <c r="Q5431" t="s" s="2">
        <v>9295</v>
      </c>
      <c r="R5431" t="s" s="2">
        <f>_xlfn.IFERROR(INDEX('model_byCAP'!$D$2:$D$377,MATCH(Q5431,'model_byCAP'!$A$2:$A$377,0)),0)</f>
        <v>8430</v>
      </c>
    </row>
    <row r="5432" ht="15.35" customHeight="1">
      <c r="A5432" t="s" s="2">
        <v>9907</v>
      </c>
      <c r="B5432" s="4">
        <v>42676</v>
      </c>
      <c r="C5432" s="5">
        <v>10</v>
      </c>
      <c r="D5432" s="5">
        <v>14</v>
      </c>
      <c r="E5432" s="5">
        <v>18</v>
      </c>
      <c r="F5432" t="s" s="2">
        <v>9209</v>
      </c>
      <c r="G5432" t="s" s="2">
        <v>9293</v>
      </c>
      <c r="H5432" s="5">
        <v>661</v>
      </c>
      <c r="I5432" t="s" s="2">
        <v>562</v>
      </c>
      <c r="J5432" t="s" s="2">
        <v>9204</v>
      </c>
      <c r="K5432" s="6"/>
      <c r="L5432" s="6"/>
      <c r="M5432" s="6"/>
      <c r="N5432" s="6"/>
      <c r="O5432" t="s" s="2">
        <v>25</v>
      </c>
      <c r="P5432" s="6"/>
      <c r="Q5432" t="s" s="2">
        <v>9295</v>
      </c>
      <c r="R5432" t="s" s="2">
        <f>_xlfn.IFERROR(INDEX('model_byCAP'!$D$2:$D$377,MATCH(Q5432,'model_byCAP'!$A$2:$A$377,0)),0)</f>
        <v>8430</v>
      </c>
    </row>
    <row r="5433" ht="15.35" customHeight="1">
      <c r="A5433" t="s" s="2">
        <v>9908</v>
      </c>
      <c r="B5433" s="4">
        <v>42737</v>
      </c>
      <c r="C5433" s="5">
        <v>10</v>
      </c>
      <c r="D5433" s="5">
        <v>7.1</v>
      </c>
      <c r="E5433" s="5">
        <v>21.4</v>
      </c>
      <c r="F5433" t="s" s="2">
        <v>42</v>
      </c>
      <c r="G5433" t="s" s="2">
        <v>42</v>
      </c>
      <c r="H5433" s="5">
        <v>661</v>
      </c>
      <c r="I5433" t="s" s="2">
        <v>562</v>
      </c>
      <c r="J5433" t="s" s="2">
        <v>9204</v>
      </c>
      <c r="K5433" s="6"/>
      <c r="L5433" s="6"/>
      <c r="M5433" s="6"/>
      <c r="N5433" s="6"/>
      <c r="O5433" t="s" s="2">
        <v>25</v>
      </c>
      <c r="P5433" s="6"/>
      <c r="Q5433" t="s" s="2">
        <v>43</v>
      </c>
      <c r="R5433" s="5">
        <f>_xlfn.IFERROR(INDEX('model_byCAP'!$D$2:$D$377,MATCH(Q5433,'model_byCAP'!$A$2:$A$377,0)),0)</f>
        <v>0</v>
      </c>
    </row>
    <row r="5434" ht="15.35" customHeight="1">
      <c r="A5434" t="s" s="2">
        <v>9909</v>
      </c>
      <c r="B5434" s="4">
        <v>42773</v>
      </c>
      <c r="C5434" s="5">
        <v>10</v>
      </c>
      <c r="D5434" s="5">
        <v>14</v>
      </c>
      <c r="E5434" s="5">
        <v>18</v>
      </c>
      <c r="F5434" t="s" s="2">
        <v>9209</v>
      </c>
      <c r="G5434" t="s" s="2">
        <v>9293</v>
      </c>
      <c r="H5434" s="5">
        <v>661</v>
      </c>
      <c r="I5434" t="s" s="2">
        <v>562</v>
      </c>
      <c r="J5434" t="s" s="2">
        <v>9204</v>
      </c>
      <c r="K5434" s="6"/>
      <c r="L5434" s="6"/>
      <c r="M5434" s="6"/>
      <c r="N5434" s="6"/>
      <c r="O5434" t="s" s="2">
        <v>25</v>
      </c>
      <c r="P5434" s="6"/>
      <c r="Q5434" t="s" s="2">
        <v>9295</v>
      </c>
      <c r="R5434" t="s" s="2">
        <f>_xlfn.IFERROR(INDEX('model_byCAP'!$D$2:$D$377,MATCH(Q5434,'model_byCAP'!$A$2:$A$377,0)),0)</f>
        <v>8430</v>
      </c>
    </row>
    <row r="5435" ht="15.35" customHeight="1">
      <c r="A5435" t="s" s="2">
        <v>9910</v>
      </c>
      <c r="B5435" s="4">
        <v>42858</v>
      </c>
      <c r="C5435" s="5">
        <v>10</v>
      </c>
      <c r="D5435" s="5">
        <v>14</v>
      </c>
      <c r="E5435" s="5">
        <v>18</v>
      </c>
      <c r="F5435" t="s" s="2">
        <v>9209</v>
      </c>
      <c r="G5435" t="s" s="2">
        <v>9293</v>
      </c>
      <c r="H5435" s="5">
        <v>661</v>
      </c>
      <c r="I5435" t="s" s="2">
        <v>562</v>
      </c>
      <c r="J5435" t="s" s="2">
        <v>9204</v>
      </c>
      <c r="K5435" s="6"/>
      <c r="L5435" s="6"/>
      <c r="M5435" s="6"/>
      <c r="N5435" s="6"/>
      <c r="O5435" t="s" s="2">
        <v>25</v>
      </c>
      <c r="P5435" s="6"/>
      <c r="Q5435" t="s" s="2">
        <v>9295</v>
      </c>
      <c r="R5435" t="s" s="2">
        <f>_xlfn.IFERROR(INDEX('model_byCAP'!$D$2:$D$377,MATCH(Q5435,'model_byCAP'!$A$2:$A$377,0)),0)</f>
        <v>8430</v>
      </c>
    </row>
    <row r="5436" ht="15.35" customHeight="1">
      <c r="A5436" t="s" s="2">
        <v>9911</v>
      </c>
      <c r="B5436" s="4">
        <v>41906</v>
      </c>
      <c r="C5436" s="5">
        <v>10</v>
      </c>
      <c r="D5436" s="5">
        <v>13</v>
      </c>
      <c r="E5436" s="5">
        <v>18</v>
      </c>
      <c r="F5436" t="s" s="2">
        <v>9471</v>
      </c>
      <c r="G5436" t="s" s="2">
        <v>9472</v>
      </c>
      <c r="H5436" s="5">
        <v>661</v>
      </c>
      <c r="I5436" t="s" s="2">
        <v>562</v>
      </c>
      <c r="J5436" t="s" s="2">
        <v>9204</v>
      </c>
      <c r="K5436" s="6"/>
      <c r="L5436" s="6"/>
      <c r="M5436" s="6"/>
      <c r="N5436" s="6"/>
      <c r="O5436" t="s" s="2">
        <v>25</v>
      </c>
      <c r="P5436" s="6"/>
      <c r="Q5436" t="s" s="2">
        <v>9473</v>
      </c>
      <c r="R5436" s="5">
        <f>_xlfn.IFERROR(INDEX('model_byCAP'!$D$2:$D$377,MATCH(Q5436,'model_byCAP'!$A$2:$A$377,0)),0)</f>
        <v>0</v>
      </c>
    </row>
    <row r="5437" ht="15.35" customHeight="1">
      <c r="A5437" t="s" s="2">
        <v>9912</v>
      </c>
      <c r="B5437" s="4">
        <v>43012</v>
      </c>
      <c r="C5437" s="5">
        <v>10</v>
      </c>
      <c r="D5437" s="5">
        <v>14</v>
      </c>
      <c r="E5437" s="5">
        <v>18</v>
      </c>
      <c r="F5437" t="s" s="2">
        <v>9209</v>
      </c>
      <c r="G5437" t="s" s="2">
        <v>9293</v>
      </c>
      <c r="H5437" s="5">
        <v>661</v>
      </c>
      <c r="I5437" t="s" s="2">
        <v>562</v>
      </c>
      <c r="J5437" t="s" s="2">
        <v>9204</v>
      </c>
      <c r="K5437" s="6"/>
      <c r="L5437" s="6"/>
      <c r="M5437" s="6"/>
      <c r="N5437" s="6"/>
      <c r="O5437" t="s" s="2">
        <v>25</v>
      </c>
      <c r="P5437" s="6"/>
      <c r="Q5437" t="s" s="2">
        <v>9295</v>
      </c>
      <c r="R5437" t="s" s="2">
        <f>_xlfn.IFERROR(INDEX('model_byCAP'!$D$2:$D$377,MATCH(Q5437,'model_byCAP'!$A$2:$A$377,0)),0)</f>
        <v>8430</v>
      </c>
    </row>
    <row r="5438" ht="15.35" customHeight="1">
      <c r="A5438" t="s" s="2">
        <v>9913</v>
      </c>
      <c r="B5438" s="4">
        <v>42366</v>
      </c>
      <c r="C5438" s="5">
        <v>10</v>
      </c>
      <c r="D5438" s="5">
        <v>13</v>
      </c>
      <c r="E5438" s="5">
        <v>18.2</v>
      </c>
      <c r="F5438" t="s" s="2">
        <v>9471</v>
      </c>
      <c r="G5438" t="s" s="2">
        <v>9606</v>
      </c>
      <c r="H5438" s="5">
        <v>661</v>
      </c>
      <c r="I5438" t="s" s="2">
        <v>562</v>
      </c>
      <c r="J5438" t="s" s="2">
        <v>9204</v>
      </c>
      <c r="K5438" s="6"/>
      <c r="L5438" s="6"/>
      <c r="M5438" s="6"/>
      <c r="N5438" s="6"/>
      <c r="O5438" t="s" s="2">
        <v>25</v>
      </c>
      <c r="P5438" s="6"/>
      <c r="Q5438" t="s" s="2">
        <v>9607</v>
      </c>
      <c r="R5438" s="5">
        <f>_xlfn.IFERROR(INDEX('model_byCAP'!$D$2:$D$377,MATCH(Q5438,'model_byCAP'!$A$2:$A$377,0)),0)</f>
        <v>0</v>
      </c>
    </row>
    <row r="5439" ht="15.35" customHeight="1">
      <c r="A5439" t="s" s="2">
        <v>9914</v>
      </c>
      <c r="B5439" s="4">
        <v>42703</v>
      </c>
      <c r="C5439" s="5">
        <v>10</v>
      </c>
      <c r="D5439" s="5">
        <v>14</v>
      </c>
      <c r="E5439" s="5">
        <v>18</v>
      </c>
      <c r="F5439" t="s" s="2">
        <v>9209</v>
      </c>
      <c r="G5439" t="s" s="2">
        <v>9293</v>
      </c>
      <c r="H5439" s="5">
        <v>661</v>
      </c>
      <c r="I5439" t="s" s="2">
        <v>562</v>
      </c>
      <c r="J5439" t="s" s="2">
        <v>9204</v>
      </c>
      <c r="K5439" s="6"/>
      <c r="L5439" s="6"/>
      <c r="M5439" s="6"/>
      <c r="N5439" s="6"/>
      <c r="O5439" t="s" s="2">
        <v>25</v>
      </c>
      <c r="P5439" s="6"/>
      <c r="Q5439" t="s" s="2">
        <v>9295</v>
      </c>
      <c r="R5439" t="s" s="2">
        <f>_xlfn.IFERROR(INDEX('model_byCAP'!$D$2:$D$377,MATCH(Q5439,'model_byCAP'!$A$2:$A$377,0)),0)</f>
        <v>8430</v>
      </c>
    </row>
    <row r="5440" ht="15.35" customHeight="1">
      <c r="A5440" t="s" s="2">
        <v>9915</v>
      </c>
      <c r="B5440" s="4">
        <v>42064</v>
      </c>
      <c r="C5440" s="5">
        <v>10</v>
      </c>
      <c r="D5440" s="5">
        <v>7</v>
      </c>
      <c r="E5440" s="5">
        <v>21</v>
      </c>
      <c r="F5440" t="s" s="2">
        <v>42</v>
      </c>
      <c r="G5440" t="s" s="2">
        <v>42</v>
      </c>
      <c r="H5440" s="5">
        <v>661</v>
      </c>
      <c r="I5440" t="s" s="2">
        <v>562</v>
      </c>
      <c r="J5440" t="s" s="2">
        <v>9204</v>
      </c>
      <c r="K5440" s="6"/>
      <c r="L5440" s="6"/>
      <c r="M5440" s="6"/>
      <c r="N5440" s="6"/>
      <c r="O5440" t="s" s="2">
        <v>25</v>
      </c>
      <c r="P5440" s="6"/>
      <c r="Q5440" t="s" s="2">
        <v>43</v>
      </c>
      <c r="R5440" s="5">
        <f>_xlfn.IFERROR(INDEX('model_byCAP'!$D$2:$D$377,MATCH(Q5440,'model_byCAP'!$A$2:$A$377,0)),0)</f>
        <v>0</v>
      </c>
    </row>
    <row r="5441" ht="15.35" customHeight="1">
      <c r="A5441" t="s" s="2">
        <v>9916</v>
      </c>
      <c r="B5441" s="4">
        <v>41754</v>
      </c>
      <c r="C5441" s="5">
        <v>10</v>
      </c>
      <c r="D5441" s="5">
        <v>12</v>
      </c>
      <c r="E5441" s="5">
        <v>18</v>
      </c>
      <c r="F5441" t="s" s="2">
        <v>9917</v>
      </c>
      <c r="G5441" t="s" s="2">
        <v>9918</v>
      </c>
      <c r="H5441" s="5">
        <v>665</v>
      </c>
      <c r="I5441" t="s" s="2">
        <v>316</v>
      </c>
      <c r="J5441" t="s" s="2">
        <v>9204</v>
      </c>
      <c r="K5441" s="6"/>
      <c r="L5441" s="6"/>
      <c r="M5441" s="5">
        <v>448438.56</v>
      </c>
      <c r="N5441" s="5">
        <v>6273834.52</v>
      </c>
      <c r="O5441" t="s" s="2">
        <v>305</v>
      </c>
      <c r="P5441" s="6"/>
      <c r="Q5441" t="s" s="2">
        <v>9919</v>
      </c>
      <c r="R5441" s="5">
        <f>_xlfn.IFERROR(INDEX('model_byCAP'!$D$2:$D$377,MATCH(Q5441,'model_byCAP'!$A$2:$A$377,0)),0)</f>
        <v>0</v>
      </c>
    </row>
    <row r="5442" ht="15.35" customHeight="1">
      <c r="A5442" t="s" s="2">
        <v>9920</v>
      </c>
      <c r="B5442" s="4">
        <v>41990</v>
      </c>
      <c r="C5442" s="5">
        <v>10</v>
      </c>
      <c r="D5442" s="5">
        <v>7</v>
      </c>
      <c r="E5442" s="5">
        <v>21</v>
      </c>
      <c r="F5442" t="s" s="2">
        <v>42</v>
      </c>
      <c r="G5442" t="s" s="2">
        <v>42</v>
      </c>
      <c r="H5442" s="5">
        <v>665</v>
      </c>
      <c r="I5442" t="s" s="2">
        <v>316</v>
      </c>
      <c r="J5442" t="s" s="2">
        <v>9204</v>
      </c>
      <c r="K5442" s="6"/>
      <c r="L5442" s="6"/>
      <c r="M5442" s="5">
        <v>462423.66</v>
      </c>
      <c r="N5442" s="5">
        <v>6265547.6</v>
      </c>
      <c r="O5442" t="s" s="2">
        <v>305</v>
      </c>
      <c r="P5442" s="6"/>
      <c r="Q5442" t="s" s="2">
        <v>43</v>
      </c>
      <c r="R5442" s="5">
        <f>_xlfn.IFERROR(INDEX('model_byCAP'!$D$2:$D$377,MATCH(Q5442,'model_byCAP'!$A$2:$A$377,0)),0)</f>
        <v>0</v>
      </c>
    </row>
    <row r="5443" ht="15.35" customHeight="1">
      <c r="A5443" t="s" s="2">
        <v>9921</v>
      </c>
      <c r="B5443" s="4">
        <v>42073</v>
      </c>
      <c r="C5443" s="5">
        <v>10</v>
      </c>
      <c r="D5443" s="5">
        <v>7.1</v>
      </c>
      <c r="E5443" s="5">
        <v>21.4</v>
      </c>
      <c r="F5443" t="s" s="2">
        <v>42</v>
      </c>
      <c r="G5443" t="s" s="2">
        <v>42</v>
      </c>
      <c r="H5443" s="5">
        <v>665</v>
      </c>
      <c r="I5443" t="s" s="2">
        <v>316</v>
      </c>
      <c r="J5443" t="s" s="2">
        <v>9204</v>
      </c>
      <c r="K5443" s="6"/>
      <c r="L5443" s="6"/>
      <c r="M5443" s="5">
        <v>454044.63</v>
      </c>
      <c r="N5443" s="5">
        <v>6266665.48</v>
      </c>
      <c r="O5443" t="s" s="2">
        <v>305</v>
      </c>
      <c r="P5443" s="6"/>
      <c r="Q5443" t="s" s="2">
        <v>43</v>
      </c>
      <c r="R5443" s="5">
        <f>_xlfn.IFERROR(INDEX('model_byCAP'!$D$2:$D$377,MATCH(Q5443,'model_byCAP'!$A$2:$A$377,0)),0)</f>
        <v>0</v>
      </c>
    </row>
    <row r="5444" ht="15.35" customHeight="1">
      <c r="A5444" t="s" s="2">
        <v>9922</v>
      </c>
      <c r="B5444" s="4">
        <v>42089</v>
      </c>
      <c r="C5444" s="5">
        <v>10</v>
      </c>
      <c r="D5444" s="5">
        <v>7.1</v>
      </c>
      <c r="E5444" s="5">
        <v>21.4</v>
      </c>
      <c r="F5444" t="s" s="2">
        <v>42</v>
      </c>
      <c r="G5444" t="s" s="2">
        <v>42</v>
      </c>
      <c r="H5444" s="5">
        <v>665</v>
      </c>
      <c r="I5444" t="s" s="2">
        <v>316</v>
      </c>
      <c r="J5444" t="s" s="2">
        <v>9204</v>
      </c>
      <c r="K5444" s="6"/>
      <c r="L5444" s="6"/>
      <c r="M5444" s="5">
        <v>461700.96</v>
      </c>
      <c r="N5444" s="5">
        <v>6266601.4</v>
      </c>
      <c r="O5444" t="s" s="2">
        <v>305</v>
      </c>
      <c r="P5444" s="6"/>
      <c r="Q5444" t="s" s="2">
        <v>43</v>
      </c>
      <c r="R5444" s="5">
        <f>_xlfn.IFERROR(INDEX('model_byCAP'!$D$2:$D$377,MATCH(Q5444,'model_byCAP'!$A$2:$A$377,0)),0)</f>
        <v>0</v>
      </c>
    </row>
    <row r="5445" ht="15.35" customHeight="1">
      <c r="A5445" t="s" s="2">
        <v>9923</v>
      </c>
      <c r="B5445" s="4">
        <v>42122</v>
      </c>
      <c r="C5445" s="5">
        <v>10</v>
      </c>
      <c r="D5445" s="5">
        <v>14</v>
      </c>
      <c r="E5445" s="5">
        <v>18</v>
      </c>
      <c r="F5445" t="s" s="2">
        <v>9209</v>
      </c>
      <c r="G5445" t="s" s="2">
        <v>9293</v>
      </c>
      <c r="H5445" s="5">
        <v>665</v>
      </c>
      <c r="I5445" t="s" s="2">
        <v>316</v>
      </c>
      <c r="J5445" t="s" s="2">
        <v>9204</v>
      </c>
      <c r="K5445" s="6"/>
      <c r="L5445" s="6"/>
      <c r="M5445" s="5">
        <v>451436.81</v>
      </c>
      <c r="N5445" s="5">
        <v>6255545.09</v>
      </c>
      <c r="O5445" t="s" s="2">
        <v>305</v>
      </c>
      <c r="P5445" s="6"/>
      <c r="Q5445" t="s" s="2">
        <v>9295</v>
      </c>
      <c r="R5445" t="s" s="2">
        <f>_xlfn.IFERROR(INDEX('model_byCAP'!$D$2:$D$377,MATCH(Q5445,'model_byCAP'!$A$2:$A$377,0)),0)</f>
        <v>8430</v>
      </c>
    </row>
    <row r="5446" ht="15.35" customHeight="1">
      <c r="A5446" t="s" s="2">
        <v>9924</v>
      </c>
      <c r="B5446" s="4">
        <v>42130</v>
      </c>
      <c r="C5446" s="5">
        <v>10</v>
      </c>
      <c r="D5446" s="5">
        <v>7.1</v>
      </c>
      <c r="E5446" s="5">
        <v>21</v>
      </c>
      <c r="F5446" t="s" s="2">
        <v>42</v>
      </c>
      <c r="G5446" t="s" s="2">
        <v>42</v>
      </c>
      <c r="H5446" s="5">
        <v>665</v>
      </c>
      <c r="I5446" t="s" s="2">
        <v>316</v>
      </c>
      <c r="J5446" t="s" s="2">
        <v>9204</v>
      </c>
      <c r="K5446" s="6"/>
      <c r="L5446" s="6"/>
      <c r="M5446" s="5">
        <v>449569</v>
      </c>
      <c r="N5446" s="5">
        <v>6265509.66</v>
      </c>
      <c r="O5446" t="s" s="2">
        <v>305</v>
      </c>
      <c r="P5446" s="6"/>
      <c r="Q5446" t="s" s="2">
        <v>43</v>
      </c>
      <c r="R5446" s="5">
        <f>_xlfn.IFERROR(INDEX('model_byCAP'!$D$2:$D$377,MATCH(Q5446,'model_byCAP'!$A$2:$A$377,0)),0)</f>
        <v>0</v>
      </c>
    </row>
    <row r="5447" ht="15.35" customHeight="1">
      <c r="A5447" t="s" s="2">
        <v>9925</v>
      </c>
      <c r="B5447" s="4">
        <v>42156</v>
      </c>
      <c r="C5447" s="5">
        <v>10</v>
      </c>
      <c r="D5447" s="5">
        <v>14</v>
      </c>
      <c r="E5447" s="5">
        <v>18</v>
      </c>
      <c r="F5447" t="s" s="2">
        <v>9209</v>
      </c>
      <c r="G5447" t="s" s="2">
        <v>9210</v>
      </c>
      <c r="H5447" s="5">
        <v>665</v>
      </c>
      <c r="I5447" t="s" s="2">
        <v>316</v>
      </c>
      <c r="J5447" t="s" s="2">
        <v>9204</v>
      </c>
      <c r="K5447" s="6"/>
      <c r="L5447" s="6"/>
      <c r="M5447" s="5">
        <v>454924</v>
      </c>
      <c r="N5447" s="5">
        <v>6265574.27</v>
      </c>
      <c r="O5447" t="s" s="2">
        <v>305</v>
      </c>
      <c r="P5447" s="6"/>
      <c r="Q5447" t="s" s="2">
        <v>9211</v>
      </c>
      <c r="R5447" t="s" s="2">
        <f>_xlfn.IFERROR(INDEX('model_byCAP'!$D$2:$D$377,MATCH(Q5447,'model_byCAP'!$A$2:$A$377,0)),0)</f>
        <v>8430</v>
      </c>
    </row>
    <row r="5448" ht="15.35" customHeight="1">
      <c r="A5448" t="s" s="2">
        <v>9926</v>
      </c>
      <c r="B5448" s="4">
        <v>42179</v>
      </c>
      <c r="C5448" s="5">
        <v>10</v>
      </c>
      <c r="D5448" s="5">
        <v>7.1</v>
      </c>
      <c r="E5448" s="5">
        <v>21.4</v>
      </c>
      <c r="F5448" t="s" s="2">
        <v>42</v>
      </c>
      <c r="G5448" t="s" s="2">
        <v>42</v>
      </c>
      <c r="H5448" s="5">
        <v>665</v>
      </c>
      <c r="I5448" t="s" s="2">
        <v>316</v>
      </c>
      <c r="J5448" t="s" s="2">
        <v>9204</v>
      </c>
      <c r="K5448" s="6"/>
      <c r="L5448" s="6"/>
      <c r="M5448" s="5">
        <v>463731.51</v>
      </c>
      <c r="N5448" s="5">
        <v>6265767.08</v>
      </c>
      <c r="O5448" t="s" s="2">
        <v>305</v>
      </c>
      <c r="P5448" s="6"/>
      <c r="Q5448" t="s" s="2">
        <v>43</v>
      </c>
      <c r="R5448" s="5">
        <f>_xlfn.IFERROR(INDEX('model_byCAP'!$D$2:$D$377,MATCH(Q5448,'model_byCAP'!$A$2:$A$377,0)),0)</f>
        <v>0</v>
      </c>
    </row>
    <row r="5449" ht="15.35" customHeight="1">
      <c r="A5449" t="s" s="2">
        <v>9927</v>
      </c>
      <c r="B5449" s="4">
        <v>42185</v>
      </c>
      <c r="C5449" s="5">
        <v>10</v>
      </c>
      <c r="D5449" s="5">
        <v>13</v>
      </c>
      <c r="E5449" s="5">
        <v>18.2</v>
      </c>
      <c r="F5449" t="s" s="2">
        <v>9471</v>
      </c>
      <c r="G5449" t="s" s="2">
        <v>9606</v>
      </c>
      <c r="H5449" s="5">
        <v>665</v>
      </c>
      <c r="I5449" t="s" s="2">
        <v>316</v>
      </c>
      <c r="J5449" t="s" s="2">
        <v>9204</v>
      </c>
      <c r="K5449" s="6"/>
      <c r="L5449" s="6"/>
      <c r="M5449" s="5">
        <v>451247.83</v>
      </c>
      <c r="N5449" s="5">
        <v>6267560</v>
      </c>
      <c r="O5449" t="s" s="2">
        <v>305</v>
      </c>
      <c r="P5449" s="6"/>
      <c r="Q5449" t="s" s="2">
        <v>9607</v>
      </c>
      <c r="R5449" s="5">
        <f>_xlfn.IFERROR(INDEX('model_byCAP'!$D$2:$D$377,MATCH(Q5449,'model_byCAP'!$A$2:$A$377,0)),0)</f>
        <v>0</v>
      </c>
    </row>
    <row r="5450" ht="15.35" customHeight="1">
      <c r="A5450" t="s" s="2">
        <v>9928</v>
      </c>
      <c r="B5450" s="4">
        <v>42200</v>
      </c>
      <c r="C5450" s="5">
        <v>10</v>
      </c>
      <c r="D5450" s="5">
        <v>7.1</v>
      </c>
      <c r="E5450" s="5">
        <v>21.4</v>
      </c>
      <c r="F5450" t="s" s="2">
        <v>42</v>
      </c>
      <c r="G5450" t="s" s="2">
        <v>42</v>
      </c>
      <c r="H5450" s="5">
        <v>665</v>
      </c>
      <c r="I5450" t="s" s="2">
        <v>316</v>
      </c>
      <c r="J5450" t="s" s="2">
        <v>9204</v>
      </c>
      <c r="K5450" s="6"/>
      <c r="L5450" s="6"/>
      <c r="M5450" s="5">
        <v>463201.58</v>
      </c>
      <c r="N5450" s="5">
        <v>6265418.73</v>
      </c>
      <c r="O5450" t="s" s="2">
        <v>305</v>
      </c>
      <c r="P5450" s="6"/>
      <c r="Q5450" t="s" s="2">
        <v>43</v>
      </c>
      <c r="R5450" s="5">
        <f>_xlfn.IFERROR(INDEX('model_byCAP'!$D$2:$D$377,MATCH(Q5450,'model_byCAP'!$A$2:$A$377,0)),0)</f>
        <v>0</v>
      </c>
    </row>
    <row r="5451" ht="15.35" customHeight="1">
      <c r="A5451" t="s" s="2">
        <v>9929</v>
      </c>
      <c r="B5451" s="4">
        <v>42233</v>
      </c>
      <c r="C5451" s="5">
        <v>10</v>
      </c>
      <c r="D5451" s="5">
        <v>14</v>
      </c>
      <c r="E5451" s="5">
        <v>18</v>
      </c>
      <c r="F5451" t="s" s="2">
        <v>9209</v>
      </c>
      <c r="G5451" t="s" s="2">
        <v>9210</v>
      </c>
      <c r="H5451" s="5">
        <v>665</v>
      </c>
      <c r="I5451" t="s" s="2">
        <v>316</v>
      </c>
      <c r="J5451" t="s" s="2">
        <v>9204</v>
      </c>
      <c r="K5451" s="6"/>
      <c r="L5451" s="6"/>
      <c r="M5451" s="5">
        <v>454639.54</v>
      </c>
      <c r="N5451" s="5">
        <v>6267277.76</v>
      </c>
      <c r="O5451" t="s" s="2">
        <v>305</v>
      </c>
      <c r="P5451" s="6"/>
      <c r="Q5451" t="s" s="2">
        <v>9211</v>
      </c>
      <c r="R5451" t="s" s="2">
        <f>_xlfn.IFERROR(INDEX('model_byCAP'!$D$2:$D$377,MATCH(Q5451,'model_byCAP'!$A$2:$A$377,0)),0)</f>
        <v>8430</v>
      </c>
    </row>
    <row r="5452" ht="15.35" customHeight="1">
      <c r="A5452" t="s" s="2">
        <v>9930</v>
      </c>
      <c r="B5452" s="4">
        <v>42233</v>
      </c>
      <c r="C5452" s="5">
        <v>10</v>
      </c>
      <c r="D5452" s="5">
        <v>14</v>
      </c>
      <c r="E5452" s="5">
        <v>18</v>
      </c>
      <c r="F5452" t="s" s="2">
        <v>9209</v>
      </c>
      <c r="G5452" t="s" s="2">
        <v>9638</v>
      </c>
      <c r="H5452" s="5">
        <v>665</v>
      </c>
      <c r="I5452" t="s" s="2">
        <v>316</v>
      </c>
      <c r="J5452" t="s" s="2">
        <v>9204</v>
      </c>
      <c r="K5452" s="6"/>
      <c r="L5452" s="6"/>
      <c r="M5452" s="5">
        <v>449874.09</v>
      </c>
      <c r="N5452" s="5">
        <v>6264132.01</v>
      </c>
      <c r="O5452" t="s" s="2">
        <v>305</v>
      </c>
      <c r="P5452" s="6"/>
      <c r="Q5452" t="s" s="2">
        <v>9639</v>
      </c>
      <c r="R5452" s="5">
        <f>_xlfn.IFERROR(INDEX('model_byCAP'!$D$2:$D$377,MATCH(Q5452,'model_byCAP'!$A$2:$A$377,0)),0)</f>
        <v>0</v>
      </c>
    </row>
    <row r="5453" ht="15.35" customHeight="1">
      <c r="A5453" t="s" s="2">
        <v>9931</v>
      </c>
      <c r="B5453" s="4">
        <v>42254</v>
      </c>
      <c r="C5453" s="5">
        <v>10</v>
      </c>
      <c r="D5453" s="5">
        <v>14</v>
      </c>
      <c r="E5453" s="5">
        <v>18</v>
      </c>
      <c r="F5453" t="s" s="2">
        <v>9209</v>
      </c>
      <c r="G5453" t="s" s="2">
        <v>9210</v>
      </c>
      <c r="H5453" s="5">
        <v>665</v>
      </c>
      <c r="I5453" t="s" s="2">
        <v>316</v>
      </c>
      <c r="J5453" t="s" s="2">
        <v>9204</v>
      </c>
      <c r="K5453" s="6"/>
      <c r="L5453" s="6"/>
      <c r="M5453" s="5">
        <v>451518.86</v>
      </c>
      <c r="N5453" s="5">
        <v>6251129.14</v>
      </c>
      <c r="O5453" t="s" s="2">
        <v>305</v>
      </c>
      <c r="P5453" s="6"/>
      <c r="Q5453" t="s" s="2">
        <v>9211</v>
      </c>
      <c r="R5453" t="s" s="2">
        <f>_xlfn.IFERROR(INDEX('model_byCAP'!$D$2:$D$377,MATCH(Q5453,'model_byCAP'!$A$2:$A$377,0)),0)</f>
        <v>8430</v>
      </c>
    </row>
    <row r="5454" ht="15.35" customHeight="1">
      <c r="A5454" t="s" s="2">
        <v>9932</v>
      </c>
      <c r="B5454" s="4">
        <v>42279</v>
      </c>
      <c r="C5454" s="5">
        <v>10</v>
      </c>
      <c r="D5454" s="5">
        <v>13</v>
      </c>
      <c r="E5454" s="5">
        <v>18.2</v>
      </c>
      <c r="F5454" t="s" s="2">
        <v>9471</v>
      </c>
      <c r="G5454" t="s" s="2">
        <v>9606</v>
      </c>
      <c r="H5454" s="5">
        <v>665</v>
      </c>
      <c r="I5454" t="s" s="2">
        <v>316</v>
      </c>
      <c r="J5454" t="s" s="2">
        <v>9204</v>
      </c>
      <c r="K5454" s="6"/>
      <c r="L5454" s="6"/>
      <c r="M5454" s="5">
        <v>460694.44</v>
      </c>
      <c r="N5454" s="5">
        <v>6266469.04</v>
      </c>
      <c r="O5454" t="s" s="2">
        <v>305</v>
      </c>
      <c r="P5454" s="6"/>
      <c r="Q5454" t="s" s="2">
        <v>9607</v>
      </c>
      <c r="R5454" s="5">
        <f>_xlfn.IFERROR(INDEX('model_byCAP'!$D$2:$D$377,MATCH(Q5454,'model_byCAP'!$A$2:$A$377,0)),0)</f>
        <v>0</v>
      </c>
    </row>
    <row r="5455" ht="15.35" customHeight="1">
      <c r="A5455" t="s" s="2">
        <v>9933</v>
      </c>
      <c r="B5455" s="4">
        <v>42256</v>
      </c>
      <c r="C5455" s="5">
        <v>10</v>
      </c>
      <c r="D5455" s="5">
        <v>7.1</v>
      </c>
      <c r="E5455" s="5">
        <v>21.4</v>
      </c>
      <c r="F5455" t="s" s="2">
        <v>42</v>
      </c>
      <c r="G5455" t="s" s="2">
        <v>42</v>
      </c>
      <c r="H5455" s="5">
        <v>665</v>
      </c>
      <c r="I5455" t="s" s="2">
        <v>316</v>
      </c>
      <c r="J5455" t="s" s="2">
        <v>9204</v>
      </c>
      <c r="K5455" s="6"/>
      <c r="L5455" s="6"/>
      <c r="M5455" s="5">
        <v>452843.84</v>
      </c>
      <c r="N5455" s="5">
        <v>6261925.55</v>
      </c>
      <c r="O5455" t="s" s="2">
        <v>305</v>
      </c>
      <c r="P5455" s="6"/>
      <c r="Q5455" t="s" s="2">
        <v>43</v>
      </c>
      <c r="R5455" s="5">
        <f>_xlfn.IFERROR(INDEX('model_byCAP'!$D$2:$D$377,MATCH(Q5455,'model_byCAP'!$A$2:$A$377,0)),0)</f>
        <v>0</v>
      </c>
    </row>
    <row r="5456" ht="15.35" customHeight="1">
      <c r="A5456" t="s" s="2">
        <v>9934</v>
      </c>
      <c r="B5456" s="4">
        <v>42268</v>
      </c>
      <c r="C5456" s="5">
        <v>10</v>
      </c>
      <c r="D5456" s="5">
        <v>7.1</v>
      </c>
      <c r="E5456" s="5">
        <v>21</v>
      </c>
      <c r="F5456" t="s" s="2">
        <v>42</v>
      </c>
      <c r="G5456" t="s" s="2">
        <v>42</v>
      </c>
      <c r="H5456" s="5">
        <v>665</v>
      </c>
      <c r="I5456" t="s" s="2">
        <v>316</v>
      </c>
      <c r="J5456" t="s" s="2">
        <v>9204</v>
      </c>
      <c r="K5456" s="6"/>
      <c r="L5456" s="6"/>
      <c r="M5456" s="5">
        <v>449273.38</v>
      </c>
      <c r="N5456" s="5">
        <v>6261062.13</v>
      </c>
      <c r="O5456" t="s" s="2">
        <v>305</v>
      </c>
      <c r="P5456" s="6"/>
      <c r="Q5456" t="s" s="2">
        <v>43</v>
      </c>
      <c r="R5456" s="5">
        <f>_xlfn.IFERROR(INDEX('model_byCAP'!$D$2:$D$377,MATCH(Q5456,'model_byCAP'!$A$2:$A$377,0)),0)</f>
        <v>0</v>
      </c>
    </row>
    <row r="5457" ht="15.35" customHeight="1">
      <c r="A5457" t="s" s="2">
        <v>9935</v>
      </c>
      <c r="B5457" s="4">
        <v>42268</v>
      </c>
      <c r="C5457" s="5">
        <v>10</v>
      </c>
      <c r="D5457" s="5">
        <v>7.1</v>
      </c>
      <c r="E5457" s="5">
        <v>21.4</v>
      </c>
      <c r="F5457" t="s" s="2">
        <v>42</v>
      </c>
      <c r="G5457" t="s" s="2">
        <v>42</v>
      </c>
      <c r="H5457" s="5">
        <v>665</v>
      </c>
      <c r="I5457" t="s" s="2">
        <v>316</v>
      </c>
      <c r="J5457" t="s" s="2">
        <v>9204</v>
      </c>
      <c r="K5457" s="6"/>
      <c r="L5457" s="6"/>
      <c r="M5457" s="5">
        <v>457178.6</v>
      </c>
      <c r="N5457" s="5">
        <v>6264285.4</v>
      </c>
      <c r="O5457" t="s" s="2">
        <v>305</v>
      </c>
      <c r="P5457" s="6"/>
      <c r="Q5457" t="s" s="2">
        <v>43</v>
      </c>
      <c r="R5457" s="5">
        <f>_xlfn.IFERROR(INDEX('model_byCAP'!$D$2:$D$377,MATCH(Q5457,'model_byCAP'!$A$2:$A$377,0)),0)</f>
        <v>0</v>
      </c>
    </row>
    <row r="5458" ht="15.35" customHeight="1">
      <c r="A5458" t="s" s="2">
        <v>9936</v>
      </c>
      <c r="B5458" s="4">
        <v>42270</v>
      </c>
      <c r="C5458" s="5">
        <v>10</v>
      </c>
      <c r="D5458" s="5">
        <v>14</v>
      </c>
      <c r="E5458" s="5">
        <v>18</v>
      </c>
      <c r="F5458" t="s" s="2">
        <v>9209</v>
      </c>
      <c r="G5458" t="s" s="2">
        <v>9210</v>
      </c>
      <c r="H5458" s="5">
        <v>665</v>
      </c>
      <c r="I5458" t="s" s="2">
        <v>316</v>
      </c>
      <c r="J5458" t="s" s="2">
        <v>9204</v>
      </c>
      <c r="K5458" s="6"/>
      <c r="L5458" s="6"/>
      <c r="M5458" s="5">
        <v>459812.39</v>
      </c>
      <c r="N5458" s="5">
        <v>6264214.13</v>
      </c>
      <c r="O5458" t="s" s="2">
        <v>305</v>
      </c>
      <c r="P5458" s="6"/>
      <c r="Q5458" t="s" s="2">
        <v>9211</v>
      </c>
      <c r="R5458" t="s" s="2">
        <f>_xlfn.IFERROR(INDEX('model_byCAP'!$D$2:$D$377,MATCH(Q5458,'model_byCAP'!$A$2:$A$377,0)),0)</f>
        <v>8430</v>
      </c>
    </row>
    <row r="5459" ht="15.35" customHeight="1">
      <c r="A5459" t="s" s="2">
        <v>9937</v>
      </c>
      <c r="B5459" s="4">
        <v>42270</v>
      </c>
      <c r="C5459" s="5">
        <v>10</v>
      </c>
      <c r="D5459" s="5">
        <v>7.1</v>
      </c>
      <c r="E5459" s="5">
        <v>21.4</v>
      </c>
      <c r="F5459" t="s" s="2">
        <v>42</v>
      </c>
      <c r="G5459" t="s" s="2">
        <v>42</v>
      </c>
      <c r="H5459" s="5">
        <v>665</v>
      </c>
      <c r="I5459" t="s" s="2">
        <v>316</v>
      </c>
      <c r="J5459" t="s" s="2">
        <v>9204</v>
      </c>
      <c r="K5459" s="6"/>
      <c r="L5459" s="6"/>
      <c r="M5459" s="5">
        <v>452653.26</v>
      </c>
      <c r="N5459" s="5">
        <v>6255473.1</v>
      </c>
      <c r="O5459" t="s" s="2">
        <v>305</v>
      </c>
      <c r="P5459" s="6"/>
      <c r="Q5459" t="s" s="2">
        <v>43</v>
      </c>
      <c r="R5459" s="5">
        <f>_xlfn.IFERROR(INDEX('model_byCAP'!$D$2:$D$377,MATCH(Q5459,'model_byCAP'!$A$2:$A$377,0)),0)</f>
        <v>0</v>
      </c>
    </row>
    <row r="5460" ht="15.35" customHeight="1">
      <c r="A5460" t="s" s="2">
        <v>9938</v>
      </c>
      <c r="B5460" s="4">
        <v>42277</v>
      </c>
      <c r="C5460" s="5">
        <v>10</v>
      </c>
      <c r="D5460" s="5">
        <v>14</v>
      </c>
      <c r="E5460" s="5">
        <v>18</v>
      </c>
      <c r="F5460" t="s" s="2">
        <v>9209</v>
      </c>
      <c r="G5460" t="s" s="2">
        <v>9293</v>
      </c>
      <c r="H5460" s="5">
        <v>665</v>
      </c>
      <c r="I5460" t="s" s="2">
        <v>316</v>
      </c>
      <c r="J5460" t="s" s="2">
        <v>9204</v>
      </c>
      <c r="K5460" s="6"/>
      <c r="L5460" s="6"/>
      <c r="M5460" s="5">
        <v>454969.29</v>
      </c>
      <c r="N5460" s="5">
        <v>6265243.57</v>
      </c>
      <c r="O5460" t="s" s="2">
        <v>305</v>
      </c>
      <c r="P5460" s="6"/>
      <c r="Q5460" t="s" s="2">
        <v>9295</v>
      </c>
      <c r="R5460" t="s" s="2">
        <f>_xlfn.IFERROR(INDEX('model_byCAP'!$D$2:$D$377,MATCH(Q5460,'model_byCAP'!$A$2:$A$377,0)),0)</f>
        <v>8430</v>
      </c>
    </row>
    <row r="5461" ht="15.35" customHeight="1">
      <c r="A5461" t="s" s="2">
        <v>9939</v>
      </c>
      <c r="B5461" s="4">
        <v>42277</v>
      </c>
      <c r="C5461" s="5">
        <v>10</v>
      </c>
      <c r="D5461" s="5">
        <v>14</v>
      </c>
      <c r="E5461" s="5">
        <v>18</v>
      </c>
      <c r="F5461" t="s" s="2">
        <v>9209</v>
      </c>
      <c r="G5461" t="s" s="2">
        <v>9293</v>
      </c>
      <c r="H5461" s="5">
        <v>665</v>
      </c>
      <c r="I5461" t="s" s="2">
        <v>316</v>
      </c>
      <c r="J5461" t="s" s="2">
        <v>9204</v>
      </c>
      <c r="K5461" s="6"/>
      <c r="L5461" s="6"/>
      <c r="M5461" s="5">
        <v>455339.16</v>
      </c>
      <c r="N5461" s="5">
        <v>6264840.26</v>
      </c>
      <c r="O5461" t="s" s="2">
        <v>305</v>
      </c>
      <c r="P5461" s="6"/>
      <c r="Q5461" t="s" s="2">
        <v>9295</v>
      </c>
      <c r="R5461" t="s" s="2">
        <f>_xlfn.IFERROR(INDEX('model_byCAP'!$D$2:$D$377,MATCH(Q5461,'model_byCAP'!$A$2:$A$377,0)),0)</f>
        <v>8430</v>
      </c>
    </row>
    <row r="5462" ht="15.35" customHeight="1">
      <c r="A5462" t="s" s="2">
        <v>9940</v>
      </c>
      <c r="B5462" s="4">
        <v>42277</v>
      </c>
      <c r="C5462" s="5">
        <v>10</v>
      </c>
      <c r="D5462" s="5">
        <v>7.1</v>
      </c>
      <c r="E5462" s="5">
        <v>21.4</v>
      </c>
      <c r="F5462" t="s" s="2">
        <v>42</v>
      </c>
      <c r="G5462" t="s" s="2">
        <v>42</v>
      </c>
      <c r="H5462" s="5">
        <v>665</v>
      </c>
      <c r="I5462" t="s" s="2">
        <v>316</v>
      </c>
      <c r="J5462" t="s" s="2">
        <v>9204</v>
      </c>
      <c r="K5462" s="6"/>
      <c r="L5462" s="6"/>
      <c r="M5462" s="5">
        <v>455513.43</v>
      </c>
      <c r="N5462" s="5">
        <v>6254576.96</v>
      </c>
      <c r="O5462" t="s" s="2">
        <v>305</v>
      </c>
      <c r="P5462" s="6"/>
      <c r="Q5462" t="s" s="2">
        <v>43</v>
      </c>
      <c r="R5462" s="5">
        <f>_xlfn.IFERROR(INDEX('model_byCAP'!$D$2:$D$377,MATCH(Q5462,'model_byCAP'!$A$2:$A$377,0)),0)</f>
        <v>0</v>
      </c>
    </row>
    <row r="5463" ht="15.35" customHeight="1">
      <c r="A5463" t="s" s="2">
        <v>9941</v>
      </c>
      <c r="B5463" s="4">
        <v>42278</v>
      </c>
      <c r="C5463" s="5">
        <v>10</v>
      </c>
      <c r="D5463" s="5">
        <v>14</v>
      </c>
      <c r="E5463" s="5">
        <v>18</v>
      </c>
      <c r="F5463" t="s" s="2">
        <v>9209</v>
      </c>
      <c r="G5463" t="s" s="2">
        <v>9293</v>
      </c>
      <c r="H5463" s="5">
        <v>665</v>
      </c>
      <c r="I5463" t="s" s="2">
        <v>316</v>
      </c>
      <c r="J5463" t="s" s="2">
        <v>9204</v>
      </c>
      <c r="K5463" s="6"/>
      <c r="L5463" s="6"/>
      <c r="M5463" s="5">
        <v>458226.23</v>
      </c>
      <c r="N5463" s="5">
        <v>6264849.55</v>
      </c>
      <c r="O5463" t="s" s="2">
        <v>305</v>
      </c>
      <c r="P5463" s="6"/>
      <c r="Q5463" t="s" s="2">
        <v>9295</v>
      </c>
      <c r="R5463" t="s" s="2">
        <f>_xlfn.IFERROR(INDEX('model_byCAP'!$D$2:$D$377,MATCH(Q5463,'model_byCAP'!$A$2:$A$377,0)),0)</f>
        <v>8430</v>
      </c>
    </row>
    <row r="5464" ht="15.35" customHeight="1">
      <c r="A5464" t="s" s="2">
        <v>9942</v>
      </c>
      <c r="B5464" s="4">
        <v>42297</v>
      </c>
      <c r="C5464" s="5">
        <v>10</v>
      </c>
      <c r="D5464" s="5">
        <v>14</v>
      </c>
      <c r="E5464" s="5">
        <v>18</v>
      </c>
      <c r="F5464" t="s" s="2">
        <v>9209</v>
      </c>
      <c r="G5464" t="s" s="2">
        <v>9293</v>
      </c>
      <c r="H5464" s="5">
        <v>665</v>
      </c>
      <c r="I5464" t="s" s="2">
        <v>316</v>
      </c>
      <c r="J5464" t="s" s="2">
        <v>9204</v>
      </c>
      <c r="K5464" s="6"/>
      <c r="L5464" s="6"/>
      <c r="M5464" s="5">
        <v>455809.12</v>
      </c>
      <c r="N5464" s="5">
        <v>6255988.23</v>
      </c>
      <c r="O5464" t="s" s="2">
        <v>305</v>
      </c>
      <c r="P5464" s="6"/>
      <c r="Q5464" t="s" s="2">
        <v>9295</v>
      </c>
      <c r="R5464" t="s" s="2">
        <f>_xlfn.IFERROR(INDEX('model_byCAP'!$D$2:$D$377,MATCH(Q5464,'model_byCAP'!$A$2:$A$377,0)),0)</f>
        <v>8430</v>
      </c>
    </row>
    <row r="5465" ht="15.35" customHeight="1">
      <c r="A5465" t="s" s="2">
        <v>9943</v>
      </c>
      <c r="B5465" s="4">
        <v>42298</v>
      </c>
      <c r="C5465" s="5">
        <v>10</v>
      </c>
      <c r="D5465" s="5">
        <v>7.1</v>
      </c>
      <c r="E5465" s="5">
        <v>21.4</v>
      </c>
      <c r="F5465" t="s" s="2">
        <v>42</v>
      </c>
      <c r="G5465" t="s" s="2">
        <v>42</v>
      </c>
      <c r="H5465" s="5">
        <v>665</v>
      </c>
      <c r="I5465" t="s" s="2">
        <v>316</v>
      </c>
      <c r="J5465" t="s" s="2">
        <v>9204</v>
      </c>
      <c r="K5465" s="6"/>
      <c r="L5465" s="6"/>
      <c r="M5465" s="6"/>
      <c r="N5465" s="6"/>
      <c r="O5465" t="s" s="2">
        <v>25</v>
      </c>
      <c r="P5465" s="6"/>
      <c r="Q5465" t="s" s="2">
        <v>43</v>
      </c>
      <c r="R5465" s="5">
        <f>_xlfn.IFERROR(INDEX('model_byCAP'!$D$2:$D$377,MATCH(Q5465,'model_byCAP'!$A$2:$A$377,0)),0)</f>
        <v>0</v>
      </c>
    </row>
    <row r="5466" ht="15.35" customHeight="1">
      <c r="A5466" t="s" s="2">
        <v>9944</v>
      </c>
      <c r="B5466" s="4">
        <v>42298</v>
      </c>
      <c r="C5466" s="5">
        <v>10</v>
      </c>
      <c r="D5466" s="5">
        <v>7.1</v>
      </c>
      <c r="E5466" s="5">
        <v>21.4</v>
      </c>
      <c r="F5466" t="s" s="2">
        <v>42</v>
      </c>
      <c r="G5466" t="s" s="2">
        <v>42</v>
      </c>
      <c r="H5466" s="5">
        <v>665</v>
      </c>
      <c r="I5466" t="s" s="2">
        <v>316</v>
      </c>
      <c r="J5466" t="s" s="2">
        <v>9204</v>
      </c>
      <c r="K5466" s="6"/>
      <c r="L5466" s="6"/>
      <c r="M5466" s="5">
        <v>450063.93</v>
      </c>
      <c r="N5466" s="5">
        <v>6268751.72</v>
      </c>
      <c r="O5466" t="s" s="2">
        <v>305</v>
      </c>
      <c r="P5466" s="6"/>
      <c r="Q5466" t="s" s="2">
        <v>43</v>
      </c>
      <c r="R5466" s="5">
        <f>_xlfn.IFERROR(INDEX('model_byCAP'!$D$2:$D$377,MATCH(Q5466,'model_byCAP'!$A$2:$A$377,0)),0)</f>
        <v>0</v>
      </c>
    </row>
    <row r="5467" ht="15.35" customHeight="1">
      <c r="A5467" t="s" s="2">
        <v>9945</v>
      </c>
      <c r="B5467" s="4">
        <v>42310</v>
      </c>
      <c r="C5467" s="5">
        <v>10</v>
      </c>
      <c r="D5467" s="5">
        <v>14</v>
      </c>
      <c r="E5467" s="5">
        <v>18</v>
      </c>
      <c r="F5467" t="s" s="2">
        <v>9209</v>
      </c>
      <c r="G5467" t="s" s="2">
        <v>9293</v>
      </c>
      <c r="H5467" s="5">
        <v>665</v>
      </c>
      <c r="I5467" t="s" s="2">
        <v>316</v>
      </c>
      <c r="J5467" t="s" s="2">
        <v>9204</v>
      </c>
      <c r="K5467" s="6"/>
      <c r="L5467" s="6"/>
      <c r="M5467" s="5">
        <v>453131.32</v>
      </c>
      <c r="N5467" s="5">
        <v>6261279.35</v>
      </c>
      <c r="O5467" t="s" s="2">
        <v>305</v>
      </c>
      <c r="P5467" s="6"/>
      <c r="Q5467" t="s" s="2">
        <v>9295</v>
      </c>
      <c r="R5467" t="s" s="2">
        <f>_xlfn.IFERROR(INDEX('model_byCAP'!$D$2:$D$377,MATCH(Q5467,'model_byCAP'!$A$2:$A$377,0)),0)</f>
        <v>8430</v>
      </c>
    </row>
    <row r="5468" ht="15.35" customHeight="1">
      <c r="A5468" t="s" s="2">
        <v>9946</v>
      </c>
      <c r="B5468" s="4">
        <v>42313</v>
      </c>
      <c r="C5468" s="5">
        <v>10</v>
      </c>
      <c r="D5468" s="5">
        <v>14</v>
      </c>
      <c r="E5468" s="5">
        <v>18</v>
      </c>
      <c r="F5468" t="s" s="2">
        <v>9209</v>
      </c>
      <c r="G5468" t="s" s="2">
        <v>9293</v>
      </c>
      <c r="H5468" s="5">
        <v>665</v>
      </c>
      <c r="I5468" t="s" s="2">
        <v>316</v>
      </c>
      <c r="J5468" t="s" s="2">
        <v>9204</v>
      </c>
      <c r="K5468" s="6"/>
      <c r="L5468" s="6"/>
      <c r="M5468" s="5">
        <v>462990.31</v>
      </c>
      <c r="N5468" s="5">
        <v>6264961.29</v>
      </c>
      <c r="O5468" t="s" s="2">
        <v>305</v>
      </c>
      <c r="P5468" s="6"/>
      <c r="Q5468" t="s" s="2">
        <v>9295</v>
      </c>
      <c r="R5468" t="s" s="2">
        <f>_xlfn.IFERROR(INDEX('model_byCAP'!$D$2:$D$377,MATCH(Q5468,'model_byCAP'!$A$2:$A$377,0)),0)</f>
        <v>8430</v>
      </c>
    </row>
    <row r="5469" ht="15.35" customHeight="1">
      <c r="A5469" t="s" s="2">
        <v>9947</v>
      </c>
      <c r="B5469" s="4">
        <v>42313</v>
      </c>
      <c r="C5469" s="5">
        <v>10</v>
      </c>
      <c r="D5469" s="5">
        <v>7.1</v>
      </c>
      <c r="E5469" s="5">
        <v>21</v>
      </c>
      <c r="F5469" t="s" s="2">
        <v>42</v>
      </c>
      <c r="G5469" t="s" s="2">
        <v>42</v>
      </c>
      <c r="H5469" s="5">
        <v>665</v>
      </c>
      <c r="I5469" t="s" s="2">
        <v>316</v>
      </c>
      <c r="J5469" t="s" s="2">
        <v>9204</v>
      </c>
      <c r="K5469" s="6"/>
      <c r="L5469" s="6"/>
      <c r="M5469" s="6"/>
      <c r="N5469" s="6"/>
      <c r="O5469" t="s" s="2">
        <v>25</v>
      </c>
      <c r="P5469" s="6"/>
      <c r="Q5469" t="s" s="2">
        <v>43</v>
      </c>
      <c r="R5469" s="5">
        <f>_xlfn.IFERROR(INDEX('model_byCAP'!$D$2:$D$377,MATCH(Q5469,'model_byCAP'!$A$2:$A$377,0)),0)</f>
        <v>0</v>
      </c>
    </row>
    <row r="5470" ht="15.35" customHeight="1">
      <c r="A5470" t="s" s="2">
        <v>9948</v>
      </c>
      <c r="B5470" s="4">
        <v>42317</v>
      </c>
      <c r="C5470" s="5">
        <v>10</v>
      </c>
      <c r="D5470" s="5">
        <v>14</v>
      </c>
      <c r="E5470" s="5">
        <v>18</v>
      </c>
      <c r="F5470" t="s" s="2">
        <v>9209</v>
      </c>
      <c r="G5470" t="s" s="2">
        <v>9293</v>
      </c>
      <c r="H5470" s="5">
        <v>665</v>
      </c>
      <c r="I5470" t="s" s="2">
        <v>316</v>
      </c>
      <c r="J5470" t="s" s="2">
        <v>9204</v>
      </c>
      <c r="K5470" s="6"/>
      <c r="L5470" s="6"/>
      <c r="M5470" s="5">
        <v>451512.49</v>
      </c>
      <c r="N5470" s="5">
        <v>6261836.86</v>
      </c>
      <c r="O5470" t="s" s="2">
        <v>305</v>
      </c>
      <c r="P5470" s="6"/>
      <c r="Q5470" t="s" s="2">
        <v>9295</v>
      </c>
      <c r="R5470" t="s" s="2">
        <f>_xlfn.IFERROR(INDEX('model_byCAP'!$D$2:$D$377,MATCH(Q5470,'model_byCAP'!$A$2:$A$377,0)),0)</f>
        <v>8430</v>
      </c>
    </row>
    <row r="5471" ht="15.35" customHeight="1">
      <c r="A5471" t="s" s="2">
        <v>9949</v>
      </c>
      <c r="B5471" s="4">
        <v>42317</v>
      </c>
      <c r="C5471" s="5">
        <v>10</v>
      </c>
      <c r="D5471" s="5">
        <v>14</v>
      </c>
      <c r="E5471" s="5">
        <v>18</v>
      </c>
      <c r="F5471" t="s" s="2">
        <v>9209</v>
      </c>
      <c r="G5471" t="s" s="2">
        <v>9293</v>
      </c>
      <c r="H5471" s="5">
        <v>665</v>
      </c>
      <c r="I5471" t="s" s="2">
        <v>316</v>
      </c>
      <c r="J5471" t="s" s="2">
        <v>9204</v>
      </c>
      <c r="K5471" s="6"/>
      <c r="L5471" s="6"/>
      <c r="M5471" s="5">
        <v>462657</v>
      </c>
      <c r="N5471" s="5">
        <v>6266539.46</v>
      </c>
      <c r="O5471" t="s" s="2">
        <v>305</v>
      </c>
      <c r="P5471" s="6"/>
      <c r="Q5471" t="s" s="2">
        <v>9295</v>
      </c>
      <c r="R5471" t="s" s="2">
        <f>_xlfn.IFERROR(INDEX('model_byCAP'!$D$2:$D$377,MATCH(Q5471,'model_byCAP'!$A$2:$A$377,0)),0)</f>
        <v>8430</v>
      </c>
    </row>
    <row r="5472" ht="15.35" customHeight="1">
      <c r="A5472" t="s" s="2">
        <v>9950</v>
      </c>
      <c r="B5472" s="4">
        <v>42317</v>
      </c>
      <c r="C5472" s="5">
        <v>10</v>
      </c>
      <c r="D5472" s="5">
        <v>14</v>
      </c>
      <c r="E5472" s="5">
        <v>18</v>
      </c>
      <c r="F5472" t="s" s="2">
        <v>9209</v>
      </c>
      <c r="G5472" t="s" s="2">
        <v>9293</v>
      </c>
      <c r="H5472" s="5">
        <v>665</v>
      </c>
      <c r="I5472" t="s" s="2">
        <v>316</v>
      </c>
      <c r="J5472" t="s" s="2">
        <v>9204</v>
      </c>
      <c r="K5472" s="6"/>
      <c r="L5472" s="6"/>
      <c r="M5472" s="5">
        <v>456048.55</v>
      </c>
      <c r="N5472" s="5">
        <v>6263405.3</v>
      </c>
      <c r="O5472" t="s" s="2">
        <v>305</v>
      </c>
      <c r="P5472" s="6"/>
      <c r="Q5472" t="s" s="2">
        <v>9295</v>
      </c>
      <c r="R5472" t="s" s="2">
        <f>_xlfn.IFERROR(INDEX('model_byCAP'!$D$2:$D$377,MATCH(Q5472,'model_byCAP'!$A$2:$A$377,0)),0)</f>
        <v>8430</v>
      </c>
    </row>
    <row r="5473" ht="15.35" customHeight="1">
      <c r="A5473" t="s" s="2">
        <v>9951</v>
      </c>
      <c r="B5473" s="4">
        <v>42320</v>
      </c>
      <c r="C5473" s="5">
        <v>10</v>
      </c>
      <c r="D5473" s="5">
        <v>7.1</v>
      </c>
      <c r="E5473" s="5">
        <v>21.4</v>
      </c>
      <c r="F5473" t="s" s="2">
        <v>42</v>
      </c>
      <c r="G5473" t="s" s="2">
        <v>42</v>
      </c>
      <c r="H5473" s="5">
        <v>665</v>
      </c>
      <c r="I5473" t="s" s="2">
        <v>316</v>
      </c>
      <c r="J5473" t="s" s="2">
        <v>9204</v>
      </c>
      <c r="K5473" s="6"/>
      <c r="L5473" s="6"/>
      <c r="M5473" s="5">
        <v>451400.16</v>
      </c>
      <c r="N5473" s="5">
        <v>6262104.87</v>
      </c>
      <c r="O5473" t="s" s="2">
        <v>305</v>
      </c>
      <c r="P5473" s="6"/>
      <c r="Q5473" t="s" s="2">
        <v>43</v>
      </c>
      <c r="R5473" s="5">
        <f>_xlfn.IFERROR(INDEX('model_byCAP'!$D$2:$D$377,MATCH(Q5473,'model_byCAP'!$A$2:$A$377,0)),0)</f>
        <v>0</v>
      </c>
    </row>
    <row r="5474" ht="15.35" customHeight="1">
      <c r="A5474" t="s" s="2">
        <v>9952</v>
      </c>
      <c r="B5474" s="4">
        <v>42338</v>
      </c>
      <c r="C5474" s="5">
        <v>10</v>
      </c>
      <c r="D5474" s="5">
        <v>14</v>
      </c>
      <c r="E5474" s="5">
        <v>18</v>
      </c>
      <c r="F5474" t="s" s="2">
        <v>9209</v>
      </c>
      <c r="G5474" t="s" s="2">
        <v>9293</v>
      </c>
      <c r="H5474" s="5">
        <v>665</v>
      </c>
      <c r="I5474" t="s" s="2">
        <v>316</v>
      </c>
      <c r="J5474" t="s" s="2">
        <v>9204</v>
      </c>
      <c r="K5474" s="6"/>
      <c r="L5474" s="6"/>
      <c r="M5474" s="5">
        <v>450762.92</v>
      </c>
      <c r="N5474" s="5">
        <v>6265760.82</v>
      </c>
      <c r="O5474" t="s" s="2">
        <v>305</v>
      </c>
      <c r="P5474" s="6"/>
      <c r="Q5474" t="s" s="2">
        <v>9295</v>
      </c>
      <c r="R5474" t="s" s="2">
        <f>_xlfn.IFERROR(INDEX('model_byCAP'!$D$2:$D$377,MATCH(Q5474,'model_byCAP'!$A$2:$A$377,0)),0)</f>
        <v>8430</v>
      </c>
    </row>
    <row r="5475" ht="15.35" customHeight="1">
      <c r="A5475" t="s" s="2">
        <v>9953</v>
      </c>
      <c r="B5475" s="4">
        <v>42341</v>
      </c>
      <c r="C5475" s="5">
        <v>10</v>
      </c>
      <c r="D5475" s="5">
        <v>14</v>
      </c>
      <c r="E5475" s="5">
        <v>18</v>
      </c>
      <c r="F5475" t="s" s="2">
        <v>9209</v>
      </c>
      <c r="G5475" t="s" s="2">
        <v>9293</v>
      </c>
      <c r="H5475" s="5">
        <v>665</v>
      </c>
      <c r="I5475" t="s" s="2">
        <v>316</v>
      </c>
      <c r="J5475" t="s" s="2">
        <v>9204</v>
      </c>
      <c r="K5475" s="6"/>
      <c r="L5475" s="6"/>
      <c r="M5475" s="5">
        <v>449679.43</v>
      </c>
      <c r="N5475" s="5">
        <v>6265052.84</v>
      </c>
      <c r="O5475" t="s" s="2">
        <v>305</v>
      </c>
      <c r="P5475" s="6"/>
      <c r="Q5475" t="s" s="2">
        <v>9295</v>
      </c>
      <c r="R5475" t="s" s="2">
        <f>_xlfn.IFERROR(INDEX('model_byCAP'!$D$2:$D$377,MATCH(Q5475,'model_byCAP'!$A$2:$A$377,0)),0)</f>
        <v>8430</v>
      </c>
    </row>
    <row r="5476" ht="15.35" customHeight="1">
      <c r="A5476" t="s" s="2">
        <v>9954</v>
      </c>
      <c r="B5476" s="4">
        <v>42347</v>
      </c>
      <c r="C5476" s="5">
        <v>10</v>
      </c>
      <c r="D5476" s="5">
        <v>13</v>
      </c>
      <c r="E5476" s="5">
        <v>18.2</v>
      </c>
      <c r="F5476" t="s" s="2">
        <v>9471</v>
      </c>
      <c r="G5476" t="s" s="2">
        <v>9606</v>
      </c>
      <c r="H5476" s="5">
        <v>665</v>
      </c>
      <c r="I5476" t="s" s="2">
        <v>316</v>
      </c>
      <c r="J5476" t="s" s="2">
        <v>9204</v>
      </c>
      <c r="K5476" s="6"/>
      <c r="L5476" s="6"/>
      <c r="M5476" s="5">
        <v>460053.74</v>
      </c>
      <c r="N5476" s="5">
        <v>6266683.56</v>
      </c>
      <c r="O5476" t="s" s="2">
        <v>305</v>
      </c>
      <c r="P5476" s="6"/>
      <c r="Q5476" t="s" s="2">
        <v>9607</v>
      </c>
      <c r="R5476" s="5">
        <f>_xlfn.IFERROR(INDEX('model_byCAP'!$D$2:$D$377,MATCH(Q5476,'model_byCAP'!$A$2:$A$377,0)),0)</f>
        <v>0</v>
      </c>
    </row>
    <row r="5477" ht="15.35" customHeight="1">
      <c r="A5477" t="s" s="2">
        <v>9955</v>
      </c>
      <c r="B5477" s="4">
        <v>42354</v>
      </c>
      <c r="C5477" s="5">
        <v>10</v>
      </c>
      <c r="D5477" s="5">
        <v>14</v>
      </c>
      <c r="E5477" s="5">
        <v>18</v>
      </c>
      <c r="F5477" t="s" s="2">
        <v>9209</v>
      </c>
      <c r="G5477" t="s" s="2">
        <v>9293</v>
      </c>
      <c r="H5477" s="5">
        <v>665</v>
      </c>
      <c r="I5477" t="s" s="2">
        <v>316</v>
      </c>
      <c r="J5477" t="s" s="2">
        <v>9204</v>
      </c>
      <c r="K5477" s="6"/>
      <c r="L5477" s="6"/>
      <c r="M5477" s="5">
        <v>451266.39</v>
      </c>
      <c r="N5477" s="5">
        <v>6263230.75</v>
      </c>
      <c r="O5477" t="s" s="2">
        <v>305</v>
      </c>
      <c r="P5477" s="6"/>
      <c r="Q5477" t="s" s="2">
        <v>9295</v>
      </c>
      <c r="R5477" t="s" s="2">
        <f>_xlfn.IFERROR(INDEX('model_byCAP'!$D$2:$D$377,MATCH(Q5477,'model_byCAP'!$A$2:$A$377,0)),0)</f>
        <v>8430</v>
      </c>
    </row>
    <row r="5478" ht="15.35" customHeight="1">
      <c r="A5478" t="s" s="2">
        <v>9956</v>
      </c>
      <c r="B5478" s="4">
        <v>42355</v>
      </c>
      <c r="C5478" s="5">
        <v>10</v>
      </c>
      <c r="D5478" s="5">
        <v>13</v>
      </c>
      <c r="E5478" s="5">
        <v>18</v>
      </c>
      <c r="F5478" t="s" s="2">
        <v>9202</v>
      </c>
      <c r="G5478" t="s" s="2">
        <v>9697</v>
      </c>
      <c r="H5478" s="5">
        <v>665</v>
      </c>
      <c r="I5478" t="s" s="2">
        <v>316</v>
      </c>
      <c r="J5478" t="s" s="2">
        <v>9204</v>
      </c>
      <c r="K5478" s="6"/>
      <c r="L5478" s="6"/>
      <c r="M5478" s="6"/>
      <c r="N5478" s="6"/>
      <c r="O5478" t="s" s="2">
        <v>25</v>
      </c>
      <c r="P5478" s="6"/>
      <c r="Q5478" t="s" s="2">
        <v>9698</v>
      </c>
      <c r="R5478" s="5">
        <f>_xlfn.IFERROR(INDEX('model_byCAP'!$D$2:$D$377,MATCH(Q5478,'model_byCAP'!$A$2:$A$377,0)),0)</f>
        <v>0</v>
      </c>
    </row>
    <row r="5479" ht="15.35" customHeight="1">
      <c r="A5479" t="s" s="2">
        <v>9957</v>
      </c>
      <c r="B5479" s="4">
        <v>42382</v>
      </c>
      <c r="C5479" s="5">
        <v>10</v>
      </c>
      <c r="D5479" s="5">
        <v>14</v>
      </c>
      <c r="E5479" s="5">
        <v>18</v>
      </c>
      <c r="F5479" t="s" s="2">
        <v>9209</v>
      </c>
      <c r="G5479" t="s" s="2">
        <v>9293</v>
      </c>
      <c r="H5479" s="5">
        <v>665</v>
      </c>
      <c r="I5479" t="s" s="2">
        <v>316</v>
      </c>
      <c r="J5479" t="s" s="2">
        <v>9204</v>
      </c>
      <c r="K5479" s="6"/>
      <c r="L5479" s="6"/>
      <c r="M5479" s="5">
        <v>452291.31</v>
      </c>
      <c r="N5479" s="5">
        <v>6254148.07</v>
      </c>
      <c r="O5479" t="s" s="2">
        <v>305</v>
      </c>
      <c r="P5479" s="6"/>
      <c r="Q5479" t="s" s="2">
        <v>9295</v>
      </c>
      <c r="R5479" t="s" s="2">
        <f>_xlfn.IFERROR(INDEX('model_byCAP'!$D$2:$D$377,MATCH(Q5479,'model_byCAP'!$A$2:$A$377,0)),0)</f>
        <v>8430</v>
      </c>
    </row>
    <row r="5480" ht="15.35" customHeight="1">
      <c r="A5480" t="s" s="2">
        <v>9958</v>
      </c>
      <c r="B5480" s="4">
        <v>42409</v>
      </c>
      <c r="C5480" s="5">
        <v>10</v>
      </c>
      <c r="D5480" s="5">
        <v>14</v>
      </c>
      <c r="E5480" s="5">
        <v>18</v>
      </c>
      <c r="F5480" t="s" s="2">
        <v>9209</v>
      </c>
      <c r="G5480" t="s" s="2">
        <v>9293</v>
      </c>
      <c r="H5480" s="5">
        <v>665</v>
      </c>
      <c r="I5480" t="s" s="2">
        <v>316</v>
      </c>
      <c r="J5480" t="s" s="2">
        <v>9204</v>
      </c>
      <c r="K5480" s="6"/>
      <c r="L5480" s="6"/>
      <c r="M5480" s="5">
        <v>451925.21</v>
      </c>
      <c r="N5480" s="5">
        <v>6263300.51</v>
      </c>
      <c r="O5480" t="s" s="2">
        <v>305</v>
      </c>
      <c r="P5480" s="6"/>
      <c r="Q5480" t="s" s="2">
        <v>9295</v>
      </c>
      <c r="R5480" t="s" s="2">
        <f>_xlfn.IFERROR(INDEX('model_byCAP'!$D$2:$D$377,MATCH(Q5480,'model_byCAP'!$A$2:$A$377,0)),0)</f>
        <v>8430</v>
      </c>
    </row>
    <row r="5481" ht="15.35" customHeight="1">
      <c r="A5481" t="s" s="2">
        <v>9959</v>
      </c>
      <c r="B5481" s="4">
        <v>42395</v>
      </c>
      <c r="C5481" s="5">
        <v>10</v>
      </c>
      <c r="D5481" s="5">
        <v>14</v>
      </c>
      <c r="E5481" s="5">
        <v>18</v>
      </c>
      <c r="F5481" t="s" s="2">
        <v>9209</v>
      </c>
      <c r="G5481" t="s" s="2">
        <v>9293</v>
      </c>
      <c r="H5481" s="5">
        <v>665</v>
      </c>
      <c r="I5481" t="s" s="2">
        <v>316</v>
      </c>
      <c r="J5481" t="s" s="2">
        <v>9204</v>
      </c>
      <c r="K5481" s="6"/>
      <c r="L5481" s="6"/>
      <c r="M5481" s="5">
        <v>462330.61</v>
      </c>
      <c r="N5481" s="5">
        <v>6267262.89</v>
      </c>
      <c r="O5481" t="s" s="2">
        <v>305</v>
      </c>
      <c r="P5481" s="6"/>
      <c r="Q5481" t="s" s="2">
        <v>9295</v>
      </c>
      <c r="R5481" t="s" s="2">
        <f>_xlfn.IFERROR(INDEX('model_byCAP'!$D$2:$D$377,MATCH(Q5481,'model_byCAP'!$A$2:$A$377,0)),0)</f>
        <v>8430</v>
      </c>
    </row>
    <row r="5482" ht="15.35" customHeight="1">
      <c r="A5482" t="s" s="2">
        <v>9960</v>
      </c>
      <c r="B5482" s="4">
        <v>42415</v>
      </c>
      <c r="C5482" s="5">
        <v>10</v>
      </c>
      <c r="D5482" s="5">
        <v>7.1</v>
      </c>
      <c r="E5482" s="5">
        <v>21.4</v>
      </c>
      <c r="F5482" t="s" s="2">
        <v>42</v>
      </c>
      <c r="G5482" t="s" s="2">
        <v>42</v>
      </c>
      <c r="H5482" s="5">
        <v>665</v>
      </c>
      <c r="I5482" t="s" s="2">
        <v>316</v>
      </c>
      <c r="J5482" t="s" s="2">
        <v>9204</v>
      </c>
      <c r="K5482" s="6"/>
      <c r="L5482" s="6"/>
      <c r="M5482" s="5">
        <v>453693.35</v>
      </c>
      <c r="N5482" s="5">
        <v>6264587.73</v>
      </c>
      <c r="O5482" t="s" s="2">
        <v>305</v>
      </c>
      <c r="P5482" s="6"/>
      <c r="Q5482" t="s" s="2">
        <v>43</v>
      </c>
      <c r="R5482" s="5">
        <f>_xlfn.IFERROR(INDEX('model_byCAP'!$D$2:$D$377,MATCH(Q5482,'model_byCAP'!$A$2:$A$377,0)),0)</f>
        <v>0</v>
      </c>
    </row>
    <row r="5483" ht="15.35" customHeight="1">
      <c r="A5483" t="s" s="2">
        <v>9961</v>
      </c>
      <c r="B5483" s="4">
        <v>42438</v>
      </c>
      <c r="C5483" s="5">
        <v>10</v>
      </c>
      <c r="D5483" s="5">
        <v>14</v>
      </c>
      <c r="E5483" s="5">
        <v>18</v>
      </c>
      <c r="F5483" t="s" s="2">
        <v>9209</v>
      </c>
      <c r="G5483" t="s" s="2">
        <v>9293</v>
      </c>
      <c r="H5483" s="5">
        <v>665</v>
      </c>
      <c r="I5483" t="s" s="2">
        <v>316</v>
      </c>
      <c r="J5483" t="s" s="2">
        <v>9204</v>
      </c>
      <c r="K5483" s="6"/>
      <c r="L5483" s="6"/>
      <c r="M5483" s="5">
        <v>449598.29</v>
      </c>
      <c r="N5483" s="5">
        <v>6259356.13</v>
      </c>
      <c r="O5483" t="s" s="2">
        <v>305</v>
      </c>
      <c r="P5483" s="6"/>
      <c r="Q5483" t="s" s="2">
        <v>9295</v>
      </c>
      <c r="R5483" t="s" s="2">
        <f>_xlfn.IFERROR(INDEX('model_byCAP'!$D$2:$D$377,MATCH(Q5483,'model_byCAP'!$A$2:$A$377,0)),0)</f>
        <v>8430</v>
      </c>
    </row>
    <row r="5484" ht="15.35" customHeight="1">
      <c r="A5484" t="s" s="2">
        <v>9962</v>
      </c>
      <c r="B5484" s="4">
        <v>42439</v>
      </c>
      <c r="C5484" s="5">
        <v>10</v>
      </c>
      <c r="D5484" s="5">
        <v>7.1</v>
      </c>
      <c r="E5484" s="5">
        <v>21.4</v>
      </c>
      <c r="F5484" t="s" s="2">
        <v>42</v>
      </c>
      <c r="G5484" t="s" s="2">
        <v>42</v>
      </c>
      <c r="H5484" s="5">
        <v>665</v>
      </c>
      <c r="I5484" t="s" s="2">
        <v>316</v>
      </c>
      <c r="J5484" t="s" s="2">
        <v>9204</v>
      </c>
      <c r="K5484" s="6"/>
      <c r="L5484" s="6"/>
      <c r="M5484" s="5">
        <v>463746.9</v>
      </c>
      <c r="N5484" s="5">
        <v>6266249.75</v>
      </c>
      <c r="O5484" t="s" s="2">
        <v>305</v>
      </c>
      <c r="P5484" s="6"/>
      <c r="Q5484" t="s" s="2">
        <v>43</v>
      </c>
      <c r="R5484" s="5">
        <f>_xlfn.IFERROR(INDEX('model_byCAP'!$D$2:$D$377,MATCH(Q5484,'model_byCAP'!$A$2:$A$377,0)),0)</f>
        <v>0</v>
      </c>
    </row>
    <row r="5485" ht="15.35" customHeight="1">
      <c r="A5485" t="s" s="2">
        <v>9963</v>
      </c>
      <c r="B5485" s="4">
        <v>42445</v>
      </c>
      <c r="C5485" s="5">
        <v>10</v>
      </c>
      <c r="D5485" s="5">
        <v>7.1</v>
      </c>
      <c r="E5485" s="5">
        <v>21</v>
      </c>
      <c r="F5485" t="s" s="2">
        <v>42</v>
      </c>
      <c r="G5485" t="s" s="2">
        <v>42</v>
      </c>
      <c r="H5485" s="5">
        <v>665</v>
      </c>
      <c r="I5485" t="s" s="2">
        <v>316</v>
      </c>
      <c r="J5485" t="s" s="2">
        <v>9204</v>
      </c>
      <c r="K5485" s="6"/>
      <c r="L5485" s="6"/>
      <c r="M5485" s="5">
        <v>452987.97</v>
      </c>
      <c r="N5485" s="5">
        <v>6255336.78</v>
      </c>
      <c r="O5485" t="s" s="2">
        <v>305</v>
      </c>
      <c r="P5485" s="6"/>
      <c r="Q5485" t="s" s="2">
        <v>43</v>
      </c>
      <c r="R5485" s="5">
        <f>_xlfn.IFERROR(INDEX('model_byCAP'!$D$2:$D$377,MATCH(Q5485,'model_byCAP'!$A$2:$A$377,0)),0)</f>
        <v>0</v>
      </c>
    </row>
    <row r="5486" ht="15.35" customHeight="1">
      <c r="A5486" t="s" s="2">
        <v>9964</v>
      </c>
      <c r="B5486" s="4">
        <v>42465</v>
      </c>
      <c r="C5486" s="5">
        <v>10</v>
      </c>
      <c r="D5486" s="5">
        <v>7.1</v>
      </c>
      <c r="E5486" s="5">
        <v>21.4</v>
      </c>
      <c r="F5486" t="s" s="2">
        <v>42</v>
      </c>
      <c r="G5486" t="s" s="2">
        <v>42</v>
      </c>
      <c r="H5486" s="5">
        <v>665</v>
      </c>
      <c r="I5486" t="s" s="2">
        <v>316</v>
      </c>
      <c r="J5486" t="s" s="2">
        <v>9204</v>
      </c>
      <c r="K5486" s="6"/>
      <c r="L5486" s="6"/>
      <c r="M5486" s="6"/>
      <c r="N5486" s="6"/>
      <c r="O5486" t="s" s="2">
        <v>25</v>
      </c>
      <c r="P5486" s="6"/>
      <c r="Q5486" t="s" s="2">
        <v>43</v>
      </c>
      <c r="R5486" s="5">
        <f>_xlfn.IFERROR(INDEX('model_byCAP'!$D$2:$D$377,MATCH(Q5486,'model_byCAP'!$A$2:$A$377,0)),0)</f>
        <v>0</v>
      </c>
    </row>
    <row r="5487" ht="15.35" customHeight="1">
      <c r="A5487" t="s" s="2">
        <v>9965</v>
      </c>
      <c r="B5487" s="4">
        <v>42466</v>
      </c>
      <c r="C5487" s="5">
        <v>10</v>
      </c>
      <c r="D5487" s="5">
        <v>13</v>
      </c>
      <c r="E5487" s="5">
        <v>18.2</v>
      </c>
      <c r="F5487" t="s" s="2">
        <v>9471</v>
      </c>
      <c r="G5487" t="s" s="2">
        <v>9606</v>
      </c>
      <c r="H5487" s="5">
        <v>665</v>
      </c>
      <c r="I5487" t="s" s="2">
        <v>316</v>
      </c>
      <c r="J5487" t="s" s="2">
        <v>9204</v>
      </c>
      <c r="K5487" s="6"/>
      <c r="L5487" s="6"/>
      <c r="M5487" s="5">
        <v>453933.54</v>
      </c>
      <c r="N5487" s="5">
        <v>6250561.14</v>
      </c>
      <c r="O5487" t="s" s="2">
        <v>305</v>
      </c>
      <c r="P5487" s="6"/>
      <c r="Q5487" t="s" s="2">
        <v>9607</v>
      </c>
      <c r="R5487" s="5">
        <f>_xlfn.IFERROR(INDEX('model_byCAP'!$D$2:$D$377,MATCH(Q5487,'model_byCAP'!$A$2:$A$377,0)),0)</f>
        <v>0</v>
      </c>
    </row>
    <row r="5488" ht="15.35" customHeight="1">
      <c r="A5488" t="s" s="2">
        <v>9966</v>
      </c>
      <c r="B5488" s="4">
        <v>42509</v>
      </c>
      <c r="C5488" s="5">
        <v>10</v>
      </c>
      <c r="D5488" s="5">
        <v>14</v>
      </c>
      <c r="E5488" s="5">
        <v>18</v>
      </c>
      <c r="F5488" t="s" s="2">
        <v>9209</v>
      </c>
      <c r="G5488" t="s" s="2">
        <v>9293</v>
      </c>
      <c r="H5488" s="5">
        <v>665</v>
      </c>
      <c r="I5488" t="s" s="2">
        <v>316</v>
      </c>
      <c r="J5488" t="s" s="2">
        <v>9204</v>
      </c>
      <c r="K5488" s="6"/>
      <c r="L5488" s="6"/>
      <c r="M5488" s="6"/>
      <c r="N5488" s="6"/>
      <c r="O5488" t="s" s="2">
        <v>25</v>
      </c>
      <c r="P5488" s="6"/>
      <c r="Q5488" t="s" s="2">
        <v>9295</v>
      </c>
      <c r="R5488" t="s" s="2">
        <f>_xlfn.IFERROR(INDEX('model_byCAP'!$D$2:$D$377,MATCH(Q5488,'model_byCAP'!$A$2:$A$377,0)),0)</f>
        <v>8430</v>
      </c>
    </row>
    <row r="5489" ht="15.35" customHeight="1">
      <c r="A5489" t="s" s="2">
        <v>9967</v>
      </c>
      <c r="B5489" s="4">
        <v>42493</v>
      </c>
      <c r="C5489" s="5">
        <v>10</v>
      </c>
      <c r="D5489" s="5">
        <v>14</v>
      </c>
      <c r="E5489" s="5">
        <v>18</v>
      </c>
      <c r="F5489" t="s" s="2">
        <v>9209</v>
      </c>
      <c r="G5489" t="s" s="2">
        <v>9293</v>
      </c>
      <c r="H5489" s="5">
        <v>665</v>
      </c>
      <c r="I5489" t="s" s="2">
        <v>316</v>
      </c>
      <c r="J5489" t="s" s="2">
        <v>9204</v>
      </c>
      <c r="K5489" s="6"/>
      <c r="L5489" s="6"/>
      <c r="M5489" s="5">
        <v>453425.99</v>
      </c>
      <c r="N5489" s="5">
        <v>6252286.83</v>
      </c>
      <c r="O5489" t="s" s="2">
        <v>305</v>
      </c>
      <c r="P5489" s="6"/>
      <c r="Q5489" t="s" s="2">
        <v>9295</v>
      </c>
      <c r="R5489" t="s" s="2">
        <f>_xlfn.IFERROR(INDEX('model_byCAP'!$D$2:$D$377,MATCH(Q5489,'model_byCAP'!$A$2:$A$377,0)),0)</f>
        <v>8430</v>
      </c>
    </row>
    <row r="5490" ht="15.35" customHeight="1">
      <c r="A5490" t="s" s="2">
        <v>9968</v>
      </c>
      <c r="B5490" s="4">
        <v>42534</v>
      </c>
      <c r="C5490" s="5">
        <v>10</v>
      </c>
      <c r="D5490" s="5">
        <v>14</v>
      </c>
      <c r="E5490" s="5">
        <v>18</v>
      </c>
      <c r="F5490" t="s" s="2">
        <v>9209</v>
      </c>
      <c r="G5490" t="s" s="2">
        <v>9293</v>
      </c>
      <c r="H5490" s="5">
        <v>665</v>
      </c>
      <c r="I5490" t="s" s="2">
        <v>316</v>
      </c>
      <c r="J5490" t="s" s="2">
        <v>9204</v>
      </c>
      <c r="K5490" s="6"/>
      <c r="L5490" s="6"/>
      <c r="M5490" s="6"/>
      <c r="N5490" s="6"/>
      <c r="O5490" t="s" s="2">
        <v>25</v>
      </c>
      <c r="P5490" s="6"/>
      <c r="Q5490" t="s" s="2">
        <v>9295</v>
      </c>
      <c r="R5490" t="s" s="2">
        <f>_xlfn.IFERROR(INDEX('model_byCAP'!$D$2:$D$377,MATCH(Q5490,'model_byCAP'!$A$2:$A$377,0)),0)</f>
        <v>8430</v>
      </c>
    </row>
    <row r="5491" ht="15.35" customHeight="1">
      <c r="A5491" t="s" s="2">
        <v>9969</v>
      </c>
      <c r="B5491" s="4">
        <v>42515</v>
      </c>
      <c r="C5491" s="5">
        <v>10</v>
      </c>
      <c r="D5491" s="5">
        <v>14</v>
      </c>
      <c r="E5491" s="5">
        <v>18</v>
      </c>
      <c r="F5491" t="s" s="2">
        <v>9209</v>
      </c>
      <c r="G5491" t="s" s="2">
        <v>9293</v>
      </c>
      <c r="H5491" s="5">
        <v>665</v>
      </c>
      <c r="I5491" t="s" s="2">
        <v>316</v>
      </c>
      <c r="J5491" t="s" s="2">
        <v>9204</v>
      </c>
      <c r="K5491" s="6"/>
      <c r="L5491" s="6"/>
      <c r="M5491" s="5">
        <v>452802.27</v>
      </c>
      <c r="N5491" s="5">
        <v>6267421.43</v>
      </c>
      <c r="O5491" t="s" s="2">
        <v>305</v>
      </c>
      <c r="P5491" s="6"/>
      <c r="Q5491" t="s" s="2">
        <v>9295</v>
      </c>
      <c r="R5491" t="s" s="2">
        <f>_xlfn.IFERROR(INDEX('model_byCAP'!$D$2:$D$377,MATCH(Q5491,'model_byCAP'!$A$2:$A$377,0)),0)</f>
        <v>8430</v>
      </c>
    </row>
    <row r="5492" ht="15.35" customHeight="1">
      <c r="A5492" t="s" s="2">
        <v>9970</v>
      </c>
      <c r="B5492" s="4">
        <v>42536</v>
      </c>
      <c r="C5492" s="5">
        <v>10</v>
      </c>
      <c r="D5492" s="5">
        <v>14</v>
      </c>
      <c r="E5492" s="5">
        <v>18</v>
      </c>
      <c r="F5492" t="s" s="2">
        <v>9209</v>
      </c>
      <c r="G5492" t="s" s="2">
        <v>9293</v>
      </c>
      <c r="H5492" s="5">
        <v>665</v>
      </c>
      <c r="I5492" t="s" s="2">
        <v>316</v>
      </c>
      <c r="J5492" t="s" s="2">
        <v>9204</v>
      </c>
      <c r="K5492" s="6"/>
      <c r="L5492" s="6"/>
      <c r="M5492" s="6"/>
      <c r="N5492" s="6"/>
      <c r="O5492" t="s" s="2">
        <v>25</v>
      </c>
      <c r="P5492" s="6"/>
      <c r="Q5492" t="s" s="2">
        <v>9295</v>
      </c>
      <c r="R5492" t="s" s="2">
        <f>_xlfn.IFERROR(INDEX('model_byCAP'!$D$2:$D$377,MATCH(Q5492,'model_byCAP'!$A$2:$A$377,0)),0)</f>
        <v>8430</v>
      </c>
    </row>
    <row r="5493" ht="15.35" customHeight="1">
      <c r="A5493" t="s" s="2">
        <v>9971</v>
      </c>
      <c r="B5493" s="4">
        <v>42558</v>
      </c>
      <c r="C5493" s="5">
        <v>10</v>
      </c>
      <c r="D5493" s="5">
        <v>14</v>
      </c>
      <c r="E5493" s="5">
        <v>18</v>
      </c>
      <c r="F5493" t="s" s="2">
        <v>9209</v>
      </c>
      <c r="G5493" t="s" s="2">
        <v>9293</v>
      </c>
      <c r="H5493" s="5">
        <v>665</v>
      </c>
      <c r="I5493" t="s" s="2">
        <v>316</v>
      </c>
      <c r="J5493" t="s" s="2">
        <v>9204</v>
      </c>
      <c r="K5493" s="6"/>
      <c r="L5493" s="6"/>
      <c r="M5493" s="6"/>
      <c r="N5493" s="6"/>
      <c r="O5493" t="s" s="2">
        <v>25</v>
      </c>
      <c r="P5493" s="6"/>
      <c r="Q5493" t="s" s="2">
        <v>9295</v>
      </c>
      <c r="R5493" t="s" s="2">
        <f>_xlfn.IFERROR(INDEX('model_byCAP'!$D$2:$D$377,MATCH(Q5493,'model_byCAP'!$A$2:$A$377,0)),0)</f>
        <v>8430</v>
      </c>
    </row>
    <row r="5494" ht="15.35" customHeight="1">
      <c r="A5494" t="s" s="2">
        <v>9972</v>
      </c>
      <c r="B5494" s="4">
        <v>42661</v>
      </c>
      <c r="C5494" s="5">
        <v>10</v>
      </c>
      <c r="D5494" s="5">
        <v>14</v>
      </c>
      <c r="E5494" s="5">
        <v>18</v>
      </c>
      <c r="F5494" t="s" s="2">
        <v>9209</v>
      </c>
      <c r="G5494" t="s" s="2">
        <v>9293</v>
      </c>
      <c r="H5494" s="5">
        <v>665</v>
      </c>
      <c r="I5494" t="s" s="2">
        <v>316</v>
      </c>
      <c r="J5494" t="s" s="2">
        <v>9204</v>
      </c>
      <c r="K5494" s="6"/>
      <c r="L5494" s="6"/>
      <c r="M5494" s="6"/>
      <c r="N5494" s="6"/>
      <c r="O5494" t="s" s="2">
        <v>25</v>
      </c>
      <c r="P5494" s="6"/>
      <c r="Q5494" t="s" s="2">
        <v>9295</v>
      </c>
      <c r="R5494" t="s" s="2">
        <f>_xlfn.IFERROR(INDEX('model_byCAP'!$D$2:$D$377,MATCH(Q5494,'model_byCAP'!$A$2:$A$377,0)),0)</f>
        <v>8430</v>
      </c>
    </row>
    <row r="5495" ht="15.35" customHeight="1">
      <c r="A5495" t="s" s="2">
        <v>9973</v>
      </c>
      <c r="B5495" s="4">
        <v>42656</v>
      </c>
      <c r="C5495" s="5">
        <v>10</v>
      </c>
      <c r="D5495" s="5">
        <v>14</v>
      </c>
      <c r="E5495" s="5">
        <v>18</v>
      </c>
      <c r="F5495" t="s" s="2">
        <v>9209</v>
      </c>
      <c r="G5495" t="s" s="2">
        <v>9293</v>
      </c>
      <c r="H5495" s="5">
        <v>665</v>
      </c>
      <c r="I5495" t="s" s="2">
        <v>316</v>
      </c>
      <c r="J5495" t="s" s="2">
        <v>9204</v>
      </c>
      <c r="K5495" s="6"/>
      <c r="L5495" s="6"/>
      <c r="M5495" s="6"/>
      <c r="N5495" s="6"/>
      <c r="O5495" t="s" s="2">
        <v>25</v>
      </c>
      <c r="P5495" s="6"/>
      <c r="Q5495" t="s" s="2">
        <v>9295</v>
      </c>
      <c r="R5495" t="s" s="2">
        <f>_xlfn.IFERROR(INDEX('model_byCAP'!$D$2:$D$377,MATCH(Q5495,'model_byCAP'!$A$2:$A$377,0)),0)</f>
        <v>8430</v>
      </c>
    </row>
    <row r="5496" ht="15.35" customHeight="1">
      <c r="A5496" t="s" s="2">
        <v>9974</v>
      </c>
      <c r="B5496" s="4">
        <v>42660</v>
      </c>
      <c r="C5496" s="5">
        <v>10</v>
      </c>
      <c r="D5496" s="5">
        <v>14</v>
      </c>
      <c r="E5496" s="5">
        <v>18</v>
      </c>
      <c r="F5496" t="s" s="2">
        <v>9209</v>
      </c>
      <c r="G5496" t="s" s="2">
        <v>9293</v>
      </c>
      <c r="H5496" s="5">
        <v>665</v>
      </c>
      <c r="I5496" t="s" s="2">
        <v>316</v>
      </c>
      <c r="J5496" t="s" s="2">
        <v>9204</v>
      </c>
      <c r="K5496" s="6"/>
      <c r="L5496" s="6"/>
      <c r="M5496" s="6"/>
      <c r="N5496" s="6"/>
      <c r="O5496" t="s" s="2">
        <v>25</v>
      </c>
      <c r="P5496" s="6"/>
      <c r="Q5496" t="s" s="2">
        <v>9295</v>
      </c>
      <c r="R5496" t="s" s="2">
        <f>_xlfn.IFERROR(INDEX('model_byCAP'!$D$2:$D$377,MATCH(Q5496,'model_byCAP'!$A$2:$A$377,0)),0)</f>
        <v>8430</v>
      </c>
    </row>
    <row r="5497" ht="15.35" customHeight="1">
      <c r="A5497" t="s" s="2">
        <v>9975</v>
      </c>
      <c r="B5497" s="4">
        <v>42660</v>
      </c>
      <c r="C5497" s="5">
        <v>10</v>
      </c>
      <c r="D5497" s="5">
        <v>14</v>
      </c>
      <c r="E5497" s="5">
        <v>18</v>
      </c>
      <c r="F5497" t="s" s="2">
        <v>9209</v>
      </c>
      <c r="G5497" t="s" s="2">
        <v>9293</v>
      </c>
      <c r="H5497" s="5">
        <v>665</v>
      </c>
      <c r="I5497" t="s" s="2">
        <v>316</v>
      </c>
      <c r="J5497" t="s" s="2">
        <v>9204</v>
      </c>
      <c r="K5497" s="6"/>
      <c r="L5497" s="6"/>
      <c r="M5497" s="6"/>
      <c r="N5497" s="6"/>
      <c r="O5497" t="s" s="2">
        <v>25</v>
      </c>
      <c r="P5497" s="6"/>
      <c r="Q5497" t="s" s="2">
        <v>9295</v>
      </c>
      <c r="R5497" t="s" s="2">
        <f>_xlfn.IFERROR(INDEX('model_byCAP'!$D$2:$D$377,MATCH(Q5497,'model_byCAP'!$A$2:$A$377,0)),0)</f>
        <v>8430</v>
      </c>
    </row>
    <row r="5498" ht="15.35" customHeight="1">
      <c r="A5498" t="s" s="2">
        <v>9976</v>
      </c>
      <c r="B5498" s="4">
        <v>42661</v>
      </c>
      <c r="C5498" s="5">
        <v>10</v>
      </c>
      <c r="D5498" s="5">
        <v>14</v>
      </c>
      <c r="E5498" s="5">
        <v>18</v>
      </c>
      <c r="F5498" t="s" s="2">
        <v>9209</v>
      </c>
      <c r="G5498" t="s" s="2">
        <v>9293</v>
      </c>
      <c r="H5498" s="5">
        <v>665</v>
      </c>
      <c r="I5498" t="s" s="2">
        <v>316</v>
      </c>
      <c r="J5498" t="s" s="2">
        <v>9204</v>
      </c>
      <c r="K5498" s="6"/>
      <c r="L5498" s="6"/>
      <c r="M5498" s="6"/>
      <c r="N5498" s="6"/>
      <c r="O5498" t="s" s="2">
        <v>25</v>
      </c>
      <c r="P5498" s="6"/>
      <c r="Q5498" t="s" s="2">
        <v>9295</v>
      </c>
      <c r="R5498" t="s" s="2">
        <f>_xlfn.IFERROR(INDEX('model_byCAP'!$D$2:$D$377,MATCH(Q5498,'model_byCAP'!$A$2:$A$377,0)),0)</f>
        <v>8430</v>
      </c>
    </row>
    <row r="5499" ht="15.35" customHeight="1">
      <c r="A5499" t="s" s="2">
        <v>9977</v>
      </c>
      <c r="B5499" s="4">
        <v>42716</v>
      </c>
      <c r="C5499" s="5">
        <v>10</v>
      </c>
      <c r="D5499" s="5">
        <v>14</v>
      </c>
      <c r="E5499" s="5">
        <v>18</v>
      </c>
      <c r="F5499" t="s" s="2">
        <v>9209</v>
      </c>
      <c r="G5499" t="s" s="2">
        <v>9293</v>
      </c>
      <c r="H5499" s="5">
        <v>665</v>
      </c>
      <c r="I5499" t="s" s="2">
        <v>316</v>
      </c>
      <c r="J5499" t="s" s="2">
        <v>9204</v>
      </c>
      <c r="K5499" s="6"/>
      <c r="L5499" s="6"/>
      <c r="M5499" s="6"/>
      <c r="N5499" s="6"/>
      <c r="O5499" t="s" s="2">
        <v>25</v>
      </c>
      <c r="P5499" s="6"/>
      <c r="Q5499" t="s" s="2">
        <v>9295</v>
      </c>
      <c r="R5499" t="s" s="2">
        <f>_xlfn.IFERROR(INDEX('model_byCAP'!$D$2:$D$377,MATCH(Q5499,'model_byCAP'!$A$2:$A$377,0)),0)</f>
        <v>8430</v>
      </c>
    </row>
    <row r="5500" ht="15.35" customHeight="1">
      <c r="A5500" t="s" s="2">
        <v>9978</v>
      </c>
      <c r="B5500" s="4">
        <v>42780</v>
      </c>
      <c r="C5500" s="5">
        <v>10</v>
      </c>
      <c r="D5500" s="5">
        <v>13</v>
      </c>
      <c r="E5500" s="5">
        <v>18.3</v>
      </c>
      <c r="F5500" t="s" s="2">
        <v>9471</v>
      </c>
      <c r="G5500" t="s" s="2">
        <v>9606</v>
      </c>
      <c r="H5500" s="5">
        <v>665</v>
      </c>
      <c r="I5500" t="s" s="2">
        <v>316</v>
      </c>
      <c r="J5500" t="s" s="2">
        <v>9204</v>
      </c>
      <c r="K5500" s="6"/>
      <c r="L5500" s="6"/>
      <c r="M5500" s="6"/>
      <c r="N5500" s="6"/>
      <c r="O5500" t="s" s="2">
        <v>25</v>
      </c>
      <c r="P5500" s="6"/>
      <c r="Q5500" t="s" s="2">
        <v>9607</v>
      </c>
      <c r="R5500" s="5">
        <f>_xlfn.IFERROR(INDEX('model_byCAP'!$D$2:$D$377,MATCH(Q5500,'model_byCAP'!$A$2:$A$377,0)),0)</f>
        <v>0</v>
      </c>
    </row>
    <row r="5501" ht="15.35" customHeight="1">
      <c r="A5501" t="s" s="2">
        <v>9979</v>
      </c>
      <c r="B5501" s="4">
        <v>42912</v>
      </c>
      <c r="C5501" s="5">
        <v>10</v>
      </c>
      <c r="D5501" s="5">
        <v>13</v>
      </c>
      <c r="E5501" s="5">
        <v>18.3</v>
      </c>
      <c r="F5501" t="s" s="2">
        <v>9471</v>
      </c>
      <c r="G5501" t="s" s="2">
        <v>9606</v>
      </c>
      <c r="H5501" s="5">
        <v>665</v>
      </c>
      <c r="I5501" t="s" s="2">
        <v>316</v>
      </c>
      <c r="J5501" t="s" s="2">
        <v>9204</v>
      </c>
      <c r="K5501" s="6"/>
      <c r="L5501" s="6"/>
      <c r="M5501" s="6"/>
      <c r="N5501" s="6"/>
      <c r="O5501" t="s" s="2">
        <v>25</v>
      </c>
      <c r="P5501" s="6"/>
      <c r="Q5501" t="s" s="2">
        <v>9607</v>
      </c>
      <c r="R5501" s="5">
        <f>_xlfn.IFERROR(INDEX('model_byCAP'!$D$2:$D$377,MATCH(Q5501,'model_byCAP'!$A$2:$A$377,0)),0)</f>
        <v>0</v>
      </c>
    </row>
    <row r="5502" ht="15.35" customHeight="1">
      <c r="A5502" t="s" s="2">
        <v>9980</v>
      </c>
      <c r="B5502" s="4">
        <v>42963</v>
      </c>
      <c r="C5502" s="5">
        <v>10</v>
      </c>
      <c r="D5502" s="5">
        <v>13</v>
      </c>
      <c r="E5502" s="5">
        <v>18.3</v>
      </c>
      <c r="F5502" t="s" s="2">
        <v>9471</v>
      </c>
      <c r="G5502" t="s" s="2">
        <v>9606</v>
      </c>
      <c r="H5502" s="5">
        <v>665</v>
      </c>
      <c r="I5502" t="s" s="2">
        <v>316</v>
      </c>
      <c r="J5502" t="s" s="2">
        <v>9204</v>
      </c>
      <c r="K5502" s="6"/>
      <c r="L5502" s="6"/>
      <c r="M5502" s="6"/>
      <c r="N5502" s="6"/>
      <c r="O5502" t="s" s="2">
        <v>25</v>
      </c>
      <c r="P5502" s="6"/>
      <c r="Q5502" t="s" s="2">
        <v>9607</v>
      </c>
      <c r="R5502" s="5">
        <f>_xlfn.IFERROR(INDEX('model_byCAP'!$D$2:$D$377,MATCH(Q5502,'model_byCAP'!$A$2:$A$377,0)),0)</f>
        <v>0</v>
      </c>
    </row>
    <row r="5503" ht="15.35" customHeight="1">
      <c r="A5503" t="s" s="2">
        <v>9981</v>
      </c>
      <c r="B5503" s="4">
        <v>42982</v>
      </c>
      <c r="C5503" s="5">
        <v>10</v>
      </c>
      <c r="D5503" s="5">
        <v>13</v>
      </c>
      <c r="E5503" s="5">
        <v>18.3</v>
      </c>
      <c r="F5503" t="s" s="2">
        <v>9471</v>
      </c>
      <c r="G5503" t="s" s="2">
        <v>9606</v>
      </c>
      <c r="H5503" s="5">
        <v>665</v>
      </c>
      <c r="I5503" t="s" s="2">
        <v>316</v>
      </c>
      <c r="J5503" t="s" s="2">
        <v>9204</v>
      </c>
      <c r="K5503" s="6"/>
      <c r="L5503" s="6"/>
      <c r="M5503" s="6"/>
      <c r="N5503" s="6"/>
      <c r="O5503" t="s" s="2">
        <v>25</v>
      </c>
      <c r="P5503" s="6"/>
      <c r="Q5503" t="s" s="2">
        <v>9607</v>
      </c>
      <c r="R5503" s="5">
        <f>_xlfn.IFERROR(INDEX('model_byCAP'!$D$2:$D$377,MATCH(Q5503,'model_byCAP'!$A$2:$A$377,0)),0)</f>
        <v>0</v>
      </c>
    </row>
    <row r="5504" ht="15.35" customHeight="1">
      <c r="A5504" t="s" s="2">
        <v>9982</v>
      </c>
      <c r="B5504" s="4">
        <v>42991</v>
      </c>
      <c r="C5504" s="5">
        <v>10</v>
      </c>
      <c r="D5504" s="5">
        <v>13</v>
      </c>
      <c r="E5504" s="5">
        <v>18.3</v>
      </c>
      <c r="F5504" t="s" s="2">
        <v>9471</v>
      </c>
      <c r="G5504" t="s" s="2">
        <v>9606</v>
      </c>
      <c r="H5504" s="5">
        <v>665</v>
      </c>
      <c r="I5504" t="s" s="2">
        <v>316</v>
      </c>
      <c r="J5504" t="s" s="2">
        <v>9204</v>
      </c>
      <c r="K5504" s="6"/>
      <c r="L5504" s="6"/>
      <c r="M5504" s="6"/>
      <c r="N5504" s="6"/>
      <c r="O5504" t="s" s="2">
        <v>25</v>
      </c>
      <c r="P5504" s="6"/>
      <c r="Q5504" t="s" s="2">
        <v>9607</v>
      </c>
      <c r="R5504" s="5">
        <f>_xlfn.IFERROR(INDEX('model_byCAP'!$D$2:$D$377,MATCH(Q5504,'model_byCAP'!$A$2:$A$377,0)),0)</f>
        <v>0</v>
      </c>
    </row>
    <row r="5505" ht="15.35" customHeight="1">
      <c r="A5505" t="s" s="2">
        <v>9983</v>
      </c>
      <c r="B5505" s="4">
        <v>43033</v>
      </c>
      <c r="C5505" s="5">
        <v>10</v>
      </c>
      <c r="D5505" s="5">
        <v>14</v>
      </c>
      <c r="E5505" s="5">
        <v>18</v>
      </c>
      <c r="F5505" t="s" s="2">
        <v>9209</v>
      </c>
      <c r="G5505" t="s" s="2">
        <v>9293</v>
      </c>
      <c r="H5505" s="5">
        <v>665</v>
      </c>
      <c r="I5505" t="s" s="2">
        <v>316</v>
      </c>
      <c r="J5505" t="s" s="2">
        <v>9204</v>
      </c>
      <c r="K5505" s="6"/>
      <c r="L5505" s="6"/>
      <c r="M5505" s="6"/>
      <c r="N5505" s="6"/>
      <c r="O5505" t="s" s="2">
        <v>25</v>
      </c>
      <c r="P5505" s="6"/>
      <c r="Q5505" t="s" s="2">
        <v>9295</v>
      </c>
      <c r="R5505" t="s" s="2">
        <f>_xlfn.IFERROR(INDEX('model_byCAP'!$D$2:$D$377,MATCH(Q5505,'model_byCAP'!$A$2:$A$377,0)),0)</f>
        <v>8430</v>
      </c>
    </row>
    <row r="5506" ht="15.35" customHeight="1">
      <c r="A5506" t="s" s="2">
        <v>9984</v>
      </c>
      <c r="B5506" s="4">
        <v>43033</v>
      </c>
      <c r="C5506" s="5">
        <v>10</v>
      </c>
      <c r="D5506" s="5">
        <v>14</v>
      </c>
      <c r="E5506" s="5">
        <v>18</v>
      </c>
      <c r="F5506" t="s" s="2">
        <v>9209</v>
      </c>
      <c r="G5506" t="s" s="2">
        <v>9293</v>
      </c>
      <c r="H5506" s="5">
        <v>665</v>
      </c>
      <c r="I5506" t="s" s="2">
        <v>316</v>
      </c>
      <c r="J5506" t="s" s="2">
        <v>9204</v>
      </c>
      <c r="K5506" s="6"/>
      <c r="L5506" s="6"/>
      <c r="M5506" s="6"/>
      <c r="N5506" s="6"/>
      <c r="O5506" t="s" s="2">
        <v>25</v>
      </c>
      <c r="P5506" s="6"/>
      <c r="Q5506" t="s" s="2">
        <v>9295</v>
      </c>
      <c r="R5506" t="s" s="2">
        <f>_xlfn.IFERROR(INDEX('model_byCAP'!$D$2:$D$377,MATCH(Q5506,'model_byCAP'!$A$2:$A$377,0)),0)</f>
        <v>8430</v>
      </c>
    </row>
    <row r="5507" ht="15.35" customHeight="1">
      <c r="A5507" t="s" s="2">
        <v>9985</v>
      </c>
      <c r="B5507" s="4">
        <v>42090</v>
      </c>
      <c r="C5507" s="5">
        <v>10</v>
      </c>
      <c r="D5507" s="5">
        <v>7.1</v>
      </c>
      <c r="E5507" s="5">
        <v>21</v>
      </c>
      <c r="F5507" t="s" s="2">
        <v>42</v>
      </c>
      <c r="G5507" t="s" s="2">
        <v>42</v>
      </c>
      <c r="H5507" s="5">
        <v>671</v>
      </c>
      <c r="I5507" t="s" s="2">
        <v>378</v>
      </c>
      <c r="J5507" t="s" s="2">
        <v>9204</v>
      </c>
      <c r="K5507" s="6"/>
      <c r="L5507" s="6"/>
      <c r="M5507" s="5">
        <v>467869.58</v>
      </c>
      <c r="N5507" s="5">
        <v>6279113.98</v>
      </c>
      <c r="O5507" t="s" s="2">
        <v>305</v>
      </c>
      <c r="P5507" s="6"/>
      <c r="Q5507" t="s" s="2">
        <v>43</v>
      </c>
      <c r="R5507" s="5">
        <f>_xlfn.IFERROR(INDEX('model_byCAP'!$D$2:$D$377,MATCH(Q5507,'model_byCAP'!$A$2:$A$377,0)),0)</f>
        <v>0</v>
      </c>
    </row>
    <row r="5508" ht="15.35" customHeight="1">
      <c r="A5508" t="s" s="2">
        <v>9986</v>
      </c>
      <c r="B5508" s="4">
        <v>42139</v>
      </c>
      <c r="C5508" s="5">
        <v>10</v>
      </c>
      <c r="D5508" s="5">
        <v>13</v>
      </c>
      <c r="E5508" s="5">
        <v>18.2</v>
      </c>
      <c r="F5508" t="s" s="2">
        <v>9471</v>
      </c>
      <c r="G5508" t="s" s="2">
        <v>9606</v>
      </c>
      <c r="H5508" s="5">
        <v>671</v>
      </c>
      <c r="I5508" t="s" s="2">
        <v>378</v>
      </c>
      <c r="J5508" t="s" s="2">
        <v>9204</v>
      </c>
      <c r="K5508" s="6"/>
      <c r="L5508" s="6"/>
      <c r="M5508" s="5">
        <v>470798.6</v>
      </c>
      <c r="N5508" s="5">
        <v>6273699.26</v>
      </c>
      <c r="O5508" t="s" s="2">
        <v>305</v>
      </c>
      <c r="P5508" s="6"/>
      <c r="Q5508" t="s" s="2">
        <v>9607</v>
      </c>
      <c r="R5508" s="5">
        <f>_xlfn.IFERROR(INDEX('model_byCAP'!$D$2:$D$377,MATCH(Q5508,'model_byCAP'!$A$2:$A$377,0)),0)</f>
        <v>0</v>
      </c>
    </row>
    <row r="5509" ht="15.35" customHeight="1">
      <c r="A5509" t="s" s="2">
        <v>9987</v>
      </c>
      <c r="B5509" s="4">
        <v>42329</v>
      </c>
      <c r="C5509" s="5">
        <v>10</v>
      </c>
      <c r="D5509" s="5">
        <v>7.1</v>
      </c>
      <c r="E5509" s="5">
        <v>21.4</v>
      </c>
      <c r="F5509" t="s" s="2">
        <v>42</v>
      </c>
      <c r="G5509" t="s" s="2">
        <v>42</v>
      </c>
      <c r="H5509" s="5">
        <v>671</v>
      </c>
      <c r="I5509" t="s" s="2">
        <v>378</v>
      </c>
      <c r="J5509" t="s" s="2">
        <v>9204</v>
      </c>
      <c r="K5509" s="6"/>
      <c r="L5509" s="6"/>
      <c r="M5509" s="5">
        <v>471917.51</v>
      </c>
      <c r="N5509" s="5">
        <v>6279135.07</v>
      </c>
      <c r="O5509" t="s" s="2">
        <v>305</v>
      </c>
      <c r="P5509" s="6"/>
      <c r="Q5509" t="s" s="2">
        <v>43</v>
      </c>
      <c r="R5509" s="5">
        <f>_xlfn.IFERROR(INDEX('model_byCAP'!$D$2:$D$377,MATCH(Q5509,'model_byCAP'!$A$2:$A$377,0)),0)</f>
        <v>0</v>
      </c>
    </row>
    <row r="5510" ht="15.35" customHeight="1">
      <c r="A5510" t="s" s="2">
        <v>9988</v>
      </c>
      <c r="B5510" s="4">
        <v>42368</v>
      </c>
      <c r="C5510" s="5">
        <v>10</v>
      </c>
      <c r="D5510" s="5">
        <v>7.1</v>
      </c>
      <c r="E5510" s="5">
        <v>21.4</v>
      </c>
      <c r="F5510" t="s" s="2">
        <v>42</v>
      </c>
      <c r="G5510" t="s" s="2">
        <v>42</v>
      </c>
      <c r="H5510" s="5">
        <v>671</v>
      </c>
      <c r="I5510" t="s" s="2">
        <v>378</v>
      </c>
      <c r="J5510" t="s" s="2">
        <v>9204</v>
      </c>
      <c r="K5510" s="6"/>
      <c r="L5510" s="6"/>
      <c r="M5510" s="5">
        <v>469272.83</v>
      </c>
      <c r="N5510" s="5">
        <v>6277189.57</v>
      </c>
      <c r="O5510" t="s" s="2">
        <v>305</v>
      </c>
      <c r="P5510" s="6"/>
      <c r="Q5510" t="s" s="2">
        <v>43</v>
      </c>
      <c r="R5510" s="5">
        <f>_xlfn.IFERROR(INDEX('model_byCAP'!$D$2:$D$377,MATCH(Q5510,'model_byCAP'!$A$2:$A$377,0)),0)</f>
        <v>0</v>
      </c>
    </row>
    <row r="5511" ht="15.35" customHeight="1">
      <c r="A5511" t="s" s="2">
        <v>9989</v>
      </c>
      <c r="B5511" s="4">
        <v>42347</v>
      </c>
      <c r="C5511" s="5">
        <v>10</v>
      </c>
      <c r="D5511" s="5">
        <v>17</v>
      </c>
      <c r="E5511" s="5">
        <v>18</v>
      </c>
      <c r="F5511" t="s" s="2">
        <v>9209</v>
      </c>
      <c r="G5511" t="s" s="2">
        <v>9210</v>
      </c>
      <c r="H5511" s="5">
        <v>671</v>
      </c>
      <c r="I5511" t="s" s="2">
        <v>378</v>
      </c>
      <c r="J5511" t="s" s="2">
        <v>9204</v>
      </c>
      <c r="K5511" s="6"/>
      <c r="L5511" s="6"/>
      <c r="M5511" s="6"/>
      <c r="N5511" s="6"/>
      <c r="O5511" t="s" s="2">
        <v>25</v>
      </c>
      <c r="P5511" s="6"/>
      <c r="Q5511" t="s" s="2">
        <v>9211</v>
      </c>
      <c r="R5511" t="s" s="2">
        <f>_xlfn.IFERROR(INDEX('model_byCAP'!$D$2:$D$377,MATCH(Q5511,'model_byCAP'!$A$2:$A$377,0)),0)</f>
        <v>8430</v>
      </c>
    </row>
    <row r="5512" ht="15.35" customHeight="1">
      <c r="A5512" t="s" s="2">
        <v>9990</v>
      </c>
      <c r="B5512" s="4">
        <v>42346</v>
      </c>
      <c r="C5512" s="5">
        <v>10</v>
      </c>
      <c r="D5512" s="5">
        <v>14</v>
      </c>
      <c r="E5512" s="5">
        <v>18</v>
      </c>
      <c r="F5512" t="s" s="2">
        <v>9209</v>
      </c>
      <c r="G5512" t="s" s="2">
        <v>9210</v>
      </c>
      <c r="H5512" s="5">
        <v>671</v>
      </c>
      <c r="I5512" t="s" s="2">
        <v>378</v>
      </c>
      <c r="J5512" t="s" s="2">
        <v>9204</v>
      </c>
      <c r="K5512" s="6"/>
      <c r="L5512" s="6"/>
      <c r="M5512" s="5">
        <v>469046.05</v>
      </c>
      <c r="N5512" s="5">
        <v>6276891.35</v>
      </c>
      <c r="O5512" t="s" s="2">
        <v>305</v>
      </c>
      <c r="P5512" s="6"/>
      <c r="Q5512" t="s" s="2">
        <v>9211</v>
      </c>
      <c r="R5512" t="s" s="2">
        <f>_xlfn.IFERROR(INDEX('model_byCAP'!$D$2:$D$377,MATCH(Q5512,'model_byCAP'!$A$2:$A$377,0)),0)</f>
        <v>8430</v>
      </c>
    </row>
    <row r="5513" ht="15.35" customHeight="1">
      <c r="A5513" t="s" s="2">
        <v>9991</v>
      </c>
      <c r="B5513" s="4">
        <v>42345</v>
      </c>
      <c r="C5513" s="5">
        <v>10</v>
      </c>
      <c r="D5513" s="5">
        <v>14</v>
      </c>
      <c r="E5513" s="5">
        <v>18</v>
      </c>
      <c r="F5513" t="s" s="2">
        <v>9209</v>
      </c>
      <c r="G5513" t="s" s="2">
        <v>9210</v>
      </c>
      <c r="H5513" s="5">
        <v>671</v>
      </c>
      <c r="I5513" t="s" s="2">
        <v>378</v>
      </c>
      <c r="J5513" t="s" s="2">
        <v>9204</v>
      </c>
      <c r="K5513" s="6"/>
      <c r="L5513" s="6"/>
      <c r="M5513" s="5">
        <v>468823.3</v>
      </c>
      <c r="N5513" s="5">
        <v>6276552.05</v>
      </c>
      <c r="O5513" t="s" s="2">
        <v>305</v>
      </c>
      <c r="P5513" s="6"/>
      <c r="Q5513" t="s" s="2">
        <v>9211</v>
      </c>
      <c r="R5513" t="s" s="2">
        <f>_xlfn.IFERROR(INDEX('model_byCAP'!$D$2:$D$377,MATCH(Q5513,'model_byCAP'!$A$2:$A$377,0)),0)</f>
        <v>8430</v>
      </c>
    </row>
    <row r="5514" ht="15.35" customHeight="1">
      <c r="A5514" t="s" s="2">
        <v>9992</v>
      </c>
      <c r="B5514" s="4">
        <v>42347</v>
      </c>
      <c r="C5514" s="5">
        <v>10</v>
      </c>
      <c r="D5514" s="5">
        <v>7.1</v>
      </c>
      <c r="E5514" s="5">
        <v>21.4</v>
      </c>
      <c r="F5514" t="s" s="2">
        <v>42</v>
      </c>
      <c r="G5514" t="s" s="2">
        <v>42</v>
      </c>
      <c r="H5514" s="5">
        <v>671</v>
      </c>
      <c r="I5514" t="s" s="2">
        <v>378</v>
      </c>
      <c r="J5514" t="s" s="2">
        <v>9204</v>
      </c>
      <c r="K5514" s="6"/>
      <c r="L5514" s="6"/>
      <c r="M5514" s="5">
        <v>468322.07</v>
      </c>
      <c r="N5514" s="5">
        <v>6277813.77</v>
      </c>
      <c r="O5514" t="s" s="2">
        <v>305</v>
      </c>
      <c r="P5514" s="6"/>
      <c r="Q5514" t="s" s="2">
        <v>43</v>
      </c>
      <c r="R5514" s="5">
        <f>_xlfn.IFERROR(INDEX('model_byCAP'!$D$2:$D$377,MATCH(Q5514,'model_byCAP'!$A$2:$A$377,0)),0)</f>
        <v>0</v>
      </c>
    </row>
    <row r="5515" ht="15.35" customHeight="1">
      <c r="A5515" t="s" s="2">
        <v>9993</v>
      </c>
      <c r="B5515" s="4">
        <v>42356</v>
      </c>
      <c r="C5515" s="5">
        <v>10</v>
      </c>
      <c r="D5515" s="5">
        <v>7.1</v>
      </c>
      <c r="E5515" s="5">
        <v>21.4</v>
      </c>
      <c r="F5515" t="s" s="2">
        <v>42</v>
      </c>
      <c r="G5515" t="s" s="2">
        <v>42</v>
      </c>
      <c r="H5515" s="5">
        <v>671</v>
      </c>
      <c r="I5515" t="s" s="2">
        <v>378</v>
      </c>
      <c r="J5515" t="s" s="2">
        <v>9204</v>
      </c>
      <c r="K5515" s="6"/>
      <c r="L5515" s="6"/>
      <c r="M5515" s="5">
        <v>473106.66</v>
      </c>
      <c r="N5515" s="5">
        <v>6278130.91</v>
      </c>
      <c r="O5515" t="s" s="2">
        <v>305</v>
      </c>
      <c r="P5515" s="6"/>
      <c r="Q5515" t="s" s="2">
        <v>43</v>
      </c>
      <c r="R5515" s="5">
        <f>_xlfn.IFERROR(INDEX('model_byCAP'!$D$2:$D$377,MATCH(Q5515,'model_byCAP'!$A$2:$A$377,0)),0)</f>
        <v>0</v>
      </c>
    </row>
    <row r="5516" ht="15.35" customHeight="1">
      <c r="A5516" t="s" s="2">
        <v>9994</v>
      </c>
      <c r="B5516" s="4">
        <v>42356</v>
      </c>
      <c r="C5516" s="5">
        <v>10</v>
      </c>
      <c r="D5516" s="5">
        <v>7.1</v>
      </c>
      <c r="E5516" s="5">
        <v>21</v>
      </c>
      <c r="F5516" t="s" s="2">
        <v>42</v>
      </c>
      <c r="G5516" t="s" s="2">
        <v>42</v>
      </c>
      <c r="H5516" s="5">
        <v>671</v>
      </c>
      <c r="I5516" t="s" s="2">
        <v>378</v>
      </c>
      <c r="J5516" t="s" s="2">
        <v>9204</v>
      </c>
      <c r="K5516" s="6"/>
      <c r="L5516" s="6"/>
      <c r="M5516" s="5">
        <v>468572.57</v>
      </c>
      <c r="N5516" s="5">
        <v>6278757.97</v>
      </c>
      <c r="O5516" t="s" s="2">
        <v>305</v>
      </c>
      <c r="P5516" s="6"/>
      <c r="Q5516" t="s" s="2">
        <v>43</v>
      </c>
      <c r="R5516" s="5">
        <f>_xlfn.IFERROR(INDEX('model_byCAP'!$D$2:$D$377,MATCH(Q5516,'model_byCAP'!$A$2:$A$377,0)),0)</f>
        <v>0</v>
      </c>
    </row>
    <row r="5517" ht="15.35" customHeight="1">
      <c r="A5517" t="s" s="2">
        <v>9995</v>
      </c>
      <c r="B5517" s="4">
        <v>42593</v>
      </c>
      <c r="C5517" s="5">
        <v>10</v>
      </c>
      <c r="D5517" s="5">
        <v>7.1</v>
      </c>
      <c r="E5517" s="5">
        <v>21.4</v>
      </c>
      <c r="F5517" t="s" s="2">
        <v>42</v>
      </c>
      <c r="G5517" t="s" s="2">
        <v>42</v>
      </c>
      <c r="H5517" s="5">
        <v>671</v>
      </c>
      <c r="I5517" t="s" s="2">
        <v>378</v>
      </c>
      <c r="J5517" t="s" s="2">
        <v>9204</v>
      </c>
      <c r="K5517" s="6"/>
      <c r="L5517" s="6"/>
      <c r="M5517" s="6"/>
      <c r="N5517" s="6"/>
      <c r="O5517" t="s" s="2">
        <v>25</v>
      </c>
      <c r="P5517" s="6"/>
      <c r="Q5517" t="s" s="2">
        <v>43</v>
      </c>
      <c r="R5517" s="5">
        <f>_xlfn.IFERROR(INDEX('model_byCAP'!$D$2:$D$377,MATCH(Q5517,'model_byCAP'!$A$2:$A$377,0)),0)</f>
        <v>0</v>
      </c>
    </row>
    <row r="5518" ht="15.35" customHeight="1">
      <c r="A5518" t="s" s="2">
        <v>9996</v>
      </c>
      <c r="B5518" s="4">
        <v>42683</v>
      </c>
      <c r="C5518" s="5">
        <v>10</v>
      </c>
      <c r="D5518" s="5">
        <v>14</v>
      </c>
      <c r="E5518" s="5">
        <v>18</v>
      </c>
      <c r="F5518" t="s" s="2">
        <v>9209</v>
      </c>
      <c r="G5518" t="s" s="2">
        <v>9293</v>
      </c>
      <c r="H5518" s="5">
        <v>671</v>
      </c>
      <c r="I5518" t="s" s="2">
        <v>378</v>
      </c>
      <c r="J5518" t="s" s="2">
        <v>9204</v>
      </c>
      <c r="K5518" s="6"/>
      <c r="L5518" s="6"/>
      <c r="M5518" s="6"/>
      <c r="N5518" s="6"/>
      <c r="O5518" t="s" s="2">
        <v>25</v>
      </c>
      <c r="P5518" s="6"/>
      <c r="Q5518" t="s" s="2">
        <v>9295</v>
      </c>
      <c r="R5518" t="s" s="2">
        <f>_xlfn.IFERROR(INDEX('model_byCAP'!$D$2:$D$377,MATCH(Q5518,'model_byCAP'!$A$2:$A$377,0)),0)</f>
        <v>8430</v>
      </c>
    </row>
    <row r="5519" ht="15.35" customHeight="1">
      <c r="A5519" t="s" s="2">
        <v>9997</v>
      </c>
      <c r="B5519" s="4">
        <v>42692</v>
      </c>
      <c r="C5519" s="5">
        <v>10</v>
      </c>
      <c r="D5519" s="5">
        <v>14</v>
      </c>
      <c r="E5519" s="5">
        <v>18</v>
      </c>
      <c r="F5519" t="s" s="2">
        <v>9209</v>
      </c>
      <c r="G5519" t="s" s="2">
        <v>9293</v>
      </c>
      <c r="H5519" s="5">
        <v>671</v>
      </c>
      <c r="I5519" t="s" s="2">
        <v>378</v>
      </c>
      <c r="J5519" t="s" s="2">
        <v>9204</v>
      </c>
      <c r="K5519" s="6"/>
      <c r="L5519" s="6"/>
      <c r="M5519" s="6"/>
      <c r="N5519" s="6"/>
      <c r="O5519" t="s" s="2">
        <v>25</v>
      </c>
      <c r="P5519" s="6"/>
      <c r="Q5519" t="s" s="2">
        <v>9295</v>
      </c>
      <c r="R5519" t="s" s="2">
        <f>_xlfn.IFERROR(INDEX('model_byCAP'!$D$2:$D$377,MATCH(Q5519,'model_byCAP'!$A$2:$A$377,0)),0)</f>
        <v>8430</v>
      </c>
    </row>
    <row r="5520" ht="15.35" customHeight="1">
      <c r="A5520" t="s" s="2">
        <v>9998</v>
      </c>
      <c r="B5520" s="4">
        <v>42692</v>
      </c>
      <c r="C5520" s="5">
        <v>10</v>
      </c>
      <c r="D5520" s="5">
        <v>14</v>
      </c>
      <c r="E5520" s="5">
        <v>18</v>
      </c>
      <c r="F5520" t="s" s="2">
        <v>9209</v>
      </c>
      <c r="G5520" t="s" s="2">
        <v>9293</v>
      </c>
      <c r="H5520" s="5">
        <v>671</v>
      </c>
      <c r="I5520" t="s" s="2">
        <v>378</v>
      </c>
      <c r="J5520" t="s" s="2">
        <v>9204</v>
      </c>
      <c r="K5520" s="6"/>
      <c r="L5520" s="6"/>
      <c r="M5520" s="6"/>
      <c r="N5520" s="6"/>
      <c r="O5520" t="s" s="2">
        <v>25</v>
      </c>
      <c r="P5520" s="6"/>
      <c r="Q5520" t="s" s="2">
        <v>9295</v>
      </c>
      <c r="R5520" t="s" s="2">
        <f>_xlfn.IFERROR(INDEX('model_byCAP'!$D$2:$D$377,MATCH(Q5520,'model_byCAP'!$A$2:$A$377,0)),0)</f>
        <v>8430</v>
      </c>
    </row>
    <row r="5521" ht="15.35" customHeight="1">
      <c r="A5521" t="s" s="2">
        <v>9999</v>
      </c>
      <c r="B5521" s="4">
        <v>42732</v>
      </c>
      <c r="C5521" s="5">
        <v>10</v>
      </c>
      <c r="D5521" s="5">
        <v>7.1</v>
      </c>
      <c r="E5521" s="5">
        <v>21.4</v>
      </c>
      <c r="F5521" t="s" s="2">
        <v>42</v>
      </c>
      <c r="G5521" t="s" s="2">
        <v>42</v>
      </c>
      <c r="H5521" s="5">
        <v>671</v>
      </c>
      <c r="I5521" t="s" s="2">
        <v>378</v>
      </c>
      <c r="J5521" t="s" s="2">
        <v>9204</v>
      </c>
      <c r="K5521" s="6"/>
      <c r="L5521" s="6"/>
      <c r="M5521" s="6"/>
      <c r="N5521" s="6"/>
      <c r="O5521" t="s" s="2">
        <v>25</v>
      </c>
      <c r="P5521" s="6"/>
      <c r="Q5521" t="s" s="2">
        <v>43</v>
      </c>
      <c r="R5521" s="5">
        <f>_xlfn.IFERROR(INDEX('model_byCAP'!$D$2:$D$377,MATCH(Q5521,'model_byCAP'!$A$2:$A$377,0)),0)</f>
        <v>0</v>
      </c>
    </row>
    <row r="5522" ht="15.35" customHeight="1">
      <c r="A5522" t="s" s="2">
        <v>10000</v>
      </c>
      <c r="B5522" s="4">
        <v>42039</v>
      </c>
      <c r="C5522" s="5">
        <v>10</v>
      </c>
      <c r="D5522" s="5">
        <v>13</v>
      </c>
      <c r="E5522" s="5">
        <v>18</v>
      </c>
      <c r="F5522" t="s" s="2">
        <v>42</v>
      </c>
      <c r="G5522" t="s" s="2">
        <v>42</v>
      </c>
      <c r="H5522" s="5">
        <v>671</v>
      </c>
      <c r="I5522" t="s" s="2">
        <v>378</v>
      </c>
      <c r="J5522" t="s" s="2">
        <v>9204</v>
      </c>
      <c r="K5522" s="6"/>
      <c r="L5522" s="6"/>
      <c r="M5522" s="5">
        <v>471370.05</v>
      </c>
      <c r="N5522" s="5">
        <v>6256185.16</v>
      </c>
      <c r="O5522" t="s" s="2">
        <v>305</v>
      </c>
      <c r="P5522" s="6"/>
      <c r="Q5522" t="s" s="2">
        <v>43</v>
      </c>
      <c r="R5522" s="5">
        <f>_xlfn.IFERROR(INDEX('model_byCAP'!$D$2:$D$377,MATCH(Q5522,'model_byCAP'!$A$2:$A$377,0)),0)</f>
        <v>0</v>
      </c>
    </row>
    <row r="5523" ht="15.35" customHeight="1">
      <c r="A5523" t="s" s="2">
        <v>10001</v>
      </c>
      <c r="B5523" s="4">
        <v>42150</v>
      </c>
      <c r="C5523" s="5">
        <v>10</v>
      </c>
      <c r="D5523" s="5">
        <v>7.1</v>
      </c>
      <c r="E5523" s="5">
        <v>21.4</v>
      </c>
      <c r="F5523" t="s" s="2">
        <v>42</v>
      </c>
      <c r="G5523" t="s" s="2">
        <v>42</v>
      </c>
      <c r="H5523" s="5">
        <v>671</v>
      </c>
      <c r="I5523" t="s" s="2">
        <v>378</v>
      </c>
      <c r="J5523" t="s" s="2">
        <v>9204</v>
      </c>
      <c r="K5523" s="6"/>
      <c r="L5523" s="6"/>
      <c r="M5523" s="5">
        <v>480404.2</v>
      </c>
      <c r="N5523" s="5">
        <v>6257377.41</v>
      </c>
      <c r="O5523" t="s" s="2">
        <v>305</v>
      </c>
      <c r="P5523" s="6"/>
      <c r="Q5523" t="s" s="2">
        <v>43</v>
      </c>
      <c r="R5523" s="5">
        <f>_xlfn.IFERROR(INDEX('model_byCAP'!$D$2:$D$377,MATCH(Q5523,'model_byCAP'!$A$2:$A$377,0)),0)</f>
        <v>0</v>
      </c>
    </row>
    <row r="5524" ht="15.35" customHeight="1">
      <c r="A5524" t="s" s="2">
        <v>10002</v>
      </c>
      <c r="B5524" s="4">
        <v>42387</v>
      </c>
      <c r="C5524" s="5">
        <v>10</v>
      </c>
      <c r="D5524" s="5">
        <v>14</v>
      </c>
      <c r="E5524" s="5">
        <v>18</v>
      </c>
      <c r="F5524" t="s" s="2">
        <v>9209</v>
      </c>
      <c r="G5524" t="s" s="2">
        <v>9293</v>
      </c>
      <c r="H5524" s="5">
        <v>671</v>
      </c>
      <c r="I5524" t="s" s="2">
        <v>378</v>
      </c>
      <c r="J5524" t="s" s="2">
        <v>9204</v>
      </c>
      <c r="K5524" s="6"/>
      <c r="L5524" s="6"/>
      <c r="M5524" s="5">
        <v>467903.03</v>
      </c>
      <c r="N5524" s="5">
        <v>6257500.25</v>
      </c>
      <c r="O5524" t="s" s="2">
        <v>305</v>
      </c>
      <c r="P5524" s="6"/>
      <c r="Q5524" t="s" s="2">
        <v>9295</v>
      </c>
      <c r="R5524" t="s" s="2">
        <f>_xlfn.IFERROR(INDEX('model_byCAP'!$D$2:$D$377,MATCH(Q5524,'model_byCAP'!$A$2:$A$377,0)),0)</f>
        <v>8430</v>
      </c>
    </row>
    <row r="5525" ht="15.35" customHeight="1">
      <c r="A5525" t="s" s="2">
        <v>10003</v>
      </c>
      <c r="B5525" s="4">
        <v>42436</v>
      </c>
      <c r="C5525" s="5">
        <v>10</v>
      </c>
      <c r="D5525" s="5">
        <v>14</v>
      </c>
      <c r="E5525" s="5">
        <v>18</v>
      </c>
      <c r="F5525" t="s" s="2">
        <v>9209</v>
      </c>
      <c r="G5525" t="s" s="2">
        <v>9293</v>
      </c>
      <c r="H5525" s="5">
        <v>671</v>
      </c>
      <c r="I5525" t="s" s="2">
        <v>378</v>
      </c>
      <c r="J5525" t="s" s="2">
        <v>9204</v>
      </c>
      <c r="K5525" s="6"/>
      <c r="L5525" s="6"/>
      <c r="M5525" s="5">
        <v>468271.64</v>
      </c>
      <c r="N5525" s="5">
        <v>6254896.88</v>
      </c>
      <c r="O5525" t="s" s="2">
        <v>305</v>
      </c>
      <c r="P5525" s="6"/>
      <c r="Q5525" t="s" s="2">
        <v>9295</v>
      </c>
      <c r="R5525" t="s" s="2">
        <f>_xlfn.IFERROR(INDEX('model_byCAP'!$D$2:$D$377,MATCH(Q5525,'model_byCAP'!$A$2:$A$377,0)),0)</f>
        <v>8430</v>
      </c>
    </row>
    <row r="5526" ht="15.35" customHeight="1">
      <c r="A5526" t="s" s="2">
        <v>10004</v>
      </c>
      <c r="B5526" s="4">
        <v>42502</v>
      </c>
      <c r="C5526" s="5">
        <v>10</v>
      </c>
      <c r="D5526" s="5">
        <v>13</v>
      </c>
      <c r="E5526" s="5">
        <v>18.2</v>
      </c>
      <c r="F5526" t="s" s="2">
        <v>9471</v>
      </c>
      <c r="G5526" t="s" s="2">
        <v>9606</v>
      </c>
      <c r="H5526" s="5">
        <v>671</v>
      </c>
      <c r="I5526" t="s" s="2">
        <v>378</v>
      </c>
      <c r="J5526" t="s" s="2">
        <v>9204</v>
      </c>
      <c r="K5526" s="6"/>
      <c r="L5526" s="6"/>
      <c r="M5526" s="5">
        <v>471479.05</v>
      </c>
      <c r="N5526" s="5">
        <v>6254052.56</v>
      </c>
      <c r="O5526" t="s" s="2">
        <v>305</v>
      </c>
      <c r="P5526" s="6"/>
      <c r="Q5526" t="s" s="2">
        <v>9607</v>
      </c>
      <c r="R5526" s="5">
        <f>_xlfn.IFERROR(INDEX('model_byCAP'!$D$2:$D$377,MATCH(Q5526,'model_byCAP'!$A$2:$A$377,0)),0)</f>
        <v>0</v>
      </c>
    </row>
    <row r="5527" ht="15.35" customHeight="1">
      <c r="A5527" t="s" s="2">
        <v>10005</v>
      </c>
      <c r="B5527" s="4">
        <v>42661</v>
      </c>
      <c r="C5527" s="5">
        <v>10</v>
      </c>
      <c r="D5527" s="5">
        <v>14</v>
      </c>
      <c r="E5527" s="5">
        <v>18</v>
      </c>
      <c r="F5527" t="s" s="2">
        <v>9209</v>
      </c>
      <c r="G5527" t="s" s="2">
        <v>9293</v>
      </c>
      <c r="H5527" s="5">
        <v>671</v>
      </c>
      <c r="I5527" t="s" s="2">
        <v>378</v>
      </c>
      <c r="J5527" t="s" s="2">
        <v>9204</v>
      </c>
      <c r="K5527" s="6"/>
      <c r="L5527" s="6"/>
      <c r="M5527" s="6"/>
      <c r="N5527" s="6"/>
      <c r="O5527" t="s" s="2">
        <v>25</v>
      </c>
      <c r="P5527" s="6"/>
      <c r="Q5527" t="s" s="2">
        <v>9295</v>
      </c>
      <c r="R5527" t="s" s="2">
        <f>_xlfn.IFERROR(INDEX('model_byCAP'!$D$2:$D$377,MATCH(Q5527,'model_byCAP'!$A$2:$A$377,0)),0)</f>
        <v>8430</v>
      </c>
    </row>
    <row r="5528" ht="15.35" customHeight="1">
      <c r="A5528" t="s" s="2">
        <v>10006</v>
      </c>
      <c r="B5528" s="4">
        <v>42661</v>
      </c>
      <c r="C5528" s="5">
        <v>10</v>
      </c>
      <c r="D5528" s="5">
        <v>7.1</v>
      </c>
      <c r="E5528" s="5">
        <v>21.4</v>
      </c>
      <c r="F5528" t="s" s="2">
        <v>42</v>
      </c>
      <c r="G5528" t="s" s="2">
        <v>42</v>
      </c>
      <c r="H5528" s="5">
        <v>671</v>
      </c>
      <c r="I5528" t="s" s="2">
        <v>378</v>
      </c>
      <c r="J5528" t="s" s="2">
        <v>9204</v>
      </c>
      <c r="K5528" s="6"/>
      <c r="L5528" s="6"/>
      <c r="M5528" s="6"/>
      <c r="N5528" s="6"/>
      <c r="O5528" t="s" s="2">
        <v>25</v>
      </c>
      <c r="P5528" s="6"/>
      <c r="Q5528" t="s" s="2">
        <v>43</v>
      </c>
      <c r="R5528" s="5">
        <f>_xlfn.IFERROR(INDEX('model_byCAP'!$D$2:$D$377,MATCH(Q5528,'model_byCAP'!$A$2:$A$377,0)),0)</f>
        <v>0</v>
      </c>
    </row>
    <row r="5529" ht="15.35" customHeight="1">
      <c r="A5529" t="s" s="2">
        <v>10007</v>
      </c>
      <c r="B5529" s="4">
        <v>42684</v>
      </c>
      <c r="C5529" s="5">
        <v>10</v>
      </c>
      <c r="D5529" s="5">
        <v>14</v>
      </c>
      <c r="E5529" s="5">
        <v>18</v>
      </c>
      <c r="F5529" t="s" s="2">
        <v>9209</v>
      </c>
      <c r="G5529" t="s" s="2">
        <v>9293</v>
      </c>
      <c r="H5529" s="5">
        <v>671</v>
      </c>
      <c r="I5529" t="s" s="2">
        <v>378</v>
      </c>
      <c r="J5529" t="s" s="2">
        <v>9204</v>
      </c>
      <c r="K5529" s="6"/>
      <c r="L5529" s="6"/>
      <c r="M5529" s="6"/>
      <c r="N5529" s="6"/>
      <c r="O5529" t="s" s="2">
        <v>25</v>
      </c>
      <c r="P5529" s="6"/>
      <c r="Q5529" t="s" s="2">
        <v>9295</v>
      </c>
      <c r="R5529" t="s" s="2">
        <f>_xlfn.IFERROR(INDEX('model_byCAP'!$D$2:$D$377,MATCH(Q5529,'model_byCAP'!$A$2:$A$377,0)),0)</f>
        <v>8430</v>
      </c>
    </row>
    <row r="5530" ht="15.35" customHeight="1">
      <c r="A5530" t="s" s="2">
        <v>10008</v>
      </c>
      <c r="B5530" s="4">
        <v>42703</v>
      </c>
      <c r="C5530" s="5">
        <v>10</v>
      </c>
      <c r="D5530" s="5">
        <v>14</v>
      </c>
      <c r="E5530" s="5">
        <v>18</v>
      </c>
      <c r="F5530" t="s" s="2">
        <v>9209</v>
      </c>
      <c r="G5530" t="s" s="2">
        <v>9293</v>
      </c>
      <c r="H5530" s="5">
        <v>671</v>
      </c>
      <c r="I5530" t="s" s="2">
        <v>378</v>
      </c>
      <c r="J5530" t="s" s="2">
        <v>9204</v>
      </c>
      <c r="K5530" s="6"/>
      <c r="L5530" s="6"/>
      <c r="M5530" s="6"/>
      <c r="N5530" s="6"/>
      <c r="O5530" t="s" s="2">
        <v>25</v>
      </c>
      <c r="P5530" s="6"/>
      <c r="Q5530" t="s" s="2">
        <v>9295</v>
      </c>
      <c r="R5530" t="s" s="2">
        <f>_xlfn.IFERROR(INDEX('model_byCAP'!$D$2:$D$377,MATCH(Q5530,'model_byCAP'!$A$2:$A$377,0)),0)</f>
        <v>8430</v>
      </c>
    </row>
    <row r="5531" ht="15.35" customHeight="1">
      <c r="A5531" t="s" s="2">
        <v>10009</v>
      </c>
      <c r="B5531" s="4">
        <v>41761</v>
      </c>
      <c r="C5531" s="5">
        <v>10</v>
      </c>
      <c r="D5531" s="5">
        <v>7.1</v>
      </c>
      <c r="E5531" s="5">
        <v>21</v>
      </c>
      <c r="F5531" t="s" s="2">
        <v>42</v>
      </c>
      <c r="G5531" t="s" s="2">
        <v>42</v>
      </c>
      <c r="H5531" s="5">
        <v>706</v>
      </c>
      <c r="I5531" t="s" s="2">
        <v>3155</v>
      </c>
      <c r="J5531" t="s" s="2">
        <v>9204</v>
      </c>
      <c r="K5531" s="6"/>
      <c r="L5531" s="6"/>
      <c r="M5531" s="6"/>
      <c r="N5531" s="6"/>
      <c r="O5531" t="s" s="2">
        <v>25</v>
      </c>
      <c r="P5531" s="6"/>
      <c r="Q5531" t="s" s="2">
        <v>43</v>
      </c>
      <c r="R5531" s="5">
        <f>_xlfn.IFERROR(INDEX('model_byCAP'!$D$2:$D$377,MATCH(Q5531,'model_byCAP'!$A$2:$A$377,0)),0)</f>
        <v>0</v>
      </c>
    </row>
    <row r="5532" ht="15.35" customHeight="1">
      <c r="A5532" t="s" s="2">
        <v>10010</v>
      </c>
      <c r="B5532" s="4">
        <v>42140</v>
      </c>
      <c r="C5532" s="5">
        <v>10</v>
      </c>
      <c r="D5532" s="5">
        <v>13</v>
      </c>
      <c r="E5532" s="5">
        <v>18</v>
      </c>
      <c r="F5532" t="s" s="2">
        <v>9471</v>
      </c>
      <c r="G5532" t="s" s="2">
        <v>9606</v>
      </c>
      <c r="H5532" s="5">
        <v>706</v>
      </c>
      <c r="I5532" t="s" s="2">
        <v>3155</v>
      </c>
      <c r="J5532" t="s" s="2">
        <v>9204</v>
      </c>
      <c r="K5532" s="6"/>
      <c r="L5532" s="6"/>
      <c r="M5532" s="6"/>
      <c r="N5532" s="6"/>
      <c r="O5532" t="s" s="2">
        <v>25</v>
      </c>
      <c r="P5532" s="6"/>
      <c r="Q5532" t="s" s="2">
        <v>9607</v>
      </c>
      <c r="R5532" s="5">
        <f>_xlfn.IFERROR(INDEX('model_byCAP'!$D$2:$D$377,MATCH(Q5532,'model_byCAP'!$A$2:$A$377,0)),0)</f>
        <v>0</v>
      </c>
    </row>
    <row r="5533" ht="15.35" customHeight="1">
      <c r="A5533" t="s" s="2">
        <v>10011</v>
      </c>
      <c r="B5533" s="4">
        <v>42146</v>
      </c>
      <c r="C5533" s="5">
        <v>10</v>
      </c>
      <c r="D5533" s="5">
        <v>13</v>
      </c>
      <c r="E5533" s="5">
        <v>18.2</v>
      </c>
      <c r="F5533" t="s" s="2">
        <v>9471</v>
      </c>
      <c r="G5533" t="s" s="2">
        <v>9606</v>
      </c>
      <c r="H5533" s="5">
        <v>706</v>
      </c>
      <c r="I5533" t="s" s="2">
        <v>3155</v>
      </c>
      <c r="J5533" t="s" s="2">
        <v>9204</v>
      </c>
      <c r="K5533" s="6"/>
      <c r="L5533" s="6"/>
      <c r="M5533" s="6"/>
      <c r="N5533" s="6"/>
      <c r="O5533" t="s" s="2">
        <v>25</v>
      </c>
      <c r="P5533" s="6"/>
      <c r="Q5533" t="s" s="2">
        <v>9607</v>
      </c>
      <c r="R5533" s="5">
        <f>_xlfn.IFERROR(INDEX('model_byCAP'!$D$2:$D$377,MATCH(Q5533,'model_byCAP'!$A$2:$A$377,0)),0)</f>
        <v>0</v>
      </c>
    </row>
    <row r="5534" ht="15.35" customHeight="1">
      <c r="A5534" t="s" s="2">
        <v>10012</v>
      </c>
      <c r="B5534" s="4">
        <v>42144</v>
      </c>
      <c r="C5534" s="5">
        <v>10</v>
      </c>
      <c r="D5534" s="5">
        <v>7.1</v>
      </c>
      <c r="E5534" s="5">
        <v>21.4</v>
      </c>
      <c r="F5534" t="s" s="2">
        <v>42</v>
      </c>
      <c r="G5534" t="s" s="2">
        <v>42</v>
      </c>
      <c r="H5534" s="5">
        <v>706</v>
      </c>
      <c r="I5534" t="s" s="2">
        <v>3155</v>
      </c>
      <c r="J5534" t="s" s="2">
        <v>9204</v>
      </c>
      <c r="K5534" s="6"/>
      <c r="L5534" s="6"/>
      <c r="M5534" s="6"/>
      <c r="N5534" s="6"/>
      <c r="O5534" t="s" s="2">
        <v>25</v>
      </c>
      <c r="P5534" s="6"/>
      <c r="Q5534" t="s" s="2">
        <v>43</v>
      </c>
      <c r="R5534" s="5">
        <f>_xlfn.IFERROR(INDEX('model_byCAP'!$D$2:$D$377,MATCH(Q5534,'model_byCAP'!$A$2:$A$377,0)),0)</f>
        <v>0</v>
      </c>
    </row>
    <row r="5535" ht="15.35" customHeight="1">
      <c r="A5535" t="s" s="2">
        <v>10013</v>
      </c>
      <c r="B5535" s="4">
        <v>42264</v>
      </c>
      <c r="C5535" s="5">
        <v>10</v>
      </c>
      <c r="D5535" s="5">
        <v>13</v>
      </c>
      <c r="E5535" s="5">
        <v>18.2</v>
      </c>
      <c r="F5535" t="s" s="2">
        <v>9471</v>
      </c>
      <c r="G5535" t="s" s="2">
        <v>9606</v>
      </c>
      <c r="H5535" s="5">
        <v>706</v>
      </c>
      <c r="I5535" t="s" s="2">
        <v>3155</v>
      </c>
      <c r="J5535" t="s" s="2">
        <v>9204</v>
      </c>
      <c r="K5535" s="6"/>
      <c r="L5535" s="6"/>
      <c r="M5535" s="5">
        <v>607568.91</v>
      </c>
      <c r="N5535" s="5">
        <v>6227391.96</v>
      </c>
      <c r="O5535" t="s" s="2">
        <v>305</v>
      </c>
      <c r="P5535" s="6"/>
      <c r="Q5535" t="s" s="2">
        <v>9607</v>
      </c>
      <c r="R5535" s="5">
        <f>_xlfn.IFERROR(INDEX('model_byCAP'!$D$2:$D$377,MATCH(Q5535,'model_byCAP'!$A$2:$A$377,0)),0)</f>
        <v>0</v>
      </c>
    </row>
    <row r="5536" ht="15.35" customHeight="1">
      <c r="A5536" t="s" s="2">
        <v>10014</v>
      </c>
      <c r="B5536" s="4">
        <v>42271</v>
      </c>
      <c r="C5536" s="5">
        <v>10</v>
      </c>
      <c r="D5536" s="5">
        <v>7.1</v>
      </c>
      <c r="E5536" s="5">
        <v>21.4</v>
      </c>
      <c r="F5536" t="s" s="2">
        <v>42</v>
      </c>
      <c r="G5536" t="s" s="2">
        <v>42</v>
      </c>
      <c r="H5536" s="5">
        <v>706</v>
      </c>
      <c r="I5536" t="s" s="2">
        <v>3155</v>
      </c>
      <c r="J5536" t="s" s="2">
        <v>9204</v>
      </c>
      <c r="K5536" s="6"/>
      <c r="L5536" s="6"/>
      <c r="M5536" s="6"/>
      <c r="N5536" s="6"/>
      <c r="O5536" t="s" s="2">
        <v>25</v>
      </c>
      <c r="P5536" s="6"/>
      <c r="Q5536" t="s" s="2">
        <v>43</v>
      </c>
      <c r="R5536" s="5">
        <f>_xlfn.IFERROR(INDEX('model_byCAP'!$D$2:$D$377,MATCH(Q5536,'model_byCAP'!$A$2:$A$377,0)),0)</f>
        <v>0</v>
      </c>
    </row>
    <row r="5537" ht="15.35" customHeight="1">
      <c r="A5537" t="s" s="2">
        <v>10015</v>
      </c>
      <c r="B5537" s="4">
        <v>42704</v>
      </c>
      <c r="C5537" s="5">
        <v>10</v>
      </c>
      <c r="D5537" s="5">
        <v>7.1</v>
      </c>
      <c r="E5537" s="5">
        <v>21.4</v>
      </c>
      <c r="F5537" t="s" s="2">
        <v>42</v>
      </c>
      <c r="G5537" t="s" s="2">
        <v>42</v>
      </c>
      <c r="H5537" s="5">
        <v>706</v>
      </c>
      <c r="I5537" t="s" s="2">
        <v>3155</v>
      </c>
      <c r="J5537" t="s" s="2">
        <v>9204</v>
      </c>
      <c r="K5537" s="6"/>
      <c r="L5537" s="6"/>
      <c r="M5537" s="6"/>
      <c r="N5537" s="6"/>
      <c r="O5537" t="s" s="2">
        <v>25</v>
      </c>
      <c r="P5537" s="6"/>
      <c r="Q5537" t="s" s="2">
        <v>43</v>
      </c>
      <c r="R5537" s="5">
        <f>_xlfn.IFERROR(INDEX('model_byCAP'!$D$2:$D$377,MATCH(Q5537,'model_byCAP'!$A$2:$A$377,0)),0)</f>
        <v>0</v>
      </c>
    </row>
    <row r="5538" ht="15.35" customHeight="1">
      <c r="A5538" t="s" s="2">
        <v>10016</v>
      </c>
      <c r="B5538" s="4">
        <v>42397</v>
      </c>
      <c r="C5538" s="5">
        <v>10</v>
      </c>
      <c r="D5538" s="5">
        <v>14</v>
      </c>
      <c r="E5538" s="5">
        <v>18</v>
      </c>
      <c r="F5538" t="s" s="2">
        <v>9209</v>
      </c>
      <c r="G5538" t="s" s="2">
        <v>9293</v>
      </c>
      <c r="H5538" s="5">
        <v>706</v>
      </c>
      <c r="I5538" t="s" s="2">
        <v>3155</v>
      </c>
      <c r="J5538" t="s" s="2">
        <v>9204</v>
      </c>
      <c r="K5538" s="6"/>
      <c r="L5538" s="6"/>
      <c r="M5538" s="6"/>
      <c r="N5538" s="6"/>
      <c r="O5538" t="s" s="2">
        <v>25</v>
      </c>
      <c r="P5538" s="6"/>
      <c r="Q5538" t="s" s="2">
        <v>9295</v>
      </c>
      <c r="R5538" t="s" s="2">
        <f>_xlfn.IFERROR(INDEX('model_byCAP'!$D$2:$D$377,MATCH(Q5538,'model_byCAP'!$A$2:$A$377,0)),0)</f>
        <v>8430</v>
      </c>
    </row>
    <row r="5539" ht="15.35" customHeight="1">
      <c r="A5539" t="s" s="2">
        <v>10017</v>
      </c>
      <c r="B5539" s="4">
        <v>42405</v>
      </c>
      <c r="C5539" s="5">
        <v>10</v>
      </c>
      <c r="D5539" s="5">
        <v>14</v>
      </c>
      <c r="E5539" s="5">
        <v>18</v>
      </c>
      <c r="F5539" t="s" s="2">
        <v>9209</v>
      </c>
      <c r="G5539" t="s" s="2">
        <v>9293</v>
      </c>
      <c r="H5539" s="5">
        <v>706</v>
      </c>
      <c r="I5539" t="s" s="2">
        <v>3155</v>
      </c>
      <c r="J5539" t="s" s="2">
        <v>9204</v>
      </c>
      <c r="K5539" s="6"/>
      <c r="L5539" s="6"/>
      <c r="M5539" s="6"/>
      <c r="N5539" s="6"/>
      <c r="O5539" t="s" s="2">
        <v>25</v>
      </c>
      <c r="P5539" s="6"/>
      <c r="Q5539" t="s" s="2">
        <v>9295</v>
      </c>
      <c r="R5539" t="s" s="2">
        <f>_xlfn.IFERROR(INDEX('model_byCAP'!$D$2:$D$377,MATCH(Q5539,'model_byCAP'!$A$2:$A$377,0)),0)</f>
        <v>8430</v>
      </c>
    </row>
    <row r="5540" ht="15.35" customHeight="1">
      <c r="A5540" t="s" s="2">
        <v>10018</v>
      </c>
      <c r="B5540" s="4">
        <v>42409</v>
      </c>
      <c r="C5540" s="5">
        <v>10</v>
      </c>
      <c r="D5540" s="5">
        <v>14</v>
      </c>
      <c r="E5540" s="5">
        <v>18</v>
      </c>
      <c r="F5540" t="s" s="2">
        <v>9209</v>
      </c>
      <c r="G5540" t="s" s="2">
        <v>9293</v>
      </c>
      <c r="H5540" s="5">
        <v>706</v>
      </c>
      <c r="I5540" t="s" s="2">
        <v>3155</v>
      </c>
      <c r="J5540" t="s" s="2">
        <v>9204</v>
      </c>
      <c r="K5540" s="6"/>
      <c r="L5540" s="6"/>
      <c r="M5540" s="5">
        <v>607229.88</v>
      </c>
      <c r="N5540" s="5">
        <v>6228288.5</v>
      </c>
      <c r="O5540" t="s" s="2">
        <v>305</v>
      </c>
      <c r="P5540" s="6"/>
      <c r="Q5540" t="s" s="2">
        <v>9295</v>
      </c>
      <c r="R5540" t="s" s="2">
        <f>_xlfn.IFERROR(INDEX('model_byCAP'!$D$2:$D$377,MATCH(Q5540,'model_byCAP'!$A$2:$A$377,0)),0)</f>
        <v>8430</v>
      </c>
    </row>
    <row r="5541" ht="15.35" customHeight="1">
      <c r="A5541" t="s" s="2">
        <v>10019</v>
      </c>
      <c r="B5541" s="4">
        <v>42493</v>
      </c>
      <c r="C5541" s="5">
        <v>10</v>
      </c>
      <c r="D5541" s="5">
        <v>13</v>
      </c>
      <c r="E5541" s="5">
        <v>18.2</v>
      </c>
      <c r="F5541" t="s" s="2">
        <v>9471</v>
      </c>
      <c r="G5541" t="s" s="2">
        <v>9606</v>
      </c>
      <c r="H5541" s="5">
        <v>706</v>
      </c>
      <c r="I5541" t="s" s="2">
        <v>3155</v>
      </c>
      <c r="J5541" t="s" s="2">
        <v>9204</v>
      </c>
      <c r="K5541" s="6"/>
      <c r="L5541" s="6"/>
      <c r="M5541" s="6"/>
      <c r="N5541" s="6"/>
      <c r="O5541" t="s" s="2">
        <v>25</v>
      </c>
      <c r="P5541" s="6"/>
      <c r="Q5541" t="s" s="2">
        <v>9607</v>
      </c>
      <c r="R5541" s="5">
        <f>_xlfn.IFERROR(INDEX('model_byCAP'!$D$2:$D$377,MATCH(Q5541,'model_byCAP'!$A$2:$A$377,0)),0)</f>
        <v>0</v>
      </c>
    </row>
    <row r="5542" ht="15.35" customHeight="1">
      <c r="A5542" t="s" s="2">
        <v>10020</v>
      </c>
      <c r="B5542" s="4">
        <v>42641</v>
      </c>
      <c r="C5542" s="5">
        <v>10</v>
      </c>
      <c r="D5542" s="5">
        <v>14</v>
      </c>
      <c r="E5542" s="5">
        <v>18</v>
      </c>
      <c r="F5542" t="s" s="2">
        <v>9209</v>
      </c>
      <c r="G5542" t="s" s="2">
        <v>9293</v>
      </c>
      <c r="H5542" s="5">
        <v>706</v>
      </c>
      <c r="I5542" t="s" s="2">
        <v>3155</v>
      </c>
      <c r="J5542" t="s" s="2">
        <v>9204</v>
      </c>
      <c r="K5542" s="6"/>
      <c r="L5542" s="6"/>
      <c r="M5542" s="6"/>
      <c r="N5542" s="6"/>
      <c r="O5542" t="s" s="2">
        <v>25</v>
      </c>
      <c r="P5542" s="6"/>
      <c r="Q5542" t="s" s="2">
        <v>9295</v>
      </c>
      <c r="R5542" t="s" s="2">
        <f>_xlfn.IFERROR(INDEX('model_byCAP'!$D$2:$D$377,MATCH(Q5542,'model_byCAP'!$A$2:$A$377,0)),0)</f>
        <v>8430</v>
      </c>
    </row>
    <row r="5543" ht="15.35" customHeight="1">
      <c r="A5543" t="s" s="2">
        <v>10021</v>
      </c>
      <c r="B5543" s="4">
        <v>41877</v>
      </c>
      <c r="C5543" s="5">
        <v>10</v>
      </c>
      <c r="D5543" s="5">
        <v>7.1</v>
      </c>
      <c r="E5543" s="5">
        <v>21</v>
      </c>
      <c r="F5543" t="s" s="2">
        <v>42</v>
      </c>
      <c r="G5543" t="s" s="2">
        <v>42</v>
      </c>
      <c r="H5543" s="5">
        <v>707</v>
      </c>
      <c r="I5543" t="s" s="2">
        <v>616</v>
      </c>
      <c r="J5543" t="s" s="2">
        <v>9204</v>
      </c>
      <c r="K5543" s="6"/>
      <c r="L5543" s="6"/>
      <c r="M5543" s="5">
        <v>613313.4399999999</v>
      </c>
      <c r="N5543" s="5">
        <v>6245490.46</v>
      </c>
      <c r="O5543" t="s" s="2">
        <v>305</v>
      </c>
      <c r="P5543" s="6"/>
      <c r="Q5543" t="s" s="2">
        <v>43</v>
      </c>
      <c r="R5543" s="5">
        <f>_xlfn.IFERROR(INDEX('model_byCAP'!$D$2:$D$377,MATCH(Q5543,'model_byCAP'!$A$2:$A$377,0)),0)</f>
        <v>0</v>
      </c>
    </row>
    <row r="5544" ht="15.35" customHeight="1">
      <c r="A5544" t="s" s="2">
        <v>10022</v>
      </c>
      <c r="B5544" s="4">
        <v>42403</v>
      </c>
      <c r="C5544" s="5">
        <v>10</v>
      </c>
      <c r="D5544" s="5">
        <v>13</v>
      </c>
      <c r="E5544" s="5">
        <v>18</v>
      </c>
      <c r="F5544" t="s" s="2">
        <v>9471</v>
      </c>
      <c r="G5544" t="s" s="2">
        <v>9606</v>
      </c>
      <c r="H5544" s="5">
        <v>707</v>
      </c>
      <c r="I5544" t="s" s="2">
        <v>616</v>
      </c>
      <c r="J5544" t="s" s="2">
        <v>9204</v>
      </c>
      <c r="K5544" s="6"/>
      <c r="L5544" s="6"/>
      <c r="M5544" s="5">
        <v>605786.37</v>
      </c>
      <c r="N5544" s="5">
        <v>6256554.47</v>
      </c>
      <c r="O5544" t="s" s="2">
        <v>305</v>
      </c>
      <c r="P5544" s="6"/>
      <c r="Q5544" t="s" s="2">
        <v>9607</v>
      </c>
      <c r="R5544" s="5">
        <f>_xlfn.IFERROR(INDEX('model_byCAP'!$D$2:$D$377,MATCH(Q5544,'model_byCAP'!$A$2:$A$377,0)),0)</f>
        <v>0</v>
      </c>
    </row>
    <row r="5545" ht="15.35" customHeight="1">
      <c r="A5545" t="s" s="2">
        <v>10023</v>
      </c>
      <c r="B5545" s="4">
        <v>42438</v>
      </c>
      <c r="C5545" s="5">
        <v>10</v>
      </c>
      <c r="D5545" s="5">
        <v>13</v>
      </c>
      <c r="E5545" s="5">
        <v>18.2</v>
      </c>
      <c r="F5545" t="s" s="2">
        <v>9471</v>
      </c>
      <c r="G5545" t="s" s="2">
        <v>9606</v>
      </c>
      <c r="H5545" s="5">
        <v>707</v>
      </c>
      <c r="I5545" t="s" s="2">
        <v>616</v>
      </c>
      <c r="J5545" t="s" s="2">
        <v>9204</v>
      </c>
      <c r="K5545" s="6"/>
      <c r="L5545" s="6"/>
      <c r="M5545" s="5">
        <v>606786.89</v>
      </c>
      <c r="N5545" s="5">
        <v>6258436.5</v>
      </c>
      <c r="O5545" t="s" s="2">
        <v>305</v>
      </c>
      <c r="P5545" s="6"/>
      <c r="Q5545" t="s" s="2">
        <v>9607</v>
      </c>
      <c r="R5545" s="5">
        <f>_xlfn.IFERROR(INDEX('model_byCAP'!$D$2:$D$377,MATCH(Q5545,'model_byCAP'!$A$2:$A$377,0)),0)</f>
        <v>0</v>
      </c>
    </row>
    <row r="5546" ht="15.35" customHeight="1">
      <c r="A5546" t="s" s="2">
        <v>10024</v>
      </c>
      <c r="B5546" s="4">
        <v>42411</v>
      </c>
      <c r="C5546" s="5">
        <v>10</v>
      </c>
      <c r="D5546" s="5">
        <v>13</v>
      </c>
      <c r="E5546" s="5">
        <v>18.2</v>
      </c>
      <c r="F5546" t="s" s="2">
        <v>9471</v>
      </c>
      <c r="G5546" t="s" s="2">
        <v>9606</v>
      </c>
      <c r="H5546" s="5">
        <v>707</v>
      </c>
      <c r="I5546" t="s" s="2">
        <v>616</v>
      </c>
      <c r="J5546" t="s" s="2">
        <v>9204</v>
      </c>
      <c r="K5546" s="6"/>
      <c r="L5546" s="6"/>
      <c r="M5546" s="5">
        <v>603823.37</v>
      </c>
      <c r="N5546" s="5">
        <v>6257448.82</v>
      </c>
      <c r="O5546" t="s" s="2">
        <v>305</v>
      </c>
      <c r="P5546" s="6"/>
      <c r="Q5546" t="s" s="2">
        <v>9607</v>
      </c>
      <c r="R5546" s="5">
        <f>_xlfn.IFERROR(INDEX('model_byCAP'!$D$2:$D$377,MATCH(Q5546,'model_byCAP'!$A$2:$A$377,0)),0)</f>
        <v>0</v>
      </c>
    </row>
    <row r="5547" ht="15.35" customHeight="1">
      <c r="A5547" t="s" s="2">
        <v>10025</v>
      </c>
      <c r="B5547" s="4">
        <v>42417</v>
      </c>
      <c r="C5547" s="5">
        <v>10</v>
      </c>
      <c r="D5547" s="5">
        <v>13</v>
      </c>
      <c r="E5547" s="5">
        <v>18</v>
      </c>
      <c r="F5547" t="s" s="2">
        <v>9471</v>
      </c>
      <c r="G5547" t="s" s="2">
        <v>9606</v>
      </c>
      <c r="H5547" s="5">
        <v>707</v>
      </c>
      <c r="I5547" t="s" s="2">
        <v>616</v>
      </c>
      <c r="J5547" t="s" s="2">
        <v>9204</v>
      </c>
      <c r="K5547" s="6"/>
      <c r="L5547" s="6"/>
      <c r="M5547" s="5">
        <v>618886.0699999999</v>
      </c>
      <c r="N5547" s="5">
        <v>6255936.34</v>
      </c>
      <c r="O5547" t="s" s="2">
        <v>305</v>
      </c>
      <c r="P5547" s="6"/>
      <c r="Q5547" t="s" s="2">
        <v>9607</v>
      </c>
      <c r="R5547" s="5">
        <f>_xlfn.IFERROR(INDEX('model_byCAP'!$D$2:$D$377,MATCH(Q5547,'model_byCAP'!$A$2:$A$377,0)),0)</f>
        <v>0</v>
      </c>
    </row>
    <row r="5548" ht="15.35" customHeight="1">
      <c r="A5548" t="s" s="2">
        <v>10026</v>
      </c>
      <c r="B5548" s="4">
        <v>42431</v>
      </c>
      <c r="C5548" s="5">
        <v>10</v>
      </c>
      <c r="D5548" s="5">
        <v>14</v>
      </c>
      <c r="E5548" s="5">
        <v>18</v>
      </c>
      <c r="F5548" t="s" s="2">
        <v>9209</v>
      </c>
      <c r="G5548" t="s" s="2">
        <v>9293</v>
      </c>
      <c r="H5548" s="5">
        <v>707</v>
      </c>
      <c r="I5548" t="s" s="2">
        <v>616</v>
      </c>
      <c r="J5548" t="s" s="2">
        <v>9204</v>
      </c>
      <c r="K5548" s="6"/>
      <c r="L5548" s="6"/>
      <c r="M5548" s="5">
        <v>611297.72</v>
      </c>
      <c r="N5548" s="5">
        <v>6250361.78</v>
      </c>
      <c r="O5548" t="s" s="2">
        <v>305</v>
      </c>
      <c r="P5548" s="6"/>
      <c r="Q5548" t="s" s="2">
        <v>9295</v>
      </c>
      <c r="R5548" t="s" s="2">
        <f>_xlfn.IFERROR(INDEX('model_byCAP'!$D$2:$D$377,MATCH(Q5548,'model_byCAP'!$A$2:$A$377,0)),0)</f>
        <v>8430</v>
      </c>
    </row>
    <row r="5549" ht="15.35" customHeight="1">
      <c r="A5549" t="s" s="2">
        <v>10027</v>
      </c>
      <c r="B5549" s="4">
        <v>42513</v>
      </c>
      <c r="C5549" s="5">
        <v>10</v>
      </c>
      <c r="D5549" s="5">
        <v>14</v>
      </c>
      <c r="E5549" s="5">
        <v>18</v>
      </c>
      <c r="F5549" t="s" s="2">
        <v>9209</v>
      </c>
      <c r="G5549" t="s" s="2">
        <v>9293</v>
      </c>
      <c r="H5549" s="5">
        <v>707</v>
      </c>
      <c r="I5549" t="s" s="2">
        <v>616</v>
      </c>
      <c r="J5549" t="s" s="2">
        <v>9204</v>
      </c>
      <c r="K5549" s="6"/>
      <c r="L5549" s="6"/>
      <c r="M5549" s="6"/>
      <c r="N5549" s="6"/>
      <c r="O5549" t="s" s="2">
        <v>25</v>
      </c>
      <c r="P5549" s="6"/>
      <c r="Q5549" t="s" s="2">
        <v>9295</v>
      </c>
      <c r="R5549" t="s" s="2">
        <f>_xlfn.IFERROR(INDEX('model_byCAP'!$D$2:$D$377,MATCH(Q5549,'model_byCAP'!$A$2:$A$377,0)),0)</f>
        <v>8430</v>
      </c>
    </row>
    <row r="5550" ht="15.35" customHeight="1">
      <c r="A5550" t="s" s="2">
        <v>10028</v>
      </c>
      <c r="B5550" s="4">
        <v>42774</v>
      </c>
      <c r="C5550" s="5">
        <v>10</v>
      </c>
      <c r="D5550" s="5">
        <v>14</v>
      </c>
      <c r="E5550" s="5">
        <v>18</v>
      </c>
      <c r="F5550" t="s" s="2">
        <v>9209</v>
      </c>
      <c r="G5550" t="s" s="2">
        <v>9293</v>
      </c>
      <c r="H5550" s="5">
        <v>707</v>
      </c>
      <c r="I5550" t="s" s="2">
        <v>616</v>
      </c>
      <c r="J5550" t="s" s="2">
        <v>9204</v>
      </c>
      <c r="K5550" s="6"/>
      <c r="L5550" s="6"/>
      <c r="M5550" s="6"/>
      <c r="N5550" s="6"/>
      <c r="O5550" t="s" s="2">
        <v>25</v>
      </c>
      <c r="P5550" s="6"/>
      <c r="Q5550" t="s" s="2">
        <v>9295</v>
      </c>
      <c r="R5550" t="s" s="2">
        <f>_xlfn.IFERROR(INDEX('model_byCAP'!$D$2:$D$377,MATCH(Q5550,'model_byCAP'!$A$2:$A$377,0)),0)</f>
        <v>8430</v>
      </c>
    </row>
    <row r="5551" ht="15.35" customHeight="1">
      <c r="A5551" t="s" s="2">
        <v>10029</v>
      </c>
      <c r="B5551" s="4">
        <v>42803</v>
      </c>
      <c r="C5551" s="5">
        <v>10</v>
      </c>
      <c r="D5551" s="5">
        <v>14</v>
      </c>
      <c r="E5551" s="5">
        <v>18</v>
      </c>
      <c r="F5551" t="s" s="2">
        <v>9209</v>
      </c>
      <c r="G5551" t="s" s="2">
        <v>9293</v>
      </c>
      <c r="H5551" s="5">
        <v>707</v>
      </c>
      <c r="I5551" t="s" s="2">
        <v>616</v>
      </c>
      <c r="J5551" t="s" s="2">
        <v>9204</v>
      </c>
      <c r="K5551" s="6"/>
      <c r="L5551" s="6"/>
      <c r="M5551" s="6"/>
      <c r="N5551" s="6"/>
      <c r="O5551" t="s" s="2">
        <v>25</v>
      </c>
      <c r="P5551" s="6"/>
      <c r="Q5551" t="s" s="2">
        <v>9295</v>
      </c>
      <c r="R5551" t="s" s="2">
        <f>_xlfn.IFERROR(INDEX('model_byCAP'!$D$2:$D$377,MATCH(Q5551,'model_byCAP'!$A$2:$A$377,0)),0)</f>
        <v>8430</v>
      </c>
    </row>
    <row r="5552" ht="15.35" customHeight="1">
      <c r="A5552" t="s" s="2">
        <v>10030</v>
      </c>
      <c r="B5552" s="4">
        <v>42997</v>
      </c>
      <c r="C5552" s="5">
        <v>10</v>
      </c>
      <c r="D5552" s="5">
        <v>7.6</v>
      </c>
      <c r="E5552" s="5">
        <v>18.6</v>
      </c>
      <c r="F5552" t="s" s="2">
        <v>42</v>
      </c>
      <c r="G5552" t="s" s="2">
        <v>42</v>
      </c>
      <c r="H5552" s="5">
        <v>707</v>
      </c>
      <c r="I5552" t="s" s="2">
        <v>616</v>
      </c>
      <c r="J5552" t="s" s="2">
        <v>9204</v>
      </c>
      <c r="K5552" s="6"/>
      <c r="L5552" s="6"/>
      <c r="M5552" s="6"/>
      <c r="N5552" s="6"/>
      <c r="O5552" t="s" s="2">
        <v>25</v>
      </c>
      <c r="P5552" s="6"/>
      <c r="Q5552" t="s" s="2">
        <v>43</v>
      </c>
      <c r="R5552" s="5">
        <f>_xlfn.IFERROR(INDEX('model_byCAP'!$D$2:$D$377,MATCH(Q5552,'model_byCAP'!$A$2:$A$377,0)),0)</f>
        <v>0</v>
      </c>
    </row>
    <row r="5553" ht="15.35" customHeight="1">
      <c r="A5553" t="s" s="2">
        <v>10031</v>
      </c>
      <c r="B5553" s="4">
        <v>42173</v>
      </c>
      <c r="C5553" s="5">
        <v>10</v>
      </c>
      <c r="D5553" s="5">
        <v>7.1</v>
      </c>
      <c r="E5553" s="5">
        <v>21.4</v>
      </c>
      <c r="F5553" t="s" s="2">
        <v>42</v>
      </c>
      <c r="G5553" t="s" s="2">
        <v>42</v>
      </c>
      <c r="H5553" s="5">
        <v>707</v>
      </c>
      <c r="I5553" t="s" s="2">
        <v>616</v>
      </c>
      <c r="J5553" t="s" s="2">
        <v>9204</v>
      </c>
      <c r="K5553" s="6"/>
      <c r="L5553" s="6"/>
      <c r="M5553" s="6"/>
      <c r="N5553" s="6"/>
      <c r="O5553" t="s" s="2">
        <v>25</v>
      </c>
      <c r="P5553" s="6"/>
      <c r="Q5553" t="s" s="2">
        <v>43</v>
      </c>
      <c r="R5553" s="5">
        <f>_xlfn.IFERROR(INDEX('model_byCAP'!$D$2:$D$377,MATCH(Q5553,'model_byCAP'!$A$2:$A$377,0)),0)</f>
        <v>0</v>
      </c>
    </row>
    <row r="5554" ht="15.35" customHeight="1">
      <c r="A5554" t="s" s="2">
        <v>10032</v>
      </c>
      <c r="B5554" s="4">
        <v>42502</v>
      </c>
      <c r="C5554" s="5">
        <v>10</v>
      </c>
      <c r="D5554" s="5">
        <v>15.9</v>
      </c>
      <c r="E5554" s="5">
        <v>17</v>
      </c>
      <c r="F5554" t="s" s="2">
        <v>9209</v>
      </c>
      <c r="G5554" t="s" s="2">
        <v>9638</v>
      </c>
      <c r="H5554" s="5">
        <v>707</v>
      </c>
      <c r="I5554" t="s" s="2">
        <v>616</v>
      </c>
      <c r="J5554" t="s" s="2">
        <v>9204</v>
      </c>
      <c r="K5554" s="6"/>
      <c r="L5554" s="6"/>
      <c r="M5554" s="5">
        <v>579638.72</v>
      </c>
      <c r="N5554" s="5">
        <v>6269393.4</v>
      </c>
      <c r="O5554" t="s" s="2">
        <v>305</v>
      </c>
      <c r="P5554" s="6"/>
      <c r="Q5554" t="s" s="2">
        <v>9639</v>
      </c>
      <c r="R5554" s="5">
        <f>_xlfn.IFERROR(INDEX('model_byCAP'!$D$2:$D$377,MATCH(Q5554,'model_byCAP'!$A$2:$A$377,0)),0)</f>
        <v>0</v>
      </c>
    </row>
    <row r="5555" ht="15.35" customHeight="1">
      <c r="A5555" t="s" s="2">
        <v>10033</v>
      </c>
      <c r="B5555" s="4">
        <v>42621</v>
      </c>
      <c r="C5555" s="5">
        <v>10</v>
      </c>
      <c r="D5555" s="5">
        <v>14</v>
      </c>
      <c r="E5555" s="5">
        <v>18</v>
      </c>
      <c r="F5555" t="s" s="2">
        <v>9209</v>
      </c>
      <c r="G5555" t="s" s="2">
        <v>9293</v>
      </c>
      <c r="H5555" s="5">
        <v>707</v>
      </c>
      <c r="I5555" t="s" s="2">
        <v>616</v>
      </c>
      <c r="J5555" t="s" s="2">
        <v>9204</v>
      </c>
      <c r="K5555" s="6"/>
      <c r="L5555" s="6"/>
      <c r="M5555" s="6"/>
      <c r="N5555" s="6"/>
      <c r="O5555" t="s" s="2">
        <v>25</v>
      </c>
      <c r="P5555" s="6"/>
      <c r="Q5555" t="s" s="2">
        <v>9295</v>
      </c>
      <c r="R5555" t="s" s="2">
        <f>_xlfn.IFERROR(INDEX('model_byCAP'!$D$2:$D$377,MATCH(Q5555,'model_byCAP'!$A$2:$A$377,0)),0)</f>
        <v>8430</v>
      </c>
    </row>
    <row r="5556" ht="15.35" customHeight="1">
      <c r="A5556" t="s" s="2">
        <v>10034</v>
      </c>
      <c r="B5556" s="4">
        <v>42549</v>
      </c>
      <c r="C5556" s="5">
        <v>10</v>
      </c>
      <c r="D5556" s="5">
        <v>7.1</v>
      </c>
      <c r="E5556" s="5">
        <v>18</v>
      </c>
      <c r="F5556" t="s" s="2">
        <v>42</v>
      </c>
      <c r="G5556" t="s" s="2">
        <v>42</v>
      </c>
      <c r="H5556" s="5">
        <v>710</v>
      </c>
      <c r="I5556" t="s" s="2">
        <v>3630</v>
      </c>
      <c r="J5556" t="s" s="2">
        <v>9204</v>
      </c>
      <c r="K5556" s="6"/>
      <c r="L5556" s="6"/>
      <c r="M5556" s="6"/>
      <c r="N5556" s="6"/>
      <c r="O5556" t="s" s="2">
        <v>25</v>
      </c>
      <c r="P5556" s="6"/>
      <c r="Q5556" t="s" s="2">
        <v>43</v>
      </c>
      <c r="R5556" s="5">
        <f>_xlfn.IFERROR(INDEX('model_byCAP'!$D$2:$D$377,MATCH(Q5556,'model_byCAP'!$A$2:$A$377,0)),0)</f>
        <v>0</v>
      </c>
    </row>
    <row r="5557" ht="15.35" customHeight="1">
      <c r="A5557" t="s" s="2">
        <v>10035</v>
      </c>
      <c r="B5557" s="4">
        <v>42993</v>
      </c>
      <c r="C5557" s="5">
        <v>10</v>
      </c>
      <c r="D5557" s="5">
        <v>13</v>
      </c>
      <c r="E5557" s="5">
        <v>18.3</v>
      </c>
      <c r="F5557" t="s" s="2">
        <v>9471</v>
      </c>
      <c r="G5557" t="s" s="2">
        <v>9606</v>
      </c>
      <c r="H5557" s="5">
        <v>710</v>
      </c>
      <c r="I5557" t="s" s="2">
        <v>3630</v>
      </c>
      <c r="J5557" t="s" s="2">
        <v>9204</v>
      </c>
      <c r="K5557" s="6"/>
      <c r="L5557" s="6"/>
      <c r="M5557" s="6"/>
      <c r="N5557" s="6"/>
      <c r="O5557" t="s" s="2">
        <v>25</v>
      </c>
      <c r="P5557" s="6"/>
      <c r="Q5557" t="s" s="2">
        <v>9607</v>
      </c>
      <c r="R5557" s="5">
        <f>_xlfn.IFERROR(INDEX('model_byCAP'!$D$2:$D$377,MATCH(Q5557,'model_byCAP'!$A$2:$A$377,0)),0)</f>
        <v>0</v>
      </c>
    </row>
    <row r="5558" ht="15.35" customHeight="1">
      <c r="A5558" t="s" s="2">
        <v>10036</v>
      </c>
      <c r="B5558" s="4">
        <v>42745</v>
      </c>
      <c r="C5558" s="5">
        <v>10</v>
      </c>
      <c r="D5558" s="5">
        <v>13</v>
      </c>
      <c r="E5558" s="5">
        <v>18</v>
      </c>
      <c r="F5558" t="s" s="2">
        <v>9471</v>
      </c>
      <c r="G5558" t="s" s="2">
        <v>9606</v>
      </c>
      <c r="H5558" s="5">
        <v>727</v>
      </c>
      <c r="I5558" t="s" s="2">
        <v>2452</v>
      </c>
      <c r="J5558" t="s" s="2">
        <v>9204</v>
      </c>
      <c r="K5558" s="6"/>
      <c r="L5558" s="6"/>
      <c r="M5558" s="6"/>
      <c r="N5558" s="6"/>
      <c r="O5558" t="s" s="2">
        <v>25</v>
      </c>
      <c r="P5558" s="6"/>
      <c r="Q5558" t="s" s="2">
        <v>9607</v>
      </c>
      <c r="R5558" s="5">
        <f>_xlfn.IFERROR(INDEX('model_byCAP'!$D$2:$D$377,MATCH(Q5558,'model_byCAP'!$A$2:$A$377,0)),0)</f>
        <v>0</v>
      </c>
    </row>
    <row r="5559" ht="15.35" customHeight="1">
      <c r="A5559" t="s" s="2">
        <v>10037</v>
      </c>
      <c r="B5559" s="4">
        <v>42145</v>
      </c>
      <c r="C5559" s="5">
        <v>10</v>
      </c>
      <c r="D5559" s="5">
        <v>7.1</v>
      </c>
      <c r="E5559" s="5">
        <v>21</v>
      </c>
      <c r="F5559" t="s" s="2">
        <v>42</v>
      </c>
      <c r="G5559" t="s" s="2">
        <v>42</v>
      </c>
      <c r="H5559" s="5">
        <v>727</v>
      </c>
      <c r="I5559" t="s" s="2">
        <v>2452</v>
      </c>
      <c r="J5559" t="s" s="2">
        <v>9204</v>
      </c>
      <c r="K5559" s="6"/>
      <c r="L5559" s="6"/>
      <c r="M5559" s="6"/>
      <c r="N5559" s="6"/>
      <c r="O5559" t="s" s="2">
        <v>25</v>
      </c>
      <c r="P5559" s="6"/>
      <c r="Q5559" t="s" s="2">
        <v>43</v>
      </c>
      <c r="R5559" s="5">
        <f>_xlfn.IFERROR(INDEX('model_byCAP'!$D$2:$D$377,MATCH(Q5559,'model_byCAP'!$A$2:$A$377,0)),0)</f>
        <v>0</v>
      </c>
    </row>
    <row r="5560" ht="15.35" customHeight="1">
      <c r="A5560" t="s" s="2">
        <v>10038</v>
      </c>
      <c r="B5560" s="4">
        <v>42339</v>
      </c>
      <c r="C5560" s="5">
        <v>10</v>
      </c>
      <c r="D5560" s="5">
        <v>7.1</v>
      </c>
      <c r="E5560" s="5">
        <v>21.4</v>
      </c>
      <c r="F5560" t="s" s="2">
        <v>42</v>
      </c>
      <c r="G5560" t="s" s="2">
        <v>42</v>
      </c>
      <c r="H5560" s="5">
        <v>727</v>
      </c>
      <c r="I5560" t="s" s="2">
        <v>2452</v>
      </c>
      <c r="J5560" t="s" s="2">
        <v>9204</v>
      </c>
      <c r="K5560" s="6"/>
      <c r="L5560" s="6"/>
      <c r="M5560" s="5">
        <v>576123.89</v>
      </c>
      <c r="N5560" s="5">
        <v>6195822.76</v>
      </c>
      <c r="O5560" t="s" s="2">
        <v>305</v>
      </c>
      <c r="P5560" s="6"/>
      <c r="Q5560" t="s" s="2">
        <v>43</v>
      </c>
      <c r="R5560" s="5">
        <f>_xlfn.IFERROR(INDEX('model_byCAP'!$D$2:$D$377,MATCH(Q5560,'model_byCAP'!$A$2:$A$377,0)),0)</f>
        <v>0</v>
      </c>
    </row>
    <row r="5561" ht="15.35" customHeight="1">
      <c r="A5561" t="s" s="2">
        <v>10039</v>
      </c>
      <c r="B5561" s="4">
        <v>41687</v>
      </c>
      <c r="C5561" s="5">
        <v>10</v>
      </c>
      <c r="D5561" s="5">
        <v>13</v>
      </c>
      <c r="E5561" s="5">
        <v>18</v>
      </c>
      <c r="F5561" t="s" s="2">
        <v>42</v>
      </c>
      <c r="G5561" t="s" s="2">
        <v>42</v>
      </c>
      <c r="H5561" s="5">
        <v>730</v>
      </c>
      <c r="I5561" t="s" s="2">
        <v>843</v>
      </c>
      <c r="J5561" t="s" s="2">
        <v>9204</v>
      </c>
      <c r="K5561" s="6"/>
      <c r="L5561" s="6"/>
      <c r="M5561" s="5">
        <v>569002.01</v>
      </c>
      <c r="N5561" s="5">
        <v>6252656.62</v>
      </c>
      <c r="O5561" t="s" s="2">
        <v>305</v>
      </c>
      <c r="P5561" s="6"/>
      <c r="Q5561" t="s" s="2">
        <v>43</v>
      </c>
      <c r="R5561" s="5">
        <f>_xlfn.IFERROR(INDEX('model_byCAP'!$D$2:$D$377,MATCH(Q5561,'model_byCAP'!$A$2:$A$377,0)),0)</f>
        <v>0</v>
      </c>
    </row>
    <row r="5562" ht="15.35" customHeight="1">
      <c r="A5562" t="s" s="2">
        <v>10040</v>
      </c>
      <c r="B5562" s="4">
        <v>42293</v>
      </c>
      <c r="C5562" s="5">
        <v>10</v>
      </c>
      <c r="D5562" s="5">
        <v>7.1</v>
      </c>
      <c r="E5562" s="5">
        <v>21.4</v>
      </c>
      <c r="F5562" t="s" s="2">
        <v>42</v>
      </c>
      <c r="G5562" t="s" s="2">
        <v>42</v>
      </c>
      <c r="H5562" s="5">
        <v>730</v>
      </c>
      <c r="I5562" t="s" s="2">
        <v>843</v>
      </c>
      <c r="J5562" t="s" s="2">
        <v>9204</v>
      </c>
      <c r="K5562" s="6"/>
      <c r="L5562" s="6"/>
      <c r="M5562" s="6"/>
      <c r="N5562" s="6"/>
      <c r="O5562" t="s" s="2">
        <v>25</v>
      </c>
      <c r="P5562" s="6"/>
      <c r="Q5562" t="s" s="2">
        <v>43</v>
      </c>
      <c r="R5562" s="5">
        <f>_xlfn.IFERROR(INDEX('model_byCAP'!$D$2:$D$377,MATCH(Q5562,'model_byCAP'!$A$2:$A$377,0)),0)</f>
        <v>0</v>
      </c>
    </row>
    <row r="5563" ht="15.35" customHeight="1">
      <c r="A5563" t="s" s="2">
        <v>10041</v>
      </c>
      <c r="B5563" s="4">
        <v>42303</v>
      </c>
      <c r="C5563" s="5">
        <v>10</v>
      </c>
      <c r="D5563" s="5">
        <v>13</v>
      </c>
      <c r="E5563" s="5">
        <v>18.2</v>
      </c>
      <c r="F5563" t="s" s="2">
        <v>9471</v>
      </c>
      <c r="G5563" t="s" s="2">
        <v>9606</v>
      </c>
      <c r="H5563" s="5">
        <v>730</v>
      </c>
      <c r="I5563" t="s" s="2">
        <v>843</v>
      </c>
      <c r="J5563" t="s" s="2">
        <v>9204</v>
      </c>
      <c r="K5563" s="6"/>
      <c r="L5563" s="6"/>
      <c r="M5563" s="5">
        <v>557229.42</v>
      </c>
      <c r="N5563" s="5">
        <v>6265009.86</v>
      </c>
      <c r="O5563" t="s" s="2">
        <v>305</v>
      </c>
      <c r="P5563" s="6"/>
      <c r="Q5563" t="s" s="2">
        <v>9607</v>
      </c>
      <c r="R5563" s="5">
        <f>_xlfn.IFERROR(INDEX('model_byCAP'!$D$2:$D$377,MATCH(Q5563,'model_byCAP'!$A$2:$A$377,0)),0)</f>
        <v>0</v>
      </c>
    </row>
    <row r="5564" ht="15.35" customHeight="1">
      <c r="A5564" t="s" s="2">
        <v>10042</v>
      </c>
      <c r="B5564" s="4">
        <v>42649</v>
      </c>
      <c r="C5564" s="5">
        <v>10</v>
      </c>
      <c r="D5564" s="5">
        <v>13</v>
      </c>
      <c r="E5564" s="5">
        <v>18.2</v>
      </c>
      <c r="F5564" t="s" s="2">
        <v>9471</v>
      </c>
      <c r="G5564" t="s" s="2">
        <v>9606</v>
      </c>
      <c r="H5564" s="5">
        <v>730</v>
      </c>
      <c r="I5564" t="s" s="2">
        <v>843</v>
      </c>
      <c r="J5564" t="s" s="2">
        <v>9204</v>
      </c>
      <c r="K5564" s="6"/>
      <c r="L5564" s="6"/>
      <c r="M5564" s="6"/>
      <c r="N5564" s="6"/>
      <c r="O5564" t="s" s="2">
        <v>25</v>
      </c>
      <c r="P5564" s="6"/>
      <c r="Q5564" t="s" s="2">
        <v>9607</v>
      </c>
      <c r="R5564" s="5">
        <f>_xlfn.IFERROR(INDEX('model_byCAP'!$D$2:$D$377,MATCH(Q5564,'model_byCAP'!$A$2:$A$377,0)),0)</f>
        <v>0</v>
      </c>
    </row>
    <row r="5565" ht="15.35" customHeight="1">
      <c r="A5565" t="s" s="2">
        <v>10043</v>
      </c>
      <c r="B5565" s="4">
        <v>42670</v>
      </c>
      <c r="C5565" s="5">
        <v>10</v>
      </c>
      <c r="D5565" s="5">
        <v>14</v>
      </c>
      <c r="E5565" s="5">
        <v>18</v>
      </c>
      <c r="F5565" t="s" s="2">
        <v>9209</v>
      </c>
      <c r="G5565" t="s" s="2">
        <v>9293</v>
      </c>
      <c r="H5565" s="5">
        <v>730</v>
      </c>
      <c r="I5565" t="s" s="2">
        <v>843</v>
      </c>
      <c r="J5565" t="s" s="2">
        <v>9204</v>
      </c>
      <c r="K5565" s="6"/>
      <c r="L5565" s="6"/>
      <c r="M5565" s="6"/>
      <c r="N5565" s="6"/>
      <c r="O5565" t="s" s="2">
        <v>25</v>
      </c>
      <c r="P5565" s="6"/>
      <c r="Q5565" t="s" s="2">
        <v>9295</v>
      </c>
      <c r="R5565" t="s" s="2">
        <f>_xlfn.IFERROR(INDEX('model_byCAP'!$D$2:$D$377,MATCH(Q5565,'model_byCAP'!$A$2:$A$377,0)),0)</f>
        <v>8430</v>
      </c>
    </row>
    <row r="5566" ht="15.35" customHeight="1">
      <c r="A5566" t="s" s="2">
        <v>10044</v>
      </c>
      <c r="B5566" s="4">
        <v>42642</v>
      </c>
      <c r="C5566" s="5">
        <v>10</v>
      </c>
      <c r="D5566" s="5">
        <v>14</v>
      </c>
      <c r="E5566" s="5">
        <v>18</v>
      </c>
      <c r="F5566" t="s" s="2">
        <v>9209</v>
      </c>
      <c r="G5566" t="s" s="2">
        <v>9293</v>
      </c>
      <c r="H5566" s="5">
        <v>730</v>
      </c>
      <c r="I5566" t="s" s="2">
        <v>843</v>
      </c>
      <c r="J5566" t="s" s="2">
        <v>9204</v>
      </c>
      <c r="K5566" s="6"/>
      <c r="L5566" s="6"/>
      <c r="M5566" s="6"/>
      <c r="N5566" s="6"/>
      <c r="O5566" t="s" s="2">
        <v>25</v>
      </c>
      <c r="P5566" s="6"/>
      <c r="Q5566" t="s" s="2">
        <v>9295</v>
      </c>
      <c r="R5566" t="s" s="2">
        <f>_xlfn.IFERROR(INDEX('model_byCAP'!$D$2:$D$377,MATCH(Q5566,'model_byCAP'!$A$2:$A$377,0)),0)</f>
        <v>8430</v>
      </c>
    </row>
    <row r="5567" ht="15.35" customHeight="1">
      <c r="A5567" t="s" s="2">
        <v>10045</v>
      </c>
      <c r="B5567" s="4">
        <v>42927</v>
      </c>
      <c r="C5567" s="5">
        <v>10</v>
      </c>
      <c r="D5567" s="5">
        <v>13</v>
      </c>
      <c r="E5567" s="5">
        <v>18.2</v>
      </c>
      <c r="F5567" t="s" s="2">
        <v>9471</v>
      </c>
      <c r="G5567" t="s" s="2">
        <v>9606</v>
      </c>
      <c r="H5567" s="5">
        <v>730</v>
      </c>
      <c r="I5567" t="s" s="2">
        <v>843</v>
      </c>
      <c r="J5567" t="s" s="2">
        <v>9204</v>
      </c>
      <c r="K5567" s="6"/>
      <c r="L5567" s="6"/>
      <c r="M5567" s="6"/>
      <c r="N5567" s="6"/>
      <c r="O5567" t="s" s="2">
        <v>25</v>
      </c>
      <c r="P5567" s="6"/>
      <c r="Q5567" t="s" s="2">
        <v>9607</v>
      </c>
      <c r="R5567" s="5">
        <f>_xlfn.IFERROR(INDEX('model_byCAP'!$D$2:$D$377,MATCH(Q5567,'model_byCAP'!$A$2:$A$377,0)),0)</f>
        <v>0</v>
      </c>
    </row>
    <row r="5568" ht="15.35" customHeight="1">
      <c r="A5568" t="s" s="2">
        <v>10046</v>
      </c>
      <c r="B5568" s="4">
        <v>41688</v>
      </c>
      <c r="C5568" s="5">
        <v>10</v>
      </c>
      <c r="D5568" s="5">
        <v>7.1</v>
      </c>
      <c r="E5568" s="5">
        <v>21.4</v>
      </c>
      <c r="F5568" t="s" s="2">
        <v>42</v>
      </c>
      <c r="G5568" t="s" s="2">
        <v>42</v>
      </c>
      <c r="H5568" s="5">
        <v>740</v>
      </c>
      <c r="I5568" t="s" s="2">
        <v>899</v>
      </c>
      <c r="J5568" t="s" s="2">
        <v>9204</v>
      </c>
      <c r="K5568" s="6"/>
      <c r="L5568" s="6"/>
      <c r="M5568" s="5">
        <v>545660.49</v>
      </c>
      <c r="N5568" s="5">
        <v>6227557.3</v>
      </c>
      <c r="O5568" t="s" s="2">
        <v>305</v>
      </c>
      <c r="P5568" s="6"/>
      <c r="Q5568" t="s" s="2">
        <v>43</v>
      </c>
      <c r="R5568" s="5">
        <f>_xlfn.IFERROR(INDEX('model_byCAP'!$D$2:$D$377,MATCH(Q5568,'model_byCAP'!$A$2:$A$377,0)),0)</f>
        <v>0</v>
      </c>
    </row>
    <row r="5569" ht="15.35" customHeight="1">
      <c r="A5569" t="s" s="2">
        <v>10047</v>
      </c>
      <c r="B5569" s="4">
        <v>41791</v>
      </c>
      <c r="C5569" s="5">
        <v>10</v>
      </c>
      <c r="D5569" s="5">
        <v>13.4</v>
      </c>
      <c r="E5569" s="5">
        <v>18.3</v>
      </c>
      <c r="F5569" t="s" s="2">
        <v>42</v>
      </c>
      <c r="G5569" t="s" s="2">
        <v>42</v>
      </c>
      <c r="H5569" s="5">
        <v>740</v>
      </c>
      <c r="I5569" t="s" s="2">
        <v>899</v>
      </c>
      <c r="J5569" t="s" s="2">
        <v>9204</v>
      </c>
      <c r="K5569" s="6"/>
      <c r="L5569" s="6"/>
      <c r="M5569" s="5">
        <v>544206.0600000001</v>
      </c>
      <c r="N5569" s="5">
        <v>6232291.31</v>
      </c>
      <c r="O5569" t="s" s="2">
        <v>305</v>
      </c>
      <c r="P5569" s="6"/>
      <c r="Q5569" t="s" s="2">
        <v>43</v>
      </c>
      <c r="R5569" s="5">
        <f>_xlfn.IFERROR(INDEX('model_byCAP'!$D$2:$D$377,MATCH(Q5569,'model_byCAP'!$A$2:$A$377,0)),0)</f>
        <v>0</v>
      </c>
    </row>
    <row r="5570" ht="15.35" customHeight="1">
      <c r="A5570" t="s" s="2">
        <v>10048</v>
      </c>
      <c r="B5570" s="4">
        <v>42593</v>
      </c>
      <c r="C5570" s="5">
        <v>10</v>
      </c>
      <c r="D5570" s="5">
        <v>7.1</v>
      </c>
      <c r="E5570" s="5">
        <v>21.4</v>
      </c>
      <c r="F5570" t="s" s="2">
        <v>42</v>
      </c>
      <c r="G5570" t="s" s="2">
        <v>42</v>
      </c>
      <c r="H5570" s="5">
        <v>740</v>
      </c>
      <c r="I5570" t="s" s="2">
        <v>899</v>
      </c>
      <c r="J5570" t="s" s="2">
        <v>9204</v>
      </c>
      <c r="K5570" s="6"/>
      <c r="L5570" s="6"/>
      <c r="M5570" s="6"/>
      <c r="N5570" s="6"/>
      <c r="O5570" t="s" s="2">
        <v>25</v>
      </c>
      <c r="P5570" s="6"/>
      <c r="Q5570" t="s" s="2">
        <v>43</v>
      </c>
      <c r="R5570" s="5">
        <f>_xlfn.IFERROR(INDEX('model_byCAP'!$D$2:$D$377,MATCH(Q5570,'model_byCAP'!$A$2:$A$377,0)),0)</f>
        <v>0</v>
      </c>
    </row>
    <row r="5571" ht="15.35" customHeight="1">
      <c r="A5571" t="s" s="2">
        <v>10049</v>
      </c>
      <c r="B5571" s="4">
        <v>44532</v>
      </c>
      <c r="C5571" s="5">
        <v>10</v>
      </c>
      <c r="D5571" s="5">
        <v>7.1</v>
      </c>
      <c r="E5571" s="5">
        <v>21</v>
      </c>
      <c r="F5571" t="s" s="2">
        <v>10050</v>
      </c>
      <c r="G5571" t="s" s="2">
        <v>10051</v>
      </c>
      <c r="H5571" s="5">
        <v>741</v>
      </c>
      <c r="I5571" t="s" s="2">
        <v>2306</v>
      </c>
      <c r="J5571" t="s" s="2">
        <v>9204</v>
      </c>
      <c r="K5571" s="6"/>
      <c r="L5571" s="6"/>
      <c r="M5571" s="6"/>
      <c r="N5571" s="6"/>
      <c r="O5571" t="s" s="2">
        <v>25</v>
      </c>
      <c r="P5571" s="6"/>
      <c r="Q5571" t="s" s="2">
        <v>10052</v>
      </c>
      <c r="R5571" s="5">
        <f>_xlfn.IFERROR(INDEX('model_byCAP'!$D$2:$D$377,MATCH(Q5571,'model_byCAP'!$A$2:$A$377,0)),0)</f>
        <v>0</v>
      </c>
    </row>
    <row r="5572" ht="15.35" customHeight="1">
      <c r="A5572" t="s" s="2">
        <v>10053</v>
      </c>
      <c r="B5572" s="4">
        <v>42444</v>
      </c>
      <c r="C5572" s="5">
        <v>10</v>
      </c>
      <c r="D5572" s="5">
        <v>7.1</v>
      </c>
      <c r="E5572" s="5">
        <v>21.4</v>
      </c>
      <c r="F5572" t="s" s="2">
        <v>42</v>
      </c>
      <c r="G5572" t="s" s="2">
        <v>42</v>
      </c>
      <c r="H5572" s="5">
        <v>746</v>
      </c>
      <c r="I5572" t="s" s="2">
        <v>902</v>
      </c>
      <c r="J5572" t="s" s="2">
        <v>9204</v>
      </c>
      <c r="K5572" s="6"/>
      <c r="L5572" s="6"/>
      <c r="M5572" s="6"/>
      <c r="N5572" s="6"/>
      <c r="O5572" t="s" s="2">
        <v>25</v>
      </c>
      <c r="P5572" s="6"/>
      <c r="Q5572" t="s" s="2">
        <v>43</v>
      </c>
      <c r="R5572" s="5">
        <f>_xlfn.IFERROR(INDEX('model_byCAP'!$D$2:$D$377,MATCH(Q5572,'model_byCAP'!$A$2:$A$377,0)),0)</f>
        <v>0</v>
      </c>
    </row>
    <row r="5573" ht="15.35" customHeight="1">
      <c r="A5573" t="s" s="2">
        <v>10054</v>
      </c>
      <c r="B5573" s="4">
        <v>42157</v>
      </c>
      <c r="C5573" s="5">
        <v>10</v>
      </c>
      <c r="D5573" s="5">
        <v>13</v>
      </c>
      <c r="E5573" s="5">
        <v>18.2</v>
      </c>
      <c r="F5573" t="s" s="2">
        <v>9471</v>
      </c>
      <c r="G5573" t="s" s="2">
        <v>9606</v>
      </c>
      <c r="H5573" s="5">
        <v>751</v>
      </c>
      <c r="I5573" t="s" s="2">
        <v>4849</v>
      </c>
      <c r="J5573" t="s" s="2">
        <v>9204</v>
      </c>
      <c r="K5573" s="6"/>
      <c r="L5573" s="6"/>
      <c r="M5573" s="6"/>
      <c r="N5573" s="6"/>
      <c r="O5573" t="s" s="2">
        <v>25</v>
      </c>
      <c r="P5573" s="6"/>
      <c r="Q5573" t="s" s="2">
        <v>9607</v>
      </c>
      <c r="R5573" s="5">
        <f>_xlfn.IFERROR(INDEX('model_byCAP'!$D$2:$D$377,MATCH(Q5573,'model_byCAP'!$A$2:$A$377,0)),0)</f>
        <v>0</v>
      </c>
    </row>
    <row r="5574" ht="15.35" customHeight="1">
      <c r="A5574" t="s" s="2">
        <v>10055</v>
      </c>
      <c r="B5574" s="4">
        <v>42167</v>
      </c>
      <c r="C5574" s="5">
        <v>10</v>
      </c>
      <c r="D5574" s="5">
        <v>14</v>
      </c>
      <c r="E5574" s="5">
        <v>18</v>
      </c>
      <c r="F5574" t="s" s="2">
        <v>9209</v>
      </c>
      <c r="G5574" t="s" s="2">
        <v>9638</v>
      </c>
      <c r="H5574" s="5">
        <v>751</v>
      </c>
      <c r="I5574" t="s" s="2">
        <v>4849</v>
      </c>
      <c r="J5574" t="s" s="2">
        <v>9204</v>
      </c>
      <c r="K5574" s="6"/>
      <c r="L5574" s="6"/>
      <c r="M5574" s="5">
        <v>565210.87</v>
      </c>
      <c r="N5574" s="5">
        <v>6325717.94</v>
      </c>
      <c r="O5574" t="s" s="2">
        <v>305</v>
      </c>
      <c r="P5574" s="6"/>
      <c r="Q5574" t="s" s="2">
        <v>9639</v>
      </c>
      <c r="R5574" s="5">
        <f>_xlfn.IFERROR(INDEX('model_byCAP'!$D$2:$D$377,MATCH(Q5574,'model_byCAP'!$A$2:$A$377,0)),0)</f>
        <v>0</v>
      </c>
    </row>
    <row r="5575" ht="15.35" customHeight="1">
      <c r="A5575" t="s" s="2">
        <v>10056</v>
      </c>
      <c r="B5575" s="4">
        <v>42339</v>
      </c>
      <c r="C5575" s="5">
        <v>10</v>
      </c>
      <c r="D5575" s="5">
        <v>13</v>
      </c>
      <c r="E5575" s="5">
        <v>18.2</v>
      </c>
      <c r="F5575" t="s" s="2">
        <v>9471</v>
      </c>
      <c r="G5575" t="s" s="2">
        <v>9606</v>
      </c>
      <c r="H5575" s="5">
        <v>751</v>
      </c>
      <c r="I5575" t="s" s="2">
        <v>4849</v>
      </c>
      <c r="J5575" t="s" s="2">
        <v>9204</v>
      </c>
      <c r="K5575" s="6"/>
      <c r="L5575" s="6"/>
      <c r="M5575" s="5">
        <v>578786.1899999999</v>
      </c>
      <c r="N5575" s="5">
        <v>6237546.28</v>
      </c>
      <c r="O5575" t="s" s="2">
        <v>305</v>
      </c>
      <c r="P5575" s="6"/>
      <c r="Q5575" t="s" s="2">
        <v>9607</v>
      </c>
      <c r="R5575" s="5">
        <f>_xlfn.IFERROR(INDEX('model_byCAP'!$D$2:$D$377,MATCH(Q5575,'model_byCAP'!$A$2:$A$377,0)),0)</f>
        <v>0</v>
      </c>
    </row>
    <row r="5576" ht="15.35" customHeight="1">
      <c r="A5576" t="s" s="2">
        <v>10057</v>
      </c>
      <c r="B5576" s="4">
        <v>42494</v>
      </c>
      <c r="C5576" s="5">
        <v>10</v>
      </c>
      <c r="D5576" s="5">
        <v>14</v>
      </c>
      <c r="E5576" s="5">
        <v>18</v>
      </c>
      <c r="F5576" t="s" s="2">
        <v>9209</v>
      </c>
      <c r="G5576" t="s" s="2">
        <v>9293</v>
      </c>
      <c r="H5576" s="5">
        <v>751</v>
      </c>
      <c r="I5576" t="s" s="2">
        <v>4849</v>
      </c>
      <c r="J5576" t="s" s="2">
        <v>9204</v>
      </c>
      <c r="K5576" s="6"/>
      <c r="L5576" s="6"/>
      <c r="M5576" s="5">
        <v>573475.46</v>
      </c>
      <c r="N5576" s="5">
        <v>6240851.04</v>
      </c>
      <c r="O5576" t="s" s="2">
        <v>305</v>
      </c>
      <c r="P5576" s="6"/>
      <c r="Q5576" t="s" s="2">
        <v>9295</v>
      </c>
      <c r="R5576" t="s" s="2">
        <f>_xlfn.IFERROR(INDEX('model_byCAP'!$D$2:$D$377,MATCH(Q5576,'model_byCAP'!$A$2:$A$377,0)),0)</f>
        <v>8430</v>
      </c>
    </row>
    <row r="5577" ht="15.35" customHeight="1">
      <c r="A5577" t="s" s="2">
        <v>10058</v>
      </c>
      <c r="B5577" s="4">
        <v>42493</v>
      </c>
      <c r="C5577" s="5">
        <v>10</v>
      </c>
      <c r="D5577" s="5">
        <v>13</v>
      </c>
      <c r="E5577" s="5">
        <v>18.2</v>
      </c>
      <c r="F5577" t="s" s="2">
        <v>9471</v>
      </c>
      <c r="G5577" t="s" s="2">
        <v>9606</v>
      </c>
      <c r="H5577" s="5">
        <v>751</v>
      </c>
      <c r="I5577" t="s" s="2">
        <v>4849</v>
      </c>
      <c r="J5577" t="s" s="2">
        <v>9204</v>
      </c>
      <c r="K5577" s="6"/>
      <c r="L5577" s="6"/>
      <c r="M5577" s="6"/>
      <c r="N5577" s="6"/>
      <c r="O5577" t="s" s="2">
        <v>25</v>
      </c>
      <c r="P5577" s="6"/>
      <c r="Q5577" t="s" s="2">
        <v>9607</v>
      </c>
      <c r="R5577" s="5">
        <f>_xlfn.IFERROR(INDEX('model_byCAP'!$D$2:$D$377,MATCH(Q5577,'model_byCAP'!$A$2:$A$377,0)),0)</f>
        <v>0</v>
      </c>
    </row>
    <row r="5578" ht="15.35" customHeight="1">
      <c r="A5578" t="s" s="2">
        <v>10059</v>
      </c>
      <c r="B5578" s="4">
        <v>41609</v>
      </c>
      <c r="C5578" s="5">
        <v>10</v>
      </c>
      <c r="D5578" s="5">
        <v>13</v>
      </c>
      <c r="E5578" s="5">
        <v>18</v>
      </c>
      <c r="F5578" t="s" s="2">
        <v>9471</v>
      </c>
      <c r="G5578" t="s" s="2">
        <v>9606</v>
      </c>
      <c r="H5578" s="5">
        <v>756</v>
      </c>
      <c r="I5578" t="s" s="2">
        <v>456</v>
      </c>
      <c r="J5578" t="s" s="2">
        <v>9204</v>
      </c>
      <c r="K5578" s="6"/>
      <c r="L5578" s="6"/>
      <c r="M5578" s="6"/>
      <c r="N5578" s="6"/>
      <c r="O5578" t="s" s="2">
        <v>25</v>
      </c>
      <c r="P5578" s="6"/>
      <c r="Q5578" t="s" s="2">
        <v>9607</v>
      </c>
      <c r="R5578" s="5">
        <f>_xlfn.IFERROR(INDEX('model_byCAP'!$D$2:$D$377,MATCH(Q5578,'model_byCAP'!$A$2:$A$377,0)),0)</f>
        <v>0</v>
      </c>
    </row>
    <row r="5579" ht="15.35" customHeight="1">
      <c r="A5579" t="s" s="2">
        <v>10060</v>
      </c>
      <c r="B5579" s="4">
        <v>42104</v>
      </c>
      <c r="C5579" s="5">
        <v>10</v>
      </c>
      <c r="D5579" s="5">
        <v>14</v>
      </c>
      <c r="E5579" s="5">
        <v>18</v>
      </c>
      <c r="F5579" t="s" s="2">
        <v>9209</v>
      </c>
      <c r="G5579" t="s" s="2">
        <v>9638</v>
      </c>
      <c r="H5579" s="5">
        <v>756</v>
      </c>
      <c r="I5579" t="s" s="2">
        <v>456</v>
      </c>
      <c r="J5579" t="s" s="2">
        <v>9204</v>
      </c>
      <c r="K5579" s="6"/>
      <c r="L5579" s="6"/>
      <c r="M5579" s="5">
        <v>502375.93</v>
      </c>
      <c r="N5579" s="5">
        <v>6194635.96</v>
      </c>
      <c r="O5579" t="s" s="2">
        <v>305</v>
      </c>
      <c r="P5579" s="6"/>
      <c r="Q5579" t="s" s="2">
        <v>9639</v>
      </c>
      <c r="R5579" s="5">
        <f>_xlfn.IFERROR(INDEX('model_byCAP'!$D$2:$D$377,MATCH(Q5579,'model_byCAP'!$A$2:$A$377,0)),0)</f>
        <v>0</v>
      </c>
    </row>
    <row r="5580" ht="15.35" customHeight="1">
      <c r="A5580" t="s" s="2">
        <v>10061</v>
      </c>
      <c r="B5580" s="4">
        <v>42436</v>
      </c>
      <c r="C5580" s="5">
        <v>10</v>
      </c>
      <c r="D5580" s="5">
        <v>13</v>
      </c>
      <c r="E5580" s="5">
        <v>18.2</v>
      </c>
      <c r="F5580" t="s" s="2">
        <v>9471</v>
      </c>
      <c r="G5580" t="s" s="2">
        <v>9606</v>
      </c>
      <c r="H5580" s="5">
        <v>756</v>
      </c>
      <c r="I5580" t="s" s="2">
        <v>456</v>
      </c>
      <c r="J5580" t="s" s="2">
        <v>9204</v>
      </c>
      <c r="K5580" s="6"/>
      <c r="L5580" s="6"/>
      <c r="M5580" s="5">
        <v>511439.51</v>
      </c>
      <c r="N5580" s="5">
        <v>6217154.28</v>
      </c>
      <c r="O5580" t="s" s="2">
        <v>305</v>
      </c>
      <c r="P5580" s="6"/>
      <c r="Q5580" t="s" s="2">
        <v>9607</v>
      </c>
      <c r="R5580" s="5">
        <f>_xlfn.IFERROR(INDEX('model_byCAP'!$D$2:$D$377,MATCH(Q5580,'model_byCAP'!$A$2:$A$377,0)),0)</f>
        <v>0</v>
      </c>
    </row>
    <row r="5581" ht="15.35" customHeight="1">
      <c r="A5581" t="s" s="2">
        <v>10062</v>
      </c>
      <c r="B5581" s="4">
        <v>42227</v>
      </c>
      <c r="C5581" s="5">
        <v>10</v>
      </c>
      <c r="D5581" s="5">
        <v>7.1</v>
      </c>
      <c r="E5581" s="5">
        <v>21</v>
      </c>
      <c r="F5581" t="s" s="2">
        <v>42</v>
      </c>
      <c r="G5581" t="s" s="2">
        <v>42</v>
      </c>
      <c r="H5581" s="5">
        <v>756</v>
      </c>
      <c r="I5581" t="s" s="2">
        <v>456</v>
      </c>
      <c r="J5581" t="s" s="2">
        <v>9204</v>
      </c>
      <c r="K5581" s="6"/>
      <c r="L5581" s="6"/>
      <c r="M5581" s="5">
        <v>531227.0600000001</v>
      </c>
      <c r="N5581" s="5">
        <v>6199952.04</v>
      </c>
      <c r="O5581" t="s" s="2">
        <v>305</v>
      </c>
      <c r="P5581" s="6"/>
      <c r="Q5581" t="s" s="2">
        <v>43</v>
      </c>
      <c r="R5581" s="5">
        <f>_xlfn.IFERROR(INDEX('model_byCAP'!$D$2:$D$377,MATCH(Q5581,'model_byCAP'!$A$2:$A$377,0)),0)</f>
        <v>0</v>
      </c>
    </row>
    <row r="5582" ht="15.35" customHeight="1">
      <c r="A5582" t="s" s="2">
        <v>10063</v>
      </c>
      <c r="B5582" s="4">
        <v>43581</v>
      </c>
      <c r="C5582" s="5">
        <v>10</v>
      </c>
      <c r="D5582" s="5">
        <v>7.1</v>
      </c>
      <c r="E5582" s="5">
        <v>18</v>
      </c>
      <c r="F5582" t="s" s="2">
        <v>42</v>
      </c>
      <c r="G5582" t="s" s="2">
        <v>42</v>
      </c>
      <c r="H5582" s="5">
        <v>756</v>
      </c>
      <c r="I5582" t="s" s="2">
        <v>456</v>
      </c>
      <c r="J5582" t="s" s="2">
        <v>9204</v>
      </c>
      <c r="K5582" s="6"/>
      <c r="L5582" s="6"/>
      <c r="M5582" s="6"/>
      <c r="N5582" s="6"/>
      <c r="O5582" t="s" s="2">
        <v>25</v>
      </c>
      <c r="P5582" s="6"/>
      <c r="Q5582" t="s" s="2">
        <v>43</v>
      </c>
      <c r="R5582" s="5">
        <f>_xlfn.IFERROR(INDEX('model_byCAP'!$D$2:$D$377,MATCH(Q5582,'model_byCAP'!$A$2:$A$377,0)),0)</f>
        <v>0</v>
      </c>
    </row>
    <row r="5583" ht="15.35" customHeight="1">
      <c r="A5583" t="s" s="2">
        <v>10064</v>
      </c>
      <c r="B5583" s="4">
        <v>42307</v>
      </c>
      <c r="C5583" s="5">
        <v>10</v>
      </c>
      <c r="D5583" s="5">
        <v>13</v>
      </c>
      <c r="E5583" s="5">
        <v>18.2</v>
      </c>
      <c r="F5583" t="s" s="2">
        <v>9471</v>
      </c>
      <c r="G5583" t="s" s="2">
        <v>9606</v>
      </c>
      <c r="H5583" s="5">
        <v>756</v>
      </c>
      <c r="I5583" t="s" s="2">
        <v>456</v>
      </c>
      <c r="J5583" t="s" s="2">
        <v>9204</v>
      </c>
      <c r="K5583" s="6"/>
      <c r="L5583" s="6"/>
      <c r="M5583" s="5">
        <v>507113.78</v>
      </c>
      <c r="N5583" s="5">
        <v>6224286.91</v>
      </c>
      <c r="O5583" t="s" s="2">
        <v>305</v>
      </c>
      <c r="P5583" s="6"/>
      <c r="Q5583" t="s" s="2">
        <v>9607</v>
      </c>
      <c r="R5583" s="5">
        <f>_xlfn.IFERROR(INDEX('model_byCAP'!$D$2:$D$377,MATCH(Q5583,'model_byCAP'!$A$2:$A$377,0)),0)</f>
        <v>0</v>
      </c>
    </row>
    <row r="5584" ht="15.35" customHeight="1">
      <c r="A5584" t="s" s="2">
        <v>10065</v>
      </c>
      <c r="B5584" s="4">
        <v>42541</v>
      </c>
      <c r="C5584" s="5">
        <v>10</v>
      </c>
      <c r="D5584" s="5">
        <v>14</v>
      </c>
      <c r="E5584" s="5">
        <v>18</v>
      </c>
      <c r="F5584" t="s" s="2">
        <v>9209</v>
      </c>
      <c r="G5584" t="s" s="2">
        <v>9293</v>
      </c>
      <c r="H5584" s="5">
        <v>760</v>
      </c>
      <c r="I5584" t="s" s="2">
        <v>331</v>
      </c>
      <c r="J5584" t="s" s="2">
        <v>9204</v>
      </c>
      <c r="K5584" s="6"/>
      <c r="L5584" s="6"/>
      <c r="M5584" s="6"/>
      <c r="N5584" s="6"/>
      <c r="O5584" t="s" s="2">
        <v>25</v>
      </c>
      <c r="P5584" s="6"/>
      <c r="Q5584" t="s" s="2">
        <v>9295</v>
      </c>
      <c r="R5584" t="s" s="2">
        <f>_xlfn.IFERROR(INDEX('model_byCAP'!$D$2:$D$377,MATCH(Q5584,'model_byCAP'!$A$2:$A$377,0)),0)</f>
        <v>8430</v>
      </c>
    </row>
    <row r="5585" ht="15.35" customHeight="1">
      <c r="A5585" t="s" s="2">
        <v>10066</v>
      </c>
      <c r="B5585" s="4">
        <v>42592</v>
      </c>
      <c r="C5585" s="5">
        <v>10</v>
      </c>
      <c r="D5585" s="5">
        <v>14</v>
      </c>
      <c r="E5585" s="5">
        <v>18</v>
      </c>
      <c r="F5585" t="s" s="2">
        <v>9209</v>
      </c>
      <c r="G5585" t="s" s="2">
        <v>9293</v>
      </c>
      <c r="H5585" s="5">
        <v>760</v>
      </c>
      <c r="I5585" t="s" s="2">
        <v>331</v>
      </c>
      <c r="J5585" t="s" s="2">
        <v>9204</v>
      </c>
      <c r="K5585" s="6"/>
      <c r="L5585" s="6"/>
      <c r="M5585" s="6"/>
      <c r="N5585" s="6"/>
      <c r="O5585" t="s" s="2">
        <v>25</v>
      </c>
      <c r="P5585" s="6"/>
      <c r="Q5585" t="s" s="2">
        <v>9295</v>
      </c>
      <c r="R5585" t="s" s="2">
        <f>_xlfn.IFERROR(INDEX('model_byCAP'!$D$2:$D$377,MATCH(Q5585,'model_byCAP'!$A$2:$A$377,0)),0)</f>
        <v>8430</v>
      </c>
    </row>
    <row r="5586" ht="15.35" customHeight="1">
      <c r="A5586" t="s" s="2">
        <v>10067</v>
      </c>
      <c r="B5586" s="4">
        <v>42542</v>
      </c>
      <c r="C5586" s="5">
        <v>10</v>
      </c>
      <c r="D5586" s="5">
        <v>13</v>
      </c>
      <c r="E5586" s="5">
        <v>18.2</v>
      </c>
      <c r="F5586" t="s" s="2">
        <v>9471</v>
      </c>
      <c r="G5586" t="s" s="2">
        <v>9606</v>
      </c>
      <c r="H5586" s="5">
        <v>760</v>
      </c>
      <c r="I5586" t="s" s="2">
        <v>331</v>
      </c>
      <c r="J5586" t="s" s="2">
        <v>9204</v>
      </c>
      <c r="K5586" s="6"/>
      <c r="L5586" s="6"/>
      <c r="M5586" s="5">
        <v>469025.45</v>
      </c>
      <c r="N5586" s="5">
        <v>6194667.76</v>
      </c>
      <c r="O5586" t="s" s="2">
        <v>305</v>
      </c>
      <c r="P5586" s="6"/>
      <c r="Q5586" t="s" s="2">
        <v>9607</v>
      </c>
      <c r="R5586" s="5">
        <f>_xlfn.IFERROR(INDEX('model_byCAP'!$D$2:$D$377,MATCH(Q5586,'model_byCAP'!$A$2:$A$377,0)),0)</f>
        <v>0</v>
      </c>
    </row>
    <row r="5587" ht="15.35" customHeight="1">
      <c r="A5587" t="s" s="2">
        <v>10068</v>
      </c>
      <c r="B5587" s="4">
        <v>42556</v>
      </c>
      <c r="C5587" s="5">
        <v>10</v>
      </c>
      <c r="D5587" s="5">
        <v>14</v>
      </c>
      <c r="E5587" s="5">
        <v>18</v>
      </c>
      <c r="F5587" t="s" s="2">
        <v>9209</v>
      </c>
      <c r="G5587" t="s" s="2">
        <v>9293</v>
      </c>
      <c r="H5587" s="5">
        <v>760</v>
      </c>
      <c r="I5587" t="s" s="2">
        <v>331</v>
      </c>
      <c r="J5587" t="s" s="2">
        <v>9204</v>
      </c>
      <c r="K5587" s="6"/>
      <c r="L5587" s="6"/>
      <c r="M5587" s="5">
        <v>467317.96</v>
      </c>
      <c r="N5587" s="5">
        <v>6195665.81</v>
      </c>
      <c r="O5587" t="s" s="2">
        <v>305</v>
      </c>
      <c r="P5587" s="6"/>
      <c r="Q5587" t="s" s="2">
        <v>9295</v>
      </c>
      <c r="R5587" t="s" s="2">
        <f>_xlfn.IFERROR(INDEX('model_byCAP'!$D$2:$D$377,MATCH(Q5587,'model_byCAP'!$A$2:$A$377,0)),0)</f>
        <v>8430</v>
      </c>
    </row>
    <row r="5588" ht="15.35" customHeight="1">
      <c r="A5588" t="s" s="2">
        <v>10069</v>
      </c>
      <c r="B5588" s="4">
        <v>42646</v>
      </c>
      <c r="C5588" s="5">
        <v>10</v>
      </c>
      <c r="D5588" s="5">
        <v>14</v>
      </c>
      <c r="E5588" s="5">
        <v>18</v>
      </c>
      <c r="F5588" t="s" s="2">
        <v>9209</v>
      </c>
      <c r="G5588" t="s" s="2">
        <v>9293</v>
      </c>
      <c r="H5588" s="5">
        <v>760</v>
      </c>
      <c r="I5588" t="s" s="2">
        <v>331</v>
      </c>
      <c r="J5588" t="s" s="2">
        <v>9204</v>
      </c>
      <c r="K5588" s="6"/>
      <c r="L5588" s="6"/>
      <c r="M5588" s="6"/>
      <c r="N5588" s="6"/>
      <c r="O5588" t="s" s="2">
        <v>25</v>
      </c>
      <c r="P5588" s="6"/>
      <c r="Q5588" t="s" s="2">
        <v>9295</v>
      </c>
      <c r="R5588" t="s" s="2">
        <f>_xlfn.IFERROR(INDEX('model_byCAP'!$D$2:$D$377,MATCH(Q5588,'model_byCAP'!$A$2:$A$377,0)),0)</f>
        <v>8430</v>
      </c>
    </row>
    <row r="5589" ht="15.35" customHeight="1">
      <c r="A5589" t="s" s="2">
        <v>10070</v>
      </c>
      <c r="B5589" s="4">
        <v>42635</v>
      </c>
      <c r="C5589" s="5">
        <v>10</v>
      </c>
      <c r="D5589" s="5">
        <v>14</v>
      </c>
      <c r="E5589" s="5">
        <v>18</v>
      </c>
      <c r="F5589" t="s" s="2">
        <v>9209</v>
      </c>
      <c r="G5589" t="s" s="2">
        <v>9293</v>
      </c>
      <c r="H5589" s="5">
        <v>760</v>
      </c>
      <c r="I5589" t="s" s="2">
        <v>331</v>
      </c>
      <c r="J5589" t="s" s="2">
        <v>9204</v>
      </c>
      <c r="K5589" s="6"/>
      <c r="L5589" s="6"/>
      <c r="M5589" s="6"/>
      <c r="N5589" s="6"/>
      <c r="O5589" t="s" s="2">
        <v>25</v>
      </c>
      <c r="P5589" s="6"/>
      <c r="Q5589" t="s" s="2">
        <v>9295</v>
      </c>
      <c r="R5589" t="s" s="2">
        <f>_xlfn.IFERROR(INDEX('model_byCAP'!$D$2:$D$377,MATCH(Q5589,'model_byCAP'!$A$2:$A$377,0)),0)</f>
        <v>8430</v>
      </c>
    </row>
    <row r="5590" ht="15.35" customHeight="1">
      <c r="A5590" t="s" s="2">
        <v>10071</v>
      </c>
      <c r="B5590" s="4">
        <v>42164</v>
      </c>
      <c r="C5590" s="5">
        <v>10</v>
      </c>
      <c r="D5590" s="5">
        <v>14</v>
      </c>
      <c r="E5590" s="5">
        <v>18</v>
      </c>
      <c r="F5590" t="s" s="2">
        <v>9209</v>
      </c>
      <c r="G5590" t="s" s="2">
        <v>9638</v>
      </c>
      <c r="H5590" s="5">
        <v>760</v>
      </c>
      <c r="I5590" t="s" s="2">
        <v>331</v>
      </c>
      <c r="J5590" t="s" s="2">
        <v>9204</v>
      </c>
      <c r="K5590" s="6"/>
      <c r="L5590" s="6"/>
      <c r="M5590" s="5">
        <v>461487.96</v>
      </c>
      <c r="N5590" s="5">
        <v>6193923.22</v>
      </c>
      <c r="O5590" t="s" s="2">
        <v>305</v>
      </c>
      <c r="P5590" s="6"/>
      <c r="Q5590" t="s" s="2">
        <v>9639</v>
      </c>
      <c r="R5590" s="5">
        <f>_xlfn.IFERROR(INDEX('model_byCAP'!$D$2:$D$377,MATCH(Q5590,'model_byCAP'!$A$2:$A$377,0)),0)</f>
        <v>0</v>
      </c>
    </row>
    <row r="5591" ht="15.35" customHeight="1">
      <c r="A5591" t="s" s="2">
        <v>10072</v>
      </c>
      <c r="B5591" s="4">
        <v>42356</v>
      </c>
      <c r="C5591" s="5">
        <v>10</v>
      </c>
      <c r="D5591" s="5">
        <v>14</v>
      </c>
      <c r="E5591" s="5">
        <v>18</v>
      </c>
      <c r="F5591" t="s" s="2">
        <v>9209</v>
      </c>
      <c r="G5591" t="s" s="2">
        <v>9293</v>
      </c>
      <c r="H5591" s="5">
        <v>760</v>
      </c>
      <c r="I5591" t="s" s="2">
        <v>331</v>
      </c>
      <c r="J5591" t="s" s="2">
        <v>9204</v>
      </c>
      <c r="K5591" s="6"/>
      <c r="L5591" s="6"/>
      <c r="M5591" s="5">
        <v>468974.79</v>
      </c>
      <c r="N5591" s="5">
        <v>6188505.16</v>
      </c>
      <c r="O5591" t="s" s="2">
        <v>305</v>
      </c>
      <c r="P5591" s="6"/>
      <c r="Q5591" t="s" s="2">
        <v>9295</v>
      </c>
      <c r="R5591" t="s" s="2">
        <f>_xlfn.IFERROR(INDEX('model_byCAP'!$D$2:$D$377,MATCH(Q5591,'model_byCAP'!$A$2:$A$377,0)),0)</f>
        <v>8430</v>
      </c>
    </row>
    <row r="5592" ht="15.35" customHeight="1">
      <c r="A5592" t="s" s="2">
        <v>10073</v>
      </c>
      <c r="B5592" s="4">
        <v>42492</v>
      </c>
      <c r="C5592" s="5">
        <v>10</v>
      </c>
      <c r="D5592" s="5">
        <v>14</v>
      </c>
      <c r="E5592" s="5">
        <v>18</v>
      </c>
      <c r="F5592" t="s" s="2">
        <v>9209</v>
      </c>
      <c r="G5592" t="s" s="2">
        <v>9293</v>
      </c>
      <c r="H5592" s="5">
        <v>760</v>
      </c>
      <c r="I5592" t="s" s="2">
        <v>331</v>
      </c>
      <c r="J5592" t="s" s="2">
        <v>9204</v>
      </c>
      <c r="K5592" s="6"/>
      <c r="L5592" s="6"/>
      <c r="M5592" s="5">
        <v>464511.9</v>
      </c>
      <c r="N5592" s="5">
        <v>6194475.46</v>
      </c>
      <c r="O5592" t="s" s="2">
        <v>305</v>
      </c>
      <c r="P5592" s="6"/>
      <c r="Q5592" t="s" s="2">
        <v>9295</v>
      </c>
      <c r="R5592" t="s" s="2">
        <f>_xlfn.IFERROR(INDEX('model_byCAP'!$D$2:$D$377,MATCH(Q5592,'model_byCAP'!$A$2:$A$377,0)),0)</f>
        <v>8430</v>
      </c>
    </row>
    <row r="5593" ht="15.35" customHeight="1">
      <c r="A5593" t="s" s="2">
        <v>10074</v>
      </c>
      <c r="B5593" s="4">
        <v>42667</v>
      </c>
      <c r="C5593" s="5">
        <v>10</v>
      </c>
      <c r="D5593" s="5">
        <v>14</v>
      </c>
      <c r="E5593" s="5">
        <v>18</v>
      </c>
      <c r="F5593" t="s" s="2">
        <v>9209</v>
      </c>
      <c r="G5593" t="s" s="2">
        <v>9293</v>
      </c>
      <c r="H5593" s="5">
        <v>760</v>
      </c>
      <c r="I5593" t="s" s="2">
        <v>331</v>
      </c>
      <c r="J5593" t="s" s="2">
        <v>9204</v>
      </c>
      <c r="K5593" s="6"/>
      <c r="L5593" s="6"/>
      <c r="M5593" s="6"/>
      <c r="N5593" s="6"/>
      <c r="O5593" t="s" s="2">
        <v>25</v>
      </c>
      <c r="P5593" s="6"/>
      <c r="Q5593" t="s" s="2">
        <v>9295</v>
      </c>
      <c r="R5593" t="s" s="2">
        <f>_xlfn.IFERROR(INDEX('model_byCAP'!$D$2:$D$377,MATCH(Q5593,'model_byCAP'!$A$2:$A$377,0)),0)</f>
        <v>8430</v>
      </c>
    </row>
    <row r="5594" ht="15.35" customHeight="1">
      <c r="A5594" t="s" s="2">
        <v>10075</v>
      </c>
      <c r="B5594" s="4">
        <v>43006</v>
      </c>
      <c r="C5594" s="5">
        <v>10</v>
      </c>
      <c r="D5594" s="5">
        <v>13</v>
      </c>
      <c r="E5594" s="5">
        <v>18.3</v>
      </c>
      <c r="F5594" t="s" s="2">
        <v>9471</v>
      </c>
      <c r="G5594" t="s" s="2">
        <v>9606</v>
      </c>
      <c r="H5594" s="5">
        <v>760</v>
      </c>
      <c r="I5594" t="s" s="2">
        <v>331</v>
      </c>
      <c r="J5594" t="s" s="2">
        <v>9204</v>
      </c>
      <c r="K5594" s="6"/>
      <c r="L5594" s="6"/>
      <c r="M5594" s="6"/>
      <c r="N5594" s="6"/>
      <c r="O5594" t="s" s="2">
        <v>25</v>
      </c>
      <c r="P5594" s="6"/>
      <c r="Q5594" t="s" s="2">
        <v>9607</v>
      </c>
      <c r="R5594" s="5">
        <f>_xlfn.IFERROR(INDEX('model_byCAP'!$D$2:$D$377,MATCH(Q5594,'model_byCAP'!$A$2:$A$377,0)),0)</f>
        <v>0</v>
      </c>
    </row>
    <row r="5595" ht="15.35" customHeight="1">
      <c r="A5595" t="s" s="2">
        <v>10076</v>
      </c>
      <c r="B5595" s="4">
        <v>41626</v>
      </c>
      <c r="C5595" s="5">
        <v>10</v>
      </c>
      <c r="D5595" s="5">
        <v>7.1</v>
      </c>
      <c r="E5595" s="5">
        <v>21</v>
      </c>
      <c r="F5595" t="s" s="2">
        <v>42</v>
      </c>
      <c r="G5595" t="s" s="2">
        <v>42</v>
      </c>
      <c r="H5595" s="5">
        <v>760</v>
      </c>
      <c r="I5595" t="s" s="2">
        <v>331</v>
      </c>
      <c r="J5595" t="s" s="2">
        <v>9204</v>
      </c>
      <c r="K5595" s="6"/>
      <c r="L5595" s="6"/>
      <c r="M5595" s="5">
        <v>473698.75</v>
      </c>
      <c r="N5595" s="5">
        <v>6206444.1</v>
      </c>
      <c r="O5595" t="s" s="2">
        <v>305</v>
      </c>
      <c r="P5595" s="6"/>
      <c r="Q5595" t="s" s="2">
        <v>43</v>
      </c>
      <c r="R5595" s="5">
        <f>_xlfn.IFERROR(INDEX('model_byCAP'!$D$2:$D$377,MATCH(Q5595,'model_byCAP'!$A$2:$A$377,0)),0)</f>
        <v>0</v>
      </c>
    </row>
    <row r="5596" ht="15.35" customHeight="1">
      <c r="A5596" t="s" s="2">
        <v>10077</v>
      </c>
      <c r="B5596" s="4">
        <v>41732</v>
      </c>
      <c r="C5596" s="5">
        <v>10</v>
      </c>
      <c r="D5596" s="5">
        <v>14</v>
      </c>
      <c r="E5596" s="5">
        <v>18</v>
      </c>
      <c r="F5596" t="s" s="2">
        <v>42</v>
      </c>
      <c r="G5596" t="s" s="2">
        <v>42</v>
      </c>
      <c r="H5596" s="5">
        <v>760</v>
      </c>
      <c r="I5596" t="s" s="2">
        <v>331</v>
      </c>
      <c r="J5596" t="s" s="2">
        <v>9204</v>
      </c>
      <c r="K5596" s="6"/>
      <c r="L5596" s="6"/>
      <c r="M5596" s="5">
        <v>462398.86</v>
      </c>
      <c r="N5596" s="5">
        <v>6200408.99</v>
      </c>
      <c r="O5596" t="s" s="2">
        <v>305</v>
      </c>
      <c r="P5596" s="6"/>
      <c r="Q5596" t="s" s="2">
        <v>43</v>
      </c>
      <c r="R5596" s="5">
        <f>_xlfn.IFERROR(INDEX('model_byCAP'!$D$2:$D$377,MATCH(Q5596,'model_byCAP'!$A$2:$A$377,0)),0)</f>
        <v>0</v>
      </c>
    </row>
    <row r="5597" ht="15.35" customHeight="1">
      <c r="A5597" t="s" s="2">
        <v>10078</v>
      </c>
      <c r="B5597" s="4">
        <v>41732</v>
      </c>
      <c r="C5597" s="5">
        <v>10</v>
      </c>
      <c r="D5597" s="5">
        <v>14</v>
      </c>
      <c r="E5597" s="5">
        <v>18</v>
      </c>
      <c r="F5597" t="s" s="2">
        <v>42</v>
      </c>
      <c r="G5597" t="s" s="2">
        <v>42</v>
      </c>
      <c r="H5597" s="5">
        <v>760</v>
      </c>
      <c r="I5597" t="s" s="2">
        <v>331</v>
      </c>
      <c r="J5597" t="s" s="2">
        <v>9204</v>
      </c>
      <c r="K5597" s="6"/>
      <c r="L5597" s="6"/>
      <c r="M5597" s="5">
        <v>462398.86</v>
      </c>
      <c r="N5597" s="5">
        <v>6200408.99</v>
      </c>
      <c r="O5597" t="s" s="2">
        <v>9820</v>
      </c>
      <c r="P5597" s="6"/>
      <c r="Q5597" t="s" s="2">
        <v>43</v>
      </c>
      <c r="R5597" s="5">
        <f>_xlfn.IFERROR(INDEX('model_byCAP'!$D$2:$D$377,MATCH(Q5597,'model_byCAP'!$A$2:$A$377,0)),0)</f>
        <v>0</v>
      </c>
    </row>
    <row r="5598" ht="15.35" customHeight="1">
      <c r="A5598" t="s" s="2">
        <v>10079</v>
      </c>
      <c r="B5598" s="4">
        <v>41969</v>
      </c>
      <c r="C5598" s="5">
        <v>10</v>
      </c>
      <c r="D5598" s="5">
        <v>7.1</v>
      </c>
      <c r="E5598" s="5">
        <v>21</v>
      </c>
      <c r="F5598" t="s" s="2">
        <v>42</v>
      </c>
      <c r="G5598" t="s" s="2">
        <v>42</v>
      </c>
      <c r="H5598" s="5">
        <v>760</v>
      </c>
      <c r="I5598" t="s" s="2">
        <v>331</v>
      </c>
      <c r="J5598" t="s" s="2">
        <v>9204</v>
      </c>
      <c r="K5598" s="6"/>
      <c r="L5598" s="6"/>
      <c r="M5598" s="5">
        <v>477289.57</v>
      </c>
      <c r="N5598" s="5">
        <v>6206121.22</v>
      </c>
      <c r="O5598" t="s" s="2">
        <v>305</v>
      </c>
      <c r="P5598" s="6"/>
      <c r="Q5598" t="s" s="2">
        <v>43</v>
      </c>
      <c r="R5598" s="5">
        <f>_xlfn.IFERROR(INDEX('model_byCAP'!$D$2:$D$377,MATCH(Q5598,'model_byCAP'!$A$2:$A$377,0)),0)</f>
        <v>0</v>
      </c>
    </row>
    <row r="5599" ht="15.35" customHeight="1">
      <c r="A5599" t="s" s="2">
        <v>10080</v>
      </c>
      <c r="B5599" s="4">
        <v>42026</v>
      </c>
      <c r="C5599" s="5">
        <v>10</v>
      </c>
      <c r="D5599" s="5">
        <v>7.1</v>
      </c>
      <c r="E5599" s="5">
        <v>21</v>
      </c>
      <c r="F5599" t="s" s="2">
        <v>42</v>
      </c>
      <c r="G5599" t="s" s="2">
        <v>42</v>
      </c>
      <c r="H5599" s="5">
        <v>760</v>
      </c>
      <c r="I5599" t="s" s="2">
        <v>331</v>
      </c>
      <c r="J5599" t="s" s="2">
        <v>9204</v>
      </c>
      <c r="K5599" s="6"/>
      <c r="L5599" s="6"/>
      <c r="M5599" s="5">
        <v>455700.64</v>
      </c>
      <c r="N5599" s="5">
        <v>6225548.81</v>
      </c>
      <c r="O5599" t="s" s="2">
        <v>305</v>
      </c>
      <c r="P5599" s="6"/>
      <c r="Q5599" t="s" s="2">
        <v>43</v>
      </c>
      <c r="R5599" s="5">
        <f>_xlfn.IFERROR(INDEX('model_byCAP'!$D$2:$D$377,MATCH(Q5599,'model_byCAP'!$A$2:$A$377,0)),0)</f>
        <v>0</v>
      </c>
    </row>
    <row r="5600" ht="15.35" customHeight="1">
      <c r="A5600" t="s" s="2">
        <v>10081</v>
      </c>
      <c r="B5600" s="4">
        <v>42024</v>
      </c>
      <c r="C5600" s="5">
        <v>10</v>
      </c>
      <c r="D5600" s="5">
        <v>7.1</v>
      </c>
      <c r="E5600" s="5">
        <v>21</v>
      </c>
      <c r="F5600" t="s" s="2">
        <v>42</v>
      </c>
      <c r="G5600" t="s" s="2">
        <v>42</v>
      </c>
      <c r="H5600" s="5">
        <v>760</v>
      </c>
      <c r="I5600" t="s" s="2">
        <v>331</v>
      </c>
      <c r="J5600" t="s" s="2">
        <v>9204</v>
      </c>
      <c r="K5600" s="6"/>
      <c r="L5600" s="6"/>
      <c r="M5600" s="6"/>
      <c r="N5600" s="6"/>
      <c r="O5600" t="s" s="2">
        <v>25</v>
      </c>
      <c r="P5600" s="6"/>
      <c r="Q5600" t="s" s="2">
        <v>43</v>
      </c>
      <c r="R5600" s="5">
        <f>_xlfn.IFERROR(INDEX('model_byCAP'!$D$2:$D$377,MATCH(Q5600,'model_byCAP'!$A$2:$A$377,0)),0)</f>
        <v>0</v>
      </c>
    </row>
    <row r="5601" ht="15.35" customHeight="1">
      <c r="A5601" t="s" s="2">
        <v>10082</v>
      </c>
      <c r="B5601" s="4">
        <v>42108</v>
      </c>
      <c r="C5601" s="5">
        <v>10</v>
      </c>
      <c r="D5601" s="5">
        <v>7.1</v>
      </c>
      <c r="E5601" s="5">
        <v>21</v>
      </c>
      <c r="F5601" t="s" s="2">
        <v>42</v>
      </c>
      <c r="G5601" t="s" s="2">
        <v>42</v>
      </c>
      <c r="H5601" s="5">
        <v>760</v>
      </c>
      <c r="I5601" t="s" s="2">
        <v>331</v>
      </c>
      <c r="J5601" t="s" s="2">
        <v>9204</v>
      </c>
      <c r="K5601" s="6"/>
      <c r="L5601" s="6"/>
      <c r="M5601" s="5">
        <v>451499.24</v>
      </c>
      <c r="N5601" s="5">
        <v>6228094.3</v>
      </c>
      <c r="O5601" t="s" s="2">
        <v>305</v>
      </c>
      <c r="P5601" s="6"/>
      <c r="Q5601" t="s" s="2">
        <v>43</v>
      </c>
      <c r="R5601" s="5">
        <f>_xlfn.IFERROR(INDEX('model_byCAP'!$D$2:$D$377,MATCH(Q5601,'model_byCAP'!$A$2:$A$377,0)),0)</f>
        <v>0</v>
      </c>
    </row>
    <row r="5602" ht="15.35" customHeight="1">
      <c r="A5602" t="s" s="2">
        <v>10083</v>
      </c>
      <c r="B5602" s="4">
        <v>42150</v>
      </c>
      <c r="C5602" s="5">
        <v>10</v>
      </c>
      <c r="D5602" s="5">
        <v>14</v>
      </c>
      <c r="E5602" s="5">
        <v>18</v>
      </c>
      <c r="F5602" t="s" s="2">
        <v>9209</v>
      </c>
      <c r="G5602" t="s" s="2">
        <v>9638</v>
      </c>
      <c r="H5602" s="5">
        <v>760</v>
      </c>
      <c r="I5602" t="s" s="2">
        <v>331</v>
      </c>
      <c r="J5602" t="s" s="2">
        <v>9204</v>
      </c>
      <c r="K5602" s="6"/>
      <c r="L5602" s="6"/>
      <c r="M5602" s="5">
        <v>475191.67</v>
      </c>
      <c r="N5602" s="5">
        <v>6217434.49</v>
      </c>
      <c r="O5602" t="s" s="2">
        <v>305</v>
      </c>
      <c r="P5602" s="6"/>
      <c r="Q5602" t="s" s="2">
        <v>9639</v>
      </c>
      <c r="R5602" s="5">
        <f>_xlfn.IFERROR(INDEX('model_byCAP'!$D$2:$D$377,MATCH(Q5602,'model_byCAP'!$A$2:$A$377,0)),0)</f>
        <v>0</v>
      </c>
    </row>
    <row r="5603" ht="15.35" customHeight="1">
      <c r="A5603" t="s" s="2">
        <v>10084</v>
      </c>
      <c r="B5603" s="4">
        <v>42125</v>
      </c>
      <c r="C5603" s="5">
        <v>10</v>
      </c>
      <c r="D5603" s="5">
        <v>7.1</v>
      </c>
      <c r="E5603" s="5">
        <v>17</v>
      </c>
      <c r="F5603" t="s" s="2">
        <v>42</v>
      </c>
      <c r="G5603" t="s" s="2">
        <v>42</v>
      </c>
      <c r="H5603" s="5">
        <v>760</v>
      </c>
      <c r="I5603" t="s" s="2">
        <v>331</v>
      </c>
      <c r="J5603" t="s" s="2">
        <v>9204</v>
      </c>
      <c r="K5603" s="6"/>
      <c r="L5603" s="6"/>
      <c r="M5603" s="6"/>
      <c r="N5603" s="6"/>
      <c r="O5603" t="s" s="2">
        <v>25</v>
      </c>
      <c r="P5603" s="6"/>
      <c r="Q5603" t="s" s="2">
        <v>43</v>
      </c>
      <c r="R5603" s="5">
        <f>_xlfn.IFERROR(INDEX('model_byCAP'!$D$2:$D$377,MATCH(Q5603,'model_byCAP'!$A$2:$A$377,0)),0)</f>
        <v>0</v>
      </c>
    </row>
    <row r="5604" ht="15.35" customHeight="1">
      <c r="A5604" t="s" s="2">
        <v>10085</v>
      </c>
      <c r="B5604" s="4">
        <v>42217</v>
      </c>
      <c r="C5604" s="5">
        <v>10</v>
      </c>
      <c r="D5604" s="5">
        <v>14</v>
      </c>
      <c r="E5604" s="5">
        <v>18</v>
      </c>
      <c r="F5604" t="s" s="2">
        <v>9209</v>
      </c>
      <c r="G5604" t="s" s="2">
        <v>9293</v>
      </c>
      <c r="H5604" s="5">
        <v>760</v>
      </c>
      <c r="I5604" t="s" s="2">
        <v>331</v>
      </c>
      <c r="J5604" t="s" s="2">
        <v>9204</v>
      </c>
      <c r="K5604" s="6"/>
      <c r="L5604" s="6"/>
      <c r="M5604" s="5">
        <v>462209.15</v>
      </c>
      <c r="N5604" s="5">
        <v>6204164.53</v>
      </c>
      <c r="O5604" t="s" s="2">
        <v>305</v>
      </c>
      <c r="P5604" s="6"/>
      <c r="Q5604" t="s" s="2">
        <v>9295</v>
      </c>
      <c r="R5604" t="s" s="2">
        <f>_xlfn.IFERROR(INDEX('model_byCAP'!$D$2:$D$377,MATCH(Q5604,'model_byCAP'!$A$2:$A$377,0)),0)</f>
        <v>8430</v>
      </c>
    </row>
    <row r="5605" ht="15.35" customHeight="1">
      <c r="A5605" t="s" s="2">
        <v>10086</v>
      </c>
      <c r="B5605" s="4">
        <v>42228</v>
      </c>
      <c r="C5605" s="5">
        <v>10</v>
      </c>
      <c r="D5605" s="5">
        <v>14</v>
      </c>
      <c r="E5605" s="5">
        <v>18</v>
      </c>
      <c r="F5605" t="s" s="2">
        <v>9209</v>
      </c>
      <c r="G5605" t="s" s="2">
        <v>9293</v>
      </c>
      <c r="H5605" s="5">
        <v>760</v>
      </c>
      <c r="I5605" t="s" s="2">
        <v>331</v>
      </c>
      <c r="J5605" t="s" s="2">
        <v>9204</v>
      </c>
      <c r="K5605" s="6"/>
      <c r="L5605" s="6"/>
      <c r="M5605" s="5">
        <v>476811.91</v>
      </c>
      <c r="N5605" s="5">
        <v>6212959.85</v>
      </c>
      <c r="O5605" t="s" s="2">
        <v>305</v>
      </c>
      <c r="P5605" s="6"/>
      <c r="Q5605" t="s" s="2">
        <v>9295</v>
      </c>
      <c r="R5605" t="s" s="2">
        <f>_xlfn.IFERROR(INDEX('model_byCAP'!$D$2:$D$377,MATCH(Q5605,'model_byCAP'!$A$2:$A$377,0)),0)</f>
        <v>8430</v>
      </c>
    </row>
    <row r="5606" ht="15.35" customHeight="1">
      <c r="A5606" t="s" s="2">
        <v>10087</v>
      </c>
      <c r="B5606" s="4">
        <v>42305</v>
      </c>
      <c r="C5606" s="5">
        <v>10</v>
      </c>
      <c r="D5606" s="5">
        <v>16</v>
      </c>
      <c r="E5606" s="5">
        <v>17</v>
      </c>
      <c r="F5606" t="s" s="2">
        <v>9209</v>
      </c>
      <c r="G5606" t="s" s="2">
        <v>9638</v>
      </c>
      <c r="H5606" s="5">
        <v>760</v>
      </c>
      <c r="I5606" t="s" s="2">
        <v>331</v>
      </c>
      <c r="J5606" t="s" s="2">
        <v>9204</v>
      </c>
      <c r="K5606" s="6"/>
      <c r="L5606" s="6"/>
      <c r="M5606" s="5">
        <v>468271.05</v>
      </c>
      <c r="N5606" s="5">
        <v>6216865.58</v>
      </c>
      <c r="O5606" t="s" s="2">
        <v>305</v>
      </c>
      <c r="P5606" s="6"/>
      <c r="Q5606" t="s" s="2">
        <v>9639</v>
      </c>
      <c r="R5606" s="5">
        <f>_xlfn.IFERROR(INDEX('model_byCAP'!$D$2:$D$377,MATCH(Q5606,'model_byCAP'!$A$2:$A$377,0)),0)</f>
        <v>0</v>
      </c>
    </row>
    <row r="5607" ht="15.35" customHeight="1">
      <c r="A5607" t="s" s="2">
        <v>10088</v>
      </c>
      <c r="B5607" s="4">
        <v>42289</v>
      </c>
      <c r="C5607" s="5">
        <v>10</v>
      </c>
      <c r="D5607" s="5">
        <v>14</v>
      </c>
      <c r="E5607" s="5">
        <v>18</v>
      </c>
      <c r="F5607" t="s" s="2">
        <v>9209</v>
      </c>
      <c r="G5607" t="s" s="2">
        <v>9293</v>
      </c>
      <c r="H5607" s="5">
        <v>760</v>
      </c>
      <c r="I5607" t="s" s="2">
        <v>331</v>
      </c>
      <c r="J5607" t="s" s="2">
        <v>9204</v>
      </c>
      <c r="K5607" s="6"/>
      <c r="L5607" s="6"/>
      <c r="M5607" s="5">
        <v>462726.74</v>
      </c>
      <c r="N5607" s="5">
        <v>6201644.06</v>
      </c>
      <c r="O5607" t="s" s="2">
        <v>305</v>
      </c>
      <c r="P5607" s="6"/>
      <c r="Q5607" t="s" s="2">
        <v>9295</v>
      </c>
      <c r="R5607" t="s" s="2">
        <f>_xlfn.IFERROR(INDEX('model_byCAP'!$D$2:$D$377,MATCH(Q5607,'model_byCAP'!$A$2:$A$377,0)),0)</f>
        <v>8430</v>
      </c>
    </row>
    <row r="5608" ht="15.35" customHeight="1">
      <c r="A5608" t="s" s="2">
        <v>10089</v>
      </c>
      <c r="B5608" s="4">
        <v>42312</v>
      </c>
      <c r="C5608" s="5">
        <v>10</v>
      </c>
      <c r="D5608" s="5">
        <v>14</v>
      </c>
      <c r="E5608" s="5">
        <v>18</v>
      </c>
      <c r="F5608" t="s" s="2">
        <v>9209</v>
      </c>
      <c r="G5608" t="s" s="2">
        <v>9293</v>
      </c>
      <c r="H5608" s="5">
        <v>760</v>
      </c>
      <c r="I5608" t="s" s="2">
        <v>331</v>
      </c>
      <c r="J5608" t="s" s="2">
        <v>9204</v>
      </c>
      <c r="K5608" s="6"/>
      <c r="L5608" s="6"/>
      <c r="M5608" s="5">
        <v>458222.43</v>
      </c>
      <c r="N5608" s="5">
        <v>6220654.48</v>
      </c>
      <c r="O5608" t="s" s="2">
        <v>305</v>
      </c>
      <c r="P5608" s="6"/>
      <c r="Q5608" t="s" s="2">
        <v>9295</v>
      </c>
      <c r="R5608" t="s" s="2">
        <f>_xlfn.IFERROR(INDEX('model_byCAP'!$D$2:$D$377,MATCH(Q5608,'model_byCAP'!$A$2:$A$377,0)),0)</f>
        <v>8430</v>
      </c>
    </row>
    <row r="5609" ht="15.35" customHeight="1">
      <c r="A5609" t="s" s="2">
        <v>10090</v>
      </c>
      <c r="B5609" s="4">
        <v>42325</v>
      </c>
      <c r="C5609" s="5">
        <v>10</v>
      </c>
      <c r="D5609" s="5">
        <v>14</v>
      </c>
      <c r="E5609" s="5">
        <v>18</v>
      </c>
      <c r="F5609" t="s" s="2">
        <v>9209</v>
      </c>
      <c r="G5609" t="s" s="2">
        <v>9293</v>
      </c>
      <c r="H5609" s="5">
        <v>760</v>
      </c>
      <c r="I5609" t="s" s="2">
        <v>331</v>
      </c>
      <c r="J5609" t="s" s="2">
        <v>9204</v>
      </c>
      <c r="K5609" s="6"/>
      <c r="L5609" s="6"/>
      <c r="M5609" s="5">
        <v>480628.05</v>
      </c>
      <c r="N5609" s="5">
        <v>6211498.62</v>
      </c>
      <c r="O5609" t="s" s="2">
        <v>305</v>
      </c>
      <c r="P5609" s="6"/>
      <c r="Q5609" t="s" s="2">
        <v>9295</v>
      </c>
      <c r="R5609" t="s" s="2">
        <f>_xlfn.IFERROR(INDEX('model_byCAP'!$D$2:$D$377,MATCH(Q5609,'model_byCAP'!$A$2:$A$377,0)),0)</f>
        <v>8430</v>
      </c>
    </row>
    <row r="5610" ht="15.35" customHeight="1">
      <c r="A5610" t="s" s="2">
        <v>10091</v>
      </c>
      <c r="B5610" s="4">
        <v>42340</v>
      </c>
      <c r="C5610" s="5">
        <v>10</v>
      </c>
      <c r="D5610" s="5">
        <v>14</v>
      </c>
      <c r="E5610" s="5">
        <v>18</v>
      </c>
      <c r="F5610" t="s" s="2">
        <v>9209</v>
      </c>
      <c r="G5610" t="s" s="2">
        <v>9293</v>
      </c>
      <c r="H5610" s="5">
        <v>760</v>
      </c>
      <c r="I5610" t="s" s="2">
        <v>331</v>
      </c>
      <c r="J5610" t="s" s="2">
        <v>9204</v>
      </c>
      <c r="K5610" s="6"/>
      <c r="L5610" s="6"/>
      <c r="M5610" s="5">
        <v>473065.1</v>
      </c>
      <c r="N5610" s="5">
        <v>6211473.11</v>
      </c>
      <c r="O5610" t="s" s="2">
        <v>305</v>
      </c>
      <c r="P5610" s="6"/>
      <c r="Q5610" t="s" s="2">
        <v>9295</v>
      </c>
      <c r="R5610" t="s" s="2">
        <f>_xlfn.IFERROR(INDEX('model_byCAP'!$D$2:$D$377,MATCH(Q5610,'model_byCAP'!$A$2:$A$377,0)),0)</f>
        <v>8430</v>
      </c>
    </row>
    <row r="5611" ht="15.35" customHeight="1">
      <c r="A5611" t="s" s="2">
        <v>10092</v>
      </c>
      <c r="B5611" s="4">
        <v>42366</v>
      </c>
      <c r="C5611" s="5">
        <v>10</v>
      </c>
      <c r="D5611" s="5">
        <v>13</v>
      </c>
      <c r="E5611" s="5">
        <v>18.2</v>
      </c>
      <c r="F5611" t="s" s="2">
        <v>9471</v>
      </c>
      <c r="G5611" t="s" s="2">
        <v>9606</v>
      </c>
      <c r="H5611" s="5">
        <v>760</v>
      </c>
      <c r="I5611" t="s" s="2">
        <v>331</v>
      </c>
      <c r="J5611" t="s" s="2">
        <v>9204</v>
      </c>
      <c r="K5611" s="6"/>
      <c r="L5611" s="6"/>
      <c r="M5611" s="5">
        <v>472721.4</v>
      </c>
      <c r="N5611" s="5">
        <v>6215521.63</v>
      </c>
      <c r="O5611" t="s" s="2">
        <v>305</v>
      </c>
      <c r="P5611" s="6"/>
      <c r="Q5611" t="s" s="2">
        <v>9607</v>
      </c>
      <c r="R5611" s="5">
        <f>_xlfn.IFERROR(INDEX('model_byCAP'!$D$2:$D$377,MATCH(Q5611,'model_byCAP'!$A$2:$A$377,0)),0)</f>
        <v>0</v>
      </c>
    </row>
    <row r="5612" ht="15.35" customHeight="1">
      <c r="A5612" t="s" s="2">
        <v>10093</v>
      </c>
      <c r="B5612" s="4">
        <v>42380</v>
      </c>
      <c r="C5612" s="5">
        <v>10</v>
      </c>
      <c r="D5612" s="5">
        <v>7.1</v>
      </c>
      <c r="E5612" s="5">
        <v>21</v>
      </c>
      <c r="F5612" t="s" s="2">
        <v>42</v>
      </c>
      <c r="G5612" t="s" s="2">
        <v>42</v>
      </c>
      <c r="H5612" s="5">
        <v>760</v>
      </c>
      <c r="I5612" t="s" s="2">
        <v>331</v>
      </c>
      <c r="J5612" t="s" s="2">
        <v>9204</v>
      </c>
      <c r="K5612" s="6"/>
      <c r="L5612" s="6"/>
      <c r="M5612" s="5">
        <v>477049.4</v>
      </c>
      <c r="N5612" s="5">
        <v>6206735.05</v>
      </c>
      <c r="O5612" t="s" s="2">
        <v>305</v>
      </c>
      <c r="P5612" s="6"/>
      <c r="Q5612" t="s" s="2">
        <v>43</v>
      </c>
      <c r="R5612" s="5">
        <f>_xlfn.IFERROR(INDEX('model_byCAP'!$D$2:$D$377,MATCH(Q5612,'model_byCAP'!$A$2:$A$377,0)),0)</f>
        <v>0</v>
      </c>
    </row>
    <row r="5613" ht="15.35" customHeight="1">
      <c r="A5613" t="s" s="2">
        <v>10094</v>
      </c>
      <c r="B5613" s="4">
        <v>42423</v>
      </c>
      <c r="C5613" s="5">
        <v>10</v>
      </c>
      <c r="D5613" s="5">
        <v>14</v>
      </c>
      <c r="E5613" s="5">
        <v>18</v>
      </c>
      <c r="F5613" t="s" s="2">
        <v>9209</v>
      </c>
      <c r="G5613" t="s" s="2">
        <v>9293</v>
      </c>
      <c r="H5613" s="5">
        <v>760</v>
      </c>
      <c r="I5613" t="s" s="2">
        <v>331</v>
      </c>
      <c r="J5613" t="s" s="2">
        <v>9204</v>
      </c>
      <c r="K5613" s="6"/>
      <c r="L5613" s="6"/>
      <c r="M5613" s="5">
        <v>468453.55</v>
      </c>
      <c r="N5613" s="5">
        <v>6213970.51</v>
      </c>
      <c r="O5613" t="s" s="2">
        <v>305</v>
      </c>
      <c r="P5613" s="6"/>
      <c r="Q5613" t="s" s="2">
        <v>9295</v>
      </c>
      <c r="R5613" t="s" s="2">
        <f>_xlfn.IFERROR(INDEX('model_byCAP'!$D$2:$D$377,MATCH(Q5613,'model_byCAP'!$A$2:$A$377,0)),0)</f>
        <v>8430</v>
      </c>
    </row>
    <row r="5614" ht="15.35" customHeight="1">
      <c r="A5614" t="s" s="2">
        <v>10095</v>
      </c>
      <c r="B5614" s="4">
        <v>42439</v>
      </c>
      <c r="C5614" s="5">
        <v>10</v>
      </c>
      <c r="D5614" s="5">
        <v>14</v>
      </c>
      <c r="E5614" s="5">
        <v>18</v>
      </c>
      <c r="F5614" t="s" s="2">
        <v>9209</v>
      </c>
      <c r="G5614" t="s" s="2">
        <v>9293</v>
      </c>
      <c r="H5614" s="5">
        <v>760</v>
      </c>
      <c r="I5614" t="s" s="2">
        <v>331</v>
      </c>
      <c r="J5614" t="s" s="2">
        <v>9204</v>
      </c>
      <c r="K5614" s="6"/>
      <c r="L5614" s="6"/>
      <c r="M5614" s="5">
        <v>473842.22</v>
      </c>
      <c r="N5614" s="5">
        <v>6212009.41</v>
      </c>
      <c r="O5614" t="s" s="2">
        <v>305</v>
      </c>
      <c r="P5614" s="6"/>
      <c r="Q5614" t="s" s="2">
        <v>9295</v>
      </c>
      <c r="R5614" t="s" s="2">
        <f>_xlfn.IFERROR(INDEX('model_byCAP'!$D$2:$D$377,MATCH(Q5614,'model_byCAP'!$A$2:$A$377,0)),0)</f>
        <v>8430</v>
      </c>
    </row>
    <row r="5615" ht="15.35" customHeight="1">
      <c r="A5615" t="s" s="2">
        <v>10096</v>
      </c>
      <c r="B5615" s="4">
        <v>42257</v>
      </c>
      <c r="C5615" s="5">
        <v>10</v>
      </c>
      <c r="D5615" s="5">
        <v>7.1</v>
      </c>
      <c r="E5615" s="5">
        <v>21</v>
      </c>
      <c r="F5615" t="s" s="2">
        <v>42</v>
      </c>
      <c r="G5615" t="s" s="2">
        <v>42</v>
      </c>
      <c r="H5615" s="5">
        <v>760</v>
      </c>
      <c r="I5615" t="s" s="2">
        <v>331</v>
      </c>
      <c r="J5615" t="s" s="2">
        <v>9204</v>
      </c>
      <c r="K5615" s="6"/>
      <c r="L5615" s="6"/>
      <c r="M5615" s="5">
        <v>474898.28</v>
      </c>
      <c r="N5615" s="5">
        <v>6205739.02</v>
      </c>
      <c r="O5615" t="s" s="2">
        <v>305</v>
      </c>
      <c r="P5615" s="6"/>
      <c r="Q5615" t="s" s="2">
        <v>43</v>
      </c>
      <c r="R5615" s="5">
        <f>_xlfn.IFERROR(INDEX('model_byCAP'!$D$2:$D$377,MATCH(Q5615,'model_byCAP'!$A$2:$A$377,0)),0)</f>
        <v>0</v>
      </c>
    </row>
    <row r="5616" ht="15.35" customHeight="1">
      <c r="A5616" t="s" s="2">
        <v>10097</v>
      </c>
      <c r="B5616" s="4">
        <v>42257</v>
      </c>
      <c r="C5616" s="5">
        <v>10</v>
      </c>
      <c r="D5616" s="5">
        <v>14</v>
      </c>
      <c r="E5616" s="5">
        <v>18</v>
      </c>
      <c r="F5616" t="s" s="2">
        <v>9209</v>
      </c>
      <c r="G5616" t="s" s="2">
        <v>9293</v>
      </c>
      <c r="H5616" s="5">
        <v>760</v>
      </c>
      <c r="I5616" t="s" s="2">
        <v>331</v>
      </c>
      <c r="J5616" t="s" s="2">
        <v>9204</v>
      </c>
      <c r="K5616" s="6"/>
      <c r="L5616" s="6"/>
      <c r="M5616" s="5">
        <v>463018.81</v>
      </c>
      <c r="N5616" s="5">
        <v>6202224.32</v>
      </c>
      <c r="O5616" t="s" s="2">
        <v>305</v>
      </c>
      <c r="P5616" s="6"/>
      <c r="Q5616" t="s" s="2">
        <v>9295</v>
      </c>
      <c r="R5616" t="s" s="2">
        <f>_xlfn.IFERROR(INDEX('model_byCAP'!$D$2:$D$377,MATCH(Q5616,'model_byCAP'!$A$2:$A$377,0)),0)</f>
        <v>8430</v>
      </c>
    </row>
    <row r="5617" ht="15.35" customHeight="1">
      <c r="A5617" t="s" s="2">
        <v>10098</v>
      </c>
      <c r="B5617" s="4">
        <v>42283</v>
      </c>
      <c r="C5617" s="5">
        <v>10</v>
      </c>
      <c r="D5617" s="5">
        <v>14</v>
      </c>
      <c r="E5617" s="5">
        <v>18</v>
      </c>
      <c r="F5617" t="s" s="2">
        <v>9209</v>
      </c>
      <c r="G5617" t="s" s="2">
        <v>9293</v>
      </c>
      <c r="H5617" s="5">
        <v>760</v>
      </c>
      <c r="I5617" t="s" s="2">
        <v>331</v>
      </c>
      <c r="J5617" t="s" s="2">
        <v>9204</v>
      </c>
      <c r="K5617" s="6"/>
      <c r="L5617" s="6"/>
      <c r="M5617" s="5">
        <v>477135.64</v>
      </c>
      <c r="N5617" s="5">
        <v>6212046.79</v>
      </c>
      <c r="O5617" t="s" s="2">
        <v>305</v>
      </c>
      <c r="P5617" s="6"/>
      <c r="Q5617" t="s" s="2">
        <v>9295</v>
      </c>
      <c r="R5617" t="s" s="2">
        <f>_xlfn.IFERROR(INDEX('model_byCAP'!$D$2:$D$377,MATCH(Q5617,'model_byCAP'!$A$2:$A$377,0)),0)</f>
        <v>8430</v>
      </c>
    </row>
    <row r="5618" ht="15.35" customHeight="1">
      <c r="A5618" t="s" s="2">
        <v>10099</v>
      </c>
      <c r="B5618" s="4">
        <v>42267</v>
      </c>
      <c r="C5618" s="5">
        <v>10</v>
      </c>
      <c r="D5618" s="5">
        <v>14</v>
      </c>
      <c r="E5618" s="5">
        <v>18</v>
      </c>
      <c r="F5618" t="s" s="2">
        <v>9209</v>
      </c>
      <c r="G5618" t="s" s="2">
        <v>9293</v>
      </c>
      <c r="H5618" s="5">
        <v>760</v>
      </c>
      <c r="I5618" t="s" s="2">
        <v>331</v>
      </c>
      <c r="J5618" t="s" s="2">
        <v>9204</v>
      </c>
      <c r="K5618" s="6"/>
      <c r="L5618" s="6"/>
      <c r="M5618" s="5">
        <v>462780.14</v>
      </c>
      <c r="N5618" s="5">
        <v>6202349.5</v>
      </c>
      <c r="O5618" t="s" s="2">
        <v>305</v>
      </c>
      <c r="P5618" s="6"/>
      <c r="Q5618" t="s" s="2">
        <v>9295</v>
      </c>
      <c r="R5618" t="s" s="2">
        <f>_xlfn.IFERROR(INDEX('model_byCAP'!$D$2:$D$377,MATCH(Q5618,'model_byCAP'!$A$2:$A$377,0)),0)</f>
        <v>8430</v>
      </c>
    </row>
    <row r="5619" ht="15.35" customHeight="1">
      <c r="A5619" t="s" s="2">
        <v>10100</v>
      </c>
      <c r="B5619" s="4">
        <v>42459</v>
      </c>
      <c r="C5619" s="5">
        <v>10</v>
      </c>
      <c r="D5619" s="5">
        <v>14</v>
      </c>
      <c r="E5619" s="5">
        <v>18</v>
      </c>
      <c r="F5619" t="s" s="2">
        <v>9209</v>
      </c>
      <c r="G5619" t="s" s="2">
        <v>9293</v>
      </c>
      <c r="H5619" s="5">
        <v>760</v>
      </c>
      <c r="I5619" t="s" s="2">
        <v>331</v>
      </c>
      <c r="J5619" t="s" s="2">
        <v>9204</v>
      </c>
      <c r="K5619" s="6"/>
      <c r="L5619" s="6"/>
      <c r="M5619" s="5">
        <v>479290.6</v>
      </c>
      <c r="N5619" s="5">
        <v>6210082.99</v>
      </c>
      <c r="O5619" t="s" s="2">
        <v>305</v>
      </c>
      <c r="P5619" s="6"/>
      <c r="Q5619" t="s" s="2">
        <v>9295</v>
      </c>
      <c r="R5619" t="s" s="2">
        <f>_xlfn.IFERROR(INDEX('model_byCAP'!$D$2:$D$377,MATCH(Q5619,'model_byCAP'!$A$2:$A$377,0)),0)</f>
        <v>8430</v>
      </c>
    </row>
    <row r="5620" ht="15.35" customHeight="1">
      <c r="A5620" t="s" s="2">
        <v>10101</v>
      </c>
      <c r="B5620" s="4">
        <v>42472</v>
      </c>
      <c r="C5620" s="5">
        <v>10</v>
      </c>
      <c r="D5620" s="5">
        <v>14</v>
      </c>
      <c r="E5620" s="5">
        <v>18</v>
      </c>
      <c r="F5620" t="s" s="2">
        <v>9209</v>
      </c>
      <c r="G5620" t="s" s="2">
        <v>9293</v>
      </c>
      <c r="H5620" s="5">
        <v>760</v>
      </c>
      <c r="I5620" t="s" s="2">
        <v>331</v>
      </c>
      <c r="J5620" t="s" s="2">
        <v>9204</v>
      </c>
      <c r="K5620" s="6"/>
      <c r="L5620" s="6"/>
      <c r="M5620" s="5">
        <v>455584.51</v>
      </c>
      <c r="N5620" s="5">
        <v>6227169.73</v>
      </c>
      <c r="O5620" t="s" s="2">
        <v>305</v>
      </c>
      <c r="P5620" s="6"/>
      <c r="Q5620" t="s" s="2">
        <v>9295</v>
      </c>
      <c r="R5620" t="s" s="2">
        <f>_xlfn.IFERROR(INDEX('model_byCAP'!$D$2:$D$377,MATCH(Q5620,'model_byCAP'!$A$2:$A$377,0)),0)</f>
        <v>8430</v>
      </c>
    </row>
    <row r="5621" ht="15.35" customHeight="1">
      <c r="A5621" t="s" s="2">
        <v>10102</v>
      </c>
      <c r="B5621" s="4">
        <v>42468</v>
      </c>
      <c r="C5621" s="5">
        <v>10</v>
      </c>
      <c r="D5621" s="5">
        <v>13</v>
      </c>
      <c r="E5621" s="5">
        <v>18.2</v>
      </c>
      <c r="F5621" t="s" s="2">
        <v>9471</v>
      </c>
      <c r="G5621" t="s" s="2">
        <v>9606</v>
      </c>
      <c r="H5621" s="5">
        <v>760</v>
      </c>
      <c r="I5621" t="s" s="2">
        <v>331</v>
      </c>
      <c r="J5621" t="s" s="2">
        <v>9204</v>
      </c>
      <c r="K5621" s="6"/>
      <c r="L5621" s="6"/>
      <c r="M5621" s="5">
        <v>474276.74</v>
      </c>
      <c r="N5621" s="5">
        <v>6210756.51</v>
      </c>
      <c r="O5621" t="s" s="2">
        <v>305</v>
      </c>
      <c r="P5621" s="6"/>
      <c r="Q5621" t="s" s="2">
        <v>9607</v>
      </c>
      <c r="R5621" s="5">
        <f>_xlfn.IFERROR(INDEX('model_byCAP'!$D$2:$D$377,MATCH(Q5621,'model_byCAP'!$A$2:$A$377,0)),0)</f>
        <v>0</v>
      </c>
    </row>
    <row r="5622" ht="15.35" customHeight="1">
      <c r="A5622" t="s" s="2">
        <v>10103</v>
      </c>
      <c r="B5622" s="4">
        <v>42499</v>
      </c>
      <c r="C5622" s="5">
        <v>10</v>
      </c>
      <c r="D5622" s="5">
        <v>13</v>
      </c>
      <c r="E5622" s="5">
        <v>18.2</v>
      </c>
      <c r="F5622" t="s" s="2">
        <v>9471</v>
      </c>
      <c r="G5622" t="s" s="2">
        <v>9606</v>
      </c>
      <c r="H5622" s="5">
        <v>760</v>
      </c>
      <c r="I5622" t="s" s="2">
        <v>331</v>
      </c>
      <c r="J5622" t="s" s="2">
        <v>9204</v>
      </c>
      <c r="K5622" s="6"/>
      <c r="L5622" s="6"/>
      <c r="M5622" s="5">
        <v>471417.15</v>
      </c>
      <c r="N5622" s="5">
        <v>6223511.9</v>
      </c>
      <c r="O5622" t="s" s="2">
        <v>305</v>
      </c>
      <c r="P5622" s="6"/>
      <c r="Q5622" t="s" s="2">
        <v>9607</v>
      </c>
      <c r="R5622" s="5">
        <f>_xlfn.IFERROR(INDEX('model_byCAP'!$D$2:$D$377,MATCH(Q5622,'model_byCAP'!$A$2:$A$377,0)),0)</f>
        <v>0</v>
      </c>
    </row>
    <row r="5623" ht="15.35" customHeight="1">
      <c r="A5623" t="s" s="2">
        <v>10104</v>
      </c>
      <c r="B5623" s="4">
        <v>42507</v>
      </c>
      <c r="C5623" s="5">
        <v>10</v>
      </c>
      <c r="D5623" s="5">
        <v>14</v>
      </c>
      <c r="E5623" s="5">
        <v>18</v>
      </c>
      <c r="F5623" t="s" s="2">
        <v>9209</v>
      </c>
      <c r="G5623" t="s" s="2">
        <v>9293</v>
      </c>
      <c r="H5623" s="5">
        <v>760</v>
      </c>
      <c r="I5623" t="s" s="2">
        <v>331</v>
      </c>
      <c r="J5623" t="s" s="2">
        <v>9204</v>
      </c>
      <c r="K5623" s="6"/>
      <c r="L5623" s="6"/>
      <c r="M5623" s="5">
        <v>452490.94</v>
      </c>
      <c r="N5623" s="5">
        <v>6232193.25</v>
      </c>
      <c r="O5623" t="s" s="2">
        <v>305</v>
      </c>
      <c r="P5623" s="6"/>
      <c r="Q5623" t="s" s="2">
        <v>9295</v>
      </c>
      <c r="R5623" t="s" s="2">
        <f>_xlfn.IFERROR(INDEX('model_byCAP'!$D$2:$D$377,MATCH(Q5623,'model_byCAP'!$A$2:$A$377,0)),0)</f>
        <v>8430</v>
      </c>
    </row>
    <row r="5624" ht="15.35" customHeight="1">
      <c r="A5624" t="s" s="2">
        <v>10105</v>
      </c>
      <c r="B5624" s="4">
        <v>42508</v>
      </c>
      <c r="C5624" s="5">
        <v>10</v>
      </c>
      <c r="D5624" s="5">
        <v>14</v>
      </c>
      <c r="E5624" s="5">
        <v>18</v>
      </c>
      <c r="F5624" t="s" s="2">
        <v>9209</v>
      </c>
      <c r="G5624" t="s" s="2">
        <v>9293</v>
      </c>
      <c r="H5624" s="5">
        <v>760</v>
      </c>
      <c r="I5624" t="s" s="2">
        <v>331</v>
      </c>
      <c r="J5624" t="s" s="2">
        <v>9204</v>
      </c>
      <c r="K5624" s="6"/>
      <c r="L5624" s="6"/>
      <c r="M5624" s="6"/>
      <c r="N5624" s="6"/>
      <c r="O5624" t="s" s="2">
        <v>25</v>
      </c>
      <c r="P5624" s="6"/>
      <c r="Q5624" t="s" s="2">
        <v>9295</v>
      </c>
      <c r="R5624" t="s" s="2">
        <f>_xlfn.IFERROR(INDEX('model_byCAP'!$D$2:$D$377,MATCH(Q5624,'model_byCAP'!$A$2:$A$377,0)),0)</f>
        <v>8430</v>
      </c>
    </row>
    <row r="5625" ht="15.35" customHeight="1">
      <c r="A5625" t="s" s="2">
        <v>10106</v>
      </c>
      <c r="B5625" s="4">
        <v>42502</v>
      </c>
      <c r="C5625" s="5">
        <v>10</v>
      </c>
      <c r="D5625" s="5">
        <v>14</v>
      </c>
      <c r="E5625" s="5">
        <v>18</v>
      </c>
      <c r="F5625" t="s" s="2">
        <v>9209</v>
      </c>
      <c r="G5625" t="s" s="2">
        <v>9293</v>
      </c>
      <c r="H5625" s="5">
        <v>760</v>
      </c>
      <c r="I5625" t="s" s="2">
        <v>331</v>
      </c>
      <c r="J5625" t="s" s="2">
        <v>9204</v>
      </c>
      <c r="K5625" s="6"/>
      <c r="L5625" s="6"/>
      <c r="M5625" s="5">
        <v>455715.11</v>
      </c>
      <c r="N5625" s="5">
        <v>6220773.16</v>
      </c>
      <c r="O5625" t="s" s="2">
        <v>305</v>
      </c>
      <c r="P5625" s="6"/>
      <c r="Q5625" t="s" s="2">
        <v>9295</v>
      </c>
      <c r="R5625" t="s" s="2">
        <f>_xlfn.IFERROR(INDEX('model_byCAP'!$D$2:$D$377,MATCH(Q5625,'model_byCAP'!$A$2:$A$377,0)),0)</f>
        <v>8430</v>
      </c>
    </row>
    <row r="5626" ht="15.35" customHeight="1">
      <c r="A5626" t="s" s="2">
        <v>10107</v>
      </c>
      <c r="B5626" s="4">
        <v>42549</v>
      </c>
      <c r="C5626" s="5">
        <v>10</v>
      </c>
      <c r="D5626" s="5">
        <v>14</v>
      </c>
      <c r="E5626" s="5">
        <v>18</v>
      </c>
      <c r="F5626" t="s" s="2">
        <v>9209</v>
      </c>
      <c r="G5626" t="s" s="2">
        <v>9293</v>
      </c>
      <c r="H5626" s="5">
        <v>760</v>
      </c>
      <c r="I5626" t="s" s="2">
        <v>331</v>
      </c>
      <c r="J5626" t="s" s="2">
        <v>9204</v>
      </c>
      <c r="K5626" s="6"/>
      <c r="L5626" s="6"/>
      <c r="M5626" s="5">
        <v>474383.59</v>
      </c>
      <c r="N5626" s="5">
        <v>6207726.33</v>
      </c>
      <c r="O5626" t="s" s="2">
        <v>305</v>
      </c>
      <c r="P5626" s="6"/>
      <c r="Q5626" t="s" s="2">
        <v>9295</v>
      </c>
      <c r="R5626" t="s" s="2">
        <f>_xlfn.IFERROR(INDEX('model_byCAP'!$D$2:$D$377,MATCH(Q5626,'model_byCAP'!$A$2:$A$377,0)),0)</f>
        <v>8430</v>
      </c>
    </row>
    <row r="5627" ht="15.35" customHeight="1">
      <c r="A5627" t="s" s="2">
        <v>10108</v>
      </c>
      <c r="B5627" s="4">
        <v>42629</v>
      </c>
      <c r="C5627" s="5">
        <v>10</v>
      </c>
      <c r="D5627" s="5">
        <v>14</v>
      </c>
      <c r="E5627" s="5">
        <v>18</v>
      </c>
      <c r="F5627" t="s" s="2">
        <v>9209</v>
      </c>
      <c r="G5627" t="s" s="2">
        <v>9293</v>
      </c>
      <c r="H5627" s="5">
        <v>760</v>
      </c>
      <c r="I5627" t="s" s="2">
        <v>331</v>
      </c>
      <c r="J5627" t="s" s="2">
        <v>9204</v>
      </c>
      <c r="K5627" s="6"/>
      <c r="L5627" s="6"/>
      <c r="M5627" s="6"/>
      <c r="N5627" s="6"/>
      <c r="O5627" t="s" s="2">
        <v>25</v>
      </c>
      <c r="P5627" s="6"/>
      <c r="Q5627" t="s" s="2">
        <v>9295</v>
      </c>
      <c r="R5627" t="s" s="2">
        <f>_xlfn.IFERROR(INDEX('model_byCAP'!$D$2:$D$377,MATCH(Q5627,'model_byCAP'!$A$2:$A$377,0)),0)</f>
        <v>8430</v>
      </c>
    </row>
    <row r="5628" ht="15.35" customHeight="1">
      <c r="A5628" t="s" s="2">
        <v>10109</v>
      </c>
      <c r="B5628" s="4">
        <v>42696</v>
      </c>
      <c r="C5628" s="5">
        <v>10</v>
      </c>
      <c r="D5628" s="5">
        <v>14</v>
      </c>
      <c r="E5628" s="5">
        <v>18</v>
      </c>
      <c r="F5628" t="s" s="2">
        <v>9209</v>
      </c>
      <c r="G5628" t="s" s="2">
        <v>9293</v>
      </c>
      <c r="H5628" s="5">
        <v>760</v>
      </c>
      <c r="I5628" t="s" s="2">
        <v>331</v>
      </c>
      <c r="J5628" t="s" s="2">
        <v>9204</v>
      </c>
      <c r="K5628" s="6"/>
      <c r="L5628" s="6"/>
      <c r="M5628" s="6"/>
      <c r="N5628" s="6"/>
      <c r="O5628" t="s" s="2">
        <v>25</v>
      </c>
      <c r="P5628" s="6"/>
      <c r="Q5628" t="s" s="2">
        <v>9295</v>
      </c>
      <c r="R5628" t="s" s="2">
        <f>_xlfn.IFERROR(INDEX('model_byCAP'!$D$2:$D$377,MATCH(Q5628,'model_byCAP'!$A$2:$A$377,0)),0)</f>
        <v>8430</v>
      </c>
    </row>
    <row r="5629" ht="15.35" customHeight="1">
      <c r="A5629" t="s" s="2">
        <v>10110</v>
      </c>
      <c r="B5629" s="4">
        <v>42697</v>
      </c>
      <c r="C5629" s="5">
        <v>10</v>
      </c>
      <c r="D5629" s="5">
        <v>14</v>
      </c>
      <c r="E5629" s="5">
        <v>18</v>
      </c>
      <c r="F5629" t="s" s="2">
        <v>9209</v>
      </c>
      <c r="G5629" t="s" s="2">
        <v>9293</v>
      </c>
      <c r="H5629" s="5">
        <v>760</v>
      </c>
      <c r="I5629" t="s" s="2">
        <v>331</v>
      </c>
      <c r="J5629" t="s" s="2">
        <v>9204</v>
      </c>
      <c r="K5629" s="6"/>
      <c r="L5629" s="6"/>
      <c r="M5629" s="6"/>
      <c r="N5629" s="6"/>
      <c r="O5629" t="s" s="2">
        <v>25</v>
      </c>
      <c r="P5629" s="6"/>
      <c r="Q5629" t="s" s="2">
        <v>9295</v>
      </c>
      <c r="R5629" t="s" s="2">
        <f>_xlfn.IFERROR(INDEX('model_byCAP'!$D$2:$D$377,MATCH(Q5629,'model_byCAP'!$A$2:$A$377,0)),0)</f>
        <v>8430</v>
      </c>
    </row>
    <row r="5630" ht="15.35" customHeight="1">
      <c r="A5630" t="s" s="2">
        <v>10111</v>
      </c>
      <c r="B5630" s="4">
        <v>42731</v>
      </c>
      <c r="C5630" s="5">
        <v>10</v>
      </c>
      <c r="D5630" s="5">
        <v>13</v>
      </c>
      <c r="E5630" s="5">
        <v>18.3</v>
      </c>
      <c r="F5630" t="s" s="2">
        <v>9471</v>
      </c>
      <c r="G5630" t="s" s="2">
        <v>9606</v>
      </c>
      <c r="H5630" s="5">
        <v>760</v>
      </c>
      <c r="I5630" t="s" s="2">
        <v>331</v>
      </c>
      <c r="J5630" t="s" s="2">
        <v>9204</v>
      </c>
      <c r="K5630" s="6"/>
      <c r="L5630" s="6"/>
      <c r="M5630" s="6"/>
      <c r="N5630" s="6"/>
      <c r="O5630" t="s" s="2">
        <v>25</v>
      </c>
      <c r="P5630" s="6"/>
      <c r="Q5630" t="s" s="2">
        <v>9607</v>
      </c>
      <c r="R5630" s="5">
        <f>_xlfn.IFERROR(INDEX('model_byCAP'!$D$2:$D$377,MATCH(Q5630,'model_byCAP'!$A$2:$A$377,0)),0)</f>
        <v>0</v>
      </c>
    </row>
    <row r="5631" ht="15.35" customHeight="1">
      <c r="A5631" t="s" s="2">
        <v>10112</v>
      </c>
      <c r="B5631" s="4">
        <v>42719</v>
      </c>
      <c r="C5631" s="5">
        <v>10</v>
      </c>
      <c r="D5631" s="5">
        <v>14</v>
      </c>
      <c r="E5631" s="5">
        <v>18</v>
      </c>
      <c r="F5631" t="s" s="2">
        <v>9209</v>
      </c>
      <c r="G5631" t="s" s="2">
        <v>9293</v>
      </c>
      <c r="H5631" s="5">
        <v>760</v>
      </c>
      <c r="I5631" t="s" s="2">
        <v>331</v>
      </c>
      <c r="J5631" t="s" s="2">
        <v>9204</v>
      </c>
      <c r="K5631" s="6"/>
      <c r="L5631" s="6"/>
      <c r="M5631" s="6"/>
      <c r="N5631" s="6"/>
      <c r="O5631" t="s" s="2">
        <v>25</v>
      </c>
      <c r="P5631" s="6"/>
      <c r="Q5631" t="s" s="2">
        <v>9295</v>
      </c>
      <c r="R5631" t="s" s="2">
        <f>_xlfn.IFERROR(INDEX('model_byCAP'!$D$2:$D$377,MATCH(Q5631,'model_byCAP'!$A$2:$A$377,0)),0)</f>
        <v>8430</v>
      </c>
    </row>
    <row r="5632" ht="15.35" customHeight="1">
      <c r="A5632" t="s" s="2">
        <v>10113</v>
      </c>
      <c r="B5632" s="4">
        <v>42613</v>
      </c>
      <c r="C5632" s="5">
        <v>10</v>
      </c>
      <c r="D5632" s="5">
        <v>7</v>
      </c>
      <c r="E5632" s="5">
        <v>12</v>
      </c>
      <c r="F5632" t="s" s="2">
        <v>42</v>
      </c>
      <c r="G5632" t="s" s="2">
        <v>42</v>
      </c>
      <c r="H5632" s="5">
        <v>760</v>
      </c>
      <c r="I5632" t="s" s="2">
        <v>331</v>
      </c>
      <c r="J5632" t="s" s="2">
        <v>9204</v>
      </c>
      <c r="K5632" s="6"/>
      <c r="L5632" s="6"/>
      <c r="M5632" s="6"/>
      <c r="N5632" s="6"/>
      <c r="O5632" t="s" s="2">
        <v>25</v>
      </c>
      <c r="P5632" s="6"/>
      <c r="Q5632" t="s" s="2">
        <v>43</v>
      </c>
      <c r="R5632" s="5">
        <f>_xlfn.IFERROR(INDEX('model_byCAP'!$D$2:$D$377,MATCH(Q5632,'model_byCAP'!$A$2:$A$377,0)),0)</f>
        <v>0</v>
      </c>
    </row>
    <row r="5633" ht="15.35" customHeight="1">
      <c r="A5633" t="s" s="2">
        <v>10114</v>
      </c>
      <c r="B5633" s="4">
        <v>42834</v>
      </c>
      <c r="C5633" s="5">
        <v>10</v>
      </c>
      <c r="D5633" s="5">
        <v>9.300000000000001</v>
      </c>
      <c r="E5633" s="5">
        <v>15.6</v>
      </c>
      <c r="F5633" t="s" s="2">
        <v>42</v>
      </c>
      <c r="G5633" t="s" s="2">
        <v>42</v>
      </c>
      <c r="H5633" s="5">
        <v>760</v>
      </c>
      <c r="I5633" t="s" s="2">
        <v>331</v>
      </c>
      <c r="J5633" t="s" s="2">
        <v>9204</v>
      </c>
      <c r="K5633" s="6"/>
      <c r="L5633" s="6"/>
      <c r="M5633" s="6"/>
      <c r="N5633" s="6"/>
      <c r="O5633" t="s" s="2">
        <v>25</v>
      </c>
      <c r="P5633" s="6"/>
      <c r="Q5633" t="s" s="2">
        <v>43</v>
      </c>
      <c r="R5633" s="5">
        <f>_xlfn.IFERROR(INDEX('model_byCAP'!$D$2:$D$377,MATCH(Q5633,'model_byCAP'!$A$2:$A$377,0)),0)</f>
        <v>0</v>
      </c>
    </row>
    <row r="5634" ht="15.35" customHeight="1">
      <c r="A5634" t="s" s="2">
        <v>10115</v>
      </c>
      <c r="B5634" s="4">
        <v>42956</v>
      </c>
      <c r="C5634" s="5">
        <v>10</v>
      </c>
      <c r="D5634" s="5">
        <v>9.300000000000001</v>
      </c>
      <c r="E5634" s="5">
        <v>20</v>
      </c>
      <c r="F5634" t="s" s="2">
        <v>9599</v>
      </c>
      <c r="G5634" t="s" s="2">
        <v>9600</v>
      </c>
      <c r="H5634" s="5">
        <v>760</v>
      </c>
      <c r="I5634" t="s" s="2">
        <v>331</v>
      </c>
      <c r="J5634" t="s" s="2">
        <v>9204</v>
      </c>
      <c r="K5634" s="6"/>
      <c r="L5634" s="6"/>
      <c r="M5634" s="6"/>
      <c r="N5634" s="6"/>
      <c r="O5634" t="s" s="2">
        <v>25</v>
      </c>
      <c r="P5634" s="6"/>
      <c r="Q5634" t="s" s="2">
        <v>9601</v>
      </c>
      <c r="R5634" s="5">
        <f>_xlfn.IFERROR(INDEX('model_byCAP'!$D$2:$D$377,MATCH(Q5634,'model_byCAP'!$A$2:$A$377,0)),0)</f>
        <v>0</v>
      </c>
    </row>
    <row r="5635" ht="15.35" customHeight="1">
      <c r="A5635" t="s" s="2">
        <v>10116</v>
      </c>
      <c r="B5635" s="4">
        <v>43122</v>
      </c>
      <c r="C5635" s="5">
        <v>10</v>
      </c>
      <c r="D5635" s="5">
        <v>9.300000000000001</v>
      </c>
      <c r="E5635" s="5">
        <v>20.3</v>
      </c>
      <c r="F5635" t="s" s="2">
        <v>9599</v>
      </c>
      <c r="G5635" t="s" s="2">
        <v>9787</v>
      </c>
      <c r="H5635" s="5">
        <v>760</v>
      </c>
      <c r="I5635" t="s" s="2">
        <v>331</v>
      </c>
      <c r="J5635" t="s" s="2">
        <v>9204</v>
      </c>
      <c r="K5635" s="6"/>
      <c r="L5635" s="6"/>
      <c r="M5635" s="6"/>
      <c r="N5635" s="6"/>
      <c r="O5635" t="s" s="2">
        <v>25</v>
      </c>
      <c r="P5635" s="6"/>
      <c r="Q5635" t="s" s="2">
        <v>9788</v>
      </c>
      <c r="R5635" s="5">
        <f>_xlfn.IFERROR(INDEX('model_byCAP'!$D$2:$D$377,MATCH(Q5635,'model_byCAP'!$A$2:$A$377,0)),0)</f>
        <v>0</v>
      </c>
    </row>
    <row r="5636" ht="15.35" customHeight="1">
      <c r="A5636" t="s" s="2">
        <v>10117</v>
      </c>
      <c r="B5636" s="4">
        <v>43412</v>
      </c>
      <c r="C5636" s="5">
        <v>10</v>
      </c>
      <c r="D5636" s="5">
        <v>14</v>
      </c>
      <c r="E5636" s="5">
        <v>18</v>
      </c>
      <c r="F5636" t="s" s="2">
        <v>9209</v>
      </c>
      <c r="G5636" t="s" s="2">
        <v>9293</v>
      </c>
      <c r="H5636" s="5">
        <v>760</v>
      </c>
      <c r="I5636" t="s" s="2">
        <v>331</v>
      </c>
      <c r="J5636" t="s" s="2">
        <v>9204</v>
      </c>
      <c r="K5636" s="6"/>
      <c r="L5636" s="6"/>
      <c r="M5636" s="6"/>
      <c r="N5636" s="6"/>
      <c r="O5636" t="s" s="2">
        <v>25</v>
      </c>
      <c r="P5636" s="6"/>
      <c r="Q5636" t="s" s="2">
        <v>9295</v>
      </c>
      <c r="R5636" t="s" s="2">
        <f>_xlfn.IFERROR(INDEX('model_byCAP'!$D$2:$D$377,MATCH(Q5636,'model_byCAP'!$A$2:$A$377,0)),0)</f>
        <v>8430</v>
      </c>
    </row>
    <row r="5637" ht="15.35" customHeight="1">
      <c r="A5637" t="s" s="2">
        <v>10118</v>
      </c>
      <c r="B5637" s="4">
        <v>41995</v>
      </c>
      <c r="C5637" s="5">
        <v>10</v>
      </c>
      <c r="D5637" s="5">
        <v>7.1</v>
      </c>
      <c r="E5637" s="5">
        <v>21</v>
      </c>
      <c r="F5637" t="s" s="2">
        <v>42</v>
      </c>
      <c r="G5637" t="s" s="2">
        <v>42</v>
      </c>
      <c r="H5637" s="5">
        <v>760</v>
      </c>
      <c r="I5637" t="s" s="2">
        <v>331</v>
      </c>
      <c r="J5637" t="s" s="2">
        <v>9204</v>
      </c>
      <c r="K5637" s="6"/>
      <c r="L5637" s="6"/>
      <c r="M5637" s="5">
        <v>480404.45</v>
      </c>
      <c r="N5637" s="5">
        <v>6192644.56</v>
      </c>
      <c r="O5637" t="s" s="2">
        <v>305</v>
      </c>
      <c r="P5637" s="6"/>
      <c r="Q5637" t="s" s="2">
        <v>43</v>
      </c>
      <c r="R5637" s="5">
        <f>_xlfn.IFERROR(INDEX('model_byCAP'!$D$2:$D$377,MATCH(Q5637,'model_byCAP'!$A$2:$A$377,0)),0)</f>
        <v>0</v>
      </c>
    </row>
    <row r="5638" ht="15.35" customHeight="1">
      <c r="A5638" t="s" s="2">
        <v>10119</v>
      </c>
      <c r="B5638" s="4">
        <v>42125</v>
      </c>
      <c r="C5638" s="5">
        <v>10</v>
      </c>
      <c r="D5638" s="5">
        <v>13</v>
      </c>
      <c r="E5638" s="5">
        <v>18</v>
      </c>
      <c r="F5638" t="s" s="2">
        <v>42</v>
      </c>
      <c r="G5638" t="s" s="2">
        <v>42</v>
      </c>
      <c r="H5638" s="5">
        <v>760</v>
      </c>
      <c r="I5638" t="s" s="2">
        <v>331</v>
      </c>
      <c r="J5638" t="s" s="2">
        <v>9204</v>
      </c>
      <c r="K5638" s="6"/>
      <c r="L5638" s="6"/>
      <c r="M5638" s="5">
        <v>483673.51</v>
      </c>
      <c r="N5638" s="5">
        <v>6220090.62</v>
      </c>
      <c r="O5638" t="s" s="2">
        <v>305</v>
      </c>
      <c r="P5638" s="6"/>
      <c r="Q5638" t="s" s="2">
        <v>43</v>
      </c>
      <c r="R5638" s="5">
        <f>_xlfn.IFERROR(INDEX('model_byCAP'!$D$2:$D$377,MATCH(Q5638,'model_byCAP'!$A$2:$A$377,0)),0)</f>
        <v>0</v>
      </c>
    </row>
    <row r="5639" ht="15.35" customHeight="1">
      <c r="A5639" t="s" s="2">
        <v>10120</v>
      </c>
      <c r="B5639" s="4">
        <v>42356</v>
      </c>
      <c r="C5639" s="5">
        <v>10</v>
      </c>
      <c r="D5639" s="5">
        <v>7.1</v>
      </c>
      <c r="E5639" s="5">
        <v>21</v>
      </c>
      <c r="F5639" t="s" s="2">
        <v>42</v>
      </c>
      <c r="G5639" t="s" s="2">
        <v>42</v>
      </c>
      <c r="H5639" s="5">
        <v>760</v>
      </c>
      <c r="I5639" t="s" s="2">
        <v>331</v>
      </c>
      <c r="J5639" t="s" s="2">
        <v>9204</v>
      </c>
      <c r="K5639" s="6"/>
      <c r="L5639" s="6"/>
      <c r="M5639" s="5">
        <v>476058.67</v>
      </c>
      <c r="N5639" s="5">
        <v>6196021.76</v>
      </c>
      <c r="O5639" t="s" s="2">
        <v>305</v>
      </c>
      <c r="P5639" s="6"/>
      <c r="Q5639" t="s" s="2">
        <v>43</v>
      </c>
      <c r="R5639" s="5">
        <f>_xlfn.IFERROR(INDEX('model_byCAP'!$D$2:$D$377,MATCH(Q5639,'model_byCAP'!$A$2:$A$377,0)),0)</f>
        <v>0</v>
      </c>
    </row>
    <row r="5640" ht="15.35" customHeight="1">
      <c r="A5640" t="s" s="2">
        <v>10121</v>
      </c>
      <c r="B5640" s="4">
        <v>42466</v>
      </c>
      <c r="C5640" s="5">
        <v>10</v>
      </c>
      <c r="D5640" s="5">
        <v>13</v>
      </c>
      <c r="E5640" s="5">
        <v>18.2</v>
      </c>
      <c r="F5640" t="s" s="2">
        <v>9471</v>
      </c>
      <c r="G5640" t="s" s="2">
        <v>9606</v>
      </c>
      <c r="H5640" s="5">
        <v>760</v>
      </c>
      <c r="I5640" t="s" s="2">
        <v>331</v>
      </c>
      <c r="J5640" t="s" s="2">
        <v>9204</v>
      </c>
      <c r="K5640" s="6"/>
      <c r="L5640" s="6"/>
      <c r="M5640" s="5">
        <v>480854.4</v>
      </c>
      <c r="N5640" s="5">
        <v>6215847.12</v>
      </c>
      <c r="O5640" t="s" s="2">
        <v>305</v>
      </c>
      <c r="P5640" s="6"/>
      <c r="Q5640" t="s" s="2">
        <v>9607</v>
      </c>
      <c r="R5640" s="5">
        <f>_xlfn.IFERROR(INDEX('model_byCAP'!$D$2:$D$377,MATCH(Q5640,'model_byCAP'!$A$2:$A$377,0)),0)</f>
        <v>0</v>
      </c>
    </row>
    <row r="5641" ht="15.35" customHeight="1">
      <c r="A5641" t="s" s="2">
        <v>10122</v>
      </c>
      <c r="B5641" s="4">
        <v>42517</v>
      </c>
      <c r="C5641" s="5">
        <v>10</v>
      </c>
      <c r="D5641" s="5">
        <v>13</v>
      </c>
      <c r="E5641" s="5">
        <v>18.2</v>
      </c>
      <c r="F5641" t="s" s="2">
        <v>9471</v>
      </c>
      <c r="G5641" t="s" s="2">
        <v>9606</v>
      </c>
      <c r="H5641" s="5">
        <v>760</v>
      </c>
      <c r="I5641" t="s" s="2">
        <v>331</v>
      </c>
      <c r="J5641" t="s" s="2">
        <v>9204</v>
      </c>
      <c r="K5641" s="6"/>
      <c r="L5641" s="6"/>
      <c r="M5641" s="5">
        <v>483740.29</v>
      </c>
      <c r="N5641" s="5">
        <v>6211983.96</v>
      </c>
      <c r="O5641" t="s" s="2">
        <v>305</v>
      </c>
      <c r="P5641" s="6"/>
      <c r="Q5641" t="s" s="2">
        <v>9607</v>
      </c>
      <c r="R5641" s="5">
        <f>_xlfn.IFERROR(INDEX('model_byCAP'!$D$2:$D$377,MATCH(Q5641,'model_byCAP'!$A$2:$A$377,0)),0)</f>
        <v>0</v>
      </c>
    </row>
    <row r="5642" ht="15.35" customHeight="1">
      <c r="A5642" t="s" s="2">
        <v>10123</v>
      </c>
      <c r="B5642" s="4">
        <v>42520</v>
      </c>
      <c r="C5642" s="5">
        <v>10</v>
      </c>
      <c r="D5642" s="5">
        <v>13</v>
      </c>
      <c r="E5642" s="5">
        <v>18.2</v>
      </c>
      <c r="F5642" t="s" s="2">
        <v>9471</v>
      </c>
      <c r="G5642" t="s" s="2">
        <v>9606</v>
      </c>
      <c r="H5642" s="5">
        <v>760</v>
      </c>
      <c r="I5642" t="s" s="2">
        <v>331</v>
      </c>
      <c r="J5642" t="s" s="2">
        <v>9204</v>
      </c>
      <c r="K5642" s="6"/>
      <c r="L5642" s="6"/>
      <c r="M5642" s="6"/>
      <c r="N5642" s="6"/>
      <c r="O5642" t="s" s="2">
        <v>25</v>
      </c>
      <c r="P5642" s="6"/>
      <c r="Q5642" t="s" s="2">
        <v>9607</v>
      </c>
      <c r="R5642" s="5">
        <f>_xlfn.IFERROR(INDEX('model_byCAP'!$D$2:$D$377,MATCH(Q5642,'model_byCAP'!$A$2:$A$377,0)),0)</f>
        <v>0</v>
      </c>
    </row>
    <row r="5643" ht="15.35" customHeight="1">
      <c r="A5643" t="s" s="2">
        <v>10124</v>
      </c>
      <c r="B5643" s="4">
        <v>41877</v>
      </c>
      <c r="C5643" s="5">
        <v>10</v>
      </c>
      <c r="D5643" s="5">
        <v>13</v>
      </c>
      <c r="E5643" s="5">
        <v>18</v>
      </c>
      <c r="F5643" t="s" s="2">
        <v>42</v>
      </c>
      <c r="G5643" t="s" s="2">
        <v>42</v>
      </c>
      <c r="H5643" s="5">
        <v>766</v>
      </c>
      <c r="I5643" t="s" s="2">
        <v>3363</v>
      </c>
      <c r="J5643" t="s" s="2">
        <v>9204</v>
      </c>
      <c r="K5643" s="6"/>
      <c r="L5643" s="6"/>
      <c r="M5643" s="5">
        <v>548133.98</v>
      </c>
      <c r="N5643" s="5">
        <v>6172166.93</v>
      </c>
      <c r="O5643" t="s" s="2">
        <v>305</v>
      </c>
      <c r="P5643" s="6"/>
      <c r="Q5643" t="s" s="2">
        <v>43</v>
      </c>
      <c r="R5643" s="5">
        <f>_xlfn.IFERROR(INDEX('model_byCAP'!$D$2:$D$377,MATCH(Q5643,'model_byCAP'!$A$2:$A$377,0)),0)</f>
        <v>0</v>
      </c>
    </row>
    <row r="5644" ht="15.35" customHeight="1">
      <c r="A5644" t="s" s="2">
        <v>10125</v>
      </c>
      <c r="B5644" s="4">
        <v>42125</v>
      </c>
      <c r="C5644" s="5">
        <v>10</v>
      </c>
      <c r="D5644" s="5">
        <v>13</v>
      </c>
      <c r="E5644" s="5">
        <v>18</v>
      </c>
      <c r="F5644" t="s" s="2">
        <v>9471</v>
      </c>
      <c r="G5644" t="s" s="2">
        <v>9606</v>
      </c>
      <c r="H5644" s="5">
        <v>766</v>
      </c>
      <c r="I5644" t="s" s="2">
        <v>3363</v>
      </c>
      <c r="J5644" t="s" s="2">
        <v>9204</v>
      </c>
      <c r="K5644" s="6"/>
      <c r="L5644" s="6"/>
      <c r="M5644" s="5">
        <v>548885.74</v>
      </c>
      <c r="N5644" s="5">
        <v>6173121.08</v>
      </c>
      <c r="O5644" t="s" s="2">
        <v>305</v>
      </c>
      <c r="P5644" s="6"/>
      <c r="Q5644" t="s" s="2">
        <v>9607</v>
      </c>
      <c r="R5644" s="5">
        <f>_xlfn.IFERROR(INDEX('model_byCAP'!$D$2:$D$377,MATCH(Q5644,'model_byCAP'!$A$2:$A$377,0)),0)</f>
        <v>0</v>
      </c>
    </row>
    <row r="5645" ht="15.35" customHeight="1">
      <c r="A5645" t="s" s="2">
        <v>10126</v>
      </c>
      <c r="B5645" s="4">
        <v>42527</v>
      </c>
      <c r="C5645" s="5">
        <v>10</v>
      </c>
      <c r="D5645" s="5">
        <v>13</v>
      </c>
      <c r="E5645" s="5">
        <v>18.2</v>
      </c>
      <c r="F5645" t="s" s="2">
        <v>9471</v>
      </c>
      <c r="G5645" t="s" s="2">
        <v>9606</v>
      </c>
      <c r="H5645" s="5">
        <v>766</v>
      </c>
      <c r="I5645" t="s" s="2">
        <v>3363</v>
      </c>
      <c r="J5645" t="s" s="2">
        <v>9204</v>
      </c>
      <c r="K5645" s="6"/>
      <c r="L5645" s="6"/>
      <c r="M5645" s="5">
        <v>559694.92</v>
      </c>
      <c r="N5645" s="5">
        <v>6181040.79</v>
      </c>
      <c r="O5645" t="s" s="2">
        <v>305</v>
      </c>
      <c r="P5645" s="6"/>
      <c r="Q5645" t="s" s="2">
        <v>9607</v>
      </c>
      <c r="R5645" s="5">
        <f>_xlfn.IFERROR(INDEX('model_byCAP'!$D$2:$D$377,MATCH(Q5645,'model_byCAP'!$A$2:$A$377,0)),0)</f>
        <v>0</v>
      </c>
    </row>
    <row r="5646" ht="15.35" customHeight="1">
      <c r="A5646" t="s" s="2">
        <v>10127</v>
      </c>
      <c r="B5646" s="4">
        <v>42558</v>
      </c>
      <c r="C5646" s="5">
        <v>10</v>
      </c>
      <c r="D5646" s="5">
        <v>13</v>
      </c>
      <c r="E5646" s="5">
        <v>18.2</v>
      </c>
      <c r="F5646" t="s" s="2">
        <v>9471</v>
      </c>
      <c r="G5646" t="s" s="2">
        <v>9606</v>
      </c>
      <c r="H5646" s="5">
        <v>766</v>
      </c>
      <c r="I5646" t="s" s="2">
        <v>3363</v>
      </c>
      <c r="J5646" t="s" s="2">
        <v>9204</v>
      </c>
      <c r="K5646" s="6"/>
      <c r="L5646" s="6"/>
      <c r="M5646" s="6"/>
      <c r="N5646" s="6"/>
      <c r="O5646" t="s" s="2">
        <v>25</v>
      </c>
      <c r="P5646" s="6"/>
      <c r="Q5646" t="s" s="2">
        <v>9607</v>
      </c>
      <c r="R5646" s="5">
        <f>_xlfn.IFERROR(INDEX('model_byCAP'!$D$2:$D$377,MATCH(Q5646,'model_byCAP'!$A$2:$A$377,0)),0)</f>
        <v>0</v>
      </c>
    </row>
    <row r="5647" ht="15.35" customHeight="1">
      <c r="A5647" t="s" s="2">
        <v>10128</v>
      </c>
      <c r="B5647" s="4">
        <v>42451</v>
      </c>
      <c r="C5647" s="5">
        <v>10</v>
      </c>
      <c r="D5647" s="5">
        <v>13</v>
      </c>
      <c r="E5647" s="5">
        <v>18.2</v>
      </c>
      <c r="F5647" t="s" s="2">
        <v>9471</v>
      </c>
      <c r="G5647" t="s" s="2">
        <v>9606</v>
      </c>
      <c r="H5647" s="5">
        <v>766</v>
      </c>
      <c r="I5647" t="s" s="2">
        <v>3363</v>
      </c>
      <c r="J5647" t="s" s="2">
        <v>9204</v>
      </c>
      <c r="K5647" s="6"/>
      <c r="L5647" s="6"/>
      <c r="M5647" s="5">
        <v>542547.84</v>
      </c>
      <c r="N5647" s="5">
        <v>6192190.56</v>
      </c>
      <c r="O5647" t="s" s="2">
        <v>305</v>
      </c>
      <c r="P5647" s="6"/>
      <c r="Q5647" t="s" s="2">
        <v>9607</v>
      </c>
      <c r="R5647" s="5">
        <f>_xlfn.IFERROR(INDEX('model_byCAP'!$D$2:$D$377,MATCH(Q5647,'model_byCAP'!$A$2:$A$377,0)),0)</f>
        <v>0</v>
      </c>
    </row>
    <row r="5648" ht="15.35" customHeight="1">
      <c r="A5648" t="s" s="2">
        <v>10129</v>
      </c>
      <c r="B5648" s="4">
        <v>42620</v>
      </c>
      <c r="C5648" s="5">
        <v>10</v>
      </c>
      <c r="D5648" s="5">
        <v>13</v>
      </c>
      <c r="E5648" s="5">
        <v>18</v>
      </c>
      <c r="F5648" t="s" s="2">
        <v>9471</v>
      </c>
      <c r="G5648" t="s" s="2">
        <v>9606</v>
      </c>
      <c r="H5648" s="5">
        <v>766</v>
      </c>
      <c r="I5648" t="s" s="2">
        <v>3363</v>
      </c>
      <c r="J5648" t="s" s="2">
        <v>9204</v>
      </c>
      <c r="K5648" s="6"/>
      <c r="L5648" s="6"/>
      <c r="M5648" s="6"/>
      <c r="N5648" s="6"/>
      <c r="O5648" t="s" s="2">
        <v>25</v>
      </c>
      <c r="P5648" s="6"/>
      <c r="Q5648" t="s" s="2">
        <v>9607</v>
      </c>
      <c r="R5648" s="5">
        <f>_xlfn.IFERROR(INDEX('model_byCAP'!$D$2:$D$377,MATCH(Q5648,'model_byCAP'!$A$2:$A$377,0)),0)</f>
        <v>0</v>
      </c>
    </row>
    <row r="5649" ht="15.35" customHeight="1">
      <c r="A5649" t="s" s="2">
        <v>10130</v>
      </c>
      <c r="B5649" s="4">
        <v>41760</v>
      </c>
      <c r="C5649" s="5">
        <v>10</v>
      </c>
      <c r="D5649" s="5">
        <v>13</v>
      </c>
      <c r="E5649" s="5">
        <v>18</v>
      </c>
      <c r="F5649" t="s" s="2">
        <v>42</v>
      </c>
      <c r="G5649" t="s" s="2">
        <v>42</v>
      </c>
      <c r="H5649" s="5">
        <v>773</v>
      </c>
      <c r="I5649" t="s" s="2">
        <v>1648</v>
      </c>
      <c r="J5649" t="s" s="2">
        <v>9204</v>
      </c>
      <c r="K5649" s="6"/>
      <c r="L5649" s="6"/>
      <c r="M5649" s="6"/>
      <c r="N5649" s="6"/>
      <c r="O5649" t="s" s="2">
        <v>25</v>
      </c>
      <c r="P5649" s="6"/>
      <c r="Q5649" t="s" s="2">
        <v>43</v>
      </c>
      <c r="R5649" s="5">
        <f>_xlfn.IFERROR(INDEX('model_byCAP'!$D$2:$D$377,MATCH(Q5649,'model_byCAP'!$A$2:$A$377,0)),0)</f>
        <v>0</v>
      </c>
    </row>
    <row r="5650" ht="15.35" customHeight="1">
      <c r="A5650" t="s" s="2">
        <v>10131</v>
      </c>
      <c r="B5650" s="4">
        <v>41866</v>
      </c>
      <c r="C5650" s="5">
        <v>10</v>
      </c>
      <c r="D5650" s="5">
        <v>7.1</v>
      </c>
      <c r="E5650" s="5">
        <v>18</v>
      </c>
      <c r="F5650" t="s" s="2">
        <v>42</v>
      </c>
      <c r="G5650" t="s" s="2">
        <v>42</v>
      </c>
      <c r="H5650" s="5">
        <v>773</v>
      </c>
      <c r="I5650" t="s" s="2">
        <v>1648</v>
      </c>
      <c r="J5650" t="s" s="2">
        <v>9204</v>
      </c>
      <c r="K5650" s="6"/>
      <c r="L5650" s="6"/>
      <c r="M5650" s="5">
        <v>486687</v>
      </c>
      <c r="N5650" s="5">
        <v>6301859.74</v>
      </c>
      <c r="O5650" t="s" s="2">
        <v>305</v>
      </c>
      <c r="P5650" s="6"/>
      <c r="Q5650" t="s" s="2">
        <v>43</v>
      </c>
      <c r="R5650" s="5">
        <f>_xlfn.IFERROR(INDEX('model_byCAP'!$D$2:$D$377,MATCH(Q5650,'model_byCAP'!$A$2:$A$377,0)),0)</f>
        <v>0</v>
      </c>
    </row>
    <row r="5651" ht="15.35" customHeight="1">
      <c r="A5651" t="s" s="2">
        <v>10132</v>
      </c>
      <c r="B5651" s="4">
        <v>41976</v>
      </c>
      <c r="C5651" s="5">
        <v>10</v>
      </c>
      <c r="D5651" s="5">
        <v>7.1</v>
      </c>
      <c r="E5651" s="5">
        <v>21.3</v>
      </c>
      <c r="F5651" t="s" s="2">
        <v>42</v>
      </c>
      <c r="G5651" t="s" s="2">
        <v>42</v>
      </c>
      <c r="H5651" s="5">
        <v>773</v>
      </c>
      <c r="I5651" t="s" s="2">
        <v>1648</v>
      </c>
      <c r="J5651" t="s" s="2">
        <v>9204</v>
      </c>
      <c r="K5651" s="6"/>
      <c r="L5651" s="6"/>
      <c r="M5651" s="5">
        <v>494392.58</v>
      </c>
      <c r="N5651" s="5">
        <v>6308229.07</v>
      </c>
      <c r="O5651" t="s" s="2">
        <v>305</v>
      </c>
      <c r="P5651" s="6"/>
      <c r="Q5651" t="s" s="2">
        <v>43</v>
      </c>
      <c r="R5651" s="5">
        <f>_xlfn.IFERROR(INDEX('model_byCAP'!$D$2:$D$377,MATCH(Q5651,'model_byCAP'!$A$2:$A$377,0)),0)</f>
        <v>0</v>
      </c>
    </row>
    <row r="5652" ht="15.35" customHeight="1">
      <c r="A5652" t="s" s="2">
        <v>10133</v>
      </c>
      <c r="B5652" s="4">
        <v>41995</v>
      </c>
      <c r="C5652" s="5">
        <v>10</v>
      </c>
      <c r="D5652" s="5">
        <v>13</v>
      </c>
      <c r="E5652" s="5">
        <v>18.2</v>
      </c>
      <c r="F5652" t="s" s="2">
        <v>42</v>
      </c>
      <c r="G5652" t="s" s="2">
        <v>42</v>
      </c>
      <c r="H5652" s="5">
        <v>773</v>
      </c>
      <c r="I5652" t="s" s="2">
        <v>1648</v>
      </c>
      <c r="J5652" t="s" s="2">
        <v>9204</v>
      </c>
      <c r="K5652" s="6"/>
      <c r="L5652" s="6"/>
      <c r="M5652" s="5">
        <v>482365.5</v>
      </c>
      <c r="N5652" s="5">
        <v>6301800.51</v>
      </c>
      <c r="O5652" t="s" s="2">
        <v>305</v>
      </c>
      <c r="P5652" s="6"/>
      <c r="Q5652" t="s" s="2">
        <v>43</v>
      </c>
      <c r="R5652" s="5">
        <f>_xlfn.IFERROR(INDEX('model_byCAP'!$D$2:$D$377,MATCH(Q5652,'model_byCAP'!$A$2:$A$377,0)),0)</f>
        <v>0</v>
      </c>
    </row>
    <row r="5653" ht="15.35" customHeight="1">
      <c r="A5653" t="s" s="2">
        <v>10134</v>
      </c>
      <c r="B5653" s="4">
        <v>41996</v>
      </c>
      <c r="C5653" s="5">
        <v>10</v>
      </c>
      <c r="D5653" s="5">
        <v>13</v>
      </c>
      <c r="E5653" s="5">
        <v>18</v>
      </c>
      <c r="F5653" t="s" s="2">
        <v>42</v>
      </c>
      <c r="G5653" t="s" s="2">
        <v>42</v>
      </c>
      <c r="H5653" s="5">
        <v>773</v>
      </c>
      <c r="I5653" t="s" s="2">
        <v>1648</v>
      </c>
      <c r="J5653" t="s" s="2">
        <v>9204</v>
      </c>
      <c r="K5653" s="6"/>
      <c r="L5653" s="6"/>
      <c r="M5653" s="5">
        <v>485057.81</v>
      </c>
      <c r="N5653" s="5">
        <v>6297080.64</v>
      </c>
      <c r="O5653" t="s" s="2">
        <v>305</v>
      </c>
      <c r="P5653" s="6"/>
      <c r="Q5653" t="s" s="2">
        <v>43</v>
      </c>
      <c r="R5653" s="5">
        <f>_xlfn.IFERROR(INDEX('model_byCAP'!$D$2:$D$377,MATCH(Q5653,'model_byCAP'!$A$2:$A$377,0)),0)</f>
        <v>0</v>
      </c>
    </row>
    <row r="5654" ht="15.35" customHeight="1">
      <c r="A5654" t="s" s="2">
        <v>10135</v>
      </c>
      <c r="B5654" s="4">
        <v>42013</v>
      </c>
      <c r="C5654" s="5">
        <v>10</v>
      </c>
      <c r="D5654" s="5">
        <v>13</v>
      </c>
      <c r="E5654" s="5">
        <v>18.3</v>
      </c>
      <c r="F5654" t="s" s="2">
        <v>42</v>
      </c>
      <c r="G5654" t="s" s="2">
        <v>42</v>
      </c>
      <c r="H5654" s="5">
        <v>773</v>
      </c>
      <c r="I5654" t="s" s="2">
        <v>1648</v>
      </c>
      <c r="J5654" t="s" s="2">
        <v>9204</v>
      </c>
      <c r="K5654" s="6"/>
      <c r="L5654" s="6"/>
      <c r="M5654" s="5">
        <v>473278.01</v>
      </c>
      <c r="N5654" s="5">
        <v>6292349.97</v>
      </c>
      <c r="O5654" t="s" s="2">
        <v>305</v>
      </c>
      <c r="P5654" s="6"/>
      <c r="Q5654" t="s" s="2">
        <v>43</v>
      </c>
      <c r="R5654" s="5">
        <f>_xlfn.IFERROR(INDEX('model_byCAP'!$D$2:$D$377,MATCH(Q5654,'model_byCAP'!$A$2:$A$377,0)),0)</f>
        <v>0</v>
      </c>
    </row>
    <row r="5655" ht="15.35" customHeight="1">
      <c r="A5655" t="s" s="2">
        <v>10136</v>
      </c>
      <c r="B5655" s="4">
        <v>42047</v>
      </c>
      <c r="C5655" s="5">
        <v>10</v>
      </c>
      <c r="D5655" s="5">
        <v>7.1</v>
      </c>
      <c r="E5655" s="5">
        <v>21</v>
      </c>
      <c r="F5655" t="s" s="2">
        <v>42</v>
      </c>
      <c r="G5655" t="s" s="2">
        <v>42</v>
      </c>
      <c r="H5655" s="5">
        <v>773</v>
      </c>
      <c r="I5655" t="s" s="2">
        <v>1648</v>
      </c>
      <c r="J5655" t="s" s="2">
        <v>9204</v>
      </c>
      <c r="K5655" s="6"/>
      <c r="L5655" s="6"/>
      <c r="M5655" s="5">
        <v>486317.41</v>
      </c>
      <c r="N5655" s="5">
        <v>6295102.11</v>
      </c>
      <c r="O5655" t="s" s="2">
        <v>305</v>
      </c>
      <c r="P5655" s="6"/>
      <c r="Q5655" t="s" s="2">
        <v>43</v>
      </c>
      <c r="R5655" s="5">
        <f>_xlfn.IFERROR(INDEX('model_byCAP'!$D$2:$D$377,MATCH(Q5655,'model_byCAP'!$A$2:$A$377,0)),0)</f>
        <v>0</v>
      </c>
    </row>
    <row r="5656" ht="15.35" customHeight="1">
      <c r="A5656" t="s" s="2">
        <v>10137</v>
      </c>
      <c r="B5656" s="4">
        <v>42065</v>
      </c>
      <c r="C5656" s="5">
        <v>10</v>
      </c>
      <c r="D5656" s="5">
        <v>7.1</v>
      </c>
      <c r="E5656" s="5">
        <v>21</v>
      </c>
      <c r="F5656" t="s" s="2">
        <v>42</v>
      </c>
      <c r="G5656" t="s" s="2">
        <v>42</v>
      </c>
      <c r="H5656" s="5">
        <v>773</v>
      </c>
      <c r="I5656" t="s" s="2">
        <v>1648</v>
      </c>
      <c r="J5656" t="s" s="2">
        <v>9204</v>
      </c>
      <c r="K5656" s="6"/>
      <c r="L5656" s="6"/>
      <c r="M5656" s="6"/>
      <c r="N5656" s="6"/>
      <c r="O5656" t="s" s="2">
        <v>25</v>
      </c>
      <c r="P5656" s="6"/>
      <c r="Q5656" t="s" s="2">
        <v>43</v>
      </c>
      <c r="R5656" s="5">
        <f>_xlfn.IFERROR(INDEX('model_byCAP'!$D$2:$D$377,MATCH(Q5656,'model_byCAP'!$A$2:$A$377,0)),0)</f>
        <v>0</v>
      </c>
    </row>
    <row r="5657" ht="15.35" customHeight="1">
      <c r="A5657" t="s" s="2">
        <v>10138</v>
      </c>
      <c r="B5657" s="4">
        <v>42103</v>
      </c>
      <c r="C5657" s="5">
        <v>10</v>
      </c>
      <c r="D5657" s="5">
        <v>7.1</v>
      </c>
      <c r="E5657" s="5">
        <v>21</v>
      </c>
      <c r="F5657" t="s" s="2">
        <v>42</v>
      </c>
      <c r="G5657" t="s" s="2">
        <v>42</v>
      </c>
      <c r="H5657" s="5">
        <v>773</v>
      </c>
      <c r="I5657" t="s" s="2">
        <v>1648</v>
      </c>
      <c r="J5657" t="s" s="2">
        <v>9204</v>
      </c>
      <c r="K5657" s="6"/>
      <c r="L5657" s="6"/>
      <c r="M5657" s="5">
        <v>482217.79</v>
      </c>
      <c r="N5657" s="5">
        <v>6291868.33</v>
      </c>
      <c r="O5657" t="s" s="2">
        <v>305</v>
      </c>
      <c r="P5657" s="6"/>
      <c r="Q5657" t="s" s="2">
        <v>43</v>
      </c>
      <c r="R5657" s="5">
        <f>_xlfn.IFERROR(INDEX('model_byCAP'!$D$2:$D$377,MATCH(Q5657,'model_byCAP'!$A$2:$A$377,0)),0)</f>
        <v>0</v>
      </c>
    </row>
    <row r="5658" ht="15.35" customHeight="1">
      <c r="A5658" t="s" s="2">
        <v>10139</v>
      </c>
      <c r="B5658" s="4">
        <v>42103</v>
      </c>
      <c r="C5658" s="5">
        <v>10</v>
      </c>
      <c r="D5658" s="5">
        <v>16</v>
      </c>
      <c r="E5658" s="5">
        <v>17</v>
      </c>
      <c r="F5658" t="s" s="2">
        <v>9209</v>
      </c>
      <c r="G5658" t="s" s="2">
        <v>9638</v>
      </c>
      <c r="H5658" s="5">
        <v>773</v>
      </c>
      <c r="I5658" t="s" s="2">
        <v>1648</v>
      </c>
      <c r="J5658" t="s" s="2">
        <v>9204</v>
      </c>
      <c r="K5658" s="6"/>
      <c r="L5658" s="6"/>
      <c r="M5658" s="6"/>
      <c r="N5658" s="6"/>
      <c r="O5658" t="s" s="2">
        <v>25</v>
      </c>
      <c r="P5658" s="6"/>
      <c r="Q5658" t="s" s="2">
        <v>9639</v>
      </c>
      <c r="R5658" s="5">
        <f>_xlfn.IFERROR(INDEX('model_byCAP'!$D$2:$D$377,MATCH(Q5658,'model_byCAP'!$A$2:$A$377,0)),0)</f>
        <v>0</v>
      </c>
    </row>
    <row r="5659" ht="15.35" customHeight="1">
      <c r="A5659" t="s" s="2">
        <v>10140</v>
      </c>
      <c r="B5659" s="4">
        <v>42101</v>
      </c>
      <c r="C5659" s="5">
        <v>10</v>
      </c>
      <c r="D5659" s="5">
        <v>13</v>
      </c>
      <c r="E5659" s="5">
        <v>18.2</v>
      </c>
      <c r="F5659" t="s" s="2">
        <v>9471</v>
      </c>
      <c r="G5659" t="s" s="2">
        <v>9606</v>
      </c>
      <c r="H5659" s="5">
        <v>773</v>
      </c>
      <c r="I5659" t="s" s="2">
        <v>1648</v>
      </c>
      <c r="J5659" t="s" s="2">
        <v>9204</v>
      </c>
      <c r="K5659" s="6"/>
      <c r="L5659" s="6"/>
      <c r="M5659" s="6"/>
      <c r="N5659" s="6"/>
      <c r="O5659" t="s" s="2">
        <v>25</v>
      </c>
      <c r="P5659" s="6"/>
      <c r="Q5659" t="s" s="2">
        <v>9607</v>
      </c>
      <c r="R5659" s="5">
        <f>_xlfn.IFERROR(INDEX('model_byCAP'!$D$2:$D$377,MATCH(Q5659,'model_byCAP'!$A$2:$A$377,0)),0)</f>
        <v>0</v>
      </c>
    </row>
    <row r="5660" ht="15.35" customHeight="1">
      <c r="A5660" t="s" s="2">
        <v>10141</v>
      </c>
      <c r="B5660" s="4">
        <v>42130</v>
      </c>
      <c r="C5660" s="5">
        <v>10</v>
      </c>
      <c r="D5660" s="5">
        <v>13</v>
      </c>
      <c r="E5660" s="5">
        <v>18</v>
      </c>
      <c r="F5660" t="s" s="2">
        <v>9471</v>
      </c>
      <c r="G5660" t="s" s="2">
        <v>9606</v>
      </c>
      <c r="H5660" s="5">
        <v>773</v>
      </c>
      <c r="I5660" t="s" s="2">
        <v>1648</v>
      </c>
      <c r="J5660" t="s" s="2">
        <v>9204</v>
      </c>
      <c r="K5660" s="6"/>
      <c r="L5660" s="6"/>
      <c r="M5660" s="6"/>
      <c r="N5660" s="6"/>
      <c r="O5660" t="s" s="2">
        <v>25</v>
      </c>
      <c r="P5660" s="6"/>
      <c r="Q5660" t="s" s="2">
        <v>9607</v>
      </c>
      <c r="R5660" s="5">
        <f>_xlfn.IFERROR(INDEX('model_byCAP'!$D$2:$D$377,MATCH(Q5660,'model_byCAP'!$A$2:$A$377,0)),0)</f>
        <v>0</v>
      </c>
    </row>
    <row r="5661" ht="15.35" customHeight="1">
      <c r="A5661" t="s" s="2">
        <v>10142</v>
      </c>
      <c r="B5661" s="4">
        <v>42130</v>
      </c>
      <c r="C5661" s="5">
        <v>10</v>
      </c>
      <c r="D5661" s="5">
        <v>13</v>
      </c>
      <c r="E5661" s="5">
        <v>18.2</v>
      </c>
      <c r="F5661" t="s" s="2">
        <v>9471</v>
      </c>
      <c r="G5661" t="s" s="2">
        <v>9606</v>
      </c>
      <c r="H5661" s="5">
        <v>773</v>
      </c>
      <c r="I5661" t="s" s="2">
        <v>1648</v>
      </c>
      <c r="J5661" t="s" s="2">
        <v>9204</v>
      </c>
      <c r="K5661" s="6"/>
      <c r="L5661" s="6"/>
      <c r="M5661" s="6"/>
      <c r="N5661" s="6"/>
      <c r="O5661" t="s" s="2">
        <v>25</v>
      </c>
      <c r="P5661" s="6"/>
      <c r="Q5661" t="s" s="2">
        <v>9607</v>
      </c>
      <c r="R5661" s="5">
        <f>_xlfn.IFERROR(INDEX('model_byCAP'!$D$2:$D$377,MATCH(Q5661,'model_byCAP'!$A$2:$A$377,0)),0)</f>
        <v>0</v>
      </c>
    </row>
    <row r="5662" ht="15.35" customHeight="1">
      <c r="A5662" t="s" s="2">
        <v>10143</v>
      </c>
      <c r="B5662" s="4">
        <v>42116</v>
      </c>
      <c r="C5662" s="5">
        <v>10</v>
      </c>
      <c r="D5662" s="5">
        <v>16</v>
      </c>
      <c r="E5662" s="5">
        <v>17</v>
      </c>
      <c r="F5662" t="s" s="2">
        <v>9209</v>
      </c>
      <c r="G5662" t="s" s="2">
        <v>9638</v>
      </c>
      <c r="H5662" s="5">
        <v>773</v>
      </c>
      <c r="I5662" t="s" s="2">
        <v>1648</v>
      </c>
      <c r="J5662" t="s" s="2">
        <v>9204</v>
      </c>
      <c r="K5662" s="6"/>
      <c r="L5662" s="6"/>
      <c r="M5662" s="6"/>
      <c r="N5662" s="6"/>
      <c r="O5662" t="s" s="2">
        <v>25</v>
      </c>
      <c r="P5662" s="6"/>
      <c r="Q5662" t="s" s="2">
        <v>9639</v>
      </c>
      <c r="R5662" s="5">
        <f>_xlfn.IFERROR(INDEX('model_byCAP'!$D$2:$D$377,MATCH(Q5662,'model_byCAP'!$A$2:$A$377,0)),0)</f>
        <v>0</v>
      </c>
    </row>
    <row r="5663" ht="15.35" customHeight="1">
      <c r="A5663" t="s" s="2">
        <v>10144</v>
      </c>
      <c r="B5663" s="4">
        <v>42131</v>
      </c>
      <c r="C5663" s="5">
        <v>10</v>
      </c>
      <c r="D5663" s="5">
        <v>13</v>
      </c>
      <c r="E5663" s="5">
        <v>18</v>
      </c>
      <c r="F5663" t="s" s="2">
        <v>9471</v>
      </c>
      <c r="G5663" t="s" s="2">
        <v>9606</v>
      </c>
      <c r="H5663" s="5">
        <v>773</v>
      </c>
      <c r="I5663" t="s" s="2">
        <v>1648</v>
      </c>
      <c r="J5663" t="s" s="2">
        <v>9204</v>
      </c>
      <c r="K5663" s="6"/>
      <c r="L5663" s="6"/>
      <c r="M5663" s="5">
        <v>484679.87</v>
      </c>
      <c r="N5663" s="5">
        <v>6288627.86</v>
      </c>
      <c r="O5663" t="s" s="2">
        <v>305</v>
      </c>
      <c r="P5663" s="6"/>
      <c r="Q5663" t="s" s="2">
        <v>9607</v>
      </c>
      <c r="R5663" s="5">
        <f>_xlfn.IFERROR(INDEX('model_byCAP'!$D$2:$D$377,MATCH(Q5663,'model_byCAP'!$A$2:$A$377,0)),0)</f>
        <v>0</v>
      </c>
    </row>
    <row r="5664" ht="15.35" customHeight="1">
      <c r="A5664" t="s" s="2">
        <v>10145</v>
      </c>
      <c r="B5664" s="4">
        <v>42131</v>
      </c>
      <c r="C5664" s="5">
        <v>10</v>
      </c>
      <c r="D5664" s="5">
        <v>13</v>
      </c>
      <c r="E5664" s="5">
        <v>18.2</v>
      </c>
      <c r="F5664" t="s" s="2">
        <v>9471</v>
      </c>
      <c r="G5664" t="s" s="2">
        <v>9606</v>
      </c>
      <c r="H5664" s="5">
        <v>773</v>
      </c>
      <c r="I5664" t="s" s="2">
        <v>1648</v>
      </c>
      <c r="J5664" t="s" s="2">
        <v>9204</v>
      </c>
      <c r="K5664" s="6"/>
      <c r="L5664" s="6"/>
      <c r="M5664" s="5">
        <v>482699.77</v>
      </c>
      <c r="N5664" s="5">
        <v>6296436.74</v>
      </c>
      <c r="O5664" t="s" s="2">
        <v>305</v>
      </c>
      <c r="P5664" s="6"/>
      <c r="Q5664" t="s" s="2">
        <v>9607</v>
      </c>
      <c r="R5664" s="5">
        <f>_xlfn.IFERROR(INDEX('model_byCAP'!$D$2:$D$377,MATCH(Q5664,'model_byCAP'!$A$2:$A$377,0)),0)</f>
        <v>0</v>
      </c>
    </row>
    <row r="5665" ht="15.35" customHeight="1">
      <c r="A5665" t="s" s="2">
        <v>10146</v>
      </c>
      <c r="B5665" s="4">
        <v>42181</v>
      </c>
      <c r="C5665" s="5">
        <v>10</v>
      </c>
      <c r="D5665" s="5">
        <v>7.1</v>
      </c>
      <c r="E5665" s="5">
        <v>21.4</v>
      </c>
      <c r="F5665" t="s" s="2">
        <v>42</v>
      </c>
      <c r="G5665" t="s" s="2">
        <v>42</v>
      </c>
      <c r="H5665" s="5">
        <v>773</v>
      </c>
      <c r="I5665" t="s" s="2">
        <v>1648</v>
      </c>
      <c r="J5665" t="s" s="2">
        <v>9204</v>
      </c>
      <c r="K5665" s="6"/>
      <c r="L5665" s="6"/>
      <c r="M5665" s="5">
        <v>484801.44</v>
      </c>
      <c r="N5665" s="5">
        <v>6289080.9</v>
      </c>
      <c r="O5665" t="s" s="2">
        <v>305</v>
      </c>
      <c r="P5665" s="6"/>
      <c r="Q5665" t="s" s="2">
        <v>43</v>
      </c>
      <c r="R5665" s="5">
        <f>_xlfn.IFERROR(INDEX('model_byCAP'!$D$2:$D$377,MATCH(Q5665,'model_byCAP'!$A$2:$A$377,0)),0)</f>
        <v>0</v>
      </c>
    </row>
    <row r="5666" ht="15.35" customHeight="1">
      <c r="A5666" t="s" s="2">
        <v>10147</v>
      </c>
      <c r="B5666" s="4">
        <v>42146</v>
      </c>
      <c r="C5666" s="5">
        <v>10</v>
      </c>
      <c r="D5666" s="5">
        <v>7.1</v>
      </c>
      <c r="E5666" s="5">
        <v>21.4</v>
      </c>
      <c r="F5666" t="s" s="2">
        <v>42</v>
      </c>
      <c r="G5666" t="s" s="2">
        <v>42</v>
      </c>
      <c r="H5666" s="5">
        <v>773</v>
      </c>
      <c r="I5666" t="s" s="2">
        <v>1648</v>
      </c>
      <c r="J5666" t="s" s="2">
        <v>9204</v>
      </c>
      <c r="K5666" s="6"/>
      <c r="L5666" s="6"/>
      <c r="M5666" s="5">
        <v>486201.17</v>
      </c>
      <c r="N5666" s="5">
        <v>6302137.47</v>
      </c>
      <c r="O5666" t="s" s="2">
        <v>305</v>
      </c>
      <c r="P5666" s="6"/>
      <c r="Q5666" t="s" s="2">
        <v>43</v>
      </c>
      <c r="R5666" s="5">
        <f>_xlfn.IFERROR(INDEX('model_byCAP'!$D$2:$D$377,MATCH(Q5666,'model_byCAP'!$A$2:$A$377,0)),0)</f>
        <v>0</v>
      </c>
    </row>
    <row r="5667" ht="15.35" customHeight="1">
      <c r="A5667" t="s" s="2">
        <v>10148</v>
      </c>
      <c r="B5667" s="4">
        <v>42180</v>
      </c>
      <c r="C5667" s="5">
        <v>10</v>
      </c>
      <c r="D5667" s="5">
        <v>7.1</v>
      </c>
      <c r="E5667" s="5">
        <v>21.4</v>
      </c>
      <c r="F5667" t="s" s="2">
        <v>42</v>
      </c>
      <c r="G5667" t="s" s="2">
        <v>42</v>
      </c>
      <c r="H5667" s="5">
        <v>773</v>
      </c>
      <c r="I5667" t="s" s="2">
        <v>1648</v>
      </c>
      <c r="J5667" t="s" s="2">
        <v>9204</v>
      </c>
      <c r="K5667" s="6"/>
      <c r="L5667" s="6"/>
      <c r="M5667" s="5">
        <v>481963.38</v>
      </c>
      <c r="N5667" s="5">
        <v>6299509.92</v>
      </c>
      <c r="O5667" t="s" s="2">
        <v>305</v>
      </c>
      <c r="P5667" s="6"/>
      <c r="Q5667" t="s" s="2">
        <v>43</v>
      </c>
      <c r="R5667" s="5">
        <f>_xlfn.IFERROR(INDEX('model_byCAP'!$D$2:$D$377,MATCH(Q5667,'model_byCAP'!$A$2:$A$377,0)),0)</f>
        <v>0</v>
      </c>
    </row>
    <row r="5668" ht="15.35" customHeight="1">
      <c r="A5668" t="s" s="2">
        <v>10149</v>
      </c>
      <c r="B5668" s="4">
        <v>42194</v>
      </c>
      <c r="C5668" s="5">
        <v>10</v>
      </c>
      <c r="D5668" s="5">
        <v>7.1</v>
      </c>
      <c r="E5668" s="5">
        <v>21</v>
      </c>
      <c r="F5668" t="s" s="2">
        <v>42</v>
      </c>
      <c r="G5668" t="s" s="2">
        <v>42</v>
      </c>
      <c r="H5668" s="5">
        <v>773</v>
      </c>
      <c r="I5668" t="s" s="2">
        <v>1648</v>
      </c>
      <c r="J5668" t="s" s="2">
        <v>9204</v>
      </c>
      <c r="K5668" s="6"/>
      <c r="L5668" s="6"/>
      <c r="M5668" s="5">
        <v>486703.06</v>
      </c>
      <c r="N5668" s="5">
        <v>6302617.19</v>
      </c>
      <c r="O5668" t="s" s="2">
        <v>305</v>
      </c>
      <c r="P5668" s="6"/>
      <c r="Q5668" t="s" s="2">
        <v>43</v>
      </c>
      <c r="R5668" s="5">
        <f>_xlfn.IFERROR(INDEX('model_byCAP'!$D$2:$D$377,MATCH(Q5668,'model_byCAP'!$A$2:$A$377,0)),0)</f>
        <v>0</v>
      </c>
    </row>
    <row r="5669" ht="15.35" customHeight="1">
      <c r="A5669" t="s" s="2">
        <v>10150</v>
      </c>
      <c r="B5669" s="4">
        <v>42188</v>
      </c>
      <c r="C5669" s="5">
        <v>10</v>
      </c>
      <c r="D5669" s="5">
        <v>7.1</v>
      </c>
      <c r="E5669" s="5">
        <v>21.4</v>
      </c>
      <c r="F5669" t="s" s="2">
        <v>42</v>
      </c>
      <c r="G5669" t="s" s="2">
        <v>42</v>
      </c>
      <c r="H5669" s="5">
        <v>773</v>
      </c>
      <c r="I5669" t="s" s="2">
        <v>1648</v>
      </c>
      <c r="J5669" t="s" s="2">
        <v>9204</v>
      </c>
      <c r="K5669" s="6"/>
      <c r="L5669" s="6"/>
      <c r="M5669" s="5">
        <v>491049.6</v>
      </c>
      <c r="N5669" s="5">
        <v>6307815.95</v>
      </c>
      <c r="O5669" t="s" s="2">
        <v>305</v>
      </c>
      <c r="P5669" s="6"/>
      <c r="Q5669" t="s" s="2">
        <v>43</v>
      </c>
      <c r="R5669" s="5">
        <f>_xlfn.IFERROR(INDEX('model_byCAP'!$D$2:$D$377,MATCH(Q5669,'model_byCAP'!$A$2:$A$377,0)),0)</f>
        <v>0</v>
      </c>
    </row>
    <row r="5670" ht="15.35" customHeight="1">
      <c r="A5670" t="s" s="2">
        <v>10151</v>
      </c>
      <c r="B5670" s="4">
        <v>42188</v>
      </c>
      <c r="C5670" s="5">
        <v>10</v>
      </c>
      <c r="D5670" s="5">
        <v>7.1</v>
      </c>
      <c r="E5670" s="5">
        <v>21.4</v>
      </c>
      <c r="F5670" t="s" s="2">
        <v>42</v>
      </c>
      <c r="G5670" t="s" s="2">
        <v>42</v>
      </c>
      <c r="H5670" s="5">
        <v>773</v>
      </c>
      <c r="I5670" t="s" s="2">
        <v>1648</v>
      </c>
      <c r="J5670" t="s" s="2">
        <v>9204</v>
      </c>
      <c r="K5670" s="6"/>
      <c r="L5670" s="6"/>
      <c r="M5670" s="5">
        <v>493545.42</v>
      </c>
      <c r="N5670" s="5">
        <v>6305049</v>
      </c>
      <c r="O5670" t="s" s="2">
        <v>305</v>
      </c>
      <c r="P5670" s="6"/>
      <c r="Q5670" t="s" s="2">
        <v>43</v>
      </c>
      <c r="R5670" s="5">
        <f>_xlfn.IFERROR(INDEX('model_byCAP'!$D$2:$D$377,MATCH(Q5670,'model_byCAP'!$A$2:$A$377,0)),0)</f>
        <v>0</v>
      </c>
    </row>
    <row r="5671" ht="15.35" customHeight="1">
      <c r="A5671" t="s" s="2">
        <v>10152</v>
      </c>
      <c r="B5671" s="4">
        <v>42199</v>
      </c>
      <c r="C5671" s="5">
        <v>10</v>
      </c>
      <c r="D5671" s="5">
        <v>7.1</v>
      </c>
      <c r="E5671" s="5">
        <v>21.4</v>
      </c>
      <c r="F5671" t="s" s="2">
        <v>42</v>
      </c>
      <c r="G5671" t="s" s="2">
        <v>42</v>
      </c>
      <c r="H5671" s="5">
        <v>773</v>
      </c>
      <c r="I5671" t="s" s="2">
        <v>1648</v>
      </c>
      <c r="J5671" t="s" s="2">
        <v>9204</v>
      </c>
      <c r="K5671" s="6"/>
      <c r="L5671" s="6"/>
      <c r="M5671" s="6"/>
      <c r="N5671" s="6"/>
      <c r="O5671" t="s" s="2">
        <v>25</v>
      </c>
      <c r="P5671" s="6"/>
      <c r="Q5671" t="s" s="2">
        <v>43</v>
      </c>
      <c r="R5671" s="5">
        <f>_xlfn.IFERROR(INDEX('model_byCAP'!$D$2:$D$377,MATCH(Q5671,'model_byCAP'!$A$2:$A$377,0)),0)</f>
        <v>0</v>
      </c>
    </row>
    <row r="5672" ht="15.35" customHeight="1">
      <c r="A5672" t="s" s="2">
        <v>10153</v>
      </c>
      <c r="B5672" s="4">
        <v>42219</v>
      </c>
      <c r="C5672" s="5">
        <v>10</v>
      </c>
      <c r="D5672" s="5">
        <v>13</v>
      </c>
      <c r="E5672" s="5">
        <v>18.2</v>
      </c>
      <c r="F5672" t="s" s="2">
        <v>9471</v>
      </c>
      <c r="G5672" t="s" s="2">
        <v>9606</v>
      </c>
      <c r="H5672" s="5">
        <v>773</v>
      </c>
      <c r="I5672" t="s" s="2">
        <v>1648</v>
      </c>
      <c r="J5672" t="s" s="2">
        <v>9204</v>
      </c>
      <c r="K5672" s="6"/>
      <c r="L5672" s="6"/>
      <c r="M5672" s="6"/>
      <c r="N5672" s="6"/>
      <c r="O5672" t="s" s="2">
        <v>25</v>
      </c>
      <c r="P5672" s="6"/>
      <c r="Q5672" t="s" s="2">
        <v>9607</v>
      </c>
      <c r="R5672" s="5">
        <f>_xlfn.IFERROR(INDEX('model_byCAP'!$D$2:$D$377,MATCH(Q5672,'model_byCAP'!$A$2:$A$377,0)),0)</f>
        <v>0</v>
      </c>
    </row>
    <row r="5673" ht="15.35" customHeight="1">
      <c r="A5673" t="s" s="2">
        <v>10154</v>
      </c>
      <c r="B5673" s="4">
        <v>42223</v>
      </c>
      <c r="C5673" s="5">
        <v>10</v>
      </c>
      <c r="D5673" s="5">
        <v>13</v>
      </c>
      <c r="E5673" s="5">
        <v>18.2</v>
      </c>
      <c r="F5673" t="s" s="2">
        <v>9471</v>
      </c>
      <c r="G5673" t="s" s="2">
        <v>9606</v>
      </c>
      <c r="H5673" s="5">
        <v>773</v>
      </c>
      <c r="I5673" t="s" s="2">
        <v>1648</v>
      </c>
      <c r="J5673" t="s" s="2">
        <v>9204</v>
      </c>
      <c r="K5673" s="6"/>
      <c r="L5673" s="6"/>
      <c r="M5673" s="6"/>
      <c r="N5673" s="6"/>
      <c r="O5673" t="s" s="2">
        <v>25</v>
      </c>
      <c r="P5673" s="6"/>
      <c r="Q5673" t="s" s="2">
        <v>9607</v>
      </c>
      <c r="R5673" s="5">
        <f>_xlfn.IFERROR(INDEX('model_byCAP'!$D$2:$D$377,MATCH(Q5673,'model_byCAP'!$A$2:$A$377,0)),0)</f>
        <v>0</v>
      </c>
    </row>
    <row r="5674" ht="15.35" customHeight="1">
      <c r="A5674" t="s" s="2">
        <v>10155</v>
      </c>
      <c r="B5674" s="4">
        <v>42228</v>
      </c>
      <c r="C5674" s="5">
        <v>10</v>
      </c>
      <c r="D5674" s="5">
        <v>13</v>
      </c>
      <c r="E5674" s="5">
        <v>18.2</v>
      </c>
      <c r="F5674" t="s" s="2">
        <v>9471</v>
      </c>
      <c r="G5674" t="s" s="2">
        <v>9606</v>
      </c>
      <c r="H5674" s="5">
        <v>773</v>
      </c>
      <c r="I5674" t="s" s="2">
        <v>1648</v>
      </c>
      <c r="J5674" t="s" s="2">
        <v>9204</v>
      </c>
      <c r="K5674" s="6"/>
      <c r="L5674" s="6"/>
      <c r="M5674" s="5">
        <v>483200.75</v>
      </c>
      <c r="N5674" s="5">
        <v>6285682.84</v>
      </c>
      <c r="O5674" t="s" s="2">
        <v>305</v>
      </c>
      <c r="P5674" s="6"/>
      <c r="Q5674" t="s" s="2">
        <v>9607</v>
      </c>
      <c r="R5674" s="5">
        <f>_xlfn.IFERROR(INDEX('model_byCAP'!$D$2:$D$377,MATCH(Q5674,'model_byCAP'!$A$2:$A$377,0)),0)</f>
        <v>0</v>
      </c>
    </row>
    <row r="5675" ht="15.35" customHeight="1">
      <c r="A5675" t="s" s="2">
        <v>10156</v>
      </c>
      <c r="B5675" s="4">
        <v>42195</v>
      </c>
      <c r="C5675" s="5">
        <v>10</v>
      </c>
      <c r="D5675" s="5">
        <v>7.1</v>
      </c>
      <c r="E5675" s="5">
        <v>21.4</v>
      </c>
      <c r="F5675" t="s" s="2">
        <v>42</v>
      </c>
      <c r="G5675" t="s" s="2">
        <v>42</v>
      </c>
      <c r="H5675" s="5">
        <v>773</v>
      </c>
      <c r="I5675" t="s" s="2">
        <v>1648</v>
      </c>
      <c r="J5675" t="s" s="2">
        <v>9204</v>
      </c>
      <c r="K5675" s="6"/>
      <c r="L5675" s="6"/>
      <c r="M5675" s="5">
        <v>485082.01</v>
      </c>
      <c r="N5675" s="5">
        <v>6292165.2</v>
      </c>
      <c r="O5675" t="s" s="2">
        <v>305</v>
      </c>
      <c r="P5675" s="6"/>
      <c r="Q5675" t="s" s="2">
        <v>43</v>
      </c>
      <c r="R5675" s="5">
        <f>_xlfn.IFERROR(INDEX('model_byCAP'!$D$2:$D$377,MATCH(Q5675,'model_byCAP'!$A$2:$A$377,0)),0)</f>
        <v>0</v>
      </c>
    </row>
    <row r="5676" ht="15.35" customHeight="1">
      <c r="A5676" t="s" s="2">
        <v>10157</v>
      </c>
      <c r="B5676" s="4">
        <v>42321</v>
      </c>
      <c r="C5676" s="5">
        <v>10</v>
      </c>
      <c r="D5676" s="5">
        <v>13</v>
      </c>
      <c r="E5676" s="5">
        <v>18.2</v>
      </c>
      <c r="F5676" t="s" s="2">
        <v>9471</v>
      </c>
      <c r="G5676" t="s" s="2">
        <v>9606</v>
      </c>
      <c r="H5676" s="5">
        <v>773</v>
      </c>
      <c r="I5676" t="s" s="2">
        <v>1648</v>
      </c>
      <c r="J5676" t="s" s="2">
        <v>9204</v>
      </c>
      <c r="K5676" s="6"/>
      <c r="L5676" s="6"/>
      <c r="M5676" s="5">
        <v>482504.55</v>
      </c>
      <c r="N5676" s="5">
        <v>6295980.07</v>
      </c>
      <c r="O5676" t="s" s="2">
        <v>305</v>
      </c>
      <c r="P5676" s="6"/>
      <c r="Q5676" t="s" s="2">
        <v>9607</v>
      </c>
      <c r="R5676" s="5">
        <f>_xlfn.IFERROR(INDEX('model_byCAP'!$D$2:$D$377,MATCH(Q5676,'model_byCAP'!$A$2:$A$377,0)),0)</f>
        <v>0</v>
      </c>
    </row>
    <row r="5677" ht="15.35" customHeight="1">
      <c r="A5677" t="s" s="2">
        <v>10158</v>
      </c>
      <c r="B5677" s="4">
        <v>42323</v>
      </c>
      <c r="C5677" s="5">
        <v>10</v>
      </c>
      <c r="D5677" s="5">
        <v>7.1</v>
      </c>
      <c r="E5677" s="5">
        <v>21.4</v>
      </c>
      <c r="F5677" t="s" s="2">
        <v>42</v>
      </c>
      <c r="G5677" t="s" s="2">
        <v>42</v>
      </c>
      <c r="H5677" s="5">
        <v>773</v>
      </c>
      <c r="I5677" t="s" s="2">
        <v>1648</v>
      </c>
      <c r="J5677" t="s" s="2">
        <v>9204</v>
      </c>
      <c r="K5677" s="6"/>
      <c r="L5677" s="6"/>
      <c r="M5677" s="5">
        <v>484389.4</v>
      </c>
      <c r="N5677" s="5">
        <v>6294552.07</v>
      </c>
      <c r="O5677" t="s" s="2">
        <v>305</v>
      </c>
      <c r="P5677" s="6"/>
      <c r="Q5677" t="s" s="2">
        <v>43</v>
      </c>
      <c r="R5677" s="5">
        <f>_xlfn.IFERROR(INDEX('model_byCAP'!$D$2:$D$377,MATCH(Q5677,'model_byCAP'!$A$2:$A$377,0)),0)</f>
        <v>0</v>
      </c>
    </row>
    <row r="5678" ht="15.35" customHeight="1">
      <c r="A5678" t="s" s="2">
        <v>10159</v>
      </c>
      <c r="B5678" s="4">
        <v>42353</v>
      </c>
      <c r="C5678" s="5">
        <v>10</v>
      </c>
      <c r="D5678" s="5">
        <v>14</v>
      </c>
      <c r="E5678" s="5">
        <v>18</v>
      </c>
      <c r="F5678" t="s" s="2">
        <v>9209</v>
      </c>
      <c r="G5678" t="s" s="2">
        <v>9210</v>
      </c>
      <c r="H5678" s="5">
        <v>773</v>
      </c>
      <c r="I5678" t="s" s="2">
        <v>1648</v>
      </c>
      <c r="J5678" t="s" s="2">
        <v>9204</v>
      </c>
      <c r="K5678" s="6"/>
      <c r="L5678" s="6"/>
      <c r="M5678" s="5">
        <v>485393.73</v>
      </c>
      <c r="N5678" s="5">
        <v>6294272.11</v>
      </c>
      <c r="O5678" t="s" s="2">
        <v>305</v>
      </c>
      <c r="P5678" s="6"/>
      <c r="Q5678" t="s" s="2">
        <v>9211</v>
      </c>
      <c r="R5678" t="s" s="2">
        <f>_xlfn.IFERROR(INDEX('model_byCAP'!$D$2:$D$377,MATCH(Q5678,'model_byCAP'!$A$2:$A$377,0)),0)</f>
        <v>8430</v>
      </c>
    </row>
    <row r="5679" ht="15.35" customHeight="1">
      <c r="A5679" t="s" s="2">
        <v>10160</v>
      </c>
      <c r="B5679" s="4">
        <v>42348</v>
      </c>
      <c r="C5679" s="5">
        <v>10</v>
      </c>
      <c r="D5679" s="5">
        <v>13</v>
      </c>
      <c r="E5679" s="5">
        <v>18.2</v>
      </c>
      <c r="F5679" t="s" s="2">
        <v>9471</v>
      </c>
      <c r="G5679" t="s" s="2">
        <v>9606</v>
      </c>
      <c r="H5679" s="5">
        <v>773</v>
      </c>
      <c r="I5679" t="s" s="2">
        <v>1648</v>
      </c>
      <c r="J5679" t="s" s="2">
        <v>9204</v>
      </c>
      <c r="K5679" s="6"/>
      <c r="L5679" s="6"/>
      <c r="M5679" s="5">
        <v>483659.06</v>
      </c>
      <c r="N5679" s="5">
        <v>6299453.25</v>
      </c>
      <c r="O5679" t="s" s="2">
        <v>305</v>
      </c>
      <c r="P5679" s="6"/>
      <c r="Q5679" t="s" s="2">
        <v>9607</v>
      </c>
      <c r="R5679" s="5">
        <f>_xlfn.IFERROR(INDEX('model_byCAP'!$D$2:$D$377,MATCH(Q5679,'model_byCAP'!$A$2:$A$377,0)),0)</f>
        <v>0</v>
      </c>
    </row>
    <row r="5680" ht="15.35" customHeight="1">
      <c r="A5680" t="s" s="2">
        <v>10161</v>
      </c>
      <c r="B5680" s="4">
        <v>42348</v>
      </c>
      <c r="C5680" s="5">
        <v>10</v>
      </c>
      <c r="D5680" s="5">
        <v>13</v>
      </c>
      <c r="E5680" s="5">
        <v>18.2</v>
      </c>
      <c r="F5680" t="s" s="2">
        <v>9471</v>
      </c>
      <c r="G5680" t="s" s="2">
        <v>9606</v>
      </c>
      <c r="H5680" s="5">
        <v>773</v>
      </c>
      <c r="I5680" t="s" s="2">
        <v>1648</v>
      </c>
      <c r="J5680" t="s" s="2">
        <v>9204</v>
      </c>
      <c r="K5680" s="6"/>
      <c r="L5680" s="6"/>
      <c r="M5680" s="5">
        <v>489316.76</v>
      </c>
      <c r="N5680" s="5">
        <v>6298994.42</v>
      </c>
      <c r="O5680" t="s" s="2">
        <v>305</v>
      </c>
      <c r="P5680" s="6"/>
      <c r="Q5680" t="s" s="2">
        <v>9607</v>
      </c>
      <c r="R5680" s="5">
        <f>_xlfn.IFERROR(INDEX('model_byCAP'!$D$2:$D$377,MATCH(Q5680,'model_byCAP'!$A$2:$A$377,0)),0)</f>
        <v>0</v>
      </c>
    </row>
    <row r="5681" ht="15.35" customHeight="1">
      <c r="A5681" t="s" s="2">
        <v>10162</v>
      </c>
      <c r="B5681" s="4">
        <v>42356</v>
      </c>
      <c r="C5681" s="5">
        <v>10</v>
      </c>
      <c r="D5681" s="5">
        <v>7.1</v>
      </c>
      <c r="E5681" s="5">
        <v>21</v>
      </c>
      <c r="F5681" t="s" s="2">
        <v>42</v>
      </c>
      <c r="G5681" t="s" s="2">
        <v>42</v>
      </c>
      <c r="H5681" s="5">
        <v>773</v>
      </c>
      <c r="I5681" t="s" s="2">
        <v>1648</v>
      </c>
      <c r="J5681" t="s" s="2">
        <v>9204</v>
      </c>
      <c r="K5681" s="6"/>
      <c r="L5681" s="6"/>
      <c r="M5681" s="5">
        <v>483676.46</v>
      </c>
      <c r="N5681" s="5">
        <v>6283774</v>
      </c>
      <c r="O5681" t="s" s="2">
        <v>305</v>
      </c>
      <c r="P5681" s="6"/>
      <c r="Q5681" t="s" s="2">
        <v>43</v>
      </c>
      <c r="R5681" s="5">
        <f>_xlfn.IFERROR(INDEX('model_byCAP'!$D$2:$D$377,MATCH(Q5681,'model_byCAP'!$A$2:$A$377,0)),0)</f>
        <v>0</v>
      </c>
    </row>
    <row r="5682" ht="15.35" customHeight="1">
      <c r="A5682" t="s" s="2">
        <v>10163</v>
      </c>
      <c r="B5682" s="4">
        <v>42389</v>
      </c>
      <c r="C5682" s="5">
        <v>10</v>
      </c>
      <c r="D5682" s="5">
        <v>14</v>
      </c>
      <c r="E5682" s="5">
        <v>18</v>
      </c>
      <c r="F5682" t="s" s="2">
        <v>9209</v>
      </c>
      <c r="G5682" t="s" s="2">
        <v>9293</v>
      </c>
      <c r="H5682" s="5">
        <v>773</v>
      </c>
      <c r="I5682" t="s" s="2">
        <v>1648</v>
      </c>
      <c r="J5682" t="s" s="2">
        <v>9204</v>
      </c>
      <c r="K5682" s="6"/>
      <c r="L5682" s="6"/>
      <c r="M5682" s="5">
        <v>484003.47</v>
      </c>
      <c r="N5682" s="5">
        <v>6299625.11</v>
      </c>
      <c r="O5682" t="s" s="2">
        <v>305</v>
      </c>
      <c r="P5682" s="6"/>
      <c r="Q5682" t="s" s="2">
        <v>9295</v>
      </c>
      <c r="R5682" t="s" s="2">
        <f>_xlfn.IFERROR(INDEX('model_byCAP'!$D$2:$D$377,MATCH(Q5682,'model_byCAP'!$A$2:$A$377,0)),0)</f>
        <v>8430</v>
      </c>
    </row>
    <row r="5683" ht="15.35" customHeight="1">
      <c r="A5683" t="s" s="2">
        <v>10164</v>
      </c>
      <c r="B5683" s="4">
        <v>42391</v>
      </c>
      <c r="C5683" s="5">
        <v>10</v>
      </c>
      <c r="D5683" s="5">
        <v>7.1</v>
      </c>
      <c r="E5683" s="5">
        <v>21.4</v>
      </c>
      <c r="F5683" t="s" s="2">
        <v>42</v>
      </c>
      <c r="G5683" t="s" s="2">
        <v>42</v>
      </c>
      <c r="H5683" s="5">
        <v>773</v>
      </c>
      <c r="I5683" t="s" s="2">
        <v>1648</v>
      </c>
      <c r="J5683" t="s" s="2">
        <v>9204</v>
      </c>
      <c r="K5683" s="6"/>
      <c r="L5683" s="6"/>
      <c r="M5683" s="5">
        <v>478165.76</v>
      </c>
      <c r="N5683" s="5">
        <v>6297546.72</v>
      </c>
      <c r="O5683" t="s" s="2">
        <v>305</v>
      </c>
      <c r="P5683" s="6"/>
      <c r="Q5683" t="s" s="2">
        <v>43</v>
      </c>
      <c r="R5683" s="5">
        <f>_xlfn.IFERROR(INDEX('model_byCAP'!$D$2:$D$377,MATCH(Q5683,'model_byCAP'!$A$2:$A$377,0)),0)</f>
        <v>0</v>
      </c>
    </row>
    <row r="5684" ht="15.35" customHeight="1">
      <c r="A5684" t="s" s="2">
        <v>10165</v>
      </c>
      <c r="B5684" s="4">
        <v>42445</v>
      </c>
      <c r="C5684" s="5">
        <v>10</v>
      </c>
      <c r="D5684" s="5">
        <v>14</v>
      </c>
      <c r="E5684" s="5">
        <v>18</v>
      </c>
      <c r="F5684" t="s" s="2">
        <v>9209</v>
      </c>
      <c r="G5684" t="s" s="2">
        <v>9293</v>
      </c>
      <c r="H5684" s="5">
        <v>773</v>
      </c>
      <c r="I5684" t="s" s="2">
        <v>1648</v>
      </c>
      <c r="J5684" t="s" s="2">
        <v>9204</v>
      </c>
      <c r="K5684" s="6"/>
      <c r="L5684" s="6"/>
      <c r="M5684" s="5">
        <v>472487.39</v>
      </c>
      <c r="N5684" s="5">
        <v>6289594.97</v>
      </c>
      <c r="O5684" t="s" s="2">
        <v>305</v>
      </c>
      <c r="P5684" s="6"/>
      <c r="Q5684" t="s" s="2">
        <v>9295</v>
      </c>
      <c r="R5684" t="s" s="2">
        <f>_xlfn.IFERROR(INDEX('model_byCAP'!$D$2:$D$377,MATCH(Q5684,'model_byCAP'!$A$2:$A$377,0)),0)</f>
        <v>8430</v>
      </c>
    </row>
    <row r="5685" ht="15.35" customHeight="1">
      <c r="A5685" t="s" s="2">
        <v>10166</v>
      </c>
      <c r="B5685" s="4">
        <v>42466</v>
      </c>
      <c r="C5685" s="5">
        <v>10</v>
      </c>
      <c r="D5685" s="5">
        <v>13</v>
      </c>
      <c r="E5685" s="5">
        <v>18.2</v>
      </c>
      <c r="F5685" t="s" s="2">
        <v>9471</v>
      </c>
      <c r="G5685" t="s" s="2">
        <v>9606</v>
      </c>
      <c r="H5685" s="5">
        <v>773</v>
      </c>
      <c r="I5685" t="s" s="2">
        <v>1648</v>
      </c>
      <c r="J5685" t="s" s="2">
        <v>9204</v>
      </c>
      <c r="K5685" s="6"/>
      <c r="L5685" s="6"/>
      <c r="M5685" s="5">
        <v>482508.21</v>
      </c>
      <c r="N5685" s="5">
        <v>6284344.95</v>
      </c>
      <c r="O5685" t="s" s="2">
        <v>305</v>
      </c>
      <c r="P5685" s="6"/>
      <c r="Q5685" t="s" s="2">
        <v>9607</v>
      </c>
      <c r="R5685" s="5">
        <f>_xlfn.IFERROR(INDEX('model_byCAP'!$D$2:$D$377,MATCH(Q5685,'model_byCAP'!$A$2:$A$377,0)),0)</f>
        <v>0</v>
      </c>
    </row>
    <row r="5686" ht="15.35" customHeight="1">
      <c r="A5686" t="s" s="2">
        <v>10167</v>
      </c>
      <c r="B5686" s="4">
        <v>42466</v>
      </c>
      <c r="C5686" s="5">
        <v>10</v>
      </c>
      <c r="D5686" s="5">
        <v>13</v>
      </c>
      <c r="E5686" s="5">
        <v>18.3</v>
      </c>
      <c r="F5686" t="s" s="2">
        <v>9471</v>
      </c>
      <c r="G5686" t="s" s="2">
        <v>9606</v>
      </c>
      <c r="H5686" s="5">
        <v>773</v>
      </c>
      <c r="I5686" t="s" s="2">
        <v>1648</v>
      </c>
      <c r="J5686" t="s" s="2">
        <v>9204</v>
      </c>
      <c r="K5686" s="6"/>
      <c r="L5686" s="6"/>
      <c r="M5686" s="6"/>
      <c r="N5686" s="6"/>
      <c r="O5686" t="s" s="2">
        <v>25</v>
      </c>
      <c r="P5686" s="6"/>
      <c r="Q5686" t="s" s="2">
        <v>9607</v>
      </c>
      <c r="R5686" s="5">
        <f>_xlfn.IFERROR(INDEX('model_byCAP'!$D$2:$D$377,MATCH(Q5686,'model_byCAP'!$A$2:$A$377,0)),0)</f>
        <v>0</v>
      </c>
    </row>
    <row r="5687" ht="15.35" customHeight="1">
      <c r="A5687" t="s" s="2">
        <v>10168</v>
      </c>
      <c r="B5687" s="4">
        <v>42496</v>
      </c>
      <c r="C5687" s="5">
        <v>10</v>
      </c>
      <c r="D5687" s="5">
        <v>14</v>
      </c>
      <c r="E5687" s="5">
        <v>18</v>
      </c>
      <c r="F5687" t="s" s="2">
        <v>9209</v>
      </c>
      <c r="G5687" t="s" s="2">
        <v>9293</v>
      </c>
      <c r="H5687" s="5">
        <v>773</v>
      </c>
      <c r="I5687" t="s" s="2">
        <v>1648</v>
      </c>
      <c r="J5687" t="s" s="2">
        <v>9204</v>
      </c>
      <c r="K5687" s="6"/>
      <c r="L5687" s="6"/>
      <c r="M5687" s="5">
        <v>485851.22</v>
      </c>
      <c r="N5687" s="5">
        <v>6299109.05</v>
      </c>
      <c r="O5687" t="s" s="2">
        <v>305</v>
      </c>
      <c r="P5687" s="6"/>
      <c r="Q5687" t="s" s="2">
        <v>9295</v>
      </c>
      <c r="R5687" t="s" s="2">
        <f>_xlfn.IFERROR(INDEX('model_byCAP'!$D$2:$D$377,MATCH(Q5687,'model_byCAP'!$A$2:$A$377,0)),0)</f>
        <v>8430</v>
      </c>
    </row>
    <row r="5688" ht="15.35" customHeight="1">
      <c r="A5688" t="s" s="2">
        <v>10169</v>
      </c>
      <c r="B5688" s="4">
        <v>42461</v>
      </c>
      <c r="C5688" s="5">
        <v>10</v>
      </c>
      <c r="D5688" s="5">
        <v>7.1</v>
      </c>
      <c r="E5688" s="5">
        <v>21.4</v>
      </c>
      <c r="F5688" t="s" s="2">
        <v>42</v>
      </c>
      <c r="G5688" t="s" s="2">
        <v>42</v>
      </c>
      <c r="H5688" s="5">
        <v>773</v>
      </c>
      <c r="I5688" t="s" s="2">
        <v>1648</v>
      </c>
      <c r="J5688" t="s" s="2">
        <v>9204</v>
      </c>
      <c r="K5688" s="6"/>
      <c r="L5688" s="6"/>
      <c r="M5688" s="5">
        <v>486405.25</v>
      </c>
      <c r="N5688" s="5">
        <v>6298910.76</v>
      </c>
      <c r="O5688" t="s" s="2">
        <v>305</v>
      </c>
      <c r="P5688" s="6"/>
      <c r="Q5688" t="s" s="2">
        <v>43</v>
      </c>
      <c r="R5688" s="5">
        <f>_xlfn.IFERROR(INDEX('model_byCAP'!$D$2:$D$377,MATCH(Q5688,'model_byCAP'!$A$2:$A$377,0)),0)</f>
        <v>0</v>
      </c>
    </row>
    <row r="5689" ht="15.35" customHeight="1">
      <c r="A5689" t="s" s="2">
        <v>10170</v>
      </c>
      <c r="B5689" s="4">
        <v>42514</v>
      </c>
      <c r="C5689" s="5">
        <v>10</v>
      </c>
      <c r="D5689" s="5">
        <v>14</v>
      </c>
      <c r="E5689" s="5">
        <v>15</v>
      </c>
      <c r="F5689" t="s" s="2">
        <v>9209</v>
      </c>
      <c r="G5689" t="s" s="2">
        <v>9293</v>
      </c>
      <c r="H5689" s="5">
        <v>773</v>
      </c>
      <c r="I5689" t="s" s="2">
        <v>1648</v>
      </c>
      <c r="J5689" t="s" s="2">
        <v>9204</v>
      </c>
      <c r="K5689" s="6"/>
      <c r="L5689" s="6"/>
      <c r="M5689" s="6"/>
      <c r="N5689" s="6"/>
      <c r="O5689" t="s" s="2">
        <v>25</v>
      </c>
      <c r="P5689" s="6"/>
      <c r="Q5689" t="s" s="2">
        <v>9295</v>
      </c>
      <c r="R5689" t="s" s="2">
        <f>_xlfn.IFERROR(INDEX('model_byCAP'!$D$2:$D$377,MATCH(Q5689,'model_byCAP'!$A$2:$A$377,0)),0)</f>
        <v>8430</v>
      </c>
    </row>
    <row r="5690" ht="15.35" customHeight="1">
      <c r="A5690" t="s" s="2">
        <v>10171</v>
      </c>
      <c r="B5690" s="4">
        <v>42485</v>
      </c>
      <c r="C5690" s="5">
        <v>10</v>
      </c>
      <c r="D5690" s="5">
        <v>14</v>
      </c>
      <c r="E5690" s="5">
        <v>18</v>
      </c>
      <c r="F5690" t="s" s="2">
        <v>9209</v>
      </c>
      <c r="G5690" t="s" s="2">
        <v>9293</v>
      </c>
      <c r="H5690" s="5">
        <v>773</v>
      </c>
      <c r="I5690" t="s" s="2">
        <v>1648</v>
      </c>
      <c r="J5690" t="s" s="2">
        <v>9204</v>
      </c>
      <c r="K5690" s="6"/>
      <c r="L5690" s="6"/>
      <c r="M5690" s="6"/>
      <c r="N5690" s="6"/>
      <c r="O5690" t="s" s="2">
        <v>25</v>
      </c>
      <c r="P5690" s="6"/>
      <c r="Q5690" t="s" s="2">
        <v>9295</v>
      </c>
      <c r="R5690" t="s" s="2">
        <f>_xlfn.IFERROR(INDEX('model_byCAP'!$D$2:$D$377,MATCH(Q5690,'model_byCAP'!$A$2:$A$377,0)),0)</f>
        <v>8430</v>
      </c>
    </row>
    <row r="5691" ht="15.35" customHeight="1">
      <c r="A5691" t="s" s="2">
        <v>10172</v>
      </c>
      <c r="B5691" s="4">
        <v>42507</v>
      </c>
      <c r="C5691" s="5">
        <v>10</v>
      </c>
      <c r="D5691" s="5">
        <v>14</v>
      </c>
      <c r="E5691" s="5">
        <v>18</v>
      </c>
      <c r="F5691" t="s" s="2">
        <v>9209</v>
      </c>
      <c r="G5691" t="s" s="2">
        <v>9293</v>
      </c>
      <c r="H5691" s="5">
        <v>773</v>
      </c>
      <c r="I5691" t="s" s="2">
        <v>1648</v>
      </c>
      <c r="J5691" t="s" s="2">
        <v>9204</v>
      </c>
      <c r="K5691" s="6"/>
      <c r="L5691" s="6"/>
      <c r="M5691" s="6"/>
      <c r="N5691" s="6"/>
      <c r="O5691" t="s" s="2">
        <v>25</v>
      </c>
      <c r="P5691" s="6"/>
      <c r="Q5691" t="s" s="2">
        <v>9295</v>
      </c>
      <c r="R5691" t="s" s="2">
        <f>_xlfn.IFERROR(INDEX('model_byCAP'!$D$2:$D$377,MATCH(Q5691,'model_byCAP'!$A$2:$A$377,0)),0)</f>
        <v>8430</v>
      </c>
    </row>
    <row r="5692" ht="15.35" customHeight="1">
      <c r="A5692" t="s" s="2">
        <v>10173</v>
      </c>
      <c r="B5692" s="4">
        <v>42507</v>
      </c>
      <c r="C5692" s="5">
        <v>10</v>
      </c>
      <c r="D5692" s="5">
        <v>14</v>
      </c>
      <c r="E5692" s="5">
        <v>18</v>
      </c>
      <c r="F5692" t="s" s="2">
        <v>9209</v>
      </c>
      <c r="G5692" t="s" s="2">
        <v>9293</v>
      </c>
      <c r="H5692" s="5">
        <v>773</v>
      </c>
      <c r="I5692" t="s" s="2">
        <v>1648</v>
      </c>
      <c r="J5692" t="s" s="2">
        <v>9204</v>
      </c>
      <c r="K5692" s="6"/>
      <c r="L5692" s="6"/>
      <c r="M5692" s="6"/>
      <c r="N5692" s="6"/>
      <c r="O5692" t="s" s="2">
        <v>25</v>
      </c>
      <c r="P5692" s="6"/>
      <c r="Q5692" t="s" s="2">
        <v>9295</v>
      </c>
      <c r="R5692" t="s" s="2">
        <f>_xlfn.IFERROR(INDEX('model_byCAP'!$D$2:$D$377,MATCH(Q5692,'model_byCAP'!$A$2:$A$377,0)),0)</f>
        <v>8430</v>
      </c>
    </row>
    <row r="5693" ht="15.35" customHeight="1">
      <c r="A5693" t="s" s="2">
        <v>10174</v>
      </c>
      <c r="B5693" s="4">
        <v>42509</v>
      </c>
      <c r="C5693" s="5">
        <v>10</v>
      </c>
      <c r="D5693" s="5">
        <v>13</v>
      </c>
      <c r="E5693" s="5">
        <v>18.2</v>
      </c>
      <c r="F5693" t="s" s="2">
        <v>9471</v>
      </c>
      <c r="G5693" t="s" s="2">
        <v>9606</v>
      </c>
      <c r="H5693" s="5">
        <v>773</v>
      </c>
      <c r="I5693" t="s" s="2">
        <v>1648</v>
      </c>
      <c r="J5693" t="s" s="2">
        <v>9204</v>
      </c>
      <c r="K5693" s="6"/>
      <c r="L5693" s="6"/>
      <c r="M5693" s="6"/>
      <c r="N5693" s="6"/>
      <c r="O5693" t="s" s="2">
        <v>25</v>
      </c>
      <c r="P5693" s="6"/>
      <c r="Q5693" t="s" s="2">
        <v>9607</v>
      </c>
      <c r="R5693" s="5">
        <f>_xlfn.IFERROR(INDEX('model_byCAP'!$D$2:$D$377,MATCH(Q5693,'model_byCAP'!$A$2:$A$377,0)),0)</f>
        <v>0</v>
      </c>
    </row>
    <row r="5694" ht="15.35" customHeight="1">
      <c r="A5694" t="s" s="2">
        <v>10175</v>
      </c>
      <c r="B5694" s="4">
        <v>42510</v>
      </c>
      <c r="C5694" s="5">
        <v>10</v>
      </c>
      <c r="D5694" s="5">
        <v>13</v>
      </c>
      <c r="E5694" s="5">
        <v>18.3</v>
      </c>
      <c r="F5694" t="s" s="2">
        <v>9471</v>
      </c>
      <c r="G5694" t="s" s="2">
        <v>9606</v>
      </c>
      <c r="H5694" s="5">
        <v>773</v>
      </c>
      <c r="I5694" t="s" s="2">
        <v>1648</v>
      </c>
      <c r="J5694" t="s" s="2">
        <v>9204</v>
      </c>
      <c r="K5694" s="6"/>
      <c r="L5694" s="6"/>
      <c r="M5694" s="6"/>
      <c r="N5694" s="6"/>
      <c r="O5694" t="s" s="2">
        <v>25</v>
      </c>
      <c r="P5694" s="6"/>
      <c r="Q5694" t="s" s="2">
        <v>9607</v>
      </c>
      <c r="R5694" s="5">
        <f>_xlfn.IFERROR(INDEX('model_byCAP'!$D$2:$D$377,MATCH(Q5694,'model_byCAP'!$A$2:$A$377,0)),0)</f>
        <v>0</v>
      </c>
    </row>
    <row r="5695" ht="15.35" customHeight="1">
      <c r="A5695" t="s" s="2">
        <v>10176</v>
      </c>
      <c r="B5695" s="4">
        <v>42511</v>
      </c>
      <c r="C5695" s="5">
        <v>10</v>
      </c>
      <c r="D5695" s="5">
        <v>7.1</v>
      </c>
      <c r="E5695" s="5">
        <v>21.4</v>
      </c>
      <c r="F5695" t="s" s="2">
        <v>42</v>
      </c>
      <c r="G5695" t="s" s="2">
        <v>42</v>
      </c>
      <c r="H5695" s="5">
        <v>773</v>
      </c>
      <c r="I5695" t="s" s="2">
        <v>1648</v>
      </c>
      <c r="J5695" t="s" s="2">
        <v>9204</v>
      </c>
      <c r="K5695" s="6"/>
      <c r="L5695" s="6"/>
      <c r="M5695" s="6"/>
      <c r="N5695" s="6"/>
      <c r="O5695" t="s" s="2">
        <v>25</v>
      </c>
      <c r="P5695" s="6"/>
      <c r="Q5695" t="s" s="2">
        <v>43</v>
      </c>
      <c r="R5695" s="5">
        <f>_xlfn.IFERROR(INDEX('model_byCAP'!$D$2:$D$377,MATCH(Q5695,'model_byCAP'!$A$2:$A$377,0)),0)</f>
        <v>0</v>
      </c>
    </row>
    <row r="5696" ht="15.35" customHeight="1">
      <c r="A5696" t="s" s="2">
        <v>10177</v>
      </c>
      <c r="B5696" s="4">
        <v>42542</v>
      </c>
      <c r="C5696" s="5">
        <v>10</v>
      </c>
      <c r="D5696" s="5">
        <v>14</v>
      </c>
      <c r="E5696" s="5">
        <v>18</v>
      </c>
      <c r="F5696" t="s" s="2">
        <v>9209</v>
      </c>
      <c r="G5696" t="s" s="2">
        <v>9293</v>
      </c>
      <c r="H5696" s="5">
        <v>773</v>
      </c>
      <c r="I5696" t="s" s="2">
        <v>1648</v>
      </c>
      <c r="J5696" t="s" s="2">
        <v>9204</v>
      </c>
      <c r="K5696" s="6"/>
      <c r="L5696" s="6"/>
      <c r="M5696" s="6"/>
      <c r="N5696" s="6"/>
      <c r="O5696" t="s" s="2">
        <v>25</v>
      </c>
      <c r="P5696" s="6"/>
      <c r="Q5696" t="s" s="2">
        <v>9295</v>
      </c>
      <c r="R5696" t="s" s="2">
        <f>_xlfn.IFERROR(INDEX('model_byCAP'!$D$2:$D$377,MATCH(Q5696,'model_byCAP'!$A$2:$A$377,0)),0)</f>
        <v>8430</v>
      </c>
    </row>
    <row r="5697" ht="15.35" customHeight="1">
      <c r="A5697" t="s" s="2">
        <v>10178</v>
      </c>
      <c r="B5697" s="4">
        <v>42541</v>
      </c>
      <c r="C5697" s="5">
        <v>10</v>
      </c>
      <c r="D5697" s="5">
        <v>14</v>
      </c>
      <c r="E5697" s="5">
        <v>18</v>
      </c>
      <c r="F5697" t="s" s="2">
        <v>9209</v>
      </c>
      <c r="G5697" t="s" s="2">
        <v>9293</v>
      </c>
      <c r="H5697" s="5">
        <v>773</v>
      </c>
      <c r="I5697" t="s" s="2">
        <v>1648</v>
      </c>
      <c r="J5697" t="s" s="2">
        <v>9204</v>
      </c>
      <c r="K5697" s="6"/>
      <c r="L5697" s="6"/>
      <c r="M5697" s="6"/>
      <c r="N5697" s="6"/>
      <c r="O5697" t="s" s="2">
        <v>25</v>
      </c>
      <c r="P5697" s="6"/>
      <c r="Q5697" t="s" s="2">
        <v>9295</v>
      </c>
      <c r="R5697" t="s" s="2">
        <f>_xlfn.IFERROR(INDEX('model_byCAP'!$D$2:$D$377,MATCH(Q5697,'model_byCAP'!$A$2:$A$377,0)),0)</f>
        <v>8430</v>
      </c>
    </row>
    <row r="5698" ht="15.35" customHeight="1">
      <c r="A5698" t="s" s="2">
        <v>10179</v>
      </c>
      <c r="B5698" s="4">
        <v>42579</v>
      </c>
      <c r="C5698" s="5">
        <v>10</v>
      </c>
      <c r="D5698" s="5">
        <v>13</v>
      </c>
      <c r="E5698" s="5">
        <v>18.2</v>
      </c>
      <c r="F5698" t="s" s="2">
        <v>9471</v>
      </c>
      <c r="G5698" t="s" s="2">
        <v>9606</v>
      </c>
      <c r="H5698" s="5">
        <v>773</v>
      </c>
      <c r="I5698" t="s" s="2">
        <v>1648</v>
      </c>
      <c r="J5698" t="s" s="2">
        <v>9204</v>
      </c>
      <c r="K5698" s="6"/>
      <c r="L5698" s="6"/>
      <c r="M5698" s="6"/>
      <c r="N5698" s="6"/>
      <c r="O5698" t="s" s="2">
        <v>25</v>
      </c>
      <c r="P5698" s="6"/>
      <c r="Q5698" t="s" s="2">
        <v>9607</v>
      </c>
      <c r="R5698" s="5">
        <f>_xlfn.IFERROR(INDEX('model_byCAP'!$D$2:$D$377,MATCH(Q5698,'model_byCAP'!$A$2:$A$377,0)),0)</f>
        <v>0</v>
      </c>
    </row>
    <row r="5699" ht="15.35" customHeight="1">
      <c r="A5699" t="s" s="2">
        <v>10180</v>
      </c>
      <c r="B5699" s="4">
        <v>42606</v>
      </c>
      <c r="C5699" s="5">
        <v>10</v>
      </c>
      <c r="D5699" s="5">
        <v>13</v>
      </c>
      <c r="E5699" s="5">
        <v>18.2</v>
      </c>
      <c r="F5699" t="s" s="2">
        <v>9471</v>
      </c>
      <c r="G5699" t="s" s="2">
        <v>9606</v>
      </c>
      <c r="H5699" s="5">
        <v>773</v>
      </c>
      <c r="I5699" t="s" s="2">
        <v>1648</v>
      </c>
      <c r="J5699" t="s" s="2">
        <v>9204</v>
      </c>
      <c r="K5699" s="6"/>
      <c r="L5699" s="6"/>
      <c r="M5699" s="6"/>
      <c r="N5699" s="6"/>
      <c r="O5699" t="s" s="2">
        <v>25</v>
      </c>
      <c r="P5699" s="6"/>
      <c r="Q5699" t="s" s="2">
        <v>9607</v>
      </c>
      <c r="R5699" s="5">
        <f>_xlfn.IFERROR(INDEX('model_byCAP'!$D$2:$D$377,MATCH(Q5699,'model_byCAP'!$A$2:$A$377,0)),0)</f>
        <v>0</v>
      </c>
    </row>
    <row r="5700" ht="15.35" customHeight="1">
      <c r="A5700" t="s" s="2">
        <v>10181</v>
      </c>
      <c r="B5700" s="4">
        <v>42608</v>
      </c>
      <c r="C5700" s="5">
        <v>10</v>
      </c>
      <c r="D5700" s="5">
        <v>7.1</v>
      </c>
      <c r="E5700" s="5">
        <v>21.4</v>
      </c>
      <c r="F5700" t="s" s="2">
        <v>42</v>
      </c>
      <c r="G5700" t="s" s="2">
        <v>42</v>
      </c>
      <c r="H5700" s="5">
        <v>773</v>
      </c>
      <c r="I5700" t="s" s="2">
        <v>1648</v>
      </c>
      <c r="J5700" t="s" s="2">
        <v>9204</v>
      </c>
      <c r="K5700" s="6"/>
      <c r="L5700" s="6"/>
      <c r="M5700" s="6"/>
      <c r="N5700" s="6"/>
      <c r="O5700" t="s" s="2">
        <v>25</v>
      </c>
      <c r="P5700" s="6"/>
      <c r="Q5700" t="s" s="2">
        <v>43</v>
      </c>
      <c r="R5700" s="5">
        <f>_xlfn.IFERROR(INDEX('model_byCAP'!$D$2:$D$377,MATCH(Q5700,'model_byCAP'!$A$2:$A$377,0)),0)</f>
        <v>0</v>
      </c>
    </row>
    <row r="5701" ht="15.35" customHeight="1">
      <c r="A5701" t="s" s="2">
        <v>10182</v>
      </c>
      <c r="B5701" s="4">
        <v>42620</v>
      </c>
      <c r="C5701" s="5">
        <v>10</v>
      </c>
      <c r="D5701" s="5">
        <v>14</v>
      </c>
      <c r="E5701" s="5">
        <v>18</v>
      </c>
      <c r="F5701" t="s" s="2">
        <v>9209</v>
      </c>
      <c r="G5701" t="s" s="2">
        <v>9293</v>
      </c>
      <c r="H5701" s="5">
        <v>773</v>
      </c>
      <c r="I5701" t="s" s="2">
        <v>1648</v>
      </c>
      <c r="J5701" t="s" s="2">
        <v>9204</v>
      </c>
      <c r="K5701" s="6"/>
      <c r="L5701" s="6"/>
      <c r="M5701" s="6"/>
      <c r="N5701" s="6"/>
      <c r="O5701" t="s" s="2">
        <v>25</v>
      </c>
      <c r="P5701" s="6"/>
      <c r="Q5701" t="s" s="2">
        <v>9295</v>
      </c>
      <c r="R5701" t="s" s="2">
        <f>_xlfn.IFERROR(INDEX('model_byCAP'!$D$2:$D$377,MATCH(Q5701,'model_byCAP'!$A$2:$A$377,0)),0)</f>
        <v>8430</v>
      </c>
    </row>
    <row r="5702" ht="15.35" customHeight="1">
      <c r="A5702" t="s" s="2">
        <v>10183</v>
      </c>
      <c r="B5702" s="4">
        <v>42640</v>
      </c>
      <c r="C5702" s="5">
        <v>10</v>
      </c>
      <c r="D5702" s="5">
        <v>14</v>
      </c>
      <c r="E5702" s="5">
        <v>18</v>
      </c>
      <c r="F5702" t="s" s="2">
        <v>9209</v>
      </c>
      <c r="G5702" t="s" s="2">
        <v>9293</v>
      </c>
      <c r="H5702" s="5">
        <v>773</v>
      </c>
      <c r="I5702" t="s" s="2">
        <v>1648</v>
      </c>
      <c r="J5702" t="s" s="2">
        <v>9204</v>
      </c>
      <c r="K5702" s="6"/>
      <c r="L5702" s="6"/>
      <c r="M5702" s="6"/>
      <c r="N5702" s="6"/>
      <c r="O5702" t="s" s="2">
        <v>25</v>
      </c>
      <c r="P5702" s="6"/>
      <c r="Q5702" t="s" s="2">
        <v>9295</v>
      </c>
      <c r="R5702" t="s" s="2">
        <f>_xlfn.IFERROR(INDEX('model_byCAP'!$D$2:$D$377,MATCH(Q5702,'model_byCAP'!$A$2:$A$377,0)),0)</f>
        <v>8430</v>
      </c>
    </row>
    <row r="5703" ht="15.35" customHeight="1">
      <c r="A5703" t="s" s="2">
        <v>10184</v>
      </c>
      <c r="B5703" s="4">
        <v>42640</v>
      </c>
      <c r="C5703" s="5">
        <v>10</v>
      </c>
      <c r="D5703" s="5">
        <v>13</v>
      </c>
      <c r="E5703" s="5">
        <v>18.2</v>
      </c>
      <c r="F5703" t="s" s="2">
        <v>9471</v>
      </c>
      <c r="G5703" t="s" s="2">
        <v>9606</v>
      </c>
      <c r="H5703" s="5">
        <v>773</v>
      </c>
      <c r="I5703" t="s" s="2">
        <v>1648</v>
      </c>
      <c r="J5703" t="s" s="2">
        <v>9204</v>
      </c>
      <c r="K5703" s="6"/>
      <c r="L5703" s="6"/>
      <c r="M5703" s="6"/>
      <c r="N5703" s="6"/>
      <c r="O5703" t="s" s="2">
        <v>25</v>
      </c>
      <c r="P5703" s="6"/>
      <c r="Q5703" t="s" s="2">
        <v>9607</v>
      </c>
      <c r="R5703" s="5">
        <f>_xlfn.IFERROR(INDEX('model_byCAP'!$D$2:$D$377,MATCH(Q5703,'model_byCAP'!$A$2:$A$377,0)),0)</f>
        <v>0</v>
      </c>
    </row>
    <row r="5704" ht="15.35" customHeight="1">
      <c r="A5704" t="s" s="2">
        <v>10185</v>
      </c>
      <c r="B5704" s="4">
        <v>42656</v>
      </c>
      <c r="C5704" s="5">
        <v>10</v>
      </c>
      <c r="D5704" s="5">
        <v>14</v>
      </c>
      <c r="E5704" s="5">
        <v>18</v>
      </c>
      <c r="F5704" t="s" s="2">
        <v>9209</v>
      </c>
      <c r="G5704" t="s" s="2">
        <v>9293</v>
      </c>
      <c r="H5704" s="5">
        <v>773</v>
      </c>
      <c r="I5704" t="s" s="2">
        <v>1648</v>
      </c>
      <c r="J5704" t="s" s="2">
        <v>9204</v>
      </c>
      <c r="K5704" s="6"/>
      <c r="L5704" s="6"/>
      <c r="M5704" s="6"/>
      <c r="N5704" s="6"/>
      <c r="O5704" t="s" s="2">
        <v>25</v>
      </c>
      <c r="P5704" s="6"/>
      <c r="Q5704" t="s" s="2">
        <v>9295</v>
      </c>
      <c r="R5704" t="s" s="2">
        <f>_xlfn.IFERROR(INDEX('model_byCAP'!$D$2:$D$377,MATCH(Q5704,'model_byCAP'!$A$2:$A$377,0)),0)</f>
        <v>8430</v>
      </c>
    </row>
    <row r="5705" ht="15.35" customHeight="1">
      <c r="A5705" t="s" s="2">
        <v>10186</v>
      </c>
      <c r="B5705" s="4">
        <v>42682</v>
      </c>
      <c r="C5705" s="5">
        <v>10</v>
      </c>
      <c r="D5705" s="5">
        <v>14</v>
      </c>
      <c r="E5705" s="5">
        <v>18</v>
      </c>
      <c r="F5705" t="s" s="2">
        <v>9209</v>
      </c>
      <c r="G5705" t="s" s="2">
        <v>9293</v>
      </c>
      <c r="H5705" s="5">
        <v>773</v>
      </c>
      <c r="I5705" t="s" s="2">
        <v>1648</v>
      </c>
      <c r="J5705" t="s" s="2">
        <v>9204</v>
      </c>
      <c r="K5705" s="6"/>
      <c r="L5705" s="6"/>
      <c r="M5705" s="6"/>
      <c r="N5705" s="6"/>
      <c r="O5705" t="s" s="2">
        <v>25</v>
      </c>
      <c r="P5705" s="6"/>
      <c r="Q5705" t="s" s="2">
        <v>9295</v>
      </c>
      <c r="R5705" t="s" s="2">
        <f>_xlfn.IFERROR(INDEX('model_byCAP'!$D$2:$D$377,MATCH(Q5705,'model_byCAP'!$A$2:$A$377,0)),0)</f>
        <v>8430</v>
      </c>
    </row>
    <row r="5706" ht="15.35" customHeight="1">
      <c r="A5706" t="s" s="2">
        <v>10187</v>
      </c>
      <c r="B5706" s="4">
        <v>42681</v>
      </c>
      <c r="C5706" s="5">
        <v>10</v>
      </c>
      <c r="D5706" s="5">
        <v>14</v>
      </c>
      <c r="E5706" s="5">
        <v>18</v>
      </c>
      <c r="F5706" t="s" s="2">
        <v>9209</v>
      </c>
      <c r="G5706" t="s" s="2">
        <v>9293</v>
      </c>
      <c r="H5706" s="5">
        <v>773</v>
      </c>
      <c r="I5706" t="s" s="2">
        <v>1648</v>
      </c>
      <c r="J5706" t="s" s="2">
        <v>9204</v>
      </c>
      <c r="K5706" s="6"/>
      <c r="L5706" s="6"/>
      <c r="M5706" s="6"/>
      <c r="N5706" s="6"/>
      <c r="O5706" t="s" s="2">
        <v>25</v>
      </c>
      <c r="P5706" s="6"/>
      <c r="Q5706" t="s" s="2">
        <v>9295</v>
      </c>
      <c r="R5706" t="s" s="2">
        <f>_xlfn.IFERROR(INDEX('model_byCAP'!$D$2:$D$377,MATCH(Q5706,'model_byCAP'!$A$2:$A$377,0)),0)</f>
        <v>8430</v>
      </c>
    </row>
    <row r="5707" ht="15.35" customHeight="1">
      <c r="A5707" t="s" s="2">
        <v>10188</v>
      </c>
      <c r="B5707" s="4">
        <v>42695</v>
      </c>
      <c r="C5707" s="5">
        <v>10</v>
      </c>
      <c r="D5707" s="5">
        <v>14</v>
      </c>
      <c r="E5707" s="5">
        <v>18</v>
      </c>
      <c r="F5707" t="s" s="2">
        <v>9209</v>
      </c>
      <c r="G5707" t="s" s="2">
        <v>9293</v>
      </c>
      <c r="H5707" s="5">
        <v>773</v>
      </c>
      <c r="I5707" t="s" s="2">
        <v>1648</v>
      </c>
      <c r="J5707" t="s" s="2">
        <v>9204</v>
      </c>
      <c r="K5707" s="6"/>
      <c r="L5707" s="6"/>
      <c r="M5707" s="6"/>
      <c r="N5707" s="6"/>
      <c r="O5707" t="s" s="2">
        <v>25</v>
      </c>
      <c r="P5707" s="6"/>
      <c r="Q5707" t="s" s="2">
        <v>9295</v>
      </c>
      <c r="R5707" t="s" s="2">
        <f>_xlfn.IFERROR(INDEX('model_byCAP'!$D$2:$D$377,MATCH(Q5707,'model_byCAP'!$A$2:$A$377,0)),0)</f>
        <v>8430</v>
      </c>
    </row>
    <row r="5708" ht="15.35" customHeight="1">
      <c r="A5708" t="s" s="2">
        <v>10189</v>
      </c>
      <c r="B5708" s="4">
        <v>42702</v>
      </c>
      <c r="C5708" s="5">
        <v>10</v>
      </c>
      <c r="D5708" s="5">
        <v>14</v>
      </c>
      <c r="E5708" s="5">
        <v>18</v>
      </c>
      <c r="F5708" t="s" s="2">
        <v>9209</v>
      </c>
      <c r="G5708" t="s" s="2">
        <v>9293</v>
      </c>
      <c r="H5708" s="5">
        <v>773</v>
      </c>
      <c r="I5708" t="s" s="2">
        <v>1648</v>
      </c>
      <c r="J5708" t="s" s="2">
        <v>9204</v>
      </c>
      <c r="K5708" s="6"/>
      <c r="L5708" s="6"/>
      <c r="M5708" s="6"/>
      <c r="N5708" s="6"/>
      <c r="O5708" t="s" s="2">
        <v>25</v>
      </c>
      <c r="P5708" s="6"/>
      <c r="Q5708" t="s" s="2">
        <v>9295</v>
      </c>
      <c r="R5708" t="s" s="2">
        <f>_xlfn.IFERROR(INDEX('model_byCAP'!$D$2:$D$377,MATCH(Q5708,'model_byCAP'!$A$2:$A$377,0)),0)</f>
        <v>8430</v>
      </c>
    </row>
    <row r="5709" ht="15.35" customHeight="1">
      <c r="A5709" t="s" s="2">
        <v>10190</v>
      </c>
      <c r="B5709" s="4">
        <v>42712</v>
      </c>
      <c r="C5709" s="5">
        <v>10</v>
      </c>
      <c r="D5709" s="5">
        <v>14</v>
      </c>
      <c r="E5709" s="5">
        <v>18</v>
      </c>
      <c r="F5709" t="s" s="2">
        <v>9209</v>
      </c>
      <c r="G5709" t="s" s="2">
        <v>9293</v>
      </c>
      <c r="H5709" s="5">
        <v>773</v>
      </c>
      <c r="I5709" t="s" s="2">
        <v>1648</v>
      </c>
      <c r="J5709" t="s" s="2">
        <v>9204</v>
      </c>
      <c r="K5709" s="6"/>
      <c r="L5709" s="6"/>
      <c r="M5709" s="6"/>
      <c r="N5709" s="6"/>
      <c r="O5709" t="s" s="2">
        <v>25</v>
      </c>
      <c r="P5709" s="6"/>
      <c r="Q5709" t="s" s="2">
        <v>9295</v>
      </c>
      <c r="R5709" t="s" s="2">
        <f>_xlfn.IFERROR(INDEX('model_byCAP'!$D$2:$D$377,MATCH(Q5709,'model_byCAP'!$A$2:$A$377,0)),0)</f>
        <v>8430</v>
      </c>
    </row>
    <row r="5710" ht="15.35" customHeight="1">
      <c r="A5710" t="s" s="2">
        <v>10191</v>
      </c>
      <c r="B5710" s="4">
        <v>42702</v>
      </c>
      <c r="C5710" s="5">
        <v>10</v>
      </c>
      <c r="D5710" s="5">
        <v>14</v>
      </c>
      <c r="E5710" s="5">
        <v>18</v>
      </c>
      <c r="F5710" t="s" s="2">
        <v>9209</v>
      </c>
      <c r="G5710" t="s" s="2">
        <v>9293</v>
      </c>
      <c r="H5710" s="5">
        <v>773</v>
      </c>
      <c r="I5710" t="s" s="2">
        <v>1648</v>
      </c>
      <c r="J5710" t="s" s="2">
        <v>9204</v>
      </c>
      <c r="K5710" s="6"/>
      <c r="L5710" s="6"/>
      <c r="M5710" s="6"/>
      <c r="N5710" s="6"/>
      <c r="O5710" t="s" s="2">
        <v>25</v>
      </c>
      <c r="P5710" s="6"/>
      <c r="Q5710" t="s" s="2">
        <v>9295</v>
      </c>
      <c r="R5710" t="s" s="2">
        <f>_xlfn.IFERROR(INDEX('model_byCAP'!$D$2:$D$377,MATCH(Q5710,'model_byCAP'!$A$2:$A$377,0)),0)</f>
        <v>8430</v>
      </c>
    </row>
    <row r="5711" ht="15.35" customHeight="1">
      <c r="A5711" t="s" s="2">
        <v>10192</v>
      </c>
      <c r="B5711" s="4">
        <v>42710</v>
      </c>
      <c r="C5711" s="5">
        <v>10</v>
      </c>
      <c r="D5711" s="5">
        <v>14</v>
      </c>
      <c r="E5711" s="5">
        <v>18.9</v>
      </c>
      <c r="F5711" t="s" s="2">
        <v>9209</v>
      </c>
      <c r="G5711" t="s" s="2">
        <v>9293</v>
      </c>
      <c r="H5711" s="5">
        <v>773</v>
      </c>
      <c r="I5711" t="s" s="2">
        <v>1648</v>
      </c>
      <c r="J5711" t="s" s="2">
        <v>9204</v>
      </c>
      <c r="K5711" s="6"/>
      <c r="L5711" s="6"/>
      <c r="M5711" s="6"/>
      <c r="N5711" s="6"/>
      <c r="O5711" t="s" s="2">
        <v>25</v>
      </c>
      <c r="P5711" s="6"/>
      <c r="Q5711" t="s" s="2">
        <v>9295</v>
      </c>
      <c r="R5711" t="s" s="2">
        <f>_xlfn.IFERROR(INDEX('model_byCAP'!$D$2:$D$377,MATCH(Q5711,'model_byCAP'!$A$2:$A$377,0)),0)</f>
        <v>8430</v>
      </c>
    </row>
    <row r="5712" ht="15.35" customHeight="1">
      <c r="A5712" t="s" s="2">
        <v>10193</v>
      </c>
      <c r="B5712" s="4">
        <v>42725</v>
      </c>
      <c r="C5712" s="5">
        <v>10</v>
      </c>
      <c r="D5712" s="5">
        <v>14</v>
      </c>
      <c r="E5712" s="5">
        <v>18</v>
      </c>
      <c r="F5712" t="s" s="2">
        <v>9209</v>
      </c>
      <c r="G5712" t="s" s="2">
        <v>9293</v>
      </c>
      <c r="H5712" s="5">
        <v>773</v>
      </c>
      <c r="I5712" t="s" s="2">
        <v>1648</v>
      </c>
      <c r="J5712" t="s" s="2">
        <v>9204</v>
      </c>
      <c r="K5712" s="6"/>
      <c r="L5712" s="6"/>
      <c r="M5712" s="6"/>
      <c r="N5712" s="6"/>
      <c r="O5712" t="s" s="2">
        <v>25</v>
      </c>
      <c r="P5712" s="6"/>
      <c r="Q5712" t="s" s="2">
        <v>9295</v>
      </c>
      <c r="R5712" t="s" s="2">
        <f>_xlfn.IFERROR(INDEX('model_byCAP'!$D$2:$D$377,MATCH(Q5712,'model_byCAP'!$A$2:$A$377,0)),0)</f>
        <v>8430</v>
      </c>
    </row>
    <row r="5713" ht="15.35" customHeight="1">
      <c r="A5713" t="s" s="2">
        <v>10194</v>
      </c>
      <c r="B5713" s="4">
        <v>42733</v>
      </c>
      <c r="C5713" s="5">
        <v>10</v>
      </c>
      <c r="D5713" s="5">
        <v>13</v>
      </c>
      <c r="E5713" s="5">
        <v>18.3</v>
      </c>
      <c r="F5713" t="s" s="2">
        <v>9471</v>
      </c>
      <c r="G5713" t="s" s="2">
        <v>9606</v>
      </c>
      <c r="H5713" s="5">
        <v>773</v>
      </c>
      <c r="I5713" t="s" s="2">
        <v>1648</v>
      </c>
      <c r="J5713" t="s" s="2">
        <v>9204</v>
      </c>
      <c r="K5713" s="6"/>
      <c r="L5713" s="6"/>
      <c r="M5713" s="6"/>
      <c r="N5713" s="6"/>
      <c r="O5713" t="s" s="2">
        <v>25</v>
      </c>
      <c r="P5713" s="6"/>
      <c r="Q5713" t="s" s="2">
        <v>9607</v>
      </c>
      <c r="R5713" s="5">
        <f>_xlfn.IFERROR(INDEX('model_byCAP'!$D$2:$D$377,MATCH(Q5713,'model_byCAP'!$A$2:$A$377,0)),0)</f>
        <v>0</v>
      </c>
    </row>
    <row r="5714" ht="15.35" customHeight="1">
      <c r="A5714" t="s" s="2">
        <v>10195</v>
      </c>
      <c r="B5714" s="4">
        <v>42774</v>
      </c>
      <c r="C5714" s="5">
        <v>10</v>
      </c>
      <c r="D5714" s="5">
        <v>13</v>
      </c>
      <c r="E5714" s="5">
        <v>18.2</v>
      </c>
      <c r="F5714" t="s" s="2">
        <v>9471</v>
      </c>
      <c r="G5714" t="s" s="2">
        <v>9606</v>
      </c>
      <c r="H5714" s="5">
        <v>773</v>
      </c>
      <c r="I5714" t="s" s="2">
        <v>1648</v>
      </c>
      <c r="J5714" t="s" s="2">
        <v>9204</v>
      </c>
      <c r="K5714" s="6"/>
      <c r="L5714" s="6"/>
      <c r="M5714" s="6"/>
      <c r="N5714" s="6"/>
      <c r="O5714" t="s" s="2">
        <v>25</v>
      </c>
      <c r="P5714" s="6"/>
      <c r="Q5714" t="s" s="2">
        <v>9607</v>
      </c>
      <c r="R5714" s="5">
        <f>_xlfn.IFERROR(INDEX('model_byCAP'!$D$2:$D$377,MATCH(Q5714,'model_byCAP'!$A$2:$A$377,0)),0)</f>
        <v>0</v>
      </c>
    </row>
    <row r="5715" ht="15.35" customHeight="1">
      <c r="A5715" t="s" s="2">
        <v>10196</v>
      </c>
      <c r="B5715" s="4">
        <v>42774</v>
      </c>
      <c r="C5715" s="5">
        <v>10</v>
      </c>
      <c r="D5715" s="5">
        <v>7.1</v>
      </c>
      <c r="E5715" s="5">
        <v>21.4</v>
      </c>
      <c r="F5715" t="s" s="2">
        <v>42</v>
      </c>
      <c r="G5715" t="s" s="2">
        <v>42</v>
      </c>
      <c r="H5715" s="5">
        <v>773</v>
      </c>
      <c r="I5715" t="s" s="2">
        <v>1648</v>
      </c>
      <c r="J5715" t="s" s="2">
        <v>9204</v>
      </c>
      <c r="K5715" s="6"/>
      <c r="L5715" s="6"/>
      <c r="M5715" s="6"/>
      <c r="N5715" s="6"/>
      <c r="O5715" t="s" s="2">
        <v>25</v>
      </c>
      <c r="P5715" s="6"/>
      <c r="Q5715" t="s" s="2">
        <v>43</v>
      </c>
      <c r="R5715" s="5">
        <f>_xlfn.IFERROR(INDEX('model_byCAP'!$D$2:$D$377,MATCH(Q5715,'model_byCAP'!$A$2:$A$377,0)),0)</f>
        <v>0</v>
      </c>
    </row>
    <row r="5716" ht="15.35" customHeight="1">
      <c r="A5716" t="s" s="2">
        <v>10197</v>
      </c>
      <c r="B5716" s="4">
        <v>42800</v>
      </c>
      <c r="C5716" s="5">
        <v>10</v>
      </c>
      <c r="D5716" s="5">
        <v>7.1</v>
      </c>
      <c r="E5716" s="5">
        <v>21.4</v>
      </c>
      <c r="F5716" t="s" s="2">
        <v>42</v>
      </c>
      <c r="G5716" t="s" s="2">
        <v>42</v>
      </c>
      <c r="H5716" s="5">
        <v>773</v>
      </c>
      <c r="I5716" t="s" s="2">
        <v>1648</v>
      </c>
      <c r="J5716" t="s" s="2">
        <v>9204</v>
      </c>
      <c r="K5716" s="6"/>
      <c r="L5716" s="6"/>
      <c r="M5716" s="6"/>
      <c r="N5716" s="6"/>
      <c r="O5716" t="s" s="2">
        <v>25</v>
      </c>
      <c r="P5716" s="6"/>
      <c r="Q5716" t="s" s="2">
        <v>43</v>
      </c>
      <c r="R5716" s="5">
        <f>_xlfn.IFERROR(INDEX('model_byCAP'!$D$2:$D$377,MATCH(Q5716,'model_byCAP'!$A$2:$A$377,0)),0)</f>
        <v>0</v>
      </c>
    </row>
    <row r="5717" ht="15.35" customHeight="1">
      <c r="A5717" t="s" s="2">
        <v>10198</v>
      </c>
      <c r="B5717" s="4">
        <v>42965</v>
      </c>
      <c r="C5717" s="5">
        <v>10</v>
      </c>
      <c r="D5717" s="5">
        <v>7.1</v>
      </c>
      <c r="E5717" s="5">
        <v>21.4</v>
      </c>
      <c r="F5717" t="s" s="2">
        <v>42</v>
      </c>
      <c r="G5717" t="s" s="2">
        <v>42</v>
      </c>
      <c r="H5717" s="5">
        <v>773</v>
      </c>
      <c r="I5717" t="s" s="2">
        <v>1648</v>
      </c>
      <c r="J5717" t="s" s="2">
        <v>9204</v>
      </c>
      <c r="K5717" s="6"/>
      <c r="L5717" s="6"/>
      <c r="M5717" s="6"/>
      <c r="N5717" s="6"/>
      <c r="O5717" t="s" s="2">
        <v>25</v>
      </c>
      <c r="P5717" s="6"/>
      <c r="Q5717" t="s" s="2">
        <v>43</v>
      </c>
      <c r="R5717" s="5">
        <f>_xlfn.IFERROR(INDEX('model_byCAP'!$D$2:$D$377,MATCH(Q5717,'model_byCAP'!$A$2:$A$377,0)),0)</f>
        <v>0</v>
      </c>
    </row>
    <row r="5718" ht="15.35" customHeight="1">
      <c r="A5718" t="s" s="2">
        <v>10199</v>
      </c>
      <c r="B5718" s="4">
        <v>42986</v>
      </c>
      <c r="C5718" s="5">
        <v>10</v>
      </c>
      <c r="D5718" s="5">
        <v>13</v>
      </c>
      <c r="E5718" s="5">
        <v>18.3</v>
      </c>
      <c r="F5718" t="s" s="2">
        <v>9471</v>
      </c>
      <c r="G5718" t="s" s="2">
        <v>10200</v>
      </c>
      <c r="H5718" s="5">
        <v>773</v>
      </c>
      <c r="I5718" t="s" s="2">
        <v>1648</v>
      </c>
      <c r="J5718" t="s" s="2">
        <v>9204</v>
      </c>
      <c r="K5718" s="6"/>
      <c r="L5718" s="6"/>
      <c r="M5718" s="6"/>
      <c r="N5718" s="6"/>
      <c r="O5718" t="s" s="2">
        <v>25</v>
      </c>
      <c r="P5718" s="6"/>
      <c r="Q5718" t="s" s="2">
        <v>10201</v>
      </c>
      <c r="R5718" s="5">
        <f>_xlfn.IFERROR(INDEX('model_byCAP'!$D$2:$D$377,MATCH(Q5718,'model_byCAP'!$A$2:$A$377,0)),0)</f>
        <v>0</v>
      </c>
    </row>
    <row r="5719" ht="15.35" customHeight="1">
      <c r="A5719" t="s" s="2">
        <v>10202</v>
      </c>
      <c r="B5719" s="4">
        <v>43088</v>
      </c>
      <c r="C5719" s="5">
        <v>10</v>
      </c>
      <c r="D5719" s="5">
        <v>9.300000000000001</v>
      </c>
      <c r="E5719" s="5">
        <v>20.3</v>
      </c>
      <c r="F5719" t="s" s="2">
        <v>9599</v>
      </c>
      <c r="G5719" t="s" s="2">
        <v>9787</v>
      </c>
      <c r="H5719" s="5">
        <v>773</v>
      </c>
      <c r="I5719" t="s" s="2">
        <v>1648</v>
      </c>
      <c r="J5719" t="s" s="2">
        <v>9204</v>
      </c>
      <c r="K5719" s="6"/>
      <c r="L5719" s="6"/>
      <c r="M5719" s="6"/>
      <c r="N5719" s="6"/>
      <c r="O5719" t="s" s="2">
        <v>25</v>
      </c>
      <c r="P5719" s="6"/>
      <c r="Q5719" t="s" s="2">
        <v>9788</v>
      </c>
      <c r="R5719" s="5">
        <f>_xlfn.IFERROR(INDEX('model_byCAP'!$D$2:$D$377,MATCH(Q5719,'model_byCAP'!$A$2:$A$377,0)),0)</f>
        <v>0</v>
      </c>
    </row>
    <row r="5720" ht="15.35" customHeight="1">
      <c r="A5720" t="s" s="2">
        <v>10203</v>
      </c>
      <c r="B5720" s="4">
        <v>43090</v>
      </c>
      <c r="C5720" s="5">
        <v>10</v>
      </c>
      <c r="D5720" s="5">
        <v>7.1</v>
      </c>
      <c r="E5720" s="5">
        <v>21</v>
      </c>
      <c r="F5720" t="s" s="2">
        <v>9599</v>
      </c>
      <c r="G5720" t="s" s="2">
        <v>9787</v>
      </c>
      <c r="H5720" s="5">
        <v>773</v>
      </c>
      <c r="I5720" t="s" s="2">
        <v>1648</v>
      </c>
      <c r="J5720" t="s" s="2">
        <v>9204</v>
      </c>
      <c r="K5720" s="6"/>
      <c r="L5720" s="6"/>
      <c r="M5720" s="6"/>
      <c r="N5720" s="6"/>
      <c r="O5720" t="s" s="2">
        <v>25</v>
      </c>
      <c r="P5720" s="6"/>
      <c r="Q5720" t="s" s="2">
        <v>9788</v>
      </c>
      <c r="R5720" s="5">
        <f>_xlfn.IFERROR(INDEX('model_byCAP'!$D$2:$D$377,MATCH(Q5720,'model_byCAP'!$A$2:$A$377,0)),0)</f>
        <v>0</v>
      </c>
    </row>
    <row r="5721" ht="15.35" customHeight="1">
      <c r="A5721" t="s" s="2">
        <v>10204</v>
      </c>
      <c r="B5721" s="4">
        <v>43370</v>
      </c>
      <c r="C5721" s="5">
        <v>10</v>
      </c>
      <c r="D5721" s="5">
        <v>9.300000000000001</v>
      </c>
      <c r="E5721" s="5">
        <v>20.3</v>
      </c>
      <c r="F5721" t="s" s="2">
        <v>9599</v>
      </c>
      <c r="G5721" t="s" s="2">
        <v>9600</v>
      </c>
      <c r="H5721" s="5">
        <v>773</v>
      </c>
      <c r="I5721" t="s" s="2">
        <v>1648</v>
      </c>
      <c r="J5721" t="s" s="2">
        <v>9204</v>
      </c>
      <c r="K5721" s="6"/>
      <c r="L5721" s="6"/>
      <c r="M5721" s="6"/>
      <c r="N5721" s="6"/>
      <c r="O5721" t="s" s="2">
        <v>25</v>
      </c>
      <c r="P5721" s="6"/>
      <c r="Q5721" t="s" s="2">
        <v>9601</v>
      </c>
      <c r="R5721" s="5">
        <f>_xlfn.IFERROR(INDEX('model_byCAP'!$D$2:$D$377,MATCH(Q5721,'model_byCAP'!$A$2:$A$377,0)),0)</f>
        <v>0</v>
      </c>
    </row>
    <row r="5722" ht="15.35" customHeight="1">
      <c r="A5722" t="s" s="2">
        <v>10205</v>
      </c>
      <c r="B5722" s="4">
        <v>41788</v>
      </c>
      <c r="C5722" s="5">
        <v>10</v>
      </c>
      <c r="D5722" s="5">
        <v>7.1</v>
      </c>
      <c r="E5722" s="5">
        <v>21</v>
      </c>
      <c r="F5722" t="s" s="2">
        <v>42</v>
      </c>
      <c r="G5722" t="s" s="2">
        <v>42</v>
      </c>
      <c r="H5722" s="5">
        <v>779</v>
      </c>
      <c r="I5722" t="s" s="2">
        <v>1308</v>
      </c>
      <c r="J5722" t="s" s="2">
        <v>9204</v>
      </c>
      <c r="K5722" s="6"/>
      <c r="L5722" s="6"/>
      <c r="M5722" s="5">
        <v>502033.31</v>
      </c>
      <c r="N5722" s="5">
        <v>6288473.92</v>
      </c>
      <c r="O5722" t="s" s="2">
        <v>305</v>
      </c>
      <c r="P5722" s="6"/>
      <c r="Q5722" t="s" s="2">
        <v>43</v>
      </c>
      <c r="R5722" s="5">
        <f>_xlfn.IFERROR(INDEX('model_byCAP'!$D$2:$D$377,MATCH(Q5722,'model_byCAP'!$A$2:$A$377,0)),0)</f>
        <v>0</v>
      </c>
    </row>
    <row r="5723" ht="15.35" customHeight="1">
      <c r="A5723" t="s" s="2">
        <v>10206</v>
      </c>
      <c r="B5723" s="4">
        <v>42265</v>
      </c>
      <c r="C5723" s="5">
        <v>10</v>
      </c>
      <c r="D5723" s="5">
        <v>7.1</v>
      </c>
      <c r="E5723" s="5">
        <v>21.4</v>
      </c>
      <c r="F5723" t="s" s="2">
        <v>42</v>
      </c>
      <c r="G5723" t="s" s="2">
        <v>42</v>
      </c>
      <c r="H5723" s="5">
        <v>779</v>
      </c>
      <c r="I5723" t="s" s="2">
        <v>1308</v>
      </c>
      <c r="J5723" t="s" s="2">
        <v>9204</v>
      </c>
      <c r="K5723" s="6"/>
      <c r="L5723" s="6"/>
      <c r="M5723" s="5">
        <v>507831.91</v>
      </c>
      <c r="N5723" s="5">
        <v>6284825.55</v>
      </c>
      <c r="O5723" t="s" s="2">
        <v>305</v>
      </c>
      <c r="P5723" s="6"/>
      <c r="Q5723" t="s" s="2">
        <v>43</v>
      </c>
      <c r="R5723" s="5">
        <f>_xlfn.IFERROR(INDEX('model_byCAP'!$D$2:$D$377,MATCH(Q5723,'model_byCAP'!$A$2:$A$377,0)),0)</f>
        <v>0</v>
      </c>
    </row>
    <row r="5724" ht="15.35" customHeight="1">
      <c r="A5724" t="s" s="2">
        <v>10207</v>
      </c>
      <c r="B5724" s="4">
        <v>42242</v>
      </c>
      <c r="C5724" s="5">
        <v>10</v>
      </c>
      <c r="D5724" s="5">
        <v>7.1</v>
      </c>
      <c r="E5724" s="5">
        <v>21</v>
      </c>
      <c r="F5724" t="s" s="2">
        <v>42</v>
      </c>
      <c r="G5724" t="s" s="2">
        <v>42</v>
      </c>
      <c r="H5724" s="5">
        <v>779</v>
      </c>
      <c r="I5724" t="s" s="2">
        <v>1308</v>
      </c>
      <c r="J5724" t="s" s="2">
        <v>9204</v>
      </c>
      <c r="K5724" s="6"/>
      <c r="L5724" s="6"/>
      <c r="M5724" s="5">
        <v>511805.46</v>
      </c>
      <c r="N5724" s="5">
        <v>6271045.67</v>
      </c>
      <c r="O5724" t="s" s="2">
        <v>305</v>
      </c>
      <c r="P5724" s="6"/>
      <c r="Q5724" t="s" s="2">
        <v>43</v>
      </c>
      <c r="R5724" s="5">
        <f>_xlfn.IFERROR(INDEX('model_byCAP'!$D$2:$D$377,MATCH(Q5724,'model_byCAP'!$A$2:$A$377,0)),0)</f>
        <v>0</v>
      </c>
    </row>
    <row r="5725" ht="15.35" customHeight="1">
      <c r="A5725" t="s" s="2">
        <v>10208</v>
      </c>
      <c r="B5725" s="4">
        <v>42223</v>
      </c>
      <c r="C5725" s="5">
        <v>10</v>
      </c>
      <c r="D5725" s="5">
        <v>7.1</v>
      </c>
      <c r="E5725" s="5">
        <v>21</v>
      </c>
      <c r="F5725" t="s" s="2">
        <v>42</v>
      </c>
      <c r="G5725" t="s" s="2">
        <v>42</v>
      </c>
      <c r="H5725" s="5">
        <v>779</v>
      </c>
      <c r="I5725" t="s" s="2">
        <v>1308</v>
      </c>
      <c r="J5725" t="s" s="2">
        <v>9204</v>
      </c>
      <c r="K5725" s="6"/>
      <c r="L5725" s="6"/>
      <c r="M5725" s="5">
        <v>493571.04</v>
      </c>
      <c r="N5725" s="5">
        <v>6289907.53</v>
      </c>
      <c r="O5725" t="s" s="2">
        <v>305</v>
      </c>
      <c r="P5725" s="6"/>
      <c r="Q5725" t="s" s="2">
        <v>43</v>
      </c>
      <c r="R5725" s="5">
        <f>_xlfn.IFERROR(INDEX('model_byCAP'!$D$2:$D$377,MATCH(Q5725,'model_byCAP'!$A$2:$A$377,0)),0)</f>
        <v>0</v>
      </c>
    </row>
    <row r="5726" ht="15.35" customHeight="1">
      <c r="A5726" t="s" s="2">
        <v>10209</v>
      </c>
      <c r="B5726" s="4">
        <v>42254</v>
      </c>
      <c r="C5726" s="5">
        <v>10</v>
      </c>
      <c r="D5726" s="5">
        <v>13</v>
      </c>
      <c r="E5726" s="5">
        <v>18.2</v>
      </c>
      <c r="F5726" t="s" s="2">
        <v>9471</v>
      </c>
      <c r="G5726" t="s" s="2">
        <v>9606</v>
      </c>
      <c r="H5726" s="5">
        <v>779</v>
      </c>
      <c r="I5726" t="s" s="2">
        <v>1308</v>
      </c>
      <c r="J5726" t="s" s="2">
        <v>9204</v>
      </c>
      <c r="K5726" s="6"/>
      <c r="L5726" s="6"/>
      <c r="M5726" s="5">
        <v>502073.38</v>
      </c>
      <c r="N5726" s="5">
        <v>6287105.48</v>
      </c>
      <c r="O5726" t="s" s="2">
        <v>305</v>
      </c>
      <c r="P5726" s="6"/>
      <c r="Q5726" t="s" s="2">
        <v>9607</v>
      </c>
      <c r="R5726" s="5">
        <f>_xlfn.IFERROR(INDEX('model_byCAP'!$D$2:$D$377,MATCH(Q5726,'model_byCAP'!$A$2:$A$377,0)),0)</f>
        <v>0</v>
      </c>
    </row>
    <row r="5727" ht="15.35" customHeight="1">
      <c r="A5727" t="s" s="2">
        <v>10210</v>
      </c>
      <c r="B5727" s="4">
        <v>42401</v>
      </c>
      <c r="C5727" s="5">
        <v>10</v>
      </c>
      <c r="D5727" s="5">
        <v>14</v>
      </c>
      <c r="E5727" s="5">
        <v>18</v>
      </c>
      <c r="F5727" t="s" s="2">
        <v>9209</v>
      </c>
      <c r="G5727" t="s" s="2">
        <v>9293</v>
      </c>
      <c r="H5727" s="5">
        <v>779</v>
      </c>
      <c r="I5727" t="s" s="2">
        <v>1308</v>
      </c>
      <c r="J5727" t="s" s="2">
        <v>9204</v>
      </c>
      <c r="K5727" s="6"/>
      <c r="L5727" s="6"/>
      <c r="M5727" s="5">
        <v>496866.36</v>
      </c>
      <c r="N5727" s="5">
        <v>6282125.94</v>
      </c>
      <c r="O5727" t="s" s="2">
        <v>305</v>
      </c>
      <c r="P5727" s="6"/>
      <c r="Q5727" t="s" s="2">
        <v>9295</v>
      </c>
      <c r="R5727" t="s" s="2">
        <f>_xlfn.IFERROR(INDEX('model_byCAP'!$D$2:$D$377,MATCH(Q5727,'model_byCAP'!$A$2:$A$377,0)),0)</f>
        <v>8430</v>
      </c>
    </row>
    <row r="5728" ht="15.35" customHeight="1">
      <c r="A5728" t="s" s="2">
        <v>10211</v>
      </c>
      <c r="B5728" s="4">
        <v>42258</v>
      </c>
      <c r="C5728" s="5">
        <v>10</v>
      </c>
      <c r="D5728" s="5">
        <v>14</v>
      </c>
      <c r="E5728" s="5">
        <v>18</v>
      </c>
      <c r="F5728" t="s" s="2">
        <v>9209</v>
      </c>
      <c r="G5728" t="s" s="2">
        <v>9293</v>
      </c>
      <c r="H5728" s="5">
        <v>779</v>
      </c>
      <c r="I5728" t="s" s="2">
        <v>1308</v>
      </c>
      <c r="J5728" t="s" s="2">
        <v>9204</v>
      </c>
      <c r="K5728" s="6"/>
      <c r="L5728" s="6"/>
      <c r="M5728" s="5">
        <v>508128.67</v>
      </c>
      <c r="N5728" s="5">
        <v>6284841.51</v>
      </c>
      <c r="O5728" t="s" s="2">
        <v>305</v>
      </c>
      <c r="P5728" s="6"/>
      <c r="Q5728" t="s" s="2">
        <v>9295</v>
      </c>
      <c r="R5728" t="s" s="2">
        <f>_xlfn.IFERROR(INDEX('model_byCAP'!$D$2:$D$377,MATCH(Q5728,'model_byCAP'!$A$2:$A$377,0)),0)</f>
        <v>8430</v>
      </c>
    </row>
    <row r="5729" ht="15.35" customHeight="1">
      <c r="A5729" t="s" s="2">
        <v>10212</v>
      </c>
      <c r="B5729" s="4">
        <v>42303</v>
      </c>
      <c r="C5729" s="5">
        <v>10</v>
      </c>
      <c r="D5729" s="5">
        <v>14</v>
      </c>
      <c r="E5729" s="5">
        <v>18</v>
      </c>
      <c r="F5729" t="s" s="2">
        <v>9209</v>
      </c>
      <c r="G5729" t="s" s="2">
        <v>9293</v>
      </c>
      <c r="H5729" s="5">
        <v>779</v>
      </c>
      <c r="I5729" t="s" s="2">
        <v>1308</v>
      </c>
      <c r="J5729" t="s" s="2">
        <v>9204</v>
      </c>
      <c r="K5729" s="6"/>
      <c r="L5729" s="6"/>
      <c r="M5729" s="5">
        <v>498435.85</v>
      </c>
      <c r="N5729" s="5">
        <v>6280139.06</v>
      </c>
      <c r="O5729" t="s" s="2">
        <v>305</v>
      </c>
      <c r="P5729" s="6"/>
      <c r="Q5729" t="s" s="2">
        <v>9295</v>
      </c>
      <c r="R5729" t="s" s="2">
        <f>_xlfn.IFERROR(INDEX('model_byCAP'!$D$2:$D$377,MATCH(Q5729,'model_byCAP'!$A$2:$A$377,0)),0)</f>
        <v>8430</v>
      </c>
    </row>
    <row r="5730" ht="15.35" customHeight="1">
      <c r="A5730" t="s" s="2">
        <v>10213</v>
      </c>
      <c r="B5730" s="4">
        <v>42285</v>
      </c>
      <c r="C5730" s="5">
        <v>10</v>
      </c>
      <c r="D5730" s="5">
        <v>14</v>
      </c>
      <c r="E5730" s="5">
        <v>18</v>
      </c>
      <c r="F5730" t="s" s="2">
        <v>9209</v>
      </c>
      <c r="G5730" t="s" s="2">
        <v>9293</v>
      </c>
      <c r="H5730" s="5">
        <v>779</v>
      </c>
      <c r="I5730" t="s" s="2">
        <v>1308</v>
      </c>
      <c r="J5730" t="s" s="2">
        <v>9204</v>
      </c>
      <c r="K5730" s="6"/>
      <c r="L5730" s="6"/>
      <c r="M5730" s="5">
        <v>502464.15</v>
      </c>
      <c r="N5730" s="5">
        <v>6284435.66</v>
      </c>
      <c r="O5730" t="s" s="2">
        <v>305</v>
      </c>
      <c r="P5730" s="6"/>
      <c r="Q5730" t="s" s="2">
        <v>9295</v>
      </c>
      <c r="R5730" t="s" s="2">
        <f>_xlfn.IFERROR(INDEX('model_byCAP'!$D$2:$D$377,MATCH(Q5730,'model_byCAP'!$A$2:$A$377,0)),0)</f>
        <v>8430</v>
      </c>
    </row>
    <row r="5731" ht="15.35" customHeight="1">
      <c r="A5731" t="s" s="2">
        <v>10214</v>
      </c>
      <c r="B5731" s="4">
        <v>42278</v>
      </c>
      <c r="C5731" s="5">
        <v>10</v>
      </c>
      <c r="D5731" s="5">
        <v>7.1</v>
      </c>
      <c r="E5731" s="5">
        <v>21.4</v>
      </c>
      <c r="F5731" t="s" s="2">
        <v>42</v>
      </c>
      <c r="G5731" t="s" s="2">
        <v>42</v>
      </c>
      <c r="H5731" s="5">
        <v>779</v>
      </c>
      <c r="I5731" t="s" s="2">
        <v>1308</v>
      </c>
      <c r="J5731" t="s" s="2">
        <v>9204</v>
      </c>
      <c r="K5731" s="6"/>
      <c r="L5731" s="6"/>
      <c r="M5731" s="5">
        <v>490883.13</v>
      </c>
      <c r="N5731" s="5">
        <v>6274589</v>
      </c>
      <c r="O5731" t="s" s="2">
        <v>305</v>
      </c>
      <c r="P5731" s="6"/>
      <c r="Q5731" t="s" s="2">
        <v>43</v>
      </c>
      <c r="R5731" s="5">
        <f>_xlfn.IFERROR(INDEX('model_byCAP'!$D$2:$D$377,MATCH(Q5731,'model_byCAP'!$A$2:$A$377,0)),0)</f>
        <v>0</v>
      </c>
    </row>
    <row r="5732" ht="15.35" customHeight="1">
      <c r="A5732" t="s" s="2">
        <v>10215</v>
      </c>
      <c r="B5732" s="4">
        <v>42311</v>
      </c>
      <c r="C5732" s="5">
        <v>10</v>
      </c>
      <c r="D5732" s="5">
        <v>7.1</v>
      </c>
      <c r="E5732" s="5">
        <v>21.4</v>
      </c>
      <c r="F5732" t="s" s="2">
        <v>42</v>
      </c>
      <c r="G5732" t="s" s="2">
        <v>42</v>
      </c>
      <c r="H5732" s="5">
        <v>779</v>
      </c>
      <c r="I5732" t="s" s="2">
        <v>1308</v>
      </c>
      <c r="J5732" t="s" s="2">
        <v>9204</v>
      </c>
      <c r="K5732" s="6"/>
      <c r="L5732" s="6"/>
      <c r="M5732" s="5">
        <v>490611.57</v>
      </c>
      <c r="N5732" s="5">
        <v>6274952.06</v>
      </c>
      <c r="O5732" t="s" s="2">
        <v>305</v>
      </c>
      <c r="P5732" s="6"/>
      <c r="Q5732" t="s" s="2">
        <v>43</v>
      </c>
      <c r="R5732" s="5">
        <f>_xlfn.IFERROR(INDEX('model_byCAP'!$D$2:$D$377,MATCH(Q5732,'model_byCAP'!$A$2:$A$377,0)),0)</f>
        <v>0</v>
      </c>
    </row>
    <row r="5733" ht="15.35" customHeight="1">
      <c r="A5733" t="s" s="2">
        <v>10216</v>
      </c>
      <c r="B5733" s="4">
        <v>42319</v>
      </c>
      <c r="C5733" s="5">
        <v>10</v>
      </c>
      <c r="D5733" s="5">
        <v>13</v>
      </c>
      <c r="E5733" s="5">
        <v>18.2</v>
      </c>
      <c r="F5733" t="s" s="2">
        <v>9471</v>
      </c>
      <c r="G5733" t="s" s="2">
        <v>9606</v>
      </c>
      <c r="H5733" s="5">
        <v>779</v>
      </c>
      <c r="I5733" t="s" s="2">
        <v>1308</v>
      </c>
      <c r="J5733" t="s" s="2">
        <v>9204</v>
      </c>
      <c r="K5733" s="6"/>
      <c r="L5733" s="6"/>
      <c r="M5733" s="5">
        <v>504298.39</v>
      </c>
      <c r="N5733" s="5">
        <v>6291485.64</v>
      </c>
      <c r="O5733" t="s" s="2">
        <v>305</v>
      </c>
      <c r="P5733" s="6"/>
      <c r="Q5733" t="s" s="2">
        <v>9607</v>
      </c>
      <c r="R5733" s="5">
        <f>_xlfn.IFERROR(INDEX('model_byCAP'!$D$2:$D$377,MATCH(Q5733,'model_byCAP'!$A$2:$A$377,0)),0)</f>
        <v>0</v>
      </c>
    </row>
    <row r="5734" ht="15.35" customHeight="1">
      <c r="A5734" t="s" s="2">
        <v>10217</v>
      </c>
      <c r="B5734" s="4">
        <v>42318</v>
      </c>
      <c r="C5734" s="5">
        <v>10</v>
      </c>
      <c r="D5734" s="5">
        <v>14</v>
      </c>
      <c r="E5734" s="5">
        <v>18</v>
      </c>
      <c r="F5734" t="s" s="2">
        <v>9209</v>
      </c>
      <c r="G5734" t="s" s="2">
        <v>9293</v>
      </c>
      <c r="H5734" s="5">
        <v>779</v>
      </c>
      <c r="I5734" t="s" s="2">
        <v>1308</v>
      </c>
      <c r="J5734" t="s" s="2">
        <v>9204</v>
      </c>
      <c r="K5734" s="6"/>
      <c r="L5734" s="6"/>
      <c r="M5734" s="5">
        <v>504927.87</v>
      </c>
      <c r="N5734" s="5">
        <v>6278719.22</v>
      </c>
      <c r="O5734" t="s" s="2">
        <v>305</v>
      </c>
      <c r="P5734" s="6"/>
      <c r="Q5734" t="s" s="2">
        <v>9295</v>
      </c>
      <c r="R5734" t="s" s="2">
        <f>_xlfn.IFERROR(INDEX('model_byCAP'!$D$2:$D$377,MATCH(Q5734,'model_byCAP'!$A$2:$A$377,0)),0)</f>
        <v>8430</v>
      </c>
    </row>
    <row r="5735" ht="15.35" customHeight="1">
      <c r="A5735" t="s" s="2">
        <v>10218</v>
      </c>
      <c r="B5735" s="4">
        <v>42335</v>
      </c>
      <c r="C5735" s="5">
        <v>10</v>
      </c>
      <c r="D5735" s="5">
        <v>14</v>
      </c>
      <c r="E5735" s="5">
        <v>18</v>
      </c>
      <c r="F5735" t="s" s="2">
        <v>9209</v>
      </c>
      <c r="G5735" t="s" s="2">
        <v>9293</v>
      </c>
      <c r="H5735" s="5">
        <v>779</v>
      </c>
      <c r="I5735" t="s" s="2">
        <v>1308</v>
      </c>
      <c r="J5735" t="s" s="2">
        <v>9204</v>
      </c>
      <c r="K5735" s="6"/>
      <c r="L5735" s="6"/>
      <c r="M5735" s="5">
        <v>507276.14</v>
      </c>
      <c r="N5735" s="5">
        <v>6285477.12</v>
      </c>
      <c r="O5735" t="s" s="2">
        <v>305</v>
      </c>
      <c r="P5735" s="6"/>
      <c r="Q5735" t="s" s="2">
        <v>9295</v>
      </c>
      <c r="R5735" t="s" s="2">
        <f>_xlfn.IFERROR(INDEX('model_byCAP'!$D$2:$D$377,MATCH(Q5735,'model_byCAP'!$A$2:$A$377,0)),0)</f>
        <v>8430</v>
      </c>
    </row>
    <row r="5736" ht="15.35" customHeight="1">
      <c r="A5736" t="s" s="2">
        <v>10219</v>
      </c>
      <c r="B5736" s="4">
        <v>42446</v>
      </c>
      <c r="C5736" s="5">
        <v>10</v>
      </c>
      <c r="D5736" s="5">
        <v>14</v>
      </c>
      <c r="E5736" s="5">
        <v>18</v>
      </c>
      <c r="F5736" t="s" s="2">
        <v>9209</v>
      </c>
      <c r="G5736" t="s" s="2">
        <v>9293</v>
      </c>
      <c r="H5736" s="5">
        <v>779</v>
      </c>
      <c r="I5736" t="s" s="2">
        <v>1308</v>
      </c>
      <c r="J5736" t="s" s="2">
        <v>9204</v>
      </c>
      <c r="K5736" s="6"/>
      <c r="L5736" s="6"/>
      <c r="M5736" s="5">
        <v>504563.47</v>
      </c>
      <c r="N5736" s="5">
        <v>6279726.71</v>
      </c>
      <c r="O5736" t="s" s="2">
        <v>305</v>
      </c>
      <c r="P5736" s="6"/>
      <c r="Q5736" t="s" s="2">
        <v>9295</v>
      </c>
      <c r="R5736" t="s" s="2">
        <f>_xlfn.IFERROR(INDEX('model_byCAP'!$D$2:$D$377,MATCH(Q5736,'model_byCAP'!$A$2:$A$377,0)),0)</f>
        <v>8430</v>
      </c>
    </row>
    <row r="5737" ht="15.35" customHeight="1">
      <c r="A5737" t="s" s="2">
        <v>10220</v>
      </c>
      <c r="B5737" s="4">
        <v>42472</v>
      </c>
      <c r="C5737" s="5">
        <v>10</v>
      </c>
      <c r="D5737" s="5">
        <v>7.1</v>
      </c>
      <c r="E5737" s="5">
        <v>21.4</v>
      </c>
      <c r="F5737" t="s" s="2">
        <v>42</v>
      </c>
      <c r="G5737" t="s" s="2">
        <v>42</v>
      </c>
      <c r="H5737" s="5">
        <v>779</v>
      </c>
      <c r="I5737" t="s" s="2">
        <v>1308</v>
      </c>
      <c r="J5737" t="s" s="2">
        <v>9204</v>
      </c>
      <c r="K5737" s="6"/>
      <c r="L5737" s="6"/>
      <c r="M5737" s="5">
        <v>497912.89</v>
      </c>
      <c r="N5737" s="5">
        <v>6279466.9</v>
      </c>
      <c r="O5737" t="s" s="2">
        <v>305</v>
      </c>
      <c r="P5737" s="6"/>
      <c r="Q5737" t="s" s="2">
        <v>43</v>
      </c>
      <c r="R5737" s="5">
        <f>_xlfn.IFERROR(INDEX('model_byCAP'!$D$2:$D$377,MATCH(Q5737,'model_byCAP'!$A$2:$A$377,0)),0)</f>
        <v>0</v>
      </c>
    </row>
    <row r="5738" ht="15.35" customHeight="1">
      <c r="A5738" t="s" s="2">
        <v>10221</v>
      </c>
      <c r="B5738" s="4">
        <v>42492</v>
      </c>
      <c r="C5738" s="5">
        <v>10</v>
      </c>
      <c r="D5738" s="5">
        <v>14</v>
      </c>
      <c r="E5738" s="5">
        <v>18</v>
      </c>
      <c r="F5738" t="s" s="2">
        <v>9209</v>
      </c>
      <c r="G5738" t="s" s="2">
        <v>9293</v>
      </c>
      <c r="H5738" s="5">
        <v>779</v>
      </c>
      <c r="I5738" t="s" s="2">
        <v>1308</v>
      </c>
      <c r="J5738" t="s" s="2">
        <v>9204</v>
      </c>
      <c r="K5738" s="6"/>
      <c r="L5738" s="6"/>
      <c r="M5738" s="5">
        <v>497951.21</v>
      </c>
      <c r="N5738" s="5">
        <v>6280460.73</v>
      </c>
      <c r="O5738" t="s" s="2">
        <v>305</v>
      </c>
      <c r="P5738" s="6"/>
      <c r="Q5738" t="s" s="2">
        <v>9295</v>
      </c>
      <c r="R5738" t="s" s="2">
        <f>_xlfn.IFERROR(INDEX('model_byCAP'!$D$2:$D$377,MATCH(Q5738,'model_byCAP'!$A$2:$A$377,0)),0)</f>
        <v>8430</v>
      </c>
    </row>
    <row r="5739" ht="15.35" customHeight="1">
      <c r="A5739" t="s" s="2">
        <v>10222</v>
      </c>
      <c r="B5739" s="4">
        <v>42662</v>
      </c>
      <c r="C5739" s="5">
        <v>10</v>
      </c>
      <c r="D5739" s="5">
        <v>14</v>
      </c>
      <c r="E5739" s="5">
        <v>18</v>
      </c>
      <c r="F5739" t="s" s="2">
        <v>9209</v>
      </c>
      <c r="G5739" t="s" s="2">
        <v>9293</v>
      </c>
      <c r="H5739" s="5">
        <v>779</v>
      </c>
      <c r="I5739" t="s" s="2">
        <v>1308</v>
      </c>
      <c r="J5739" t="s" s="2">
        <v>9204</v>
      </c>
      <c r="K5739" s="6"/>
      <c r="L5739" s="6"/>
      <c r="M5739" s="6"/>
      <c r="N5739" s="6"/>
      <c r="O5739" t="s" s="2">
        <v>25</v>
      </c>
      <c r="P5739" s="6"/>
      <c r="Q5739" t="s" s="2">
        <v>9295</v>
      </c>
      <c r="R5739" t="s" s="2">
        <f>_xlfn.IFERROR(INDEX('model_byCAP'!$D$2:$D$377,MATCH(Q5739,'model_byCAP'!$A$2:$A$377,0)),0)</f>
        <v>8430</v>
      </c>
    </row>
    <row r="5740" ht="15.35" customHeight="1">
      <c r="A5740" t="s" s="2">
        <v>10223</v>
      </c>
      <c r="B5740" s="4">
        <v>42657</v>
      </c>
      <c r="C5740" s="5">
        <v>10</v>
      </c>
      <c r="D5740" s="5">
        <v>7</v>
      </c>
      <c r="E5740" s="5">
        <v>18</v>
      </c>
      <c r="F5740" t="s" s="2">
        <v>42</v>
      </c>
      <c r="G5740" t="s" s="2">
        <v>42</v>
      </c>
      <c r="H5740" s="5">
        <v>779</v>
      </c>
      <c r="I5740" t="s" s="2">
        <v>1308</v>
      </c>
      <c r="J5740" t="s" s="2">
        <v>9204</v>
      </c>
      <c r="K5740" s="6"/>
      <c r="L5740" s="6"/>
      <c r="M5740" s="6"/>
      <c r="N5740" s="6"/>
      <c r="O5740" t="s" s="2">
        <v>25</v>
      </c>
      <c r="P5740" s="6"/>
      <c r="Q5740" t="s" s="2">
        <v>43</v>
      </c>
      <c r="R5740" s="5">
        <f>_xlfn.IFERROR(INDEX('model_byCAP'!$D$2:$D$377,MATCH(Q5740,'model_byCAP'!$A$2:$A$377,0)),0)</f>
        <v>0</v>
      </c>
    </row>
    <row r="5741" ht="15.35" customHeight="1">
      <c r="A5741" t="s" s="2">
        <v>10224</v>
      </c>
      <c r="B5741" s="4">
        <v>42809</v>
      </c>
      <c r="C5741" s="5">
        <v>10</v>
      </c>
      <c r="D5741" s="5">
        <v>7</v>
      </c>
      <c r="E5741" s="5">
        <v>18</v>
      </c>
      <c r="F5741" t="s" s="2">
        <v>42</v>
      </c>
      <c r="G5741" t="s" s="2">
        <v>42</v>
      </c>
      <c r="H5741" s="5">
        <v>779</v>
      </c>
      <c r="I5741" t="s" s="2">
        <v>1308</v>
      </c>
      <c r="J5741" t="s" s="2">
        <v>9204</v>
      </c>
      <c r="K5741" s="6"/>
      <c r="L5741" s="6"/>
      <c r="M5741" s="6"/>
      <c r="N5741" s="6"/>
      <c r="O5741" t="s" s="2">
        <v>25</v>
      </c>
      <c r="P5741" s="6"/>
      <c r="Q5741" t="s" s="2">
        <v>43</v>
      </c>
      <c r="R5741" s="5">
        <f>_xlfn.IFERROR(INDEX('model_byCAP'!$D$2:$D$377,MATCH(Q5741,'model_byCAP'!$A$2:$A$377,0)),0)</f>
        <v>0</v>
      </c>
    </row>
    <row r="5742" ht="15.35" customHeight="1">
      <c r="A5742" t="s" s="2">
        <v>10225</v>
      </c>
      <c r="B5742" s="4">
        <v>43089</v>
      </c>
      <c r="C5742" s="5">
        <v>10</v>
      </c>
      <c r="D5742" s="5">
        <v>7.1</v>
      </c>
      <c r="E5742" s="5">
        <v>21.4</v>
      </c>
      <c r="F5742" t="s" s="2">
        <v>42</v>
      </c>
      <c r="G5742" t="s" s="2">
        <v>42</v>
      </c>
      <c r="H5742" s="5">
        <v>779</v>
      </c>
      <c r="I5742" t="s" s="2">
        <v>1308</v>
      </c>
      <c r="J5742" t="s" s="2">
        <v>9204</v>
      </c>
      <c r="K5742" s="6"/>
      <c r="L5742" s="6"/>
      <c r="M5742" s="6"/>
      <c r="N5742" s="6"/>
      <c r="O5742" t="s" s="2">
        <v>25</v>
      </c>
      <c r="P5742" s="6"/>
      <c r="Q5742" t="s" s="2">
        <v>43</v>
      </c>
      <c r="R5742" s="5">
        <f>_xlfn.IFERROR(INDEX('model_byCAP'!$D$2:$D$377,MATCH(Q5742,'model_byCAP'!$A$2:$A$377,0)),0)</f>
        <v>0</v>
      </c>
    </row>
    <row r="5743" ht="15.35" customHeight="1">
      <c r="A5743" t="s" s="2">
        <v>10226</v>
      </c>
      <c r="B5743" s="4">
        <v>42356</v>
      </c>
      <c r="C5743" s="5">
        <v>10</v>
      </c>
      <c r="D5743" s="5">
        <v>13</v>
      </c>
      <c r="E5743" s="5">
        <v>18</v>
      </c>
      <c r="F5743" t="s" s="2">
        <v>9471</v>
      </c>
      <c r="G5743" t="s" s="2">
        <v>9606</v>
      </c>
      <c r="H5743" s="5">
        <v>0</v>
      </c>
      <c r="I5743" s="6"/>
      <c r="J5743" t="s" s="2">
        <v>9204</v>
      </c>
      <c r="K5743" s="6"/>
      <c r="L5743" s="6"/>
      <c r="M5743" s="5">
        <v>587306.9399999999</v>
      </c>
      <c r="N5743" s="5">
        <v>6344915.91</v>
      </c>
      <c r="O5743" t="s" s="2">
        <v>305</v>
      </c>
      <c r="P5743" s="6"/>
      <c r="Q5743" t="s" s="2">
        <v>9607</v>
      </c>
      <c r="R5743" s="5">
        <f>_xlfn.IFERROR(INDEX('model_byCAP'!$D$2:$D$377,MATCH(Q5743,'model_byCAP'!$A$2:$A$377,0)),0)</f>
        <v>0</v>
      </c>
    </row>
    <row r="5744" ht="15.35" customHeight="1">
      <c r="A5744" t="s" s="2">
        <v>10227</v>
      </c>
      <c r="B5744" s="4">
        <v>42408</v>
      </c>
      <c r="C5744" s="5">
        <v>10</v>
      </c>
      <c r="D5744" s="5">
        <v>13</v>
      </c>
      <c r="E5744" s="5">
        <v>18.2</v>
      </c>
      <c r="F5744" t="s" s="2">
        <v>9471</v>
      </c>
      <c r="G5744" t="s" s="2">
        <v>9606</v>
      </c>
      <c r="H5744" s="5">
        <v>0</v>
      </c>
      <c r="I5744" s="6"/>
      <c r="J5744" t="s" s="2">
        <v>9204</v>
      </c>
      <c r="K5744" s="6"/>
      <c r="L5744" s="6"/>
      <c r="M5744" s="6"/>
      <c r="N5744" s="6"/>
      <c r="O5744" t="s" s="2">
        <v>25</v>
      </c>
      <c r="P5744" s="6"/>
      <c r="Q5744" t="s" s="2">
        <v>9607</v>
      </c>
      <c r="R5744" s="5">
        <f>_xlfn.IFERROR(INDEX('model_byCAP'!$D$2:$D$377,MATCH(Q5744,'model_byCAP'!$A$2:$A$377,0)),0)</f>
        <v>0</v>
      </c>
    </row>
    <row r="5745" ht="15.35" customHeight="1">
      <c r="A5745" t="s" s="2">
        <v>10228</v>
      </c>
      <c r="B5745" s="4">
        <v>42968</v>
      </c>
      <c r="C5745" s="5">
        <v>10</v>
      </c>
      <c r="D5745" s="5">
        <v>14</v>
      </c>
      <c r="E5745" s="5">
        <v>18</v>
      </c>
      <c r="F5745" t="s" s="2">
        <v>9209</v>
      </c>
      <c r="G5745" t="s" s="2">
        <v>9293</v>
      </c>
      <c r="H5745" s="5">
        <v>0</v>
      </c>
      <c r="I5745" s="6"/>
      <c r="J5745" t="s" s="2">
        <v>9204</v>
      </c>
      <c r="K5745" s="6"/>
      <c r="L5745" s="6"/>
      <c r="M5745" s="6"/>
      <c r="N5745" s="6"/>
      <c r="O5745" t="s" s="2">
        <v>25</v>
      </c>
      <c r="P5745" s="6"/>
      <c r="Q5745" t="s" s="2">
        <v>9295</v>
      </c>
      <c r="R5745" t="s" s="2">
        <f>_xlfn.IFERROR(INDEX('model_byCAP'!$D$2:$D$377,MATCH(Q5745,'model_byCAP'!$A$2:$A$377,0)),0)</f>
        <v>8430</v>
      </c>
    </row>
    <row r="5746" ht="15.35" customHeight="1">
      <c r="A5746" t="s" s="2">
        <v>10229</v>
      </c>
      <c r="B5746" s="4">
        <v>43613</v>
      </c>
      <c r="C5746" s="5">
        <v>10</v>
      </c>
      <c r="D5746" s="5">
        <v>9.300000000000001</v>
      </c>
      <c r="E5746" s="5">
        <v>20.3</v>
      </c>
      <c r="F5746" t="s" s="2">
        <v>9599</v>
      </c>
      <c r="G5746" t="s" s="2">
        <v>9600</v>
      </c>
      <c r="H5746" s="5">
        <v>0</v>
      </c>
      <c r="I5746" s="6"/>
      <c r="J5746" t="s" s="2">
        <v>9204</v>
      </c>
      <c r="K5746" s="6"/>
      <c r="L5746" s="6"/>
      <c r="M5746" s="6"/>
      <c r="N5746" s="6"/>
      <c r="O5746" t="s" s="2">
        <v>25</v>
      </c>
      <c r="P5746" s="6"/>
      <c r="Q5746" t="s" s="2">
        <v>9601</v>
      </c>
      <c r="R5746" s="5">
        <f>_xlfn.IFERROR(INDEX('model_byCAP'!$D$2:$D$377,MATCH(Q5746,'model_byCAP'!$A$2:$A$377,0)),0)</f>
        <v>0</v>
      </c>
    </row>
    <row r="5747" ht="15.35" customHeight="1">
      <c r="A5747" t="s" s="2">
        <v>10230</v>
      </c>
      <c r="B5747" s="4">
        <v>41688</v>
      </c>
      <c r="C5747" s="5">
        <v>10</v>
      </c>
      <c r="D5747" s="5">
        <v>7.1</v>
      </c>
      <c r="E5747" s="5">
        <v>21.5</v>
      </c>
      <c r="F5747" t="s" s="2">
        <v>42</v>
      </c>
      <c r="G5747" t="s" s="2">
        <v>42</v>
      </c>
      <c r="H5747" s="5">
        <v>217</v>
      </c>
      <c r="I5747" t="s" s="2">
        <v>9328</v>
      </c>
      <c r="J5747" t="s" s="2">
        <v>9204</v>
      </c>
      <c r="K5747" s="6"/>
      <c r="L5747" s="6"/>
      <c r="M5747" s="6"/>
      <c r="N5747" s="6"/>
      <c r="O5747" t="s" s="2">
        <v>25</v>
      </c>
      <c r="P5747" s="6"/>
      <c r="Q5747" t="s" s="2">
        <v>43</v>
      </c>
      <c r="R5747" s="5">
        <f>_xlfn.IFERROR(INDEX('model_byCAP'!$D$2:$D$377,MATCH(Q5747,'model_byCAP'!$A$2:$A$377,0)),0)</f>
        <v>0</v>
      </c>
    </row>
    <row r="5748" ht="15.35" customHeight="1">
      <c r="A5748" t="s" s="2">
        <v>10231</v>
      </c>
      <c r="B5748" s="4">
        <v>42564</v>
      </c>
      <c r="C5748" s="5">
        <v>10</v>
      </c>
      <c r="D5748" s="5">
        <v>13</v>
      </c>
      <c r="E5748" s="5">
        <v>18.2</v>
      </c>
      <c r="F5748" t="s" s="2">
        <v>9471</v>
      </c>
      <c r="G5748" t="s" s="2">
        <v>9606</v>
      </c>
      <c r="H5748" s="5">
        <v>219</v>
      </c>
      <c r="I5748" t="s" s="2">
        <v>5779</v>
      </c>
      <c r="J5748" t="s" s="2">
        <v>9204</v>
      </c>
      <c r="K5748" s="6"/>
      <c r="L5748" s="6"/>
      <c r="M5748" s="6"/>
      <c r="N5748" s="6"/>
      <c r="O5748" t="s" s="2">
        <v>25</v>
      </c>
      <c r="P5748" s="6"/>
      <c r="Q5748" t="s" s="2">
        <v>9607</v>
      </c>
      <c r="R5748" s="5">
        <f>_xlfn.IFERROR(INDEX('model_byCAP'!$D$2:$D$377,MATCH(Q5748,'model_byCAP'!$A$2:$A$377,0)),0)</f>
        <v>0</v>
      </c>
    </row>
    <row r="5749" ht="15.35" customHeight="1">
      <c r="A5749" t="s" s="2">
        <v>10232</v>
      </c>
      <c r="B5749" s="4">
        <v>42002</v>
      </c>
      <c r="C5749" s="5">
        <v>10</v>
      </c>
      <c r="D5749" s="5">
        <v>13</v>
      </c>
      <c r="E5749" s="5">
        <v>18</v>
      </c>
      <c r="F5749" t="s" s="2">
        <v>42</v>
      </c>
      <c r="G5749" t="s" s="2">
        <v>42</v>
      </c>
      <c r="H5749" s="5">
        <v>259</v>
      </c>
      <c r="I5749" t="s" s="2">
        <v>4904</v>
      </c>
      <c r="J5749" t="s" s="2">
        <v>9204</v>
      </c>
      <c r="K5749" s="6"/>
      <c r="L5749" s="6"/>
      <c r="M5749" s="6"/>
      <c r="N5749" s="6"/>
      <c r="O5749" t="s" s="2">
        <v>25</v>
      </c>
      <c r="P5749" s="6"/>
      <c r="Q5749" t="s" s="2">
        <v>43</v>
      </c>
      <c r="R5749" s="5">
        <f>_xlfn.IFERROR(INDEX('model_byCAP'!$D$2:$D$377,MATCH(Q5749,'model_byCAP'!$A$2:$A$377,0)),0)</f>
        <v>0</v>
      </c>
    </row>
    <row r="5750" ht="15.35" customHeight="1">
      <c r="A5750" t="s" s="2">
        <v>10233</v>
      </c>
      <c r="B5750" s="4">
        <v>43679</v>
      </c>
      <c r="C5750" s="5">
        <v>10</v>
      </c>
      <c r="D5750" s="5">
        <v>13</v>
      </c>
      <c r="E5750" s="5">
        <v>18.2</v>
      </c>
      <c r="F5750" t="s" s="2">
        <v>9471</v>
      </c>
      <c r="G5750" t="s" s="2">
        <v>10200</v>
      </c>
      <c r="H5750" s="5">
        <v>259</v>
      </c>
      <c r="I5750" t="s" s="2">
        <v>4904</v>
      </c>
      <c r="J5750" t="s" s="2">
        <v>9204</v>
      </c>
      <c r="K5750" s="6"/>
      <c r="L5750" s="6"/>
      <c r="M5750" s="6"/>
      <c r="N5750" s="6"/>
      <c r="O5750" t="s" s="2">
        <v>25</v>
      </c>
      <c r="P5750" s="6"/>
      <c r="Q5750" t="s" s="2">
        <v>10201</v>
      </c>
      <c r="R5750" s="5">
        <f>_xlfn.IFERROR(INDEX('model_byCAP'!$D$2:$D$377,MATCH(Q5750,'model_byCAP'!$A$2:$A$377,0)),0)</f>
        <v>0</v>
      </c>
    </row>
    <row r="5751" ht="15.35" customHeight="1">
      <c r="A5751" t="s" s="2">
        <v>10234</v>
      </c>
      <c r="B5751" s="4">
        <v>41774</v>
      </c>
      <c r="C5751" s="5">
        <v>10</v>
      </c>
      <c r="D5751" s="5">
        <v>7.1</v>
      </c>
      <c r="E5751" s="5">
        <v>21.5</v>
      </c>
      <c r="F5751" t="s" s="2">
        <v>42</v>
      </c>
      <c r="G5751" t="s" s="2">
        <v>42</v>
      </c>
      <c r="H5751" s="5">
        <v>260</v>
      </c>
      <c r="I5751" t="s" s="2">
        <v>4907</v>
      </c>
      <c r="J5751" t="s" s="2">
        <v>9204</v>
      </c>
      <c r="K5751" s="6"/>
      <c r="L5751" s="6"/>
      <c r="M5751" s="5">
        <v>685889.9</v>
      </c>
      <c r="N5751" s="5">
        <v>6207438.42</v>
      </c>
      <c r="O5751" t="s" s="2">
        <v>305</v>
      </c>
      <c r="P5751" s="6"/>
      <c r="Q5751" t="s" s="2">
        <v>43</v>
      </c>
      <c r="R5751" s="5">
        <f>_xlfn.IFERROR(INDEX('model_byCAP'!$D$2:$D$377,MATCH(Q5751,'model_byCAP'!$A$2:$A$377,0)),0)</f>
        <v>0</v>
      </c>
    </row>
    <row r="5752" ht="15.35" customHeight="1">
      <c r="A5752" t="s" s="2">
        <v>10235</v>
      </c>
      <c r="B5752" s="4">
        <v>42642</v>
      </c>
      <c r="C5752" s="5">
        <v>10</v>
      </c>
      <c r="D5752" s="5">
        <v>7</v>
      </c>
      <c r="E5752" s="5">
        <v>18</v>
      </c>
      <c r="F5752" t="s" s="2">
        <v>42</v>
      </c>
      <c r="G5752" t="s" s="2">
        <v>42</v>
      </c>
      <c r="H5752" s="5">
        <v>260</v>
      </c>
      <c r="I5752" t="s" s="2">
        <v>4907</v>
      </c>
      <c r="J5752" t="s" s="2">
        <v>9204</v>
      </c>
      <c r="K5752" s="6"/>
      <c r="L5752" s="6"/>
      <c r="M5752" s="6"/>
      <c r="N5752" s="6"/>
      <c r="O5752" t="s" s="2">
        <v>25</v>
      </c>
      <c r="P5752" s="6"/>
      <c r="Q5752" t="s" s="2">
        <v>43</v>
      </c>
      <c r="R5752" s="5">
        <f>_xlfn.IFERROR(INDEX('model_byCAP'!$D$2:$D$377,MATCH(Q5752,'model_byCAP'!$A$2:$A$377,0)),0)</f>
        <v>0</v>
      </c>
    </row>
    <row r="5753" ht="15.35" customHeight="1">
      <c r="A5753" t="s" s="2">
        <v>10236</v>
      </c>
      <c r="B5753" s="4">
        <v>41511</v>
      </c>
      <c r="C5753" s="5">
        <v>10</v>
      </c>
      <c r="D5753" s="5">
        <v>7.1</v>
      </c>
      <c r="E5753" s="5">
        <v>21</v>
      </c>
      <c r="F5753" t="s" s="2">
        <v>42</v>
      </c>
      <c r="G5753" t="s" s="2">
        <v>42</v>
      </c>
      <c r="H5753" s="5">
        <v>787</v>
      </c>
      <c r="I5753" t="s" s="2">
        <v>21</v>
      </c>
      <c r="J5753" t="s" s="2">
        <v>9204</v>
      </c>
      <c r="K5753" s="6"/>
      <c r="L5753" s="6"/>
      <c r="M5753" s="5">
        <v>490202.58</v>
      </c>
      <c r="N5753" s="5">
        <v>6321256.36</v>
      </c>
      <c r="O5753" t="s" s="2">
        <v>305</v>
      </c>
      <c r="P5753" s="6"/>
      <c r="Q5753" t="s" s="2">
        <v>43</v>
      </c>
      <c r="R5753" s="5">
        <f>_xlfn.IFERROR(INDEX('model_byCAP'!$D$2:$D$377,MATCH(Q5753,'model_byCAP'!$A$2:$A$377,0)),0)</f>
        <v>0</v>
      </c>
    </row>
    <row r="5754" ht="15.35" customHeight="1">
      <c r="A5754" t="s" s="2">
        <v>10237</v>
      </c>
      <c r="B5754" s="4">
        <v>41498</v>
      </c>
      <c r="C5754" s="5">
        <v>10</v>
      </c>
      <c r="D5754" s="5">
        <v>7.1</v>
      </c>
      <c r="E5754" s="5">
        <v>21</v>
      </c>
      <c r="F5754" t="s" s="2">
        <v>42</v>
      </c>
      <c r="G5754" t="s" s="2">
        <v>42</v>
      </c>
      <c r="H5754" s="5">
        <v>787</v>
      </c>
      <c r="I5754" t="s" s="2">
        <v>21</v>
      </c>
      <c r="J5754" t="s" s="2">
        <v>9204</v>
      </c>
      <c r="K5754" s="6"/>
      <c r="L5754" s="6"/>
      <c r="M5754" s="5">
        <v>496733.73</v>
      </c>
      <c r="N5754" s="5">
        <v>6318837.73</v>
      </c>
      <c r="O5754" t="s" s="2">
        <v>305</v>
      </c>
      <c r="P5754" s="6"/>
      <c r="Q5754" t="s" s="2">
        <v>43</v>
      </c>
      <c r="R5754" s="5">
        <f>_xlfn.IFERROR(INDEX('model_byCAP'!$D$2:$D$377,MATCH(Q5754,'model_byCAP'!$A$2:$A$377,0)),0)</f>
        <v>0</v>
      </c>
    </row>
    <row r="5755" ht="15.35" customHeight="1">
      <c r="A5755" t="s" s="2">
        <v>10238</v>
      </c>
      <c r="B5755" s="4">
        <v>41579</v>
      </c>
      <c r="C5755" s="5">
        <v>10</v>
      </c>
      <c r="D5755" s="5">
        <v>7.1</v>
      </c>
      <c r="E5755" s="5">
        <v>21.3</v>
      </c>
      <c r="F5755" t="s" s="2">
        <v>42</v>
      </c>
      <c r="G5755" t="s" s="2">
        <v>42</v>
      </c>
      <c r="H5755" s="5">
        <v>787</v>
      </c>
      <c r="I5755" t="s" s="2">
        <v>21</v>
      </c>
      <c r="J5755" t="s" s="2">
        <v>9204</v>
      </c>
      <c r="K5755" s="6"/>
      <c r="L5755" s="6"/>
      <c r="M5755" s="6"/>
      <c r="N5755" s="6"/>
      <c r="O5755" t="s" s="2">
        <v>25</v>
      </c>
      <c r="P5755" s="6"/>
      <c r="Q5755" t="s" s="2">
        <v>43</v>
      </c>
      <c r="R5755" s="5">
        <f>_xlfn.IFERROR(INDEX('model_byCAP'!$D$2:$D$377,MATCH(Q5755,'model_byCAP'!$A$2:$A$377,0)),0)</f>
        <v>0</v>
      </c>
    </row>
    <row r="5756" ht="15.35" customHeight="1">
      <c r="A5756" t="s" s="2">
        <v>10239</v>
      </c>
      <c r="B5756" s="4">
        <v>41592</v>
      </c>
      <c r="C5756" s="5">
        <v>10</v>
      </c>
      <c r="D5756" s="5">
        <v>7.1</v>
      </c>
      <c r="E5756" s="5">
        <v>21</v>
      </c>
      <c r="F5756" t="s" s="2">
        <v>42</v>
      </c>
      <c r="G5756" t="s" s="2">
        <v>42</v>
      </c>
      <c r="H5756" s="5">
        <v>787</v>
      </c>
      <c r="I5756" t="s" s="2">
        <v>21</v>
      </c>
      <c r="J5756" t="s" s="2">
        <v>9204</v>
      </c>
      <c r="K5756" s="6"/>
      <c r="L5756" s="6"/>
      <c r="M5756" s="5">
        <v>500378.62</v>
      </c>
      <c r="N5756" s="5">
        <v>6327125.8</v>
      </c>
      <c r="O5756" t="s" s="2">
        <v>305</v>
      </c>
      <c r="P5756" s="6"/>
      <c r="Q5756" t="s" s="2">
        <v>43</v>
      </c>
      <c r="R5756" s="5">
        <f>_xlfn.IFERROR(INDEX('model_byCAP'!$D$2:$D$377,MATCH(Q5756,'model_byCAP'!$A$2:$A$377,0)),0)</f>
        <v>0</v>
      </c>
    </row>
    <row r="5757" ht="15.35" customHeight="1">
      <c r="A5757" t="s" s="2">
        <v>10240</v>
      </c>
      <c r="B5757" s="4">
        <v>41579</v>
      </c>
      <c r="C5757" s="5">
        <v>10</v>
      </c>
      <c r="D5757" s="5">
        <v>7.1</v>
      </c>
      <c r="E5757" s="5">
        <v>21</v>
      </c>
      <c r="F5757" t="s" s="2">
        <v>42</v>
      </c>
      <c r="G5757" t="s" s="2">
        <v>42</v>
      </c>
      <c r="H5757" s="5">
        <v>787</v>
      </c>
      <c r="I5757" t="s" s="2">
        <v>21</v>
      </c>
      <c r="J5757" t="s" s="2">
        <v>9204</v>
      </c>
      <c r="K5757" s="6"/>
      <c r="L5757" s="6"/>
      <c r="M5757" s="5">
        <v>468422.41</v>
      </c>
      <c r="N5757" s="5">
        <v>6305424.22</v>
      </c>
      <c r="O5757" t="s" s="2">
        <v>305</v>
      </c>
      <c r="P5757" s="6"/>
      <c r="Q5757" t="s" s="2">
        <v>43</v>
      </c>
      <c r="R5757" s="5">
        <f>_xlfn.IFERROR(INDEX('model_byCAP'!$D$2:$D$377,MATCH(Q5757,'model_byCAP'!$A$2:$A$377,0)),0)</f>
        <v>0</v>
      </c>
    </row>
    <row r="5758" ht="15.35" customHeight="1">
      <c r="A5758" t="s" s="2">
        <v>10241</v>
      </c>
      <c r="B5758" s="4">
        <v>41592</v>
      </c>
      <c r="C5758" s="5">
        <v>10</v>
      </c>
      <c r="D5758" s="5">
        <v>7.1</v>
      </c>
      <c r="E5758" s="5">
        <v>21</v>
      </c>
      <c r="F5758" t="s" s="2">
        <v>42</v>
      </c>
      <c r="G5758" t="s" s="2">
        <v>42</v>
      </c>
      <c r="H5758" s="5">
        <v>787</v>
      </c>
      <c r="I5758" t="s" s="2">
        <v>21</v>
      </c>
      <c r="J5758" t="s" s="2">
        <v>9204</v>
      </c>
      <c r="K5758" s="6"/>
      <c r="L5758" s="6"/>
      <c r="M5758" s="5">
        <v>501114.12</v>
      </c>
      <c r="N5758" s="5">
        <v>6323336.04</v>
      </c>
      <c r="O5758" t="s" s="2">
        <v>305</v>
      </c>
      <c r="P5758" s="6"/>
      <c r="Q5758" t="s" s="2">
        <v>43</v>
      </c>
      <c r="R5758" s="5">
        <f>_xlfn.IFERROR(INDEX('model_byCAP'!$D$2:$D$377,MATCH(Q5758,'model_byCAP'!$A$2:$A$377,0)),0)</f>
        <v>0</v>
      </c>
    </row>
    <row r="5759" ht="15.35" customHeight="1">
      <c r="A5759" t="s" s="2">
        <v>10242</v>
      </c>
      <c r="B5759" s="4">
        <v>41627</v>
      </c>
      <c r="C5759" s="5">
        <v>10</v>
      </c>
      <c r="D5759" s="5">
        <v>7.1</v>
      </c>
      <c r="E5759" s="5">
        <v>21.3</v>
      </c>
      <c r="F5759" t="s" s="2">
        <v>42</v>
      </c>
      <c r="G5759" t="s" s="2">
        <v>42</v>
      </c>
      <c r="H5759" s="5">
        <v>787</v>
      </c>
      <c r="I5759" t="s" s="2">
        <v>21</v>
      </c>
      <c r="J5759" t="s" s="2">
        <v>9204</v>
      </c>
      <c r="K5759" s="6"/>
      <c r="L5759" s="6"/>
      <c r="M5759" s="6"/>
      <c r="N5759" s="6"/>
      <c r="O5759" t="s" s="2">
        <v>25</v>
      </c>
      <c r="P5759" s="6"/>
      <c r="Q5759" t="s" s="2">
        <v>43</v>
      </c>
      <c r="R5759" s="5">
        <f>_xlfn.IFERROR(INDEX('model_byCAP'!$D$2:$D$377,MATCH(Q5759,'model_byCAP'!$A$2:$A$377,0)),0)</f>
        <v>0</v>
      </c>
    </row>
    <row r="5760" ht="15.35" customHeight="1">
      <c r="A5760" t="s" s="2">
        <v>10243</v>
      </c>
      <c r="B5760" s="4">
        <v>41635</v>
      </c>
      <c r="C5760" s="5">
        <v>10</v>
      </c>
      <c r="D5760" s="5">
        <v>7.1</v>
      </c>
      <c r="E5760" s="5">
        <v>21.3</v>
      </c>
      <c r="F5760" t="s" s="2">
        <v>42</v>
      </c>
      <c r="G5760" t="s" s="2">
        <v>42</v>
      </c>
      <c r="H5760" s="5">
        <v>787</v>
      </c>
      <c r="I5760" t="s" s="2">
        <v>21</v>
      </c>
      <c r="J5760" t="s" s="2">
        <v>9204</v>
      </c>
      <c r="K5760" s="6"/>
      <c r="L5760" s="6"/>
      <c r="M5760" s="5">
        <v>461016.94</v>
      </c>
      <c r="N5760" s="5">
        <v>6288839.25</v>
      </c>
      <c r="O5760" t="s" s="2">
        <v>305</v>
      </c>
      <c r="P5760" s="6"/>
      <c r="Q5760" t="s" s="2">
        <v>43</v>
      </c>
      <c r="R5760" s="5">
        <f>_xlfn.IFERROR(INDEX('model_byCAP'!$D$2:$D$377,MATCH(Q5760,'model_byCAP'!$A$2:$A$377,0)),0)</f>
        <v>0</v>
      </c>
    </row>
    <row r="5761" ht="15.35" customHeight="1">
      <c r="A5761" t="s" s="2">
        <v>10244</v>
      </c>
      <c r="B5761" s="4">
        <v>41635</v>
      </c>
      <c r="C5761" s="5">
        <v>10</v>
      </c>
      <c r="D5761" s="5">
        <v>7.1</v>
      </c>
      <c r="E5761" s="5">
        <v>21.4</v>
      </c>
      <c r="F5761" t="s" s="2">
        <v>42</v>
      </c>
      <c r="G5761" t="s" s="2">
        <v>42</v>
      </c>
      <c r="H5761" s="5">
        <v>787</v>
      </c>
      <c r="I5761" t="s" s="2">
        <v>21</v>
      </c>
      <c r="J5761" t="s" s="2">
        <v>9204</v>
      </c>
      <c r="K5761" s="6"/>
      <c r="L5761" s="6"/>
      <c r="M5761" s="5">
        <v>473664.85</v>
      </c>
      <c r="N5761" s="5">
        <v>6313022.7</v>
      </c>
      <c r="O5761" t="s" s="2">
        <v>305</v>
      </c>
      <c r="P5761" s="6"/>
      <c r="Q5761" t="s" s="2">
        <v>43</v>
      </c>
      <c r="R5761" s="5">
        <f>_xlfn.IFERROR(INDEX('model_byCAP'!$D$2:$D$377,MATCH(Q5761,'model_byCAP'!$A$2:$A$377,0)),0)</f>
        <v>0</v>
      </c>
    </row>
    <row r="5762" ht="15.35" customHeight="1">
      <c r="A5762" t="s" s="2">
        <v>10245</v>
      </c>
      <c r="B5762" s="4">
        <v>41786</v>
      </c>
      <c r="C5762" s="5">
        <v>10</v>
      </c>
      <c r="D5762" s="5">
        <v>13</v>
      </c>
      <c r="E5762" s="5">
        <v>18.2</v>
      </c>
      <c r="F5762" t="s" s="2">
        <v>42</v>
      </c>
      <c r="G5762" t="s" s="2">
        <v>42</v>
      </c>
      <c r="H5762" s="5">
        <v>787</v>
      </c>
      <c r="I5762" t="s" s="2">
        <v>21</v>
      </c>
      <c r="J5762" t="s" s="2">
        <v>9204</v>
      </c>
      <c r="K5762" s="6"/>
      <c r="L5762" s="6"/>
      <c r="M5762" s="5">
        <v>486545.98</v>
      </c>
      <c r="N5762" s="5">
        <v>6317682.03</v>
      </c>
      <c r="O5762" t="s" s="2">
        <v>305</v>
      </c>
      <c r="P5762" s="6"/>
      <c r="Q5762" t="s" s="2">
        <v>43</v>
      </c>
      <c r="R5762" s="5">
        <f>_xlfn.IFERROR(INDEX('model_byCAP'!$D$2:$D$377,MATCH(Q5762,'model_byCAP'!$A$2:$A$377,0)),0)</f>
        <v>0</v>
      </c>
    </row>
    <row r="5763" ht="15.35" customHeight="1">
      <c r="A5763" t="s" s="2">
        <v>10246</v>
      </c>
      <c r="B5763" s="4">
        <v>41899</v>
      </c>
      <c r="C5763" s="5">
        <v>10</v>
      </c>
      <c r="D5763" s="5">
        <v>7.1</v>
      </c>
      <c r="E5763" s="5">
        <v>21.4</v>
      </c>
      <c r="F5763" t="s" s="2">
        <v>42</v>
      </c>
      <c r="G5763" t="s" s="2">
        <v>42</v>
      </c>
      <c r="H5763" s="5">
        <v>787</v>
      </c>
      <c r="I5763" t="s" s="2">
        <v>21</v>
      </c>
      <c r="J5763" t="s" s="2">
        <v>9204</v>
      </c>
      <c r="K5763" s="6"/>
      <c r="L5763" s="6"/>
      <c r="M5763" s="5">
        <v>469939.42</v>
      </c>
      <c r="N5763" s="5">
        <v>6304347.76</v>
      </c>
      <c r="O5763" t="s" s="2">
        <v>305</v>
      </c>
      <c r="P5763" s="6"/>
      <c r="Q5763" t="s" s="2">
        <v>43</v>
      </c>
      <c r="R5763" s="5">
        <f>_xlfn.IFERROR(INDEX('model_byCAP'!$D$2:$D$377,MATCH(Q5763,'model_byCAP'!$A$2:$A$377,0)),0)</f>
        <v>0</v>
      </c>
    </row>
    <row r="5764" ht="15.35" customHeight="1">
      <c r="A5764" t="s" s="2">
        <v>10247</v>
      </c>
      <c r="B5764" s="4">
        <v>41899</v>
      </c>
      <c r="C5764" s="5">
        <v>10</v>
      </c>
      <c r="D5764" s="5">
        <v>13</v>
      </c>
      <c r="E5764" s="5">
        <v>18.2</v>
      </c>
      <c r="F5764" t="s" s="2">
        <v>42</v>
      </c>
      <c r="G5764" t="s" s="2">
        <v>42</v>
      </c>
      <c r="H5764" s="5">
        <v>787</v>
      </c>
      <c r="I5764" t="s" s="2">
        <v>21</v>
      </c>
      <c r="J5764" t="s" s="2">
        <v>9204</v>
      </c>
      <c r="K5764" s="6"/>
      <c r="L5764" s="6"/>
      <c r="M5764" s="5">
        <v>466047.47</v>
      </c>
      <c r="N5764" s="5">
        <v>6297766.37</v>
      </c>
      <c r="O5764" t="s" s="2">
        <v>305</v>
      </c>
      <c r="P5764" s="6"/>
      <c r="Q5764" t="s" s="2">
        <v>43</v>
      </c>
      <c r="R5764" s="5">
        <f>_xlfn.IFERROR(INDEX('model_byCAP'!$D$2:$D$377,MATCH(Q5764,'model_byCAP'!$A$2:$A$377,0)),0)</f>
        <v>0</v>
      </c>
    </row>
    <row r="5765" ht="15.35" customHeight="1">
      <c r="A5765" t="s" s="2">
        <v>10248</v>
      </c>
      <c r="B5765" s="4">
        <v>41992</v>
      </c>
      <c r="C5765" s="5">
        <v>10</v>
      </c>
      <c r="D5765" s="5">
        <v>7.1</v>
      </c>
      <c r="E5765" s="5">
        <v>21.3</v>
      </c>
      <c r="F5765" t="s" s="2">
        <v>42</v>
      </c>
      <c r="G5765" t="s" s="2">
        <v>42</v>
      </c>
      <c r="H5765" s="5">
        <v>787</v>
      </c>
      <c r="I5765" t="s" s="2">
        <v>21</v>
      </c>
      <c r="J5765" t="s" s="2">
        <v>9204</v>
      </c>
      <c r="K5765" s="6"/>
      <c r="L5765" s="6"/>
      <c r="M5765" s="6"/>
      <c r="N5765" s="6"/>
      <c r="O5765" t="s" s="2">
        <v>25</v>
      </c>
      <c r="P5765" s="6"/>
      <c r="Q5765" t="s" s="2">
        <v>43</v>
      </c>
      <c r="R5765" s="5">
        <f>_xlfn.IFERROR(INDEX('model_byCAP'!$D$2:$D$377,MATCH(Q5765,'model_byCAP'!$A$2:$A$377,0)),0)</f>
        <v>0</v>
      </c>
    </row>
    <row r="5766" ht="15.35" customHeight="1">
      <c r="A5766" t="s" s="2">
        <v>10249</v>
      </c>
      <c r="B5766" s="4">
        <v>42003</v>
      </c>
      <c r="C5766" s="5">
        <v>10</v>
      </c>
      <c r="D5766" s="5">
        <v>13</v>
      </c>
      <c r="E5766" s="5">
        <v>18.2</v>
      </c>
      <c r="F5766" t="s" s="2">
        <v>42</v>
      </c>
      <c r="G5766" t="s" s="2">
        <v>42</v>
      </c>
      <c r="H5766" s="5">
        <v>787</v>
      </c>
      <c r="I5766" t="s" s="2">
        <v>21</v>
      </c>
      <c r="J5766" t="s" s="2">
        <v>9204</v>
      </c>
      <c r="K5766" s="6"/>
      <c r="L5766" s="6"/>
      <c r="M5766" s="5">
        <v>470103.67</v>
      </c>
      <c r="N5766" s="5">
        <v>6303468.49</v>
      </c>
      <c r="O5766" t="s" s="2">
        <v>305</v>
      </c>
      <c r="P5766" s="6"/>
      <c r="Q5766" t="s" s="2">
        <v>43</v>
      </c>
      <c r="R5766" s="5">
        <f>_xlfn.IFERROR(INDEX('model_byCAP'!$D$2:$D$377,MATCH(Q5766,'model_byCAP'!$A$2:$A$377,0)),0)</f>
        <v>0</v>
      </c>
    </row>
    <row r="5767" ht="15.35" customHeight="1">
      <c r="A5767" t="s" s="2">
        <v>10250</v>
      </c>
      <c r="B5767" s="4">
        <v>42002</v>
      </c>
      <c r="C5767" s="5">
        <v>10</v>
      </c>
      <c r="D5767" s="5">
        <v>13</v>
      </c>
      <c r="E5767" s="5">
        <v>18.2</v>
      </c>
      <c r="F5767" t="s" s="2">
        <v>42</v>
      </c>
      <c r="G5767" t="s" s="2">
        <v>42</v>
      </c>
      <c r="H5767" s="5">
        <v>787</v>
      </c>
      <c r="I5767" t="s" s="2">
        <v>21</v>
      </c>
      <c r="J5767" t="s" s="2">
        <v>9204</v>
      </c>
      <c r="K5767" s="6"/>
      <c r="L5767" s="6"/>
      <c r="M5767" s="5">
        <v>473376.98</v>
      </c>
      <c r="N5767" s="5">
        <v>6298836.82</v>
      </c>
      <c r="O5767" t="s" s="2">
        <v>305</v>
      </c>
      <c r="P5767" s="6"/>
      <c r="Q5767" t="s" s="2">
        <v>43</v>
      </c>
      <c r="R5767" s="5">
        <f>_xlfn.IFERROR(INDEX('model_byCAP'!$D$2:$D$377,MATCH(Q5767,'model_byCAP'!$A$2:$A$377,0)),0)</f>
        <v>0</v>
      </c>
    </row>
    <row r="5768" ht="15.35" customHeight="1">
      <c r="A5768" t="s" s="2">
        <v>10251</v>
      </c>
      <c r="B5768" s="4">
        <v>42009</v>
      </c>
      <c r="C5768" s="5">
        <v>10</v>
      </c>
      <c r="D5768" s="5">
        <v>13</v>
      </c>
      <c r="E5768" s="5">
        <v>18.2</v>
      </c>
      <c r="F5768" t="s" s="2">
        <v>42</v>
      </c>
      <c r="G5768" t="s" s="2">
        <v>42</v>
      </c>
      <c r="H5768" s="5">
        <v>787</v>
      </c>
      <c r="I5768" t="s" s="2">
        <v>21</v>
      </c>
      <c r="J5768" t="s" s="2">
        <v>9204</v>
      </c>
      <c r="K5768" s="6"/>
      <c r="L5768" s="6"/>
      <c r="M5768" s="5">
        <v>458188.91</v>
      </c>
      <c r="N5768" s="5">
        <v>6286865.81</v>
      </c>
      <c r="O5768" t="s" s="2">
        <v>305</v>
      </c>
      <c r="P5768" s="6"/>
      <c r="Q5768" t="s" s="2">
        <v>43</v>
      </c>
      <c r="R5768" s="5">
        <f>_xlfn.IFERROR(INDEX('model_byCAP'!$D$2:$D$377,MATCH(Q5768,'model_byCAP'!$A$2:$A$377,0)),0)</f>
        <v>0</v>
      </c>
    </row>
    <row r="5769" ht="15.35" customHeight="1">
      <c r="A5769" t="s" s="2">
        <v>10252</v>
      </c>
      <c r="B5769" s="4">
        <v>42050</v>
      </c>
      <c r="C5769" s="5">
        <v>10</v>
      </c>
      <c r="D5769" s="5">
        <v>7.1</v>
      </c>
      <c r="E5769" s="5">
        <v>21</v>
      </c>
      <c r="F5769" t="s" s="2">
        <v>42</v>
      </c>
      <c r="G5769" t="s" s="2">
        <v>42</v>
      </c>
      <c r="H5769" s="5">
        <v>787</v>
      </c>
      <c r="I5769" t="s" s="2">
        <v>21</v>
      </c>
      <c r="J5769" t="s" s="2">
        <v>9204</v>
      </c>
      <c r="K5769" s="6"/>
      <c r="L5769" s="6"/>
      <c r="M5769" s="5">
        <v>466190.14</v>
      </c>
      <c r="N5769" s="5">
        <v>6299910.49</v>
      </c>
      <c r="O5769" t="s" s="2">
        <v>305</v>
      </c>
      <c r="P5769" s="6"/>
      <c r="Q5769" t="s" s="2">
        <v>43</v>
      </c>
      <c r="R5769" s="5">
        <f>_xlfn.IFERROR(INDEX('model_byCAP'!$D$2:$D$377,MATCH(Q5769,'model_byCAP'!$A$2:$A$377,0)),0)</f>
        <v>0</v>
      </c>
    </row>
    <row r="5770" ht="15.35" customHeight="1">
      <c r="A5770" t="s" s="2">
        <v>10253</v>
      </c>
      <c r="B5770" s="4">
        <v>42066</v>
      </c>
      <c r="C5770" s="5">
        <v>10</v>
      </c>
      <c r="D5770" s="5">
        <v>7.1</v>
      </c>
      <c r="E5770" s="5">
        <v>21.4</v>
      </c>
      <c r="F5770" t="s" s="2">
        <v>42</v>
      </c>
      <c r="G5770" t="s" s="2">
        <v>42</v>
      </c>
      <c r="H5770" s="5">
        <v>787</v>
      </c>
      <c r="I5770" t="s" s="2">
        <v>21</v>
      </c>
      <c r="J5770" t="s" s="2">
        <v>9204</v>
      </c>
      <c r="K5770" s="6"/>
      <c r="L5770" s="6"/>
      <c r="M5770" s="5">
        <v>459339.96</v>
      </c>
      <c r="N5770" s="5">
        <v>6298588.27</v>
      </c>
      <c r="O5770" t="s" s="2">
        <v>305</v>
      </c>
      <c r="P5770" s="6"/>
      <c r="Q5770" t="s" s="2">
        <v>43</v>
      </c>
      <c r="R5770" s="5">
        <f>_xlfn.IFERROR(INDEX('model_byCAP'!$D$2:$D$377,MATCH(Q5770,'model_byCAP'!$A$2:$A$377,0)),0)</f>
        <v>0</v>
      </c>
    </row>
    <row r="5771" ht="15.35" customHeight="1">
      <c r="A5771" t="s" s="2">
        <v>10254</v>
      </c>
      <c r="B5771" s="4">
        <v>42066</v>
      </c>
      <c r="C5771" s="5">
        <v>10</v>
      </c>
      <c r="D5771" s="5">
        <v>7.1</v>
      </c>
      <c r="E5771" s="5">
        <v>21</v>
      </c>
      <c r="F5771" t="s" s="2">
        <v>42</v>
      </c>
      <c r="G5771" t="s" s="2">
        <v>42</v>
      </c>
      <c r="H5771" s="5">
        <v>787</v>
      </c>
      <c r="I5771" t="s" s="2">
        <v>21</v>
      </c>
      <c r="J5771" t="s" s="2">
        <v>9204</v>
      </c>
      <c r="K5771" s="6"/>
      <c r="L5771" s="6"/>
      <c r="M5771" s="5">
        <v>468900.94</v>
      </c>
      <c r="N5771" s="5">
        <v>6298417.61</v>
      </c>
      <c r="O5771" t="s" s="2">
        <v>305</v>
      </c>
      <c r="P5771" s="6"/>
      <c r="Q5771" t="s" s="2">
        <v>43</v>
      </c>
      <c r="R5771" s="5">
        <f>_xlfn.IFERROR(INDEX('model_byCAP'!$D$2:$D$377,MATCH(Q5771,'model_byCAP'!$A$2:$A$377,0)),0)</f>
        <v>0</v>
      </c>
    </row>
    <row r="5772" ht="15.35" customHeight="1">
      <c r="A5772" t="s" s="2">
        <v>10255</v>
      </c>
      <c r="B5772" s="4">
        <v>42102</v>
      </c>
      <c r="C5772" s="5">
        <v>10</v>
      </c>
      <c r="D5772" s="5">
        <v>7.1</v>
      </c>
      <c r="E5772" s="5">
        <v>21.4</v>
      </c>
      <c r="F5772" t="s" s="2">
        <v>42</v>
      </c>
      <c r="G5772" t="s" s="2">
        <v>42</v>
      </c>
      <c r="H5772" s="5">
        <v>787</v>
      </c>
      <c r="I5772" t="s" s="2">
        <v>21</v>
      </c>
      <c r="J5772" t="s" s="2">
        <v>9204</v>
      </c>
      <c r="K5772" s="6"/>
      <c r="L5772" s="6"/>
      <c r="M5772" s="5">
        <v>463950.87</v>
      </c>
      <c r="N5772" s="5">
        <v>6304767.08</v>
      </c>
      <c r="O5772" t="s" s="2">
        <v>305</v>
      </c>
      <c r="P5772" s="6"/>
      <c r="Q5772" t="s" s="2">
        <v>43</v>
      </c>
      <c r="R5772" s="5">
        <f>_xlfn.IFERROR(INDEX('model_byCAP'!$D$2:$D$377,MATCH(Q5772,'model_byCAP'!$A$2:$A$377,0)),0)</f>
        <v>0</v>
      </c>
    </row>
    <row r="5773" ht="15.35" customHeight="1">
      <c r="A5773" t="s" s="2">
        <v>10256</v>
      </c>
      <c r="B5773" s="4">
        <v>42102</v>
      </c>
      <c r="C5773" s="5">
        <v>10</v>
      </c>
      <c r="D5773" s="5">
        <v>7.1</v>
      </c>
      <c r="E5773" s="5">
        <v>21.3</v>
      </c>
      <c r="F5773" t="s" s="2">
        <v>42</v>
      </c>
      <c r="G5773" t="s" s="2">
        <v>42</v>
      </c>
      <c r="H5773" s="5">
        <v>787</v>
      </c>
      <c r="I5773" t="s" s="2">
        <v>21</v>
      </c>
      <c r="J5773" t="s" s="2">
        <v>9204</v>
      </c>
      <c r="K5773" s="6"/>
      <c r="L5773" s="6"/>
      <c r="M5773" s="5">
        <v>461664.91</v>
      </c>
      <c r="N5773" s="5">
        <v>6289441.53</v>
      </c>
      <c r="O5773" t="s" s="2">
        <v>305</v>
      </c>
      <c r="P5773" s="6"/>
      <c r="Q5773" t="s" s="2">
        <v>43</v>
      </c>
      <c r="R5773" s="5">
        <f>_xlfn.IFERROR(INDEX('model_byCAP'!$D$2:$D$377,MATCH(Q5773,'model_byCAP'!$A$2:$A$377,0)),0)</f>
        <v>0</v>
      </c>
    </row>
    <row r="5774" ht="15.35" customHeight="1">
      <c r="A5774" t="s" s="2">
        <v>10257</v>
      </c>
      <c r="B5774" s="4">
        <v>42174</v>
      </c>
      <c r="C5774" s="5">
        <v>10</v>
      </c>
      <c r="D5774" s="5">
        <v>7.1</v>
      </c>
      <c r="E5774" s="5">
        <v>21.4</v>
      </c>
      <c r="F5774" t="s" s="2">
        <v>42</v>
      </c>
      <c r="G5774" t="s" s="2">
        <v>42</v>
      </c>
      <c r="H5774" s="5">
        <v>787</v>
      </c>
      <c r="I5774" t="s" s="2">
        <v>21</v>
      </c>
      <c r="J5774" t="s" s="2">
        <v>9204</v>
      </c>
      <c r="K5774" s="6"/>
      <c r="L5774" s="6"/>
      <c r="M5774" s="5">
        <v>462550.11</v>
      </c>
      <c r="N5774" s="5">
        <v>6294571.05</v>
      </c>
      <c r="O5774" t="s" s="2">
        <v>305</v>
      </c>
      <c r="P5774" s="6"/>
      <c r="Q5774" t="s" s="2">
        <v>43</v>
      </c>
      <c r="R5774" s="5">
        <f>_xlfn.IFERROR(INDEX('model_byCAP'!$D$2:$D$377,MATCH(Q5774,'model_byCAP'!$A$2:$A$377,0)),0)</f>
        <v>0</v>
      </c>
    </row>
    <row r="5775" ht="15.35" customHeight="1">
      <c r="A5775" t="s" s="2">
        <v>10258</v>
      </c>
      <c r="B5775" s="4">
        <v>42132</v>
      </c>
      <c r="C5775" s="5">
        <v>10</v>
      </c>
      <c r="D5775" s="5">
        <v>7.1</v>
      </c>
      <c r="E5775" s="5">
        <v>21.4</v>
      </c>
      <c r="F5775" t="s" s="2">
        <v>42</v>
      </c>
      <c r="G5775" t="s" s="2">
        <v>42</v>
      </c>
      <c r="H5775" s="5">
        <v>787</v>
      </c>
      <c r="I5775" t="s" s="2">
        <v>21</v>
      </c>
      <c r="J5775" t="s" s="2">
        <v>9204</v>
      </c>
      <c r="K5775" s="6"/>
      <c r="L5775" s="6"/>
      <c r="M5775" s="5">
        <v>463452.19</v>
      </c>
      <c r="N5775" s="5">
        <v>6299505.26</v>
      </c>
      <c r="O5775" t="s" s="2">
        <v>305</v>
      </c>
      <c r="P5775" s="6"/>
      <c r="Q5775" t="s" s="2">
        <v>43</v>
      </c>
      <c r="R5775" s="5">
        <f>_xlfn.IFERROR(INDEX('model_byCAP'!$D$2:$D$377,MATCH(Q5775,'model_byCAP'!$A$2:$A$377,0)),0)</f>
        <v>0</v>
      </c>
    </row>
    <row r="5776" ht="15.35" customHeight="1">
      <c r="A5776" t="s" s="2">
        <v>10259</v>
      </c>
      <c r="B5776" s="4">
        <v>42093</v>
      </c>
      <c r="C5776" s="5">
        <v>10</v>
      </c>
      <c r="D5776" s="5">
        <v>13</v>
      </c>
      <c r="E5776" s="5">
        <v>18.2</v>
      </c>
      <c r="F5776" t="s" s="2">
        <v>9471</v>
      </c>
      <c r="G5776" t="s" s="2">
        <v>9606</v>
      </c>
      <c r="H5776" s="5">
        <v>787</v>
      </c>
      <c r="I5776" t="s" s="2">
        <v>21</v>
      </c>
      <c r="J5776" t="s" s="2">
        <v>9204</v>
      </c>
      <c r="K5776" s="6"/>
      <c r="L5776" s="6"/>
      <c r="M5776" s="5">
        <v>463316.68</v>
      </c>
      <c r="N5776" s="5">
        <v>6296976.34</v>
      </c>
      <c r="O5776" t="s" s="2">
        <v>305</v>
      </c>
      <c r="P5776" s="6"/>
      <c r="Q5776" t="s" s="2">
        <v>9607</v>
      </c>
      <c r="R5776" s="5">
        <f>_xlfn.IFERROR(INDEX('model_byCAP'!$D$2:$D$377,MATCH(Q5776,'model_byCAP'!$A$2:$A$377,0)),0)</f>
        <v>0</v>
      </c>
    </row>
    <row r="5777" ht="15.35" customHeight="1">
      <c r="A5777" t="s" s="2">
        <v>10260</v>
      </c>
      <c r="B5777" s="4">
        <v>42093</v>
      </c>
      <c r="C5777" s="5">
        <v>10</v>
      </c>
      <c r="D5777" s="5">
        <v>13</v>
      </c>
      <c r="E5777" s="5">
        <v>18.2</v>
      </c>
      <c r="F5777" t="s" s="2">
        <v>9471</v>
      </c>
      <c r="G5777" t="s" s="2">
        <v>9606</v>
      </c>
      <c r="H5777" s="5">
        <v>787</v>
      </c>
      <c r="I5777" t="s" s="2">
        <v>21</v>
      </c>
      <c r="J5777" t="s" s="2">
        <v>9204</v>
      </c>
      <c r="K5777" s="6"/>
      <c r="L5777" s="6"/>
      <c r="M5777" s="5">
        <v>463316.68</v>
      </c>
      <c r="N5777" s="5">
        <v>6296976.34</v>
      </c>
      <c r="O5777" t="s" s="2">
        <v>9820</v>
      </c>
      <c r="P5777" s="6"/>
      <c r="Q5777" t="s" s="2">
        <v>9607</v>
      </c>
      <c r="R5777" s="5">
        <f>_xlfn.IFERROR(INDEX('model_byCAP'!$D$2:$D$377,MATCH(Q5777,'model_byCAP'!$A$2:$A$377,0)),0)</f>
        <v>0</v>
      </c>
    </row>
    <row r="5778" ht="15.35" customHeight="1">
      <c r="A5778" t="s" s="2">
        <v>10261</v>
      </c>
      <c r="B5778" s="4">
        <v>42118</v>
      </c>
      <c r="C5778" s="5">
        <v>10</v>
      </c>
      <c r="D5778" s="5">
        <v>7.1</v>
      </c>
      <c r="E5778" s="5">
        <v>21.4</v>
      </c>
      <c r="F5778" t="s" s="2">
        <v>42</v>
      </c>
      <c r="G5778" t="s" s="2">
        <v>42</v>
      </c>
      <c r="H5778" s="5">
        <v>787</v>
      </c>
      <c r="I5778" t="s" s="2">
        <v>21</v>
      </c>
      <c r="J5778" t="s" s="2">
        <v>9204</v>
      </c>
      <c r="K5778" s="6"/>
      <c r="L5778" s="6"/>
      <c r="M5778" s="6"/>
      <c r="N5778" s="6"/>
      <c r="O5778" t="s" s="2">
        <v>25</v>
      </c>
      <c r="P5778" s="6"/>
      <c r="Q5778" t="s" s="2">
        <v>43</v>
      </c>
      <c r="R5778" s="5">
        <f>_xlfn.IFERROR(INDEX('model_byCAP'!$D$2:$D$377,MATCH(Q5778,'model_byCAP'!$A$2:$A$377,0)),0)</f>
        <v>0</v>
      </c>
    </row>
    <row r="5779" ht="15.35" customHeight="1">
      <c r="A5779" t="s" s="2">
        <v>10262</v>
      </c>
      <c r="B5779" s="4">
        <v>42111</v>
      </c>
      <c r="C5779" s="5">
        <v>10</v>
      </c>
      <c r="D5779" s="5">
        <v>7.1</v>
      </c>
      <c r="E5779" s="5">
        <v>21.3</v>
      </c>
      <c r="F5779" t="s" s="2">
        <v>42</v>
      </c>
      <c r="G5779" t="s" s="2">
        <v>42</v>
      </c>
      <c r="H5779" s="5">
        <v>787</v>
      </c>
      <c r="I5779" t="s" s="2">
        <v>21</v>
      </c>
      <c r="J5779" t="s" s="2">
        <v>9204</v>
      </c>
      <c r="K5779" s="6"/>
      <c r="L5779" s="6"/>
      <c r="M5779" s="6"/>
      <c r="N5779" s="6"/>
      <c r="O5779" t="s" s="2">
        <v>25</v>
      </c>
      <c r="P5779" s="6"/>
      <c r="Q5779" t="s" s="2">
        <v>43</v>
      </c>
      <c r="R5779" s="5">
        <f>_xlfn.IFERROR(INDEX('model_byCAP'!$D$2:$D$377,MATCH(Q5779,'model_byCAP'!$A$2:$A$377,0)),0)</f>
        <v>0</v>
      </c>
    </row>
    <row r="5780" ht="15.35" customHeight="1">
      <c r="A5780" t="s" s="2">
        <v>10263</v>
      </c>
      <c r="B5780" s="4">
        <v>42139</v>
      </c>
      <c r="C5780" s="5">
        <v>10</v>
      </c>
      <c r="D5780" s="5">
        <v>13</v>
      </c>
      <c r="E5780" s="5">
        <v>18.2</v>
      </c>
      <c r="F5780" t="s" s="2">
        <v>9471</v>
      </c>
      <c r="G5780" t="s" s="2">
        <v>9606</v>
      </c>
      <c r="H5780" s="5">
        <v>787</v>
      </c>
      <c r="I5780" t="s" s="2">
        <v>21</v>
      </c>
      <c r="J5780" t="s" s="2">
        <v>9204</v>
      </c>
      <c r="K5780" s="6"/>
      <c r="L5780" s="6"/>
      <c r="M5780" s="5">
        <v>498027.68</v>
      </c>
      <c r="N5780" s="5">
        <v>6321568.45</v>
      </c>
      <c r="O5780" t="s" s="2">
        <v>305</v>
      </c>
      <c r="P5780" s="6"/>
      <c r="Q5780" t="s" s="2">
        <v>9607</v>
      </c>
      <c r="R5780" s="5">
        <f>_xlfn.IFERROR(INDEX('model_byCAP'!$D$2:$D$377,MATCH(Q5780,'model_byCAP'!$A$2:$A$377,0)),0)</f>
        <v>0</v>
      </c>
    </row>
    <row r="5781" ht="15.35" customHeight="1">
      <c r="A5781" t="s" s="2">
        <v>10264</v>
      </c>
      <c r="B5781" s="4">
        <v>42115</v>
      </c>
      <c r="C5781" s="5">
        <v>10</v>
      </c>
      <c r="D5781" s="5">
        <v>7.1</v>
      </c>
      <c r="E5781" s="5">
        <v>21.4</v>
      </c>
      <c r="F5781" t="s" s="2">
        <v>42</v>
      </c>
      <c r="G5781" t="s" s="2">
        <v>42</v>
      </c>
      <c r="H5781" s="5">
        <v>787</v>
      </c>
      <c r="I5781" t="s" s="2">
        <v>21</v>
      </c>
      <c r="J5781" t="s" s="2">
        <v>9204</v>
      </c>
      <c r="K5781" s="6"/>
      <c r="L5781" s="6"/>
      <c r="M5781" s="5">
        <v>464432.94</v>
      </c>
      <c r="N5781" s="5">
        <v>6288559.46</v>
      </c>
      <c r="O5781" t="s" s="2">
        <v>305</v>
      </c>
      <c r="P5781" s="6"/>
      <c r="Q5781" t="s" s="2">
        <v>43</v>
      </c>
      <c r="R5781" s="5">
        <f>_xlfn.IFERROR(INDEX('model_byCAP'!$D$2:$D$377,MATCH(Q5781,'model_byCAP'!$A$2:$A$377,0)),0)</f>
        <v>0</v>
      </c>
    </row>
    <row r="5782" ht="15.35" customHeight="1">
      <c r="A5782" t="s" s="2">
        <v>10265</v>
      </c>
      <c r="B5782" s="4">
        <v>42115</v>
      </c>
      <c r="C5782" s="5">
        <v>10</v>
      </c>
      <c r="D5782" s="5">
        <v>7.1</v>
      </c>
      <c r="E5782" s="5">
        <v>21</v>
      </c>
      <c r="F5782" t="s" s="2">
        <v>42</v>
      </c>
      <c r="G5782" t="s" s="2">
        <v>42</v>
      </c>
      <c r="H5782" s="5">
        <v>787</v>
      </c>
      <c r="I5782" t="s" s="2">
        <v>21</v>
      </c>
      <c r="J5782" t="s" s="2">
        <v>9204</v>
      </c>
      <c r="K5782" s="6"/>
      <c r="L5782" s="6"/>
      <c r="M5782" s="5">
        <v>466190.14</v>
      </c>
      <c r="N5782" s="5">
        <v>6299910.49</v>
      </c>
      <c r="O5782" t="s" s="2">
        <v>9820</v>
      </c>
      <c r="P5782" s="6"/>
      <c r="Q5782" t="s" s="2">
        <v>43</v>
      </c>
      <c r="R5782" s="5">
        <f>_xlfn.IFERROR(INDEX('model_byCAP'!$D$2:$D$377,MATCH(Q5782,'model_byCAP'!$A$2:$A$377,0)),0)</f>
        <v>0</v>
      </c>
    </row>
    <row r="5783" ht="15.35" customHeight="1">
      <c r="A5783" t="s" s="2">
        <v>10266</v>
      </c>
      <c r="B5783" s="4">
        <v>42137</v>
      </c>
      <c r="C5783" s="5">
        <v>10</v>
      </c>
      <c r="D5783" s="5">
        <v>7.1</v>
      </c>
      <c r="E5783" s="5">
        <v>21.4</v>
      </c>
      <c r="F5783" t="s" s="2">
        <v>42</v>
      </c>
      <c r="G5783" t="s" s="2">
        <v>42</v>
      </c>
      <c r="H5783" s="5">
        <v>787</v>
      </c>
      <c r="I5783" t="s" s="2">
        <v>21</v>
      </c>
      <c r="J5783" t="s" s="2">
        <v>9204</v>
      </c>
      <c r="K5783" s="6"/>
      <c r="L5783" s="6"/>
      <c r="M5783" s="5">
        <v>463825.21</v>
      </c>
      <c r="N5783" s="5">
        <v>6292729.16</v>
      </c>
      <c r="O5783" t="s" s="2">
        <v>305</v>
      </c>
      <c r="P5783" s="6"/>
      <c r="Q5783" t="s" s="2">
        <v>43</v>
      </c>
      <c r="R5783" s="5">
        <f>_xlfn.IFERROR(INDEX('model_byCAP'!$D$2:$D$377,MATCH(Q5783,'model_byCAP'!$A$2:$A$377,0)),0)</f>
        <v>0</v>
      </c>
    </row>
    <row r="5784" ht="15.35" customHeight="1">
      <c r="A5784" t="s" s="2">
        <v>10267</v>
      </c>
      <c r="B5784" s="4">
        <v>42125</v>
      </c>
      <c r="C5784" s="5">
        <v>10</v>
      </c>
      <c r="D5784" s="5">
        <v>7.1</v>
      </c>
      <c r="E5784" s="5">
        <v>21.4</v>
      </c>
      <c r="F5784" t="s" s="2">
        <v>42</v>
      </c>
      <c r="G5784" t="s" s="2">
        <v>42</v>
      </c>
      <c r="H5784" s="5">
        <v>787</v>
      </c>
      <c r="I5784" t="s" s="2">
        <v>21</v>
      </c>
      <c r="J5784" t="s" s="2">
        <v>9204</v>
      </c>
      <c r="K5784" s="6"/>
      <c r="L5784" s="6"/>
      <c r="M5784" s="6"/>
      <c r="N5784" s="6"/>
      <c r="O5784" t="s" s="2">
        <v>25</v>
      </c>
      <c r="P5784" s="6"/>
      <c r="Q5784" t="s" s="2">
        <v>43</v>
      </c>
      <c r="R5784" s="5">
        <f>_xlfn.IFERROR(INDEX('model_byCAP'!$D$2:$D$377,MATCH(Q5784,'model_byCAP'!$A$2:$A$377,0)),0)</f>
        <v>0</v>
      </c>
    </row>
    <row r="5785" ht="15.35" customHeight="1">
      <c r="A5785" t="s" s="2">
        <v>10268</v>
      </c>
      <c r="B5785" s="4">
        <v>42158</v>
      </c>
      <c r="C5785" s="5">
        <v>10</v>
      </c>
      <c r="D5785" s="5">
        <v>14</v>
      </c>
      <c r="E5785" s="5">
        <v>18</v>
      </c>
      <c r="F5785" t="s" s="2">
        <v>9209</v>
      </c>
      <c r="G5785" t="s" s="2">
        <v>9638</v>
      </c>
      <c r="H5785" s="5">
        <v>787</v>
      </c>
      <c r="I5785" t="s" s="2">
        <v>21</v>
      </c>
      <c r="J5785" t="s" s="2">
        <v>9204</v>
      </c>
      <c r="K5785" s="6"/>
      <c r="L5785" s="6"/>
      <c r="M5785" s="5">
        <v>466989.35</v>
      </c>
      <c r="N5785" s="5">
        <v>6288321.72</v>
      </c>
      <c r="O5785" t="s" s="2">
        <v>305</v>
      </c>
      <c r="P5785" s="6"/>
      <c r="Q5785" t="s" s="2">
        <v>9639</v>
      </c>
      <c r="R5785" s="5">
        <f>_xlfn.IFERROR(INDEX('model_byCAP'!$D$2:$D$377,MATCH(Q5785,'model_byCAP'!$A$2:$A$377,0)),0)</f>
        <v>0</v>
      </c>
    </row>
    <row r="5786" ht="15.35" customHeight="1">
      <c r="A5786" t="s" s="2">
        <v>10269</v>
      </c>
      <c r="B5786" s="4">
        <v>42173</v>
      </c>
      <c r="C5786" s="5">
        <v>10</v>
      </c>
      <c r="D5786" s="5">
        <v>16</v>
      </c>
      <c r="E5786" s="5">
        <v>17</v>
      </c>
      <c r="F5786" t="s" s="2">
        <v>9209</v>
      </c>
      <c r="G5786" t="s" s="2">
        <v>9638</v>
      </c>
      <c r="H5786" s="5">
        <v>787</v>
      </c>
      <c r="I5786" t="s" s="2">
        <v>21</v>
      </c>
      <c r="J5786" t="s" s="2">
        <v>9204</v>
      </c>
      <c r="K5786" s="6"/>
      <c r="L5786" s="6"/>
      <c r="M5786" s="5">
        <v>484742.18</v>
      </c>
      <c r="N5786" s="5">
        <v>6315865.62</v>
      </c>
      <c r="O5786" t="s" s="2">
        <v>305</v>
      </c>
      <c r="P5786" s="6"/>
      <c r="Q5786" t="s" s="2">
        <v>9639</v>
      </c>
      <c r="R5786" s="5">
        <f>_xlfn.IFERROR(INDEX('model_byCAP'!$D$2:$D$377,MATCH(Q5786,'model_byCAP'!$A$2:$A$377,0)),0)</f>
        <v>0</v>
      </c>
    </row>
    <row r="5787" ht="15.35" customHeight="1">
      <c r="A5787" t="s" s="2">
        <v>10270</v>
      </c>
      <c r="B5787" s="4">
        <v>42165</v>
      </c>
      <c r="C5787" s="5">
        <v>10</v>
      </c>
      <c r="D5787" s="5">
        <v>14</v>
      </c>
      <c r="E5787" s="5">
        <v>18</v>
      </c>
      <c r="F5787" t="s" s="2">
        <v>9209</v>
      </c>
      <c r="G5787" t="s" s="2">
        <v>9638</v>
      </c>
      <c r="H5787" s="5">
        <v>787</v>
      </c>
      <c r="I5787" t="s" s="2">
        <v>21</v>
      </c>
      <c r="J5787" t="s" s="2">
        <v>9204</v>
      </c>
      <c r="K5787" s="6"/>
      <c r="L5787" s="6"/>
      <c r="M5787" s="6"/>
      <c r="N5787" s="6"/>
      <c r="O5787" t="s" s="2">
        <v>25</v>
      </c>
      <c r="P5787" s="6"/>
      <c r="Q5787" t="s" s="2">
        <v>9639</v>
      </c>
      <c r="R5787" s="5">
        <f>_xlfn.IFERROR(INDEX('model_byCAP'!$D$2:$D$377,MATCH(Q5787,'model_byCAP'!$A$2:$A$377,0)),0)</f>
        <v>0</v>
      </c>
    </row>
    <row r="5788" ht="15.35" customHeight="1">
      <c r="A5788" t="s" s="2">
        <v>10271</v>
      </c>
      <c r="B5788" s="4">
        <v>42178</v>
      </c>
      <c r="C5788" s="5">
        <v>10</v>
      </c>
      <c r="D5788" s="5">
        <v>14</v>
      </c>
      <c r="E5788" s="5">
        <v>18</v>
      </c>
      <c r="F5788" t="s" s="2">
        <v>9209</v>
      </c>
      <c r="G5788" t="s" s="2">
        <v>9638</v>
      </c>
      <c r="H5788" s="5">
        <v>787</v>
      </c>
      <c r="I5788" t="s" s="2">
        <v>21</v>
      </c>
      <c r="J5788" t="s" s="2">
        <v>9204</v>
      </c>
      <c r="K5788" s="6"/>
      <c r="L5788" s="6"/>
      <c r="M5788" s="5">
        <v>463829.35</v>
      </c>
      <c r="N5788" s="5">
        <v>6297332.3</v>
      </c>
      <c r="O5788" t="s" s="2">
        <v>305</v>
      </c>
      <c r="P5788" s="6"/>
      <c r="Q5788" t="s" s="2">
        <v>9639</v>
      </c>
      <c r="R5788" s="5">
        <f>_xlfn.IFERROR(INDEX('model_byCAP'!$D$2:$D$377,MATCH(Q5788,'model_byCAP'!$A$2:$A$377,0)),0)</f>
        <v>0</v>
      </c>
    </row>
    <row r="5789" ht="15.35" customHeight="1">
      <c r="A5789" t="s" s="2">
        <v>10272</v>
      </c>
      <c r="B5789" s="4">
        <v>42237</v>
      </c>
      <c r="C5789" s="5">
        <v>10</v>
      </c>
      <c r="D5789" s="5">
        <v>7.1</v>
      </c>
      <c r="E5789" s="5">
        <v>21.4</v>
      </c>
      <c r="F5789" t="s" s="2">
        <v>42</v>
      </c>
      <c r="G5789" t="s" s="2">
        <v>42</v>
      </c>
      <c r="H5789" s="5">
        <v>787</v>
      </c>
      <c r="I5789" t="s" s="2">
        <v>21</v>
      </c>
      <c r="J5789" t="s" s="2">
        <v>9204</v>
      </c>
      <c r="K5789" s="6"/>
      <c r="L5789" s="6"/>
      <c r="M5789" s="5">
        <v>472812.63</v>
      </c>
      <c r="N5789" s="5">
        <v>6301312.64</v>
      </c>
      <c r="O5789" t="s" s="2">
        <v>305</v>
      </c>
      <c r="P5789" s="6"/>
      <c r="Q5789" t="s" s="2">
        <v>43</v>
      </c>
      <c r="R5789" s="5">
        <f>_xlfn.IFERROR(INDEX('model_byCAP'!$D$2:$D$377,MATCH(Q5789,'model_byCAP'!$A$2:$A$377,0)),0)</f>
        <v>0</v>
      </c>
    </row>
    <row r="5790" ht="15.35" customHeight="1">
      <c r="A5790" t="s" s="2">
        <v>10273</v>
      </c>
      <c r="B5790" s="4">
        <v>42259</v>
      </c>
      <c r="C5790" s="5">
        <v>10</v>
      </c>
      <c r="D5790" s="5">
        <v>7.1</v>
      </c>
      <c r="E5790" s="5">
        <v>21.4</v>
      </c>
      <c r="F5790" t="s" s="2">
        <v>42</v>
      </c>
      <c r="G5790" t="s" s="2">
        <v>42</v>
      </c>
      <c r="H5790" s="5">
        <v>787</v>
      </c>
      <c r="I5790" t="s" s="2">
        <v>21</v>
      </c>
      <c r="J5790" t="s" s="2">
        <v>9204</v>
      </c>
      <c r="K5790" s="6"/>
      <c r="L5790" s="6"/>
      <c r="M5790" s="6"/>
      <c r="N5790" s="6"/>
      <c r="O5790" t="s" s="2">
        <v>25</v>
      </c>
      <c r="P5790" s="6"/>
      <c r="Q5790" t="s" s="2">
        <v>43</v>
      </c>
      <c r="R5790" s="5">
        <f>_xlfn.IFERROR(INDEX('model_byCAP'!$D$2:$D$377,MATCH(Q5790,'model_byCAP'!$A$2:$A$377,0)),0)</f>
        <v>0</v>
      </c>
    </row>
    <row r="5791" ht="15.35" customHeight="1">
      <c r="A5791" t="s" s="2">
        <v>10274</v>
      </c>
      <c r="B5791" s="4">
        <v>42222</v>
      </c>
      <c r="C5791" s="5">
        <v>10</v>
      </c>
      <c r="D5791" s="5">
        <v>7.1</v>
      </c>
      <c r="E5791" s="5">
        <v>21.4</v>
      </c>
      <c r="F5791" t="s" s="2">
        <v>42</v>
      </c>
      <c r="G5791" t="s" s="2">
        <v>42</v>
      </c>
      <c r="H5791" s="5">
        <v>787</v>
      </c>
      <c r="I5791" t="s" s="2">
        <v>21</v>
      </c>
      <c r="J5791" t="s" s="2">
        <v>9204</v>
      </c>
      <c r="K5791" s="6"/>
      <c r="L5791" s="6"/>
      <c r="M5791" s="5">
        <v>459707.45</v>
      </c>
      <c r="N5791" s="5">
        <v>6289342.41</v>
      </c>
      <c r="O5791" t="s" s="2">
        <v>305</v>
      </c>
      <c r="P5791" s="6"/>
      <c r="Q5791" t="s" s="2">
        <v>43</v>
      </c>
      <c r="R5791" s="5">
        <f>_xlfn.IFERROR(INDEX('model_byCAP'!$D$2:$D$377,MATCH(Q5791,'model_byCAP'!$A$2:$A$377,0)),0)</f>
        <v>0</v>
      </c>
    </row>
    <row r="5792" ht="15.35" customHeight="1">
      <c r="A5792" t="s" s="2">
        <v>10275</v>
      </c>
      <c r="B5792" s="4">
        <v>42222</v>
      </c>
      <c r="C5792" s="5">
        <v>10</v>
      </c>
      <c r="D5792" s="5">
        <v>7.1</v>
      </c>
      <c r="E5792" s="5">
        <v>21.4</v>
      </c>
      <c r="F5792" t="s" s="2">
        <v>42</v>
      </c>
      <c r="G5792" t="s" s="2">
        <v>42</v>
      </c>
      <c r="H5792" s="5">
        <v>787</v>
      </c>
      <c r="I5792" t="s" s="2">
        <v>21</v>
      </c>
      <c r="J5792" t="s" s="2">
        <v>9204</v>
      </c>
      <c r="K5792" s="6"/>
      <c r="L5792" s="6"/>
      <c r="M5792" s="5">
        <v>459273.15</v>
      </c>
      <c r="N5792" s="5">
        <v>6289448.41</v>
      </c>
      <c r="O5792" t="s" s="2">
        <v>305</v>
      </c>
      <c r="P5792" s="6"/>
      <c r="Q5792" t="s" s="2">
        <v>43</v>
      </c>
      <c r="R5792" s="5">
        <f>_xlfn.IFERROR(INDEX('model_byCAP'!$D$2:$D$377,MATCH(Q5792,'model_byCAP'!$A$2:$A$377,0)),0)</f>
        <v>0</v>
      </c>
    </row>
    <row r="5793" ht="15.35" customHeight="1">
      <c r="A5793" t="s" s="2">
        <v>10276</v>
      </c>
      <c r="B5793" s="4">
        <v>42223</v>
      </c>
      <c r="C5793" s="5">
        <v>10</v>
      </c>
      <c r="D5793" s="5">
        <v>7.1</v>
      </c>
      <c r="E5793" s="5">
        <v>21.4</v>
      </c>
      <c r="F5793" t="s" s="2">
        <v>42</v>
      </c>
      <c r="G5793" t="s" s="2">
        <v>42</v>
      </c>
      <c r="H5793" s="5">
        <v>787</v>
      </c>
      <c r="I5793" t="s" s="2">
        <v>21</v>
      </c>
      <c r="J5793" t="s" s="2">
        <v>9204</v>
      </c>
      <c r="K5793" s="6"/>
      <c r="L5793" s="6"/>
      <c r="M5793" s="5">
        <v>466949.68</v>
      </c>
      <c r="N5793" s="5">
        <v>6292641.24</v>
      </c>
      <c r="O5793" t="s" s="2">
        <v>305</v>
      </c>
      <c r="P5793" s="6"/>
      <c r="Q5793" t="s" s="2">
        <v>43</v>
      </c>
      <c r="R5793" s="5">
        <f>_xlfn.IFERROR(INDEX('model_byCAP'!$D$2:$D$377,MATCH(Q5793,'model_byCAP'!$A$2:$A$377,0)),0)</f>
        <v>0</v>
      </c>
    </row>
    <row r="5794" ht="15.35" customHeight="1">
      <c r="A5794" t="s" s="2">
        <v>10277</v>
      </c>
      <c r="B5794" s="4">
        <v>42237</v>
      </c>
      <c r="C5794" s="5">
        <v>10</v>
      </c>
      <c r="D5794" s="5">
        <v>7.1</v>
      </c>
      <c r="E5794" s="5">
        <v>21.4</v>
      </c>
      <c r="F5794" t="s" s="2">
        <v>42</v>
      </c>
      <c r="G5794" t="s" s="2">
        <v>42</v>
      </c>
      <c r="H5794" s="5">
        <v>787</v>
      </c>
      <c r="I5794" t="s" s="2">
        <v>21</v>
      </c>
      <c r="J5794" t="s" s="2">
        <v>9204</v>
      </c>
      <c r="K5794" s="6"/>
      <c r="L5794" s="6"/>
      <c r="M5794" s="5">
        <v>467025.07</v>
      </c>
      <c r="N5794" s="5">
        <v>6306034.68</v>
      </c>
      <c r="O5794" t="s" s="2">
        <v>305</v>
      </c>
      <c r="P5794" s="6"/>
      <c r="Q5794" t="s" s="2">
        <v>43</v>
      </c>
      <c r="R5794" s="5">
        <f>_xlfn.IFERROR(INDEX('model_byCAP'!$D$2:$D$377,MATCH(Q5794,'model_byCAP'!$A$2:$A$377,0)),0)</f>
        <v>0</v>
      </c>
    </row>
    <row r="5795" ht="15.35" customHeight="1">
      <c r="A5795" t="s" s="2">
        <v>10278</v>
      </c>
      <c r="B5795" s="4">
        <v>42236</v>
      </c>
      <c r="C5795" s="5">
        <v>10</v>
      </c>
      <c r="D5795" s="5">
        <v>7.1</v>
      </c>
      <c r="E5795" s="5">
        <v>21.4</v>
      </c>
      <c r="F5795" t="s" s="2">
        <v>42</v>
      </c>
      <c r="G5795" t="s" s="2">
        <v>42</v>
      </c>
      <c r="H5795" s="5">
        <v>787</v>
      </c>
      <c r="I5795" t="s" s="2">
        <v>21</v>
      </c>
      <c r="J5795" t="s" s="2">
        <v>9204</v>
      </c>
      <c r="K5795" s="6"/>
      <c r="L5795" s="6"/>
      <c r="M5795" s="6"/>
      <c r="N5795" s="6"/>
      <c r="O5795" t="s" s="2">
        <v>25</v>
      </c>
      <c r="P5795" s="6"/>
      <c r="Q5795" t="s" s="2">
        <v>43</v>
      </c>
      <c r="R5795" s="5">
        <f>_xlfn.IFERROR(INDEX('model_byCAP'!$D$2:$D$377,MATCH(Q5795,'model_byCAP'!$A$2:$A$377,0)),0)</f>
        <v>0</v>
      </c>
    </row>
    <row r="5796" ht="15.35" customHeight="1">
      <c r="A5796" t="s" s="2">
        <v>10279</v>
      </c>
      <c r="B5796" s="4">
        <v>42261</v>
      </c>
      <c r="C5796" s="5">
        <v>10</v>
      </c>
      <c r="D5796" s="5">
        <v>7.1</v>
      </c>
      <c r="E5796" s="5">
        <v>21.4</v>
      </c>
      <c r="F5796" t="s" s="2">
        <v>42</v>
      </c>
      <c r="G5796" t="s" s="2">
        <v>42</v>
      </c>
      <c r="H5796" s="5">
        <v>787</v>
      </c>
      <c r="I5796" t="s" s="2">
        <v>21</v>
      </c>
      <c r="J5796" t="s" s="2">
        <v>9204</v>
      </c>
      <c r="K5796" s="6"/>
      <c r="L5796" s="6"/>
      <c r="M5796" s="6"/>
      <c r="N5796" s="6"/>
      <c r="O5796" t="s" s="2">
        <v>25</v>
      </c>
      <c r="P5796" s="6"/>
      <c r="Q5796" t="s" s="2">
        <v>43</v>
      </c>
      <c r="R5796" s="5">
        <f>_xlfn.IFERROR(INDEX('model_byCAP'!$D$2:$D$377,MATCH(Q5796,'model_byCAP'!$A$2:$A$377,0)),0)</f>
        <v>0</v>
      </c>
    </row>
    <row r="5797" ht="15.35" customHeight="1">
      <c r="A5797" t="s" s="2">
        <v>10280</v>
      </c>
      <c r="B5797" s="4">
        <v>42223</v>
      </c>
      <c r="C5797" s="5">
        <v>10</v>
      </c>
      <c r="D5797" s="5">
        <v>7.1</v>
      </c>
      <c r="E5797" s="5">
        <v>21.4</v>
      </c>
      <c r="F5797" t="s" s="2">
        <v>42</v>
      </c>
      <c r="G5797" t="s" s="2">
        <v>42</v>
      </c>
      <c r="H5797" s="5">
        <v>787</v>
      </c>
      <c r="I5797" t="s" s="2">
        <v>21</v>
      </c>
      <c r="J5797" t="s" s="2">
        <v>9204</v>
      </c>
      <c r="K5797" s="6"/>
      <c r="L5797" s="6"/>
      <c r="M5797" s="5">
        <v>466815.61</v>
      </c>
      <c r="N5797" s="5">
        <v>6292408.26</v>
      </c>
      <c r="O5797" t="s" s="2">
        <v>305</v>
      </c>
      <c r="P5797" s="6"/>
      <c r="Q5797" t="s" s="2">
        <v>43</v>
      </c>
      <c r="R5797" s="5">
        <f>_xlfn.IFERROR(INDEX('model_byCAP'!$D$2:$D$377,MATCH(Q5797,'model_byCAP'!$A$2:$A$377,0)),0)</f>
        <v>0</v>
      </c>
    </row>
    <row r="5798" ht="15.35" customHeight="1">
      <c r="A5798" t="s" s="2">
        <v>10281</v>
      </c>
      <c r="B5798" s="4">
        <v>42262</v>
      </c>
      <c r="C5798" s="5">
        <v>10</v>
      </c>
      <c r="D5798" s="5">
        <v>14</v>
      </c>
      <c r="E5798" s="5">
        <v>18</v>
      </c>
      <c r="F5798" t="s" s="2">
        <v>9209</v>
      </c>
      <c r="G5798" t="s" s="2">
        <v>9293</v>
      </c>
      <c r="H5798" s="5">
        <v>787</v>
      </c>
      <c r="I5798" t="s" s="2">
        <v>21</v>
      </c>
      <c r="J5798" t="s" s="2">
        <v>9204</v>
      </c>
      <c r="K5798" s="6"/>
      <c r="L5798" s="6"/>
      <c r="M5798" s="6"/>
      <c r="N5798" s="6"/>
      <c r="O5798" t="s" s="2">
        <v>25</v>
      </c>
      <c r="P5798" s="6"/>
      <c r="Q5798" t="s" s="2">
        <v>9295</v>
      </c>
      <c r="R5798" t="s" s="2">
        <f>_xlfn.IFERROR(INDEX('model_byCAP'!$D$2:$D$377,MATCH(Q5798,'model_byCAP'!$A$2:$A$377,0)),0)</f>
        <v>8430</v>
      </c>
    </row>
    <row r="5799" ht="15.35" customHeight="1">
      <c r="A5799" t="s" s="2">
        <v>10282</v>
      </c>
      <c r="B5799" s="4">
        <v>42263</v>
      </c>
      <c r="C5799" s="5">
        <v>10</v>
      </c>
      <c r="D5799" s="5">
        <v>14</v>
      </c>
      <c r="E5799" s="5">
        <v>18</v>
      </c>
      <c r="F5799" t="s" s="2">
        <v>9209</v>
      </c>
      <c r="G5799" t="s" s="2">
        <v>9293</v>
      </c>
      <c r="H5799" s="5">
        <v>787</v>
      </c>
      <c r="I5799" t="s" s="2">
        <v>21</v>
      </c>
      <c r="J5799" t="s" s="2">
        <v>9204</v>
      </c>
      <c r="K5799" s="6"/>
      <c r="L5799" s="6"/>
      <c r="M5799" s="5">
        <v>470539.82</v>
      </c>
      <c r="N5799" s="5">
        <v>6309719.95</v>
      </c>
      <c r="O5799" t="s" s="2">
        <v>305</v>
      </c>
      <c r="P5799" s="6"/>
      <c r="Q5799" t="s" s="2">
        <v>9295</v>
      </c>
      <c r="R5799" t="s" s="2">
        <f>_xlfn.IFERROR(INDEX('model_byCAP'!$D$2:$D$377,MATCH(Q5799,'model_byCAP'!$A$2:$A$377,0)),0)</f>
        <v>8430</v>
      </c>
    </row>
    <row r="5800" ht="15.35" customHeight="1">
      <c r="A5800" t="s" s="2">
        <v>10283</v>
      </c>
      <c r="B5800" s="4">
        <v>42276</v>
      </c>
      <c r="C5800" s="5">
        <v>10</v>
      </c>
      <c r="D5800" s="5">
        <v>7.1</v>
      </c>
      <c r="E5800" s="5">
        <v>21.4</v>
      </c>
      <c r="F5800" t="s" s="2">
        <v>42</v>
      </c>
      <c r="G5800" t="s" s="2">
        <v>42</v>
      </c>
      <c r="H5800" s="5">
        <v>787</v>
      </c>
      <c r="I5800" t="s" s="2">
        <v>21</v>
      </c>
      <c r="J5800" t="s" s="2">
        <v>9204</v>
      </c>
      <c r="K5800" s="6"/>
      <c r="L5800" s="6"/>
      <c r="M5800" s="5">
        <v>487449.21</v>
      </c>
      <c r="N5800" s="5">
        <v>6323300.71</v>
      </c>
      <c r="O5800" t="s" s="2">
        <v>305</v>
      </c>
      <c r="P5800" s="6"/>
      <c r="Q5800" t="s" s="2">
        <v>43</v>
      </c>
      <c r="R5800" s="5">
        <f>_xlfn.IFERROR(INDEX('model_byCAP'!$D$2:$D$377,MATCH(Q5800,'model_byCAP'!$A$2:$A$377,0)),0)</f>
        <v>0</v>
      </c>
    </row>
    <row r="5801" ht="15.35" customHeight="1">
      <c r="A5801" t="s" s="2">
        <v>10284</v>
      </c>
      <c r="B5801" s="4">
        <v>42276</v>
      </c>
      <c r="C5801" s="5">
        <v>10</v>
      </c>
      <c r="D5801" s="5">
        <v>14</v>
      </c>
      <c r="E5801" s="5">
        <v>18</v>
      </c>
      <c r="F5801" t="s" s="2">
        <v>9209</v>
      </c>
      <c r="G5801" t="s" s="2">
        <v>9293</v>
      </c>
      <c r="H5801" s="5">
        <v>787</v>
      </c>
      <c r="I5801" t="s" s="2">
        <v>21</v>
      </c>
      <c r="J5801" t="s" s="2">
        <v>9204</v>
      </c>
      <c r="K5801" s="6"/>
      <c r="L5801" s="6"/>
      <c r="M5801" s="5">
        <v>467040.71</v>
      </c>
      <c r="N5801" s="5">
        <v>6304371.99</v>
      </c>
      <c r="O5801" t="s" s="2">
        <v>305</v>
      </c>
      <c r="P5801" s="6"/>
      <c r="Q5801" t="s" s="2">
        <v>9295</v>
      </c>
      <c r="R5801" t="s" s="2">
        <f>_xlfn.IFERROR(INDEX('model_byCAP'!$D$2:$D$377,MATCH(Q5801,'model_byCAP'!$A$2:$A$377,0)),0)</f>
        <v>8430</v>
      </c>
    </row>
    <row r="5802" ht="15.35" customHeight="1">
      <c r="A5802" t="s" s="2">
        <v>10285</v>
      </c>
      <c r="B5802" s="4">
        <v>42278</v>
      </c>
      <c r="C5802" s="5">
        <v>10</v>
      </c>
      <c r="D5802" s="5">
        <v>7.1</v>
      </c>
      <c r="E5802" s="5">
        <v>21.4</v>
      </c>
      <c r="F5802" t="s" s="2">
        <v>42</v>
      </c>
      <c r="G5802" t="s" s="2">
        <v>42</v>
      </c>
      <c r="H5802" s="5">
        <v>787</v>
      </c>
      <c r="I5802" t="s" s="2">
        <v>21</v>
      </c>
      <c r="J5802" t="s" s="2">
        <v>9204</v>
      </c>
      <c r="K5802" s="6"/>
      <c r="L5802" s="6"/>
      <c r="M5802" s="5">
        <v>475864.42</v>
      </c>
      <c r="N5802" s="5">
        <v>6307493.11</v>
      </c>
      <c r="O5802" t="s" s="2">
        <v>305</v>
      </c>
      <c r="P5802" s="6"/>
      <c r="Q5802" t="s" s="2">
        <v>43</v>
      </c>
      <c r="R5802" s="5">
        <f>_xlfn.IFERROR(INDEX('model_byCAP'!$D$2:$D$377,MATCH(Q5802,'model_byCAP'!$A$2:$A$377,0)),0)</f>
        <v>0</v>
      </c>
    </row>
    <row r="5803" ht="15.35" customHeight="1">
      <c r="A5803" t="s" s="2">
        <v>10286</v>
      </c>
      <c r="B5803" s="4">
        <v>42278</v>
      </c>
      <c r="C5803" s="5">
        <v>10</v>
      </c>
      <c r="D5803" s="5">
        <v>7.1</v>
      </c>
      <c r="E5803" s="5">
        <v>21.4</v>
      </c>
      <c r="F5803" t="s" s="2">
        <v>42</v>
      </c>
      <c r="G5803" t="s" s="2">
        <v>42</v>
      </c>
      <c r="H5803" s="5">
        <v>787</v>
      </c>
      <c r="I5803" t="s" s="2">
        <v>21</v>
      </c>
      <c r="J5803" t="s" s="2">
        <v>9204</v>
      </c>
      <c r="K5803" s="6"/>
      <c r="L5803" s="6"/>
      <c r="M5803" s="5">
        <v>476225.36</v>
      </c>
      <c r="N5803" s="5">
        <v>6319053.86</v>
      </c>
      <c r="O5803" t="s" s="2">
        <v>305</v>
      </c>
      <c r="P5803" s="6"/>
      <c r="Q5803" t="s" s="2">
        <v>43</v>
      </c>
      <c r="R5803" s="5">
        <f>_xlfn.IFERROR(INDEX('model_byCAP'!$D$2:$D$377,MATCH(Q5803,'model_byCAP'!$A$2:$A$377,0)),0)</f>
        <v>0</v>
      </c>
    </row>
    <row r="5804" ht="15.35" customHeight="1">
      <c r="A5804" t="s" s="2">
        <v>10287</v>
      </c>
      <c r="B5804" s="4">
        <v>42279</v>
      </c>
      <c r="C5804" s="5">
        <v>10</v>
      </c>
      <c r="D5804" s="5">
        <v>7.1</v>
      </c>
      <c r="E5804" s="5">
        <v>21.4</v>
      </c>
      <c r="F5804" t="s" s="2">
        <v>42</v>
      </c>
      <c r="G5804" t="s" s="2">
        <v>42</v>
      </c>
      <c r="H5804" s="5">
        <v>787</v>
      </c>
      <c r="I5804" t="s" s="2">
        <v>21</v>
      </c>
      <c r="J5804" t="s" s="2">
        <v>9204</v>
      </c>
      <c r="K5804" s="6"/>
      <c r="L5804" s="6"/>
      <c r="M5804" s="5">
        <v>458113.19</v>
      </c>
      <c r="N5804" s="5">
        <v>6289044.14</v>
      </c>
      <c r="O5804" t="s" s="2">
        <v>305</v>
      </c>
      <c r="P5804" s="6"/>
      <c r="Q5804" t="s" s="2">
        <v>43</v>
      </c>
      <c r="R5804" s="5">
        <f>_xlfn.IFERROR(INDEX('model_byCAP'!$D$2:$D$377,MATCH(Q5804,'model_byCAP'!$A$2:$A$377,0)),0)</f>
        <v>0</v>
      </c>
    </row>
    <row r="5805" ht="15.35" customHeight="1">
      <c r="A5805" t="s" s="2">
        <v>10288</v>
      </c>
      <c r="B5805" s="4">
        <v>42279</v>
      </c>
      <c r="C5805" s="5">
        <v>10</v>
      </c>
      <c r="D5805" s="5">
        <v>7.1</v>
      </c>
      <c r="E5805" s="5">
        <v>21.4</v>
      </c>
      <c r="F5805" t="s" s="2">
        <v>42</v>
      </c>
      <c r="G5805" t="s" s="2">
        <v>42</v>
      </c>
      <c r="H5805" s="5">
        <v>787</v>
      </c>
      <c r="I5805" t="s" s="2">
        <v>21</v>
      </c>
      <c r="J5805" t="s" s="2">
        <v>9204</v>
      </c>
      <c r="K5805" s="6"/>
      <c r="L5805" s="6"/>
      <c r="M5805" s="6"/>
      <c r="N5805" s="6"/>
      <c r="O5805" t="s" s="2">
        <v>25</v>
      </c>
      <c r="P5805" s="6"/>
      <c r="Q5805" t="s" s="2">
        <v>43</v>
      </c>
      <c r="R5805" s="5">
        <f>_xlfn.IFERROR(INDEX('model_byCAP'!$D$2:$D$377,MATCH(Q5805,'model_byCAP'!$A$2:$A$377,0)),0)</f>
        <v>0</v>
      </c>
    </row>
    <row r="5806" ht="15.35" customHeight="1">
      <c r="A5806" t="s" s="2">
        <v>10289</v>
      </c>
      <c r="B5806" s="4">
        <v>42296</v>
      </c>
      <c r="C5806" s="5">
        <v>10</v>
      </c>
      <c r="D5806" s="5">
        <v>14</v>
      </c>
      <c r="E5806" s="5">
        <v>18</v>
      </c>
      <c r="F5806" t="s" s="2">
        <v>9209</v>
      </c>
      <c r="G5806" t="s" s="2">
        <v>9293</v>
      </c>
      <c r="H5806" s="5">
        <v>787</v>
      </c>
      <c r="I5806" t="s" s="2">
        <v>21</v>
      </c>
      <c r="J5806" t="s" s="2">
        <v>9204</v>
      </c>
      <c r="K5806" s="6"/>
      <c r="L5806" s="6"/>
      <c r="M5806" s="6"/>
      <c r="N5806" s="6"/>
      <c r="O5806" t="s" s="2">
        <v>25</v>
      </c>
      <c r="P5806" s="6"/>
      <c r="Q5806" t="s" s="2">
        <v>9295</v>
      </c>
      <c r="R5806" t="s" s="2">
        <f>_xlfn.IFERROR(INDEX('model_byCAP'!$D$2:$D$377,MATCH(Q5806,'model_byCAP'!$A$2:$A$377,0)),0)</f>
        <v>8430</v>
      </c>
    </row>
    <row r="5807" ht="15.35" customHeight="1">
      <c r="A5807" t="s" s="2">
        <v>10290</v>
      </c>
      <c r="B5807" s="4">
        <v>42312</v>
      </c>
      <c r="C5807" s="5">
        <v>10</v>
      </c>
      <c r="D5807" s="5">
        <v>7.1</v>
      </c>
      <c r="E5807" s="5">
        <v>21.4</v>
      </c>
      <c r="F5807" t="s" s="2">
        <v>42</v>
      </c>
      <c r="G5807" t="s" s="2">
        <v>42</v>
      </c>
      <c r="H5807" s="5">
        <v>787</v>
      </c>
      <c r="I5807" t="s" s="2">
        <v>21</v>
      </c>
      <c r="J5807" t="s" s="2">
        <v>9204</v>
      </c>
      <c r="K5807" s="6"/>
      <c r="L5807" s="6"/>
      <c r="M5807" s="5">
        <v>488798.5</v>
      </c>
      <c r="N5807" s="5">
        <v>6322968.78</v>
      </c>
      <c r="O5807" t="s" s="2">
        <v>305</v>
      </c>
      <c r="P5807" s="6"/>
      <c r="Q5807" t="s" s="2">
        <v>43</v>
      </c>
      <c r="R5807" s="5">
        <f>_xlfn.IFERROR(INDEX('model_byCAP'!$D$2:$D$377,MATCH(Q5807,'model_byCAP'!$A$2:$A$377,0)),0)</f>
        <v>0</v>
      </c>
    </row>
    <row r="5808" ht="15.35" customHeight="1">
      <c r="A5808" t="s" s="2">
        <v>10291</v>
      </c>
      <c r="B5808" s="4">
        <v>42314</v>
      </c>
      <c r="C5808" s="5">
        <v>10</v>
      </c>
      <c r="D5808" s="5">
        <v>7.1</v>
      </c>
      <c r="E5808" s="5">
        <v>21.4</v>
      </c>
      <c r="F5808" t="s" s="2">
        <v>42</v>
      </c>
      <c r="G5808" t="s" s="2">
        <v>42</v>
      </c>
      <c r="H5808" s="5">
        <v>787</v>
      </c>
      <c r="I5808" t="s" s="2">
        <v>21</v>
      </c>
      <c r="J5808" t="s" s="2">
        <v>9204</v>
      </c>
      <c r="K5808" s="6"/>
      <c r="L5808" s="6"/>
      <c r="M5808" s="6"/>
      <c r="N5808" s="6"/>
      <c r="O5808" t="s" s="2">
        <v>25</v>
      </c>
      <c r="P5808" s="6"/>
      <c r="Q5808" t="s" s="2">
        <v>43</v>
      </c>
      <c r="R5808" s="5">
        <f>_xlfn.IFERROR(INDEX('model_byCAP'!$D$2:$D$377,MATCH(Q5808,'model_byCAP'!$A$2:$A$377,0)),0)</f>
        <v>0</v>
      </c>
    </row>
    <row r="5809" ht="15.35" customHeight="1">
      <c r="A5809" t="s" s="2">
        <v>10292</v>
      </c>
      <c r="B5809" s="4">
        <v>42321</v>
      </c>
      <c r="C5809" s="5">
        <v>10</v>
      </c>
      <c r="D5809" s="5">
        <v>7.1</v>
      </c>
      <c r="E5809" s="5">
        <v>21.4</v>
      </c>
      <c r="F5809" t="s" s="2">
        <v>42</v>
      </c>
      <c r="G5809" t="s" s="2">
        <v>42</v>
      </c>
      <c r="H5809" s="5">
        <v>787</v>
      </c>
      <c r="I5809" t="s" s="2">
        <v>21</v>
      </c>
      <c r="J5809" t="s" s="2">
        <v>9204</v>
      </c>
      <c r="K5809" s="6"/>
      <c r="L5809" s="6"/>
      <c r="M5809" s="5">
        <v>489096.46</v>
      </c>
      <c r="N5809" s="5">
        <v>6319702.58</v>
      </c>
      <c r="O5809" t="s" s="2">
        <v>305</v>
      </c>
      <c r="P5809" s="6"/>
      <c r="Q5809" t="s" s="2">
        <v>43</v>
      </c>
      <c r="R5809" s="5">
        <f>_xlfn.IFERROR(INDEX('model_byCAP'!$D$2:$D$377,MATCH(Q5809,'model_byCAP'!$A$2:$A$377,0)),0)</f>
        <v>0</v>
      </c>
    </row>
    <row r="5810" ht="15.35" customHeight="1">
      <c r="A5810" t="s" s="2">
        <v>10293</v>
      </c>
      <c r="B5810" s="4">
        <v>42329</v>
      </c>
      <c r="C5810" s="5">
        <v>10</v>
      </c>
      <c r="D5810" s="5">
        <v>7.1</v>
      </c>
      <c r="E5810" s="5">
        <v>21.4</v>
      </c>
      <c r="F5810" t="s" s="2">
        <v>42</v>
      </c>
      <c r="G5810" t="s" s="2">
        <v>42</v>
      </c>
      <c r="H5810" s="5">
        <v>787</v>
      </c>
      <c r="I5810" t="s" s="2">
        <v>21</v>
      </c>
      <c r="J5810" t="s" s="2">
        <v>9204</v>
      </c>
      <c r="K5810" s="6"/>
      <c r="L5810" s="6"/>
      <c r="M5810" s="6"/>
      <c r="N5810" s="6"/>
      <c r="O5810" t="s" s="2">
        <v>25</v>
      </c>
      <c r="P5810" s="6"/>
      <c r="Q5810" t="s" s="2">
        <v>43</v>
      </c>
      <c r="R5810" s="5">
        <f>_xlfn.IFERROR(INDEX('model_byCAP'!$D$2:$D$377,MATCH(Q5810,'model_byCAP'!$A$2:$A$377,0)),0)</f>
        <v>0</v>
      </c>
    </row>
    <row r="5811" ht="15.35" customHeight="1">
      <c r="A5811" t="s" s="2">
        <v>10294</v>
      </c>
      <c r="B5811" s="4">
        <v>42329</v>
      </c>
      <c r="C5811" s="5">
        <v>10</v>
      </c>
      <c r="D5811" s="5">
        <v>14</v>
      </c>
      <c r="E5811" s="5">
        <v>18</v>
      </c>
      <c r="F5811" t="s" s="2">
        <v>9209</v>
      </c>
      <c r="G5811" t="s" s="2">
        <v>9210</v>
      </c>
      <c r="H5811" s="5">
        <v>787</v>
      </c>
      <c r="I5811" t="s" s="2">
        <v>21</v>
      </c>
      <c r="J5811" t="s" s="2">
        <v>9204</v>
      </c>
      <c r="K5811" s="6"/>
      <c r="L5811" s="6"/>
      <c r="M5811" s="5">
        <v>469495.91</v>
      </c>
      <c r="N5811" s="5">
        <v>6310512.78</v>
      </c>
      <c r="O5811" t="s" s="2">
        <v>305</v>
      </c>
      <c r="P5811" s="6"/>
      <c r="Q5811" t="s" s="2">
        <v>9211</v>
      </c>
      <c r="R5811" t="s" s="2">
        <f>_xlfn.IFERROR(INDEX('model_byCAP'!$D$2:$D$377,MATCH(Q5811,'model_byCAP'!$A$2:$A$377,0)),0)</f>
        <v>8430</v>
      </c>
    </row>
    <row r="5812" ht="15.35" customHeight="1">
      <c r="A5812" t="s" s="2">
        <v>10295</v>
      </c>
      <c r="B5812" s="4">
        <v>42350</v>
      </c>
      <c r="C5812" s="5">
        <v>10</v>
      </c>
      <c r="D5812" s="5">
        <v>7.1</v>
      </c>
      <c r="E5812" s="5">
        <v>21.4</v>
      </c>
      <c r="F5812" t="s" s="2">
        <v>42</v>
      </c>
      <c r="G5812" t="s" s="2">
        <v>42</v>
      </c>
      <c r="H5812" s="5">
        <v>787</v>
      </c>
      <c r="I5812" t="s" s="2">
        <v>21</v>
      </c>
      <c r="J5812" t="s" s="2">
        <v>9204</v>
      </c>
      <c r="K5812" s="6"/>
      <c r="L5812" s="6"/>
      <c r="M5812" s="5">
        <v>462388.26</v>
      </c>
      <c r="N5812" s="5">
        <v>6285479.3</v>
      </c>
      <c r="O5812" t="s" s="2">
        <v>305</v>
      </c>
      <c r="P5812" s="6"/>
      <c r="Q5812" t="s" s="2">
        <v>43</v>
      </c>
      <c r="R5812" s="5">
        <f>_xlfn.IFERROR(INDEX('model_byCAP'!$D$2:$D$377,MATCH(Q5812,'model_byCAP'!$A$2:$A$377,0)),0)</f>
        <v>0</v>
      </c>
    </row>
    <row r="5813" ht="15.35" customHeight="1">
      <c r="A5813" t="s" s="2">
        <v>10296</v>
      </c>
      <c r="B5813" s="4">
        <v>42333</v>
      </c>
      <c r="C5813" s="5">
        <v>10</v>
      </c>
      <c r="D5813" s="5">
        <v>14</v>
      </c>
      <c r="E5813" s="5">
        <v>18</v>
      </c>
      <c r="F5813" t="s" s="2">
        <v>9209</v>
      </c>
      <c r="G5813" t="s" s="2">
        <v>9638</v>
      </c>
      <c r="H5813" s="5">
        <v>787</v>
      </c>
      <c r="I5813" t="s" s="2">
        <v>21</v>
      </c>
      <c r="J5813" t="s" s="2">
        <v>9204</v>
      </c>
      <c r="K5813" s="6"/>
      <c r="L5813" s="6"/>
      <c r="M5813" s="5">
        <v>463330.12</v>
      </c>
      <c r="N5813" s="5">
        <v>6291481.57</v>
      </c>
      <c r="O5813" t="s" s="2">
        <v>305</v>
      </c>
      <c r="P5813" s="6"/>
      <c r="Q5813" t="s" s="2">
        <v>9639</v>
      </c>
      <c r="R5813" s="5">
        <f>_xlfn.IFERROR(INDEX('model_byCAP'!$D$2:$D$377,MATCH(Q5813,'model_byCAP'!$A$2:$A$377,0)),0)</f>
        <v>0</v>
      </c>
    </row>
    <row r="5814" ht="15.35" customHeight="1">
      <c r="A5814" t="s" s="2">
        <v>10297</v>
      </c>
      <c r="B5814" s="4">
        <v>42329</v>
      </c>
      <c r="C5814" s="5">
        <v>10</v>
      </c>
      <c r="D5814" s="5">
        <v>7.1</v>
      </c>
      <c r="E5814" s="5">
        <v>21.4</v>
      </c>
      <c r="F5814" t="s" s="2">
        <v>42</v>
      </c>
      <c r="G5814" t="s" s="2">
        <v>42</v>
      </c>
      <c r="H5814" s="5">
        <v>787</v>
      </c>
      <c r="I5814" t="s" s="2">
        <v>21</v>
      </c>
      <c r="J5814" t="s" s="2">
        <v>9204</v>
      </c>
      <c r="K5814" s="6"/>
      <c r="L5814" s="6"/>
      <c r="M5814" s="5">
        <v>462536.01</v>
      </c>
      <c r="N5814" s="5">
        <v>6286689.14</v>
      </c>
      <c r="O5814" t="s" s="2">
        <v>305</v>
      </c>
      <c r="P5814" s="6"/>
      <c r="Q5814" t="s" s="2">
        <v>43</v>
      </c>
      <c r="R5814" s="5">
        <f>_xlfn.IFERROR(INDEX('model_byCAP'!$D$2:$D$377,MATCH(Q5814,'model_byCAP'!$A$2:$A$377,0)),0)</f>
        <v>0</v>
      </c>
    </row>
    <row r="5815" ht="15.35" customHeight="1">
      <c r="A5815" t="s" s="2">
        <v>10298</v>
      </c>
      <c r="B5815" s="4">
        <v>42329</v>
      </c>
      <c r="C5815" s="5">
        <v>10</v>
      </c>
      <c r="D5815" s="5">
        <v>7.1</v>
      </c>
      <c r="E5815" s="5">
        <v>21.4</v>
      </c>
      <c r="F5815" t="s" s="2">
        <v>42</v>
      </c>
      <c r="G5815" t="s" s="2">
        <v>42</v>
      </c>
      <c r="H5815" s="5">
        <v>787</v>
      </c>
      <c r="I5815" t="s" s="2">
        <v>21</v>
      </c>
      <c r="J5815" t="s" s="2">
        <v>9204</v>
      </c>
      <c r="K5815" s="6"/>
      <c r="L5815" s="6"/>
      <c r="M5815" s="5">
        <v>461016.55</v>
      </c>
      <c r="N5815" s="5">
        <v>6289533.54</v>
      </c>
      <c r="O5815" t="s" s="2">
        <v>305</v>
      </c>
      <c r="P5815" s="6"/>
      <c r="Q5815" t="s" s="2">
        <v>43</v>
      </c>
      <c r="R5815" s="5">
        <f>_xlfn.IFERROR(INDEX('model_byCAP'!$D$2:$D$377,MATCH(Q5815,'model_byCAP'!$A$2:$A$377,0)),0)</f>
        <v>0</v>
      </c>
    </row>
    <row r="5816" ht="15.35" customHeight="1">
      <c r="A5816" t="s" s="2">
        <v>10299</v>
      </c>
      <c r="B5816" s="4">
        <v>42329</v>
      </c>
      <c r="C5816" s="5">
        <v>10</v>
      </c>
      <c r="D5816" s="5">
        <v>7.1</v>
      </c>
      <c r="E5816" s="5">
        <v>21.4</v>
      </c>
      <c r="F5816" t="s" s="2">
        <v>42</v>
      </c>
      <c r="G5816" t="s" s="2">
        <v>42</v>
      </c>
      <c r="H5816" s="5">
        <v>787</v>
      </c>
      <c r="I5816" t="s" s="2">
        <v>21</v>
      </c>
      <c r="J5816" t="s" s="2">
        <v>9204</v>
      </c>
      <c r="K5816" s="6"/>
      <c r="L5816" s="6"/>
      <c r="M5816" s="5">
        <v>463355.51</v>
      </c>
      <c r="N5816" s="5">
        <v>6297641.54</v>
      </c>
      <c r="O5816" t="s" s="2">
        <v>305</v>
      </c>
      <c r="P5816" s="6"/>
      <c r="Q5816" t="s" s="2">
        <v>43</v>
      </c>
      <c r="R5816" s="5">
        <f>_xlfn.IFERROR(INDEX('model_byCAP'!$D$2:$D$377,MATCH(Q5816,'model_byCAP'!$A$2:$A$377,0)),0)</f>
        <v>0</v>
      </c>
    </row>
    <row r="5817" ht="15.35" customHeight="1">
      <c r="A5817" t="s" s="2">
        <v>10300</v>
      </c>
      <c r="B5817" s="4">
        <v>42335</v>
      </c>
      <c r="C5817" s="5">
        <v>10</v>
      </c>
      <c r="D5817" s="5">
        <v>7.1</v>
      </c>
      <c r="E5817" s="5">
        <v>21.4</v>
      </c>
      <c r="F5817" t="s" s="2">
        <v>42</v>
      </c>
      <c r="G5817" t="s" s="2">
        <v>42</v>
      </c>
      <c r="H5817" s="5">
        <v>787</v>
      </c>
      <c r="I5817" t="s" s="2">
        <v>21</v>
      </c>
      <c r="J5817" t="s" s="2">
        <v>9204</v>
      </c>
      <c r="K5817" s="6"/>
      <c r="L5817" s="6"/>
      <c r="M5817" s="5">
        <v>464468.29</v>
      </c>
      <c r="N5817" s="5">
        <v>6284247.86</v>
      </c>
      <c r="O5817" t="s" s="2">
        <v>305</v>
      </c>
      <c r="P5817" s="6"/>
      <c r="Q5817" t="s" s="2">
        <v>43</v>
      </c>
      <c r="R5817" s="5">
        <f>_xlfn.IFERROR(INDEX('model_byCAP'!$D$2:$D$377,MATCH(Q5817,'model_byCAP'!$A$2:$A$377,0)),0)</f>
        <v>0</v>
      </c>
    </row>
    <row r="5818" ht="15.35" customHeight="1">
      <c r="A5818" t="s" s="2">
        <v>10301</v>
      </c>
      <c r="B5818" s="4">
        <v>42334</v>
      </c>
      <c r="C5818" s="5">
        <v>10</v>
      </c>
      <c r="D5818" s="5">
        <v>13</v>
      </c>
      <c r="E5818" s="5">
        <v>18.2</v>
      </c>
      <c r="F5818" t="s" s="2">
        <v>9471</v>
      </c>
      <c r="G5818" t="s" s="2">
        <v>9606</v>
      </c>
      <c r="H5818" s="5">
        <v>787</v>
      </c>
      <c r="I5818" t="s" s="2">
        <v>21</v>
      </c>
      <c r="J5818" t="s" s="2">
        <v>9204</v>
      </c>
      <c r="K5818" s="6"/>
      <c r="L5818" s="6"/>
      <c r="M5818" s="5">
        <v>479243.39</v>
      </c>
      <c r="N5818" s="5">
        <v>6314689.58</v>
      </c>
      <c r="O5818" t="s" s="2">
        <v>305</v>
      </c>
      <c r="P5818" s="6"/>
      <c r="Q5818" t="s" s="2">
        <v>9607</v>
      </c>
      <c r="R5818" s="5">
        <f>_xlfn.IFERROR(INDEX('model_byCAP'!$D$2:$D$377,MATCH(Q5818,'model_byCAP'!$A$2:$A$377,0)),0)</f>
        <v>0</v>
      </c>
    </row>
    <row r="5819" ht="15.35" customHeight="1">
      <c r="A5819" t="s" s="2">
        <v>10302</v>
      </c>
      <c r="B5819" s="4">
        <v>42337</v>
      </c>
      <c r="C5819" s="5">
        <v>10</v>
      </c>
      <c r="D5819" s="5">
        <v>7.1</v>
      </c>
      <c r="E5819" s="5">
        <v>21.4</v>
      </c>
      <c r="F5819" t="s" s="2">
        <v>42</v>
      </c>
      <c r="G5819" t="s" s="2">
        <v>42</v>
      </c>
      <c r="H5819" s="5">
        <v>787</v>
      </c>
      <c r="I5819" t="s" s="2">
        <v>21</v>
      </c>
      <c r="J5819" t="s" s="2">
        <v>9204</v>
      </c>
      <c r="K5819" s="6"/>
      <c r="L5819" s="6"/>
      <c r="M5819" s="5">
        <v>460181.18</v>
      </c>
      <c r="N5819" s="5">
        <v>6290556.85</v>
      </c>
      <c r="O5819" t="s" s="2">
        <v>305</v>
      </c>
      <c r="P5819" s="6"/>
      <c r="Q5819" t="s" s="2">
        <v>43</v>
      </c>
      <c r="R5819" s="5">
        <f>_xlfn.IFERROR(INDEX('model_byCAP'!$D$2:$D$377,MATCH(Q5819,'model_byCAP'!$A$2:$A$377,0)),0)</f>
        <v>0</v>
      </c>
    </row>
    <row r="5820" ht="15.35" customHeight="1">
      <c r="A5820" t="s" s="2">
        <v>10303</v>
      </c>
      <c r="B5820" s="4">
        <v>42345</v>
      </c>
      <c r="C5820" s="5">
        <v>10</v>
      </c>
      <c r="D5820" s="5">
        <v>7.1</v>
      </c>
      <c r="E5820" s="5">
        <v>21</v>
      </c>
      <c r="F5820" t="s" s="2">
        <v>42</v>
      </c>
      <c r="G5820" t="s" s="2">
        <v>42</v>
      </c>
      <c r="H5820" s="5">
        <v>787</v>
      </c>
      <c r="I5820" t="s" s="2">
        <v>21</v>
      </c>
      <c r="J5820" t="s" s="2">
        <v>9204</v>
      </c>
      <c r="K5820" s="6"/>
      <c r="L5820" s="6"/>
      <c r="M5820" s="5">
        <v>460566.43</v>
      </c>
      <c r="N5820" s="5">
        <v>6287200.77</v>
      </c>
      <c r="O5820" t="s" s="2">
        <v>305</v>
      </c>
      <c r="P5820" s="6"/>
      <c r="Q5820" t="s" s="2">
        <v>43</v>
      </c>
      <c r="R5820" s="5">
        <f>_xlfn.IFERROR(INDEX('model_byCAP'!$D$2:$D$377,MATCH(Q5820,'model_byCAP'!$A$2:$A$377,0)),0)</f>
        <v>0</v>
      </c>
    </row>
    <row r="5821" ht="15.35" customHeight="1">
      <c r="A5821" t="s" s="2">
        <v>10304</v>
      </c>
      <c r="B5821" s="4">
        <v>42347</v>
      </c>
      <c r="C5821" s="5">
        <v>10</v>
      </c>
      <c r="D5821" s="5">
        <v>14</v>
      </c>
      <c r="E5821" s="5">
        <v>18</v>
      </c>
      <c r="F5821" t="s" s="2">
        <v>9209</v>
      </c>
      <c r="G5821" t="s" s="2">
        <v>9293</v>
      </c>
      <c r="H5821" s="5">
        <v>787</v>
      </c>
      <c r="I5821" t="s" s="2">
        <v>21</v>
      </c>
      <c r="J5821" t="s" s="2">
        <v>9204</v>
      </c>
      <c r="K5821" s="6"/>
      <c r="L5821" s="6"/>
      <c r="M5821" s="5">
        <v>486276.43</v>
      </c>
      <c r="N5821" s="5">
        <v>6316042.78</v>
      </c>
      <c r="O5821" t="s" s="2">
        <v>305</v>
      </c>
      <c r="P5821" s="6"/>
      <c r="Q5821" t="s" s="2">
        <v>9295</v>
      </c>
      <c r="R5821" t="s" s="2">
        <f>_xlfn.IFERROR(INDEX('model_byCAP'!$D$2:$D$377,MATCH(Q5821,'model_byCAP'!$A$2:$A$377,0)),0)</f>
        <v>8430</v>
      </c>
    </row>
    <row r="5822" ht="15.35" customHeight="1">
      <c r="A5822" t="s" s="2">
        <v>10305</v>
      </c>
      <c r="B5822" s="4">
        <v>42348</v>
      </c>
      <c r="C5822" s="5">
        <v>10</v>
      </c>
      <c r="D5822" s="5">
        <v>14</v>
      </c>
      <c r="E5822" s="5">
        <v>18</v>
      </c>
      <c r="F5822" t="s" s="2">
        <v>9209</v>
      </c>
      <c r="G5822" t="s" s="2">
        <v>9210</v>
      </c>
      <c r="H5822" s="5">
        <v>787</v>
      </c>
      <c r="I5822" t="s" s="2">
        <v>21</v>
      </c>
      <c r="J5822" t="s" s="2">
        <v>9204</v>
      </c>
      <c r="K5822" s="6"/>
      <c r="L5822" s="6"/>
      <c r="M5822" s="5">
        <v>463860.58</v>
      </c>
      <c r="N5822" s="5">
        <v>6288346.19</v>
      </c>
      <c r="O5822" t="s" s="2">
        <v>305</v>
      </c>
      <c r="P5822" s="6"/>
      <c r="Q5822" t="s" s="2">
        <v>9211</v>
      </c>
      <c r="R5822" t="s" s="2">
        <f>_xlfn.IFERROR(INDEX('model_byCAP'!$D$2:$D$377,MATCH(Q5822,'model_byCAP'!$A$2:$A$377,0)),0)</f>
        <v>8430</v>
      </c>
    </row>
    <row r="5823" ht="15.35" customHeight="1">
      <c r="A5823" t="s" s="2">
        <v>10306</v>
      </c>
      <c r="B5823" s="4">
        <v>42348</v>
      </c>
      <c r="C5823" s="5">
        <v>10</v>
      </c>
      <c r="D5823" s="5">
        <v>7.1</v>
      </c>
      <c r="E5823" s="5">
        <v>21.4</v>
      </c>
      <c r="F5823" t="s" s="2">
        <v>42</v>
      </c>
      <c r="G5823" t="s" s="2">
        <v>42</v>
      </c>
      <c r="H5823" s="5">
        <v>787</v>
      </c>
      <c r="I5823" t="s" s="2">
        <v>21</v>
      </c>
      <c r="J5823" t="s" s="2">
        <v>9204</v>
      </c>
      <c r="K5823" s="6"/>
      <c r="L5823" s="6"/>
      <c r="M5823" s="5">
        <v>470730.06</v>
      </c>
      <c r="N5823" s="5">
        <v>6304310.59</v>
      </c>
      <c r="O5823" t="s" s="2">
        <v>305</v>
      </c>
      <c r="P5823" s="6"/>
      <c r="Q5823" t="s" s="2">
        <v>43</v>
      </c>
      <c r="R5823" s="5">
        <f>_xlfn.IFERROR(INDEX('model_byCAP'!$D$2:$D$377,MATCH(Q5823,'model_byCAP'!$A$2:$A$377,0)),0)</f>
        <v>0</v>
      </c>
    </row>
    <row r="5824" ht="15.35" customHeight="1">
      <c r="A5824" t="s" s="2">
        <v>10307</v>
      </c>
      <c r="B5824" s="4">
        <v>42348</v>
      </c>
      <c r="C5824" s="5">
        <v>10</v>
      </c>
      <c r="D5824" s="5">
        <v>13</v>
      </c>
      <c r="E5824" s="5">
        <v>18.3</v>
      </c>
      <c r="F5824" t="s" s="2">
        <v>9471</v>
      </c>
      <c r="G5824" t="s" s="2">
        <v>9606</v>
      </c>
      <c r="H5824" s="5">
        <v>787</v>
      </c>
      <c r="I5824" t="s" s="2">
        <v>21</v>
      </c>
      <c r="J5824" t="s" s="2">
        <v>9204</v>
      </c>
      <c r="K5824" s="6"/>
      <c r="L5824" s="6"/>
      <c r="M5824" s="5">
        <v>476054.2</v>
      </c>
      <c r="N5824" s="5">
        <v>6317567.93</v>
      </c>
      <c r="O5824" t="s" s="2">
        <v>305</v>
      </c>
      <c r="P5824" s="6"/>
      <c r="Q5824" t="s" s="2">
        <v>9607</v>
      </c>
      <c r="R5824" s="5">
        <f>_xlfn.IFERROR(INDEX('model_byCAP'!$D$2:$D$377,MATCH(Q5824,'model_byCAP'!$A$2:$A$377,0)),0)</f>
        <v>0</v>
      </c>
    </row>
    <row r="5825" ht="15.35" customHeight="1">
      <c r="A5825" t="s" s="2">
        <v>10308</v>
      </c>
      <c r="B5825" s="4">
        <v>42352</v>
      </c>
      <c r="C5825" s="5">
        <v>10</v>
      </c>
      <c r="D5825" s="5">
        <v>7.1</v>
      </c>
      <c r="E5825" s="5">
        <v>21</v>
      </c>
      <c r="F5825" t="s" s="2">
        <v>42</v>
      </c>
      <c r="G5825" t="s" s="2">
        <v>42</v>
      </c>
      <c r="H5825" s="5">
        <v>787</v>
      </c>
      <c r="I5825" t="s" s="2">
        <v>21</v>
      </c>
      <c r="J5825" t="s" s="2">
        <v>9204</v>
      </c>
      <c r="K5825" s="6"/>
      <c r="L5825" s="6"/>
      <c r="M5825" s="6"/>
      <c r="N5825" s="6"/>
      <c r="O5825" t="s" s="2">
        <v>25</v>
      </c>
      <c r="P5825" s="6"/>
      <c r="Q5825" t="s" s="2">
        <v>43</v>
      </c>
      <c r="R5825" s="5">
        <f>_xlfn.IFERROR(INDEX('model_byCAP'!$D$2:$D$377,MATCH(Q5825,'model_byCAP'!$A$2:$A$377,0)),0)</f>
        <v>0</v>
      </c>
    </row>
    <row r="5826" ht="15.35" customHeight="1">
      <c r="A5826" t="s" s="2">
        <v>10309</v>
      </c>
      <c r="B5826" s="4">
        <v>42356</v>
      </c>
      <c r="C5826" s="5">
        <v>10</v>
      </c>
      <c r="D5826" s="5">
        <v>7.1</v>
      </c>
      <c r="E5826" s="5">
        <v>21.4</v>
      </c>
      <c r="F5826" t="s" s="2">
        <v>42</v>
      </c>
      <c r="G5826" t="s" s="2">
        <v>42</v>
      </c>
      <c r="H5826" s="5">
        <v>787</v>
      </c>
      <c r="I5826" t="s" s="2">
        <v>21</v>
      </c>
      <c r="J5826" t="s" s="2">
        <v>9204</v>
      </c>
      <c r="K5826" s="6"/>
      <c r="L5826" s="6"/>
      <c r="M5826" s="6"/>
      <c r="N5826" s="6"/>
      <c r="O5826" t="s" s="2">
        <v>25</v>
      </c>
      <c r="P5826" s="6"/>
      <c r="Q5826" t="s" s="2">
        <v>43</v>
      </c>
      <c r="R5826" s="5">
        <f>_xlfn.IFERROR(INDEX('model_byCAP'!$D$2:$D$377,MATCH(Q5826,'model_byCAP'!$A$2:$A$377,0)),0)</f>
        <v>0</v>
      </c>
    </row>
    <row r="5827" ht="15.35" customHeight="1">
      <c r="A5827" t="s" s="2">
        <v>10310</v>
      </c>
      <c r="B5827" s="4">
        <v>42356</v>
      </c>
      <c r="C5827" s="5">
        <v>10</v>
      </c>
      <c r="D5827" s="5">
        <v>7.1</v>
      </c>
      <c r="E5827" s="5">
        <v>21.4</v>
      </c>
      <c r="F5827" t="s" s="2">
        <v>42</v>
      </c>
      <c r="G5827" t="s" s="2">
        <v>42</v>
      </c>
      <c r="H5827" s="5">
        <v>787</v>
      </c>
      <c r="I5827" t="s" s="2">
        <v>21</v>
      </c>
      <c r="J5827" t="s" s="2">
        <v>9204</v>
      </c>
      <c r="K5827" s="6"/>
      <c r="L5827" s="6"/>
      <c r="M5827" s="5">
        <v>458304.45</v>
      </c>
      <c r="N5827" s="5">
        <v>6286395.76</v>
      </c>
      <c r="O5827" t="s" s="2">
        <v>305</v>
      </c>
      <c r="P5827" s="6"/>
      <c r="Q5827" t="s" s="2">
        <v>43</v>
      </c>
      <c r="R5827" s="5">
        <f>_xlfn.IFERROR(INDEX('model_byCAP'!$D$2:$D$377,MATCH(Q5827,'model_byCAP'!$A$2:$A$377,0)),0)</f>
        <v>0</v>
      </c>
    </row>
    <row r="5828" ht="15.35" customHeight="1">
      <c r="A5828" t="s" s="2">
        <v>10311</v>
      </c>
      <c r="B5828" s="4">
        <v>42366</v>
      </c>
      <c r="C5828" s="5">
        <v>10</v>
      </c>
      <c r="D5828" s="5">
        <v>7.1</v>
      </c>
      <c r="E5828" s="5">
        <v>21.4</v>
      </c>
      <c r="F5828" t="s" s="2">
        <v>42</v>
      </c>
      <c r="G5828" t="s" s="2">
        <v>42</v>
      </c>
      <c r="H5828" s="5">
        <v>787</v>
      </c>
      <c r="I5828" t="s" s="2">
        <v>21</v>
      </c>
      <c r="J5828" t="s" s="2">
        <v>9204</v>
      </c>
      <c r="K5828" s="6"/>
      <c r="L5828" s="6"/>
      <c r="M5828" s="5">
        <v>468413.17</v>
      </c>
      <c r="N5828" s="5">
        <v>6298197.18</v>
      </c>
      <c r="O5828" t="s" s="2">
        <v>305</v>
      </c>
      <c r="P5828" s="6"/>
      <c r="Q5828" t="s" s="2">
        <v>43</v>
      </c>
      <c r="R5828" s="5">
        <f>_xlfn.IFERROR(INDEX('model_byCAP'!$D$2:$D$377,MATCH(Q5828,'model_byCAP'!$A$2:$A$377,0)),0)</f>
        <v>0</v>
      </c>
    </row>
    <row r="5829" ht="15.35" customHeight="1">
      <c r="A5829" t="s" s="2">
        <v>10312</v>
      </c>
      <c r="B5829" s="4">
        <v>42376</v>
      </c>
      <c r="C5829" s="5">
        <v>10</v>
      </c>
      <c r="D5829" s="5">
        <v>14</v>
      </c>
      <c r="E5829" s="5">
        <v>18</v>
      </c>
      <c r="F5829" t="s" s="2">
        <v>9209</v>
      </c>
      <c r="G5829" t="s" s="2">
        <v>9293</v>
      </c>
      <c r="H5829" s="5">
        <v>787</v>
      </c>
      <c r="I5829" t="s" s="2">
        <v>21</v>
      </c>
      <c r="J5829" t="s" s="2">
        <v>9204</v>
      </c>
      <c r="K5829" s="6"/>
      <c r="L5829" s="6"/>
      <c r="M5829" s="5">
        <v>477151.53</v>
      </c>
      <c r="N5829" s="5">
        <v>6314319.91</v>
      </c>
      <c r="O5829" t="s" s="2">
        <v>305</v>
      </c>
      <c r="P5829" s="6"/>
      <c r="Q5829" t="s" s="2">
        <v>9295</v>
      </c>
      <c r="R5829" t="s" s="2">
        <f>_xlfn.IFERROR(INDEX('model_byCAP'!$D$2:$D$377,MATCH(Q5829,'model_byCAP'!$A$2:$A$377,0)),0)</f>
        <v>8430</v>
      </c>
    </row>
    <row r="5830" ht="15.35" customHeight="1">
      <c r="A5830" t="s" s="2">
        <v>10313</v>
      </c>
      <c r="B5830" s="4">
        <v>42380</v>
      </c>
      <c r="C5830" s="5">
        <v>10</v>
      </c>
      <c r="D5830" s="5">
        <v>14</v>
      </c>
      <c r="E5830" s="5">
        <v>18</v>
      </c>
      <c r="F5830" t="s" s="2">
        <v>9209</v>
      </c>
      <c r="G5830" t="s" s="2">
        <v>9293</v>
      </c>
      <c r="H5830" s="5">
        <v>787</v>
      </c>
      <c r="I5830" t="s" s="2">
        <v>21</v>
      </c>
      <c r="J5830" t="s" s="2">
        <v>9204</v>
      </c>
      <c r="K5830" s="6"/>
      <c r="L5830" s="6"/>
      <c r="M5830" s="5">
        <v>489268.9</v>
      </c>
      <c r="N5830" s="5">
        <v>6320128.91</v>
      </c>
      <c r="O5830" t="s" s="2">
        <v>305</v>
      </c>
      <c r="P5830" s="6"/>
      <c r="Q5830" t="s" s="2">
        <v>9295</v>
      </c>
      <c r="R5830" t="s" s="2">
        <f>_xlfn.IFERROR(INDEX('model_byCAP'!$D$2:$D$377,MATCH(Q5830,'model_byCAP'!$A$2:$A$377,0)),0)</f>
        <v>8430</v>
      </c>
    </row>
    <row r="5831" ht="15.35" customHeight="1">
      <c r="A5831" t="s" s="2">
        <v>10314</v>
      </c>
      <c r="B5831" s="4">
        <v>42381</v>
      </c>
      <c r="C5831" s="5">
        <v>10</v>
      </c>
      <c r="D5831" s="5">
        <v>14</v>
      </c>
      <c r="E5831" s="5">
        <v>18</v>
      </c>
      <c r="F5831" t="s" s="2">
        <v>9209</v>
      </c>
      <c r="G5831" t="s" s="2">
        <v>9293</v>
      </c>
      <c r="H5831" s="5">
        <v>787</v>
      </c>
      <c r="I5831" t="s" s="2">
        <v>21</v>
      </c>
      <c r="J5831" t="s" s="2">
        <v>9204</v>
      </c>
      <c r="K5831" s="6"/>
      <c r="L5831" s="6"/>
      <c r="M5831" s="5">
        <v>482840.22</v>
      </c>
      <c r="N5831" s="5">
        <v>6317937.21</v>
      </c>
      <c r="O5831" t="s" s="2">
        <v>305</v>
      </c>
      <c r="P5831" s="6"/>
      <c r="Q5831" t="s" s="2">
        <v>9295</v>
      </c>
      <c r="R5831" t="s" s="2">
        <f>_xlfn.IFERROR(INDEX('model_byCAP'!$D$2:$D$377,MATCH(Q5831,'model_byCAP'!$A$2:$A$377,0)),0)</f>
        <v>8430</v>
      </c>
    </row>
    <row r="5832" ht="15.35" customHeight="1">
      <c r="A5832" t="s" s="2">
        <v>10315</v>
      </c>
      <c r="B5832" s="4">
        <v>42395</v>
      </c>
      <c r="C5832" s="5">
        <v>10</v>
      </c>
      <c r="D5832" s="5">
        <v>14</v>
      </c>
      <c r="E5832" s="5">
        <v>18</v>
      </c>
      <c r="F5832" t="s" s="2">
        <v>9209</v>
      </c>
      <c r="G5832" t="s" s="2">
        <v>9293</v>
      </c>
      <c r="H5832" s="5">
        <v>787</v>
      </c>
      <c r="I5832" t="s" s="2">
        <v>21</v>
      </c>
      <c r="J5832" t="s" s="2">
        <v>9204</v>
      </c>
      <c r="K5832" s="6"/>
      <c r="L5832" s="6"/>
      <c r="M5832" s="5">
        <v>472312.33</v>
      </c>
      <c r="N5832" s="5">
        <v>6301243.37</v>
      </c>
      <c r="O5832" t="s" s="2">
        <v>305</v>
      </c>
      <c r="P5832" s="6"/>
      <c r="Q5832" t="s" s="2">
        <v>9295</v>
      </c>
      <c r="R5832" t="s" s="2">
        <f>_xlfn.IFERROR(INDEX('model_byCAP'!$D$2:$D$377,MATCH(Q5832,'model_byCAP'!$A$2:$A$377,0)),0)</f>
        <v>8430</v>
      </c>
    </row>
    <row r="5833" ht="15.35" customHeight="1">
      <c r="A5833" t="s" s="2">
        <v>10316</v>
      </c>
      <c r="B5833" s="4">
        <v>42404</v>
      </c>
      <c r="C5833" s="5">
        <v>10</v>
      </c>
      <c r="D5833" s="5">
        <v>7.1</v>
      </c>
      <c r="E5833" s="5">
        <v>21.4</v>
      </c>
      <c r="F5833" t="s" s="2">
        <v>42</v>
      </c>
      <c r="G5833" t="s" s="2">
        <v>42</v>
      </c>
      <c r="H5833" s="5">
        <v>787</v>
      </c>
      <c r="I5833" t="s" s="2">
        <v>21</v>
      </c>
      <c r="J5833" t="s" s="2">
        <v>9204</v>
      </c>
      <c r="K5833" s="6"/>
      <c r="L5833" s="6"/>
      <c r="M5833" s="6"/>
      <c r="N5833" s="6"/>
      <c r="O5833" t="s" s="2">
        <v>25</v>
      </c>
      <c r="P5833" s="6"/>
      <c r="Q5833" t="s" s="2">
        <v>43</v>
      </c>
      <c r="R5833" s="5">
        <f>_xlfn.IFERROR(INDEX('model_byCAP'!$D$2:$D$377,MATCH(Q5833,'model_byCAP'!$A$2:$A$377,0)),0)</f>
        <v>0</v>
      </c>
    </row>
    <row r="5834" ht="15.35" customHeight="1">
      <c r="A5834" t="s" s="2">
        <v>10317</v>
      </c>
      <c r="B5834" s="4">
        <v>42403</v>
      </c>
      <c r="C5834" s="5">
        <v>10</v>
      </c>
      <c r="D5834" s="5">
        <v>14</v>
      </c>
      <c r="E5834" s="5">
        <v>18</v>
      </c>
      <c r="F5834" t="s" s="2">
        <v>9209</v>
      </c>
      <c r="G5834" t="s" s="2">
        <v>9293</v>
      </c>
      <c r="H5834" s="5">
        <v>787</v>
      </c>
      <c r="I5834" t="s" s="2">
        <v>21</v>
      </c>
      <c r="J5834" t="s" s="2">
        <v>9204</v>
      </c>
      <c r="K5834" s="6"/>
      <c r="L5834" s="6"/>
      <c r="M5834" s="5">
        <v>482063.94</v>
      </c>
      <c r="N5834" s="5">
        <v>6316919.85</v>
      </c>
      <c r="O5834" t="s" s="2">
        <v>305</v>
      </c>
      <c r="P5834" s="6"/>
      <c r="Q5834" t="s" s="2">
        <v>9295</v>
      </c>
      <c r="R5834" t="s" s="2">
        <f>_xlfn.IFERROR(INDEX('model_byCAP'!$D$2:$D$377,MATCH(Q5834,'model_byCAP'!$A$2:$A$377,0)),0)</f>
        <v>8430</v>
      </c>
    </row>
    <row r="5835" ht="15.35" customHeight="1">
      <c r="A5835" t="s" s="2">
        <v>10318</v>
      </c>
      <c r="B5835" s="4">
        <v>42403</v>
      </c>
      <c r="C5835" s="5">
        <v>10</v>
      </c>
      <c r="D5835" s="5">
        <v>14</v>
      </c>
      <c r="E5835" s="5">
        <v>18</v>
      </c>
      <c r="F5835" t="s" s="2">
        <v>9209</v>
      </c>
      <c r="G5835" t="s" s="2">
        <v>9293</v>
      </c>
      <c r="H5835" s="5">
        <v>787</v>
      </c>
      <c r="I5835" t="s" s="2">
        <v>21</v>
      </c>
      <c r="J5835" t="s" s="2">
        <v>9204</v>
      </c>
      <c r="K5835" s="6"/>
      <c r="L5835" s="6"/>
      <c r="M5835" s="5">
        <v>485264.83</v>
      </c>
      <c r="N5835" s="5">
        <v>6318952.71</v>
      </c>
      <c r="O5835" t="s" s="2">
        <v>305</v>
      </c>
      <c r="P5835" s="6"/>
      <c r="Q5835" t="s" s="2">
        <v>9295</v>
      </c>
      <c r="R5835" t="s" s="2">
        <f>_xlfn.IFERROR(INDEX('model_byCAP'!$D$2:$D$377,MATCH(Q5835,'model_byCAP'!$A$2:$A$377,0)),0)</f>
        <v>8430</v>
      </c>
    </row>
    <row r="5836" ht="15.35" customHeight="1">
      <c r="A5836" t="s" s="2">
        <v>10319</v>
      </c>
      <c r="B5836" s="4">
        <v>42404</v>
      </c>
      <c r="C5836" s="5">
        <v>10</v>
      </c>
      <c r="D5836" s="5">
        <v>7.1</v>
      </c>
      <c r="E5836" s="5">
        <v>21.4</v>
      </c>
      <c r="F5836" t="s" s="2">
        <v>42</v>
      </c>
      <c r="G5836" t="s" s="2">
        <v>42</v>
      </c>
      <c r="H5836" s="5">
        <v>787</v>
      </c>
      <c r="I5836" t="s" s="2">
        <v>21</v>
      </c>
      <c r="J5836" t="s" s="2">
        <v>9204</v>
      </c>
      <c r="K5836" s="6"/>
      <c r="L5836" s="6"/>
      <c r="M5836" s="5">
        <v>482739.78</v>
      </c>
      <c r="N5836" s="5">
        <v>6314787.45</v>
      </c>
      <c r="O5836" t="s" s="2">
        <v>305</v>
      </c>
      <c r="P5836" s="6"/>
      <c r="Q5836" t="s" s="2">
        <v>43</v>
      </c>
      <c r="R5836" s="5">
        <f>_xlfn.IFERROR(INDEX('model_byCAP'!$D$2:$D$377,MATCH(Q5836,'model_byCAP'!$A$2:$A$377,0)),0)</f>
        <v>0</v>
      </c>
    </row>
    <row r="5837" ht="15.35" customHeight="1">
      <c r="A5837" t="s" s="2">
        <v>10320</v>
      </c>
      <c r="B5837" s="4">
        <v>42404</v>
      </c>
      <c r="C5837" s="5">
        <v>10</v>
      </c>
      <c r="D5837" s="5">
        <v>14</v>
      </c>
      <c r="E5837" s="5">
        <v>18</v>
      </c>
      <c r="F5837" t="s" s="2">
        <v>9209</v>
      </c>
      <c r="G5837" t="s" s="2">
        <v>9293</v>
      </c>
      <c r="H5837" s="5">
        <v>787</v>
      </c>
      <c r="I5837" t="s" s="2">
        <v>21</v>
      </c>
      <c r="J5837" t="s" s="2">
        <v>9204</v>
      </c>
      <c r="K5837" s="6"/>
      <c r="L5837" s="6"/>
      <c r="M5837" s="5">
        <v>487315.12</v>
      </c>
      <c r="N5837" s="5">
        <v>6314263.4</v>
      </c>
      <c r="O5837" t="s" s="2">
        <v>305</v>
      </c>
      <c r="P5837" s="6"/>
      <c r="Q5837" t="s" s="2">
        <v>9295</v>
      </c>
      <c r="R5837" t="s" s="2">
        <f>_xlfn.IFERROR(INDEX('model_byCAP'!$D$2:$D$377,MATCH(Q5837,'model_byCAP'!$A$2:$A$377,0)),0)</f>
        <v>8430</v>
      </c>
    </row>
    <row r="5838" ht="15.35" customHeight="1">
      <c r="A5838" t="s" s="2">
        <v>10321</v>
      </c>
      <c r="B5838" s="4">
        <v>42418</v>
      </c>
      <c r="C5838" s="5">
        <v>10</v>
      </c>
      <c r="D5838" s="5">
        <v>14</v>
      </c>
      <c r="E5838" s="5">
        <v>18</v>
      </c>
      <c r="F5838" t="s" s="2">
        <v>9209</v>
      </c>
      <c r="G5838" t="s" s="2">
        <v>9293</v>
      </c>
      <c r="H5838" s="5">
        <v>787</v>
      </c>
      <c r="I5838" t="s" s="2">
        <v>21</v>
      </c>
      <c r="J5838" t="s" s="2">
        <v>9204</v>
      </c>
      <c r="K5838" s="6"/>
      <c r="L5838" s="6"/>
      <c r="M5838" s="6"/>
      <c r="N5838" s="6"/>
      <c r="O5838" t="s" s="2">
        <v>25</v>
      </c>
      <c r="P5838" s="6"/>
      <c r="Q5838" t="s" s="2">
        <v>9295</v>
      </c>
      <c r="R5838" t="s" s="2">
        <f>_xlfn.IFERROR(INDEX('model_byCAP'!$D$2:$D$377,MATCH(Q5838,'model_byCAP'!$A$2:$A$377,0)),0)</f>
        <v>8430</v>
      </c>
    </row>
    <row r="5839" ht="15.35" customHeight="1">
      <c r="A5839" t="s" s="2">
        <v>10322</v>
      </c>
      <c r="B5839" s="4">
        <v>42411</v>
      </c>
      <c r="C5839" s="5">
        <v>10</v>
      </c>
      <c r="D5839" s="5">
        <v>14</v>
      </c>
      <c r="E5839" s="5">
        <v>18</v>
      </c>
      <c r="F5839" t="s" s="2">
        <v>9209</v>
      </c>
      <c r="G5839" t="s" s="2">
        <v>9293</v>
      </c>
      <c r="H5839" s="5">
        <v>787</v>
      </c>
      <c r="I5839" t="s" s="2">
        <v>21</v>
      </c>
      <c r="J5839" t="s" s="2">
        <v>9204</v>
      </c>
      <c r="K5839" s="6"/>
      <c r="L5839" s="6"/>
      <c r="M5839" s="5">
        <v>478389.59</v>
      </c>
      <c r="N5839" s="5">
        <v>6318093.3</v>
      </c>
      <c r="O5839" t="s" s="2">
        <v>305</v>
      </c>
      <c r="P5839" s="6"/>
      <c r="Q5839" t="s" s="2">
        <v>9295</v>
      </c>
      <c r="R5839" t="s" s="2">
        <f>_xlfn.IFERROR(INDEX('model_byCAP'!$D$2:$D$377,MATCH(Q5839,'model_byCAP'!$A$2:$A$377,0)),0)</f>
        <v>8430</v>
      </c>
    </row>
    <row r="5840" ht="15.35" customHeight="1">
      <c r="A5840" t="s" s="2">
        <v>10323</v>
      </c>
      <c r="B5840" s="4">
        <v>42411</v>
      </c>
      <c r="C5840" s="5">
        <v>10</v>
      </c>
      <c r="D5840" s="5">
        <v>14</v>
      </c>
      <c r="E5840" s="5">
        <v>18</v>
      </c>
      <c r="F5840" t="s" s="2">
        <v>9209</v>
      </c>
      <c r="G5840" t="s" s="2">
        <v>9293</v>
      </c>
      <c r="H5840" s="5">
        <v>787</v>
      </c>
      <c r="I5840" t="s" s="2">
        <v>21</v>
      </c>
      <c r="J5840" t="s" s="2">
        <v>9204</v>
      </c>
      <c r="K5840" s="6"/>
      <c r="L5840" s="6"/>
      <c r="M5840" s="5">
        <v>478015.3</v>
      </c>
      <c r="N5840" s="5">
        <v>6317757.88</v>
      </c>
      <c r="O5840" t="s" s="2">
        <v>305</v>
      </c>
      <c r="P5840" s="6"/>
      <c r="Q5840" t="s" s="2">
        <v>9295</v>
      </c>
      <c r="R5840" t="s" s="2">
        <f>_xlfn.IFERROR(INDEX('model_byCAP'!$D$2:$D$377,MATCH(Q5840,'model_byCAP'!$A$2:$A$377,0)),0)</f>
        <v>8430</v>
      </c>
    </row>
    <row r="5841" ht="15.35" customHeight="1">
      <c r="A5841" t="s" s="2">
        <v>10324</v>
      </c>
      <c r="B5841" s="4">
        <v>42410</v>
      </c>
      <c r="C5841" s="5">
        <v>10</v>
      </c>
      <c r="D5841" s="5">
        <v>14</v>
      </c>
      <c r="E5841" s="5">
        <v>18</v>
      </c>
      <c r="F5841" t="s" s="2">
        <v>9209</v>
      </c>
      <c r="G5841" t="s" s="2">
        <v>9293</v>
      </c>
      <c r="H5841" s="5">
        <v>787</v>
      </c>
      <c r="I5841" t="s" s="2">
        <v>21</v>
      </c>
      <c r="J5841" t="s" s="2">
        <v>9204</v>
      </c>
      <c r="K5841" s="6"/>
      <c r="L5841" s="6"/>
      <c r="M5841" s="5">
        <v>478015.3</v>
      </c>
      <c r="N5841" s="5">
        <v>6317757.88</v>
      </c>
      <c r="O5841" t="s" s="2">
        <v>9820</v>
      </c>
      <c r="P5841" s="6"/>
      <c r="Q5841" t="s" s="2">
        <v>9295</v>
      </c>
      <c r="R5841" t="s" s="2">
        <f>_xlfn.IFERROR(INDEX('model_byCAP'!$D$2:$D$377,MATCH(Q5841,'model_byCAP'!$A$2:$A$377,0)),0)</f>
        <v>8430</v>
      </c>
    </row>
    <row r="5842" ht="15.35" customHeight="1">
      <c r="A5842" t="s" s="2">
        <v>10325</v>
      </c>
      <c r="B5842" s="4">
        <v>42409</v>
      </c>
      <c r="C5842" s="5">
        <v>10</v>
      </c>
      <c r="D5842" s="5">
        <v>14</v>
      </c>
      <c r="E5842" s="5">
        <v>18</v>
      </c>
      <c r="F5842" t="s" s="2">
        <v>9209</v>
      </c>
      <c r="G5842" t="s" s="2">
        <v>9293</v>
      </c>
      <c r="H5842" s="5">
        <v>787</v>
      </c>
      <c r="I5842" t="s" s="2">
        <v>21</v>
      </c>
      <c r="J5842" t="s" s="2">
        <v>9204</v>
      </c>
      <c r="K5842" s="6"/>
      <c r="L5842" s="6"/>
      <c r="M5842" s="5">
        <v>479170.63</v>
      </c>
      <c r="N5842" s="5">
        <v>6319278.24</v>
      </c>
      <c r="O5842" t="s" s="2">
        <v>305</v>
      </c>
      <c r="P5842" s="6"/>
      <c r="Q5842" t="s" s="2">
        <v>9295</v>
      </c>
      <c r="R5842" t="s" s="2">
        <f>_xlfn.IFERROR(INDEX('model_byCAP'!$D$2:$D$377,MATCH(Q5842,'model_byCAP'!$A$2:$A$377,0)),0)</f>
        <v>8430</v>
      </c>
    </row>
    <row r="5843" ht="15.35" customHeight="1">
      <c r="A5843" t="s" s="2">
        <v>10326</v>
      </c>
      <c r="B5843" s="4">
        <v>42412</v>
      </c>
      <c r="C5843" s="5">
        <v>10</v>
      </c>
      <c r="D5843" s="5">
        <v>14</v>
      </c>
      <c r="E5843" s="5">
        <v>18</v>
      </c>
      <c r="F5843" t="s" s="2">
        <v>9209</v>
      </c>
      <c r="G5843" t="s" s="2">
        <v>9293</v>
      </c>
      <c r="H5843" s="5">
        <v>787</v>
      </c>
      <c r="I5843" t="s" s="2">
        <v>21</v>
      </c>
      <c r="J5843" t="s" s="2">
        <v>9204</v>
      </c>
      <c r="K5843" s="6"/>
      <c r="L5843" s="6"/>
      <c r="M5843" s="5">
        <v>489338.25</v>
      </c>
      <c r="N5843" s="5">
        <v>6320687.72</v>
      </c>
      <c r="O5843" t="s" s="2">
        <v>305</v>
      </c>
      <c r="P5843" s="6"/>
      <c r="Q5843" t="s" s="2">
        <v>9295</v>
      </c>
      <c r="R5843" t="s" s="2">
        <f>_xlfn.IFERROR(INDEX('model_byCAP'!$D$2:$D$377,MATCH(Q5843,'model_byCAP'!$A$2:$A$377,0)),0)</f>
        <v>8430</v>
      </c>
    </row>
    <row r="5844" ht="15.35" customHeight="1">
      <c r="A5844" t="s" s="2">
        <v>10327</v>
      </c>
      <c r="B5844" s="4">
        <v>42416</v>
      </c>
      <c r="C5844" s="5">
        <v>10</v>
      </c>
      <c r="D5844" s="5">
        <v>14</v>
      </c>
      <c r="E5844" s="5">
        <v>18</v>
      </c>
      <c r="F5844" t="s" s="2">
        <v>9209</v>
      </c>
      <c r="G5844" t="s" s="2">
        <v>9293</v>
      </c>
      <c r="H5844" s="5">
        <v>787</v>
      </c>
      <c r="I5844" t="s" s="2">
        <v>21</v>
      </c>
      <c r="J5844" t="s" s="2">
        <v>9204</v>
      </c>
      <c r="K5844" s="6"/>
      <c r="L5844" s="6"/>
      <c r="M5844" s="5">
        <v>484424.84</v>
      </c>
      <c r="N5844" s="5">
        <v>6318950.34</v>
      </c>
      <c r="O5844" t="s" s="2">
        <v>305</v>
      </c>
      <c r="P5844" s="6"/>
      <c r="Q5844" t="s" s="2">
        <v>9295</v>
      </c>
      <c r="R5844" t="s" s="2">
        <f>_xlfn.IFERROR(INDEX('model_byCAP'!$D$2:$D$377,MATCH(Q5844,'model_byCAP'!$A$2:$A$377,0)),0)</f>
        <v>8430</v>
      </c>
    </row>
    <row r="5845" ht="15.35" customHeight="1">
      <c r="A5845" t="s" s="2">
        <v>10328</v>
      </c>
      <c r="B5845" s="4">
        <v>42422</v>
      </c>
      <c r="C5845" s="5">
        <v>10</v>
      </c>
      <c r="D5845" s="5">
        <v>14</v>
      </c>
      <c r="E5845" s="5">
        <v>18</v>
      </c>
      <c r="F5845" t="s" s="2">
        <v>9209</v>
      </c>
      <c r="G5845" t="s" s="2">
        <v>9293</v>
      </c>
      <c r="H5845" s="5">
        <v>787</v>
      </c>
      <c r="I5845" t="s" s="2">
        <v>21</v>
      </c>
      <c r="J5845" t="s" s="2">
        <v>9204</v>
      </c>
      <c r="K5845" s="6"/>
      <c r="L5845" s="6"/>
      <c r="M5845" s="5">
        <v>482362.51</v>
      </c>
      <c r="N5845" s="5">
        <v>6319690.42</v>
      </c>
      <c r="O5845" t="s" s="2">
        <v>305</v>
      </c>
      <c r="P5845" s="6"/>
      <c r="Q5845" t="s" s="2">
        <v>9295</v>
      </c>
      <c r="R5845" t="s" s="2">
        <f>_xlfn.IFERROR(INDEX('model_byCAP'!$D$2:$D$377,MATCH(Q5845,'model_byCAP'!$A$2:$A$377,0)),0)</f>
        <v>8430</v>
      </c>
    </row>
    <row r="5846" ht="15.35" customHeight="1">
      <c r="A5846" t="s" s="2">
        <v>10329</v>
      </c>
      <c r="B5846" s="4">
        <v>42417</v>
      </c>
      <c r="C5846" s="5">
        <v>10</v>
      </c>
      <c r="D5846" s="5">
        <v>14</v>
      </c>
      <c r="E5846" s="5">
        <v>18</v>
      </c>
      <c r="F5846" t="s" s="2">
        <v>9209</v>
      </c>
      <c r="G5846" t="s" s="2">
        <v>9293</v>
      </c>
      <c r="H5846" s="5">
        <v>787</v>
      </c>
      <c r="I5846" t="s" s="2">
        <v>21</v>
      </c>
      <c r="J5846" t="s" s="2">
        <v>9204</v>
      </c>
      <c r="K5846" s="6"/>
      <c r="L5846" s="6"/>
      <c r="M5846" s="6"/>
      <c r="N5846" s="6"/>
      <c r="O5846" t="s" s="2">
        <v>25</v>
      </c>
      <c r="P5846" s="6"/>
      <c r="Q5846" t="s" s="2">
        <v>9295</v>
      </c>
      <c r="R5846" t="s" s="2">
        <f>_xlfn.IFERROR(INDEX('model_byCAP'!$D$2:$D$377,MATCH(Q5846,'model_byCAP'!$A$2:$A$377,0)),0)</f>
        <v>8430</v>
      </c>
    </row>
    <row r="5847" ht="15.35" customHeight="1">
      <c r="A5847" t="s" s="2">
        <v>10330</v>
      </c>
      <c r="B5847" s="4">
        <v>42426</v>
      </c>
      <c r="C5847" s="5">
        <v>10</v>
      </c>
      <c r="D5847" s="5">
        <v>13</v>
      </c>
      <c r="E5847" s="5">
        <v>18.2</v>
      </c>
      <c r="F5847" t="s" s="2">
        <v>9471</v>
      </c>
      <c r="G5847" t="s" s="2">
        <v>9606</v>
      </c>
      <c r="H5847" s="5">
        <v>787</v>
      </c>
      <c r="I5847" t="s" s="2">
        <v>21</v>
      </c>
      <c r="J5847" t="s" s="2">
        <v>9204</v>
      </c>
      <c r="K5847" s="6"/>
      <c r="L5847" s="6"/>
      <c r="M5847" s="5">
        <v>466781.06</v>
      </c>
      <c r="N5847" s="5">
        <v>6291741.58</v>
      </c>
      <c r="O5847" t="s" s="2">
        <v>305</v>
      </c>
      <c r="P5847" s="6"/>
      <c r="Q5847" t="s" s="2">
        <v>9607</v>
      </c>
      <c r="R5847" s="5">
        <f>_xlfn.IFERROR(INDEX('model_byCAP'!$D$2:$D$377,MATCH(Q5847,'model_byCAP'!$A$2:$A$377,0)),0)</f>
        <v>0</v>
      </c>
    </row>
    <row r="5848" ht="15.35" customHeight="1">
      <c r="A5848" t="s" s="2">
        <v>10331</v>
      </c>
      <c r="B5848" s="4">
        <v>42424</v>
      </c>
      <c r="C5848" s="5">
        <v>10</v>
      </c>
      <c r="D5848" s="5">
        <v>14</v>
      </c>
      <c r="E5848" s="5">
        <v>18</v>
      </c>
      <c r="F5848" t="s" s="2">
        <v>9209</v>
      </c>
      <c r="G5848" t="s" s="2">
        <v>9293</v>
      </c>
      <c r="H5848" s="5">
        <v>787</v>
      </c>
      <c r="I5848" t="s" s="2">
        <v>21</v>
      </c>
      <c r="J5848" t="s" s="2">
        <v>9204</v>
      </c>
      <c r="K5848" s="6"/>
      <c r="L5848" s="6"/>
      <c r="M5848" s="6"/>
      <c r="N5848" s="6"/>
      <c r="O5848" t="s" s="2">
        <v>25</v>
      </c>
      <c r="P5848" s="6"/>
      <c r="Q5848" t="s" s="2">
        <v>9295</v>
      </c>
      <c r="R5848" t="s" s="2">
        <f>_xlfn.IFERROR(INDEX('model_byCAP'!$D$2:$D$377,MATCH(Q5848,'model_byCAP'!$A$2:$A$377,0)),0)</f>
        <v>8430</v>
      </c>
    </row>
    <row r="5849" ht="15.35" customHeight="1">
      <c r="A5849" t="s" s="2">
        <v>10332</v>
      </c>
      <c r="B5849" s="4">
        <v>42429</v>
      </c>
      <c r="C5849" s="5">
        <v>10</v>
      </c>
      <c r="D5849" s="5">
        <v>14</v>
      </c>
      <c r="E5849" s="5">
        <v>18</v>
      </c>
      <c r="F5849" t="s" s="2">
        <v>9209</v>
      </c>
      <c r="G5849" t="s" s="2">
        <v>9293</v>
      </c>
      <c r="H5849" s="5">
        <v>787</v>
      </c>
      <c r="I5849" t="s" s="2">
        <v>21</v>
      </c>
      <c r="J5849" t="s" s="2">
        <v>9204</v>
      </c>
      <c r="K5849" s="6"/>
      <c r="L5849" s="6"/>
      <c r="M5849" s="5">
        <v>473852.93</v>
      </c>
      <c r="N5849" s="5">
        <v>6313822.6</v>
      </c>
      <c r="O5849" t="s" s="2">
        <v>305</v>
      </c>
      <c r="P5849" s="6"/>
      <c r="Q5849" t="s" s="2">
        <v>9295</v>
      </c>
      <c r="R5849" t="s" s="2">
        <f>_xlfn.IFERROR(INDEX('model_byCAP'!$D$2:$D$377,MATCH(Q5849,'model_byCAP'!$A$2:$A$377,0)),0)</f>
        <v>8430</v>
      </c>
    </row>
    <row r="5850" ht="15.35" customHeight="1">
      <c r="A5850" t="s" s="2">
        <v>10333</v>
      </c>
      <c r="B5850" s="4">
        <v>42430</v>
      </c>
      <c r="C5850" s="5">
        <v>10</v>
      </c>
      <c r="D5850" s="5">
        <v>14</v>
      </c>
      <c r="E5850" s="5">
        <v>18</v>
      </c>
      <c r="F5850" t="s" s="2">
        <v>9209</v>
      </c>
      <c r="G5850" t="s" s="2">
        <v>9293</v>
      </c>
      <c r="H5850" s="5">
        <v>787</v>
      </c>
      <c r="I5850" t="s" s="2">
        <v>21</v>
      </c>
      <c r="J5850" t="s" s="2">
        <v>9204</v>
      </c>
      <c r="K5850" s="6"/>
      <c r="L5850" s="6"/>
      <c r="M5850" s="5">
        <v>462496.4</v>
      </c>
      <c r="N5850" s="5">
        <v>6293845.46</v>
      </c>
      <c r="O5850" t="s" s="2">
        <v>305</v>
      </c>
      <c r="P5850" s="6"/>
      <c r="Q5850" t="s" s="2">
        <v>9295</v>
      </c>
      <c r="R5850" t="s" s="2">
        <f>_xlfn.IFERROR(INDEX('model_byCAP'!$D$2:$D$377,MATCH(Q5850,'model_byCAP'!$A$2:$A$377,0)),0)</f>
        <v>8430</v>
      </c>
    </row>
    <row r="5851" ht="15.35" customHeight="1">
      <c r="A5851" t="s" s="2">
        <v>10334</v>
      </c>
      <c r="B5851" s="4">
        <v>42425</v>
      </c>
      <c r="C5851" s="5">
        <v>10</v>
      </c>
      <c r="D5851" s="5">
        <v>14</v>
      </c>
      <c r="E5851" s="5">
        <v>18</v>
      </c>
      <c r="F5851" t="s" s="2">
        <v>9209</v>
      </c>
      <c r="G5851" t="s" s="2">
        <v>9293</v>
      </c>
      <c r="H5851" s="5">
        <v>787</v>
      </c>
      <c r="I5851" t="s" s="2">
        <v>21</v>
      </c>
      <c r="J5851" t="s" s="2">
        <v>9204</v>
      </c>
      <c r="K5851" s="6"/>
      <c r="L5851" s="6"/>
      <c r="M5851" s="5">
        <v>484565.83</v>
      </c>
      <c r="N5851" s="5">
        <v>6318376.86</v>
      </c>
      <c r="O5851" t="s" s="2">
        <v>305</v>
      </c>
      <c r="P5851" s="6"/>
      <c r="Q5851" t="s" s="2">
        <v>9295</v>
      </c>
      <c r="R5851" t="s" s="2">
        <f>_xlfn.IFERROR(INDEX('model_byCAP'!$D$2:$D$377,MATCH(Q5851,'model_byCAP'!$A$2:$A$377,0)),0)</f>
        <v>8430</v>
      </c>
    </row>
    <row r="5852" ht="15.35" customHeight="1">
      <c r="A5852" t="s" s="2">
        <v>10335</v>
      </c>
      <c r="B5852" s="4">
        <v>42433</v>
      </c>
      <c r="C5852" s="5">
        <v>10</v>
      </c>
      <c r="D5852" s="5">
        <v>13</v>
      </c>
      <c r="E5852" s="5">
        <v>18.2</v>
      </c>
      <c r="F5852" t="s" s="2">
        <v>9471</v>
      </c>
      <c r="G5852" t="s" s="2">
        <v>9606</v>
      </c>
      <c r="H5852" s="5">
        <v>787</v>
      </c>
      <c r="I5852" t="s" s="2">
        <v>21</v>
      </c>
      <c r="J5852" t="s" s="2">
        <v>9204</v>
      </c>
      <c r="K5852" s="6"/>
      <c r="L5852" s="6"/>
      <c r="M5852" s="5">
        <v>462676.71</v>
      </c>
      <c r="N5852" s="5">
        <v>6286310.21</v>
      </c>
      <c r="O5852" t="s" s="2">
        <v>305</v>
      </c>
      <c r="P5852" s="6"/>
      <c r="Q5852" t="s" s="2">
        <v>9607</v>
      </c>
      <c r="R5852" s="5">
        <f>_xlfn.IFERROR(INDEX('model_byCAP'!$D$2:$D$377,MATCH(Q5852,'model_byCAP'!$A$2:$A$377,0)),0)</f>
        <v>0</v>
      </c>
    </row>
    <row r="5853" ht="15.35" customHeight="1">
      <c r="A5853" t="s" s="2">
        <v>10336</v>
      </c>
      <c r="B5853" s="4">
        <v>42438</v>
      </c>
      <c r="C5853" s="5">
        <v>10</v>
      </c>
      <c r="D5853" s="5">
        <v>14</v>
      </c>
      <c r="E5853" s="5">
        <v>18</v>
      </c>
      <c r="F5853" t="s" s="2">
        <v>9209</v>
      </c>
      <c r="G5853" t="s" s="2">
        <v>9293</v>
      </c>
      <c r="H5853" s="5">
        <v>787</v>
      </c>
      <c r="I5853" t="s" s="2">
        <v>21</v>
      </c>
      <c r="J5853" t="s" s="2">
        <v>9204</v>
      </c>
      <c r="K5853" s="6"/>
      <c r="L5853" s="6"/>
      <c r="M5853" s="5">
        <v>477763.33</v>
      </c>
      <c r="N5853" s="5">
        <v>6317145.64</v>
      </c>
      <c r="O5853" t="s" s="2">
        <v>305</v>
      </c>
      <c r="P5853" s="6"/>
      <c r="Q5853" t="s" s="2">
        <v>9295</v>
      </c>
      <c r="R5853" t="s" s="2">
        <f>_xlfn.IFERROR(INDEX('model_byCAP'!$D$2:$D$377,MATCH(Q5853,'model_byCAP'!$A$2:$A$377,0)),0)</f>
        <v>8430</v>
      </c>
    </row>
    <row r="5854" ht="15.35" customHeight="1">
      <c r="A5854" t="s" s="2">
        <v>10337</v>
      </c>
      <c r="B5854" s="4">
        <v>42440</v>
      </c>
      <c r="C5854" s="5">
        <v>10</v>
      </c>
      <c r="D5854" s="5">
        <v>7.1</v>
      </c>
      <c r="E5854" s="5">
        <v>21.4</v>
      </c>
      <c r="F5854" t="s" s="2">
        <v>42</v>
      </c>
      <c r="G5854" t="s" s="2">
        <v>42</v>
      </c>
      <c r="H5854" s="5">
        <v>787</v>
      </c>
      <c r="I5854" t="s" s="2">
        <v>21</v>
      </c>
      <c r="J5854" t="s" s="2">
        <v>9204</v>
      </c>
      <c r="K5854" s="6"/>
      <c r="L5854" s="6"/>
      <c r="M5854" s="5">
        <v>489751.25</v>
      </c>
      <c r="N5854" s="5">
        <v>6322212.7</v>
      </c>
      <c r="O5854" t="s" s="2">
        <v>305</v>
      </c>
      <c r="P5854" s="6"/>
      <c r="Q5854" t="s" s="2">
        <v>43</v>
      </c>
      <c r="R5854" s="5">
        <f>_xlfn.IFERROR(INDEX('model_byCAP'!$D$2:$D$377,MATCH(Q5854,'model_byCAP'!$A$2:$A$377,0)),0)</f>
        <v>0</v>
      </c>
    </row>
    <row r="5855" ht="15.35" customHeight="1">
      <c r="A5855" t="s" s="2">
        <v>10338</v>
      </c>
      <c r="B5855" s="4">
        <v>42452</v>
      </c>
      <c r="C5855" s="5">
        <v>10</v>
      </c>
      <c r="D5855" s="5">
        <v>7.1</v>
      </c>
      <c r="E5855" s="5">
        <v>21.4</v>
      </c>
      <c r="F5855" t="s" s="2">
        <v>42</v>
      </c>
      <c r="G5855" t="s" s="2">
        <v>42</v>
      </c>
      <c r="H5855" s="5">
        <v>787</v>
      </c>
      <c r="I5855" t="s" s="2">
        <v>21</v>
      </c>
      <c r="J5855" t="s" s="2">
        <v>9204</v>
      </c>
      <c r="K5855" s="6"/>
      <c r="L5855" s="6"/>
      <c r="M5855" s="5">
        <v>484349.21</v>
      </c>
      <c r="N5855" s="5">
        <v>6321706.6</v>
      </c>
      <c r="O5855" t="s" s="2">
        <v>305</v>
      </c>
      <c r="P5855" s="6"/>
      <c r="Q5855" t="s" s="2">
        <v>43</v>
      </c>
      <c r="R5855" s="5">
        <f>_xlfn.IFERROR(INDEX('model_byCAP'!$D$2:$D$377,MATCH(Q5855,'model_byCAP'!$A$2:$A$377,0)),0)</f>
        <v>0</v>
      </c>
    </row>
    <row r="5856" ht="15.35" customHeight="1">
      <c r="A5856" t="s" s="2">
        <v>10339</v>
      </c>
      <c r="B5856" s="4">
        <v>42443</v>
      </c>
      <c r="C5856" s="5">
        <v>10</v>
      </c>
      <c r="D5856" s="5">
        <v>14</v>
      </c>
      <c r="E5856" s="5">
        <v>18</v>
      </c>
      <c r="F5856" t="s" s="2">
        <v>9209</v>
      </c>
      <c r="G5856" t="s" s="2">
        <v>9293</v>
      </c>
      <c r="H5856" s="5">
        <v>787</v>
      </c>
      <c r="I5856" t="s" s="2">
        <v>21</v>
      </c>
      <c r="J5856" t="s" s="2">
        <v>9204</v>
      </c>
      <c r="K5856" s="6"/>
      <c r="L5856" s="6"/>
      <c r="M5856" s="5">
        <v>479318.07</v>
      </c>
      <c r="N5856" s="5">
        <v>6319819.4</v>
      </c>
      <c r="O5856" t="s" s="2">
        <v>305</v>
      </c>
      <c r="P5856" s="6"/>
      <c r="Q5856" t="s" s="2">
        <v>9295</v>
      </c>
      <c r="R5856" t="s" s="2">
        <f>_xlfn.IFERROR(INDEX('model_byCAP'!$D$2:$D$377,MATCH(Q5856,'model_byCAP'!$A$2:$A$377,0)),0)</f>
        <v>8430</v>
      </c>
    </row>
    <row r="5857" ht="15.35" customHeight="1">
      <c r="A5857" t="s" s="2">
        <v>10340</v>
      </c>
      <c r="B5857" s="4">
        <v>42450</v>
      </c>
      <c r="C5857" s="5">
        <v>10</v>
      </c>
      <c r="D5857" s="5">
        <v>7.1</v>
      </c>
      <c r="E5857" s="5">
        <v>21.4</v>
      </c>
      <c r="F5857" t="s" s="2">
        <v>42</v>
      </c>
      <c r="G5857" t="s" s="2">
        <v>42</v>
      </c>
      <c r="H5857" s="5">
        <v>787</v>
      </c>
      <c r="I5857" t="s" s="2">
        <v>21</v>
      </c>
      <c r="J5857" t="s" s="2">
        <v>9204</v>
      </c>
      <c r="K5857" s="6"/>
      <c r="L5857" s="6"/>
      <c r="M5857" s="5">
        <v>489760.68</v>
      </c>
      <c r="N5857" s="5">
        <v>6322043.09</v>
      </c>
      <c r="O5857" t="s" s="2">
        <v>305</v>
      </c>
      <c r="P5857" s="6"/>
      <c r="Q5857" t="s" s="2">
        <v>43</v>
      </c>
      <c r="R5857" s="5">
        <f>_xlfn.IFERROR(INDEX('model_byCAP'!$D$2:$D$377,MATCH(Q5857,'model_byCAP'!$A$2:$A$377,0)),0)</f>
        <v>0</v>
      </c>
    </row>
    <row r="5858" ht="15.35" customHeight="1">
      <c r="A5858" t="s" s="2">
        <v>10341</v>
      </c>
      <c r="B5858" s="4">
        <v>42458</v>
      </c>
      <c r="C5858" s="5">
        <v>10</v>
      </c>
      <c r="D5858" s="5">
        <v>7.1</v>
      </c>
      <c r="E5858" s="5">
        <v>21.4</v>
      </c>
      <c r="F5858" t="s" s="2">
        <v>42</v>
      </c>
      <c r="G5858" t="s" s="2">
        <v>42</v>
      </c>
      <c r="H5858" s="5">
        <v>787</v>
      </c>
      <c r="I5858" t="s" s="2">
        <v>21</v>
      </c>
      <c r="J5858" t="s" s="2">
        <v>9204</v>
      </c>
      <c r="K5858" s="6"/>
      <c r="L5858" s="6"/>
      <c r="M5858" s="5">
        <v>466846.65</v>
      </c>
      <c r="N5858" s="5">
        <v>6299728.7</v>
      </c>
      <c r="O5858" t="s" s="2">
        <v>305</v>
      </c>
      <c r="P5858" s="6"/>
      <c r="Q5858" t="s" s="2">
        <v>43</v>
      </c>
      <c r="R5858" s="5">
        <f>_xlfn.IFERROR(INDEX('model_byCAP'!$D$2:$D$377,MATCH(Q5858,'model_byCAP'!$A$2:$A$377,0)),0)</f>
        <v>0</v>
      </c>
    </row>
    <row r="5859" ht="15.35" customHeight="1">
      <c r="A5859" t="s" s="2">
        <v>10342</v>
      </c>
      <c r="B5859" s="4">
        <v>42458</v>
      </c>
      <c r="C5859" s="5">
        <v>10</v>
      </c>
      <c r="D5859" s="5">
        <v>7.1</v>
      </c>
      <c r="E5859" s="5">
        <v>21</v>
      </c>
      <c r="F5859" t="s" s="2">
        <v>42</v>
      </c>
      <c r="G5859" t="s" s="2">
        <v>42</v>
      </c>
      <c r="H5859" s="5">
        <v>787</v>
      </c>
      <c r="I5859" t="s" s="2">
        <v>21</v>
      </c>
      <c r="J5859" t="s" s="2">
        <v>9204</v>
      </c>
      <c r="K5859" s="6"/>
      <c r="L5859" s="6"/>
      <c r="M5859" s="5">
        <v>460966.56</v>
      </c>
      <c r="N5859" s="5">
        <v>6294596.46</v>
      </c>
      <c r="O5859" t="s" s="2">
        <v>305</v>
      </c>
      <c r="P5859" s="6"/>
      <c r="Q5859" t="s" s="2">
        <v>43</v>
      </c>
      <c r="R5859" s="5">
        <f>_xlfn.IFERROR(INDEX('model_byCAP'!$D$2:$D$377,MATCH(Q5859,'model_byCAP'!$A$2:$A$377,0)),0)</f>
        <v>0</v>
      </c>
    </row>
    <row r="5860" ht="15.35" customHeight="1">
      <c r="A5860" t="s" s="2">
        <v>10343</v>
      </c>
      <c r="B5860" s="4">
        <v>42475</v>
      </c>
      <c r="C5860" s="5">
        <v>10</v>
      </c>
      <c r="D5860" s="5">
        <v>7.1</v>
      </c>
      <c r="E5860" s="5">
        <v>21.4</v>
      </c>
      <c r="F5860" t="s" s="2">
        <v>42</v>
      </c>
      <c r="G5860" t="s" s="2">
        <v>42</v>
      </c>
      <c r="H5860" s="5">
        <v>787</v>
      </c>
      <c r="I5860" t="s" s="2">
        <v>21</v>
      </c>
      <c r="J5860" t="s" s="2">
        <v>9204</v>
      </c>
      <c r="K5860" s="6"/>
      <c r="L5860" s="6"/>
      <c r="M5860" s="5">
        <v>464060.89</v>
      </c>
      <c r="N5860" s="5">
        <v>6288734.63</v>
      </c>
      <c r="O5860" t="s" s="2">
        <v>305</v>
      </c>
      <c r="P5860" s="6"/>
      <c r="Q5860" t="s" s="2">
        <v>43</v>
      </c>
      <c r="R5860" s="5">
        <f>_xlfn.IFERROR(INDEX('model_byCAP'!$D$2:$D$377,MATCH(Q5860,'model_byCAP'!$A$2:$A$377,0)),0)</f>
        <v>0</v>
      </c>
    </row>
    <row r="5861" ht="15.35" customHeight="1">
      <c r="A5861" t="s" s="2">
        <v>10344</v>
      </c>
      <c r="B5861" s="4">
        <v>42485</v>
      </c>
      <c r="C5861" s="5">
        <v>10</v>
      </c>
      <c r="D5861" s="5">
        <v>7.1</v>
      </c>
      <c r="E5861" s="5">
        <v>21.4</v>
      </c>
      <c r="F5861" t="s" s="2">
        <v>42</v>
      </c>
      <c r="G5861" t="s" s="2">
        <v>42</v>
      </c>
      <c r="H5861" s="5">
        <v>787</v>
      </c>
      <c r="I5861" t="s" s="2">
        <v>21</v>
      </c>
      <c r="J5861" t="s" s="2">
        <v>9204</v>
      </c>
      <c r="K5861" s="6"/>
      <c r="L5861" s="6"/>
      <c r="M5861" s="6"/>
      <c r="N5861" s="6"/>
      <c r="O5861" t="s" s="2">
        <v>25</v>
      </c>
      <c r="P5861" s="6"/>
      <c r="Q5861" t="s" s="2">
        <v>43</v>
      </c>
      <c r="R5861" s="5">
        <f>_xlfn.IFERROR(INDEX('model_byCAP'!$D$2:$D$377,MATCH(Q5861,'model_byCAP'!$A$2:$A$377,0)),0)</f>
        <v>0</v>
      </c>
    </row>
    <row r="5862" ht="15.35" customHeight="1">
      <c r="A5862" t="s" s="2">
        <v>10345</v>
      </c>
      <c r="B5862" s="4">
        <v>42486</v>
      </c>
      <c r="C5862" s="5">
        <v>10</v>
      </c>
      <c r="D5862" s="5">
        <v>14</v>
      </c>
      <c r="E5862" s="5">
        <v>18</v>
      </c>
      <c r="F5862" t="s" s="2">
        <v>9209</v>
      </c>
      <c r="G5862" t="s" s="2">
        <v>9293</v>
      </c>
      <c r="H5862" s="5">
        <v>787</v>
      </c>
      <c r="I5862" t="s" s="2">
        <v>21</v>
      </c>
      <c r="J5862" t="s" s="2">
        <v>9204</v>
      </c>
      <c r="K5862" s="6"/>
      <c r="L5862" s="6"/>
      <c r="M5862" s="5">
        <v>482387.29</v>
      </c>
      <c r="N5862" s="5">
        <v>6316243.44</v>
      </c>
      <c r="O5862" t="s" s="2">
        <v>305</v>
      </c>
      <c r="P5862" s="6"/>
      <c r="Q5862" t="s" s="2">
        <v>9295</v>
      </c>
      <c r="R5862" t="s" s="2">
        <f>_xlfn.IFERROR(INDEX('model_byCAP'!$D$2:$D$377,MATCH(Q5862,'model_byCAP'!$A$2:$A$377,0)),0)</f>
        <v>8430</v>
      </c>
    </row>
    <row r="5863" ht="15.35" customHeight="1">
      <c r="A5863" t="s" s="2">
        <v>10346</v>
      </c>
      <c r="B5863" s="4">
        <v>42486</v>
      </c>
      <c r="C5863" s="5">
        <v>10</v>
      </c>
      <c r="D5863" s="5">
        <v>14</v>
      </c>
      <c r="E5863" s="5">
        <v>18</v>
      </c>
      <c r="F5863" t="s" s="2">
        <v>9209</v>
      </c>
      <c r="G5863" t="s" s="2">
        <v>9293</v>
      </c>
      <c r="H5863" s="5">
        <v>787</v>
      </c>
      <c r="I5863" t="s" s="2">
        <v>21</v>
      </c>
      <c r="J5863" t="s" s="2">
        <v>9204</v>
      </c>
      <c r="K5863" s="6"/>
      <c r="L5863" s="6"/>
      <c r="M5863" s="6"/>
      <c r="N5863" s="6"/>
      <c r="O5863" t="s" s="2">
        <v>25</v>
      </c>
      <c r="P5863" s="6"/>
      <c r="Q5863" t="s" s="2">
        <v>9295</v>
      </c>
      <c r="R5863" t="s" s="2">
        <f>_xlfn.IFERROR(INDEX('model_byCAP'!$D$2:$D$377,MATCH(Q5863,'model_byCAP'!$A$2:$A$377,0)),0)</f>
        <v>8430</v>
      </c>
    </row>
    <row r="5864" ht="15.35" customHeight="1">
      <c r="A5864" t="s" s="2">
        <v>10347</v>
      </c>
      <c r="B5864" s="4">
        <v>42468</v>
      </c>
      <c r="C5864" s="5">
        <v>10</v>
      </c>
      <c r="D5864" s="5">
        <v>7.1</v>
      </c>
      <c r="E5864" s="5">
        <v>21.4</v>
      </c>
      <c r="F5864" t="s" s="2">
        <v>42</v>
      </c>
      <c r="G5864" t="s" s="2">
        <v>42</v>
      </c>
      <c r="H5864" s="5">
        <v>787</v>
      </c>
      <c r="I5864" t="s" s="2">
        <v>21</v>
      </c>
      <c r="J5864" t="s" s="2">
        <v>9204</v>
      </c>
      <c r="K5864" s="6"/>
      <c r="L5864" s="6"/>
      <c r="M5864" s="5">
        <v>461815.94</v>
      </c>
      <c r="N5864" s="5">
        <v>6288978.26</v>
      </c>
      <c r="O5864" t="s" s="2">
        <v>305</v>
      </c>
      <c r="P5864" s="6"/>
      <c r="Q5864" t="s" s="2">
        <v>43</v>
      </c>
      <c r="R5864" s="5">
        <f>_xlfn.IFERROR(INDEX('model_byCAP'!$D$2:$D$377,MATCH(Q5864,'model_byCAP'!$A$2:$A$377,0)),0)</f>
        <v>0</v>
      </c>
    </row>
    <row r="5865" ht="15.35" customHeight="1">
      <c r="A5865" t="s" s="2">
        <v>10348</v>
      </c>
      <c r="B5865" s="4">
        <v>42477</v>
      </c>
      <c r="C5865" s="5">
        <v>10</v>
      </c>
      <c r="D5865" s="5">
        <v>14</v>
      </c>
      <c r="E5865" s="5">
        <v>18</v>
      </c>
      <c r="F5865" t="s" s="2">
        <v>9209</v>
      </c>
      <c r="G5865" t="s" s="2">
        <v>9293</v>
      </c>
      <c r="H5865" s="5">
        <v>787</v>
      </c>
      <c r="I5865" t="s" s="2">
        <v>21</v>
      </c>
      <c r="J5865" t="s" s="2">
        <v>9204</v>
      </c>
      <c r="K5865" s="6"/>
      <c r="L5865" s="6"/>
      <c r="M5865" s="5">
        <v>467140.42</v>
      </c>
      <c r="N5865" s="5">
        <v>6306003.61</v>
      </c>
      <c r="O5865" t="s" s="2">
        <v>305</v>
      </c>
      <c r="P5865" s="6"/>
      <c r="Q5865" t="s" s="2">
        <v>9295</v>
      </c>
      <c r="R5865" t="s" s="2">
        <f>_xlfn.IFERROR(INDEX('model_byCAP'!$D$2:$D$377,MATCH(Q5865,'model_byCAP'!$A$2:$A$377,0)),0)</f>
        <v>8430</v>
      </c>
    </row>
    <row r="5866" ht="15.35" customHeight="1">
      <c r="A5866" t="s" s="2">
        <v>10349</v>
      </c>
      <c r="B5866" s="4">
        <v>42480</v>
      </c>
      <c r="C5866" s="5">
        <v>10</v>
      </c>
      <c r="D5866" s="5">
        <v>14</v>
      </c>
      <c r="E5866" s="5">
        <v>18</v>
      </c>
      <c r="F5866" t="s" s="2">
        <v>9209</v>
      </c>
      <c r="G5866" t="s" s="2">
        <v>9293</v>
      </c>
      <c r="H5866" s="5">
        <v>787</v>
      </c>
      <c r="I5866" t="s" s="2">
        <v>21</v>
      </c>
      <c r="J5866" t="s" s="2">
        <v>9204</v>
      </c>
      <c r="K5866" s="6"/>
      <c r="L5866" s="6"/>
      <c r="M5866" s="5">
        <v>464905.89</v>
      </c>
      <c r="N5866" s="5">
        <v>6294430.12</v>
      </c>
      <c r="O5866" t="s" s="2">
        <v>305</v>
      </c>
      <c r="P5866" s="6"/>
      <c r="Q5866" t="s" s="2">
        <v>9295</v>
      </c>
      <c r="R5866" t="s" s="2">
        <f>_xlfn.IFERROR(INDEX('model_byCAP'!$D$2:$D$377,MATCH(Q5866,'model_byCAP'!$A$2:$A$377,0)),0)</f>
        <v>8430</v>
      </c>
    </row>
    <row r="5867" ht="15.35" customHeight="1">
      <c r="A5867" t="s" s="2">
        <v>10350</v>
      </c>
      <c r="B5867" s="4">
        <v>42496</v>
      </c>
      <c r="C5867" s="5">
        <v>10</v>
      </c>
      <c r="D5867" s="5">
        <v>14</v>
      </c>
      <c r="E5867" s="5">
        <v>18</v>
      </c>
      <c r="F5867" t="s" s="2">
        <v>9209</v>
      </c>
      <c r="G5867" t="s" s="2">
        <v>9210</v>
      </c>
      <c r="H5867" s="5">
        <v>787</v>
      </c>
      <c r="I5867" t="s" s="2">
        <v>21</v>
      </c>
      <c r="J5867" t="s" s="2">
        <v>9204</v>
      </c>
      <c r="K5867" s="6"/>
      <c r="L5867" s="6"/>
      <c r="M5867" s="5">
        <v>464065.39</v>
      </c>
      <c r="N5867" s="5">
        <v>6291052.48</v>
      </c>
      <c r="O5867" t="s" s="2">
        <v>305</v>
      </c>
      <c r="P5867" s="6"/>
      <c r="Q5867" t="s" s="2">
        <v>9211</v>
      </c>
      <c r="R5867" t="s" s="2">
        <f>_xlfn.IFERROR(INDEX('model_byCAP'!$D$2:$D$377,MATCH(Q5867,'model_byCAP'!$A$2:$A$377,0)),0)</f>
        <v>8430</v>
      </c>
    </row>
    <row r="5868" ht="15.35" customHeight="1">
      <c r="A5868" t="s" s="2">
        <v>10351</v>
      </c>
      <c r="B5868" s="4">
        <v>42481</v>
      </c>
      <c r="C5868" s="5">
        <v>10</v>
      </c>
      <c r="D5868" s="5">
        <v>13</v>
      </c>
      <c r="E5868" s="5">
        <v>18.2</v>
      </c>
      <c r="F5868" t="s" s="2">
        <v>9471</v>
      </c>
      <c r="G5868" t="s" s="2">
        <v>9606</v>
      </c>
      <c r="H5868" s="5">
        <v>787</v>
      </c>
      <c r="I5868" t="s" s="2">
        <v>21</v>
      </c>
      <c r="J5868" t="s" s="2">
        <v>9204</v>
      </c>
      <c r="K5868" s="6"/>
      <c r="L5868" s="6"/>
      <c r="M5868" s="5">
        <v>462902.38</v>
      </c>
      <c r="N5868" s="5">
        <v>6291599.04</v>
      </c>
      <c r="O5868" t="s" s="2">
        <v>305</v>
      </c>
      <c r="P5868" s="6"/>
      <c r="Q5868" t="s" s="2">
        <v>9607</v>
      </c>
      <c r="R5868" s="5">
        <f>_xlfn.IFERROR(INDEX('model_byCAP'!$D$2:$D$377,MATCH(Q5868,'model_byCAP'!$A$2:$A$377,0)),0)</f>
        <v>0</v>
      </c>
    </row>
    <row r="5869" ht="15.35" customHeight="1">
      <c r="A5869" t="s" s="2">
        <v>10352</v>
      </c>
      <c r="B5869" s="4">
        <v>42485</v>
      </c>
      <c r="C5869" s="5">
        <v>10</v>
      </c>
      <c r="D5869" s="5">
        <v>14</v>
      </c>
      <c r="E5869" s="5">
        <v>18</v>
      </c>
      <c r="F5869" t="s" s="2">
        <v>9209</v>
      </c>
      <c r="G5869" t="s" s="2">
        <v>9293</v>
      </c>
      <c r="H5869" s="5">
        <v>787</v>
      </c>
      <c r="I5869" t="s" s="2">
        <v>21</v>
      </c>
      <c r="J5869" t="s" s="2">
        <v>9204</v>
      </c>
      <c r="K5869" s="6"/>
      <c r="L5869" s="6"/>
      <c r="M5869" s="5">
        <v>482883.85</v>
      </c>
      <c r="N5869" s="5">
        <v>6316971.35</v>
      </c>
      <c r="O5869" t="s" s="2">
        <v>305</v>
      </c>
      <c r="P5869" s="6"/>
      <c r="Q5869" t="s" s="2">
        <v>9295</v>
      </c>
      <c r="R5869" t="s" s="2">
        <f>_xlfn.IFERROR(INDEX('model_byCAP'!$D$2:$D$377,MATCH(Q5869,'model_byCAP'!$A$2:$A$377,0)),0)</f>
        <v>8430</v>
      </c>
    </row>
    <row r="5870" ht="15.35" customHeight="1">
      <c r="A5870" t="s" s="2">
        <v>10353</v>
      </c>
      <c r="B5870" s="4">
        <v>42496</v>
      </c>
      <c r="C5870" s="5">
        <v>10</v>
      </c>
      <c r="D5870" s="5">
        <v>14</v>
      </c>
      <c r="E5870" s="5">
        <v>18</v>
      </c>
      <c r="F5870" t="s" s="2">
        <v>9209</v>
      </c>
      <c r="G5870" t="s" s="2">
        <v>9293</v>
      </c>
      <c r="H5870" s="5">
        <v>787</v>
      </c>
      <c r="I5870" t="s" s="2">
        <v>21</v>
      </c>
      <c r="J5870" t="s" s="2">
        <v>9204</v>
      </c>
      <c r="K5870" s="6"/>
      <c r="L5870" s="6"/>
      <c r="M5870" s="6"/>
      <c r="N5870" s="6"/>
      <c r="O5870" t="s" s="2">
        <v>25</v>
      </c>
      <c r="P5870" s="6"/>
      <c r="Q5870" t="s" s="2">
        <v>9295</v>
      </c>
      <c r="R5870" t="s" s="2">
        <f>_xlfn.IFERROR(INDEX('model_byCAP'!$D$2:$D$377,MATCH(Q5870,'model_byCAP'!$A$2:$A$377,0)),0)</f>
        <v>8430</v>
      </c>
    </row>
    <row r="5871" ht="15.35" customHeight="1">
      <c r="A5871" t="s" s="2">
        <v>10354</v>
      </c>
      <c r="B5871" s="4">
        <v>42496</v>
      </c>
      <c r="C5871" s="5">
        <v>10</v>
      </c>
      <c r="D5871" s="5">
        <v>14</v>
      </c>
      <c r="E5871" s="5">
        <v>18</v>
      </c>
      <c r="F5871" t="s" s="2">
        <v>9209</v>
      </c>
      <c r="G5871" t="s" s="2">
        <v>9293</v>
      </c>
      <c r="H5871" s="5">
        <v>787</v>
      </c>
      <c r="I5871" t="s" s="2">
        <v>21</v>
      </c>
      <c r="J5871" t="s" s="2">
        <v>9204</v>
      </c>
      <c r="K5871" s="6"/>
      <c r="L5871" s="6"/>
      <c r="M5871" s="6"/>
      <c r="N5871" s="6"/>
      <c r="O5871" t="s" s="2">
        <v>25</v>
      </c>
      <c r="P5871" s="6"/>
      <c r="Q5871" t="s" s="2">
        <v>9295</v>
      </c>
      <c r="R5871" t="s" s="2">
        <f>_xlfn.IFERROR(INDEX('model_byCAP'!$D$2:$D$377,MATCH(Q5871,'model_byCAP'!$A$2:$A$377,0)),0)</f>
        <v>8430</v>
      </c>
    </row>
    <row r="5872" ht="15.35" customHeight="1">
      <c r="A5872" t="s" s="2">
        <v>10355</v>
      </c>
      <c r="B5872" s="4">
        <v>42487</v>
      </c>
      <c r="C5872" s="5">
        <v>10</v>
      </c>
      <c r="D5872" s="5">
        <v>13</v>
      </c>
      <c r="E5872" s="5">
        <v>18.2</v>
      </c>
      <c r="F5872" t="s" s="2">
        <v>9471</v>
      </c>
      <c r="G5872" t="s" s="2">
        <v>9606</v>
      </c>
      <c r="H5872" s="5">
        <v>787</v>
      </c>
      <c r="I5872" t="s" s="2">
        <v>21</v>
      </c>
      <c r="J5872" t="s" s="2">
        <v>9204</v>
      </c>
      <c r="K5872" s="6"/>
      <c r="L5872" s="6"/>
      <c r="M5872" s="5">
        <v>467081.78</v>
      </c>
      <c r="N5872" s="5">
        <v>6291376.83</v>
      </c>
      <c r="O5872" t="s" s="2">
        <v>305</v>
      </c>
      <c r="P5872" s="6"/>
      <c r="Q5872" t="s" s="2">
        <v>9607</v>
      </c>
      <c r="R5872" s="5">
        <f>_xlfn.IFERROR(INDEX('model_byCAP'!$D$2:$D$377,MATCH(Q5872,'model_byCAP'!$A$2:$A$377,0)),0)</f>
        <v>0</v>
      </c>
    </row>
    <row r="5873" ht="15.35" customHeight="1">
      <c r="A5873" t="s" s="2">
        <v>10356</v>
      </c>
      <c r="B5873" s="4">
        <v>42528</v>
      </c>
      <c r="C5873" s="5">
        <v>10</v>
      </c>
      <c r="D5873" s="5">
        <v>14</v>
      </c>
      <c r="E5873" s="5">
        <v>18</v>
      </c>
      <c r="F5873" t="s" s="2">
        <v>9209</v>
      </c>
      <c r="G5873" t="s" s="2">
        <v>9293</v>
      </c>
      <c r="H5873" s="5">
        <v>787</v>
      </c>
      <c r="I5873" t="s" s="2">
        <v>21</v>
      </c>
      <c r="J5873" t="s" s="2">
        <v>9204</v>
      </c>
      <c r="K5873" s="6"/>
      <c r="L5873" s="6"/>
      <c r="M5873" s="6"/>
      <c r="N5873" s="6"/>
      <c r="O5873" t="s" s="2">
        <v>25</v>
      </c>
      <c r="P5873" s="6"/>
      <c r="Q5873" t="s" s="2">
        <v>9295</v>
      </c>
      <c r="R5873" t="s" s="2">
        <f>_xlfn.IFERROR(INDEX('model_byCAP'!$D$2:$D$377,MATCH(Q5873,'model_byCAP'!$A$2:$A$377,0)),0)</f>
        <v>8430</v>
      </c>
    </row>
    <row r="5874" ht="15.35" customHeight="1">
      <c r="A5874" t="s" s="2">
        <v>10357</v>
      </c>
      <c r="B5874" s="4">
        <v>42487</v>
      </c>
      <c r="C5874" s="5">
        <v>10</v>
      </c>
      <c r="D5874" s="5">
        <v>13</v>
      </c>
      <c r="E5874" s="5">
        <v>18.2</v>
      </c>
      <c r="F5874" t="s" s="2">
        <v>9471</v>
      </c>
      <c r="G5874" t="s" s="2">
        <v>9606</v>
      </c>
      <c r="H5874" s="5">
        <v>787</v>
      </c>
      <c r="I5874" t="s" s="2">
        <v>21</v>
      </c>
      <c r="J5874" t="s" s="2">
        <v>9204</v>
      </c>
      <c r="K5874" s="6"/>
      <c r="L5874" s="6"/>
      <c r="M5874" s="5">
        <v>467369.64</v>
      </c>
      <c r="N5874" s="5">
        <v>6290449.41</v>
      </c>
      <c r="O5874" t="s" s="2">
        <v>305</v>
      </c>
      <c r="P5874" s="6"/>
      <c r="Q5874" t="s" s="2">
        <v>9607</v>
      </c>
      <c r="R5874" s="5">
        <f>_xlfn.IFERROR(INDEX('model_byCAP'!$D$2:$D$377,MATCH(Q5874,'model_byCAP'!$A$2:$A$377,0)),0)</f>
        <v>0</v>
      </c>
    </row>
    <row r="5875" ht="15.35" customHeight="1">
      <c r="A5875" t="s" s="2">
        <v>10358</v>
      </c>
      <c r="B5875" s="4">
        <v>42489</v>
      </c>
      <c r="C5875" s="5">
        <v>10</v>
      </c>
      <c r="D5875" s="5">
        <v>7.1</v>
      </c>
      <c r="E5875" s="5">
        <v>21.4</v>
      </c>
      <c r="F5875" t="s" s="2">
        <v>42</v>
      </c>
      <c r="G5875" t="s" s="2">
        <v>42</v>
      </c>
      <c r="H5875" s="5">
        <v>787</v>
      </c>
      <c r="I5875" t="s" s="2">
        <v>21</v>
      </c>
      <c r="J5875" t="s" s="2">
        <v>9204</v>
      </c>
      <c r="K5875" s="6"/>
      <c r="L5875" s="6"/>
      <c r="M5875" s="5">
        <v>481369.21</v>
      </c>
      <c r="N5875" s="5">
        <v>6319945.3</v>
      </c>
      <c r="O5875" t="s" s="2">
        <v>305</v>
      </c>
      <c r="P5875" s="6"/>
      <c r="Q5875" t="s" s="2">
        <v>43</v>
      </c>
      <c r="R5875" s="5">
        <f>_xlfn.IFERROR(INDEX('model_byCAP'!$D$2:$D$377,MATCH(Q5875,'model_byCAP'!$A$2:$A$377,0)),0)</f>
        <v>0</v>
      </c>
    </row>
    <row r="5876" ht="15.35" customHeight="1">
      <c r="A5876" t="s" s="2">
        <v>10359</v>
      </c>
      <c r="B5876" s="4">
        <v>42509</v>
      </c>
      <c r="C5876" s="5">
        <v>10</v>
      </c>
      <c r="D5876" s="5">
        <v>14</v>
      </c>
      <c r="E5876" s="5">
        <v>18</v>
      </c>
      <c r="F5876" t="s" s="2">
        <v>9209</v>
      </c>
      <c r="G5876" t="s" s="2">
        <v>9293</v>
      </c>
      <c r="H5876" s="5">
        <v>787</v>
      </c>
      <c r="I5876" t="s" s="2">
        <v>21</v>
      </c>
      <c r="J5876" t="s" s="2">
        <v>9204</v>
      </c>
      <c r="K5876" s="6"/>
      <c r="L5876" s="6"/>
      <c r="M5876" s="6"/>
      <c r="N5876" s="6"/>
      <c r="O5876" t="s" s="2">
        <v>25</v>
      </c>
      <c r="P5876" s="6"/>
      <c r="Q5876" t="s" s="2">
        <v>9295</v>
      </c>
      <c r="R5876" t="s" s="2">
        <f>_xlfn.IFERROR(INDEX('model_byCAP'!$D$2:$D$377,MATCH(Q5876,'model_byCAP'!$A$2:$A$377,0)),0)</f>
        <v>8430</v>
      </c>
    </row>
    <row r="5877" ht="15.35" customHeight="1">
      <c r="A5877" t="s" s="2">
        <v>10360</v>
      </c>
      <c r="B5877" s="4">
        <v>42503</v>
      </c>
      <c r="C5877" s="5">
        <v>10</v>
      </c>
      <c r="D5877" s="5">
        <v>1.1</v>
      </c>
      <c r="E5877" s="5">
        <v>21.4</v>
      </c>
      <c r="F5877" t="s" s="2">
        <v>42</v>
      </c>
      <c r="G5877" t="s" s="2">
        <v>42</v>
      </c>
      <c r="H5877" s="5">
        <v>787</v>
      </c>
      <c r="I5877" t="s" s="2">
        <v>21</v>
      </c>
      <c r="J5877" t="s" s="2">
        <v>9204</v>
      </c>
      <c r="K5877" s="6"/>
      <c r="L5877" s="6"/>
      <c r="M5877" s="6"/>
      <c r="N5877" s="6"/>
      <c r="O5877" t="s" s="2">
        <v>25</v>
      </c>
      <c r="P5877" s="6"/>
      <c r="Q5877" t="s" s="2">
        <v>43</v>
      </c>
      <c r="R5877" s="5">
        <f>_xlfn.IFERROR(INDEX('model_byCAP'!$D$2:$D$377,MATCH(Q5877,'model_byCAP'!$A$2:$A$377,0)),0)</f>
        <v>0</v>
      </c>
    </row>
    <row r="5878" ht="15.35" customHeight="1">
      <c r="A5878" t="s" s="2">
        <v>10361</v>
      </c>
      <c r="B5878" s="4">
        <v>42496</v>
      </c>
      <c r="C5878" s="5">
        <v>10</v>
      </c>
      <c r="D5878" s="5">
        <v>7.1</v>
      </c>
      <c r="E5878" s="5">
        <v>21.4</v>
      </c>
      <c r="F5878" t="s" s="2">
        <v>42</v>
      </c>
      <c r="G5878" t="s" s="2">
        <v>42</v>
      </c>
      <c r="H5878" s="5">
        <v>787</v>
      </c>
      <c r="I5878" t="s" s="2">
        <v>21</v>
      </c>
      <c r="J5878" t="s" s="2">
        <v>9204</v>
      </c>
      <c r="K5878" s="6"/>
      <c r="L5878" s="6"/>
      <c r="M5878" s="5">
        <v>472876.13</v>
      </c>
      <c r="N5878" s="5">
        <v>6300696.3</v>
      </c>
      <c r="O5878" t="s" s="2">
        <v>305</v>
      </c>
      <c r="P5878" s="6"/>
      <c r="Q5878" t="s" s="2">
        <v>43</v>
      </c>
      <c r="R5878" s="5">
        <f>_xlfn.IFERROR(INDEX('model_byCAP'!$D$2:$D$377,MATCH(Q5878,'model_byCAP'!$A$2:$A$377,0)),0)</f>
        <v>0</v>
      </c>
    </row>
    <row r="5879" ht="15.35" customHeight="1">
      <c r="A5879" t="s" s="2">
        <v>10362</v>
      </c>
      <c r="B5879" s="4">
        <v>42503</v>
      </c>
      <c r="C5879" s="5">
        <v>10</v>
      </c>
      <c r="D5879" s="5">
        <v>7.1</v>
      </c>
      <c r="E5879" s="5">
        <v>21.4</v>
      </c>
      <c r="F5879" t="s" s="2">
        <v>42</v>
      </c>
      <c r="G5879" t="s" s="2">
        <v>42</v>
      </c>
      <c r="H5879" s="5">
        <v>787</v>
      </c>
      <c r="I5879" t="s" s="2">
        <v>21</v>
      </c>
      <c r="J5879" t="s" s="2">
        <v>9204</v>
      </c>
      <c r="K5879" s="6"/>
      <c r="L5879" s="6"/>
      <c r="M5879" s="6"/>
      <c r="N5879" s="6"/>
      <c r="O5879" t="s" s="2">
        <v>25</v>
      </c>
      <c r="P5879" s="6"/>
      <c r="Q5879" t="s" s="2">
        <v>43</v>
      </c>
      <c r="R5879" s="5">
        <f>_xlfn.IFERROR(INDEX('model_byCAP'!$D$2:$D$377,MATCH(Q5879,'model_byCAP'!$A$2:$A$377,0)),0)</f>
        <v>0</v>
      </c>
    </row>
    <row r="5880" ht="15.35" customHeight="1">
      <c r="A5880" t="s" s="2">
        <v>10363</v>
      </c>
      <c r="B5880" s="4">
        <v>42607</v>
      </c>
      <c r="C5880" s="5">
        <v>10</v>
      </c>
      <c r="D5880" s="5">
        <v>7.1</v>
      </c>
      <c r="E5880" s="5">
        <v>21.4</v>
      </c>
      <c r="F5880" t="s" s="2">
        <v>42</v>
      </c>
      <c r="G5880" t="s" s="2">
        <v>42</v>
      </c>
      <c r="H5880" s="5">
        <v>787</v>
      </c>
      <c r="I5880" t="s" s="2">
        <v>21</v>
      </c>
      <c r="J5880" t="s" s="2">
        <v>9204</v>
      </c>
      <c r="K5880" s="6"/>
      <c r="L5880" s="6"/>
      <c r="M5880" s="6"/>
      <c r="N5880" s="6"/>
      <c r="O5880" t="s" s="2">
        <v>25</v>
      </c>
      <c r="P5880" s="6"/>
      <c r="Q5880" t="s" s="2">
        <v>43</v>
      </c>
      <c r="R5880" s="5">
        <f>_xlfn.IFERROR(INDEX('model_byCAP'!$D$2:$D$377,MATCH(Q5880,'model_byCAP'!$A$2:$A$377,0)),0)</f>
        <v>0</v>
      </c>
    </row>
    <row r="5881" ht="15.35" customHeight="1">
      <c r="A5881" t="s" s="2">
        <v>10364</v>
      </c>
      <c r="B5881" s="4">
        <v>42496</v>
      </c>
      <c r="C5881" s="5">
        <v>10</v>
      </c>
      <c r="D5881" s="5">
        <v>7.1</v>
      </c>
      <c r="E5881" s="5">
        <v>21.4</v>
      </c>
      <c r="F5881" t="s" s="2">
        <v>42</v>
      </c>
      <c r="G5881" t="s" s="2">
        <v>42</v>
      </c>
      <c r="H5881" s="5">
        <v>787</v>
      </c>
      <c r="I5881" t="s" s="2">
        <v>21</v>
      </c>
      <c r="J5881" t="s" s="2">
        <v>9204</v>
      </c>
      <c r="K5881" s="6"/>
      <c r="L5881" s="6"/>
      <c r="M5881" s="6"/>
      <c r="N5881" s="6"/>
      <c r="O5881" t="s" s="2">
        <v>25</v>
      </c>
      <c r="P5881" s="6"/>
      <c r="Q5881" t="s" s="2">
        <v>43</v>
      </c>
      <c r="R5881" s="5">
        <f>_xlfn.IFERROR(INDEX('model_byCAP'!$D$2:$D$377,MATCH(Q5881,'model_byCAP'!$A$2:$A$377,0)),0)</f>
        <v>0</v>
      </c>
    </row>
    <row r="5882" ht="15.35" customHeight="1">
      <c r="A5882" t="s" s="2">
        <v>10365</v>
      </c>
      <c r="B5882" s="4">
        <v>42513</v>
      </c>
      <c r="C5882" s="5">
        <v>10</v>
      </c>
      <c r="D5882" s="5">
        <v>14</v>
      </c>
      <c r="E5882" s="5">
        <v>18</v>
      </c>
      <c r="F5882" t="s" s="2">
        <v>9209</v>
      </c>
      <c r="G5882" t="s" s="2">
        <v>9293</v>
      </c>
      <c r="H5882" s="5">
        <v>787</v>
      </c>
      <c r="I5882" t="s" s="2">
        <v>21</v>
      </c>
      <c r="J5882" t="s" s="2">
        <v>9204</v>
      </c>
      <c r="K5882" s="6"/>
      <c r="L5882" s="6"/>
      <c r="M5882" s="6"/>
      <c r="N5882" s="6"/>
      <c r="O5882" t="s" s="2">
        <v>25</v>
      </c>
      <c r="P5882" s="6"/>
      <c r="Q5882" t="s" s="2">
        <v>9295</v>
      </c>
      <c r="R5882" t="s" s="2">
        <f>_xlfn.IFERROR(INDEX('model_byCAP'!$D$2:$D$377,MATCH(Q5882,'model_byCAP'!$A$2:$A$377,0)),0)</f>
        <v>8430</v>
      </c>
    </row>
    <row r="5883" ht="15.35" customHeight="1">
      <c r="A5883" t="s" s="2">
        <v>10366</v>
      </c>
      <c r="B5883" s="4">
        <v>42509</v>
      </c>
      <c r="C5883" s="5">
        <v>10</v>
      </c>
      <c r="D5883" s="5">
        <v>14</v>
      </c>
      <c r="E5883" s="5">
        <v>18</v>
      </c>
      <c r="F5883" t="s" s="2">
        <v>9209</v>
      </c>
      <c r="G5883" t="s" s="2">
        <v>9293</v>
      </c>
      <c r="H5883" s="5">
        <v>787</v>
      </c>
      <c r="I5883" t="s" s="2">
        <v>21</v>
      </c>
      <c r="J5883" t="s" s="2">
        <v>9204</v>
      </c>
      <c r="K5883" s="6"/>
      <c r="L5883" s="6"/>
      <c r="M5883" s="6"/>
      <c r="N5883" s="6"/>
      <c r="O5883" t="s" s="2">
        <v>25</v>
      </c>
      <c r="P5883" s="6"/>
      <c r="Q5883" t="s" s="2">
        <v>9295</v>
      </c>
      <c r="R5883" t="s" s="2">
        <f>_xlfn.IFERROR(INDEX('model_byCAP'!$D$2:$D$377,MATCH(Q5883,'model_byCAP'!$A$2:$A$377,0)),0)</f>
        <v>8430</v>
      </c>
    </row>
    <row r="5884" ht="15.35" customHeight="1">
      <c r="A5884" t="s" s="2">
        <v>10367</v>
      </c>
      <c r="B5884" s="4">
        <v>42514</v>
      </c>
      <c r="C5884" s="5">
        <v>10</v>
      </c>
      <c r="D5884" s="5">
        <v>14</v>
      </c>
      <c r="E5884" s="5">
        <v>18</v>
      </c>
      <c r="F5884" t="s" s="2">
        <v>9209</v>
      </c>
      <c r="G5884" t="s" s="2">
        <v>9293</v>
      </c>
      <c r="H5884" s="5">
        <v>787</v>
      </c>
      <c r="I5884" t="s" s="2">
        <v>21</v>
      </c>
      <c r="J5884" t="s" s="2">
        <v>9204</v>
      </c>
      <c r="K5884" s="6"/>
      <c r="L5884" s="6"/>
      <c r="M5884" s="6"/>
      <c r="N5884" s="6"/>
      <c r="O5884" t="s" s="2">
        <v>25</v>
      </c>
      <c r="P5884" s="6"/>
      <c r="Q5884" t="s" s="2">
        <v>9295</v>
      </c>
      <c r="R5884" t="s" s="2">
        <f>_xlfn.IFERROR(INDEX('model_byCAP'!$D$2:$D$377,MATCH(Q5884,'model_byCAP'!$A$2:$A$377,0)),0)</f>
        <v>8430</v>
      </c>
    </row>
    <row r="5885" ht="15.35" customHeight="1">
      <c r="A5885" t="s" s="2">
        <v>10368</v>
      </c>
      <c r="B5885" s="4">
        <v>42522</v>
      </c>
      <c r="C5885" s="5">
        <v>10</v>
      </c>
      <c r="D5885" s="5">
        <v>13</v>
      </c>
      <c r="E5885" s="5">
        <v>18.2</v>
      </c>
      <c r="F5885" t="s" s="2">
        <v>9471</v>
      </c>
      <c r="G5885" t="s" s="2">
        <v>9606</v>
      </c>
      <c r="H5885" s="5">
        <v>787</v>
      </c>
      <c r="I5885" t="s" s="2">
        <v>21</v>
      </c>
      <c r="J5885" t="s" s="2">
        <v>9204</v>
      </c>
      <c r="K5885" s="6"/>
      <c r="L5885" s="6"/>
      <c r="M5885" s="6"/>
      <c r="N5885" s="6"/>
      <c r="O5885" t="s" s="2">
        <v>25</v>
      </c>
      <c r="P5885" s="6"/>
      <c r="Q5885" t="s" s="2">
        <v>9607</v>
      </c>
      <c r="R5885" s="5">
        <f>_xlfn.IFERROR(INDEX('model_byCAP'!$D$2:$D$377,MATCH(Q5885,'model_byCAP'!$A$2:$A$377,0)),0)</f>
        <v>0</v>
      </c>
    </row>
    <row r="5886" ht="15.35" customHeight="1">
      <c r="A5886" t="s" s="2">
        <v>10369</v>
      </c>
      <c r="B5886" s="4">
        <v>42517</v>
      </c>
      <c r="C5886" s="5">
        <v>10</v>
      </c>
      <c r="D5886" s="5">
        <v>7.1</v>
      </c>
      <c r="E5886" s="5">
        <v>21.4</v>
      </c>
      <c r="F5886" t="s" s="2">
        <v>42</v>
      </c>
      <c r="G5886" t="s" s="2">
        <v>42</v>
      </c>
      <c r="H5886" s="5">
        <v>787</v>
      </c>
      <c r="I5886" t="s" s="2">
        <v>21</v>
      </c>
      <c r="J5886" t="s" s="2">
        <v>9204</v>
      </c>
      <c r="K5886" s="6"/>
      <c r="L5886" s="6"/>
      <c r="M5886" s="6"/>
      <c r="N5886" s="6"/>
      <c r="O5886" t="s" s="2">
        <v>25</v>
      </c>
      <c r="P5886" s="6"/>
      <c r="Q5886" t="s" s="2">
        <v>43</v>
      </c>
      <c r="R5886" s="5">
        <f>_xlfn.IFERROR(INDEX('model_byCAP'!$D$2:$D$377,MATCH(Q5886,'model_byCAP'!$A$2:$A$377,0)),0)</f>
        <v>0</v>
      </c>
    </row>
    <row r="5887" ht="15.35" customHeight="1">
      <c r="A5887" t="s" s="2">
        <v>10370</v>
      </c>
      <c r="B5887" s="4">
        <v>42514</v>
      </c>
      <c r="C5887" s="5">
        <v>10</v>
      </c>
      <c r="D5887" s="5">
        <v>14</v>
      </c>
      <c r="E5887" s="5">
        <v>18</v>
      </c>
      <c r="F5887" t="s" s="2">
        <v>9209</v>
      </c>
      <c r="G5887" t="s" s="2">
        <v>9293</v>
      </c>
      <c r="H5887" s="5">
        <v>787</v>
      </c>
      <c r="I5887" t="s" s="2">
        <v>21</v>
      </c>
      <c r="J5887" t="s" s="2">
        <v>9204</v>
      </c>
      <c r="K5887" s="6"/>
      <c r="L5887" s="6"/>
      <c r="M5887" s="6"/>
      <c r="N5887" s="6"/>
      <c r="O5887" t="s" s="2">
        <v>25</v>
      </c>
      <c r="P5887" s="6"/>
      <c r="Q5887" t="s" s="2">
        <v>9295</v>
      </c>
      <c r="R5887" t="s" s="2">
        <f>_xlfn.IFERROR(INDEX('model_byCAP'!$D$2:$D$377,MATCH(Q5887,'model_byCAP'!$A$2:$A$377,0)),0)</f>
        <v>8430</v>
      </c>
    </row>
    <row r="5888" ht="15.35" customHeight="1">
      <c r="A5888" t="s" s="2">
        <v>10371</v>
      </c>
      <c r="B5888" s="4">
        <v>42522</v>
      </c>
      <c r="C5888" s="5">
        <v>10</v>
      </c>
      <c r="D5888" s="5">
        <v>7.1</v>
      </c>
      <c r="E5888" s="5">
        <v>21.4</v>
      </c>
      <c r="F5888" t="s" s="2">
        <v>42</v>
      </c>
      <c r="G5888" t="s" s="2">
        <v>42</v>
      </c>
      <c r="H5888" s="5">
        <v>787</v>
      </c>
      <c r="I5888" t="s" s="2">
        <v>21</v>
      </c>
      <c r="J5888" t="s" s="2">
        <v>9204</v>
      </c>
      <c r="K5888" s="6"/>
      <c r="L5888" s="6"/>
      <c r="M5888" s="6"/>
      <c r="N5888" s="6"/>
      <c r="O5888" t="s" s="2">
        <v>25</v>
      </c>
      <c r="P5888" s="6"/>
      <c r="Q5888" t="s" s="2">
        <v>43</v>
      </c>
      <c r="R5888" s="5">
        <f>_xlfn.IFERROR(INDEX('model_byCAP'!$D$2:$D$377,MATCH(Q5888,'model_byCAP'!$A$2:$A$377,0)),0)</f>
        <v>0</v>
      </c>
    </row>
    <row r="5889" ht="15.35" customHeight="1">
      <c r="A5889" t="s" s="2">
        <v>10372</v>
      </c>
      <c r="B5889" s="4">
        <v>42529</v>
      </c>
      <c r="C5889" s="5">
        <v>10</v>
      </c>
      <c r="D5889" s="5">
        <v>14</v>
      </c>
      <c r="E5889" s="5">
        <v>18</v>
      </c>
      <c r="F5889" t="s" s="2">
        <v>9209</v>
      </c>
      <c r="G5889" t="s" s="2">
        <v>9293</v>
      </c>
      <c r="H5889" s="5">
        <v>787</v>
      </c>
      <c r="I5889" t="s" s="2">
        <v>21</v>
      </c>
      <c r="J5889" t="s" s="2">
        <v>9204</v>
      </c>
      <c r="K5889" s="6"/>
      <c r="L5889" s="6"/>
      <c r="M5889" s="6"/>
      <c r="N5889" s="6"/>
      <c r="O5889" t="s" s="2">
        <v>25</v>
      </c>
      <c r="P5889" s="6"/>
      <c r="Q5889" t="s" s="2">
        <v>9295</v>
      </c>
      <c r="R5889" t="s" s="2">
        <f>_xlfn.IFERROR(INDEX('model_byCAP'!$D$2:$D$377,MATCH(Q5889,'model_byCAP'!$A$2:$A$377,0)),0)</f>
        <v>8430</v>
      </c>
    </row>
    <row r="5890" ht="15.35" customHeight="1">
      <c r="A5890" t="s" s="2">
        <v>10373</v>
      </c>
      <c r="B5890" s="4">
        <v>42521</v>
      </c>
      <c r="C5890" s="5">
        <v>10</v>
      </c>
      <c r="D5890" s="5">
        <v>13</v>
      </c>
      <c r="E5890" s="5">
        <v>18.2</v>
      </c>
      <c r="F5890" t="s" s="2">
        <v>9471</v>
      </c>
      <c r="G5890" t="s" s="2">
        <v>9606</v>
      </c>
      <c r="H5890" s="5">
        <v>787</v>
      </c>
      <c r="I5890" t="s" s="2">
        <v>21</v>
      </c>
      <c r="J5890" t="s" s="2">
        <v>9204</v>
      </c>
      <c r="K5890" s="6"/>
      <c r="L5890" s="6"/>
      <c r="M5890" s="6"/>
      <c r="N5890" s="6"/>
      <c r="O5890" t="s" s="2">
        <v>25</v>
      </c>
      <c r="P5890" s="6"/>
      <c r="Q5890" t="s" s="2">
        <v>9607</v>
      </c>
      <c r="R5890" s="5">
        <f>_xlfn.IFERROR(INDEX('model_byCAP'!$D$2:$D$377,MATCH(Q5890,'model_byCAP'!$A$2:$A$377,0)),0)</f>
        <v>0</v>
      </c>
    </row>
    <row r="5891" ht="15.35" customHeight="1">
      <c r="A5891" t="s" s="2">
        <v>10374</v>
      </c>
      <c r="B5891" s="4">
        <v>42523</v>
      </c>
      <c r="C5891" s="5">
        <v>10</v>
      </c>
      <c r="D5891" s="5">
        <v>14</v>
      </c>
      <c r="E5891" s="5">
        <v>18</v>
      </c>
      <c r="F5891" t="s" s="2">
        <v>9209</v>
      </c>
      <c r="G5891" t="s" s="2">
        <v>9293</v>
      </c>
      <c r="H5891" s="5">
        <v>787</v>
      </c>
      <c r="I5891" t="s" s="2">
        <v>21</v>
      </c>
      <c r="J5891" t="s" s="2">
        <v>9204</v>
      </c>
      <c r="K5891" s="6"/>
      <c r="L5891" s="6"/>
      <c r="M5891" s="6"/>
      <c r="N5891" s="6"/>
      <c r="O5891" t="s" s="2">
        <v>25</v>
      </c>
      <c r="P5891" s="6"/>
      <c r="Q5891" t="s" s="2">
        <v>9295</v>
      </c>
      <c r="R5891" t="s" s="2">
        <f>_xlfn.IFERROR(INDEX('model_byCAP'!$D$2:$D$377,MATCH(Q5891,'model_byCAP'!$A$2:$A$377,0)),0)</f>
        <v>8430</v>
      </c>
    </row>
    <row r="5892" ht="15.35" customHeight="1">
      <c r="A5892" t="s" s="2">
        <v>10375</v>
      </c>
      <c r="B5892" s="4">
        <v>42538</v>
      </c>
      <c r="C5892" s="5">
        <v>10</v>
      </c>
      <c r="D5892" s="5">
        <v>14</v>
      </c>
      <c r="E5892" s="5">
        <v>18</v>
      </c>
      <c r="F5892" t="s" s="2">
        <v>9209</v>
      </c>
      <c r="G5892" t="s" s="2">
        <v>9293</v>
      </c>
      <c r="H5892" s="5">
        <v>787</v>
      </c>
      <c r="I5892" t="s" s="2">
        <v>21</v>
      </c>
      <c r="J5892" t="s" s="2">
        <v>9204</v>
      </c>
      <c r="K5892" s="6"/>
      <c r="L5892" s="6"/>
      <c r="M5892" s="6"/>
      <c r="N5892" s="6"/>
      <c r="O5892" t="s" s="2">
        <v>25</v>
      </c>
      <c r="P5892" s="6"/>
      <c r="Q5892" t="s" s="2">
        <v>9295</v>
      </c>
      <c r="R5892" t="s" s="2">
        <f>_xlfn.IFERROR(INDEX('model_byCAP'!$D$2:$D$377,MATCH(Q5892,'model_byCAP'!$A$2:$A$377,0)),0)</f>
        <v>8430</v>
      </c>
    </row>
    <row r="5893" ht="15.35" customHeight="1">
      <c r="A5893" t="s" s="2">
        <v>10376</v>
      </c>
      <c r="B5893" s="4">
        <v>42527</v>
      </c>
      <c r="C5893" s="5">
        <v>10</v>
      </c>
      <c r="D5893" s="5">
        <v>14</v>
      </c>
      <c r="E5893" s="5">
        <v>18</v>
      </c>
      <c r="F5893" t="s" s="2">
        <v>9209</v>
      </c>
      <c r="G5893" t="s" s="2">
        <v>9293</v>
      </c>
      <c r="H5893" s="5">
        <v>787</v>
      </c>
      <c r="I5893" t="s" s="2">
        <v>21</v>
      </c>
      <c r="J5893" t="s" s="2">
        <v>9204</v>
      </c>
      <c r="K5893" s="6"/>
      <c r="L5893" s="6"/>
      <c r="M5893" s="6"/>
      <c r="N5893" s="6"/>
      <c r="O5893" t="s" s="2">
        <v>25</v>
      </c>
      <c r="P5893" s="6"/>
      <c r="Q5893" t="s" s="2">
        <v>9295</v>
      </c>
      <c r="R5893" t="s" s="2">
        <f>_xlfn.IFERROR(INDEX('model_byCAP'!$D$2:$D$377,MATCH(Q5893,'model_byCAP'!$A$2:$A$377,0)),0)</f>
        <v>8430</v>
      </c>
    </row>
    <row r="5894" ht="15.35" customHeight="1">
      <c r="A5894" t="s" s="2">
        <v>10377</v>
      </c>
      <c r="B5894" s="4">
        <v>42535</v>
      </c>
      <c r="C5894" s="5">
        <v>10</v>
      </c>
      <c r="D5894" s="5">
        <v>13</v>
      </c>
      <c r="E5894" s="5">
        <v>18</v>
      </c>
      <c r="F5894" t="s" s="2">
        <v>9471</v>
      </c>
      <c r="G5894" t="s" s="2">
        <v>9606</v>
      </c>
      <c r="H5894" s="5">
        <v>787</v>
      </c>
      <c r="I5894" t="s" s="2">
        <v>21</v>
      </c>
      <c r="J5894" t="s" s="2">
        <v>9204</v>
      </c>
      <c r="K5894" s="6"/>
      <c r="L5894" s="6"/>
      <c r="M5894" s="6"/>
      <c r="N5894" s="6"/>
      <c r="O5894" t="s" s="2">
        <v>25</v>
      </c>
      <c r="P5894" s="6"/>
      <c r="Q5894" t="s" s="2">
        <v>9607</v>
      </c>
      <c r="R5894" s="5">
        <f>_xlfn.IFERROR(INDEX('model_byCAP'!$D$2:$D$377,MATCH(Q5894,'model_byCAP'!$A$2:$A$377,0)),0)</f>
        <v>0</v>
      </c>
    </row>
    <row r="5895" ht="15.35" customHeight="1">
      <c r="A5895" t="s" s="2">
        <v>10378</v>
      </c>
      <c r="B5895" s="4">
        <v>42538</v>
      </c>
      <c r="C5895" s="5">
        <v>10</v>
      </c>
      <c r="D5895" s="5">
        <v>7.1</v>
      </c>
      <c r="E5895" s="5">
        <v>21.4</v>
      </c>
      <c r="F5895" t="s" s="2">
        <v>42</v>
      </c>
      <c r="G5895" t="s" s="2">
        <v>42</v>
      </c>
      <c r="H5895" s="5">
        <v>787</v>
      </c>
      <c r="I5895" t="s" s="2">
        <v>21</v>
      </c>
      <c r="J5895" t="s" s="2">
        <v>9204</v>
      </c>
      <c r="K5895" s="6"/>
      <c r="L5895" s="6"/>
      <c r="M5895" s="6"/>
      <c r="N5895" s="6"/>
      <c r="O5895" t="s" s="2">
        <v>25</v>
      </c>
      <c r="P5895" s="6"/>
      <c r="Q5895" t="s" s="2">
        <v>43</v>
      </c>
      <c r="R5895" s="5">
        <f>_xlfn.IFERROR(INDEX('model_byCAP'!$D$2:$D$377,MATCH(Q5895,'model_byCAP'!$A$2:$A$377,0)),0)</f>
        <v>0</v>
      </c>
    </row>
    <row r="5896" ht="15.35" customHeight="1">
      <c r="A5896" t="s" s="2">
        <v>10379</v>
      </c>
      <c r="B5896" s="4">
        <v>42573</v>
      </c>
      <c r="C5896" s="5">
        <v>10</v>
      </c>
      <c r="D5896" s="5">
        <v>7.1</v>
      </c>
      <c r="E5896" s="5">
        <v>21.4</v>
      </c>
      <c r="F5896" t="s" s="2">
        <v>42</v>
      </c>
      <c r="G5896" t="s" s="2">
        <v>42</v>
      </c>
      <c r="H5896" s="5">
        <v>787</v>
      </c>
      <c r="I5896" t="s" s="2">
        <v>21</v>
      </c>
      <c r="J5896" t="s" s="2">
        <v>9204</v>
      </c>
      <c r="K5896" s="6"/>
      <c r="L5896" s="6"/>
      <c r="M5896" s="6"/>
      <c r="N5896" s="6"/>
      <c r="O5896" t="s" s="2">
        <v>25</v>
      </c>
      <c r="P5896" s="6"/>
      <c r="Q5896" t="s" s="2">
        <v>43</v>
      </c>
      <c r="R5896" s="5">
        <f>_xlfn.IFERROR(INDEX('model_byCAP'!$D$2:$D$377,MATCH(Q5896,'model_byCAP'!$A$2:$A$377,0)),0)</f>
        <v>0</v>
      </c>
    </row>
    <row r="5897" ht="15.35" customHeight="1">
      <c r="A5897" t="s" s="2">
        <v>10380</v>
      </c>
      <c r="B5897" s="4">
        <v>42538</v>
      </c>
      <c r="C5897" s="5">
        <v>10</v>
      </c>
      <c r="D5897" s="5">
        <v>7.1</v>
      </c>
      <c r="E5897" s="5">
        <v>21.4</v>
      </c>
      <c r="F5897" t="s" s="2">
        <v>42</v>
      </c>
      <c r="G5897" t="s" s="2">
        <v>42</v>
      </c>
      <c r="H5897" s="5">
        <v>787</v>
      </c>
      <c r="I5897" t="s" s="2">
        <v>21</v>
      </c>
      <c r="J5897" t="s" s="2">
        <v>9204</v>
      </c>
      <c r="K5897" s="6"/>
      <c r="L5897" s="6"/>
      <c r="M5897" s="6"/>
      <c r="N5897" s="6"/>
      <c r="O5897" t="s" s="2">
        <v>25</v>
      </c>
      <c r="P5897" s="6"/>
      <c r="Q5897" t="s" s="2">
        <v>43</v>
      </c>
      <c r="R5897" s="5">
        <f>_xlfn.IFERROR(INDEX('model_byCAP'!$D$2:$D$377,MATCH(Q5897,'model_byCAP'!$A$2:$A$377,0)),0)</f>
        <v>0</v>
      </c>
    </row>
    <row r="5898" ht="15.35" customHeight="1">
      <c r="A5898" t="s" s="2">
        <v>10381</v>
      </c>
      <c r="B5898" s="4">
        <v>42543</v>
      </c>
      <c r="C5898" s="5">
        <v>10</v>
      </c>
      <c r="D5898" s="5">
        <v>14</v>
      </c>
      <c r="E5898" s="5">
        <v>18</v>
      </c>
      <c r="F5898" t="s" s="2">
        <v>9209</v>
      </c>
      <c r="G5898" t="s" s="2">
        <v>9293</v>
      </c>
      <c r="H5898" s="5">
        <v>787</v>
      </c>
      <c r="I5898" t="s" s="2">
        <v>21</v>
      </c>
      <c r="J5898" t="s" s="2">
        <v>9204</v>
      </c>
      <c r="K5898" s="6"/>
      <c r="L5898" s="6"/>
      <c r="M5898" s="6"/>
      <c r="N5898" s="6"/>
      <c r="O5898" t="s" s="2">
        <v>25</v>
      </c>
      <c r="P5898" s="6"/>
      <c r="Q5898" t="s" s="2">
        <v>9295</v>
      </c>
      <c r="R5898" t="s" s="2">
        <f>_xlfn.IFERROR(INDEX('model_byCAP'!$D$2:$D$377,MATCH(Q5898,'model_byCAP'!$A$2:$A$377,0)),0)</f>
        <v>8430</v>
      </c>
    </row>
    <row r="5899" ht="15.35" customHeight="1">
      <c r="A5899" t="s" s="2">
        <v>10382</v>
      </c>
      <c r="B5899" s="4">
        <v>42557</v>
      </c>
      <c r="C5899" s="5">
        <v>10</v>
      </c>
      <c r="D5899" s="5">
        <v>14</v>
      </c>
      <c r="E5899" s="5">
        <v>18</v>
      </c>
      <c r="F5899" t="s" s="2">
        <v>9209</v>
      </c>
      <c r="G5899" t="s" s="2">
        <v>9293</v>
      </c>
      <c r="H5899" s="5">
        <v>787</v>
      </c>
      <c r="I5899" t="s" s="2">
        <v>21</v>
      </c>
      <c r="J5899" t="s" s="2">
        <v>9204</v>
      </c>
      <c r="K5899" s="6"/>
      <c r="L5899" s="6"/>
      <c r="M5899" s="6"/>
      <c r="N5899" s="6"/>
      <c r="O5899" t="s" s="2">
        <v>25</v>
      </c>
      <c r="P5899" s="6"/>
      <c r="Q5899" t="s" s="2">
        <v>9295</v>
      </c>
      <c r="R5899" t="s" s="2">
        <f>_xlfn.IFERROR(INDEX('model_byCAP'!$D$2:$D$377,MATCH(Q5899,'model_byCAP'!$A$2:$A$377,0)),0)</f>
        <v>8430</v>
      </c>
    </row>
    <row r="5900" ht="15.35" customHeight="1">
      <c r="A5900" t="s" s="2">
        <v>10383</v>
      </c>
      <c r="B5900" s="4">
        <v>42538</v>
      </c>
      <c r="C5900" s="5">
        <v>10</v>
      </c>
      <c r="D5900" s="5">
        <v>14</v>
      </c>
      <c r="E5900" s="5">
        <v>18</v>
      </c>
      <c r="F5900" t="s" s="2">
        <v>9209</v>
      </c>
      <c r="G5900" t="s" s="2">
        <v>9293</v>
      </c>
      <c r="H5900" s="5">
        <v>787</v>
      </c>
      <c r="I5900" t="s" s="2">
        <v>21</v>
      </c>
      <c r="J5900" t="s" s="2">
        <v>9204</v>
      </c>
      <c r="K5900" s="6"/>
      <c r="L5900" s="6"/>
      <c r="M5900" s="6"/>
      <c r="N5900" s="6"/>
      <c r="O5900" t="s" s="2">
        <v>25</v>
      </c>
      <c r="P5900" s="6"/>
      <c r="Q5900" t="s" s="2">
        <v>9295</v>
      </c>
      <c r="R5900" t="s" s="2">
        <f>_xlfn.IFERROR(INDEX('model_byCAP'!$D$2:$D$377,MATCH(Q5900,'model_byCAP'!$A$2:$A$377,0)),0)</f>
        <v>8430</v>
      </c>
    </row>
    <row r="5901" ht="15.35" customHeight="1">
      <c r="A5901" t="s" s="2">
        <v>10384</v>
      </c>
      <c r="B5901" s="4">
        <v>42538</v>
      </c>
      <c r="C5901" s="5">
        <v>10</v>
      </c>
      <c r="D5901" s="5">
        <v>14</v>
      </c>
      <c r="E5901" s="5">
        <v>18</v>
      </c>
      <c r="F5901" t="s" s="2">
        <v>9209</v>
      </c>
      <c r="G5901" t="s" s="2">
        <v>9293</v>
      </c>
      <c r="H5901" s="5">
        <v>787</v>
      </c>
      <c r="I5901" t="s" s="2">
        <v>21</v>
      </c>
      <c r="J5901" t="s" s="2">
        <v>9204</v>
      </c>
      <c r="K5901" s="6"/>
      <c r="L5901" s="6"/>
      <c r="M5901" s="6"/>
      <c r="N5901" s="6"/>
      <c r="O5901" t="s" s="2">
        <v>25</v>
      </c>
      <c r="P5901" s="6"/>
      <c r="Q5901" t="s" s="2">
        <v>9295</v>
      </c>
      <c r="R5901" t="s" s="2">
        <f>_xlfn.IFERROR(INDEX('model_byCAP'!$D$2:$D$377,MATCH(Q5901,'model_byCAP'!$A$2:$A$377,0)),0)</f>
        <v>8430</v>
      </c>
    </row>
    <row r="5902" ht="15.35" customHeight="1">
      <c r="A5902" t="s" s="2">
        <v>10385</v>
      </c>
      <c r="B5902" s="4">
        <v>42621</v>
      </c>
      <c r="C5902" s="5">
        <v>10</v>
      </c>
      <c r="D5902" s="5">
        <v>14</v>
      </c>
      <c r="E5902" s="5">
        <v>18</v>
      </c>
      <c r="F5902" t="s" s="2">
        <v>9209</v>
      </c>
      <c r="G5902" t="s" s="2">
        <v>9293</v>
      </c>
      <c r="H5902" s="5">
        <v>787</v>
      </c>
      <c r="I5902" t="s" s="2">
        <v>21</v>
      </c>
      <c r="J5902" t="s" s="2">
        <v>9204</v>
      </c>
      <c r="K5902" s="6"/>
      <c r="L5902" s="6"/>
      <c r="M5902" s="6"/>
      <c r="N5902" s="6"/>
      <c r="O5902" t="s" s="2">
        <v>25</v>
      </c>
      <c r="P5902" s="6"/>
      <c r="Q5902" t="s" s="2">
        <v>9295</v>
      </c>
      <c r="R5902" t="s" s="2">
        <f>_xlfn.IFERROR(INDEX('model_byCAP'!$D$2:$D$377,MATCH(Q5902,'model_byCAP'!$A$2:$A$377,0)),0)</f>
        <v>8430</v>
      </c>
    </row>
    <row r="5903" ht="15.35" customHeight="1">
      <c r="A5903" t="s" s="2">
        <v>10386</v>
      </c>
      <c r="B5903" s="4">
        <v>42640</v>
      </c>
      <c r="C5903" s="5">
        <v>10</v>
      </c>
      <c r="D5903" s="5">
        <v>14</v>
      </c>
      <c r="E5903" s="5">
        <v>18</v>
      </c>
      <c r="F5903" t="s" s="2">
        <v>9209</v>
      </c>
      <c r="G5903" t="s" s="2">
        <v>9293</v>
      </c>
      <c r="H5903" s="5">
        <v>787</v>
      </c>
      <c r="I5903" t="s" s="2">
        <v>21</v>
      </c>
      <c r="J5903" t="s" s="2">
        <v>9204</v>
      </c>
      <c r="K5903" s="6"/>
      <c r="L5903" s="6"/>
      <c r="M5903" s="6"/>
      <c r="N5903" s="6"/>
      <c r="O5903" t="s" s="2">
        <v>25</v>
      </c>
      <c r="P5903" s="6"/>
      <c r="Q5903" t="s" s="2">
        <v>9295</v>
      </c>
      <c r="R5903" t="s" s="2">
        <f>_xlfn.IFERROR(INDEX('model_byCAP'!$D$2:$D$377,MATCH(Q5903,'model_byCAP'!$A$2:$A$377,0)),0)</f>
        <v>8430</v>
      </c>
    </row>
    <row r="5904" ht="15.35" customHeight="1">
      <c r="A5904" t="s" s="2">
        <v>10387</v>
      </c>
      <c r="B5904" s="4">
        <v>42621</v>
      </c>
      <c r="C5904" s="5">
        <v>10</v>
      </c>
      <c r="D5904" s="5">
        <v>14</v>
      </c>
      <c r="E5904" s="5">
        <v>18</v>
      </c>
      <c r="F5904" t="s" s="2">
        <v>9209</v>
      </c>
      <c r="G5904" t="s" s="2">
        <v>9293</v>
      </c>
      <c r="H5904" s="5">
        <v>787</v>
      </c>
      <c r="I5904" t="s" s="2">
        <v>21</v>
      </c>
      <c r="J5904" t="s" s="2">
        <v>9204</v>
      </c>
      <c r="K5904" s="6"/>
      <c r="L5904" s="6"/>
      <c r="M5904" s="6"/>
      <c r="N5904" s="6"/>
      <c r="O5904" t="s" s="2">
        <v>25</v>
      </c>
      <c r="P5904" s="6"/>
      <c r="Q5904" t="s" s="2">
        <v>9295</v>
      </c>
      <c r="R5904" t="s" s="2">
        <f>_xlfn.IFERROR(INDEX('model_byCAP'!$D$2:$D$377,MATCH(Q5904,'model_byCAP'!$A$2:$A$377,0)),0)</f>
        <v>8430</v>
      </c>
    </row>
    <row r="5905" ht="15.35" customHeight="1">
      <c r="A5905" t="s" s="2">
        <v>10388</v>
      </c>
      <c r="B5905" s="4">
        <v>42530</v>
      </c>
      <c r="C5905" s="5">
        <v>10</v>
      </c>
      <c r="D5905" s="5">
        <v>14</v>
      </c>
      <c r="E5905" s="5">
        <v>18</v>
      </c>
      <c r="F5905" t="s" s="2">
        <v>9209</v>
      </c>
      <c r="G5905" t="s" s="2">
        <v>9293</v>
      </c>
      <c r="H5905" s="5">
        <v>787</v>
      </c>
      <c r="I5905" t="s" s="2">
        <v>21</v>
      </c>
      <c r="J5905" t="s" s="2">
        <v>9204</v>
      </c>
      <c r="K5905" s="6"/>
      <c r="L5905" s="6"/>
      <c r="M5905" s="6"/>
      <c r="N5905" s="6"/>
      <c r="O5905" t="s" s="2">
        <v>25</v>
      </c>
      <c r="P5905" s="6"/>
      <c r="Q5905" t="s" s="2">
        <v>9295</v>
      </c>
      <c r="R5905" t="s" s="2">
        <f>_xlfn.IFERROR(INDEX('model_byCAP'!$D$2:$D$377,MATCH(Q5905,'model_byCAP'!$A$2:$A$377,0)),0)</f>
        <v>8430</v>
      </c>
    </row>
    <row r="5906" ht="15.35" customHeight="1">
      <c r="A5906" t="s" s="2">
        <v>10389</v>
      </c>
      <c r="B5906" s="4">
        <v>42543</v>
      </c>
      <c r="C5906" s="5">
        <v>10</v>
      </c>
      <c r="D5906" s="5">
        <v>14</v>
      </c>
      <c r="E5906" s="5">
        <v>18</v>
      </c>
      <c r="F5906" t="s" s="2">
        <v>9209</v>
      </c>
      <c r="G5906" t="s" s="2">
        <v>9293</v>
      </c>
      <c r="H5906" s="5">
        <v>787</v>
      </c>
      <c r="I5906" t="s" s="2">
        <v>21</v>
      </c>
      <c r="J5906" t="s" s="2">
        <v>9204</v>
      </c>
      <c r="K5906" s="6"/>
      <c r="L5906" s="6"/>
      <c r="M5906" s="6"/>
      <c r="N5906" s="6"/>
      <c r="O5906" t="s" s="2">
        <v>25</v>
      </c>
      <c r="P5906" s="6"/>
      <c r="Q5906" t="s" s="2">
        <v>9295</v>
      </c>
      <c r="R5906" t="s" s="2">
        <f>_xlfn.IFERROR(INDEX('model_byCAP'!$D$2:$D$377,MATCH(Q5906,'model_byCAP'!$A$2:$A$377,0)),0)</f>
        <v>8430</v>
      </c>
    </row>
    <row r="5907" ht="15.35" customHeight="1">
      <c r="A5907" t="s" s="2">
        <v>10390</v>
      </c>
      <c r="B5907" s="4">
        <v>42619</v>
      </c>
      <c r="C5907" s="5">
        <v>10</v>
      </c>
      <c r="D5907" s="5">
        <v>14</v>
      </c>
      <c r="E5907" s="5">
        <v>18</v>
      </c>
      <c r="F5907" t="s" s="2">
        <v>9209</v>
      </c>
      <c r="G5907" t="s" s="2">
        <v>9293</v>
      </c>
      <c r="H5907" s="5">
        <v>787</v>
      </c>
      <c r="I5907" t="s" s="2">
        <v>21</v>
      </c>
      <c r="J5907" t="s" s="2">
        <v>9204</v>
      </c>
      <c r="K5907" s="6"/>
      <c r="L5907" s="6"/>
      <c r="M5907" s="6"/>
      <c r="N5907" s="6"/>
      <c r="O5907" t="s" s="2">
        <v>25</v>
      </c>
      <c r="P5907" s="6"/>
      <c r="Q5907" t="s" s="2">
        <v>9295</v>
      </c>
      <c r="R5907" t="s" s="2">
        <f>_xlfn.IFERROR(INDEX('model_byCAP'!$D$2:$D$377,MATCH(Q5907,'model_byCAP'!$A$2:$A$377,0)),0)</f>
        <v>8430</v>
      </c>
    </row>
    <row r="5908" ht="15.35" customHeight="1">
      <c r="A5908" t="s" s="2">
        <v>10391</v>
      </c>
      <c r="B5908" s="4">
        <v>42543</v>
      </c>
      <c r="C5908" s="5">
        <v>10</v>
      </c>
      <c r="D5908" s="5">
        <v>14</v>
      </c>
      <c r="E5908" s="5">
        <v>18</v>
      </c>
      <c r="F5908" t="s" s="2">
        <v>9209</v>
      </c>
      <c r="G5908" t="s" s="2">
        <v>9293</v>
      </c>
      <c r="H5908" s="5">
        <v>787</v>
      </c>
      <c r="I5908" t="s" s="2">
        <v>21</v>
      </c>
      <c r="J5908" t="s" s="2">
        <v>9204</v>
      </c>
      <c r="K5908" s="6"/>
      <c r="L5908" s="6"/>
      <c r="M5908" s="6"/>
      <c r="N5908" s="6"/>
      <c r="O5908" t="s" s="2">
        <v>25</v>
      </c>
      <c r="P5908" s="6"/>
      <c r="Q5908" t="s" s="2">
        <v>9295</v>
      </c>
      <c r="R5908" t="s" s="2">
        <f>_xlfn.IFERROR(INDEX('model_byCAP'!$D$2:$D$377,MATCH(Q5908,'model_byCAP'!$A$2:$A$377,0)),0)</f>
        <v>8430</v>
      </c>
    </row>
    <row r="5909" ht="15.35" customHeight="1">
      <c r="A5909" t="s" s="2">
        <v>10392</v>
      </c>
      <c r="B5909" s="4">
        <v>42543</v>
      </c>
      <c r="C5909" s="5">
        <v>10</v>
      </c>
      <c r="D5909" s="5">
        <v>14</v>
      </c>
      <c r="E5909" s="5">
        <v>18</v>
      </c>
      <c r="F5909" t="s" s="2">
        <v>9209</v>
      </c>
      <c r="G5909" t="s" s="2">
        <v>9293</v>
      </c>
      <c r="H5909" s="5">
        <v>787</v>
      </c>
      <c r="I5909" t="s" s="2">
        <v>21</v>
      </c>
      <c r="J5909" t="s" s="2">
        <v>9204</v>
      </c>
      <c r="K5909" s="6"/>
      <c r="L5909" s="6"/>
      <c r="M5909" s="6"/>
      <c r="N5909" s="6"/>
      <c r="O5909" t="s" s="2">
        <v>25</v>
      </c>
      <c r="P5909" s="6"/>
      <c r="Q5909" t="s" s="2">
        <v>9295</v>
      </c>
      <c r="R5909" t="s" s="2">
        <f>_xlfn.IFERROR(INDEX('model_byCAP'!$D$2:$D$377,MATCH(Q5909,'model_byCAP'!$A$2:$A$377,0)),0)</f>
        <v>8430</v>
      </c>
    </row>
    <row r="5910" ht="15.35" customHeight="1">
      <c r="A5910" t="s" s="2">
        <v>10393</v>
      </c>
      <c r="B5910" s="4">
        <v>42544</v>
      </c>
      <c r="C5910" s="5">
        <v>10</v>
      </c>
      <c r="D5910" s="5">
        <v>14</v>
      </c>
      <c r="E5910" s="5">
        <v>18</v>
      </c>
      <c r="F5910" t="s" s="2">
        <v>9209</v>
      </c>
      <c r="G5910" t="s" s="2">
        <v>9293</v>
      </c>
      <c r="H5910" s="5">
        <v>787</v>
      </c>
      <c r="I5910" t="s" s="2">
        <v>21</v>
      </c>
      <c r="J5910" t="s" s="2">
        <v>9204</v>
      </c>
      <c r="K5910" s="6"/>
      <c r="L5910" s="6"/>
      <c r="M5910" s="6"/>
      <c r="N5910" s="6"/>
      <c r="O5910" t="s" s="2">
        <v>25</v>
      </c>
      <c r="P5910" s="6"/>
      <c r="Q5910" t="s" s="2">
        <v>9295</v>
      </c>
      <c r="R5910" t="s" s="2">
        <f>_xlfn.IFERROR(INDEX('model_byCAP'!$D$2:$D$377,MATCH(Q5910,'model_byCAP'!$A$2:$A$377,0)),0)</f>
        <v>8430</v>
      </c>
    </row>
    <row r="5911" ht="15.35" customHeight="1">
      <c r="A5911" t="s" s="2">
        <v>10394</v>
      </c>
      <c r="B5911" s="4">
        <v>42549</v>
      </c>
      <c r="C5911" s="5">
        <v>10</v>
      </c>
      <c r="D5911" s="5">
        <v>13</v>
      </c>
      <c r="E5911" s="5">
        <v>18.2</v>
      </c>
      <c r="F5911" t="s" s="2">
        <v>9471</v>
      </c>
      <c r="G5911" t="s" s="2">
        <v>9606</v>
      </c>
      <c r="H5911" s="5">
        <v>787</v>
      </c>
      <c r="I5911" t="s" s="2">
        <v>21</v>
      </c>
      <c r="J5911" t="s" s="2">
        <v>9204</v>
      </c>
      <c r="K5911" s="6"/>
      <c r="L5911" s="6"/>
      <c r="M5911" s="6"/>
      <c r="N5911" s="6"/>
      <c r="O5911" t="s" s="2">
        <v>25</v>
      </c>
      <c r="P5911" s="6"/>
      <c r="Q5911" t="s" s="2">
        <v>9607</v>
      </c>
      <c r="R5911" s="5">
        <f>_xlfn.IFERROR(INDEX('model_byCAP'!$D$2:$D$377,MATCH(Q5911,'model_byCAP'!$A$2:$A$377,0)),0)</f>
        <v>0</v>
      </c>
    </row>
    <row r="5912" ht="15.35" customHeight="1">
      <c r="A5912" t="s" s="2">
        <v>10395</v>
      </c>
      <c r="B5912" s="4">
        <v>42558</v>
      </c>
      <c r="C5912" s="5">
        <v>10</v>
      </c>
      <c r="D5912" s="5">
        <v>14</v>
      </c>
      <c r="E5912" s="5">
        <v>18</v>
      </c>
      <c r="F5912" t="s" s="2">
        <v>9209</v>
      </c>
      <c r="G5912" t="s" s="2">
        <v>9293</v>
      </c>
      <c r="H5912" s="5">
        <v>787</v>
      </c>
      <c r="I5912" t="s" s="2">
        <v>21</v>
      </c>
      <c r="J5912" t="s" s="2">
        <v>9204</v>
      </c>
      <c r="K5912" s="6"/>
      <c r="L5912" s="6"/>
      <c r="M5912" s="6"/>
      <c r="N5912" s="6"/>
      <c r="O5912" t="s" s="2">
        <v>25</v>
      </c>
      <c r="P5912" s="6"/>
      <c r="Q5912" t="s" s="2">
        <v>9295</v>
      </c>
      <c r="R5912" t="s" s="2">
        <f>_xlfn.IFERROR(INDEX('model_byCAP'!$D$2:$D$377,MATCH(Q5912,'model_byCAP'!$A$2:$A$377,0)),0)</f>
        <v>8430</v>
      </c>
    </row>
    <row r="5913" ht="15.35" customHeight="1">
      <c r="A5913" t="s" s="2">
        <v>10396</v>
      </c>
      <c r="B5913" s="4">
        <v>42555</v>
      </c>
      <c r="C5913" s="5">
        <v>10</v>
      </c>
      <c r="D5913" s="5">
        <v>14</v>
      </c>
      <c r="E5913" s="5">
        <v>18</v>
      </c>
      <c r="F5913" t="s" s="2">
        <v>9209</v>
      </c>
      <c r="G5913" t="s" s="2">
        <v>9293</v>
      </c>
      <c r="H5913" s="5">
        <v>787</v>
      </c>
      <c r="I5913" t="s" s="2">
        <v>21</v>
      </c>
      <c r="J5913" t="s" s="2">
        <v>9204</v>
      </c>
      <c r="K5913" s="6"/>
      <c r="L5913" s="6"/>
      <c r="M5913" s="6"/>
      <c r="N5913" s="6"/>
      <c r="O5913" t="s" s="2">
        <v>25</v>
      </c>
      <c r="P5913" s="6"/>
      <c r="Q5913" t="s" s="2">
        <v>9295</v>
      </c>
      <c r="R5913" t="s" s="2">
        <f>_xlfn.IFERROR(INDEX('model_byCAP'!$D$2:$D$377,MATCH(Q5913,'model_byCAP'!$A$2:$A$377,0)),0)</f>
        <v>8430</v>
      </c>
    </row>
    <row r="5914" ht="15.35" customHeight="1">
      <c r="A5914" t="s" s="2">
        <v>10397</v>
      </c>
      <c r="B5914" s="4">
        <v>42555</v>
      </c>
      <c r="C5914" s="5">
        <v>10</v>
      </c>
      <c r="D5914" s="5">
        <v>14</v>
      </c>
      <c r="E5914" s="5">
        <v>18</v>
      </c>
      <c r="F5914" t="s" s="2">
        <v>9209</v>
      </c>
      <c r="G5914" t="s" s="2">
        <v>9293</v>
      </c>
      <c r="H5914" s="5">
        <v>787</v>
      </c>
      <c r="I5914" t="s" s="2">
        <v>21</v>
      </c>
      <c r="J5914" t="s" s="2">
        <v>9204</v>
      </c>
      <c r="K5914" s="6"/>
      <c r="L5914" s="6"/>
      <c r="M5914" s="6"/>
      <c r="N5914" s="6"/>
      <c r="O5914" t="s" s="2">
        <v>25</v>
      </c>
      <c r="P5914" s="6"/>
      <c r="Q5914" t="s" s="2">
        <v>9295</v>
      </c>
      <c r="R5914" t="s" s="2">
        <f>_xlfn.IFERROR(INDEX('model_byCAP'!$D$2:$D$377,MATCH(Q5914,'model_byCAP'!$A$2:$A$377,0)),0)</f>
        <v>8430</v>
      </c>
    </row>
    <row r="5915" ht="15.35" customHeight="1">
      <c r="A5915" t="s" s="2">
        <v>10398</v>
      </c>
      <c r="B5915" s="4">
        <v>42531</v>
      </c>
      <c r="C5915" s="5">
        <v>10</v>
      </c>
      <c r="D5915" s="5">
        <v>7.1</v>
      </c>
      <c r="E5915" s="5">
        <v>21.4</v>
      </c>
      <c r="F5915" t="s" s="2">
        <v>42</v>
      </c>
      <c r="G5915" t="s" s="2">
        <v>42</v>
      </c>
      <c r="H5915" s="5">
        <v>787</v>
      </c>
      <c r="I5915" t="s" s="2">
        <v>21</v>
      </c>
      <c r="J5915" t="s" s="2">
        <v>9204</v>
      </c>
      <c r="K5915" s="6"/>
      <c r="L5915" s="6"/>
      <c r="M5915" s="6"/>
      <c r="N5915" s="6"/>
      <c r="O5915" t="s" s="2">
        <v>25</v>
      </c>
      <c r="P5915" s="6"/>
      <c r="Q5915" t="s" s="2">
        <v>43</v>
      </c>
      <c r="R5915" s="5">
        <f>_xlfn.IFERROR(INDEX('model_byCAP'!$D$2:$D$377,MATCH(Q5915,'model_byCAP'!$A$2:$A$377,0)),0)</f>
        <v>0</v>
      </c>
    </row>
    <row r="5916" ht="15.35" customHeight="1">
      <c r="A5916" t="s" s="2">
        <v>10399</v>
      </c>
      <c r="B5916" s="4">
        <v>42585</v>
      </c>
      <c r="C5916" s="5">
        <v>10</v>
      </c>
      <c r="D5916" s="5">
        <v>14</v>
      </c>
      <c r="E5916" s="5">
        <v>18</v>
      </c>
      <c r="F5916" t="s" s="2">
        <v>9209</v>
      </c>
      <c r="G5916" t="s" s="2">
        <v>9293</v>
      </c>
      <c r="H5916" s="5">
        <v>787</v>
      </c>
      <c r="I5916" t="s" s="2">
        <v>21</v>
      </c>
      <c r="J5916" t="s" s="2">
        <v>9204</v>
      </c>
      <c r="K5916" s="6"/>
      <c r="L5916" s="6"/>
      <c r="M5916" s="6"/>
      <c r="N5916" s="6"/>
      <c r="O5916" t="s" s="2">
        <v>25</v>
      </c>
      <c r="P5916" s="6"/>
      <c r="Q5916" t="s" s="2">
        <v>9295</v>
      </c>
      <c r="R5916" t="s" s="2">
        <f>_xlfn.IFERROR(INDEX('model_byCAP'!$D$2:$D$377,MATCH(Q5916,'model_byCAP'!$A$2:$A$377,0)),0)</f>
        <v>8430</v>
      </c>
    </row>
    <row r="5917" ht="15.35" customHeight="1">
      <c r="A5917" t="s" s="2">
        <v>10400</v>
      </c>
      <c r="B5917" s="4">
        <v>42614</v>
      </c>
      <c r="C5917" s="5">
        <v>10</v>
      </c>
      <c r="D5917" s="5">
        <v>14</v>
      </c>
      <c r="E5917" s="5">
        <v>18</v>
      </c>
      <c r="F5917" t="s" s="2">
        <v>9209</v>
      </c>
      <c r="G5917" t="s" s="2">
        <v>9293</v>
      </c>
      <c r="H5917" s="5">
        <v>787</v>
      </c>
      <c r="I5917" t="s" s="2">
        <v>21</v>
      </c>
      <c r="J5917" t="s" s="2">
        <v>9204</v>
      </c>
      <c r="K5917" s="6"/>
      <c r="L5917" s="6"/>
      <c r="M5917" s="6"/>
      <c r="N5917" s="6"/>
      <c r="O5917" t="s" s="2">
        <v>25</v>
      </c>
      <c r="P5917" s="6"/>
      <c r="Q5917" t="s" s="2">
        <v>9295</v>
      </c>
      <c r="R5917" t="s" s="2">
        <f>_xlfn.IFERROR(INDEX('model_byCAP'!$D$2:$D$377,MATCH(Q5917,'model_byCAP'!$A$2:$A$377,0)),0)</f>
        <v>8430</v>
      </c>
    </row>
    <row r="5918" ht="15.35" customHeight="1">
      <c r="A5918" t="s" s="2">
        <v>10401</v>
      </c>
      <c r="B5918" s="4">
        <v>42613</v>
      </c>
      <c r="C5918" s="5">
        <v>10</v>
      </c>
      <c r="D5918" s="5">
        <v>14</v>
      </c>
      <c r="E5918" s="5">
        <v>18</v>
      </c>
      <c r="F5918" t="s" s="2">
        <v>9209</v>
      </c>
      <c r="G5918" t="s" s="2">
        <v>9293</v>
      </c>
      <c r="H5918" s="5">
        <v>787</v>
      </c>
      <c r="I5918" t="s" s="2">
        <v>21</v>
      </c>
      <c r="J5918" t="s" s="2">
        <v>9204</v>
      </c>
      <c r="K5918" s="6"/>
      <c r="L5918" s="6"/>
      <c r="M5918" s="6"/>
      <c r="N5918" s="6"/>
      <c r="O5918" t="s" s="2">
        <v>25</v>
      </c>
      <c r="P5918" s="6"/>
      <c r="Q5918" t="s" s="2">
        <v>9295</v>
      </c>
      <c r="R5918" t="s" s="2">
        <f>_xlfn.IFERROR(INDEX('model_byCAP'!$D$2:$D$377,MATCH(Q5918,'model_byCAP'!$A$2:$A$377,0)),0)</f>
        <v>8430</v>
      </c>
    </row>
    <row r="5919" ht="15.35" customHeight="1">
      <c r="A5919" t="s" s="2">
        <v>10402</v>
      </c>
      <c r="B5919" s="4">
        <v>42614</v>
      </c>
      <c r="C5919" s="5">
        <v>10</v>
      </c>
      <c r="D5919" s="5">
        <v>14</v>
      </c>
      <c r="E5919" s="5">
        <v>18</v>
      </c>
      <c r="F5919" t="s" s="2">
        <v>9209</v>
      </c>
      <c r="G5919" t="s" s="2">
        <v>9293</v>
      </c>
      <c r="H5919" s="5">
        <v>787</v>
      </c>
      <c r="I5919" t="s" s="2">
        <v>21</v>
      </c>
      <c r="J5919" t="s" s="2">
        <v>9204</v>
      </c>
      <c r="K5919" s="6"/>
      <c r="L5919" s="6"/>
      <c r="M5919" s="6"/>
      <c r="N5919" s="6"/>
      <c r="O5919" t="s" s="2">
        <v>25</v>
      </c>
      <c r="P5919" s="6"/>
      <c r="Q5919" t="s" s="2">
        <v>9295</v>
      </c>
      <c r="R5919" t="s" s="2">
        <f>_xlfn.IFERROR(INDEX('model_byCAP'!$D$2:$D$377,MATCH(Q5919,'model_byCAP'!$A$2:$A$377,0)),0)</f>
        <v>8430</v>
      </c>
    </row>
    <row r="5920" ht="15.35" customHeight="1">
      <c r="A5920" t="s" s="2">
        <v>10403</v>
      </c>
      <c r="B5920" s="4">
        <v>42620</v>
      </c>
      <c r="C5920" s="5">
        <v>10</v>
      </c>
      <c r="D5920" s="5">
        <v>14</v>
      </c>
      <c r="E5920" s="5">
        <v>18</v>
      </c>
      <c r="F5920" t="s" s="2">
        <v>9209</v>
      </c>
      <c r="G5920" t="s" s="2">
        <v>9293</v>
      </c>
      <c r="H5920" s="5">
        <v>787</v>
      </c>
      <c r="I5920" t="s" s="2">
        <v>21</v>
      </c>
      <c r="J5920" t="s" s="2">
        <v>9204</v>
      </c>
      <c r="K5920" s="6"/>
      <c r="L5920" s="6"/>
      <c r="M5920" s="6"/>
      <c r="N5920" s="6"/>
      <c r="O5920" t="s" s="2">
        <v>25</v>
      </c>
      <c r="P5920" s="6"/>
      <c r="Q5920" t="s" s="2">
        <v>9295</v>
      </c>
      <c r="R5920" t="s" s="2">
        <f>_xlfn.IFERROR(INDEX('model_byCAP'!$D$2:$D$377,MATCH(Q5920,'model_byCAP'!$A$2:$A$377,0)),0)</f>
        <v>8430</v>
      </c>
    </row>
    <row r="5921" ht="15.35" customHeight="1">
      <c r="A5921" t="s" s="2">
        <v>10404</v>
      </c>
      <c r="B5921" s="4">
        <v>42562</v>
      </c>
      <c r="C5921" s="5">
        <v>10</v>
      </c>
      <c r="D5921" s="5">
        <v>14</v>
      </c>
      <c r="E5921" s="5">
        <v>18</v>
      </c>
      <c r="F5921" t="s" s="2">
        <v>9209</v>
      </c>
      <c r="G5921" t="s" s="2">
        <v>9293</v>
      </c>
      <c r="H5921" s="5">
        <v>787</v>
      </c>
      <c r="I5921" t="s" s="2">
        <v>21</v>
      </c>
      <c r="J5921" t="s" s="2">
        <v>9204</v>
      </c>
      <c r="K5921" s="6"/>
      <c r="L5921" s="6"/>
      <c r="M5921" s="6"/>
      <c r="N5921" s="6"/>
      <c r="O5921" t="s" s="2">
        <v>25</v>
      </c>
      <c r="P5921" s="6"/>
      <c r="Q5921" t="s" s="2">
        <v>9295</v>
      </c>
      <c r="R5921" t="s" s="2">
        <f>_xlfn.IFERROR(INDEX('model_byCAP'!$D$2:$D$377,MATCH(Q5921,'model_byCAP'!$A$2:$A$377,0)),0)</f>
        <v>8430</v>
      </c>
    </row>
    <row r="5922" ht="15.35" customHeight="1">
      <c r="A5922" t="s" s="2">
        <v>10405</v>
      </c>
      <c r="B5922" s="4">
        <v>42562</v>
      </c>
      <c r="C5922" s="5">
        <v>10</v>
      </c>
      <c r="D5922" s="5">
        <v>14</v>
      </c>
      <c r="E5922" s="5">
        <v>18</v>
      </c>
      <c r="F5922" t="s" s="2">
        <v>9209</v>
      </c>
      <c r="G5922" t="s" s="2">
        <v>9293</v>
      </c>
      <c r="H5922" s="5">
        <v>787</v>
      </c>
      <c r="I5922" t="s" s="2">
        <v>21</v>
      </c>
      <c r="J5922" t="s" s="2">
        <v>9204</v>
      </c>
      <c r="K5922" s="6"/>
      <c r="L5922" s="6"/>
      <c r="M5922" s="6"/>
      <c r="N5922" s="6"/>
      <c r="O5922" t="s" s="2">
        <v>25</v>
      </c>
      <c r="P5922" s="6"/>
      <c r="Q5922" t="s" s="2">
        <v>9295</v>
      </c>
      <c r="R5922" t="s" s="2">
        <f>_xlfn.IFERROR(INDEX('model_byCAP'!$D$2:$D$377,MATCH(Q5922,'model_byCAP'!$A$2:$A$377,0)),0)</f>
        <v>8430</v>
      </c>
    </row>
    <row r="5923" ht="15.35" customHeight="1">
      <c r="A5923" t="s" s="2">
        <v>10406</v>
      </c>
      <c r="B5923" s="4">
        <v>42598</v>
      </c>
      <c r="C5923" s="5">
        <v>10</v>
      </c>
      <c r="D5923" s="5">
        <v>14</v>
      </c>
      <c r="E5923" s="5">
        <v>18</v>
      </c>
      <c r="F5923" t="s" s="2">
        <v>9209</v>
      </c>
      <c r="G5923" t="s" s="2">
        <v>9293</v>
      </c>
      <c r="H5923" s="5">
        <v>787</v>
      </c>
      <c r="I5923" t="s" s="2">
        <v>21</v>
      </c>
      <c r="J5923" t="s" s="2">
        <v>9204</v>
      </c>
      <c r="K5923" s="6"/>
      <c r="L5923" s="6"/>
      <c r="M5923" s="6"/>
      <c r="N5923" s="6"/>
      <c r="O5923" t="s" s="2">
        <v>25</v>
      </c>
      <c r="P5923" s="6"/>
      <c r="Q5923" t="s" s="2">
        <v>9295</v>
      </c>
      <c r="R5923" t="s" s="2">
        <f>_xlfn.IFERROR(INDEX('model_byCAP'!$D$2:$D$377,MATCH(Q5923,'model_byCAP'!$A$2:$A$377,0)),0)</f>
        <v>8430</v>
      </c>
    </row>
    <row r="5924" ht="15.35" customHeight="1">
      <c r="A5924" t="s" s="2">
        <v>10407</v>
      </c>
      <c r="B5924" s="4">
        <v>42585</v>
      </c>
      <c r="C5924" s="5">
        <v>10</v>
      </c>
      <c r="D5924" s="5">
        <v>14</v>
      </c>
      <c r="E5924" s="5">
        <v>18</v>
      </c>
      <c r="F5924" t="s" s="2">
        <v>9209</v>
      </c>
      <c r="G5924" t="s" s="2">
        <v>9293</v>
      </c>
      <c r="H5924" s="5">
        <v>787</v>
      </c>
      <c r="I5924" t="s" s="2">
        <v>21</v>
      </c>
      <c r="J5924" t="s" s="2">
        <v>9204</v>
      </c>
      <c r="K5924" s="6"/>
      <c r="L5924" s="6"/>
      <c r="M5924" s="6"/>
      <c r="N5924" s="6"/>
      <c r="O5924" t="s" s="2">
        <v>25</v>
      </c>
      <c r="P5924" s="6"/>
      <c r="Q5924" t="s" s="2">
        <v>9295</v>
      </c>
      <c r="R5924" t="s" s="2">
        <f>_xlfn.IFERROR(INDEX('model_byCAP'!$D$2:$D$377,MATCH(Q5924,'model_byCAP'!$A$2:$A$377,0)),0)</f>
        <v>8430</v>
      </c>
    </row>
    <row r="5925" ht="15.35" customHeight="1">
      <c r="A5925" t="s" s="2">
        <v>10408</v>
      </c>
      <c r="B5925" s="4">
        <v>42613</v>
      </c>
      <c r="C5925" s="5">
        <v>10</v>
      </c>
      <c r="D5925" s="5">
        <v>14</v>
      </c>
      <c r="E5925" s="5">
        <v>18</v>
      </c>
      <c r="F5925" t="s" s="2">
        <v>9209</v>
      </c>
      <c r="G5925" t="s" s="2">
        <v>9293</v>
      </c>
      <c r="H5925" s="5">
        <v>787</v>
      </c>
      <c r="I5925" t="s" s="2">
        <v>21</v>
      </c>
      <c r="J5925" t="s" s="2">
        <v>9204</v>
      </c>
      <c r="K5925" s="6"/>
      <c r="L5925" s="6"/>
      <c r="M5925" s="6"/>
      <c r="N5925" s="6"/>
      <c r="O5925" t="s" s="2">
        <v>25</v>
      </c>
      <c r="P5925" s="6"/>
      <c r="Q5925" t="s" s="2">
        <v>9295</v>
      </c>
      <c r="R5925" t="s" s="2">
        <f>_xlfn.IFERROR(INDEX('model_byCAP'!$D$2:$D$377,MATCH(Q5925,'model_byCAP'!$A$2:$A$377,0)),0)</f>
        <v>8430</v>
      </c>
    </row>
    <row r="5926" ht="15.35" customHeight="1">
      <c r="A5926" t="s" s="2">
        <v>10409</v>
      </c>
      <c r="B5926" s="4">
        <v>42613</v>
      </c>
      <c r="C5926" s="5">
        <v>10</v>
      </c>
      <c r="D5926" s="5">
        <v>14</v>
      </c>
      <c r="E5926" s="5">
        <v>18</v>
      </c>
      <c r="F5926" t="s" s="2">
        <v>9209</v>
      </c>
      <c r="G5926" t="s" s="2">
        <v>9293</v>
      </c>
      <c r="H5926" s="5">
        <v>787</v>
      </c>
      <c r="I5926" t="s" s="2">
        <v>21</v>
      </c>
      <c r="J5926" t="s" s="2">
        <v>9204</v>
      </c>
      <c r="K5926" s="6"/>
      <c r="L5926" s="6"/>
      <c r="M5926" s="6"/>
      <c r="N5926" s="6"/>
      <c r="O5926" t="s" s="2">
        <v>25</v>
      </c>
      <c r="P5926" s="6"/>
      <c r="Q5926" t="s" s="2">
        <v>9295</v>
      </c>
      <c r="R5926" t="s" s="2">
        <f>_xlfn.IFERROR(INDEX('model_byCAP'!$D$2:$D$377,MATCH(Q5926,'model_byCAP'!$A$2:$A$377,0)),0)</f>
        <v>8430</v>
      </c>
    </row>
    <row r="5927" ht="15.35" customHeight="1">
      <c r="A5927" t="s" s="2">
        <v>10410</v>
      </c>
      <c r="B5927" s="4">
        <v>42607</v>
      </c>
      <c r="C5927" s="5">
        <v>10</v>
      </c>
      <c r="D5927" s="5">
        <v>14</v>
      </c>
      <c r="E5927" s="5">
        <v>18</v>
      </c>
      <c r="F5927" t="s" s="2">
        <v>9209</v>
      </c>
      <c r="G5927" t="s" s="2">
        <v>9293</v>
      </c>
      <c r="H5927" s="5">
        <v>787</v>
      </c>
      <c r="I5927" t="s" s="2">
        <v>21</v>
      </c>
      <c r="J5927" t="s" s="2">
        <v>9204</v>
      </c>
      <c r="K5927" s="6"/>
      <c r="L5927" s="6"/>
      <c r="M5927" s="6"/>
      <c r="N5927" s="6"/>
      <c r="O5927" t="s" s="2">
        <v>25</v>
      </c>
      <c r="P5927" s="6"/>
      <c r="Q5927" t="s" s="2">
        <v>9295</v>
      </c>
      <c r="R5927" t="s" s="2">
        <f>_xlfn.IFERROR(INDEX('model_byCAP'!$D$2:$D$377,MATCH(Q5927,'model_byCAP'!$A$2:$A$377,0)),0)</f>
        <v>8430</v>
      </c>
    </row>
    <row r="5928" ht="15.35" customHeight="1">
      <c r="A5928" t="s" s="2">
        <v>10411</v>
      </c>
      <c r="B5928" s="4">
        <v>42562</v>
      </c>
      <c r="C5928" s="5">
        <v>10</v>
      </c>
      <c r="D5928" s="5">
        <v>14</v>
      </c>
      <c r="E5928" s="5">
        <v>18</v>
      </c>
      <c r="F5928" t="s" s="2">
        <v>9209</v>
      </c>
      <c r="G5928" t="s" s="2">
        <v>9293</v>
      </c>
      <c r="H5928" s="5">
        <v>787</v>
      </c>
      <c r="I5928" t="s" s="2">
        <v>21</v>
      </c>
      <c r="J5928" t="s" s="2">
        <v>9204</v>
      </c>
      <c r="K5928" s="6"/>
      <c r="L5928" s="6"/>
      <c r="M5928" s="6"/>
      <c r="N5928" s="6"/>
      <c r="O5928" t="s" s="2">
        <v>25</v>
      </c>
      <c r="P5928" s="6"/>
      <c r="Q5928" t="s" s="2">
        <v>9295</v>
      </c>
      <c r="R5928" t="s" s="2">
        <f>_xlfn.IFERROR(INDEX('model_byCAP'!$D$2:$D$377,MATCH(Q5928,'model_byCAP'!$A$2:$A$377,0)),0)</f>
        <v>8430</v>
      </c>
    </row>
    <row r="5929" ht="15.35" customHeight="1">
      <c r="A5929" t="s" s="2">
        <v>10412</v>
      </c>
      <c r="B5929" s="4">
        <v>42717</v>
      </c>
      <c r="C5929" s="5">
        <v>10</v>
      </c>
      <c r="D5929" s="5">
        <v>14</v>
      </c>
      <c r="E5929" s="5">
        <v>18</v>
      </c>
      <c r="F5929" t="s" s="2">
        <v>9209</v>
      </c>
      <c r="G5929" t="s" s="2">
        <v>9293</v>
      </c>
      <c r="H5929" s="5">
        <v>787</v>
      </c>
      <c r="I5929" t="s" s="2">
        <v>21</v>
      </c>
      <c r="J5929" t="s" s="2">
        <v>9204</v>
      </c>
      <c r="K5929" s="6"/>
      <c r="L5929" s="6"/>
      <c r="M5929" s="6"/>
      <c r="N5929" s="6"/>
      <c r="O5929" t="s" s="2">
        <v>25</v>
      </c>
      <c r="P5929" s="6"/>
      <c r="Q5929" t="s" s="2">
        <v>9295</v>
      </c>
      <c r="R5929" t="s" s="2">
        <f>_xlfn.IFERROR(INDEX('model_byCAP'!$D$2:$D$377,MATCH(Q5929,'model_byCAP'!$A$2:$A$377,0)),0)</f>
        <v>8430</v>
      </c>
    </row>
    <row r="5930" ht="15.35" customHeight="1">
      <c r="A5930" t="s" s="2">
        <v>10413</v>
      </c>
      <c r="B5930" s="4">
        <v>42646</v>
      </c>
      <c r="C5930" s="5">
        <v>10</v>
      </c>
      <c r="D5930" s="5">
        <v>14</v>
      </c>
      <c r="E5930" s="5">
        <v>18</v>
      </c>
      <c r="F5930" t="s" s="2">
        <v>9209</v>
      </c>
      <c r="G5930" t="s" s="2">
        <v>9293</v>
      </c>
      <c r="H5930" s="5">
        <v>787</v>
      </c>
      <c r="I5930" t="s" s="2">
        <v>21</v>
      </c>
      <c r="J5930" t="s" s="2">
        <v>9204</v>
      </c>
      <c r="K5930" s="6"/>
      <c r="L5930" s="6"/>
      <c r="M5930" s="6"/>
      <c r="N5930" s="6"/>
      <c r="O5930" t="s" s="2">
        <v>25</v>
      </c>
      <c r="P5930" s="6"/>
      <c r="Q5930" t="s" s="2">
        <v>9295</v>
      </c>
      <c r="R5930" t="s" s="2">
        <f>_xlfn.IFERROR(INDEX('model_byCAP'!$D$2:$D$377,MATCH(Q5930,'model_byCAP'!$A$2:$A$377,0)),0)</f>
        <v>8430</v>
      </c>
    </row>
    <row r="5931" ht="15.35" customHeight="1">
      <c r="A5931" t="s" s="2">
        <v>10414</v>
      </c>
      <c r="B5931" s="4">
        <v>42584</v>
      </c>
      <c r="C5931" s="5">
        <v>10</v>
      </c>
      <c r="D5931" s="5">
        <v>14</v>
      </c>
      <c r="E5931" s="5">
        <v>18</v>
      </c>
      <c r="F5931" t="s" s="2">
        <v>9209</v>
      </c>
      <c r="G5931" t="s" s="2">
        <v>9293</v>
      </c>
      <c r="H5931" s="5">
        <v>787</v>
      </c>
      <c r="I5931" t="s" s="2">
        <v>21</v>
      </c>
      <c r="J5931" t="s" s="2">
        <v>9204</v>
      </c>
      <c r="K5931" s="6"/>
      <c r="L5931" s="6"/>
      <c r="M5931" s="6"/>
      <c r="N5931" s="6"/>
      <c r="O5931" t="s" s="2">
        <v>25</v>
      </c>
      <c r="P5931" s="6"/>
      <c r="Q5931" t="s" s="2">
        <v>9295</v>
      </c>
      <c r="R5931" t="s" s="2">
        <f>_xlfn.IFERROR(INDEX('model_byCAP'!$D$2:$D$377,MATCH(Q5931,'model_byCAP'!$A$2:$A$377,0)),0)</f>
        <v>8430</v>
      </c>
    </row>
    <row r="5932" ht="15.35" customHeight="1">
      <c r="A5932" t="s" s="2">
        <v>10415</v>
      </c>
      <c r="B5932" s="4">
        <v>42586</v>
      </c>
      <c r="C5932" s="5">
        <v>10</v>
      </c>
      <c r="D5932" s="5">
        <v>14</v>
      </c>
      <c r="E5932" s="5">
        <v>18</v>
      </c>
      <c r="F5932" t="s" s="2">
        <v>9209</v>
      </c>
      <c r="G5932" t="s" s="2">
        <v>9293</v>
      </c>
      <c r="H5932" s="5">
        <v>787</v>
      </c>
      <c r="I5932" t="s" s="2">
        <v>21</v>
      </c>
      <c r="J5932" t="s" s="2">
        <v>9204</v>
      </c>
      <c r="K5932" s="6"/>
      <c r="L5932" s="6"/>
      <c r="M5932" s="6"/>
      <c r="N5932" s="6"/>
      <c r="O5932" t="s" s="2">
        <v>25</v>
      </c>
      <c r="P5932" s="6"/>
      <c r="Q5932" t="s" s="2">
        <v>9295</v>
      </c>
      <c r="R5932" t="s" s="2">
        <f>_xlfn.IFERROR(INDEX('model_byCAP'!$D$2:$D$377,MATCH(Q5932,'model_byCAP'!$A$2:$A$377,0)),0)</f>
        <v>8430</v>
      </c>
    </row>
    <row r="5933" ht="15.35" customHeight="1">
      <c r="A5933" t="s" s="2">
        <v>10416</v>
      </c>
      <c r="B5933" s="4">
        <v>42601</v>
      </c>
      <c r="C5933" s="5">
        <v>10</v>
      </c>
      <c r="D5933" s="5">
        <v>14</v>
      </c>
      <c r="E5933" s="5">
        <v>18</v>
      </c>
      <c r="F5933" t="s" s="2">
        <v>9209</v>
      </c>
      <c r="G5933" t="s" s="2">
        <v>9293</v>
      </c>
      <c r="H5933" s="5">
        <v>787</v>
      </c>
      <c r="I5933" t="s" s="2">
        <v>21</v>
      </c>
      <c r="J5933" t="s" s="2">
        <v>9204</v>
      </c>
      <c r="K5933" s="6"/>
      <c r="L5933" s="6"/>
      <c r="M5933" s="6"/>
      <c r="N5933" s="6"/>
      <c r="O5933" t="s" s="2">
        <v>25</v>
      </c>
      <c r="P5933" s="6"/>
      <c r="Q5933" t="s" s="2">
        <v>9295</v>
      </c>
      <c r="R5933" t="s" s="2">
        <f>_xlfn.IFERROR(INDEX('model_byCAP'!$D$2:$D$377,MATCH(Q5933,'model_byCAP'!$A$2:$A$377,0)),0)</f>
        <v>8430</v>
      </c>
    </row>
    <row r="5934" ht="15.35" customHeight="1">
      <c r="A5934" t="s" s="2">
        <v>10417</v>
      </c>
      <c r="B5934" s="4">
        <v>42590</v>
      </c>
      <c r="C5934" s="5">
        <v>10</v>
      </c>
      <c r="D5934" s="5">
        <v>17</v>
      </c>
      <c r="E5934" s="5">
        <v>18</v>
      </c>
      <c r="F5934" t="s" s="2">
        <v>9209</v>
      </c>
      <c r="G5934" t="s" s="2">
        <v>9293</v>
      </c>
      <c r="H5934" s="5">
        <v>787</v>
      </c>
      <c r="I5934" t="s" s="2">
        <v>21</v>
      </c>
      <c r="J5934" t="s" s="2">
        <v>9204</v>
      </c>
      <c r="K5934" s="6"/>
      <c r="L5934" s="6"/>
      <c r="M5934" s="6"/>
      <c r="N5934" s="6"/>
      <c r="O5934" t="s" s="2">
        <v>25</v>
      </c>
      <c r="P5934" s="6"/>
      <c r="Q5934" t="s" s="2">
        <v>9295</v>
      </c>
      <c r="R5934" t="s" s="2">
        <f>_xlfn.IFERROR(INDEX('model_byCAP'!$D$2:$D$377,MATCH(Q5934,'model_byCAP'!$A$2:$A$377,0)),0)</f>
        <v>8430</v>
      </c>
    </row>
    <row r="5935" ht="15.35" customHeight="1">
      <c r="A5935" t="s" s="2">
        <v>10418</v>
      </c>
      <c r="B5935" s="4">
        <v>42597</v>
      </c>
      <c r="C5935" s="5">
        <v>10</v>
      </c>
      <c r="D5935" s="5">
        <v>14</v>
      </c>
      <c r="E5935" s="5">
        <v>18</v>
      </c>
      <c r="F5935" t="s" s="2">
        <v>9209</v>
      </c>
      <c r="G5935" t="s" s="2">
        <v>9293</v>
      </c>
      <c r="H5935" s="5">
        <v>787</v>
      </c>
      <c r="I5935" t="s" s="2">
        <v>21</v>
      </c>
      <c r="J5935" t="s" s="2">
        <v>9204</v>
      </c>
      <c r="K5935" s="6"/>
      <c r="L5935" s="6"/>
      <c r="M5935" s="6"/>
      <c r="N5935" s="6"/>
      <c r="O5935" t="s" s="2">
        <v>25</v>
      </c>
      <c r="P5935" s="6"/>
      <c r="Q5935" t="s" s="2">
        <v>9295</v>
      </c>
      <c r="R5935" t="s" s="2">
        <f>_xlfn.IFERROR(INDEX('model_byCAP'!$D$2:$D$377,MATCH(Q5935,'model_byCAP'!$A$2:$A$377,0)),0)</f>
        <v>8430</v>
      </c>
    </row>
    <row r="5936" ht="15.35" customHeight="1">
      <c r="A5936" t="s" s="2">
        <v>10419</v>
      </c>
      <c r="B5936" s="4">
        <v>42598</v>
      </c>
      <c r="C5936" s="5">
        <v>10</v>
      </c>
      <c r="D5936" s="5">
        <v>14</v>
      </c>
      <c r="E5936" s="5">
        <v>18</v>
      </c>
      <c r="F5936" t="s" s="2">
        <v>9209</v>
      </c>
      <c r="G5936" t="s" s="2">
        <v>9293</v>
      </c>
      <c r="H5936" s="5">
        <v>787</v>
      </c>
      <c r="I5936" t="s" s="2">
        <v>21</v>
      </c>
      <c r="J5936" t="s" s="2">
        <v>9204</v>
      </c>
      <c r="K5936" s="6"/>
      <c r="L5936" s="6"/>
      <c r="M5936" s="6"/>
      <c r="N5936" s="6"/>
      <c r="O5936" t="s" s="2">
        <v>25</v>
      </c>
      <c r="P5936" s="6"/>
      <c r="Q5936" t="s" s="2">
        <v>9295</v>
      </c>
      <c r="R5936" t="s" s="2">
        <f>_xlfn.IFERROR(INDEX('model_byCAP'!$D$2:$D$377,MATCH(Q5936,'model_byCAP'!$A$2:$A$377,0)),0)</f>
        <v>8430</v>
      </c>
    </row>
    <row r="5937" ht="15.35" customHeight="1">
      <c r="A5937" t="s" s="2">
        <v>10420</v>
      </c>
      <c r="B5937" s="4">
        <v>42607</v>
      </c>
      <c r="C5937" s="5">
        <v>10</v>
      </c>
      <c r="D5937" s="5">
        <v>14</v>
      </c>
      <c r="E5937" s="5">
        <v>18</v>
      </c>
      <c r="F5937" t="s" s="2">
        <v>9209</v>
      </c>
      <c r="G5937" t="s" s="2">
        <v>9293</v>
      </c>
      <c r="H5937" s="5">
        <v>787</v>
      </c>
      <c r="I5937" t="s" s="2">
        <v>21</v>
      </c>
      <c r="J5937" t="s" s="2">
        <v>9204</v>
      </c>
      <c r="K5937" s="6"/>
      <c r="L5937" s="6"/>
      <c r="M5937" s="6"/>
      <c r="N5937" s="6"/>
      <c r="O5937" t="s" s="2">
        <v>25</v>
      </c>
      <c r="P5937" s="6"/>
      <c r="Q5937" t="s" s="2">
        <v>9295</v>
      </c>
      <c r="R5937" t="s" s="2">
        <f>_xlfn.IFERROR(INDEX('model_byCAP'!$D$2:$D$377,MATCH(Q5937,'model_byCAP'!$A$2:$A$377,0)),0)</f>
        <v>8430</v>
      </c>
    </row>
    <row r="5938" ht="15.35" customHeight="1">
      <c r="A5938" t="s" s="2">
        <v>10421</v>
      </c>
      <c r="B5938" s="4">
        <v>42620</v>
      </c>
      <c r="C5938" s="5">
        <v>10</v>
      </c>
      <c r="D5938" s="5">
        <v>14</v>
      </c>
      <c r="E5938" s="5">
        <v>18</v>
      </c>
      <c r="F5938" t="s" s="2">
        <v>9209</v>
      </c>
      <c r="G5938" t="s" s="2">
        <v>9293</v>
      </c>
      <c r="H5938" s="5">
        <v>787</v>
      </c>
      <c r="I5938" t="s" s="2">
        <v>21</v>
      </c>
      <c r="J5938" t="s" s="2">
        <v>9204</v>
      </c>
      <c r="K5938" s="6"/>
      <c r="L5938" s="6"/>
      <c r="M5938" s="6"/>
      <c r="N5938" s="6"/>
      <c r="O5938" t="s" s="2">
        <v>25</v>
      </c>
      <c r="P5938" s="6"/>
      <c r="Q5938" t="s" s="2">
        <v>9295</v>
      </c>
      <c r="R5938" t="s" s="2">
        <f>_xlfn.IFERROR(INDEX('model_byCAP'!$D$2:$D$377,MATCH(Q5938,'model_byCAP'!$A$2:$A$377,0)),0)</f>
        <v>8430</v>
      </c>
    </row>
    <row r="5939" ht="15.35" customHeight="1">
      <c r="A5939" t="s" s="2">
        <v>10422</v>
      </c>
      <c r="B5939" s="4">
        <v>42615</v>
      </c>
      <c r="C5939" s="5">
        <v>10</v>
      </c>
      <c r="D5939" s="5">
        <v>7.1</v>
      </c>
      <c r="E5939" s="5">
        <v>21.4</v>
      </c>
      <c r="F5939" t="s" s="2">
        <v>42</v>
      </c>
      <c r="G5939" t="s" s="2">
        <v>42</v>
      </c>
      <c r="H5939" s="5">
        <v>787</v>
      </c>
      <c r="I5939" t="s" s="2">
        <v>21</v>
      </c>
      <c r="J5939" t="s" s="2">
        <v>9204</v>
      </c>
      <c r="K5939" s="6"/>
      <c r="L5939" s="6"/>
      <c r="M5939" s="6"/>
      <c r="N5939" s="6"/>
      <c r="O5939" t="s" s="2">
        <v>25</v>
      </c>
      <c r="P5939" s="6"/>
      <c r="Q5939" t="s" s="2">
        <v>43</v>
      </c>
      <c r="R5939" s="5">
        <f>_xlfn.IFERROR(INDEX('model_byCAP'!$D$2:$D$377,MATCH(Q5939,'model_byCAP'!$A$2:$A$377,0)),0)</f>
        <v>0</v>
      </c>
    </row>
    <row r="5940" ht="15.35" customHeight="1">
      <c r="A5940" t="s" s="2">
        <v>10423</v>
      </c>
      <c r="B5940" s="4">
        <v>42620</v>
      </c>
      <c r="C5940" s="5">
        <v>10</v>
      </c>
      <c r="D5940" s="5">
        <v>14</v>
      </c>
      <c r="E5940" s="5">
        <v>18</v>
      </c>
      <c r="F5940" t="s" s="2">
        <v>9209</v>
      </c>
      <c r="G5940" t="s" s="2">
        <v>9293</v>
      </c>
      <c r="H5940" s="5">
        <v>787</v>
      </c>
      <c r="I5940" t="s" s="2">
        <v>21</v>
      </c>
      <c r="J5940" t="s" s="2">
        <v>9204</v>
      </c>
      <c r="K5940" s="6"/>
      <c r="L5940" s="6"/>
      <c r="M5940" s="6"/>
      <c r="N5940" s="6"/>
      <c r="O5940" t="s" s="2">
        <v>25</v>
      </c>
      <c r="P5940" s="6"/>
      <c r="Q5940" t="s" s="2">
        <v>9295</v>
      </c>
      <c r="R5940" t="s" s="2">
        <f>_xlfn.IFERROR(INDEX('model_byCAP'!$D$2:$D$377,MATCH(Q5940,'model_byCAP'!$A$2:$A$377,0)),0)</f>
        <v>8430</v>
      </c>
    </row>
    <row r="5941" ht="15.35" customHeight="1">
      <c r="A5941" t="s" s="2">
        <v>10424</v>
      </c>
      <c r="B5941" s="4">
        <v>42620</v>
      </c>
      <c r="C5941" s="5">
        <v>10</v>
      </c>
      <c r="D5941" s="5">
        <v>14</v>
      </c>
      <c r="E5941" s="5">
        <v>18</v>
      </c>
      <c r="F5941" t="s" s="2">
        <v>9209</v>
      </c>
      <c r="G5941" t="s" s="2">
        <v>9293</v>
      </c>
      <c r="H5941" s="5">
        <v>787</v>
      </c>
      <c r="I5941" t="s" s="2">
        <v>21</v>
      </c>
      <c r="J5941" t="s" s="2">
        <v>9204</v>
      </c>
      <c r="K5941" s="6"/>
      <c r="L5941" s="6"/>
      <c r="M5941" s="5">
        <v>466436.65</v>
      </c>
      <c r="N5941" s="5">
        <v>6289431.71</v>
      </c>
      <c r="O5941" t="s" s="2">
        <v>305</v>
      </c>
      <c r="P5941" s="6"/>
      <c r="Q5941" t="s" s="2">
        <v>9295</v>
      </c>
      <c r="R5941" t="s" s="2">
        <f>_xlfn.IFERROR(INDEX('model_byCAP'!$D$2:$D$377,MATCH(Q5941,'model_byCAP'!$A$2:$A$377,0)),0)</f>
        <v>8430</v>
      </c>
    </row>
    <row r="5942" ht="15.35" customHeight="1">
      <c r="A5942" t="s" s="2">
        <v>10425</v>
      </c>
      <c r="B5942" s="4">
        <v>42620</v>
      </c>
      <c r="C5942" s="5">
        <v>10</v>
      </c>
      <c r="D5942" s="5">
        <v>14</v>
      </c>
      <c r="E5942" s="5">
        <v>18</v>
      </c>
      <c r="F5942" t="s" s="2">
        <v>9209</v>
      </c>
      <c r="G5942" t="s" s="2">
        <v>9293</v>
      </c>
      <c r="H5942" s="5">
        <v>787</v>
      </c>
      <c r="I5942" t="s" s="2">
        <v>21</v>
      </c>
      <c r="J5942" t="s" s="2">
        <v>9204</v>
      </c>
      <c r="K5942" s="6"/>
      <c r="L5942" s="6"/>
      <c r="M5942" s="6"/>
      <c r="N5942" s="6"/>
      <c r="O5942" t="s" s="2">
        <v>25</v>
      </c>
      <c r="P5942" s="6"/>
      <c r="Q5942" t="s" s="2">
        <v>9295</v>
      </c>
      <c r="R5942" t="s" s="2">
        <f>_xlfn.IFERROR(INDEX('model_byCAP'!$D$2:$D$377,MATCH(Q5942,'model_byCAP'!$A$2:$A$377,0)),0)</f>
        <v>8430</v>
      </c>
    </row>
    <row r="5943" ht="15.35" customHeight="1">
      <c r="A5943" t="s" s="2">
        <v>10426</v>
      </c>
      <c r="B5943" s="4">
        <v>42674</v>
      </c>
      <c r="C5943" s="5">
        <v>10</v>
      </c>
      <c r="D5943" s="5">
        <v>14</v>
      </c>
      <c r="E5943" s="5">
        <v>18</v>
      </c>
      <c r="F5943" t="s" s="2">
        <v>9209</v>
      </c>
      <c r="G5943" t="s" s="2">
        <v>9293</v>
      </c>
      <c r="H5943" s="5">
        <v>787</v>
      </c>
      <c r="I5943" t="s" s="2">
        <v>21</v>
      </c>
      <c r="J5943" t="s" s="2">
        <v>9204</v>
      </c>
      <c r="K5943" s="6"/>
      <c r="L5943" s="6"/>
      <c r="M5943" s="6"/>
      <c r="N5943" s="6"/>
      <c r="O5943" t="s" s="2">
        <v>25</v>
      </c>
      <c r="P5943" s="6"/>
      <c r="Q5943" t="s" s="2">
        <v>9295</v>
      </c>
      <c r="R5943" t="s" s="2">
        <f>_xlfn.IFERROR(INDEX('model_byCAP'!$D$2:$D$377,MATCH(Q5943,'model_byCAP'!$A$2:$A$377,0)),0)</f>
        <v>8430</v>
      </c>
    </row>
    <row r="5944" ht="15.35" customHeight="1">
      <c r="A5944" t="s" s="2">
        <v>10427</v>
      </c>
      <c r="B5944" s="4">
        <v>42619</v>
      </c>
      <c r="C5944" s="5">
        <v>10</v>
      </c>
      <c r="D5944" s="5">
        <v>14</v>
      </c>
      <c r="E5944" s="5">
        <v>18</v>
      </c>
      <c r="F5944" t="s" s="2">
        <v>9209</v>
      </c>
      <c r="G5944" t="s" s="2">
        <v>9293</v>
      </c>
      <c r="H5944" s="5">
        <v>787</v>
      </c>
      <c r="I5944" t="s" s="2">
        <v>21</v>
      </c>
      <c r="J5944" t="s" s="2">
        <v>9204</v>
      </c>
      <c r="K5944" s="6"/>
      <c r="L5944" s="6"/>
      <c r="M5944" s="6"/>
      <c r="N5944" s="6"/>
      <c r="O5944" t="s" s="2">
        <v>25</v>
      </c>
      <c r="P5944" s="6"/>
      <c r="Q5944" t="s" s="2">
        <v>9295</v>
      </c>
      <c r="R5944" t="s" s="2">
        <f>_xlfn.IFERROR(INDEX('model_byCAP'!$D$2:$D$377,MATCH(Q5944,'model_byCAP'!$A$2:$A$377,0)),0)</f>
        <v>8430</v>
      </c>
    </row>
    <row r="5945" ht="15.35" customHeight="1">
      <c r="A5945" t="s" s="2">
        <v>10428</v>
      </c>
      <c r="B5945" s="4">
        <v>42648</v>
      </c>
      <c r="C5945" s="5">
        <v>10</v>
      </c>
      <c r="D5945" s="5">
        <v>4.1</v>
      </c>
      <c r="E5945" s="5">
        <v>21.4</v>
      </c>
      <c r="F5945" t="s" s="2">
        <v>42</v>
      </c>
      <c r="G5945" t="s" s="2">
        <v>42</v>
      </c>
      <c r="H5945" s="5">
        <v>787</v>
      </c>
      <c r="I5945" t="s" s="2">
        <v>21</v>
      </c>
      <c r="J5945" t="s" s="2">
        <v>9204</v>
      </c>
      <c r="K5945" s="6"/>
      <c r="L5945" s="6"/>
      <c r="M5945" s="6"/>
      <c r="N5945" s="6"/>
      <c r="O5945" t="s" s="2">
        <v>25</v>
      </c>
      <c r="P5945" s="6"/>
      <c r="Q5945" t="s" s="2">
        <v>43</v>
      </c>
      <c r="R5945" s="5">
        <f>_xlfn.IFERROR(INDEX('model_byCAP'!$D$2:$D$377,MATCH(Q5945,'model_byCAP'!$A$2:$A$377,0)),0)</f>
        <v>0</v>
      </c>
    </row>
    <row r="5946" ht="15.35" customHeight="1">
      <c r="A5946" t="s" s="2">
        <v>10429</v>
      </c>
      <c r="B5946" s="4">
        <v>42632</v>
      </c>
      <c r="C5946" s="5">
        <v>10</v>
      </c>
      <c r="D5946" s="5">
        <v>14</v>
      </c>
      <c r="E5946" s="5">
        <v>18</v>
      </c>
      <c r="F5946" t="s" s="2">
        <v>9209</v>
      </c>
      <c r="G5946" t="s" s="2">
        <v>9293</v>
      </c>
      <c r="H5946" s="5">
        <v>787</v>
      </c>
      <c r="I5946" t="s" s="2">
        <v>21</v>
      </c>
      <c r="J5946" t="s" s="2">
        <v>9204</v>
      </c>
      <c r="K5946" s="6"/>
      <c r="L5946" s="6"/>
      <c r="M5946" s="6"/>
      <c r="N5946" s="6"/>
      <c r="O5946" t="s" s="2">
        <v>25</v>
      </c>
      <c r="P5946" s="6"/>
      <c r="Q5946" t="s" s="2">
        <v>9295</v>
      </c>
      <c r="R5946" t="s" s="2">
        <f>_xlfn.IFERROR(INDEX('model_byCAP'!$D$2:$D$377,MATCH(Q5946,'model_byCAP'!$A$2:$A$377,0)),0)</f>
        <v>8430</v>
      </c>
    </row>
    <row r="5947" ht="15.35" customHeight="1">
      <c r="A5947" t="s" s="2">
        <v>10430</v>
      </c>
      <c r="B5947" s="4">
        <v>42625</v>
      </c>
      <c r="C5947" s="5">
        <v>10</v>
      </c>
      <c r="D5947" s="5">
        <v>14</v>
      </c>
      <c r="E5947" s="5">
        <v>18</v>
      </c>
      <c r="F5947" t="s" s="2">
        <v>9209</v>
      </c>
      <c r="G5947" t="s" s="2">
        <v>9293</v>
      </c>
      <c r="H5947" s="5">
        <v>787</v>
      </c>
      <c r="I5947" t="s" s="2">
        <v>21</v>
      </c>
      <c r="J5947" t="s" s="2">
        <v>9204</v>
      </c>
      <c r="K5947" s="6"/>
      <c r="L5947" s="6"/>
      <c r="M5947" s="6"/>
      <c r="N5947" s="6"/>
      <c r="O5947" t="s" s="2">
        <v>25</v>
      </c>
      <c r="P5947" s="6"/>
      <c r="Q5947" t="s" s="2">
        <v>9295</v>
      </c>
      <c r="R5947" t="s" s="2">
        <f>_xlfn.IFERROR(INDEX('model_byCAP'!$D$2:$D$377,MATCH(Q5947,'model_byCAP'!$A$2:$A$377,0)),0)</f>
        <v>8430</v>
      </c>
    </row>
    <row r="5948" ht="15.35" customHeight="1">
      <c r="A5948" t="s" s="2">
        <v>10431</v>
      </c>
      <c r="B5948" s="4">
        <v>42601</v>
      </c>
      <c r="C5948" s="5">
        <v>10</v>
      </c>
      <c r="D5948" s="5">
        <v>13</v>
      </c>
      <c r="E5948" s="5">
        <v>18.3</v>
      </c>
      <c r="F5948" t="s" s="2">
        <v>9471</v>
      </c>
      <c r="G5948" t="s" s="2">
        <v>9606</v>
      </c>
      <c r="H5948" s="5">
        <v>787</v>
      </c>
      <c r="I5948" t="s" s="2">
        <v>21</v>
      </c>
      <c r="J5948" t="s" s="2">
        <v>9204</v>
      </c>
      <c r="K5948" s="6"/>
      <c r="L5948" s="6"/>
      <c r="M5948" s="6"/>
      <c r="N5948" s="6"/>
      <c r="O5948" t="s" s="2">
        <v>25</v>
      </c>
      <c r="P5948" s="6"/>
      <c r="Q5948" t="s" s="2">
        <v>9607</v>
      </c>
      <c r="R5948" s="5">
        <f>_xlfn.IFERROR(INDEX('model_byCAP'!$D$2:$D$377,MATCH(Q5948,'model_byCAP'!$A$2:$A$377,0)),0)</f>
        <v>0</v>
      </c>
    </row>
    <row r="5949" ht="15.35" customHeight="1">
      <c r="A5949" t="s" s="2">
        <v>10432</v>
      </c>
      <c r="B5949" s="4">
        <v>42664</v>
      </c>
      <c r="C5949" s="5">
        <v>10</v>
      </c>
      <c r="D5949" s="5">
        <v>7.1</v>
      </c>
      <c r="E5949" s="5">
        <v>21.4</v>
      </c>
      <c r="F5949" t="s" s="2">
        <v>42</v>
      </c>
      <c r="G5949" t="s" s="2">
        <v>42</v>
      </c>
      <c r="H5949" s="5">
        <v>787</v>
      </c>
      <c r="I5949" t="s" s="2">
        <v>21</v>
      </c>
      <c r="J5949" t="s" s="2">
        <v>9204</v>
      </c>
      <c r="K5949" s="6"/>
      <c r="L5949" s="6"/>
      <c r="M5949" s="6"/>
      <c r="N5949" s="6"/>
      <c r="O5949" t="s" s="2">
        <v>25</v>
      </c>
      <c r="P5949" s="6"/>
      <c r="Q5949" t="s" s="2">
        <v>43</v>
      </c>
      <c r="R5949" s="5">
        <f>_xlfn.IFERROR(INDEX('model_byCAP'!$D$2:$D$377,MATCH(Q5949,'model_byCAP'!$A$2:$A$377,0)),0)</f>
        <v>0</v>
      </c>
    </row>
    <row r="5950" ht="15.35" customHeight="1">
      <c r="A5950" t="s" s="2">
        <v>10433</v>
      </c>
      <c r="B5950" s="4">
        <v>42654</v>
      </c>
      <c r="C5950" s="5">
        <v>10</v>
      </c>
      <c r="D5950" s="5">
        <v>14</v>
      </c>
      <c r="E5950" s="5">
        <v>18</v>
      </c>
      <c r="F5950" t="s" s="2">
        <v>9209</v>
      </c>
      <c r="G5950" t="s" s="2">
        <v>9293</v>
      </c>
      <c r="H5950" s="5">
        <v>787</v>
      </c>
      <c r="I5950" t="s" s="2">
        <v>21</v>
      </c>
      <c r="J5950" t="s" s="2">
        <v>9204</v>
      </c>
      <c r="K5950" s="6"/>
      <c r="L5950" s="6"/>
      <c r="M5950" s="6"/>
      <c r="N5950" s="6"/>
      <c r="O5950" t="s" s="2">
        <v>25</v>
      </c>
      <c r="P5950" s="6"/>
      <c r="Q5950" t="s" s="2">
        <v>9295</v>
      </c>
      <c r="R5950" t="s" s="2">
        <f>_xlfn.IFERROR(INDEX('model_byCAP'!$D$2:$D$377,MATCH(Q5950,'model_byCAP'!$A$2:$A$377,0)),0)</f>
        <v>8430</v>
      </c>
    </row>
    <row r="5951" ht="15.35" customHeight="1">
      <c r="A5951" t="s" s="2">
        <v>10434</v>
      </c>
      <c r="B5951" s="4">
        <v>42656</v>
      </c>
      <c r="C5951" s="5">
        <v>10</v>
      </c>
      <c r="D5951" s="5">
        <v>14</v>
      </c>
      <c r="E5951" s="5">
        <v>18</v>
      </c>
      <c r="F5951" t="s" s="2">
        <v>9209</v>
      </c>
      <c r="G5951" t="s" s="2">
        <v>9293</v>
      </c>
      <c r="H5951" s="5">
        <v>787</v>
      </c>
      <c r="I5951" t="s" s="2">
        <v>21</v>
      </c>
      <c r="J5951" t="s" s="2">
        <v>9204</v>
      </c>
      <c r="K5951" s="6"/>
      <c r="L5951" s="6"/>
      <c r="M5951" s="6"/>
      <c r="N5951" s="6"/>
      <c r="O5951" t="s" s="2">
        <v>25</v>
      </c>
      <c r="P5951" s="6"/>
      <c r="Q5951" t="s" s="2">
        <v>9295</v>
      </c>
      <c r="R5951" t="s" s="2">
        <f>_xlfn.IFERROR(INDEX('model_byCAP'!$D$2:$D$377,MATCH(Q5951,'model_byCAP'!$A$2:$A$377,0)),0)</f>
        <v>8430</v>
      </c>
    </row>
    <row r="5952" ht="15.35" customHeight="1">
      <c r="A5952" t="s" s="2">
        <v>10435</v>
      </c>
      <c r="B5952" s="4">
        <v>42641</v>
      </c>
      <c r="C5952" s="5">
        <v>10</v>
      </c>
      <c r="D5952" s="5">
        <v>14</v>
      </c>
      <c r="E5952" s="5">
        <v>18</v>
      </c>
      <c r="F5952" t="s" s="2">
        <v>9209</v>
      </c>
      <c r="G5952" t="s" s="2">
        <v>9293</v>
      </c>
      <c r="H5952" s="5">
        <v>787</v>
      </c>
      <c r="I5952" t="s" s="2">
        <v>21</v>
      </c>
      <c r="J5952" t="s" s="2">
        <v>9204</v>
      </c>
      <c r="K5952" s="6"/>
      <c r="L5952" s="6"/>
      <c r="M5952" s="6"/>
      <c r="N5952" s="6"/>
      <c r="O5952" t="s" s="2">
        <v>25</v>
      </c>
      <c r="P5952" s="6"/>
      <c r="Q5952" t="s" s="2">
        <v>9295</v>
      </c>
      <c r="R5952" t="s" s="2">
        <f>_xlfn.IFERROR(INDEX('model_byCAP'!$D$2:$D$377,MATCH(Q5952,'model_byCAP'!$A$2:$A$377,0)),0)</f>
        <v>8430</v>
      </c>
    </row>
    <row r="5953" ht="15.35" customHeight="1">
      <c r="A5953" t="s" s="2">
        <v>10436</v>
      </c>
      <c r="B5953" s="4">
        <v>42640</v>
      </c>
      <c r="C5953" s="5">
        <v>10</v>
      </c>
      <c r="D5953" s="5">
        <v>14</v>
      </c>
      <c r="E5953" s="5">
        <v>18</v>
      </c>
      <c r="F5953" t="s" s="2">
        <v>9209</v>
      </c>
      <c r="G5953" t="s" s="2">
        <v>9293</v>
      </c>
      <c r="H5953" s="5">
        <v>787</v>
      </c>
      <c r="I5953" t="s" s="2">
        <v>21</v>
      </c>
      <c r="J5953" t="s" s="2">
        <v>9204</v>
      </c>
      <c r="K5953" s="6"/>
      <c r="L5953" s="6"/>
      <c r="M5953" s="6"/>
      <c r="N5953" s="6"/>
      <c r="O5953" t="s" s="2">
        <v>25</v>
      </c>
      <c r="P5953" s="6"/>
      <c r="Q5953" t="s" s="2">
        <v>9295</v>
      </c>
      <c r="R5953" t="s" s="2">
        <f>_xlfn.IFERROR(INDEX('model_byCAP'!$D$2:$D$377,MATCH(Q5953,'model_byCAP'!$A$2:$A$377,0)),0)</f>
        <v>8430</v>
      </c>
    </row>
    <row r="5954" ht="15.35" customHeight="1">
      <c r="A5954" t="s" s="2">
        <v>10437</v>
      </c>
      <c r="B5954" s="4">
        <v>42654</v>
      </c>
      <c r="C5954" s="5">
        <v>10</v>
      </c>
      <c r="D5954" s="5">
        <v>14</v>
      </c>
      <c r="E5954" s="5">
        <v>18</v>
      </c>
      <c r="F5954" t="s" s="2">
        <v>9209</v>
      </c>
      <c r="G5954" t="s" s="2">
        <v>9293</v>
      </c>
      <c r="H5954" s="5">
        <v>787</v>
      </c>
      <c r="I5954" t="s" s="2">
        <v>21</v>
      </c>
      <c r="J5954" t="s" s="2">
        <v>9204</v>
      </c>
      <c r="K5954" s="6"/>
      <c r="L5954" s="6"/>
      <c r="M5954" s="6"/>
      <c r="N5954" s="6"/>
      <c r="O5954" t="s" s="2">
        <v>25</v>
      </c>
      <c r="P5954" s="6"/>
      <c r="Q5954" t="s" s="2">
        <v>9295</v>
      </c>
      <c r="R5954" t="s" s="2">
        <f>_xlfn.IFERROR(INDEX('model_byCAP'!$D$2:$D$377,MATCH(Q5954,'model_byCAP'!$A$2:$A$377,0)),0)</f>
        <v>8430</v>
      </c>
    </row>
    <row r="5955" ht="15.35" customHeight="1">
      <c r="A5955" t="s" s="2">
        <v>10438</v>
      </c>
      <c r="B5955" s="4">
        <v>42655</v>
      </c>
      <c r="C5955" s="5">
        <v>10</v>
      </c>
      <c r="D5955" s="5">
        <v>14</v>
      </c>
      <c r="E5955" s="5">
        <v>18</v>
      </c>
      <c r="F5955" t="s" s="2">
        <v>9209</v>
      </c>
      <c r="G5955" t="s" s="2">
        <v>9293</v>
      </c>
      <c r="H5955" s="5">
        <v>787</v>
      </c>
      <c r="I5955" t="s" s="2">
        <v>21</v>
      </c>
      <c r="J5955" t="s" s="2">
        <v>9204</v>
      </c>
      <c r="K5955" s="6"/>
      <c r="L5955" s="6"/>
      <c r="M5955" s="6"/>
      <c r="N5955" s="6"/>
      <c r="O5955" t="s" s="2">
        <v>25</v>
      </c>
      <c r="P5955" s="6"/>
      <c r="Q5955" t="s" s="2">
        <v>9295</v>
      </c>
      <c r="R5955" t="s" s="2">
        <f>_xlfn.IFERROR(INDEX('model_byCAP'!$D$2:$D$377,MATCH(Q5955,'model_byCAP'!$A$2:$A$377,0)),0)</f>
        <v>8430</v>
      </c>
    </row>
    <row r="5956" ht="15.35" customHeight="1">
      <c r="A5956" t="s" s="2">
        <v>10439</v>
      </c>
      <c r="B5956" s="4">
        <v>42660</v>
      </c>
      <c r="C5956" s="5">
        <v>10</v>
      </c>
      <c r="D5956" s="5">
        <v>14</v>
      </c>
      <c r="E5956" s="5">
        <v>18</v>
      </c>
      <c r="F5956" t="s" s="2">
        <v>9209</v>
      </c>
      <c r="G5956" t="s" s="2">
        <v>9293</v>
      </c>
      <c r="H5956" s="5">
        <v>787</v>
      </c>
      <c r="I5956" t="s" s="2">
        <v>21</v>
      </c>
      <c r="J5956" t="s" s="2">
        <v>9204</v>
      </c>
      <c r="K5956" s="6"/>
      <c r="L5956" s="6"/>
      <c r="M5956" s="6"/>
      <c r="N5956" s="6"/>
      <c r="O5956" t="s" s="2">
        <v>25</v>
      </c>
      <c r="P5956" s="6"/>
      <c r="Q5956" t="s" s="2">
        <v>9295</v>
      </c>
      <c r="R5956" t="s" s="2">
        <f>_xlfn.IFERROR(INDEX('model_byCAP'!$D$2:$D$377,MATCH(Q5956,'model_byCAP'!$A$2:$A$377,0)),0)</f>
        <v>8430</v>
      </c>
    </row>
    <row r="5957" ht="15.35" customHeight="1">
      <c r="A5957" t="s" s="2">
        <v>10440</v>
      </c>
      <c r="B5957" s="4">
        <v>42661</v>
      </c>
      <c r="C5957" s="5">
        <v>10</v>
      </c>
      <c r="D5957" s="5">
        <v>14</v>
      </c>
      <c r="E5957" s="5">
        <v>18</v>
      </c>
      <c r="F5957" t="s" s="2">
        <v>9209</v>
      </c>
      <c r="G5957" t="s" s="2">
        <v>9293</v>
      </c>
      <c r="H5957" s="5">
        <v>787</v>
      </c>
      <c r="I5957" t="s" s="2">
        <v>21</v>
      </c>
      <c r="J5957" t="s" s="2">
        <v>9204</v>
      </c>
      <c r="K5957" s="6"/>
      <c r="L5957" s="6"/>
      <c r="M5957" s="6"/>
      <c r="N5957" s="6"/>
      <c r="O5957" t="s" s="2">
        <v>25</v>
      </c>
      <c r="P5957" s="6"/>
      <c r="Q5957" t="s" s="2">
        <v>9295</v>
      </c>
      <c r="R5957" t="s" s="2">
        <f>_xlfn.IFERROR(INDEX('model_byCAP'!$D$2:$D$377,MATCH(Q5957,'model_byCAP'!$A$2:$A$377,0)),0)</f>
        <v>8430</v>
      </c>
    </row>
    <row r="5958" ht="15.35" customHeight="1">
      <c r="A5958" t="s" s="2">
        <v>10441</v>
      </c>
      <c r="B5958" s="4">
        <v>42662</v>
      </c>
      <c r="C5958" s="5">
        <v>10</v>
      </c>
      <c r="D5958" s="5">
        <v>14</v>
      </c>
      <c r="E5958" s="5">
        <v>18</v>
      </c>
      <c r="F5958" t="s" s="2">
        <v>9209</v>
      </c>
      <c r="G5958" t="s" s="2">
        <v>9293</v>
      </c>
      <c r="H5958" s="5">
        <v>787</v>
      </c>
      <c r="I5958" t="s" s="2">
        <v>21</v>
      </c>
      <c r="J5958" t="s" s="2">
        <v>9204</v>
      </c>
      <c r="K5958" s="6"/>
      <c r="L5958" s="6"/>
      <c r="M5958" s="6"/>
      <c r="N5958" s="6"/>
      <c r="O5958" t="s" s="2">
        <v>25</v>
      </c>
      <c r="P5958" s="6"/>
      <c r="Q5958" t="s" s="2">
        <v>9295</v>
      </c>
      <c r="R5958" t="s" s="2">
        <f>_xlfn.IFERROR(INDEX('model_byCAP'!$D$2:$D$377,MATCH(Q5958,'model_byCAP'!$A$2:$A$377,0)),0)</f>
        <v>8430</v>
      </c>
    </row>
    <row r="5959" ht="15.35" customHeight="1">
      <c r="A5959" t="s" s="2">
        <v>10442</v>
      </c>
      <c r="B5959" s="4">
        <v>42697</v>
      </c>
      <c r="C5959" s="5">
        <v>10</v>
      </c>
      <c r="D5959" s="5">
        <v>14</v>
      </c>
      <c r="E5959" s="5">
        <v>18</v>
      </c>
      <c r="F5959" t="s" s="2">
        <v>9209</v>
      </c>
      <c r="G5959" t="s" s="2">
        <v>9293</v>
      </c>
      <c r="H5959" s="5">
        <v>787</v>
      </c>
      <c r="I5959" t="s" s="2">
        <v>21</v>
      </c>
      <c r="J5959" t="s" s="2">
        <v>9204</v>
      </c>
      <c r="K5959" s="6"/>
      <c r="L5959" s="6"/>
      <c r="M5959" s="6"/>
      <c r="N5959" s="6"/>
      <c r="O5959" t="s" s="2">
        <v>25</v>
      </c>
      <c r="P5959" s="6"/>
      <c r="Q5959" t="s" s="2">
        <v>9295</v>
      </c>
      <c r="R5959" t="s" s="2">
        <f>_xlfn.IFERROR(INDEX('model_byCAP'!$D$2:$D$377,MATCH(Q5959,'model_byCAP'!$A$2:$A$377,0)),0)</f>
        <v>8430</v>
      </c>
    </row>
    <row r="5960" ht="15.35" customHeight="1">
      <c r="A5960" t="s" s="2">
        <v>10443</v>
      </c>
      <c r="B5960" s="4">
        <v>42697</v>
      </c>
      <c r="C5960" s="5">
        <v>10</v>
      </c>
      <c r="D5960" s="5">
        <v>14</v>
      </c>
      <c r="E5960" s="5">
        <v>18</v>
      </c>
      <c r="F5960" t="s" s="2">
        <v>9209</v>
      </c>
      <c r="G5960" t="s" s="2">
        <v>9293</v>
      </c>
      <c r="H5960" s="5">
        <v>787</v>
      </c>
      <c r="I5960" t="s" s="2">
        <v>21</v>
      </c>
      <c r="J5960" t="s" s="2">
        <v>9204</v>
      </c>
      <c r="K5960" s="6"/>
      <c r="L5960" s="6"/>
      <c r="M5960" s="6"/>
      <c r="N5960" s="6"/>
      <c r="O5960" t="s" s="2">
        <v>25</v>
      </c>
      <c r="P5960" s="6"/>
      <c r="Q5960" t="s" s="2">
        <v>9295</v>
      </c>
      <c r="R5960" t="s" s="2">
        <f>_xlfn.IFERROR(INDEX('model_byCAP'!$D$2:$D$377,MATCH(Q5960,'model_byCAP'!$A$2:$A$377,0)),0)</f>
        <v>8430</v>
      </c>
    </row>
    <row r="5961" ht="15.35" customHeight="1">
      <c r="A5961" t="s" s="2">
        <v>10444</v>
      </c>
      <c r="B5961" s="4">
        <v>42698</v>
      </c>
      <c r="C5961" s="5">
        <v>10</v>
      </c>
      <c r="D5961" s="5">
        <v>14</v>
      </c>
      <c r="E5961" s="5">
        <v>18</v>
      </c>
      <c r="F5961" t="s" s="2">
        <v>9209</v>
      </c>
      <c r="G5961" t="s" s="2">
        <v>9293</v>
      </c>
      <c r="H5961" s="5">
        <v>787</v>
      </c>
      <c r="I5961" t="s" s="2">
        <v>21</v>
      </c>
      <c r="J5961" t="s" s="2">
        <v>9204</v>
      </c>
      <c r="K5961" s="6"/>
      <c r="L5961" s="6"/>
      <c r="M5961" s="6"/>
      <c r="N5961" s="6"/>
      <c r="O5961" t="s" s="2">
        <v>25</v>
      </c>
      <c r="P5961" s="6"/>
      <c r="Q5961" t="s" s="2">
        <v>9295</v>
      </c>
      <c r="R5961" t="s" s="2">
        <f>_xlfn.IFERROR(INDEX('model_byCAP'!$D$2:$D$377,MATCH(Q5961,'model_byCAP'!$A$2:$A$377,0)),0)</f>
        <v>8430</v>
      </c>
    </row>
    <row r="5962" ht="15.35" customHeight="1">
      <c r="A5962" t="s" s="2">
        <v>10445</v>
      </c>
      <c r="B5962" s="4">
        <v>42698</v>
      </c>
      <c r="C5962" s="5">
        <v>10</v>
      </c>
      <c r="D5962" s="5">
        <v>14</v>
      </c>
      <c r="E5962" s="5">
        <v>18</v>
      </c>
      <c r="F5962" t="s" s="2">
        <v>9209</v>
      </c>
      <c r="G5962" t="s" s="2">
        <v>9293</v>
      </c>
      <c r="H5962" s="5">
        <v>787</v>
      </c>
      <c r="I5962" t="s" s="2">
        <v>21</v>
      </c>
      <c r="J5962" t="s" s="2">
        <v>9204</v>
      </c>
      <c r="K5962" s="6"/>
      <c r="L5962" s="6"/>
      <c r="M5962" s="6"/>
      <c r="N5962" s="6"/>
      <c r="O5962" t="s" s="2">
        <v>25</v>
      </c>
      <c r="P5962" s="6"/>
      <c r="Q5962" t="s" s="2">
        <v>9295</v>
      </c>
      <c r="R5962" t="s" s="2">
        <f>_xlfn.IFERROR(INDEX('model_byCAP'!$D$2:$D$377,MATCH(Q5962,'model_byCAP'!$A$2:$A$377,0)),0)</f>
        <v>8430</v>
      </c>
    </row>
    <row r="5963" ht="15.35" customHeight="1">
      <c r="A5963" t="s" s="2">
        <v>10446</v>
      </c>
      <c r="B5963" s="4">
        <v>42690</v>
      </c>
      <c r="C5963" s="5">
        <v>10</v>
      </c>
      <c r="D5963" s="5">
        <v>14</v>
      </c>
      <c r="E5963" s="5">
        <v>18</v>
      </c>
      <c r="F5963" t="s" s="2">
        <v>9209</v>
      </c>
      <c r="G5963" t="s" s="2">
        <v>9293</v>
      </c>
      <c r="H5963" s="5">
        <v>787</v>
      </c>
      <c r="I5963" t="s" s="2">
        <v>21</v>
      </c>
      <c r="J5963" t="s" s="2">
        <v>9204</v>
      </c>
      <c r="K5963" s="6"/>
      <c r="L5963" s="6"/>
      <c r="M5963" s="6"/>
      <c r="N5963" s="6"/>
      <c r="O5963" t="s" s="2">
        <v>25</v>
      </c>
      <c r="P5963" s="6"/>
      <c r="Q5963" t="s" s="2">
        <v>9295</v>
      </c>
      <c r="R5963" t="s" s="2">
        <f>_xlfn.IFERROR(INDEX('model_byCAP'!$D$2:$D$377,MATCH(Q5963,'model_byCAP'!$A$2:$A$377,0)),0)</f>
        <v>8430</v>
      </c>
    </row>
    <row r="5964" ht="15.35" customHeight="1">
      <c r="A5964" t="s" s="2">
        <v>10447</v>
      </c>
      <c r="B5964" s="4">
        <v>42711</v>
      </c>
      <c r="C5964" s="5">
        <v>10</v>
      </c>
      <c r="D5964" s="5">
        <v>14</v>
      </c>
      <c r="E5964" s="5">
        <v>18</v>
      </c>
      <c r="F5964" t="s" s="2">
        <v>9209</v>
      </c>
      <c r="G5964" t="s" s="2">
        <v>9293</v>
      </c>
      <c r="H5964" s="5">
        <v>787</v>
      </c>
      <c r="I5964" t="s" s="2">
        <v>21</v>
      </c>
      <c r="J5964" t="s" s="2">
        <v>9204</v>
      </c>
      <c r="K5964" s="6"/>
      <c r="L5964" s="6"/>
      <c r="M5964" s="6"/>
      <c r="N5964" s="6"/>
      <c r="O5964" t="s" s="2">
        <v>25</v>
      </c>
      <c r="P5964" s="6"/>
      <c r="Q5964" t="s" s="2">
        <v>9295</v>
      </c>
      <c r="R5964" t="s" s="2">
        <f>_xlfn.IFERROR(INDEX('model_byCAP'!$D$2:$D$377,MATCH(Q5964,'model_byCAP'!$A$2:$A$377,0)),0)</f>
        <v>8430</v>
      </c>
    </row>
    <row r="5965" ht="15.35" customHeight="1">
      <c r="A5965" t="s" s="2">
        <v>10448</v>
      </c>
      <c r="B5965" s="4">
        <v>42726</v>
      </c>
      <c r="C5965" s="5">
        <v>10</v>
      </c>
      <c r="D5965" s="5">
        <v>14</v>
      </c>
      <c r="E5965" s="5">
        <v>18</v>
      </c>
      <c r="F5965" t="s" s="2">
        <v>9209</v>
      </c>
      <c r="G5965" t="s" s="2">
        <v>9293</v>
      </c>
      <c r="H5965" s="5">
        <v>787</v>
      </c>
      <c r="I5965" t="s" s="2">
        <v>21</v>
      </c>
      <c r="J5965" t="s" s="2">
        <v>9204</v>
      </c>
      <c r="K5965" s="6"/>
      <c r="L5965" s="6"/>
      <c r="M5965" s="6"/>
      <c r="N5965" s="6"/>
      <c r="O5965" t="s" s="2">
        <v>25</v>
      </c>
      <c r="P5965" s="6"/>
      <c r="Q5965" t="s" s="2">
        <v>9295</v>
      </c>
      <c r="R5965" t="s" s="2">
        <f>_xlfn.IFERROR(INDEX('model_byCAP'!$D$2:$D$377,MATCH(Q5965,'model_byCAP'!$A$2:$A$377,0)),0)</f>
        <v>8430</v>
      </c>
    </row>
    <row r="5966" ht="15.35" customHeight="1">
      <c r="A5966" t="s" s="2">
        <v>10449</v>
      </c>
      <c r="B5966" s="4">
        <v>43039</v>
      </c>
      <c r="C5966" s="5">
        <v>10</v>
      </c>
      <c r="D5966" s="5">
        <v>13</v>
      </c>
      <c r="E5966" s="5">
        <v>18.5</v>
      </c>
      <c r="F5966" t="s" s="2">
        <v>9471</v>
      </c>
      <c r="G5966" t="s" s="2">
        <v>9606</v>
      </c>
      <c r="H5966" s="5">
        <v>787</v>
      </c>
      <c r="I5966" t="s" s="2">
        <v>21</v>
      </c>
      <c r="J5966" t="s" s="2">
        <v>9204</v>
      </c>
      <c r="K5966" s="6"/>
      <c r="L5966" s="6"/>
      <c r="M5966" s="6"/>
      <c r="N5966" s="6"/>
      <c r="O5966" t="s" s="2">
        <v>25</v>
      </c>
      <c r="P5966" s="6"/>
      <c r="Q5966" t="s" s="2">
        <v>9607</v>
      </c>
      <c r="R5966" s="5">
        <f>_xlfn.IFERROR(INDEX('model_byCAP'!$D$2:$D$377,MATCH(Q5966,'model_byCAP'!$A$2:$A$377,0)),0)</f>
        <v>0</v>
      </c>
    </row>
    <row r="5967" ht="15.35" customHeight="1">
      <c r="A5967" t="s" s="2">
        <v>10450</v>
      </c>
      <c r="B5967" s="4">
        <v>42716</v>
      </c>
      <c r="C5967" s="5">
        <v>10</v>
      </c>
      <c r="D5967" s="5">
        <v>14</v>
      </c>
      <c r="E5967" s="5">
        <v>18</v>
      </c>
      <c r="F5967" t="s" s="2">
        <v>9209</v>
      </c>
      <c r="G5967" t="s" s="2">
        <v>9293</v>
      </c>
      <c r="H5967" s="5">
        <v>787</v>
      </c>
      <c r="I5967" t="s" s="2">
        <v>21</v>
      </c>
      <c r="J5967" t="s" s="2">
        <v>9204</v>
      </c>
      <c r="K5967" s="6"/>
      <c r="L5967" s="6"/>
      <c r="M5967" s="6"/>
      <c r="N5967" s="6"/>
      <c r="O5967" t="s" s="2">
        <v>25</v>
      </c>
      <c r="P5967" s="6"/>
      <c r="Q5967" t="s" s="2">
        <v>9295</v>
      </c>
      <c r="R5967" t="s" s="2">
        <f>_xlfn.IFERROR(INDEX('model_byCAP'!$D$2:$D$377,MATCH(Q5967,'model_byCAP'!$A$2:$A$377,0)),0)</f>
        <v>8430</v>
      </c>
    </row>
    <row r="5968" ht="15.35" customHeight="1">
      <c r="A5968" t="s" s="2">
        <v>10451</v>
      </c>
      <c r="B5968" s="4">
        <v>42753</v>
      </c>
      <c r="C5968" s="5">
        <v>10</v>
      </c>
      <c r="D5968" s="5">
        <v>14</v>
      </c>
      <c r="E5968" s="5">
        <v>18</v>
      </c>
      <c r="F5968" t="s" s="2">
        <v>9209</v>
      </c>
      <c r="G5968" t="s" s="2">
        <v>9293</v>
      </c>
      <c r="H5968" s="5">
        <v>787</v>
      </c>
      <c r="I5968" t="s" s="2">
        <v>21</v>
      </c>
      <c r="J5968" t="s" s="2">
        <v>9204</v>
      </c>
      <c r="K5968" s="6"/>
      <c r="L5968" s="6"/>
      <c r="M5968" s="6"/>
      <c r="N5968" s="6"/>
      <c r="O5968" t="s" s="2">
        <v>25</v>
      </c>
      <c r="P5968" s="6"/>
      <c r="Q5968" t="s" s="2">
        <v>9295</v>
      </c>
      <c r="R5968" t="s" s="2">
        <f>_xlfn.IFERROR(INDEX('model_byCAP'!$D$2:$D$377,MATCH(Q5968,'model_byCAP'!$A$2:$A$377,0)),0)</f>
        <v>8430</v>
      </c>
    </row>
    <row r="5969" ht="15.35" customHeight="1">
      <c r="A5969" t="s" s="2">
        <v>10452</v>
      </c>
      <c r="B5969" s="4">
        <v>42717</v>
      </c>
      <c r="C5969" s="5">
        <v>10</v>
      </c>
      <c r="D5969" s="5">
        <v>14</v>
      </c>
      <c r="E5969" s="5">
        <v>18</v>
      </c>
      <c r="F5969" t="s" s="2">
        <v>9209</v>
      </c>
      <c r="G5969" t="s" s="2">
        <v>9293</v>
      </c>
      <c r="H5969" s="5">
        <v>787</v>
      </c>
      <c r="I5969" t="s" s="2">
        <v>21</v>
      </c>
      <c r="J5969" t="s" s="2">
        <v>9204</v>
      </c>
      <c r="K5969" s="6"/>
      <c r="L5969" s="6"/>
      <c r="M5969" s="6"/>
      <c r="N5969" s="6"/>
      <c r="O5969" t="s" s="2">
        <v>25</v>
      </c>
      <c r="P5969" s="6"/>
      <c r="Q5969" t="s" s="2">
        <v>9295</v>
      </c>
      <c r="R5969" t="s" s="2">
        <f>_xlfn.IFERROR(INDEX('model_byCAP'!$D$2:$D$377,MATCH(Q5969,'model_byCAP'!$A$2:$A$377,0)),0)</f>
        <v>8430</v>
      </c>
    </row>
    <row r="5970" ht="15.35" customHeight="1">
      <c r="A5970" t="s" s="2">
        <v>10453</v>
      </c>
      <c r="B5970" s="4">
        <v>42726</v>
      </c>
      <c r="C5970" s="5">
        <v>10</v>
      </c>
      <c r="D5970" s="5">
        <v>14</v>
      </c>
      <c r="E5970" s="5">
        <v>18</v>
      </c>
      <c r="F5970" t="s" s="2">
        <v>9209</v>
      </c>
      <c r="G5970" t="s" s="2">
        <v>9293</v>
      </c>
      <c r="H5970" s="5">
        <v>787</v>
      </c>
      <c r="I5970" t="s" s="2">
        <v>21</v>
      </c>
      <c r="J5970" t="s" s="2">
        <v>9204</v>
      </c>
      <c r="K5970" s="6"/>
      <c r="L5970" s="6"/>
      <c r="M5970" s="6"/>
      <c r="N5970" s="6"/>
      <c r="O5970" t="s" s="2">
        <v>25</v>
      </c>
      <c r="P5970" s="6"/>
      <c r="Q5970" t="s" s="2">
        <v>9295</v>
      </c>
      <c r="R5970" t="s" s="2">
        <f>_xlfn.IFERROR(INDEX('model_byCAP'!$D$2:$D$377,MATCH(Q5970,'model_byCAP'!$A$2:$A$377,0)),0)</f>
        <v>8430</v>
      </c>
    </row>
    <row r="5971" ht="15.35" customHeight="1">
      <c r="A5971" t="s" s="2">
        <v>10454</v>
      </c>
      <c r="B5971" s="4">
        <v>42762</v>
      </c>
      <c r="C5971" s="5">
        <v>10</v>
      </c>
      <c r="D5971" s="5">
        <v>7.1</v>
      </c>
      <c r="E5971" s="5">
        <v>21.4</v>
      </c>
      <c r="F5971" t="s" s="2">
        <v>42</v>
      </c>
      <c r="G5971" t="s" s="2">
        <v>42</v>
      </c>
      <c r="H5971" s="5">
        <v>787</v>
      </c>
      <c r="I5971" t="s" s="2">
        <v>21</v>
      </c>
      <c r="J5971" t="s" s="2">
        <v>9204</v>
      </c>
      <c r="K5971" s="6"/>
      <c r="L5971" s="6"/>
      <c r="M5971" s="6"/>
      <c r="N5971" s="6"/>
      <c r="O5971" t="s" s="2">
        <v>25</v>
      </c>
      <c r="P5971" s="6"/>
      <c r="Q5971" t="s" s="2">
        <v>43</v>
      </c>
      <c r="R5971" s="5">
        <f>_xlfn.IFERROR(INDEX('model_byCAP'!$D$2:$D$377,MATCH(Q5971,'model_byCAP'!$A$2:$A$377,0)),0)</f>
        <v>0</v>
      </c>
    </row>
    <row r="5972" ht="15.35" customHeight="1">
      <c r="A5972" t="s" s="2">
        <v>10455</v>
      </c>
      <c r="B5972" s="4">
        <v>42816</v>
      </c>
      <c r="C5972" s="5">
        <v>10</v>
      </c>
      <c r="D5972" s="5">
        <v>13</v>
      </c>
      <c r="E5972" s="5">
        <v>18.2</v>
      </c>
      <c r="F5972" t="s" s="2">
        <v>9471</v>
      </c>
      <c r="G5972" t="s" s="2">
        <v>9606</v>
      </c>
      <c r="H5972" s="5">
        <v>787</v>
      </c>
      <c r="I5972" t="s" s="2">
        <v>21</v>
      </c>
      <c r="J5972" t="s" s="2">
        <v>9204</v>
      </c>
      <c r="K5972" s="6"/>
      <c r="L5972" s="6"/>
      <c r="M5972" s="6"/>
      <c r="N5972" s="6"/>
      <c r="O5972" t="s" s="2">
        <v>25</v>
      </c>
      <c r="P5972" s="6"/>
      <c r="Q5972" t="s" s="2">
        <v>9607</v>
      </c>
      <c r="R5972" s="5">
        <f>_xlfn.IFERROR(INDEX('model_byCAP'!$D$2:$D$377,MATCH(Q5972,'model_byCAP'!$A$2:$A$377,0)),0)</f>
        <v>0</v>
      </c>
    </row>
    <row r="5973" ht="15.35" customHeight="1">
      <c r="A5973" t="s" s="2">
        <v>10456</v>
      </c>
      <c r="B5973" s="4">
        <v>42811</v>
      </c>
      <c r="C5973" s="5">
        <v>10</v>
      </c>
      <c r="D5973" s="5">
        <v>7.1</v>
      </c>
      <c r="E5973" s="5">
        <v>21.4</v>
      </c>
      <c r="F5973" t="s" s="2">
        <v>42</v>
      </c>
      <c r="G5973" t="s" s="2">
        <v>42</v>
      </c>
      <c r="H5973" s="5">
        <v>787</v>
      </c>
      <c r="I5973" t="s" s="2">
        <v>21</v>
      </c>
      <c r="J5973" t="s" s="2">
        <v>9204</v>
      </c>
      <c r="K5973" s="6"/>
      <c r="L5973" s="6"/>
      <c r="M5973" s="6"/>
      <c r="N5973" s="6"/>
      <c r="O5973" t="s" s="2">
        <v>25</v>
      </c>
      <c r="P5973" s="6"/>
      <c r="Q5973" t="s" s="2">
        <v>43</v>
      </c>
      <c r="R5973" s="5">
        <f>_xlfn.IFERROR(INDEX('model_byCAP'!$D$2:$D$377,MATCH(Q5973,'model_byCAP'!$A$2:$A$377,0)),0)</f>
        <v>0</v>
      </c>
    </row>
    <row r="5974" ht="15.35" customHeight="1">
      <c r="A5974" t="s" s="2">
        <v>10457</v>
      </c>
      <c r="B5974" s="4">
        <v>42831</v>
      </c>
      <c r="C5974" s="5">
        <v>10</v>
      </c>
      <c r="D5974" s="5">
        <v>7.1</v>
      </c>
      <c r="E5974" s="5">
        <v>21.4</v>
      </c>
      <c r="F5974" t="s" s="2">
        <v>42</v>
      </c>
      <c r="G5974" t="s" s="2">
        <v>42</v>
      </c>
      <c r="H5974" s="5">
        <v>787</v>
      </c>
      <c r="I5974" t="s" s="2">
        <v>21</v>
      </c>
      <c r="J5974" t="s" s="2">
        <v>9204</v>
      </c>
      <c r="K5974" s="6"/>
      <c r="L5974" s="6"/>
      <c r="M5974" s="6"/>
      <c r="N5974" s="6"/>
      <c r="O5974" t="s" s="2">
        <v>25</v>
      </c>
      <c r="P5974" s="6"/>
      <c r="Q5974" t="s" s="2">
        <v>43</v>
      </c>
      <c r="R5974" s="5">
        <f>_xlfn.IFERROR(INDEX('model_byCAP'!$D$2:$D$377,MATCH(Q5974,'model_byCAP'!$A$2:$A$377,0)),0)</f>
        <v>0</v>
      </c>
    </row>
    <row r="5975" ht="15.35" customHeight="1">
      <c r="A5975" t="s" s="2">
        <v>10458</v>
      </c>
      <c r="B5975" s="4">
        <v>42893</v>
      </c>
      <c r="C5975" s="5">
        <v>10</v>
      </c>
      <c r="D5975" s="5">
        <v>14</v>
      </c>
      <c r="E5975" s="5">
        <v>18</v>
      </c>
      <c r="F5975" t="s" s="2">
        <v>9209</v>
      </c>
      <c r="G5975" t="s" s="2">
        <v>9293</v>
      </c>
      <c r="H5975" s="5">
        <v>787</v>
      </c>
      <c r="I5975" t="s" s="2">
        <v>21</v>
      </c>
      <c r="J5975" t="s" s="2">
        <v>9204</v>
      </c>
      <c r="K5975" s="6"/>
      <c r="L5975" s="6"/>
      <c r="M5975" s="6"/>
      <c r="N5975" s="6"/>
      <c r="O5975" t="s" s="2">
        <v>25</v>
      </c>
      <c r="P5975" s="6"/>
      <c r="Q5975" t="s" s="2">
        <v>9295</v>
      </c>
      <c r="R5975" t="s" s="2">
        <f>_xlfn.IFERROR(INDEX('model_byCAP'!$D$2:$D$377,MATCH(Q5975,'model_byCAP'!$A$2:$A$377,0)),0)</f>
        <v>8430</v>
      </c>
    </row>
    <row r="5976" ht="15.35" customHeight="1">
      <c r="A5976" t="s" s="2">
        <v>10459</v>
      </c>
      <c r="B5976" s="4">
        <v>42895</v>
      </c>
      <c r="C5976" s="5">
        <v>10</v>
      </c>
      <c r="D5976" s="5">
        <v>14</v>
      </c>
      <c r="E5976" s="5">
        <v>18</v>
      </c>
      <c r="F5976" t="s" s="2">
        <v>9209</v>
      </c>
      <c r="G5976" t="s" s="2">
        <v>9293</v>
      </c>
      <c r="H5976" s="5">
        <v>787</v>
      </c>
      <c r="I5976" t="s" s="2">
        <v>21</v>
      </c>
      <c r="J5976" t="s" s="2">
        <v>9204</v>
      </c>
      <c r="K5976" s="6"/>
      <c r="L5976" s="6"/>
      <c r="M5976" s="6"/>
      <c r="N5976" s="6"/>
      <c r="O5976" t="s" s="2">
        <v>25</v>
      </c>
      <c r="P5976" s="6"/>
      <c r="Q5976" t="s" s="2">
        <v>9295</v>
      </c>
      <c r="R5976" t="s" s="2">
        <f>_xlfn.IFERROR(INDEX('model_byCAP'!$D$2:$D$377,MATCH(Q5976,'model_byCAP'!$A$2:$A$377,0)),0)</f>
        <v>8430</v>
      </c>
    </row>
    <row r="5977" ht="15.35" customHeight="1">
      <c r="A5977" t="s" s="2">
        <v>10460</v>
      </c>
      <c r="B5977" s="4">
        <v>42921</v>
      </c>
      <c r="C5977" s="5">
        <v>10</v>
      </c>
      <c r="D5977" s="5">
        <v>7.1</v>
      </c>
      <c r="E5977" s="5">
        <v>21.4</v>
      </c>
      <c r="F5977" t="s" s="2">
        <v>42</v>
      </c>
      <c r="G5977" t="s" s="2">
        <v>42</v>
      </c>
      <c r="H5977" s="5">
        <v>787</v>
      </c>
      <c r="I5977" t="s" s="2">
        <v>21</v>
      </c>
      <c r="J5977" t="s" s="2">
        <v>9204</v>
      </c>
      <c r="K5977" s="6"/>
      <c r="L5977" s="6"/>
      <c r="M5977" s="6"/>
      <c r="N5977" s="6"/>
      <c r="O5977" t="s" s="2">
        <v>25</v>
      </c>
      <c r="P5977" s="6"/>
      <c r="Q5977" t="s" s="2">
        <v>43</v>
      </c>
      <c r="R5977" s="5">
        <f>_xlfn.IFERROR(INDEX('model_byCAP'!$D$2:$D$377,MATCH(Q5977,'model_byCAP'!$A$2:$A$377,0)),0)</f>
        <v>0</v>
      </c>
    </row>
    <row r="5978" ht="15.35" customHeight="1">
      <c r="A5978" t="s" s="2">
        <v>10461</v>
      </c>
      <c r="B5978" s="4">
        <v>42969</v>
      </c>
      <c r="C5978" s="5">
        <v>10</v>
      </c>
      <c r="D5978" s="5">
        <v>14</v>
      </c>
      <c r="E5978" s="5">
        <v>18</v>
      </c>
      <c r="F5978" t="s" s="2">
        <v>9209</v>
      </c>
      <c r="G5978" t="s" s="2">
        <v>9293</v>
      </c>
      <c r="H5978" s="5">
        <v>787</v>
      </c>
      <c r="I5978" t="s" s="2">
        <v>21</v>
      </c>
      <c r="J5978" t="s" s="2">
        <v>9204</v>
      </c>
      <c r="K5978" s="6"/>
      <c r="L5978" s="6"/>
      <c r="M5978" s="6"/>
      <c r="N5978" s="6"/>
      <c r="O5978" t="s" s="2">
        <v>25</v>
      </c>
      <c r="P5978" s="6"/>
      <c r="Q5978" t="s" s="2">
        <v>9295</v>
      </c>
      <c r="R5978" t="s" s="2">
        <f>_xlfn.IFERROR(INDEX('model_byCAP'!$D$2:$D$377,MATCH(Q5978,'model_byCAP'!$A$2:$A$377,0)),0)</f>
        <v>8430</v>
      </c>
    </row>
    <row r="5979" ht="15.35" customHeight="1">
      <c r="A5979" t="s" s="2">
        <v>10462</v>
      </c>
      <c r="B5979" s="4">
        <v>42969</v>
      </c>
      <c r="C5979" s="5">
        <v>10</v>
      </c>
      <c r="D5979" s="5">
        <v>14</v>
      </c>
      <c r="E5979" s="5">
        <v>18</v>
      </c>
      <c r="F5979" t="s" s="2">
        <v>9209</v>
      </c>
      <c r="G5979" t="s" s="2">
        <v>9293</v>
      </c>
      <c r="H5979" s="5">
        <v>787</v>
      </c>
      <c r="I5979" t="s" s="2">
        <v>21</v>
      </c>
      <c r="J5979" t="s" s="2">
        <v>9204</v>
      </c>
      <c r="K5979" s="6"/>
      <c r="L5979" s="6"/>
      <c r="M5979" s="6"/>
      <c r="N5979" s="6"/>
      <c r="O5979" t="s" s="2">
        <v>25</v>
      </c>
      <c r="P5979" s="6"/>
      <c r="Q5979" t="s" s="2">
        <v>9295</v>
      </c>
      <c r="R5979" t="s" s="2">
        <f>_xlfn.IFERROR(INDEX('model_byCAP'!$D$2:$D$377,MATCH(Q5979,'model_byCAP'!$A$2:$A$377,0)),0)</f>
        <v>8430</v>
      </c>
    </row>
    <row r="5980" ht="15.35" customHeight="1">
      <c r="A5980" t="s" s="2">
        <v>10463</v>
      </c>
      <c r="B5980" s="4">
        <v>42983</v>
      </c>
      <c r="C5980" s="5">
        <v>10</v>
      </c>
      <c r="D5980" s="5">
        <v>14</v>
      </c>
      <c r="E5980" s="5">
        <v>18</v>
      </c>
      <c r="F5980" t="s" s="2">
        <v>9209</v>
      </c>
      <c r="G5980" t="s" s="2">
        <v>9293</v>
      </c>
      <c r="H5980" s="5">
        <v>787</v>
      </c>
      <c r="I5980" t="s" s="2">
        <v>21</v>
      </c>
      <c r="J5980" t="s" s="2">
        <v>9204</v>
      </c>
      <c r="K5980" s="6"/>
      <c r="L5980" s="6"/>
      <c r="M5980" s="6"/>
      <c r="N5980" s="6"/>
      <c r="O5980" t="s" s="2">
        <v>25</v>
      </c>
      <c r="P5980" s="6"/>
      <c r="Q5980" t="s" s="2">
        <v>9295</v>
      </c>
      <c r="R5980" t="s" s="2">
        <f>_xlfn.IFERROR(INDEX('model_byCAP'!$D$2:$D$377,MATCH(Q5980,'model_byCAP'!$A$2:$A$377,0)),0)</f>
        <v>8430</v>
      </c>
    </row>
    <row r="5981" ht="15.35" customHeight="1">
      <c r="A5981" t="s" s="2">
        <v>10464</v>
      </c>
      <c r="B5981" s="4">
        <v>42983</v>
      </c>
      <c r="C5981" s="5">
        <v>10</v>
      </c>
      <c r="D5981" s="5">
        <v>14</v>
      </c>
      <c r="E5981" s="5">
        <v>18</v>
      </c>
      <c r="F5981" t="s" s="2">
        <v>9209</v>
      </c>
      <c r="G5981" t="s" s="2">
        <v>9293</v>
      </c>
      <c r="H5981" s="5">
        <v>787</v>
      </c>
      <c r="I5981" t="s" s="2">
        <v>21</v>
      </c>
      <c r="J5981" t="s" s="2">
        <v>9204</v>
      </c>
      <c r="K5981" s="6"/>
      <c r="L5981" s="6"/>
      <c r="M5981" s="6"/>
      <c r="N5981" s="6"/>
      <c r="O5981" t="s" s="2">
        <v>25</v>
      </c>
      <c r="P5981" s="6"/>
      <c r="Q5981" t="s" s="2">
        <v>9295</v>
      </c>
      <c r="R5981" t="s" s="2">
        <f>_xlfn.IFERROR(INDEX('model_byCAP'!$D$2:$D$377,MATCH(Q5981,'model_byCAP'!$A$2:$A$377,0)),0)</f>
        <v>8430</v>
      </c>
    </row>
    <row r="5982" ht="15.35" customHeight="1">
      <c r="A5982" t="s" s="2">
        <v>10465</v>
      </c>
      <c r="B5982" s="4">
        <v>42995</v>
      </c>
      <c r="C5982" s="5">
        <v>10</v>
      </c>
      <c r="D5982" s="5">
        <v>14</v>
      </c>
      <c r="E5982" s="5">
        <v>18</v>
      </c>
      <c r="F5982" t="s" s="2">
        <v>9209</v>
      </c>
      <c r="G5982" t="s" s="2">
        <v>9293</v>
      </c>
      <c r="H5982" s="5">
        <v>787</v>
      </c>
      <c r="I5982" t="s" s="2">
        <v>21</v>
      </c>
      <c r="J5982" t="s" s="2">
        <v>9204</v>
      </c>
      <c r="K5982" s="6"/>
      <c r="L5982" s="6"/>
      <c r="M5982" s="6"/>
      <c r="N5982" s="6"/>
      <c r="O5982" t="s" s="2">
        <v>25</v>
      </c>
      <c r="P5982" s="6"/>
      <c r="Q5982" t="s" s="2">
        <v>9295</v>
      </c>
      <c r="R5982" t="s" s="2">
        <f>_xlfn.IFERROR(INDEX('model_byCAP'!$D$2:$D$377,MATCH(Q5982,'model_byCAP'!$A$2:$A$377,0)),0)</f>
        <v>8430</v>
      </c>
    </row>
    <row r="5983" ht="15.35" customHeight="1">
      <c r="A5983" t="s" s="2">
        <v>10466</v>
      </c>
      <c r="B5983" s="4">
        <v>42970</v>
      </c>
      <c r="C5983" s="5">
        <v>10</v>
      </c>
      <c r="D5983" s="5">
        <v>14</v>
      </c>
      <c r="E5983" s="5">
        <v>18</v>
      </c>
      <c r="F5983" t="s" s="2">
        <v>9209</v>
      </c>
      <c r="G5983" t="s" s="2">
        <v>9293</v>
      </c>
      <c r="H5983" s="5">
        <v>787</v>
      </c>
      <c r="I5983" t="s" s="2">
        <v>21</v>
      </c>
      <c r="J5983" t="s" s="2">
        <v>9204</v>
      </c>
      <c r="K5983" s="6"/>
      <c r="L5983" s="6"/>
      <c r="M5983" s="6"/>
      <c r="N5983" s="6"/>
      <c r="O5983" t="s" s="2">
        <v>25</v>
      </c>
      <c r="P5983" s="6"/>
      <c r="Q5983" t="s" s="2">
        <v>9295</v>
      </c>
      <c r="R5983" t="s" s="2">
        <f>_xlfn.IFERROR(INDEX('model_byCAP'!$D$2:$D$377,MATCH(Q5983,'model_byCAP'!$A$2:$A$377,0)),0)</f>
        <v>8430</v>
      </c>
    </row>
    <row r="5984" ht="15.35" customHeight="1">
      <c r="A5984" t="s" s="2">
        <v>10467</v>
      </c>
      <c r="B5984" s="4">
        <v>42985</v>
      </c>
      <c r="C5984" s="5">
        <v>10</v>
      </c>
      <c r="D5984" s="5">
        <v>14</v>
      </c>
      <c r="E5984" s="5">
        <v>18</v>
      </c>
      <c r="F5984" t="s" s="2">
        <v>9209</v>
      </c>
      <c r="G5984" t="s" s="2">
        <v>9293</v>
      </c>
      <c r="H5984" s="5">
        <v>787</v>
      </c>
      <c r="I5984" t="s" s="2">
        <v>21</v>
      </c>
      <c r="J5984" t="s" s="2">
        <v>9204</v>
      </c>
      <c r="K5984" s="6"/>
      <c r="L5984" s="6"/>
      <c r="M5984" s="6"/>
      <c r="N5984" s="6"/>
      <c r="O5984" t="s" s="2">
        <v>25</v>
      </c>
      <c r="P5984" s="6"/>
      <c r="Q5984" t="s" s="2">
        <v>9295</v>
      </c>
      <c r="R5984" t="s" s="2">
        <f>_xlfn.IFERROR(INDEX('model_byCAP'!$D$2:$D$377,MATCH(Q5984,'model_byCAP'!$A$2:$A$377,0)),0)</f>
        <v>8430</v>
      </c>
    </row>
    <row r="5985" ht="15.35" customHeight="1">
      <c r="A5985" t="s" s="2">
        <v>10468</v>
      </c>
      <c r="B5985" s="4">
        <v>42992</v>
      </c>
      <c r="C5985" s="5">
        <v>10</v>
      </c>
      <c r="D5985" s="5">
        <v>14</v>
      </c>
      <c r="E5985" s="5">
        <v>18</v>
      </c>
      <c r="F5985" t="s" s="2">
        <v>9209</v>
      </c>
      <c r="G5985" t="s" s="2">
        <v>9293</v>
      </c>
      <c r="H5985" s="5">
        <v>787</v>
      </c>
      <c r="I5985" t="s" s="2">
        <v>21</v>
      </c>
      <c r="J5985" t="s" s="2">
        <v>9204</v>
      </c>
      <c r="K5985" s="6"/>
      <c r="L5985" s="6"/>
      <c r="M5985" s="6"/>
      <c r="N5985" s="6"/>
      <c r="O5985" t="s" s="2">
        <v>25</v>
      </c>
      <c r="P5985" s="6"/>
      <c r="Q5985" t="s" s="2">
        <v>9295</v>
      </c>
      <c r="R5985" t="s" s="2">
        <f>_xlfn.IFERROR(INDEX('model_byCAP'!$D$2:$D$377,MATCH(Q5985,'model_byCAP'!$A$2:$A$377,0)),0)</f>
        <v>8430</v>
      </c>
    </row>
    <row r="5986" ht="15.35" customHeight="1">
      <c r="A5986" t="s" s="2">
        <v>10469</v>
      </c>
      <c r="B5986" s="4">
        <v>43011</v>
      </c>
      <c r="C5986" s="5">
        <v>10</v>
      </c>
      <c r="D5986" s="5">
        <v>14</v>
      </c>
      <c r="E5986" s="5">
        <v>18</v>
      </c>
      <c r="F5986" t="s" s="2">
        <v>9209</v>
      </c>
      <c r="G5986" t="s" s="2">
        <v>9293</v>
      </c>
      <c r="H5986" s="5">
        <v>787</v>
      </c>
      <c r="I5986" t="s" s="2">
        <v>21</v>
      </c>
      <c r="J5986" t="s" s="2">
        <v>9204</v>
      </c>
      <c r="K5986" s="6"/>
      <c r="L5986" s="6"/>
      <c r="M5986" s="6"/>
      <c r="N5986" s="6"/>
      <c r="O5986" t="s" s="2">
        <v>25</v>
      </c>
      <c r="P5986" s="6"/>
      <c r="Q5986" t="s" s="2">
        <v>9295</v>
      </c>
      <c r="R5986" t="s" s="2">
        <f>_xlfn.IFERROR(INDEX('model_byCAP'!$D$2:$D$377,MATCH(Q5986,'model_byCAP'!$A$2:$A$377,0)),0)</f>
        <v>8430</v>
      </c>
    </row>
    <row r="5987" ht="15.35" customHeight="1">
      <c r="A5987" t="s" s="2">
        <v>10470</v>
      </c>
      <c r="B5987" s="4">
        <v>43020</v>
      </c>
      <c r="C5987" s="5">
        <v>10</v>
      </c>
      <c r="D5987" s="5">
        <v>14</v>
      </c>
      <c r="E5987" s="5">
        <v>18</v>
      </c>
      <c r="F5987" t="s" s="2">
        <v>9209</v>
      </c>
      <c r="G5987" t="s" s="2">
        <v>9293</v>
      </c>
      <c r="H5987" s="5">
        <v>787</v>
      </c>
      <c r="I5987" t="s" s="2">
        <v>21</v>
      </c>
      <c r="J5987" t="s" s="2">
        <v>9204</v>
      </c>
      <c r="K5987" s="6"/>
      <c r="L5987" s="6"/>
      <c r="M5987" s="6"/>
      <c r="N5987" s="6"/>
      <c r="O5987" t="s" s="2">
        <v>25</v>
      </c>
      <c r="P5987" s="6"/>
      <c r="Q5987" t="s" s="2">
        <v>9295</v>
      </c>
      <c r="R5987" t="s" s="2">
        <f>_xlfn.IFERROR(INDEX('model_byCAP'!$D$2:$D$377,MATCH(Q5987,'model_byCAP'!$A$2:$A$377,0)),0)</f>
        <v>8430</v>
      </c>
    </row>
    <row r="5988" ht="15.35" customHeight="1">
      <c r="A5988" t="s" s="2">
        <v>10471</v>
      </c>
      <c r="B5988" s="4">
        <v>43034</v>
      </c>
      <c r="C5988" s="5">
        <v>10</v>
      </c>
      <c r="D5988" s="5">
        <v>14</v>
      </c>
      <c r="E5988" s="5">
        <v>18</v>
      </c>
      <c r="F5988" t="s" s="2">
        <v>9209</v>
      </c>
      <c r="G5988" t="s" s="2">
        <v>9293</v>
      </c>
      <c r="H5988" s="5">
        <v>787</v>
      </c>
      <c r="I5988" t="s" s="2">
        <v>21</v>
      </c>
      <c r="J5988" t="s" s="2">
        <v>9204</v>
      </c>
      <c r="K5988" s="6"/>
      <c r="L5988" s="6"/>
      <c r="M5988" s="6"/>
      <c r="N5988" s="6"/>
      <c r="O5988" t="s" s="2">
        <v>25</v>
      </c>
      <c r="P5988" s="6"/>
      <c r="Q5988" t="s" s="2">
        <v>9295</v>
      </c>
      <c r="R5988" t="s" s="2">
        <f>_xlfn.IFERROR(INDEX('model_byCAP'!$D$2:$D$377,MATCH(Q5988,'model_byCAP'!$A$2:$A$377,0)),0)</f>
        <v>8430</v>
      </c>
    </row>
    <row r="5989" ht="15.35" customHeight="1">
      <c r="A5989" t="s" s="2">
        <v>10472</v>
      </c>
      <c r="B5989" s="4">
        <v>43035</v>
      </c>
      <c r="C5989" s="5">
        <v>10</v>
      </c>
      <c r="D5989" s="5">
        <v>13</v>
      </c>
      <c r="E5989" s="5">
        <v>18</v>
      </c>
      <c r="F5989" t="s" s="2">
        <v>9471</v>
      </c>
      <c r="G5989" t="s" s="2">
        <v>9606</v>
      </c>
      <c r="H5989" s="5">
        <v>787</v>
      </c>
      <c r="I5989" t="s" s="2">
        <v>21</v>
      </c>
      <c r="J5989" t="s" s="2">
        <v>9204</v>
      </c>
      <c r="K5989" s="6"/>
      <c r="L5989" s="6"/>
      <c r="M5989" s="6"/>
      <c r="N5989" s="6"/>
      <c r="O5989" t="s" s="2">
        <v>25</v>
      </c>
      <c r="P5989" s="6"/>
      <c r="Q5989" t="s" s="2">
        <v>9607</v>
      </c>
      <c r="R5989" s="5">
        <f>_xlfn.IFERROR(INDEX('model_byCAP'!$D$2:$D$377,MATCH(Q5989,'model_byCAP'!$A$2:$A$377,0)),0)</f>
        <v>0</v>
      </c>
    </row>
    <row r="5990" ht="15.35" customHeight="1">
      <c r="A5990" t="s" s="2">
        <v>10473</v>
      </c>
      <c r="B5990" s="4">
        <v>43165</v>
      </c>
      <c r="C5990" s="5">
        <v>10</v>
      </c>
      <c r="D5990" s="5">
        <v>14</v>
      </c>
      <c r="E5990" s="5">
        <v>18</v>
      </c>
      <c r="F5990" t="s" s="2">
        <v>9209</v>
      </c>
      <c r="G5990" t="s" s="2">
        <v>9293</v>
      </c>
      <c r="H5990" s="5">
        <v>787</v>
      </c>
      <c r="I5990" t="s" s="2">
        <v>21</v>
      </c>
      <c r="J5990" t="s" s="2">
        <v>9204</v>
      </c>
      <c r="K5990" s="6"/>
      <c r="L5990" s="6"/>
      <c r="M5990" s="6"/>
      <c r="N5990" s="6"/>
      <c r="O5990" t="s" s="2">
        <v>25</v>
      </c>
      <c r="P5990" s="6"/>
      <c r="Q5990" t="s" s="2">
        <v>9295</v>
      </c>
      <c r="R5990" t="s" s="2">
        <f>_xlfn.IFERROR(INDEX('model_byCAP'!$D$2:$D$377,MATCH(Q5990,'model_byCAP'!$A$2:$A$377,0)),0)</f>
        <v>8430</v>
      </c>
    </row>
    <row r="5991" ht="15.35" customHeight="1">
      <c r="A5991" t="s" s="2">
        <v>10474</v>
      </c>
      <c r="B5991" s="4">
        <v>43179</v>
      </c>
      <c r="C5991" s="5">
        <v>10</v>
      </c>
      <c r="D5991" s="5">
        <v>7.1</v>
      </c>
      <c r="E5991" s="5">
        <v>21</v>
      </c>
      <c r="F5991" t="s" s="2">
        <v>9599</v>
      </c>
      <c r="G5991" t="s" s="2">
        <v>9787</v>
      </c>
      <c r="H5991" s="5">
        <v>787</v>
      </c>
      <c r="I5991" t="s" s="2">
        <v>21</v>
      </c>
      <c r="J5991" t="s" s="2">
        <v>9204</v>
      </c>
      <c r="K5991" s="6"/>
      <c r="L5991" s="6"/>
      <c r="M5991" s="6"/>
      <c r="N5991" s="6"/>
      <c r="O5991" t="s" s="2">
        <v>25</v>
      </c>
      <c r="P5991" s="6"/>
      <c r="Q5991" t="s" s="2">
        <v>9788</v>
      </c>
      <c r="R5991" s="5">
        <f>_xlfn.IFERROR(INDEX('model_byCAP'!$D$2:$D$377,MATCH(Q5991,'model_byCAP'!$A$2:$A$377,0)),0)</f>
        <v>0</v>
      </c>
    </row>
    <row r="5992" ht="15.35" customHeight="1">
      <c r="A5992" t="s" s="2">
        <v>10475</v>
      </c>
      <c r="B5992" s="4">
        <v>43300</v>
      </c>
      <c r="C5992" s="5">
        <v>10</v>
      </c>
      <c r="D5992" s="5">
        <v>14</v>
      </c>
      <c r="E5992" s="5">
        <v>18</v>
      </c>
      <c r="F5992" t="s" s="2">
        <v>9209</v>
      </c>
      <c r="G5992" t="s" s="2">
        <v>9293</v>
      </c>
      <c r="H5992" s="5">
        <v>787</v>
      </c>
      <c r="I5992" t="s" s="2">
        <v>21</v>
      </c>
      <c r="J5992" t="s" s="2">
        <v>9204</v>
      </c>
      <c r="K5992" s="6"/>
      <c r="L5992" s="6"/>
      <c r="M5992" s="6"/>
      <c r="N5992" s="6"/>
      <c r="O5992" t="s" s="2">
        <v>25</v>
      </c>
      <c r="P5992" s="6"/>
      <c r="Q5992" t="s" s="2">
        <v>9295</v>
      </c>
      <c r="R5992" t="s" s="2">
        <f>_xlfn.IFERROR(INDEX('model_byCAP'!$D$2:$D$377,MATCH(Q5992,'model_byCAP'!$A$2:$A$377,0)),0)</f>
        <v>8430</v>
      </c>
    </row>
    <row r="5993" ht="15.35" customHeight="1">
      <c r="A5993" t="s" s="2">
        <v>10476</v>
      </c>
      <c r="B5993" s="4">
        <v>43300</v>
      </c>
      <c r="C5993" s="5">
        <v>10</v>
      </c>
      <c r="D5993" s="5">
        <v>7.1</v>
      </c>
      <c r="E5993" s="5">
        <v>21.4</v>
      </c>
      <c r="F5993" t="s" s="2">
        <v>42</v>
      </c>
      <c r="G5993" t="s" s="2">
        <v>42</v>
      </c>
      <c r="H5993" s="5">
        <v>787</v>
      </c>
      <c r="I5993" t="s" s="2">
        <v>21</v>
      </c>
      <c r="J5993" t="s" s="2">
        <v>9204</v>
      </c>
      <c r="K5993" s="6"/>
      <c r="L5993" s="6"/>
      <c r="M5993" s="6"/>
      <c r="N5993" s="6"/>
      <c r="O5993" t="s" s="2">
        <v>25</v>
      </c>
      <c r="P5993" s="6"/>
      <c r="Q5993" t="s" s="2">
        <v>43</v>
      </c>
      <c r="R5993" s="5">
        <f>_xlfn.IFERROR(INDEX('model_byCAP'!$D$2:$D$377,MATCH(Q5993,'model_byCAP'!$A$2:$A$377,0)),0)</f>
        <v>0</v>
      </c>
    </row>
    <row r="5994" ht="15.35" customHeight="1">
      <c r="A5994" t="s" s="2">
        <v>10477</v>
      </c>
      <c r="B5994" s="4">
        <v>43515</v>
      </c>
      <c r="C5994" s="5">
        <v>10</v>
      </c>
      <c r="D5994" s="5">
        <v>13</v>
      </c>
      <c r="E5994" s="5">
        <v>18.2</v>
      </c>
      <c r="F5994" t="s" s="2">
        <v>9471</v>
      </c>
      <c r="G5994" t="s" s="2">
        <v>9606</v>
      </c>
      <c r="H5994" s="5">
        <v>787</v>
      </c>
      <c r="I5994" t="s" s="2">
        <v>21</v>
      </c>
      <c r="J5994" t="s" s="2">
        <v>9204</v>
      </c>
      <c r="K5994" s="6"/>
      <c r="L5994" s="6"/>
      <c r="M5994" s="6"/>
      <c r="N5994" s="6"/>
      <c r="O5994" t="s" s="2">
        <v>25</v>
      </c>
      <c r="P5994" s="6"/>
      <c r="Q5994" t="s" s="2">
        <v>9607</v>
      </c>
      <c r="R5994" s="5">
        <f>_xlfn.IFERROR(INDEX('model_byCAP'!$D$2:$D$377,MATCH(Q5994,'model_byCAP'!$A$2:$A$377,0)),0)</f>
        <v>0</v>
      </c>
    </row>
    <row r="5995" ht="15.35" customHeight="1">
      <c r="A5995" t="s" s="2">
        <v>10478</v>
      </c>
      <c r="B5995" s="4">
        <v>43636</v>
      </c>
      <c r="C5995" s="5">
        <v>10</v>
      </c>
      <c r="D5995" s="5">
        <v>13</v>
      </c>
      <c r="E5995" s="5">
        <v>18.2</v>
      </c>
      <c r="F5995" t="s" s="2">
        <v>9471</v>
      </c>
      <c r="G5995" t="s" s="2">
        <v>9606</v>
      </c>
      <c r="H5995" s="5">
        <v>787</v>
      </c>
      <c r="I5995" t="s" s="2">
        <v>21</v>
      </c>
      <c r="J5995" t="s" s="2">
        <v>9204</v>
      </c>
      <c r="K5995" s="6"/>
      <c r="L5995" s="6"/>
      <c r="M5995" s="6"/>
      <c r="N5995" s="6"/>
      <c r="O5995" t="s" s="2">
        <v>25</v>
      </c>
      <c r="P5995" s="6"/>
      <c r="Q5995" t="s" s="2">
        <v>9607</v>
      </c>
      <c r="R5995" s="5">
        <f>_xlfn.IFERROR(INDEX('model_byCAP'!$D$2:$D$377,MATCH(Q5995,'model_byCAP'!$A$2:$A$377,0)),0)</f>
        <v>0</v>
      </c>
    </row>
    <row r="5996" ht="15.35" customHeight="1">
      <c r="A5996" t="s" s="2">
        <v>10479</v>
      </c>
      <c r="B5996" s="4">
        <v>42213</v>
      </c>
      <c r="C5996" s="5">
        <v>10</v>
      </c>
      <c r="D5996" s="5">
        <v>7.1</v>
      </c>
      <c r="E5996" s="5">
        <v>21</v>
      </c>
      <c r="F5996" t="s" s="2">
        <v>42</v>
      </c>
      <c r="G5996" t="s" s="2">
        <v>42</v>
      </c>
      <c r="H5996" s="5">
        <v>791</v>
      </c>
      <c r="I5996" t="s" s="2">
        <v>1447</v>
      </c>
      <c r="J5996" t="s" s="2">
        <v>9204</v>
      </c>
      <c r="K5996" s="6"/>
      <c r="L5996" s="6"/>
      <c r="M5996" s="5">
        <v>512286.84</v>
      </c>
      <c r="N5996" s="5">
        <v>6256004.85</v>
      </c>
      <c r="O5996" t="s" s="2">
        <v>305</v>
      </c>
      <c r="P5996" s="6"/>
      <c r="Q5996" t="s" s="2">
        <v>43</v>
      </c>
      <c r="R5996" s="5">
        <f>_xlfn.IFERROR(INDEX('model_byCAP'!$D$2:$D$377,MATCH(Q5996,'model_byCAP'!$A$2:$A$377,0)),0)</f>
        <v>0</v>
      </c>
    </row>
    <row r="5997" ht="15.35" customHeight="1">
      <c r="A5997" t="s" s="2">
        <v>10480</v>
      </c>
      <c r="B5997" s="4">
        <v>41974</v>
      </c>
      <c r="C5997" s="5">
        <v>10</v>
      </c>
      <c r="D5997" s="5">
        <v>13</v>
      </c>
      <c r="E5997" s="5">
        <v>19</v>
      </c>
      <c r="F5997" t="s" s="2">
        <v>42</v>
      </c>
      <c r="G5997" t="s" s="2">
        <v>42</v>
      </c>
      <c r="H5997" s="5">
        <v>791</v>
      </c>
      <c r="I5997" t="s" s="2">
        <v>1447</v>
      </c>
      <c r="J5997" t="s" s="2">
        <v>9204</v>
      </c>
      <c r="K5997" s="6"/>
      <c r="L5997" s="6"/>
      <c r="M5997" s="5">
        <v>515059.03</v>
      </c>
      <c r="N5997" s="5">
        <v>6246604.47</v>
      </c>
      <c r="O5997" t="s" s="2">
        <v>305</v>
      </c>
      <c r="P5997" s="6"/>
      <c r="Q5997" t="s" s="2">
        <v>43</v>
      </c>
      <c r="R5997" s="5">
        <f>_xlfn.IFERROR(INDEX('model_byCAP'!$D$2:$D$377,MATCH(Q5997,'model_byCAP'!$A$2:$A$377,0)),0)</f>
        <v>0</v>
      </c>
    </row>
    <row r="5998" ht="15.35" customHeight="1">
      <c r="A5998" t="s" s="2">
        <v>10481</v>
      </c>
      <c r="B5998" s="4">
        <v>42167</v>
      </c>
      <c r="C5998" s="5">
        <v>10</v>
      </c>
      <c r="D5998" s="5">
        <v>13</v>
      </c>
      <c r="E5998" s="5">
        <v>18.2</v>
      </c>
      <c r="F5998" t="s" s="2">
        <v>9471</v>
      </c>
      <c r="G5998" t="s" s="2">
        <v>9606</v>
      </c>
      <c r="H5998" s="5">
        <v>791</v>
      </c>
      <c r="I5998" t="s" s="2">
        <v>1447</v>
      </c>
      <c r="J5998" t="s" s="2">
        <v>9204</v>
      </c>
      <c r="K5998" s="6"/>
      <c r="L5998" s="6"/>
      <c r="M5998" s="5">
        <v>528143.78</v>
      </c>
      <c r="N5998" s="5">
        <v>6263815.87</v>
      </c>
      <c r="O5998" t="s" s="2">
        <v>305</v>
      </c>
      <c r="P5998" s="6"/>
      <c r="Q5998" t="s" s="2">
        <v>9607</v>
      </c>
      <c r="R5998" s="5">
        <f>_xlfn.IFERROR(INDEX('model_byCAP'!$D$2:$D$377,MATCH(Q5998,'model_byCAP'!$A$2:$A$377,0)),0)</f>
        <v>0</v>
      </c>
    </row>
    <row r="5999" ht="15.35" customHeight="1">
      <c r="A5999" t="s" s="2">
        <v>10482</v>
      </c>
      <c r="B5999" s="4">
        <v>42265</v>
      </c>
      <c r="C5999" s="5">
        <v>10</v>
      </c>
      <c r="D5999" s="5">
        <v>13</v>
      </c>
      <c r="E5999" s="5">
        <v>18</v>
      </c>
      <c r="F5999" t="s" s="2">
        <v>9471</v>
      </c>
      <c r="G5999" t="s" s="2">
        <v>9606</v>
      </c>
      <c r="H5999" s="5">
        <v>791</v>
      </c>
      <c r="I5999" t="s" s="2">
        <v>1447</v>
      </c>
      <c r="J5999" t="s" s="2">
        <v>9204</v>
      </c>
      <c r="K5999" s="6"/>
      <c r="L5999" s="6"/>
      <c r="M5999" s="5">
        <v>533461.14</v>
      </c>
      <c r="N5999" s="5">
        <v>6248820.14</v>
      </c>
      <c r="O5999" t="s" s="2">
        <v>305</v>
      </c>
      <c r="P5999" s="6"/>
      <c r="Q5999" t="s" s="2">
        <v>9607</v>
      </c>
      <c r="R5999" s="5">
        <f>_xlfn.IFERROR(INDEX('model_byCAP'!$D$2:$D$377,MATCH(Q5999,'model_byCAP'!$A$2:$A$377,0)),0)</f>
        <v>0</v>
      </c>
    </row>
    <row r="6000" ht="15.35" customHeight="1">
      <c r="A6000" t="s" s="2">
        <v>10483</v>
      </c>
      <c r="B6000" s="4">
        <v>42299</v>
      </c>
      <c r="C6000" s="5">
        <v>10</v>
      </c>
      <c r="D6000" s="5">
        <v>13</v>
      </c>
      <c r="E6000" s="5">
        <v>18.2</v>
      </c>
      <c r="F6000" t="s" s="2">
        <v>9471</v>
      </c>
      <c r="G6000" t="s" s="2">
        <v>9606</v>
      </c>
      <c r="H6000" s="5">
        <v>791</v>
      </c>
      <c r="I6000" t="s" s="2">
        <v>1447</v>
      </c>
      <c r="J6000" t="s" s="2">
        <v>9204</v>
      </c>
      <c r="K6000" s="6"/>
      <c r="L6000" s="6"/>
      <c r="M6000" s="5">
        <v>530095.87</v>
      </c>
      <c r="N6000" s="5">
        <v>6239943.61</v>
      </c>
      <c r="O6000" t="s" s="2">
        <v>305</v>
      </c>
      <c r="P6000" s="6"/>
      <c r="Q6000" t="s" s="2">
        <v>9607</v>
      </c>
      <c r="R6000" s="5">
        <f>_xlfn.IFERROR(INDEX('model_byCAP'!$D$2:$D$377,MATCH(Q6000,'model_byCAP'!$A$2:$A$377,0)),0)</f>
        <v>0</v>
      </c>
    </row>
    <row r="6001" ht="15.35" customHeight="1">
      <c r="A6001" t="s" s="2">
        <v>10484</v>
      </c>
      <c r="B6001" s="4">
        <v>42510</v>
      </c>
      <c r="C6001" s="5">
        <v>10</v>
      </c>
      <c r="D6001" s="5">
        <v>7.1</v>
      </c>
      <c r="E6001" s="5">
        <v>18</v>
      </c>
      <c r="F6001" t="s" s="2">
        <v>42</v>
      </c>
      <c r="G6001" t="s" s="2">
        <v>42</v>
      </c>
      <c r="H6001" s="5">
        <v>791</v>
      </c>
      <c r="I6001" t="s" s="2">
        <v>1447</v>
      </c>
      <c r="J6001" t="s" s="2">
        <v>9204</v>
      </c>
      <c r="K6001" s="6"/>
      <c r="L6001" s="6"/>
      <c r="M6001" s="5">
        <v>529115.66</v>
      </c>
      <c r="N6001" s="5">
        <v>6273262.48</v>
      </c>
      <c r="O6001" t="s" s="2">
        <v>305</v>
      </c>
      <c r="P6001" s="6"/>
      <c r="Q6001" t="s" s="2">
        <v>43</v>
      </c>
      <c r="R6001" s="5">
        <f>_xlfn.IFERROR(INDEX('model_byCAP'!$D$2:$D$377,MATCH(Q6001,'model_byCAP'!$A$2:$A$377,0)),0)</f>
        <v>0</v>
      </c>
    </row>
    <row r="6002" ht="15.35" customHeight="1">
      <c r="A6002" t="s" s="2">
        <v>10485</v>
      </c>
      <c r="B6002" s="4">
        <v>42501</v>
      </c>
      <c r="C6002" s="5">
        <v>10</v>
      </c>
      <c r="D6002" s="5">
        <v>7.1</v>
      </c>
      <c r="E6002" s="5">
        <v>18</v>
      </c>
      <c r="F6002" t="s" s="2">
        <v>42</v>
      </c>
      <c r="G6002" t="s" s="2">
        <v>42</v>
      </c>
      <c r="H6002" s="5">
        <v>791</v>
      </c>
      <c r="I6002" t="s" s="2">
        <v>1447</v>
      </c>
      <c r="J6002" t="s" s="2">
        <v>9204</v>
      </c>
      <c r="K6002" s="6"/>
      <c r="L6002" s="6"/>
      <c r="M6002" s="6"/>
      <c r="N6002" s="6"/>
      <c r="O6002" t="s" s="2">
        <v>25</v>
      </c>
      <c r="P6002" s="6"/>
      <c r="Q6002" t="s" s="2">
        <v>43</v>
      </c>
      <c r="R6002" s="5">
        <f>_xlfn.IFERROR(INDEX('model_byCAP'!$D$2:$D$377,MATCH(Q6002,'model_byCAP'!$A$2:$A$377,0)),0)</f>
        <v>0</v>
      </c>
    </row>
    <row r="6003" ht="15.35" customHeight="1">
      <c r="A6003" t="s" s="2">
        <v>10486</v>
      </c>
      <c r="B6003" s="4">
        <v>42535</v>
      </c>
      <c r="C6003" s="5">
        <v>10</v>
      </c>
      <c r="D6003" s="5">
        <v>7.1</v>
      </c>
      <c r="E6003" s="5">
        <v>18</v>
      </c>
      <c r="F6003" t="s" s="2">
        <v>42</v>
      </c>
      <c r="G6003" t="s" s="2">
        <v>42</v>
      </c>
      <c r="H6003" s="5">
        <v>791</v>
      </c>
      <c r="I6003" t="s" s="2">
        <v>1447</v>
      </c>
      <c r="J6003" t="s" s="2">
        <v>9204</v>
      </c>
      <c r="K6003" s="6"/>
      <c r="L6003" s="6"/>
      <c r="M6003" s="6"/>
      <c r="N6003" s="6"/>
      <c r="O6003" t="s" s="2">
        <v>25</v>
      </c>
      <c r="P6003" s="6"/>
      <c r="Q6003" t="s" s="2">
        <v>43</v>
      </c>
      <c r="R6003" s="5">
        <f>_xlfn.IFERROR(INDEX('model_byCAP'!$D$2:$D$377,MATCH(Q6003,'model_byCAP'!$A$2:$A$377,0)),0)</f>
        <v>0</v>
      </c>
    </row>
    <row r="6004" ht="15.35" customHeight="1">
      <c r="A6004" t="s" s="2">
        <v>10487</v>
      </c>
      <c r="B6004" s="4">
        <v>42695</v>
      </c>
      <c r="C6004" s="5">
        <v>10</v>
      </c>
      <c r="D6004" s="5">
        <v>13</v>
      </c>
      <c r="E6004" s="5">
        <v>18</v>
      </c>
      <c r="F6004" t="s" s="2">
        <v>9471</v>
      </c>
      <c r="G6004" t="s" s="2">
        <v>9606</v>
      </c>
      <c r="H6004" s="5">
        <v>791</v>
      </c>
      <c r="I6004" t="s" s="2">
        <v>1447</v>
      </c>
      <c r="J6004" t="s" s="2">
        <v>9204</v>
      </c>
      <c r="K6004" s="6"/>
      <c r="L6004" s="6"/>
      <c r="M6004" s="6"/>
      <c r="N6004" s="6"/>
      <c r="O6004" t="s" s="2">
        <v>25</v>
      </c>
      <c r="P6004" s="6"/>
      <c r="Q6004" t="s" s="2">
        <v>9607</v>
      </c>
      <c r="R6004" s="5">
        <f>_xlfn.IFERROR(INDEX('model_byCAP'!$D$2:$D$377,MATCH(Q6004,'model_byCAP'!$A$2:$A$377,0)),0)</f>
        <v>0</v>
      </c>
    </row>
    <row r="6005" ht="15.35" customHeight="1">
      <c r="A6005" t="s" s="2">
        <v>10488</v>
      </c>
      <c r="B6005" s="4">
        <v>42796</v>
      </c>
      <c r="C6005" s="5">
        <v>10</v>
      </c>
      <c r="D6005" s="5">
        <v>7</v>
      </c>
      <c r="E6005" s="5">
        <v>18</v>
      </c>
      <c r="F6005" t="s" s="2">
        <v>42</v>
      </c>
      <c r="G6005" t="s" s="2">
        <v>42</v>
      </c>
      <c r="H6005" s="5">
        <v>791</v>
      </c>
      <c r="I6005" t="s" s="2">
        <v>1447</v>
      </c>
      <c r="J6005" t="s" s="2">
        <v>9204</v>
      </c>
      <c r="K6005" s="6"/>
      <c r="L6005" s="6"/>
      <c r="M6005" s="6"/>
      <c r="N6005" s="6"/>
      <c r="O6005" t="s" s="2">
        <v>25</v>
      </c>
      <c r="P6005" s="6"/>
      <c r="Q6005" t="s" s="2">
        <v>43</v>
      </c>
      <c r="R6005" s="5">
        <f>_xlfn.IFERROR(INDEX('model_byCAP'!$D$2:$D$377,MATCH(Q6005,'model_byCAP'!$A$2:$A$377,0)),0)</f>
        <v>0</v>
      </c>
    </row>
    <row r="6006" ht="15.35" customHeight="1">
      <c r="A6006" t="s" s="2">
        <v>10489</v>
      </c>
      <c r="B6006" s="4">
        <v>42324</v>
      </c>
      <c r="C6006" s="5">
        <v>10</v>
      </c>
      <c r="D6006" s="5">
        <v>14</v>
      </c>
      <c r="E6006" s="5">
        <v>18</v>
      </c>
      <c r="F6006" t="s" s="2">
        <v>9209</v>
      </c>
      <c r="G6006" t="s" s="2">
        <v>9210</v>
      </c>
      <c r="H6006" s="5">
        <v>791</v>
      </c>
      <c r="I6006" t="s" s="2">
        <v>1447</v>
      </c>
      <c r="J6006" t="s" s="2">
        <v>9204</v>
      </c>
      <c r="K6006" s="6"/>
      <c r="L6006" s="6"/>
      <c r="M6006" s="5">
        <v>548149.91</v>
      </c>
      <c r="N6006" s="5">
        <v>6261624.51</v>
      </c>
      <c r="O6006" t="s" s="2">
        <v>305</v>
      </c>
      <c r="P6006" s="6"/>
      <c r="Q6006" t="s" s="2">
        <v>9211</v>
      </c>
      <c r="R6006" t="s" s="2">
        <f>_xlfn.IFERROR(INDEX('model_byCAP'!$D$2:$D$377,MATCH(Q6006,'model_byCAP'!$A$2:$A$377,0)),0)</f>
        <v>8430</v>
      </c>
    </row>
    <row r="6007" ht="15.35" customHeight="1">
      <c r="A6007" t="s" s="2">
        <v>10490</v>
      </c>
      <c r="B6007" s="4">
        <v>42279</v>
      </c>
      <c r="C6007" s="5">
        <v>10</v>
      </c>
      <c r="D6007" s="5">
        <v>7.1</v>
      </c>
      <c r="E6007" s="5">
        <v>18</v>
      </c>
      <c r="F6007" t="s" s="2">
        <v>9876</v>
      </c>
      <c r="G6007" t="s" s="2">
        <v>10491</v>
      </c>
      <c r="H6007" s="5">
        <v>791</v>
      </c>
      <c r="I6007" t="s" s="2">
        <v>1447</v>
      </c>
      <c r="J6007" t="s" s="2">
        <v>9204</v>
      </c>
      <c r="K6007" s="6"/>
      <c r="L6007" s="6"/>
      <c r="M6007" s="6"/>
      <c r="N6007" s="6"/>
      <c r="O6007" t="s" s="2">
        <v>25</v>
      </c>
      <c r="P6007" s="6"/>
      <c r="Q6007" t="s" s="2">
        <v>10492</v>
      </c>
      <c r="R6007" s="5">
        <f>_xlfn.IFERROR(INDEX('model_byCAP'!$D$2:$D$377,MATCH(Q6007,'model_byCAP'!$A$2:$A$377,0)),0)</f>
        <v>0</v>
      </c>
    </row>
    <row r="6008" ht="15.35" customHeight="1">
      <c r="A6008" t="s" s="2">
        <v>10493</v>
      </c>
      <c r="B6008" s="4">
        <v>42606</v>
      </c>
      <c r="C6008" s="5">
        <v>10</v>
      </c>
      <c r="D6008" s="5">
        <v>13</v>
      </c>
      <c r="E6008" s="5">
        <v>18.2</v>
      </c>
      <c r="F6008" t="s" s="2">
        <v>9471</v>
      </c>
      <c r="G6008" t="s" s="2">
        <v>9606</v>
      </c>
      <c r="H6008" s="5">
        <v>791</v>
      </c>
      <c r="I6008" t="s" s="2">
        <v>1447</v>
      </c>
      <c r="J6008" t="s" s="2">
        <v>9204</v>
      </c>
      <c r="K6008" s="6"/>
      <c r="L6008" s="6"/>
      <c r="M6008" s="6"/>
      <c r="N6008" s="6"/>
      <c r="O6008" t="s" s="2">
        <v>25</v>
      </c>
      <c r="P6008" s="6"/>
      <c r="Q6008" t="s" s="2">
        <v>9607</v>
      </c>
      <c r="R6008" s="5">
        <f>_xlfn.IFERROR(INDEX('model_byCAP'!$D$2:$D$377,MATCH(Q6008,'model_byCAP'!$A$2:$A$377,0)),0)</f>
        <v>0</v>
      </c>
    </row>
    <row r="6009" ht="15.35" customHeight="1">
      <c r="A6009" t="s" s="2">
        <v>10494</v>
      </c>
      <c r="B6009" s="4">
        <v>41779</v>
      </c>
      <c r="C6009" s="5">
        <v>10</v>
      </c>
      <c r="D6009" s="5">
        <v>7.1</v>
      </c>
      <c r="E6009" s="5">
        <v>21</v>
      </c>
      <c r="F6009" t="s" s="2">
        <v>42</v>
      </c>
      <c r="G6009" t="s" s="2">
        <v>42</v>
      </c>
      <c r="H6009" s="5">
        <v>810</v>
      </c>
      <c r="I6009" t="s" s="2">
        <v>1102</v>
      </c>
      <c r="J6009" t="s" s="2">
        <v>9204</v>
      </c>
      <c r="K6009" s="6"/>
      <c r="L6009" s="6"/>
      <c r="M6009" s="5">
        <v>556787.12</v>
      </c>
      <c r="N6009" s="5">
        <v>6352715.62</v>
      </c>
      <c r="O6009" t="s" s="2">
        <v>305</v>
      </c>
      <c r="P6009" s="6"/>
      <c r="Q6009" t="s" s="2">
        <v>43</v>
      </c>
      <c r="R6009" s="5">
        <f>_xlfn.IFERROR(INDEX('model_byCAP'!$D$2:$D$377,MATCH(Q6009,'model_byCAP'!$A$2:$A$377,0)),0)</f>
        <v>0</v>
      </c>
    </row>
    <row r="6010" ht="15.35" customHeight="1">
      <c r="A6010" t="s" s="2">
        <v>10495</v>
      </c>
      <c r="B6010" s="4">
        <v>41981</v>
      </c>
      <c r="C6010" s="5">
        <v>10</v>
      </c>
      <c r="D6010" s="5">
        <v>7.1</v>
      </c>
      <c r="E6010" s="5">
        <v>21</v>
      </c>
      <c r="F6010" t="s" s="2">
        <v>42</v>
      </c>
      <c r="G6010" t="s" s="2">
        <v>42</v>
      </c>
      <c r="H6010" s="5">
        <v>810</v>
      </c>
      <c r="I6010" t="s" s="2">
        <v>1102</v>
      </c>
      <c r="J6010" t="s" s="2">
        <v>9204</v>
      </c>
      <c r="K6010" s="6"/>
      <c r="L6010" s="6"/>
      <c r="M6010" s="5">
        <v>560600</v>
      </c>
      <c r="N6010" s="5">
        <v>6347316</v>
      </c>
      <c r="O6010" t="s" s="2">
        <v>305</v>
      </c>
      <c r="P6010" s="6"/>
      <c r="Q6010" t="s" s="2">
        <v>43</v>
      </c>
      <c r="R6010" s="5">
        <f>_xlfn.IFERROR(INDEX('model_byCAP'!$D$2:$D$377,MATCH(Q6010,'model_byCAP'!$A$2:$A$377,0)),0)</f>
        <v>0</v>
      </c>
    </row>
    <row r="6011" ht="15.35" customHeight="1">
      <c r="A6011" t="s" s="2">
        <v>10496</v>
      </c>
      <c r="B6011" s="4">
        <v>42025</v>
      </c>
      <c r="C6011" s="5">
        <v>10</v>
      </c>
      <c r="D6011" s="5">
        <v>7.1</v>
      </c>
      <c r="E6011" s="5">
        <v>21</v>
      </c>
      <c r="F6011" t="s" s="2">
        <v>42</v>
      </c>
      <c r="G6011" t="s" s="2">
        <v>42</v>
      </c>
      <c r="H6011" s="5">
        <v>810</v>
      </c>
      <c r="I6011" t="s" s="2">
        <v>1102</v>
      </c>
      <c r="J6011" t="s" s="2">
        <v>9204</v>
      </c>
      <c r="K6011" s="6"/>
      <c r="L6011" s="6"/>
      <c r="M6011" s="5">
        <v>572254.27</v>
      </c>
      <c r="N6011" s="5">
        <v>6342668.71</v>
      </c>
      <c r="O6011" t="s" s="2">
        <v>305</v>
      </c>
      <c r="P6011" s="6"/>
      <c r="Q6011" t="s" s="2">
        <v>43</v>
      </c>
      <c r="R6011" s="5">
        <f>_xlfn.IFERROR(INDEX('model_byCAP'!$D$2:$D$377,MATCH(Q6011,'model_byCAP'!$A$2:$A$377,0)),0)</f>
        <v>0</v>
      </c>
    </row>
    <row r="6012" ht="15.35" customHeight="1">
      <c r="A6012" t="s" s="2">
        <v>10497</v>
      </c>
      <c r="B6012" s="4">
        <v>42110</v>
      </c>
      <c r="C6012" s="5">
        <v>10</v>
      </c>
      <c r="D6012" s="5">
        <v>7.1</v>
      </c>
      <c r="E6012" s="5">
        <v>21</v>
      </c>
      <c r="F6012" t="s" s="2">
        <v>42</v>
      </c>
      <c r="G6012" t="s" s="2">
        <v>42</v>
      </c>
      <c r="H6012" s="5">
        <v>810</v>
      </c>
      <c r="I6012" t="s" s="2">
        <v>1102</v>
      </c>
      <c r="J6012" t="s" s="2">
        <v>9204</v>
      </c>
      <c r="K6012" s="6"/>
      <c r="L6012" s="6"/>
      <c r="M6012" s="5">
        <v>572714.5</v>
      </c>
      <c r="N6012" s="5">
        <v>6342362.3</v>
      </c>
      <c r="O6012" t="s" s="2">
        <v>305</v>
      </c>
      <c r="P6012" s="6"/>
      <c r="Q6012" t="s" s="2">
        <v>43</v>
      </c>
      <c r="R6012" s="5">
        <f>_xlfn.IFERROR(INDEX('model_byCAP'!$D$2:$D$377,MATCH(Q6012,'model_byCAP'!$A$2:$A$377,0)),0)</f>
        <v>0</v>
      </c>
    </row>
    <row r="6013" ht="15.35" customHeight="1">
      <c r="A6013" t="s" s="2">
        <v>10498</v>
      </c>
      <c r="B6013" s="4">
        <v>42078</v>
      </c>
      <c r="C6013" s="5">
        <v>10</v>
      </c>
      <c r="D6013" s="5">
        <v>7.1</v>
      </c>
      <c r="E6013" s="5">
        <v>21</v>
      </c>
      <c r="F6013" t="s" s="2">
        <v>42</v>
      </c>
      <c r="G6013" t="s" s="2">
        <v>42</v>
      </c>
      <c r="H6013" s="5">
        <v>810</v>
      </c>
      <c r="I6013" t="s" s="2">
        <v>1102</v>
      </c>
      <c r="J6013" t="s" s="2">
        <v>9204</v>
      </c>
      <c r="K6013" s="6"/>
      <c r="L6013" s="6"/>
      <c r="M6013" s="6"/>
      <c r="N6013" s="6"/>
      <c r="O6013" t="s" s="2">
        <v>25</v>
      </c>
      <c r="P6013" s="6"/>
      <c r="Q6013" t="s" s="2">
        <v>43</v>
      </c>
      <c r="R6013" s="5">
        <f>_xlfn.IFERROR(INDEX('model_byCAP'!$D$2:$D$377,MATCH(Q6013,'model_byCAP'!$A$2:$A$377,0)),0)</f>
        <v>0</v>
      </c>
    </row>
    <row r="6014" ht="15.35" customHeight="1">
      <c r="A6014" t="s" s="2">
        <v>10499</v>
      </c>
      <c r="B6014" s="4">
        <v>42180</v>
      </c>
      <c r="C6014" s="5">
        <v>10</v>
      </c>
      <c r="D6014" s="5">
        <v>7.1</v>
      </c>
      <c r="E6014" s="5">
        <v>21.4</v>
      </c>
      <c r="F6014" t="s" s="2">
        <v>42</v>
      </c>
      <c r="G6014" t="s" s="2">
        <v>42</v>
      </c>
      <c r="H6014" s="5">
        <v>810</v>
      </c>
      <c r="I6014" t="s" s="2">
        <v>1102</v>
      </c>
      <c r="J6014" t="s" s="2">
        <v>9204</v>
      </c>
      <c r="K6014" s="6"/>
      <c r="L6014" s="6"/>
      <c r="M6014" s="5">
        <v>555979.74</v>
      </c>
      <c r="N6014" s="5">
        <v>6350806.31</v>
      </c>
      <c r="O6014" t="s" s="2">
        <v>305</v>
      </c>
      <c r="P6014" s="6"/>
      <c r="Q6014" t="s" s="2">
        <v>43</v>
      </c>
      <c r="R6014" s="5">
        <f>_xlfn.IFERROR(INDEX('model_byCAP'!$D$2:$D$377,MATCH(Q6014,'model_byCAP'!$A$2:$A$377,0)),0)</f>
        <v>0</v>
      </c>
    </row>
    <row r="6015" ht="15.35" customHeight="1">
      <c r="A6015" t="s" s="2">
        <v>10500</v>
      </c>
      <c r="B6015" s="4">
        <v>42131</v>
      </c>
      <c r="C6015" s="5">
        <v>10</v>
      </c>
      <c r="D6015" s="5">
        <v>7.1</v>
      </c>
      <c r="E6015" s="5">
        <v>21</v>
      </c>
      <c r="F6015" t="s" s="2">
        <v>42</v>
      </c>
      <c r="G6015" t="s" s="2">
        <v>42</v>
      </c>
      <c r="H6015" s="5">
        <v>810</v>
      </c>
      <c r="I6015" t="s" s="2">
        <v>1102</v>
      </c>
      <c r="J6015" t="s" s="2">
        <v>9204</v>
      </c>
      <c r="K6015" s="6"/>
      <c r="L6015" s="6"/>
      <c r="M6015" s="5">
        <v>557588.59</v>
      </c>
      <c r="N6015" s="5">
        <v>6351888.15</v>
      </c>
      <c r="O6015" t="s" s="2">
        <v>305</v>
      </c>
      <c r="P6015" s="6"/>
      <c r="Q6015" t="s" s="2">
        <v>43</v>
      </c>
      <c r="R6015" s="5">
        <f>_xlfn.IFERROR(INDEX('model_byCAP'!$D$2:$D$377,MATCH(Q6015,'model_byCAP'!$A$2:$A$377,0)),0)</f>
        <v>0</v>
      </c>
    </row>
    <row r="6016" ht="15.35" customHeight="1">
      <c r="A6016" t="s" s="2">
        <v>10501</v>
      </c>
      <c r="B6016" s="4">
        <v>42131</v>
      </c>
      <c r="C6016" s="5">
        <v>10</v>
      </c>
      <c r="D6016" s="5">
        <v>7.1</v>
      </c>
      <c r="E6016" s="5">
        <v>21</v>
      </c>
      <c r="F6016" t="s" s="2">
        <v>42</v>
      </c>
      <c r="G6016" t="s" s="2">
        <v>42</v>
      </c>
      <c r="H6016" s="5">
        <v>810</v>
      </c>
      <c r="I6016" t="s" s="2">
        <v>1102</v>
      </c>
      <c r="J6016" t="s" s="2">
        <v>9204</v>
      </c>
      <c r="K6016" s="6"/>
      <c r="L6016" s="6"/>
      <c r="M6016" s="5">
        <v>557172.24</v>
      </c>
      <c r="N6016" s="5">
        <v>6351327.35</v>
      </c>
      <c r="O6016" t="s" s="2">
        <v>305</v>
      </c>
      <c r="P6016" s="6"/>
      <c r="Q6016" t="s" s="2">
        <v>43</v>
      </c>
      <c r="R6016" s="5">
        <f>_xlfn.IFERROR(INDEX('model_byCAP'!$D$2:$D$377,MATCH(Q6016,'model_byCAP'!$A$2:$A$377,0)),0)</f>
        <v>0</v>
      </c>
    </row>
    <row r="6017" ht="15.35" customHeight="1">
      <c r="A6017" t="s" s="2">
        <v>10502</v>
      </c>
      <c r="B6017" s="4">
        <v>42093</v>
      </c>
      <c r="C6017" s="5">
        <v>10</v>
      </c>
      <c r="D6017" s="5">
        <v>7</v>
      </c>
      <c r="E6017" s="5">
        <v>21</v>
      </c>
      <c r="F6017" t="s" s="2">
        <v>42</v>
      </c>
      <c r="G6017" t="s" s="2">
        <v>42</v>
      </c>
      <c r="H6017" s="5">
        <v>810</v>
      </c>
      <c r="I6017" t="s" s="2">
        <v>1102</v>
      </c>
      <c r="J6017" t="s" s="2">
        <v>9204</v>
      </c>
      <c r="K6017" s="6"/>
      <c r="L6017" s="6"/>
      <c r="M6017" s="5">
        <v>563012.78</v>
      </c>
      <c r="N6017" s="5">
        <v>6343216.67</v>
      </c>
      <c r="O6017" t="s" s="2">
        <v>305</v>
      </c>
      <c r="P6017" s="6"/>
      <c r="Q6017" t="s" s="2">
        <v>43</v>
      </c>
      <c r="R6017" s="5">
        <f>_xlfn.IFERROR(INDEX('model_byCAP'!$D$2:$D$377,MATCH(Q6017,'model_byCAP'!$A$2:$A$377,0)),0)</f>
        <v>0</v>
      </c>
    </row>
    <row r="6018" ht="15.35" customHeight="1">
      <c r="A6018" t="s" s="2">
        <v>10503</v>
      </c>
      <c r="B6018" s="4">
        <v>42226</v>
      </c>
      <c r="C6018" s="5">
        <v>10</v>
      </c>
      <c r="D6018" s="5">
        <v>13</v>
      </c>
      <c r="E6018" s="5">
        <v>18</v>
      </c>
      <c r="F6018" t="s" s="2">
        <v>9471</v>
      </c>
      <c r="G6018" t="s" s="2">
        <v>9606</v>
      </c>
      <c r="H6018" s="5">
        <v>810</v>
      </c>
      <c r="I6018" t="s" s="2">
        <v>1102</v>
      </c>
      <c r="J6018" t="s" s="2">
        <v>9204</v>
      </c>
      <c r="K6018" s="6"/>
      <c r="L6018" s="6"/>
      <c r="M6018" s="6"/>
      <c r="N6018" s="6"/>
      <c r="O6018" t="s" s="2">
        <v>25</v>
      </c>
      <c r="P6018" s="6"/>
      <c r="Q6018" t="s" s="2">
        <v>9607</v>
      </c>
      <c r="R6018" s="5">
        <f>_xlfn.IFERROR(INDEX('model_byCAP'!$D$2:$D$377,MATCH(Q6018,'model_byCAP'!$A$2:$A$377,0)),0)</f>
        <v>0</v>
      </c>
    </row>
    <row r="6019" ht="15.35" customHeight="1">
      <c r="A6019" t="s" s="2">
        <v>10504</v>
      </c>
      <c r="B6019" s="4">
        <v>42352</v>
      </c>
      <c r="C6019" s="5">
        <v>10</v>
      </c>
      <c r="D6019" s="5">
        <v>14</v>
      </c>
      <c r="E6019" s="5">
        <v>18</v>
      </c>
      <c r="F6019" t="s" s="2">
        <v>9209</v>
      </c>
      <c r="G6019" t="s" s="2">
        <v>9210</v>
      </c>
      <c r="H6019" s="5">
        <v>810</v>
      </c>
      <c r="I6019" t="s" s="2">
        <v>1102</v>
      </c>
      <c r="J6019" t="s" s="2">
        <v>9204</v>
      </c>
      <c r="K6019" s="6"/>
      <c r="L6019" s="6"/>
      <c r="M6019" s="5">
        <v>566281.87</v>
      </c>
      <c r="N6019" s="5">
        <v>6348176.86</v>
      </c>
      <c r="O6019" t="s" s="2">
        <v>305</v>
      </c>
      <c r="P6019" s="6"/>
      <c r="Q6019" t="s" s="2">
        <v>9211</v>
      </c>
      <c r="R6019" t="s" s="2">
        <f>_xlfn.IFERROR(INDEX('model_byCAP'!$D$2:$D$377,MATCH(Q6019,'model_byCAP'!$A$2:$A$377,0)),0)</f>
        <v>8430</v>
      </c>
    </row>
    <row r="6020" ht="15.35" customHeight="1">
      <c r="A6020" t="s" s="2">
        <v>10505</v>
      </c>
      <c r="B6020" s="4">
        <v>42234</v>
      </c>
      <c r="C6020" s="5">
        <v>10</v>
      </c>
      <c r="D6020" s="5">
        <v>7</v>
      </c>
      <c r="E6020" s="5">
        <v>21</v>
      </c>
      <c r="F6020" t="s" s="2">
        <v>42</v>
      </c>
      <c r="G6020" t="s" s="2">
        <v>42</v>
      </c>
      <c r="H6020" s="5">
        <v>810</v>
      </c>
      <c r="I6020" t="s" s="2">
        <v>1102</v>
      </c>
      <c r="J6020" t="s" s="2">
        <v>9204</v>
      </c>
      <c r="K6020" s="6"/>
      <c r="L6020" s="6"/>
      <c r="M6020" s="5">
        <v>561924.5600000001</v>
      </c>
      <c r="N6020" s="5">
        <v>6348715.14</v>
      </c>
      <c r="O6020" t="s" s="2">
        <v>305</v>
      </c>
      <c r="P6020" s="6"/>
      <c r="Q6020" t="s" s="2">
        <v>43</v>
      </c>
      <c r="R6020" s="5">
        <f>_xlfn.IFERROR(INDEX('model_byCAP'!$D$2:$D$377,MATCH(Q6020,'model_byCAP'!$A$2:$A$377,0)),0)</f>
        <v>0</v>
      </c>
    </row>
    <row r="6021" ht="15.35" customHeight="1">
      <c r="A6021" t="s" s="2">
        <v>10506</v>
      </c>
      <c r="B6021" s="4">
        <v>42333</v>
      </c>
      <c r="C6021" s="5">
        <v>10</v>
      </c>
      <c r="D6021" s="5">
        <v>7</v>
      </c>
      <c r="E6021" s="5">
        <v>21</v>
      </c>
      <c r="F6021" t="s" s="2">
        <v>42</v>
      </c>
      <c r="G6021" t="s" s="2">
        <v>42</v>
      </c>
      <c r="H6021" s="5">
        <v>810</v>
      </c>
      <c r="I6021" t="s" s="2">
        <v>1102</v>
      </c>
      <c r="J6021" t="s" s="2">
        <v>9204</v>
      </c>
      <c r="K6021" s="6"/>
      <c r="L6021" s="6"/>
      <c r="M6021" s="5">
        <v>558327.95</v>
      </c>
      <c r="N6021" s="5">
        <v>6353608.61</v>
      </c>
      <c r="O6021" t="s" s="2">
        <v>305</v>
      </c>
      <c r="P6021" s="6"/>
      <c r="Q6021" t="s" s="2">
        <v>43</v>
      </c>
      <c r="R6021" s="5">
        <f>_xlfn.IFERROR(INDEX('model_byCAP'!$D$2:$D$377,MATCH(Q6021,'model_byCAP'!$A$2:$A$377,0)),0)</f>
        <v>0</v>
      </c>
    </row>
    <row r="6022" ht="15.35" customHeight="1">
      <c r="A6022" t="s" s="2">
        <v>10507</v>
      </c>
      <c r="B6022" s="4">
        <v>42423</v>
      </c>
      <c r="C6022" s="5">
        <v>10</v>
      </c>
      <c r="D6022" s="5">
        <v>7</v>
      </c>
      <c r="E6022" s="5">
        <v>21</v>
      </c>
      <c r="F6022" t="s" s="2">
        <v>42</v>
      </c>
      <c r="G6022" t="s" s="2">
        <v>42</v>
      </c>
      <c r="H6022" s="5">
        <v>810</v>
      </c>
      <c r="I6022" t="s" s="2">
        <v>1102</v>
      </c>
      <c r="J6022" t="s" s="2">
        <v>9204</v>
      </c>
      <c r="K6022" s="6"/>
      <c r="L6022" s="6"/>
      <c r="M6022" s="5">
        <v>553141.4300000001</v>
      </c>
      <c r="N6022" s="5">
        <v>6347678.89</v>
      </c>
      <c r="O6022" t="s" s="2">
        <v>305</v>
      </c>
      <c r="P6022" s="6"/>
      <c r="Q6022" t="s" s="2">
        <v>43</v>
      </c>
      <c r="R6022" s="5">
        <f>_xlfn.IFERROR(INDEX('model_byCAP'!$D$2:$D$377,MATCH(Q6022,'model_byCAP'!$A$2:$A$377,0)),0)</f>
        <v>0</v>
      </c>
    </row>
    <row r="6023" ht="15.35" customHeight="1">
      <c r="A6023" t="s" s="2">
        <v>10508</v>
      </c>
      <c r="B6023" s="4">
        <v>42424</v>
      </c>
      <c r="C6023" s="5">
        <v>10</v>
      </c>
      <c r="D6023" s="5">
        <v>7</v>
      </c>
      <c r="E6023" s="5">
        <v>21</v>
      </c>
      <c r="F6023" t="s" s="2">
        <v>42</v>
      </c>
      <c r="G6023" t="s" s="2">
        <v>42</v>
      </c>
      <c r="H6023" s="5">
        <v>810</v>
      </c>
      <c r="I6023" t="s" s="2">
        <v>1102</v>
      </c>
      <c r="J6023" t="s" s="2">
        <v>9204</v>
      </c>
      <c r="K6023" s="6"/>
      <c r="L6023" s="6"/>
      <c r="M6023" s="5">
        <v>553086.11</v>
      </c>
      <c r="N6023" s="5">
        <v>6347626.31</v>
      </c>
      <c r="O6023" t="s" s="2">
        <v>305</v>
      </c>
      <c r="P6023" s="6"/>
      <c r="Q6023" t="s" s="2">
        <v>43</v>
      </c>
      <c r="R6023" s="5">
        <f>_xlfn.IFERROR(INDEX('model_byCAP'!$D$2:$D$377,MATCH(Q6023,'model_byCAP'!$A$2:$A$377,0)),0)</f>
        <v>0</v>
      </c>
    </row>
    <row r="6024" ht="15.35" customHeight="1">
      <c r="A6024" t="s" s="2">
        <v>10509</v>
      </c>
      <c r="B6024" s="4">
        <v>42236</v>
      </c>
      <c r="C6024" s="5">
        <v>10</v>
      </c>
      <c r="D6024" s="5">
        <v>16</v>
      </c>
      <c r="E6024" s="5">
        <v>17</v>
      </c>
      <c r="F6024" t="s" s="2">
        <v>9209</v>
      </c>
      <c r="G6024" t="s" s="2">
        <v>9638</v>
      </c>
      <c r="H6024" s="5">
        <v>810</v>
      </c>
      <c r="I6024" t="s" s="2">
        <v>1102</v>
      </c>
      <c r="J6024" t="s" s="2">
        <v>9204</v>
      </c>
      <c r="K6024" s="6"/>
      <c r="L6024" s="6"/>
      <c r="M6024" s="5">
        <v>581937.76</v>
      </c>
      <c r="N6024" s="5">
        <v>6330798.51</v>
      </c>
      <c r="O6024" t="s" s="2">
        <v>305</v>
      </c>
      <c r="P6024" s="6"/>
      <c r="Q6024" t="s" s="2">
        <v>9639</v>
      </c>
      <c r="R6024" s="5">
        <f>_xlfn.IFERROR(INDEX('model_byCAP'!$D$2:$D$377,MATCH(Q6024,'model_byCAP'!$A$2:$A$377,0)),0)</f>
        <v>0</v>
      </c>
    </row>
    <row r="6025" ht="15.35" customHeight="1">
      <c r="A6025" t="s" s="2">
        <v>10510</v>
      </c>
      <c r="B6025" s="4">
        <v>42248</v>
      </c>
      <c r="C6025" s="5">
        <v>10</v>
      </c>
      <c r="D6025" s="5">
        <v>14</v>
      </c>
      <c r="E6025" s="5">
        <v>18</v>
      </c>
      <c r="F6025" t="s" s="2">
        <v>9209</v>
      </c>
      <c r="G6025" t="s" s="2">
        <v>9293</v>
      </c>
      <c r="H6025" s="5">
        <v>810</v>
      </c>
      <c r="I6025" t="s" s="2">
        <v>1102</v>
      </c>
      <c r="J6025" t="s" s="2">
        <v>9204</v>
      </c>
      <c r="K6025" s="6"/>
      <c r="L6025" s="6"/>
      <c r="M6025" s="5">
        <v>571539.0600000001</v>
      </c>
      <c r="N6025" s="5">
        <v>6339260.35</v>
      </c>
      <c r="O6025" t="s" s="2">
        <v>305</v>
      </c>
      <c r="P6025" s="6"/>
      <c r="Q6025" t="s" s="2">
        <v>9295</v>
      </c>
      <c r="R6025" t="s" s="2">
        <f>_xlfn.IFERROR(INDEX('model_byCAP'!$D$2:$D$377,MATCH(Q6025,'model_byCAP'!$A$2:$A$377,0)),0)</f>
        <v>8430</v>
      </c>
    </row>
    <row r="6026" ht="15.35" customHeight="1">
      <c r="A6026" t="s" s="2">
        <v>10511</v>
      </c>
      <c r="B6026" s="4">
        <v>42255</v>
      </c>
      <c r="C6026" s="5">
        <v>10</v>
      </c>
      <c r="D6026" s="5">
        <v>7.1</v>
      </c>
      <c r="E6026" s="5">
        <v>21.4</v>
      </c>
      <c r="F6026" t="s" s="2">
        <v>42</v>
      </c>
      <c r="G6026" t="s" s="2">
        <v>42</v>
      </c>
      <c r="H6026" s="5">
        <v>810</v>
      </c>
      <c r="I6026" t="s" s="2">
        <v>1102</v>
      </c>
      <c r="J6026" t="s" s="2">
        <v>9204</v>
      </c>
      <c r="K6026" s="6"/>
      <c r="L6026" s="6"/>
      <c r="M6026" s="5">
        <v>566002.53</v>
      </c>
      <c r="N6026" s="5">
        <v>6353416.73</v>
      </c>
      <c r="O6026" t="s" s="2">
        <v>305</v>
      </c>
      <c r="P6026" s="6"/>
      <c r="Q6026" t="s" s="2">
        <v>43</v>
      </c>
      <c r="R6026" s="5">
        <f>_xlfn.IFERROR(INDEX('model_byCAP'!$D$2:$D$377,MATCH(Q6026,'model_byCAP'!$A$2:$A$377,0)),0)</f>
        <v>0</v>
      </c>
    </row>
    <row r="6027" ht="15.35" customHeight="1">
      <c r="A6027" t="s" s="2">
        <v>10512</v>
      </c>
      <c r="B6027" s="4">
        <v>42263</v>
      </c>
      <c r="C6027" s="5">
        <v>10</v>
      </c>
      <c r="D6027" s="5">
        <v>13</v>
      </c>
      <c r="E6027" s="5">
        <v>18</v>
      </c>
      <c r="F6027" t="s" s="2">
        <v>9471</v>
      </c>
      <c r="G6027" t="s" s="2">
        <v>9606</v>
      </c>
      <c r="H6027" s="5">
        <v>810</v>
      </c>
      <c r="I6027" t="s" s="2">
        <v>1102</v>
      </c>
      <c r="J6027" t="s" s="2">
        <v>9204</v>
      </c>
      <c r="K6027" s="6"/>
      <c r="L6027" s="6"/>
      <c r="M6027" s="6"/>
      <c r="N6027" s="6"/>
      <c r="O6027" t="s" s="2">
        <v>25</v>
      </c>
      <c r="P6027" s="6"/>
      <c r="Q6027" t="s" s="2">
        <v>9607</v>
      </c>
      <c r="R6027" s="5">
        <f>_xlfn.IFERROR(INDEX('model_byCAP'!$D$2:$D$377,MATCH(Q6027,'model_byCAP'!$A$2:$A$377,0)),0)</f>
        <v>0</v>
      </c>
    </row>
    <row r="6028" ht="15.35" customHeight="1">
      <c r="A6028" t="s" s="2">
        <v>10513</v>
      </c>
      <c r="B6028" s="4">
        <v>42304</v>
      </c>
      <c r="C6028" s="5">
        <v>10</v>
      </c>
      <c r="D6028" s="5">
        <v>7</v>
      </c>
      <c r="E6028" s="5">
        <v>21</v>
      </c>
      <c r="F6028" t="s" s="2">
        <v>42</v>
      </c>
      <c r="G6028" t="s" s="2">
        <v>42</v>
      </c>
      <c r="H6028" s="5">
        <v>810</v>
      </c>
      <c r="I6028" t="s" s="2">
        <v>1102</v>
      </c>
      <c r="J6028" t="s" s="2">
        <v>9204</v>
      </c>
      <c r="K6028" s="6"/>
      <c r="L6028" s="6"/>
      <c r="M6028" s="5">
        <v>577512.45</v>
      </c>
      <c r="N6028" s="5">
        <v>6336946.75</v>
      </c>
      <c r="O6028" t="s" s="2">
        <v>305</v>
      </c>
      <c r="P6028" s="6"/>
      <c r="Q6028" t="s" s="2">
        <v>43</v>
      </c>
      <c r="R6028" s="5">
        <f>_xlfn.IFERROR(INDEX('model_byCAP'!$D$2:$D$377,MATCH(Q6028,'model_byCAP'!$A$2:$A$377,0)),0)</f>
        <v>0</v>
      </c>
    </row>
    <row r="6029" ht="15.35" customHeight="1">
      <c r="A6029" t="s" s="2">
        <v>10514</v>
      </c>
      <c r="B6029" s="4">
        <v>42368</v>
      </c>
      <c r="C6029" s="5">
        <v>10</v>
      </c>
      <c r="D6029" s="5">
        <v>13</v>
      </c>
      <c r="E6029" s="5">
        <v>18.2</v>
      </c>
      <c r="F6029" t="s" s="2">
        <v>9471</v>
      </c>
      <c r="G6029" t="s" s="2">
        <v>9606</v>
      </c>
      <c r="H6029" s="5">
        <v>810</v>
      </c>
      <c r="I6029" t="s" s="2">
        <v>1102</v>
      </c>
      <c r="J6029" t="s" s="2">
        <v>9204</v>
      </c>
      <c r="K6029" s="6"/>
      <c r="L6029" s="6"/>
      <c r="M6029" s="5">
        <v>556005</v>
      </c>
      <c r="N6029" s="5">
        <v>6345666</v>
      </c>
      <c r="O6029" t="s" s="2">
        <v>305</v>
      </c>
      <c r="P6029" s="6"/>
      <c r="Q6029" t="s" s="2">
        <v>9607</v>
      </c>
      <c r="R6029" s="5">
        <f>_xlfn.IFERROR(INDEX('model_byCAP'!$D$2:$D$377,MATCH(Q6029,'model_byCAP'!$A$2:$A$377,0)),0)</f>
        <v>0</v>
      </c>
    </row>
    <row r="6030" ht="15.35" customHeight="1">
      <c r="A6030" t="s" s="2">
        <v>10515</v>
      </c>
      <c r="B6030" s="4">
        <v>42334</v>
      </c>
      <c r="C6030" s="5">
        <v>10</v>
      </c>
      <c r="D6030" s="5">
        <v>7.1</v>
      </c>
      <c r="E6030" s="5">
        <v>21.5</v>
      </c>
      <c r="F6030" t="s" s="2">
        <v>42</v>
      </c>
      <c r="G6030" t="s" s="2">
        <v>42</v>
      </c>
      <c r="H6030" s="5">
        <v>810</v>
      </c>
      <c r="I6030" t="s" s="2">
        <v>1102</v>
      </c>
      <c r="J6030" t="s" s="2">
        <v>9204</v>
      </c>
      <c r="K6030" s="6"/>
      <c r="L6030" s="6"/>
      <c r="M6030" s="5">
        <v>561944</v>
      </c>
      <c r="N6030" s="5">
        <v>6352426</v>
      </c>
      <c r="O6030" t="s" s="2">
        <v>305</v>
      </c>
      <c r="P6030" s="6"/>
      <c r="Q6030" t="s" s="2">
        <v>43</v>
      </c>
      <c r="R6030" s="5">
        <f>_xlfn.IFERROR(INDEX('model_byCAP'!$D$2:$D$377,MATCH(Q6030,'model_byCAP'!$A$2:$A$377,0)),0)</f>
        <v>0</v>
      </c>
    </row>
    <row r="6031" ht="15.35" customHeight="1">
      <c r="A6031" t="s" s="2">
        <v>10516</v>
      </c>
      <c r="B6031" s="4">
        <v>42334</v>
      </c>
      <c r="C6031" s="5">
        <v>10</v>
      </c>
      <c r="D6031" s="5">
        <v>7.1</v>
      </c>
      <c r="E6031" s="5">
        <v>21</v>
      </c>
      <c r="F6031" t="s" s="2">
        <v>42</v>
      </c>
      <c r="G6031" t="s" s="2">
        <v>42</v>
      </c>
      <c r="H6031" s="5">
        <v>810</v>
      </c>
      <c r="I6031" t="s" s="2">
        <v>1102</v>
      </c>
      <c r="J6031" t="s" s="2">
        <v>9204</v>
      </c>
      <c r="K6031" s="6"/>
      <c r="L6031" s="6"/>
      <c r="M6031" s="5">
        <v>556188.84</v>
      </c>
      <c r="N6031" s="5">
        <v>6346453.61</v>
      </c>
      <c r="O6031" t="s" s="2">
        <v>305</v>
      </c>
      <c r="P6031" s="6"/>
      <c r="Q6031" t="s" s="2">
        <v>43</v>
      </c>
      <c r="R6031" s="5">
        <f>_xlfn.IFERROR(INDEX('model_byCAP'!$D$2:$D$377,MATCH(Q6031,'model_byCAP'!$A$2:$A$377,0)),0)</f>
        <v>0</v>
      </c>
    </row>
    <row r="6032" ht="15.35" customHeight="1">
      <c r="A6032" t="s" s="2">
        <v>10517</v>
      </c>
      <c r="B6032" s="4">
        <v>42353</v>
      </c>
      <c r="C6032" s="5">
        <v>10</v>
      </c>
      <c r="D6032" s="5">
        <v>7.1</v>
      </c>
      <c r="E6032" s="5">
        <v>21</v>
      </c>
      <c r="F6032" t="s" s="2">
        <v>42</v>
      </c>
      <c r="G6032" t="s" s="2">
        <v>42</v>
      </c>
      <c r="H6032" s="5">
        <v>810</v>
      </c>
      <c r="I6032" t="s" s="2">
        <v>1102</v>
      </c>
      <c r="J6032" t="s" s="2">
        <v>9204</v>
      </c>
      <c r="K6032" s="6"/>
      <c r="L6032" s="6"/>
      <c r="M6032" s="5">
        <v>556756.92</v>
      </c>
      <c r="N6032" s="5">
        <v>6351684.63</v>
      </c>
      <c r="O6032" t="s" s="2">
        <v>305</v>
      </c>
      <c r="P6032" s="6"/>
      <c r="Q6032" t="s" s="2">
        <v>43</v>
      </c>
      <c r="R6032" s="5">
        <f>_xlfn.IFERROR(INDEX('model_byCAP'!$D$2:$D$377,MATCH(Q6032,'model_byCAP'!$A$2:$A$377,0)),0)</f>
        <v>0</v>
      </c>
    </row>
    <row r="6033" ht="15.35" customHeight="1">
      <c r="A6033" t="s" s="2">
        <v>10518</v>
      </c>
      <c r="B6033" s="4">
        <v>42331</v>
      </c>
      <c r="C6033" s="5">
        <v>10</v>
      </c>
      <c r="D6033" s="5">
        <v>7.1</v>
      </c>
      <c r="E6033" s="5">
        <v>21.4</v>
      </c>
      <c r="F6033" t="s" s="2">
        <v>42</v>
      </c>
      <c r="G6033" t="s" s="2">
        <v>42</v>
      </c>
      <c r="H6033" s="5">
        <v>810</v>
      </c>
      <c r="I6033" t="s" s="2">
        <v>1102</v>
      </c>
      <c r="J6033" t="s" s="2">
        <v>9204</v>
      </c>
      <c r="K6033" s="6"/>
      <c r="L6033" s="6"/>
      <c r="M6033" s="5">
        <v>553485.3199999999</v>
      </c>
      <c r="N6033" s="5">
        <v>6355692.34</v>
      </c>
      <c r="O6033" t="s" s="2">
        <v>305</v>
      </c>
      <c r="P6033" s="6"/>
      <c r="Q6033" t="s" s="2">
        <v>43</v>
      </c>
      <c r="R6033" s="5">
        <f>_xlfn.IFERROR(INDEX('model_byCAP'!$D$2:$D$377,MATCH(Q6033,'model_byCAP'!$A$2:$A$377,0)),0)</f>
        <v>0</v>
      </c>
    </row>
    <row r="6034" ht="15.35" customHeight="1">
      <c r="A6034" t="s" s="2">
        <v>10519</v>
      </c>
      <c r="B6034" s="4">
        <v>42354</v>
      </c>
      <c r="C6034" s="5">
        <v>10</v>
      </c>
      <c r="D6034" s="5">
        <v>7.1</v>
      </c>
      <c r="E6034" s="5">
        <v>21</v>
      </c>
      <c r="F6034" t="s" s="2">
        <v>42</v>
      </c>
      <c r="G6034" t="s" s="2">
        <v>42</v>
      </c>
      <c r="H6034" s="5">
        <v>810</v>
      </c>
      <c r="I6034" t="s" s="2">
        <v>1102</v>
      </c>
      <c r="J6034" t="s" s="2">
        <v>9204</v>
      </c>
      <c r="K6034" s="6"/>
      <c r="L6034" s="6"/>
      <c r="M6034" s="5">
        <v>567368</v>
      </c>
      <c r="N6034" s="5">
        <v>6348575</v>
      </c>
      <c r="O6034" t="s" s="2">
        <v>305</v>
      </c>
      <c r="P6034" s="6"/>
      <c r="Q6034" t="s" s="2">
        <v>43</v>
      </c>
      <c r="R6034" s="5">
        <f>_xlfn.IFERROR(INDEX('model_byCAP'!$D$2:$D$377,MATCH(Q6034,'model_byCAP'!$A$2:$A$377,0)),0)</f>
        <v>0</v>
      </c>
    </row>
    <row r="6035" ht="15.35" customHeight="1">
      <c r="A6035" t="s" s="2">
        <v>10520</v>
      </c>
      <c r="B6035" s="4">
        <v>42354</v>
      </c>
      <c r="C6035" s="5">
        <v>10</v>
      </c>
      <c r="D6035" s="5">
        <v>7</v>
      </c>
      <c r="E6035" s="5">
        <v>21</v>
      </c>
      <c r="F6035" t="s" s="2">
        <v>42</v>
      </c>
      <c r="G6035" t="s" s="2">
        <v>42</v>
      </c>
      <c r="H6035" s="5">
        <v>810</v>
      </c>
      <c r="I6035" t="s" s="2">
        <v>1102</v>
      </c>
      <c r="J6035" t="s" s="2">
        <v>9204</v>
      </c>
      <c r="K6035" s="6"/>
      <c r="L6035" s="6"/>
      <c r="M6035" s="5">
        <v>576300</v>
      </c>
      <c r="N6035" s="5">
        <v>6345723</v>
      </c>
      <c r="O6035" t="s" s="2">
        <v>305</v>
      </c>
      <c r="P6035" s="6"/>
      <c r="Q6035" t="s" s="2">
        <v>43</v>
      </c>
      <c r="R6035" s="5">
        <f>_xlfn.IFERROR(INDEX('model_byCAP'!$D$2:$D$377,MATCH(Q6035,'model_byCAP'!$A$2:$A$377,0)),0)</f>
        <v>0</v>
      </c>
    </row>
    <row r="6036" ht="15.35" customHeight="1">
      <c r="A6036" t="s" s="2">
        <v>10521</v>
      </c>
      <c r="B6036" s="4">
        <v>42360</v>
      </c>
      <c r="C6036" s="5">
        <v>10</v>
      </c>
      <c r="D6036" s="5">
        <v>13</v>
      </c>
      <c r="E6036" s="5">
        <v>18.2</v>
      </c>
      <c r="F6036" t="s" s="2">
        <v>9471</v>
      </c>
      <c r="G6036" t="s" s="2">
        <v>9606</v>
      </c>
      <c r="H6036" s="5">
        <v>810</v>
      </c>
      <c r="I6036" t="s" s="2">
        <v>1102</v>
      </c>
      <c r="J6036" t="s" s="2">
        <v>9204</v>
      </c>
      <c r="K6036" s="6"/>
      <c r="L6036" s="6"/>
      <c r="M6036" s="5">
        <v>550094.11</v>
      </c>
      <c r="N6036" s="5">
        <v>6354057.29</v>
      </c>
      <c r="O6036" t="s" s="2">
        <v>305</v>
      </c>
      <c r="P6036" s="6"/>
      <c r="Q6036" t="s" s="2">
        <v>9607</v>
      </c>
      <c r="R6036" s="5">
        <f>_xlfn.IFERROR(INDEX('model_byCAP'!$D$2:$D$377,MATCH(Q6036,'model_byCAP'!$A$2:$A$377,0)),0)</f>
        <v>0</v>
      </c>
    </row>
    <row r="6037" ht="15.35" customHeight="1">
      <c r="A6037" t="s" s="2">
        <v>10522</v>
      </c>
      <c r="B6037" s="4">
        <v>42395</v>
      </c>
      <c r="C6037" s="5">
        <v>10</v>
      </c>
      <c r="D6037" s="5">
        <v>7</v>
      </c>
      <c r="E6037" s="5">
        <v>21.4</v>
      </c>
      <c r="F6037" t="s" s="2">
        <v>42</v>
      </c>
      <c r="G6037" t="s" s="2">
        <v>42</v>
      </c>
      <c r="H6037" s="5">
        <v>810</v>
      </c>
      <c r="I6037" t="s" s="2">
        <v>1102</v>
      </c>
      <c r="J6037" t="s" s="2">
        <v>9204</v>
      </c>
      <c r="K6037" s="6"/>
      <c r="L6037" s="6"/>
      <c r="M6037" s="5">
        <v>550689.3</v>
      </c>
      <c r="N6037" s="5">
        <v>6348648.5</v>
      </c>
      <c r="O6037" t="s" s="2">
        <v>305</v>
      </c>
      <c r="P6037" s="6"/>
      <c r="Q6037" t="s" s="2">
        <v>43</v>
      </c>
      <c r="R6037" s="5">
        <f>_xlfn.IFERROR(INDEX('model_byCAP'!$D$2:$D$377,MATCH(Q6037,'model_byCAP'!$A$2:$A$377,0)),0)</f>
        <v>0</v>
      </c>
    </row>
    <row r="6038" ht="15.35" customHeight="1">
      <c r="A6038" t="s" s="2">
        <v>10523</v>
      </c>
      <c r="B6038" s="4">
        <v>42424</v>
      </c>
      <c r="C6038" s="5">
        <v>10</v>
      </c>
      <c r="D6038" s="5">
        <v>13</v>
      </c>
      <c r="E6038" s="5">
        <v>18</v>
      </c>
      <c r="F6038" t="s" s="2">
        <v>9471</v>
      </c>
      <c r="G6038" t="s" s="2">
        <v>9606</v>
      </c>
      <c r="H6038" s="5">
        <v>810</v>
      </c>
      <c r="I6038" t="s" s="2">
        <v>1102</v>
      </c>
      <c r="J6038" t="s" s="2">
        <v>9204</v>
      </c>
      <c r="K6038" s="6"/>
      <c r="L6038" s="6"/>
      <c r="M6038" s="5">
        <v>577950.96</v>
      </c>
      <c r="N6038" s="5">
        <v>6333274.42</v>
      </c>
      <c r="O6038" t="s" s="2">
        <v>305</v>
      </c>
      <c r="P6038" s="6"/>
      <c r="Q6038" t="s" s="2">
        <v>9607</v>
      </c>
      <c r="R6038" s="5">
        <f>_xlfn.IFERROR(INDEX('model_byCAP'!$D$2:$D$377,MATCH(Q6038,'model_byCAP'!$A$2:$A$377,0)),0)</f>
        <v>0</v>
      </c>
    </row>
    <row r="6039" ht="15.35" customHeight="1">
      <c r="A6039" t="s" s="2">
        <v>10524</v>
      </c>
      <c r="B6039" s="4">
        <v>42443</v>
      </c>
      <c r="C6039" s="5">
        <v>10</v>
      </c>
      <c r="D6039" s="5">
        <v>13</v>
      </c>
      <c r="E6039" s="5">
        <v>18</v>
      </c>
      <c r="F6039" t="s" s="2">
        <v>9471</v>
      </c>
      <c r="G6039" t="s" s="2">
        <v>9606</v>
      </c>
      <c r="H6039" s="5">
        <v>810</v>
      </c>
      <c r="I6039" t="s" s="2">
        <v>1102</v>
      </c>
      <c r="J6039" t="s" s="2">
        <v>9204</v>
      </c>
      <c r="K6039" s="6"/>
      <c r="L6039" s="6"/>
      <c r="M6039" s="6"/>
      <c r="N6039" s="6"/>
      <c r="O6039" t="s" s="2">
        <v>25</v>
      </c>
      <c r="P6039" s="6"/>
      <c r="Q6039" t="s" s="2">
        <v>9607</v>
      </c>
      <c r="R6039" s="5">
        <f>_xlfn.IFERROR(INDEX('model_byCAP'!$D$2:$D$377,MATCH(Q6039,'model_byCAP'!$A$2:$A$377,0)),0)</f>
        <v>0</v>
      </c>
    </row>
    <row r="6040" ht="15.35" customHeight="1">
      <c r="A6040" t="s" s="2">
        <v>10525</v>
      </c>
      <c r="B6040" s="4">
        <v>42468</v>
      </c>
      <c r="C6040" s="5">
        <v>10</v>
      </c>
      <c r="D6040" s="5">
        <v>7</v>
      </c>
      <c r="E6040" s="5">
        <v>21</v>
      </c>
      <c r="F6040" t="s" s="2">
        <v>42</v>
      </c>
      <c r="G6040" t="s" s="2">
        <v>42</v>
      </c>
      <c r="H6040" s="5">
        <v>810</v>
      </c>
      <c r="I6040" t="s" s="2">
        <v>1102</v>
      </c>
      <c r="J6040" t="s" s="2">
        <v>9204</v>
      </c>
      <c r="K6040" s="6"/>
      <c r="L6040" s="6"/>
      <c r="M6040" s="5">
        <v>576394.5600000001</v>
      </c>
      <c r="N6040" s="5">
        <v>6333193.43</v>
      </c>
      <c r="O6040" t="s" s="2">
        <v>305</v>
      </c>
      <c r="P6040" s="6"/>
      <c r="Q6040" t="s" s="2">
        <v>43</v>
      </c>
      <c r="R6040" s="5">
        <f>_xlfn.IFERROR(INDEX('model_byCAP'!$D$2:$D$377,MATCH(Q6040,'model_byCAP'!$A$2:$A$377,0)),0)</f>
        <v>0</v>
      </c>
    </row>
    <row r="6041" ht="15.35" customHeight="1">
      <c r="A6041" t="s" s="2">
        <v>10526</v>
      </c>
      <c r="B6041" s="4">
        <v>42488</v>
      </c>
      <c r="C6041" s="5">
        <v>10</v>
      </c>
      <c r="D6041" s="5">
        <v>7</v>
      </c>
      <c r="E6041" s="5">
        <v>21</v>
      </c>
      <c r="F6041" t="s" s="2">
        <v>42</v>
      </c>
      <c r="G6041" t="s" s="2">
        <v>42</v>
      </c>
      <c r="H6041" s="5">
        <v>810</v>
      </c>
      <c r="I6041" t="s" s="2">
        <v>1102</v>
      </c>
      <c r="J6041" t="s" s="2">
        <v>9204</v>
      </c>
      <c r="K6041" s="6"/>
      <c r="L6041" s="6"/>
      <c r="M6041" s="6"/>
      <c r="N6041" s="6"/>
      <c r="O6041" t="s" s="2">
        <v>25</v>
      </c>
      <c r="P6041" s="6"/>
      <c r="Q6041" t="s" s="2">
        <v>43</v>
      </c>
      <c r="R6041" s="5">
        <f>_xlfn.IFERROR(INDEX('model_byCAP'!$D$2:$D$377,MATCH(Q6041,'model_byCAP'!$A$2:$A$377,0)),0)</f>
        <v>0</v>
      </c>
    </row>
    <row r="6042" ht="15.35" customHeight="1">
      <c r="A6042" t="s" s="2">
        <v>10527</v>
      </c>
      <c r="B6042" s="4">
        <v>42492</v>
      </c>
      <c r="C6042" s="5">
        <v>10</v>
      </c>
      <c r="D6042" s="5">
        <v>14</v>
      </c>
      <c r="E6042" s="5">
        <v>18</v>
      </c>
      <c r="F6042" t="s" s="2">
        <v>9209</v>
      </c>
      <c r="G6042" t="s" s="2">
        <v>9293</v>
      </c>
      <c r="H6042" s="5">
        <v>810</v>
      </c>
      <c r="I6042" t="s" s="2">
        <v>1102</v>
      </c>
      <c r="J6042" t="s" s="2">
        <v>9204</v>
      </c>
      <c r="K6042" s="6"/>
      <c r="L6042" s="6"/>
      <c r="M6042" s="6"/>
      <c r="N6042" s="6"/>
      <c r="O6042" t="s" s="2">
        <v>25</v>
      </c>
      <c r="P6042" s="6"/>
      <c r="Q6042" t="s" s="2">
        <v>9295</v>
      </c>
      <c r="R6042" t="s" s="2">
        <f>_xlfn.IFERROR(INDEX('model_byCAP'!$D$2:$D$377,MATCH(Q6042,'model_byCAP'!$A$2:$A$377,0)),0)</f>
        <v>8430</v>
      </c>
    </row>
    <row r="6043" ht="15.35" customHeight="1">
      <c r="A6043" t="s" s="2">
        <v>10528</v>
      </c>
      <c r="B6043" s="4">
        <v>42493</v>
      </c>
      <c r="C6043" s="5">
        <v>10</v>
      </c>
      <c r="D6043" s="5">
        <v>14</v>
      </c>
      <c r="E6043" s="5">
        <v>18</v>
      </c>
      <c r="F6043" t="s" s="2">
        <v>9209</v>
      </c>
      <c r="G6043" t="s" s="2">
        <v>9293</v>
      </c>
      <c r="H6043" s="5">
        <v>810</v>
      </c>
      <c r="I6043" t="s" s="2">
        <v>1102</v>
      </c>
      <c r="J6043" t="s" s="2">
        <v>9204</v>
      </c>
      <c r="K6043" s="6"/>
      <c r="L6043" s="6"/>
      <c r="M6043" s="6"/>
      <c r="N6043" s="6"/>
      <c r="O6043" t="s" s="2">
        <v>25</v>
      </c>
      <c r="P6043" s="6"/>
      <c r="Q6043" t="s" s="2">
        <v>9295</v>
      </c>
      <c r="R6043" t="s" s="2">
        <f>_xlfn.IFERROR(INDEX('model_byCAP'!$D$2:$D$377,MATCH(Q6043,'model_byCAP'!$A$2:$A$377,0)),0)</f>
        <v>8430</v>
      </c>
    </row>
    <row r="6044" ht="15.35" customHeight="1">
      <c r="A6044" t="s" s="2">
        <v>10529</v>
      </c>
      <c r="B6044" s="4">
        <v>42619</v>
      </c>
      <c r="C6044" s="5">
        <v>10</v>
      </c>
      <c r="D6044" s="5">
        <v>14</v>
      </c>
      <c r="E6044" s="5">
        <v>18</v>
      </c>
      <c r="F6044" t="s" s="2">
        <v>9209</v>
      </c>
      <c r="G6044" t="s" s="2">
        <v>9293</v>
      </c>
      <c r="H6044" s="5">
        <v>810</v>
      </c>
      <c r="I6044" t="s" s="2">
        <v>1102</v>
      </c>
      <c r="J6044" t="s" s="2">
        <v>9204</v>
      </c>
      <c r="K6044" s="6"/>
      <c r="L6044" s="6"/>
      <c r="M6044" s="6"/>
      <c r="N6044" s="6"/>
      <c r="O6044" t="s" s="2">
        <v>25</v>
      </c>
      <c r="P6044" s="6"/>
      <c r="Q6044" t="s" s="2">
        <v>9295</v>
      </c>
      <c r="R6044" t="s" s="2">
        <f>_xlfn.IFERROR(INDEX('model_byCAP'!$D$2:$D$377,MATCH(Q6044,'model_byCAP'!$A$2:$A$377,0)),0)</f>
        <v>8430</v>
      </c>
    </row>
    <row r="6045" ht="15.35" customHeight="1">
      <c r="A6045" t="s" s="2">
        <v>10530</v>
      </c>
      <c r="B6045" s="4">
        <v>43106</v>
      </c>
      <c r="C6045" s="5">
        <v>10</v>
      </c>
      <c r="D6045" s="5">
        <v>9.699999999999999</v>
      </c>
      <c r="E6045" s="5">
        <v>15</v>
      </c>
      <c r="F6045" t="s" s="2">
        <v>9673</v>
      </c>
      <c r="G6045" t="s" s="2">
        <v>9674</v>
      </c>
      <c r="H6045" s="5">
        <v>810</v>
      </c>
      <c r="I6045" t="s" s="2">
        <v>1102</v>
      </c>
      <c r="J6045" t="s" s="2">
        <v>9204</v>
      </c>
      <c r="K6045" s="6"/>
      <c r="L6045" s="6"/>
      <c r="M6045" s="6"/>
      <c r="N6045" s="6"/>
      <c r="O6045" t="s" s="2">
        <v>25</v>
      </c>
      <c r="P6045" s="6"/>
      <c r="Q6045" t="s" s="2">
        <v>9675</v>
      </c>
      <c r="R6045" s="5">
        <f>_xlfn.IFERROR(INDEX('model_byCAP'!$D$2:$D$377,MATCH(Q6045,'model_byCAP'!$A$2:$A$377,0)),0)</f>
        <v>0</v>
      </c>
    </row>
    <row r="6046" ht="15.35" customHeight="1">
      <c r="A6046" t="s" s="2">
        <v>10531</v>
      </c>
      <c r="B6046" s="4">
        <v>43210</v>
      </c>
      <c r="C6046" s="5">
        <v>10</v>
      </c>
      <c r="D6046" s="5">
        <v>7</v>
      </c>
      <c r="E6046" s="5">
        <v>21</v>
      </c>
      <c r="F6046" t="s" s="2">
        <v>42</v>
      </c>
      <c r="G6046" t="s" s="2">
        <v>42</v>
      </c>
      <c r="H6046" s="5">
        <v>810</v>
      </c>
      <c r="I6046" t="s" s="2">
        <v>1102</v>
      </c>
      <c r="J6046" t="s" s="2">
        <v>9204</v>
      </c>
      <c r="K6046" s="6"/>
      <c r="L6046" s="6"/>
      <c r="M6046" s="6"/>
      <c r="N6046" s="6"/>
      <c r="O6046" t="s" s="2">
        <v>25</v>
      </c>
      <c r="P6046" s="6"/>
      <c r="Q6046" t="s" s="2">
        <v>43</v>
      </c>
      <c r="R6046" s="5">
        <f>_xlfn.IFERROR(INDEX('model_byCAP'!$D$2:$D$377,MATCH(Q6046,'model_byCAP'!$A$2:$A$377,0)),0)</f>
        <v>0</v>
      </c>
    </row>
    <row r="6047" ht="15.35" customHeight="1">
      <c r="A6047" t="s" s="2">
        <v>10532</v>
      </c>
      <c r="B6047" s="4">
        <v>43082</v>
      </c>
      <c r="C6047" s="5">
        <v>10</v>
      </c>
      <c r="D6047" s="5">
        <v>9.300000000000001</v>
      </c>
      <c r="E6047" s="5">
        <v>20.3</v>
      </c>
      <c r="F6047" t="s" s="2">
        <v>9599</v>
      </c>
      <c r="G6047" t="s" s="2">
        <v>9787</v>
      </c>
      <c r="H6047" s="5">
        <v>810</v>
      </c>
      <c r="I6047" t="s" s="2">
        <v>1102</v>
      </c>
      <c r="J6047" t="s" s="2">
        <v>9204</v>
      </c>
      <c r="K6047" s="6"/>
      <c r="L6047" s="6"/>
      <c r="M6047" s="6"/>
      <c r="N6047" s="6"/>
      <c r="O6047" t="s" s="2">
        <v>25</v>
      </c>
      <c r="P6047" s="6"/>
      <c r="Q6047" t="s" s="2">
        <v>9788</v>
      </c>
      <c r="R6047" s="5">
        <f>_xlfn.IFERROR(INDEX('model_byCAP'!$D$2:$D$377,MATCH(Q6047,'model_byCAP'!$A$2:$A$377,0)),0)</f>
        <v>0</v>
      </c>
    </row>
    <row r="6048" ht="15.35" customHeight="1">
      <c r="A6048" t="s" s="2">
        <v>10533</v>
      </c>
      <c r="B6048" s="4">
        <v>43109</v>
      </c>
      <c r="C6048" s="5">
        <v>10</v>
      </c>
      <c r="D6048" s="5">
        <v>9.699999999999999</v>
      </c>
      <c r="E6048" s="5">
        <v>15</v>
      </c>
      <c r="F6048" t="s" s="2">
        <v>9673</v>
      </c>
      <c r="G6048" t="s" s="2">
        <v>9674</v>
      </c>
      <c r="H6048" s="5">
        <v>810</v>
      </c>
      <c r="I6048" t="s" s="2">
        <v>1102</v>
      </c>
      <c r="J6048" t="s" s="2">
        <v>9204</v>
      </c>
      <c r="K6048" s="6"/>
      <c r="L6048" s="6"/>
      <c r="M6048" s="6"/>
      <c r="N6048" s="6"/>
      <c r="O6048" t="s" s="2">
        <v>25</v>
      </c>
      <c r="P6048" s="6"/>
      <c r="Q6048" t="s" s="2">
        <v>9675</v>
      </c>
      <c r="R6048" s="5">
        <f>_xlfn.IFERROR(INDEX('model_byCAP'!$D$2:$D$377,MATCH(Q6048,'model_byCAP'!$A$2:$A$377,0)),0)</f>
        <v>0</v>
      </c>
    </row>
    <row r="6049" ht="15.35" customHeight="1">
      <c r="A6049" t="s" s="2">
        <v>10534</v>
      </c>
      <c r="B6049" s="4">
        <v>43135</v>
      </c>
      <c r="C6049" s="5">
        <v>10</v>
      </c>
      <c r="D6049" s="5">
        <v>9.699999999999999</v>
      </c>
      <c r="E6049" s="5">
        <v>15</v>
      </c>
      <c r="F6049" t="s" s="2">
        <v>9673</v>
      </c>
      <c r="G6049" t="s" s="2">
        <v>9674</v>
      </c>
      <c r="H6049" s="5">
        <v>810</v>
      </c>
      <c r="I6049" t="s" s="2">
        <v>1102</v>
      </c>
      <c r="J6049" t="s" s="2">
        <v>9204</v>
      </c>
      <c r="K6049" s="6"/>
      <c r="L6049" s="6"/>
      <c r="M6049" s="6"/>
      <c r="N6049" s="6"/>
      <c r="O6049" t="s" s="2">
        <v>25</v>
      </c>
      <c r="P6049" s="6"/>
      <c r="Q6049" t="s" s="2">
        <v>9675</v>
      </c>
      <c r="R6049" s="5">
        <f>_xlfn.IFERROR(INDEX('model_byCAP'!$D$2:$D$377,MATCH(Q6049,'model_byCAP'!$A$2:$A$377,0)),0)</f>
        <v>0</v>
      </c>
    </row>
    <row r="6050" ht="15.35" customHeight="1">
      <c r="A6050" t="s" s="2">
        <v>10535</v>
      </c>
      <c r="B6050" s="4">
        <v>43342</v>
      </c>
      <c r="C6050" s="5">
        <v>10</v>
      </c>
      <c r="D6050" s="5">
        <v>9.699999999999999</v>
      </c>
      <c r="E6050" s="5">
        <v>15</v>
      </c>
      <c r="F6050" t="s" s="2">
        <v>9673</v>
      </c>
      <c r="G6050" t="s" s="2">
        <v>9674</v>
      </c>
      <c r="H6050" s="5">
        <v>810</v>
      </c>
      <c r="I6050" t="s" s="2">
        <v>1102</v>
      </c>
      <c r="J6050" t="s" s="2">
        <v>9204</v>
      </c>
      <c r="K6050" s="6"/>
      <c r="L6050" s="6"/>
      <c r="M6050" s="6"/>
      <c r="N6050" s="6"/>
      <c r="O6050" t="s" s="2">
        <v>25</v>
      </c>
      <c r="P6050" s="6"/>
      <c r="Q6050" t="s" s="2">
        <v>9675</v>
      </c>
      <c r="R6050" s="5">
        <f>_xlfn.IFERROR(INDEX('model_byCAP'!$D$2:$D$377,MATCH(Q6050,'model_byCAP'!$A$2:$A$377,0)),0)</f>
        <v>0</v>
      </c>
    </row>
    <row r="6051" ht="15.35" customHeight="1">
      <c r="A6051" t="s" s="2">
        <v>10536</v>
      </c>
      <c r="B6051" s="4">
        <v>41872</v>
      </c>
      <c r="C6051" s="5">
        <v>10</v>
      </c>
      <c r="D6051" s="5">
        <v>7.1</v>
      </c>
      <c r="E6051" s="5">
        <v>21</v>
      </c>
      <c r="F6051" t="s" s="2">
        <v>42</v>
      </c>
      <c r="G6051" t="s" s="2">
        <v>42</v>
      </c>
      <c r="H6051" s="5">
        <v>810</v>
      </c>
      <c r="I6051" t="s" s="2">
        <v>1102</v>
      </c>
      <c r="J6051" t="s" s="2">
        <v>9204</v>
      </c>
      <c r="K6051" s="6"/>
      <c r="L6051" s="6"/>
      <c r="M6051" s="5">
        <v>572461.7</v>
      </c>
      <c r="N6051" s="5">
        <v>6340864.42</v>
      </c>
      <c r="O6051" t="s" s="2">
        <v>305</v>
      </c>
      <c r="P6051" s="6"/>
      <c r="Q6051" t="s" s="2">
        <v>43</v>
      </c>
      <c r="R6051" s="5">
        <f>_xlfn.IFERROR(INDEX('model_byCAP'!$D$2:$D$377,MATCH(Q6051,'model_byCAP'!$A$2:$A$377,0)),0)</f>
        <v>0</v>
      </c>
    </row>
    <row r="6052" ht="15.35" customHeight="1">
      <c r="A6052" t="s" s="2">
        <v>10537</v>
      </c>
      <c r="B6052" s="4">
        <v>41984</v>
      </c>
      <c r="C6052" s="5">
        <v>10</v>
      </c>
      <c r="D6052" s="5">
        <v>7</v>
      </c>
      <c r="E6052" s="5">
        <v>21</v>
      </c>
      <c r="F6052" t="s" s="2">
        <v>42</v>
      </c>
      <c r="G6052" t="s" s="2">
        <v>42</v>
      </c>
      <c r="H6052" s="5">
        <v>810</v>
      </c>
      <c r="I6052" t="s" s="2">
        <v>1102</v>
      </c>
      <c r="J6052" t="s" s="2">
        <v>9204</v>
      </c>
      <c r="K6052" s="6"/>
      <c r="L6052" s="6"/>
      <c r="M6052" s="5">
        <v>572757.55</v>
      </c>
      <c r="N6052" s="5">
        <v>6341635.64</v>
      </c>
      <c r="O6052" t="s" s="2">
        <v>305</v>
      </c>
      <c r="P6052" s="6"/>
      <c r="Q6052" t="s" s="2">
        <v>43</v>
      </c>
      <c r="R6052" s="5">
        <f>_xlfn.IFERROR(INDEX('model_byCAP'!$D$2:$D$377,MATCH(Q6052,'model_byCAP'!$A$2:$A$377,0)),0)</f>
        <v>0</v>
      </c>
    </row>
    <row r="6053" ht="15.35" customHeight="1">
      <c r="A6053" t="s" s="2">
        <v>10538</v>
      </c>
      <c r="B6053" s="4">
        <v>41641</v>
      </c>
      <c r="C6053" s="5">
        <v>10</v>
      </c>
      <c r="D6053" s="5">
        <v>13</v>
      </c>
      <c r="E6053" s="5">
        <v>18</v>
      </c>
      <c r="F6053" t="s" s="2">
        <v>9471</v>
      </c>
      <c r="G6053" t="s" s="2">
        <v>10539</v>
      </c>
      <c r="H6053" s="5">
        <v>813</v>
      </c>
      <c r="I6053" t="s" s="2">
        <v>1708</v>
      </c>
      <c r="J6053" t="s" s="2">
        <v>9204</v>
      </c>
      <c r="K6053" s="6"/>
      <c r="L6053" s="6"/>
      <c r="M6053" s="6"/>
      <c r="N6053" s="6"/>
      <c r="O6053" t="s" s="2">
        <v>25</v>
      </c>
      <c r="P6053" s="6"/>
      <c r="Q6053" t="s" s="2">
        <v>10540</v>
      </c>
      <c r="R6053" s="5">
        <f>_xlfn.IFERROR(INDEX('model_byCAP'!$D$2:$D$377,MATCH(Q6053,'model_byCAP'!$A$2:$A$377,0)),0)</f>
        <v>0</v>
      </c>
    </row>
    <row r="6054" ht="15.35" customHeight="1">
      <c r="A6054" t="s" s="2">
        <v>10541</v>
      </c>
      <c r="B6054" s="4">
        <v>42185</v>
      </c>
      <c r="C6054" s="5">
        <v>10</v>
      </c>
      <c r="D6054" s="5">
        <v>7</v>
      </c>
      <c r="E6054" s="5">
        <v>21</v>
      </c>
      <c r="F6054" t="s" s="2">
        <v>42</v>
      </c>
      <c r="G6054" t="s" s="2">
        <v>42</v>
      </c>
      <c r="H6054" s="5">
        <v>813</v>
      </c>
      <c r="I6054" t="s" s="2">
        <v>1708</v>
      </c>
      <c r="J6054" t="s" s="2">
        <v>9204</v>
      </c>
      <c r="K6054" s="6"/>
      <c r="L6054" s="6"/>
      <c r="M6054" s="5">
        <v>588789.97</v>
      </c>
      <c r="N6054" s="5">
        <v>6367891.96</v>
      </c>
      <c r="O6054" t="s" s="2">
        <v>305</v>
      </c>
      <c r="P6054" s="6"/>
      <c r="Q6054" t="s" s="2">
        <v>43</v>
      </c>
      <c r="R6054" s="5">
        <f>_xlfn.IFERROR(INDEX('model_byCAP'!$D$2:$D$377,MATCH(Q6054,'model_byCAP'!$A$2:$A$377,0)),0)</f>
        <v>0</v>
      </c>
    </row>
    <row r="6055" ht="15.35" customHeight="1">
      <c r="A6055" t="s" s="2">
        <v>10542</v>
      </c>
      <c r="B6055" s="4">
        <v>42222</v>
      </c>
      <c r="C6055" s="5">
        <v>10</v>
      </c>
      <c r="D6055" s="5">
        <v>7</v>
      </c>
      <c r="E6055" s="5">
        <v>21</v>
      </c>
      <c r="F6055" t="s" s="2">
        <v>42</v>
      </c>
      <c r="G6055" t="s" s="2">
        <v>42</v>
      </c>
      <c r="H6055" s="5">
        <v>813</v>
      </c>
      <c r="I6055" t="s" s="2">
        <v>1708</v>
      </c>
      <c r="J6055" t="s" s="2">
        <v>9204</v>
      </c>
      <c r="K6055" s="6"/>
      <c r="L6055" s="6"/>
      <c r="M6055" s="6"/>
      <c r="N6055" s="6"/>
      <c r="O6055" t="s" s="2">
        <v>25</v>
      </c>
      <c r="P6055" s="6"/>
      <c r="Q6055" t="s" s="2">
        <v>43</v>
      </c>
      <c r="R6055" s="5">
        <f>_xlfn.IFERROR(INDEX('model_byCAP'!$D$2:$D$377,MATCH(Q6055,'model_byCAP'!$A$2:$A$377,0)),0)</f>
        <v>0</v>
      </c>
    </row>
    <row r="6056" ht="15.35" customHeight="1">
      <c r="A6056" t="s" s="2">
        <v>10543</v>
      </c>
      <c r="B6056" s="4">
        <v>42270</v>
      </c>
      <c r="C6056" s="5">
        <v>10</v>
      </c>
      <c r="D6056" s="5">
        <v>14</v>
      </c>
      <c r="E6056" s="5">
        <v>18</v>
      </c>
      <c r="F6056" t="s" s="2">
        <v>9209</v>
      </c>
      <c r="G6056" t="s" s="2">
        <v>9293</v>
      </c>
      <c r="H6056" s="5">
        <v>813</v>
      </c>
      <c r="I6056" t="s" s="2">
        <v>1708</v>
      </c>
      <c r="J6056" t="s" s="2">
        <v>9204</v>
      </c>
      <c r="K6056" s="6"/>
      <c r="L6056" s="6"/>
      <c r="M6056" s="6"/>
      <c r="N6056" s="6"/>
      <c r="O6056" t="s" s="2">
        <v>25</v>
      </c>
      <c r="P6056" s="6"/>
      <c r="Q6056" t="s" s="2">
        <v>9295</v>
      </c>
      <c r="R6056" t="s" s="2">
        <f>_xlfn.IFERROR(INDEX('model_byCAP'!$D$2:$D$377,MATCH(Q6056,'model_byCAP'!$A$2:$A$377,0)),0)</f>
        <v>8430</v>
      </c>
    </row>
    <row r="6057" ht="15.35" customHeight="1">
      <c r="A6057" t="s" s="2">
        <v>10544</v>
      </c>
      <c r="B6057" s="4">
        <v>42293</v>
      </c>
      <c r="C6057" s="5">
        <v>10</v>
      </c>
      <c r="D6057" s="5">
        <v>7</v>
      </c>
      <c r="E6057" s="5">
        <v>21</v>
      </c>
      <c r="F6057" t="s" s="2">
        <v>42</v>
      </c>
      <c r="G6057" t="s" s="2">
        <v>42</v>
      </c>
      <c r="H6057" s="5">
        <v>813</v>
      </c>
      <c r="I6057" t="s" s="2">
        <v>1708</v>
      </c>
      <c r="J6057" t="s" s="2">
        <v>9204</v>
      </c>
      <c r="K6057" s="6"/>
      <c r="L6057" s="6"/>
      <c r="M6057" s="5">
        <v>572715.0699999999</v>
      </c>
      <c r="N6057" s="5">
        <v>6357524.63</v>
      </c>
      <c r="O6057" t="s" s="2">
        <v>305</v>
      </c>
      <c r="P6057" s="6"/>
      <c r="Q6057" t="s" s="2">
        <v>43</v>
      </c>
      <c r="R6057" s="5">
        <f>_xlfn.IFERROR(INDEX('model_byCAP'!$D$2:$D$377,MATCH(Q6057,'model_byCAP'!$A$2:$A$377,0)),0)</f>
        <v>0</v>
      </c>
    </row>
    <row r="6058" ht="15.35" customHeight="1">
      <c r="A6058" t="s" s="2">
        <v>10545</v>
      </c>
      <c r="B6058" s="4">
        <v>42269</v>
      </c>
      <c r="C6058" s="5">
        <v>10</v>
      </c>
      <c r="D6058" s="5">
        <v>7</v>
      </c>
      <c r="E6058" s="5">
        <v>21</v>
      </c>
      <c r="F6058" t="s" s="2">
        <v>42</v>
      </c>
      <c r="G6058" t="s" s="2">
        <v>42</v>
      </c>
      <c r="H6058" s="5">
        <v>813</v>
      </c>
      <c r="I6058" t="s" s="2">
        <v>1708</v>
      </c>
      <c r="J6058" t="s" s="2">
        <v>9204</v>
      </c>
      <c r="K6058" s="6"/>
      <c r="L6058" s="6"/>
      <c r="M6058" s="6"/>
      <c r="N6058" s="6"/>
      <c r="O6058" t="s" s="2">
        <v>25</v>
      </c>
      <c r="P6058" s="6"/>
      <c r="Q6058" t="s" s="2">
        <v>43</v>
      </c>
      <c r="R6058" s="5">
        <f>_xlfn.IFERROR(INDEX('model_byCAP'!$D$2:$D$377,MATCH(Q6058,'model_byCAP'!$A$2:$A$377,0)),0)</f>
        <v>0</v>
      </c>
    </row>
    <row r="6059" ht="15.35" customHeight="1">
      <c r="A6059" t="s" s="2">
        <v>10546</v>
      </c>
      <c r="B6059" s="4">
        <v>42290</v>
      </c>
      <c r="C6059" s="5">
        <v>10</v>
      </c>
      <c r="D6059" s="5">
        <v>7</v>
      </c>
      <c r="E6059" s="5">
        <v>21</v>
      </c>
      <c r="F6059" t="s" s="2">
        <v>42</v>
      </c>
      <c r="G6059" t="s" s="2">
        <v>42</v>
      </c>
      <c r="H6059" s="5">
        <v>813</v>
      </c>
      <c r="I6059" t="s" s="2">
        <v>1708</v>
      </c>
      <c r="J6059" t="s" s="2">
        <v>9204</v>
      </c>
      <c r="K6059" s="6"/>
      <c r="L6059" s="6"/>
      <c r="M6059" s="5">
        <v>590033.03</v>
      </c>
      <c r="N6059" s="5">
        <v>6342503.51</v>
      </c>
      <c r="O6059" t="s" s="2">
        <v>305</v>
      </c>
      <c r="P6059" s="6"/>
      <c r="Q6059" t="s" s="2">
        <v>43</v>
      </c>
      <c r="R6059" s="5">
        <f>_xlfn.IFERROR(INDEX('model_byCAP'!$D$2:$D$377,MATCH(Q6059,'model_byCAP'!$A$2:$A$377,0)),0)</f>
        <v>0</v>
      </c>
    </row>
    <row r="6060" ht="15.35" customHeight="1">
      <c r="A6060" t="s" s="2">
        <v>10547</v>
      </c>
      <c r="B6060" s="4">
        <v>42294</v>
      </c>
      <c r="C6060" s="5">
        <v>10</v>
      </c>
      <c r="D6060" s="5">
        <v>13</v>
      </c>
      <c r="E6060" s="5">
        <v>18</v>
      </c>
      <c r="F6060" t="s" s="2">
        <v>9471</v>
      </c>
      <c r="G6060" t="s" s="2">
        <v>9606</v>
      </c>
      <c r="H6060" s="5">
        <v>813</v>
      </c>
      <c r="I6060" t="s" s="2">
        <v>1708</v>
      </c>
      <c r="J6060" t="s" s="2">
        <v>9204</v>
      </c>
      <c r="K6060" s="6"/>
      <c r="L6060" s="6"/>
      <c r="M6060" s="5">
        <v>575379.58</v>
      </c>
      <c r="N6060" s="5">
        <v>6359719.48</v>
      </c>
      <c r="O6060" t="s" s="2">
        <v>305</v>
      </c>
      <c r="P6060" s="6"/>
      <c r="Q6060" t="s" s="2">
        <v>9607</v>
      </c>
      <c r="R6060" s="5">
        <f>_xlfn.IFERROR(INDEX('model_byCAP'!$D$2:$D$377,MATCH(Q6060,'model_byCAP'!$A$2:$A$377,0)),0)</f>
        <v>0</v>
      </c>
    </row>
    <row r="6061" ht="15.35" customHeight="1">
      <c r="A6061" t="s" s="2">
        <v>10548</v>
      </c>
      <c r="B6061" s="4">
        <v>42283</v>
      </c>
      <c r="C6061" s="5">
        <v>10</v>
      </c>
      <c r="D6061" s="5">
        <v>7</v>
      </c>
      <c r="E6061" s="5">
        <v>21</v>
      </c>
      <c r="F6061" t="s" s="2">
        <v>42</v>
      </c>
      <c r="G6061" t="s" s="2">
        <v>42</v>
      </c>
      <c r="H6061" s="5">
        <v>813</v>
      </c>
      <c r="I6061" t="s" s="2">
        <v>1708</v>
      </c>
      <c r="J6061" t="s" s="2">
        <v>9204</v>
      </c>
      <c r="K6061" s="6"/>
      <c r="L6061" s="6"/>
      <c r="M6061" s="5">
        <v>587813.84</v>
      </c>
      <c r="N6061" s="5">
        <v>6340565.63</v>
      </c>
      <c r="O6061" t="s" s="2">
        <v>305</v>
      </c>
      <c r="P6061" s="6"/>
      <c r="Q6061" t="s" s="2">
        <v>43</v>
      </c>
      <c r="R6061" s="5">
        <f>_xlfn.IFERROR(INDEX('model_byCAP'!$D$2:$D$377,MATCH(Q6061,'model_byCAP'!$A$2:$A$377,0)),0)</f>
        <v>0</v>
      </c>
    </row>
    <row r="6062" ht="15.35" customHeight="1">
      <c r="A6062" t="s" s="2">
        <v>10549</v>
      </c>
      <c r="B6062" s="4">
        <v>42335</v>
      </c>
      <c r="C6062" s="5">
        <v>10</v>
      </c>
      <c r="D6062" s="5">
        <v>7</v>
      </c>
      <c r="E6062" s="5">
        <v>21</v>
      </c>
      <c r="F6062" t="s" s="2">
        <v>42</v>
      </c>
      <c r="G6062" t="s" s="2">
        <v>42</v>
      </c>
      <c r="H6062" s="5">
        <v>813</v>
      </c>
      <c r="I6062" t="s" s="2">
        <v>1708</v>
      </c>
      <c r="J6062" t="s" s="2">
        <v>9204</v>
      </c>
      <c r="K6062" s="6"/>
      <c r="L6062" s="6"/>
      <c r="M6062" s="6"/>
      <c r="N6062" s="6"/>
      <c r="O6062" t="s" s="2">
        <v>25</v>
      </c>
      <c r="P6062" s="6"/>
      <c r="Q6062" t="s" s="2">
        <v>43</v>
      </c>
      <c r="R6062" s="5">
        <f>_xlfn.IFERROR(INDEX('model_byCAP'!$D$2:$D$377,MATCH(Q6062,'model_byCAP'!$A$2:$A$377,0)),0)</f>
        <v>0</v>
      </c>
    </row>
    <row r="6063" ht="15.35" customHeight="1">
      <c r="A6063" t="s" s="2">
        <v>10550</v>
      </c>
      <c r="B6063" s="4">
        <v>42348</v>
      </c>
      <c r="C6063" s="5">
        <v>10</v>
      </c>
      <c r="D6063" s="5">
        <v>7</v>
      </c>
      <c r="E6063" s="5">
        <v>21</v>
      </c>
      <c r="F6063" t="s" s="2">
        <v>42</v>
      </c>
      <c r="G6063" t="s" s="2">
        <v>42</v>
      </c>
      <c r="H6063" s="5">
        <v>813</v>
      </c>
      <c r="I6063" t="s" s="2">
        <v>1708</v>
      </c>
      <c r="J6063" t="s" s="2">
        <v>9204</v>
      </c>
      <c r="K6063" s="6"/>
      <c r="L6063" s="6"/>
      <c r="M6063" s="6"/>
      <c r="N6063" s="6"/>
      <c r="O6063" t="s" s="2">
        <v>25</v>
      </c>
      <c r="P6063" s="6"/>
      <c r="Q6063" t="s" s="2">
        <v>43</v>
      </c>
      <c r="R6063" s="5">
        <f>_xlfn.IFERROR(INDEX('model_byCAP'!$D$2:$D$377,MATCH(Q6063,'model_byCAP'!$A$2:$A$377,0)),0)</f>
        <v>0</v>
      </c>
    </row>
    <row r="6064" ht="15.35" customHeight="1">
      <c r="A6064" t="s" s="2">
        <v>10551</v>
      </c>
      <c r="B6064" s="4">
        <v>42311</v>
      </c>
      <c r="C6064" s="5">
        <v>10</v>
      </c>
      <c r="D6064" s="5">
        <v>7</v>
      </c>
      <c r="E6064" s="5">
        <v>21</v>
      </c>
      <c r="F6064" t="s" s="2">
        <v>42</v>
      </c>
      <c r="G6064" t="s" s="2">
        <v>42</v>
      </c>
      <c r="H6064" s="5">
        <v>813</v>
      </c>
      <c r="I6064" t="s" s="2">
        <v>1708</v>
      </c>
      <c r="J6064" t="s" s="2">
        <v>9204</v>
      </c>
      <c r="K6064" s="6"/>
      <c r="L6064" s="6"/>
      <c r="M6064" s="5">
        <v>584810.85</v>
      </c>
      <c r="N6064" s="5">
        <v>6361594.51</v>
      </c>
      <c r="O6064" t="s" s="2">
        <v>305</v>
      </c>
      <c r="P6064" s="6"/>
      <c r="Q6064" t="s" s="2">
        <v>43</v>
      </c>
      <c r="R6064" s="5">
        <f>_xlfn.IFERROR(INDEX('model_byCAP'!$D$2:$D$377,MATCH(Q6064,'model_byCAP'!$A$2:$A$377,0)),0)</f>
        <v>0</v>
      </c>
    </row>
    <row r="6065" ht="15.35" customHeight="1">
      <c r="A6065" t="s" s="2">
        <v>10552</v>
      </c>
      <c r="B6065" s="4">
        <v>42352</v>
      </c>
      <c r="C6065" s="5">
        <v>10</v>
      </c>
      <c r="D6065" s="5">
        <v>16</v>
      </c>
      <c r="E6065" s="5">
        <v>17</v>
      </c>
      <c r="F6065" t="s" s="2">
        <v>9209</v>
      </c>
      <c r="G6065" t="s" s="2">
        <v>9638</v>
      </c>
      <c r="H6065" s="5">
        <v>813</v>
      </c>
      <c r="I6065" t="s" s="2">
        <v>1708</v>
      </c>
      <c r="J6065" t="s" s="2">
        <v>9204</v>
      </c>
      <c r="K6065" s="6"/>
      <c r="L6065" s="6"/>
      <c r="M6065" s="5">
        <v>590659.5600000001</v>
      </c>
      <c r="N6065" s="5">
        <v>6363926.42</v>
      </c>
      <c r="O6065" t="s" s="2">
        <v>305</v>
      </c>
      <c r="P6065" s="6"/>
      <c r="Q6065" t="s" s="2">
        <v>9639</v>
      </c>
      <c r="R6065" s="5">
        <f>_xlfn.IFERROR(INDEX('model_byCAP'!$D$2:$D$377,MATCH(Q6065,'model_byCAP'!$A$2:$A$377,0)),0)</f>
        <v>0</v>
      </c>
    </row>
    <row r="6066" ht="15.35" customHeight="1">
      <c r="A6066" t="s" s="2">
        <v>10553</v>
      </c>
      <c r="B6066" s="4">
        <v>42354</v>
      </c>
      <c r="C6066" s="5">
        <v>10</v>
      </c>
      <c r="D6066" s="5">
        <v>13</v>
      </c>
      <c r="E6066" s="5">
        <v>18</v>
      </c>
      <c r="F6066" t="s" s="2">
        <v>9471</v>
      </c>
      <c r="G6066" t="s" s="2">
        <v>9606</v>
      </c>
      <c r="H6066" s="5">
        <v>813</v>
      </c>
      <c r="I6066" t="s" s="2">
        <v>1708</v>
      </c>
      <c r="J6066" t="s" s="2">
        <v>9204</v>
      </c>
      <c r="K6066" s="6"/>
      <c r="L6066" s="6"/>
      <c r="M6066" s="5">
        <v>575797.23</v>
      </c>
      <c r="N6066" s="5">
        <v>6349392</v>
      </c>
      <c r="O6066" t="s" s="2">
        <v>305</v>
      </c>
      <c r="P6066" s="6"/>
      <c r="Q6066" t="s" s="2">
        <v>9607</v>
      </c>
      <c r="R6066" s="5">
        <f>_xlfn.IFERROR(INDEX('model_byCAP'!$D$2:$D$377,MATCH(Q6066,'model_byCAP'!$A$2:$A$377,0)),0)</f>
        <v>0</v>
      </c>
    </row>
    <row r="6067" ht="15.35" customHeight="1">
      <c r="A6067" t="s" s="2">
        <v>10554</v>
      </c>
      <c r="B6067" s="4">
        <v>42346</v>
      </c>
      <c r="C6067" s="5">
        <v>10</v>
      </c>
      <c r="D6067" s="5">
        <v>7</v>
      </c>
      <c r="E6067" s="5">
        <v>21</v>
      </c>
      <c r="F6067" t="s" s="2">
        <v>42</v>
      </c>
      <c r="G6067" t="s" s="2">
        <v>42</v>
      </c>
      <c r="H6067" s="5">
        <v>813</v>
      </c>
      <c r="I6067" t="s" s="2">
        <v>1708</v>
      </c>
      <c r="J6067" t="s" s="2">
        <v>9204</v>
      </c>
      <c r="K6067" s="6"/>
      <c r="L6067" s="6"/>
      <c r="M6067" s="5">
        <v>583811.09</v>
      </c>
      <c r="N6067" s="5">
        <v>6356853.26</v>
      </c>
      <c r="O6067" t="s" s="2">
        <v>305</v>
      </c>
      <c r="P6067" s="6"/>
      <c r="Q6067" t="s" s="2">
        <v>43</v>
      </c>
      <c r="R6067" s="5">
        <f>_xlfn.IFERROR(INDEX('model_byCAP'!$D$2:$D$377,MATCH(Q6067,'model_byCAP'!$A$2:$A$377,0)),0)</f>
        <v>0</v>
      </c>
    </row>
    <row r="6068" ht="15.35" customHeight="1">
      <c r="A6068" t="s" s="2">
        <v>10555</v>
      </c>
      <c r="B6068" s="4">
        <v>42346</v>
      </c>
      <c r="C6068" s="5">
        <v>10</v>
      </c>
      <c r="D6068" s="5">
        <v>7</v>
      </c>
      <c r="E6068" s="5">
        <v>21</v>
      </c>
      <c r="F6068" t="s" s="2">
        <v>42</v>
      </c>
      <c r="G6068" t="s" s="2">
        <v>42</v>
      </c>
      <c r="H6068" s="5">
        <v>813</v>
      </c>
      <c r="I6068" t="s" s="2">
        <v>1708</v>
      </c>
      <c r="J6068" t="s" s="2">
        <v>9204</v>
      </c>
      <c r="K6068" s="6"/>
      <c r="L6068" s="6"/>
      <c r="M6068" s="5">
        <v>583800.23</v>
      </c>
      <c r="N6068" s="5">
        <v>6356834.25</v>
      </c>
      <c r="O6068" t="s" s="2">
        <v>305</v>
      </c>
      <c r="P6068" s="6"/>
      <c r="Q6068" t="s" s="2">
        <v>43</v>
      </c>
      <c r="R6068" s="5">
        <f>_xlfn.IFERROR(INDEX('model_byCAP'!$D$2:$D$377,MATCH(Q6068,'model_byCAP'!$A$2:$A$377,0)),0)</f>
        <v>0</v>
      </c>
    </row>
    <row r="6069" ht="15.35" customHeight="1">
      <c r="A6069" t="s" s="2">
        <v>10556</v>
      </c>
      <c r="B6069" s="4">
        <v>42387</v>
      </c>
      <c r="C6069" s="5">
        <v>10</v>
      </c>
      <c r="D6069" s="5">
        <v>14</v>
      </c>
      <c r="E6069" s="5">
        <v>18</v>
      </c>
      <c r="F6069" t="s" s="2">
        <v>9209</v>
      </c>
      <c r="G6069" t="s" s="2">
        <v>9293</v>
      </c>
      <c r="H6069" s="5">
        <v>813</v>
      </c>
      <c r="I6069" t="s" s="2">
        <v>1708</v>
      </c>
      <c r="J6069" t="s" s="2">
        <v>9204</v>
      </c>
      <c r="K6069" s="6"/>
      <c r="L6069" s="6"/>
      <c r="M6069" s="5">
        <v>586296.1</v>
      </c>
      <c r="N6069" s="5">
        <v>6368459.45</v>
      </c>
      <c r="O6069" t="s" s="2">
        <v>305</v>
      </c>
      <c r="P6069" s="6"/>
      <c r="Q6069" t="s" s="2">
        <v>9295</v>
      </c>
      <c r="R6069" t="s" s="2">
        <f>_xlfn.IFERROR(INDEX('model_byCAP'!$D$2:$D$377,MATCH(Q6069,'model_byCAP'!$A$2:$A$377,0)),0)</f>
        <v>8430</v>
      </c>
    </row>
    <row r="6070" ht="15.35" customHeight="1">
      <c r="A6070" t="s" s="2">
        <v>10557</v>
      </c>
      <c r="B6070" s="4">
        <v>42388</v>
      </c>
      <c r="C6070" s="5">
        <v>10</v>
      </c>
      <c r="D6070" s="5">
        <v>14</v>
      </c>
      <c r="E6070" s="5">
        <v>18</v>
      </c>
      <c r="F6070" t="s" s="2">
        <v>9209</v>
      </c>
      <c r="G6070" t="s" s="2">
        <v>9293</v>
      </c>
      <c r="H6070" s="5">
        <v>813</v>
      </c>
      <c r="I6070" t="s" s="2">
        <v>1708</v>
      </c>
      <c r="J6070" t="s" s="2">
        <v>9204</v>
      </c>
      <c r="K6070" s="6"/>
      <c r="L6070" s="6"/>
      <c r="M6070" s="5">
        <v>573830.16</v>
      </c>
      <c r="N6070" s="5">
        <v>6354384.46</v>
      </c>
      <c r="O6070" t="s" s="2">
        <v>305</v>
      </c>
      <c r="P6070" s="6"/>
      <c r="Q6070" t="s" s="2">
        <v>9295</v>
      </c>
      <c r="R6070" t="s" s="2">
        <f>_xlfn.IFERROR(INDEX('model_byCAP'!$D$2:$D$377,MATCH(Q6070,'model_byCAP'!$A$2:$A$377,0)),0)</f>
        <v>8430</v>
      </c>
    </row>
    <row r="6071" ht="15.35" customHeight="1">
      <c r="A6071" t="s" s="2">
        <v>10558</v>
      </c>
      <c r="B6071" s="4">
        <v>42394</v>
      </c>
      <c r="C6071" s="5">
        <v>10</v>
      </c>
      <c r="D6071" s="5">
        <v>14</v>
      </c>
      <c r="E6071" s="5">
        <v>18</v>
      </c>
      <c r="F6071" t="s" s="2">
        <v>9209</v>
      </c>
      <c r="G6071" t="s" s="2">
        <v>9293</v>
      </c>
      <c r="H6071" s="5">
        <v>813</v>
      </c>
      <c r="I6071" t="s" s="2">
        <v>1708</v>
      </c>
      <c r="J6071" t="s" s="2">
        <v>9204</v>
      </c>
      <c r="K6071" s="6"/>
      <c r="L6071" s="6"/>
      <c r="M6071" s="5">
        <v>581325.24</v>
      </c>
      <c r="N6071" s="5">
        <v>6348245.93</v>
      </c>
      <c r="O6071" t="s" s="2">
        <v>305</v>
      </c>
      <c r="P6071" s="6"/>
      <c r="Q6071" t="s" s="2">
        <v>9295</v>
      </c>
      <c r="R6071" t="s" s="2">
        <f>_xlfn.IFERROR(INDEX('model_byCAP'!$D$2:$D$377,MATCH(Q6071,'model_byCAP'!$A$2:$A$377,0)),0)</f>
        <v>8430</v>
      </c>
    </row>
    <row r="6072" ht="15.35" customHeight="1">
      <c r="A6072" t="s" s="2">
        <v>10559</v>
      </c>
      <c r="B6072" s="4">
        <v>42408</v>
      </c>
      <c r="C6072" s="5">
        <v>10</v>
      </c>
      <c r="D6072" s="5">
        <v>14</v>
      </c>
      <c r="E6072" s="5">
        <v>18</v>
      </c>
      <c r="F6072" t="s" s="2">
        <v>9209</v>
      </c>
      <c r="G6072" t="s" s="2">
        <v>9293</v>
      </c>
      <c r="H6072" s="5">
        <v>813</v>
      </c>
      <c r="I6072" t="s" s="2">
        <v>1708</v>
      </c>
      <c r="J6072" t="s" s="2">
        <v>9204</v>
      </c>
      <c r="K6072" s="6"/>
      <c r="L6072" s="6"/>
      <c r="M6072" s="5">
        <v>590800.35</v>
      </c>
      <c r="N6072" s="5">
        <v>6363474.51</v>
      </c>
      <c r="O6072" t="s" s="2">
        <v>305</v>
      </c>
      <c r="P6072" s="6"/>
      <c r="Q6072" t="s" s="2">
        <v>9295</v>
      </c>
      <c r="R6072" t="s" s="2">
        <f>_xlfn.IFERROR(INDEX('model_byCAP'!$D$2:$D$377,MATCH(Q6072,'model_byCAP'!$A$2:$A$377,0)),0)</f>
        <v>8430</v>
      </c>
    </row>
    <row r="6073" ht="15.35" customHeight="1">
      <c r="A6073" t="s" s="2">
        <v>10560</v>
      </c>
      <c r="B6073" s="4">
        <v>42549</v>
      </c>
      <c r="C6073" s="5">
        <v>10</v>
      </c>
      <c r="D6073" s="5">
        <v>14</v>
      </c>
      <c r="E6073" s="5">
        <v>18</v>
      </c>
      <c r="F6073" t="s" s="2">
        <v>9209</v>
      </c>
      <c r="G6073" t="s" s="2">
        <v>9293</v>
      </c>
      <c r="H6073" s="5">
        <v>813</v>
      </c>
      <c r="I6073" t="s" s="2">
        <v>1708</v>
      </c>
      <c r="J6073" t="s" s="2">
        <v>9204</v>
      </c>
      <c r="K6073" s="6"/>
      <c r="L6073" s="6"/>
      <c r="M6073" s="6"/>
      <c r="N6073" s="6"/>
      <c r="O6073" t="s" s="2">
        <v>25</v>
      </c>
      <c r="P6073" s="6"/>
      <c r="Q6073" t="s" s="2">
        <v>9295</v>
      </c>
      <c r="R6073" t="s" s="2">
        <f>_xlfn.IFERROR(INDEX('model_byCAP'!$D$2:$D$377,MATCH(Q6073,'model_byCAP'!$A$2:$A$377,0)),0)</f>
        <v>8430</v>
      </c>
    </row>
    <row r="6074" ht="15.35" customHeight="1">
      <c r="A6074" t="s" s="2">
        <v>10561</v>
      </c>
      <c r="B6074" s="4">
        <v>42572</v>
      </c>
      <c r="C6074" s="5">
        <v>10</v>
      </c>
      <c r="D6074" s="5">
        <v>7</v>
      </c>
      <c r="E6074" s="5">
        <v>21</v>
      </c>
      <c r="F6074" t="s" s="2">
        <v>42</v>
      </c>
      <c r="G6074" t="s" s="2">
        <v>42</v>
      </c>
      <c r="H6074" s="5">
        <v>813</v>
      </c>
      <c r="I6074" t="s" s="2">
        <v>1708</v>
      </c>
      <c r="J6074" t="s" s="2">
        <v>9204</v>
      </c>
      <c r="K6074" s="6"/>
      <c r="L6074" s="6"/>
      <c r="M6074" s="6"/>
      <c r="N6074" s="6"/>
      <c r="O6074" t="s" s="2">
        <v>25</v>
      </c>
      <c r="P6074" s="6"/>
      <c r="Q6074" t="s" s="2">
        <v>43</v>
      </c>
      <c r="R6074" s="5">
        <f>_xlfn.IFERROR(INDEX('model_byCAP'!$D$2:$D$377,MATCH(Q6074,'model_byCAP'!$A$2:$A$377,0)),0)</f>
        <v>0</v>
      </c>
    </row>
    <row r="6075" ht="15.35" customHeight="1">
      <c r="A6075" t="s" s="2">
        <v>10562</v>
      </c>
      <c r="B6075" s="4">
        <v>43403</v>
      </c>
      <c r="C6075" s="5">
        <v>10</v>
      </c>
      <c r="D6075" s="5">
        <v>7.1</v>
      </c>
      <c r="E6075" s="5">
        <v>21.4</v>
      </c>
      <c r="F6075" t="s" s="2">
        <v>42</v>
      </c>
      <c r="G6075" t="s" s="2">
        <v>42</v>
      </c>
      <c r="H6075" s="5">
        <v>813</v>
      </c>
      <c r="I6075" t="s" s="2">
        <v>1708</v>
      </c>
      <c r="J6075" t="s" s="2">
        <v>9204</v>
      </c>
      <c r="K6075" s="6"/>
      <c r="L6075" s="6"/>
      <c r="M6075" s="6"/>
      <c r="N6075" s="6"/>
      <c r="O6075" t="s" s="2">
        <v>25</v>
      </c>
      <c r="P6075" s="6"/>
      <c r="Q6075" t="s" s="2">
        <v>43</v>
      </c>
      <c r="R6075" s="5">
        <f>_xlfn.IFERROR(INDEX('model_byCAP'!$D$2:$D$377,MATCH(Q6075,'model_byCAP'!$A$2:$A$377,0)),0)</f>
        <v>0</v>
      </c>
    </row>
    <row r="6076" ht="15.35" customHeight="1">
      <c r="A6076" t="s" s="2">
        <v>10563</v>
      </c>
      <c r="B6076" s="4">
        <v>43412</v>
      </c>
      <c r="C6076" s="5">
        <v>10</v>
      </c>
      <c r="D6076" s="5">
        <v>9.300000000000001</v>
      </c>
      <c r="E6076" s="5">
        <v>20.3</v>
      </c>
      <c r="F6076" t="s" s="2">
        <v>9599</v>
      </c>
      <c r="G6076" t="s" s="2">
        <v>9600</v>
      </c>
      <c r="H6076" s="5">
        <v>813</v>
      </c>
      <c r="I6076" t="s" s="2">
        <v>1708</v>
      </c>
      <c r="J6076" t="s" s="2">
        <v>9204</v>
      </c>
      <c r="K6076" s="6"/>
      <c r="L6076" s="6"/>
      <c r="M6076" s="6"/>
      <c r="N6076" s="6"/>
      <c r="O6076" t="s" s="2">
        <v>25</v>
      </c>
      <c r="P6076" s="6"/>
      <c r="Q6076" t="s" s="2">
        <v>9601</v>
      </c>
      <c r="R6076" s="5">
        <f>_xlfn.IFERROR(INDEX('model_byCAP'!$D$2:$D$377,MATCH(Q6076,'model_byCAP'!$A$2:$A$377,0)),0)</f>
        <v>0</v>
      </c>
    </row>
    <row r="6077" ht="15.35" customHeight="1">
      <c r="A6077" t="s" s="2">
        <v>10564</v>
      </c>
      <c r="B6077" s="4">
        <v>43614</v>
      </c>
      <c r="C6077" s="5">
        <v>10</v>
      </c>
      <c r="D6077" s="5">
        <v>14</v>
      </c>
      <c r="E6077" s="5">
        <v>18</v>
      </c>
      <c r="F6077" t="s" s="2">
        <v>9209</v>
      </c>
      <c r="G6077" t="s" s="2">
        <v>9293</v>
      </c>
      <c r="H6077" s="5">
        <v>813</v>
      </c>
      <c r="I6077" t="s" s="2">
        <v>1708</v>
      </c>
      <c r="J6077" t="s" s="2">
        <v>9204</v>
      </c>
      <c r="K6077" s="6"/>
      <c r="L6077" s="6"/>
      <c r="M6077" s="6"/>
      <c r="N6077" s="6"/>
      <c r="O6077" t="s" s="2">
        <v>25</v>
      </c>
      <c r="P6077" s="6"/>
      <c r="Q6077" t="s" s="2">
        <v>9295</v>
      </c>
      <c r="R6077" t="s" s="2">
        <f>_xlfn.IFERROR(INDEX('model_byCAP'!$D$2:$D$377,MATCH(Q6077,'model_byCAP'!$A$2:$A$377,0)),0)</f>
        <v>8430</v>
      </c>
    </row>
    <row r="6078" ht="15.35" customHeight="1">
      <c r="A6078" t="s" s="2">
        <v>10565</v>
      </c>
      <c r="B6078" s="4">
        <v>43648</v>
      </c>
      <c r="C6078" s="5">
        <v>10</v>
      </c>
      <c r="D6078" s="5">
        <v>14</v>
      </c>
      <c r="E6078" s="5">
        <v>18</v>
      </c>
      <c r="F6078" t="s" s="2">
        <v>9209</v>
      </c>
      <c r="G6078" t="s" s="2">
        <v>9293</v>
      </c>
      <c r="H6078" s="5">
        <v>813</v>
      </c>
      <c r="I6078" t="s" s="2">
        <v>1708</v>
      </c>
      <c r="J6078" t="s" s="2">
        <v>9204</v>
      </c>
      <c r="K6078" s="6"/>
      <c r="L6078" s="6"/>
      <c r="M6078" s="6"/>
      <c r="N6078" s="6"/>
      <c r="O6078" t="s" s="2">
        <v>25</v>
      </c>
      <c r="P6078" s="6"/>
      <c r="Q6078" t="s" s="2">
        <v>9295</v>
      </c>
      <c r="R6078" t="s" s="2">
        <f>_xlfn.IFERROR(INDEX('model_byCAP'!$D$2:$D$377,MATCH(Q6078,'model_byCAP'!$A$2:$A$377,0)),0)</f>
        <v>8430</v>
      </c>
    </row>
    <row r="6079" ht="15.35" customHeight="1">
      <c r="A6079" t="s" s="2">
        <v>10566</v>
      </c>
      <c r="B6079" s="4">
        <v>41677</v>
      </c>
      <c r="C6079" s="5">
        <v>10</v>
      </c>
      <c r="D6079" s="5">
        <v>7</v>
      </c>
      <c r="E6079" s="5">
        <v>21</v>
      </c>
      <c r="F6079" t="s" s="2">
        <v>42</v>
      </c>
      <c r="G6079" t="s" s="2">
        <v>42</v>
      </c>
      <c r="H6079" s="5">
        <v>813</v>
      </c>
      <c r="I6079" t="s" s="2">
        <v>1708</v>
      </c>
      <c r="J6079" t="s" s="2">
        <v>9204</v>
      </c>
      <c r="K6079" s="6"/>
      <c r="L6079" s="6"/>
      <c r="M6079" s="5">
        <v>587790.73</v>
      </c>
      <c r="N6079" s="5">
        <v>6367171.76</v>
      </c>
      <c r="O6079" t="s" s="2">
        <v>305</v>
      </c>
      <c r="P6079" s="6"/>
      <c r="Q6079" t="s" s="2">
        <v>43</v>
      </c>
      <c r="R6079" s="5">
        <f>_xlfn.IFERROR(INDEX('model_byCAP'!$D$2:$D$377,MATCH(Q6079,'model_byCAP'!$A$2:$A$377,0)),0)</f>
        <v>0</v>
      </c>
    </row>
    <row r="6080" ht="15.35" customHeight="1">
      <c r="A6080" t="s" s="2">
        <v>10567</v>
      </c>
      <c r="B6080" s="4">
        <v>41802</v>
      </c>
      <c r="C6080" s="5">
        <v>10</v>
      </c>
      <c r="D6080" s="5">
        <v>7.1</v>
      </c>
      <c r="E6080" s="5">
        <v>21.4</v>
      </c>
      <c r="F6080" t="s" s="2">
        <v>42</v>
      </c>
      <c r="G6080" t="s" s="2">
        <v>42</v>
      </c>
      <c r="H6080" s="5">
        <v>813</v>
      </c>
      <c r="I6080" t="s" s="2">
        <v>1708</v>
      </c>
      <c r="J6080" t="s" s="2">
        <v>9204</v>
      </c>
      <c r="K6080" s="6"/>
      <c r="L6080" s="6"/>
      <c r="M6080" s="5">
        <v>586344.02</v>
      </c>
      <c r="N6080" s="5">
        <v>6337852.93</v>
      </c>
      <c r="O6080" t="s" s="2">
        <v>305</v>
      </c>
      <c r="P6080" s="6"/>
      <c r="Q6080" t="s" s="2">
        <v>43</v>
      </c>
      <c r="R6080" s="5">
        <f>_xlfn.IFERROR(INDEX('model_byCAP'!$D$2:$D$377,MATCH(Q6080,'model_byCAP'!$A$2:$A$377,0)),0)</f>
        <v>0</v>
      </c>
    </row>
    <row r="6081" ht="15.35" customHeight="1">
      <c r="A6081" t="s" s="2">
        <v>10568</v>
      </c>
      <c r="B6081" s="4">
        <v>41984</v>
      </c>
      <c r="C6081" s="5">
        <v>10</v>
      </c>
      <c r="D6081" s="5">
        <v>16</v>
      </c>
      <c r="E6081" s="5">
        <v>17</v>
      </c>
      <c r="F6081" t="s" s="2">
        <v>9209</v>
      </c>
      <c r="G6081" t="s" s="2">
        <v>9638</v>
      </c>
      <c r="H6081" s="5">
        <v>813</v>
      </c>
      <c r="I6081" t="s" s="2">
        <v>1708</v>
      </c>
      <c r="J6081" t="s" s="2">
        <v>9204</v>
      </c>
      <c r="K6081" s="6"/>
      <c r="L6081" s="6"/>
      <c r="M6081" s="5">
        <v>590660.78</v>
      </c>
      <c r="N6081" s="5">
        <v>6363892.15</v>
      </c>
      <c r="O6081" t="s" s="2">
        <v>305</v>
      </c>
      <c r="P6081" s="6"/>
      <c r="Q6081" t="s" s="2">
        <v>9639</v>
      </c>
      <c r="R6081" s="5">
        <f>_xlfn.IFERROR(INDEX('model_byCAP'!$D$2:$D$377,MATCH(Q6081,'model_byCAP'!$A$2:$A$377,0)),0)</f>
        <v>0</v>
      </c>
    </row>
    <row r="6082" ht="15.35" customHeight="1">
      <c r="A6082" t="s" s="2">
        <v>10569</v>
      </c>
      <c r="B6082" s="4">
        <v>42226</v>
      </c>
      <c r="C6082" s="5">
        <v>10</v>
      </c>
      <c r="D6082" s="5">
        <v>13</v>
      </c>
      <c r="E6082" s="5">
        <v>18</v>
      </c>
      <c r="F6082" t="s" s="2">
        <v>42</v>
      </c>
      <c r="G6082" t="s" s="2">
        <v>42</v>
      </c>
      <c r="H6082" s="5">
        <v>820</v>
      </c>
      <c r="I6082" t="s" s="2">
        <v>388</v>
      </c>
      <c r="J6082" t="s" s="2">
        <v>9204</v>
      </c>
      <c r="K6082" s="6"/>
      <c r="L6082" s="6"/>
      <c r="M6082" s="5">
        <v>526359.27</v>
      </c>
      <c r="N6082" s="5">
        <v>6299364.93</v>
      </c>
      <c r="O6082" t="s" s="2">
        <v>305</v>
      </c>
      <c r="P6082" s="6"/>
      <c r="Q6082" t="s" s="2">
        <v>43</v>
      </c>
      <c r="R6082" s="5">
        <f>_xlfn.IFERROR(INDEX('model_byCAP'!$D$2:$D$377,MATCH(Q6082,'model_byCAP'!$A$2:$A$377,0)),0)</f>
        <v>0</v>
      </c>
    </row>
    <row r="6083" ht="15.35" customHeight="1">
      <c r="A6083" t="s" s="2">
        <v>10570</v>
      </c>
      <c r="B6083" s="4">
        <v>42114</v>
      </c>
      <c r="C6083" s="5">
        <v>10</v>
      </c>
      <c r="D6083" s="5">
        <v>7.1</v>
      </c>
      <c r="E6083" s="5">
        <v>21</v>
      </c>
      <c r="F6083" t="s" s="2">
        <v>42</v>
      </c>
      <c r="G6083" t="s" s="2">
        <v>42</v>
      </c>
      <c r="H6083" s="5">
        <v>820</v>
      </c>
      <c r="I6083" t="s" s="2">
        <v>388</v>
      </c>
      <c r="J6083" t="s" s="2">
        <v>9204</v>
      </c>
      <c r="K6083" s="6"/>
      <c r="L6083" s="6"/>
      <c r="M6083" s="6"/>
      <c r="N6083" s="6"/>
      <c r="O6083" t="s" s="2">
        <v>25</v>
      </c>
      <c r="P6083" s="6"/>
      <c r="Q6083" t="s" s="2">
        <v>43</v>
      </c>
      <c r="R6083" s="5">
        <f>_xlfn.IFERROR(INDEX('model_byCAP'!$D$2:$D$377,MATCH(Q6083,'model_byCAP'!$A$2:$A$377,0)),0)</f>
        <v>0</v>
      </c>
    </row>
    <row r="6084" ht="15.35" customHeight="1">
      <c r="A6084" t="s" s="2">
        <v>10571</v>
      </c>
      <c r="B6084" s="4">
        <v>42285</v>
      </c>
      <c r="C6084" s="5">
        <v>10</v>
      </c>
      <c r="D6084" s="5">
        <v>7.1</v>
      </c>
      <c r="E6084" s="5">
        <v>21</v>
      </c>
      <c r="F6084" t="s" s="2">
        <v>42</v>
      </c>
      <c r="G6084" t="s" s="2">
        <v>42</v>
      </c>
      <c r="H6084" s="5">
        <v>820</v>
      </c>
      <c r="I6084" t="s" s="2">
        <v>388</v>
      </c>
      <c r="J6084" t="s" s="2">
        <v>9204</v>
      </c>
      <c r="K6084" s="6"/>
      <c r="L6084" s="6"/>
      <c r="M6084" s="6"/>
      <c r="N6084" s="6"/>
      <c r="O6084" t="s" s="2">
        <v>25</v>
      </c>
      <c r="P6084" s="6"/>
      <c r="Q6084" t="s" s="2">
        <v>43</v>
      </c>
      <c r="R6084" s="5">
        <f>_xlfn.IFERROR(INDEX('model_byCAP'!$D$2:$D$377,MATCH(Q6084,'model_byCAP'!$A$2:$A$377,0)),0)</f>
        <v>0</v>
      </c>
    </row>
    <row r="6085" ht="15.35" customHeight="1">
      <c r="A6085" t="s" s="2">
        <v>10572</v>
      </c>
      <c r="B6085" s="4">
        <v>42183</v>
      </c>
      <c r="C6085" s="5">
        <v>10</v>
      </c>
      <c r="D6085" s="5">
        <v>7.1</v>
      </c>
      <c r="E6085" s="5">
        <v>21.4</v>
      </c>
      <c r="F6085" t="s" s="2">
        <v>42</v>
      </c>
      <c r="G6085" t="s" s="2">
        <v>42</v>
      </c>
      <c r="H6085" s="5">
        <v>820</v>
      </c>
      <c r="I6085" t="s" s="2">
        <v>388</v>
      </c>
      <c r="J6085" t="s" s="2">
        <v>9204</v>
      </c>
      <c r="K6085" s="6"/>
      <c r="L6085" s="6"/>
      <c r="M6085" s="5">
        <v>526385.72</v>
      </c>
      <c r="N6085" s="5">
        <v>6290961.38</v>
      </c>
      <c r="O6085" t="s" s="2">
        <v>305</v>
      </c>
      <c r="P6085" s="6"/>
      <c r="Q6085" t="s" s="2">
        <v>43</v>
      </c>
      <c r="R6085" s="5">
        <f>_xlfn.IFERROR(INDEX('model_byCAP'!$D$2:$D$377,MATCH(Q6085,'model_byCAP'!$A$2:$A$377,0)),0)</f>
        <v>0</v>
      </c>
    </row>
    <row r="6086" ht="15.35" customHeight="1">
      <c r="A6086" t="s" s="2">
        <v>10573</v>
      </c>
      <c r="B6086" s="4">
        <v>42108</v>
      </c>
      <c r="C6086" s="5">
        <v>10</v>
      </c>
      <c r="D6086" s="5">
        <v>7.1</v>
      </c>
      <c r="E6086" s="5">
        <v>21</v>
      </c>
      <c r="F6086" t="s" s="2">
        <v>42</v>
      </c>
      <c r="G6086" t="s" s="2">
        <v>42</v>
      </c>
      <c r="H6086" s="5">
        <v>820</v>
      </c>
      <c r="I6086" t="s" s="2">
        <v>388</v>
      </c>
      <c r="J6086" t="s" s="2">
        <v>9204</v>
      </c>
      <c r="K6086" s="6"/>
      <c r="L6086" s="6"/>
      <c r="M6086" s="5">
        <v>514870.47</v>
      </c>
      <c r="N6086" s="5">
        <v>6292984.64</v>
      </c>
      <c r="O6086" t="s" s="2">
        <v>305</v>
      </c>
      <c r="P6086" s="6"/>
      <c r="Q6086" t="s" s="2">
        <v>43</v>
      </c>
      <c r="R6086" s="5">
        <f>_xlfn.IFERROR(INDEX('model_byCAP'!$D$2:$D$377,MATCH(Q6086,'model_byCAP'!$A$2:$A$377,0)),0)</f>
        <v>0</v>
      </c>
    </row>
    <row r="6087" ht="15.35" customHeight="1">
      <c r="A6087" t="s" s="2">
        <v>10574</v>
      </c>
      <c r="B6087" s="4">
        <v>42135</v>
      </c>
      <c r="C6087" s="5">
        <v>10</v>
      </c>
      <c r="D6087" s="5">
        <v>7.1</v>
      </c>
      <c r="E6087" s="5">
        <v>21.4</v>
      </c>
      <c r="F6087" t="s" s="2">
        <v>42</v>
      </c>
      <c r="G6087" t="s" s="2">
        <v>42</v>
      </c>
      <c r="H6087" s="5">
        <v>820</v>
      </c>
      <c r="I6087" t="s" s="2">
        <v>388</v>
      </c>
      <c r="J6087" t="s" s="2">
        <v>9204</v>
      </c>
      <c r="K6087" s="6"/>
      <c r="L6087" s="6"/>
      <c r="M6087" s="5">
        <v>522031.5</v>
      </c>
      <c r="N6087" s="5">
        <v>6309336.16</v>
      </c>
      <c r="O6087" t="s" s="2">
        <v>305</v>
      </c>
      <c r="P6087" s="6"/>
      <c r="Q6087" t="s" s="2">
        <v>43</v>
      </c>
      <c r="R6087" s="5">
        <f>_xlfn.IFERROR(INDEX('model_byCAP'!$D$2:$D$377,MATCH(Q6087,'model_byCAP'!$A$2:$A$377,0)),0)</f>
        <v>0</v>
      </c>
    </row>
    <row r="6088" ht="15.35" customHeight="1">
      <c r="A6088" t="s" s="2">
        <v>10575</v>
      </c>
      <c r="B6088" s="4">
        <v>42186</v>
      </c>
      <c r="C6088" s="5">
        <v>10</v>
      </c>
      <c r="D6088" s="5">
        <v>7.1</v>
      </c>
      <c r="E6088" s="5">
        <v>21.4</v>
      </c>
      <c r="F6088" t="s" s="2">
        <v>42</v>
      </c>
      <c r="G6088" t="s" s="2">
        <v>42</v>
      </c>
      <c r="H6088" s="5">
        <v>820</v>
      </c>
      <c r="I6088" t="s" s="2">
        <v>388</v>
      </c>
      <c r="J6088" t="s" s="2">
        <v>9204</v>
      </c>
      <c r="K6088" s="6"/>
      <c r="L6088" s="6"/>
      <c r="M6088" s="6"/>
      <c r="N6088" s="6"/>
      <c r="O6088" t="s" s="2">
        <v>25</v>
      </c>
      <c r="P6088" s="6"/>
      <c r="Q6088" t="s" s="2">
        <v>43</v>
      </c>
      <c r="R6088" s="5">
        <f>_xlfn.IFERROR(INDEX('model_byCAP'!$D$2:$D$377,MATCH(Q6088,'model_byCAP'!$A$2:$A$377,0)),0)</f>
        <v>0</v>
      </c>
    </row>
    <row r="6089" ht="15.35" customHeight="1">
      <c r="A6089" t="s" s="2">
        <v>10576</v>
      </c>
      <c r="B6089" s="4">
        <v>42183</v>
      </c>
      <c r="C6089" s="5">
        <v>10</v>
      </c>
      <c r="D6089" s="5">
        <v>13</v>
      </c>
      <c r="E6089" s="5">
        <v>18.2</v>
      </c>
      <c r="F6089" t="s" s="2">
        <v>9471</v>
      </c>
      <c r="G6089" t="s" s="2">
        <v>9606</v>
      </c>
      <c r="H6089" s="5">
        <v>820</v>
      </c>
      <c r="I6089" t="s" s="2">
        <v>388</v>
      </c>
      <c r="J6089" t="s" s="2">
        <v>9204</v>
      </c>
      <c r="K6089" s="6"/>
      <c r="L6089" s="6"/>
      <c r="M6089" s="5">
        <v>514939.43</v>
      </c>
      <c r="N6089" s="5">
        <v>6292722.51</v>
      </c>
      <c r="O6089" t="s" s="2">
        <v>305</v>
      </c>
      <c r="P6089" s="6"/>
      <c r="Q6089" t="s" s="2">
        <v>9607</v>
      </c>
      <c r="R6089" s="5">
        <f>_xlfn.IFERROR(INDEX('model_byCAP'!$D$2:$D$377,MATCH(Q6089,'model_byCAP'!$A$2:$A$377,0)),0)</f>
        <v>0</v>
      </c>
    </row>
    <row r="6090" ht="15.35" customHeight="1">
      <c r="A6090" t="s" s="2">
        <v>10577</v>
      </c>
      <c r="B6090" s="4">
        <v>42243</v>
      </c>
      <c r="C6090" s="5">
        <v>10</v>
      </c>
      <c r="D6090" s="5">
        <v>7.1</v>
      </c>
      <c r="E6090" s="5">
        <v>21.4</v>
      </c>
      <c r="F6090" t="s" s="2">
        <v>42</v>
      </c>
      <c r="G6090" t="s" s="2">
        <v>42</v>
      </c>
      <c r="H6090" s="5">
        <v>820</v>
      </c>
      <c r="I6090" t="s" s="2">
        <v>388</v>
      </c>
      <c r="J6090" t="s" s="2">
        <v>9204</v>
      </c>
      <c r="K6090" s="6"/>
      <c r="L6090" s="6"/>
      <c r="M6090" s="6"/>
      <c r="N6090" s="6"/>
      <c r="O6090" t="s" s="2">
        <v>25</v>
      </c>
      <c r="P6090" s="6"/>
      <c r="Q6090" t="s" s="2">
        <v>43</v>
      </c>
      <c r="R6090" s="5">
        <f>_xlfn.IFERROR(INDEX('model_byCAP'!$D$2:$D$377,MATCH(Q6090,'model_byCAP'!$A$2:$A$377,0)),0)</f>
        <v>0</v>
      </c>
    </row>
    <row r="6091" ht="15.35" customHeight="1">
      <c r="A6091" t="s" s="2">
        <v>10578</v>
      </c>
      <c r="B6091" s="4">
        <v>42249</v>
      </c>
      <c r="C6091" s="5">
        <v>10</v>
      </c>
      <c r="D6091" s="5">
        <v>7.1</v>
      </c>
      <c r="E6091" s="5">
        <v>21.4</v>
      </c>
      <c r="F6091" t="s" s="2">
        <v>42</v>
      </c>
      <c r="G6091" t="s" s="2">
        <v>42</v>
      </c>
      <c r="H6091" s="5">
        <v>820</v>
      </c>
      <c r="I6091" t="s" s="2">
        <v>388</v>
      </c>
      <c r="J6091" t="s" s="2">
        <v>9204</v>
      </c>
      <c r="K6091" s="6"/>
      <c r="L6091" s="6"/>
      <c r="M6091" s="6"/>
      <c r="N6091" s="6"/>
      <c r="O6091" t="s" s="2">
        <v>25</v>
      </c>
      <c r="P6091" s="6"/>
      <c r="Q6091" t="s" s="2">
        <v>43</v>
      </c>
      <c r="R6091" s="5">
        <f>_xlfn.IFERROR(INDEX('model_byCAP'!$D$2:$D$377,MATCH(Q6091,'model_byCAP'!$A$2:$A$377,0)),0)</f>
        <v>0</v>
      </c>
    </row>
    <row r="6092" ht="15.35" customHeight="1">
      <c r="A6092" t="s" s="2">
        <v>10579</v>
      </c>
      <c r="B6092" s="4">
        <v>42249</v>
      </c>
      <c r="C6092" s="5">
        <v>10</v>
      </c>
      <c r="D6092" s="5">
        <v>7.1</v>
      </c>
      <c r="E6092" s="5">
        <v>21.4</v>
      </c>
      <c r="F6092" t="s" s="2">
        <v>42</v>
      </c>
      <c r="G6092" t="s" s="2">
        <v>42</v>
      </c>
      <c r="H6092" s="5">
        <v>820</v>
      </c>
      <c r="I6092" t="s" s="2">
        <v>388</v>
      </c>
      <c r="J6092" t="s" s="2">
        <v>9204</v>
      </c>
      <c r="K6092" s="6"/>
      <c r="L6092" s="6"/>
      <c r="M6092" s="6"/>
      <c r="N6092" s="6"/>
      <c r="O6092" t="s" s="2">
        <v>25</v>
      </c>
      <c r="P6092" s="6"/>
      <c r="Q6092" t="s" s="2">
        <v>43</v>
      </c>
      <c r="R6092" s="5">
        <f>_xlfn.IFERROR(INDEX('model_byCAP'!$D$2:$D$377,MATCH(Q6092,'model_byCAP'!$A$2:$A$377,0)),0)</f>
        <v>0</v>
      </c>
    </row>
    <row r="6093" ht="15.35" customHeight="1">
      <c r="A6093" t="s" s="2">
        <v>10580</v>
      </c>
      <c r="B6093" s="4">
        <v>42258</v>
      </c>
      <c r="C6093" s="5">
        <v>10</v>
      </c>
      <c r="D6093" s="5">
        <v>13</v>
      </c>
      <c r="E6093" s="5">
        <v>18.2</v>
      </c>
      <c r="F6093" t="s" s="2">
        <v>9471</v>
      </c>
      <c r="G6093" t="s" s="2">
        <v>9606</v>
      </c>
      <c r="H6093" s="5">
        <v>820</v>
      </c>
      <c r="I6093" t="s" s="2">
        <v>388</v>
      </c>
      <c r="J6093" t="s" s="2">
        <v>9204</v>
      </c>
      <c r="K6093" s="6"/>
      <c r="L6093" s="6"/>
      <c r="M6093" s="6"/>
      <c r="N6093" s="6"/>
      <c r="O6093" t="s" s="2">
        <v>25</v>
      </c>
      <c r="P6093" s="6"/>
      <c r="Q6093" t="s" s="2">
        <v>9607</v>
      </c>
      <c r="R6093" s="5">
        <f>_xlfn.IFERROR(INDEX('model_byCAP'!$D$2:$D$377,MATCH(Q6093,'model_byCAP'!$A$2:$A$377,0)),0)</f>
        <v>0</v>
      </c>
    </row>
    <row r="6094" ht="15.35" customHeight="1">
      <c r="A6094" t="s" s="2">
        <v>10581</v>
      </c>
      <c r="B6094" s="4">
        <v>42264</v>
      </c>
      <c r="C6094" s="5">
        <v>10</v>
      </c>
      <c r="D6094" s="5">
        <v>7.1</v>
      </c>
      <c r="E6094" s="5">
        <v>21.4</v>
      </c>
      <c r="F6094" t="s" s="2">
        <v>42</v>
      </c>
      <c r="G6094" t="s" s="2">
        <v>42</v>
      </c>
      <c r="H6094" s="5">
        <v>820</v>
      </c>
      <c r="I6094" t="s" s="2">
        <v>388</v>
      </c>
      <c r="J6094" t="s" s="2">
        <v>9204</v>
      </c>
      <c r="K6094" s="6"/>
      <c r="L6094" s="6"/>
      <c r="M6094" s="5">
        <v>522013.75</v>
      </c>
      <c r="N6094" s="5">
        <v>6313289.9</v>
      </c>
      <c r="O6094" t="s" s="2">
        <v>305</v>
      </c>
      <c r="P6094" s="6"/>
      <c r="Q6094" t="s" s="2">
        <v>43</v>
      </c>
      <c r="R6094" s="5">
        <f>_xlfn.IFERROR(INDEX('model_byCAP'!$D$2:$D$377,MATCH(Q6094,'model_byCAP'!$A$2:$A$377,0)),0)</f>
        <v>0</v>
      </c>
    </row>
    <row r="6095" ht="15.35" customHeight="1">
      <c r="A6095" t="s" s="2">
        <v>10582</v>
      </c>
      <c r="B6095" s="4">
        <v>42297</v>
      </c>
      <c r="C6095" s="5">
        <v>10</v>
      </c>
      <c r="D6095" s="5">
        <v>7.1</v>
      </c>
      <c r="E6095" s="5">
        <v>18</v>
      </c>
      <c r="F6095" t="s" s="2">
        <v>42</v>
      </c>
      <c r="G6095" t="s" s="2">
        <v>42</v>
      </c>
      <c r="H6095" s="5">
        <v>820</v>
      </c>
      <c r="I6095" t="s" s="2">
        <v>388</v>
      </c>
      <c r="J6095" t="s" s="2">
        <v>9204</v>
      </c>
      <c r="K6095" s="6"/>
      <c r="L6095" s="6"/>
      <c r="M6095" s="6"/>
      <c r="N6095" s="6"/>
      <c r="O6095" t="s" s="2">
        <v>25</v>
      </c>
      <c r="P6095" s="6"/>
      <c r="Q6095" t="s" s="2">
        <v>43</v>
      </c>
      <c r="R6095" s="5">
        <f>_xlfn.IFERROR(INDEX('model_byCAP'!$D$2:$D$377,MATCH(Q6095,'model_byCAP'!$A$2:$A$377,0)),0)</f>
        <v>0</v>
      </c>
    </row>
    <row r="6096" ht="15.35" customHeight="1">
      <c r="A6096" t="s" s="2">
        <v>10583</v>
      </c>
      <c r="B6096" s="4">
        <v>42318</v>
      </c>
      <c r="C6096" s="5">
        <v>10</v>
      </c>
      <c r="D6096" s="5">
        <v>13</v>
      </c>
      <c r="E6096" s="5">
        <v>18</v>
      </c>
      <c r="F6096" t="s" s="2">
        <v>9471</v>
      </c>
      <c r="G6096" t="s" s="2">
        <v>9606</v>
      </c>
      <c r="H6096" s="5">
        <v>820</v>
      </c>
      <c r="I6096" t="s" s="2">
        <v>388</v>
      </c>
      <c r="J6096" t="s" s="2">
        <v>9204</v>
      </c>
      <c r="K6096" s="6"/>
      <c r="L6096" s="6"/>
      <c r="M6096" s="5">
        <v>513969.46</v>
      </c>
      <c r="N6096" s="5">
        <v>6308577.11</v>
      </c>
      <c r="O6096" t="s" s="2">
        <v>305</v>
      </c>
      <c r="P6096" s="6"/>
      <c r="Q6096" t="s" s="2">
        <v>9607</v>
      </c>
      <c r="R6096" s="5">
        <f>_xlfn.IFERROR(INDEX('model_byCAP'!$D$2:$D$377,MATCH(Q6096,'model_byCAP'!$A$2:$A$377,0)),0)</f>
        <v>0</v>
      </c>
    </row>
    <row r="6097" ht="15.35" customHeight="1">
      <c r="A6097" t="s" s="2">
        <v>10584</v>
      </c>
      <c r="B6097" s="4">
        <v>42381</v>
      </c>
      <c r="C6097" s="5">
        <v>10</v>
      </c>
      <c r="D6097" s="5">
        <v>7.1</v>
      </c>
      <c r="E6097" s="5">
        <v>21.4</v>
      </c>
      <c r="F6097" t="s" s="2">
        <v>42</v>
      </c>
      <c r="G6097" t="s" s="2">
        <v>42</v>
      </c>
      <c r="H6097" s="5">
        <v>820</v>
      </c>
      <c r="I6097" t="s" s="2">
        <v>388</v>
      </c>
      <c r="J6097" t="s" s="2">
        <v>9204</v>
      </c>
      <c r="K6097" s="6"/>
      <c r="L6097" s="6"/>
      <c r="M6097" s="6"/>
      <c r="N6097" s="6"/>
      <c r="O6097" t="s" s="2">
        <v>25</v>
      </c>
      <c r="P6097" s="6"/>
      <c r="Q6097" t="s" s="2">
        <v>43</v>
      </c>
      <c r="R6097" s="5">
        <f>_xlfn.IFERROR(INDEX('model_byCAP'!$D$2:$D$377,MATCH(Q6097,'model_byCAP'!$A$2:$A$377,0)),0)</f>
        <v>0</v>
      </c>
    </row>
    <row r="6098" ht="15.35" customHeight="1">
      <c r="A6098" t="s" s="2">
        <v>10585</v>
      </c>
      <c r="B6098" s="4">
        <v>42418</v>
      </c>
      <c r="C6098" s="5">
        <v>10</v>
      </c>
      <c r="D6098" s="5">
        <v>14</v>
      </c>
      <c r="E6098" s="5">
        <v>18</v>
      </c>
      <c r="F6098" t="s" s="2">
        <v>9209</v>
      </c>
      <c r="G6098" t="s" s="2">
        <v>9293</v>
      </c>
      <c r="H6098" s="5">
        <v>820</v>
      </c>
      <c r="I6098" t="s" s="2">
        <v>388</v>
      </c>
      <c r="J6098" t="s" s="2">
        <v>9204</v>
      </c>
      <c r="K6098" s="6"/>
      <c r="L6098" s="6"/>
      <c r="M6098" s="5">
        <v>521989.28</v>
      </c>
      <c r="N6098" s="5">
        <v>6293543.26</v>
      </c>
      <c r="O6098" t="s" s="2">
        <v>305</v>
      </c>
      <c r="P6098" s="6"/>
      <c r="Q6098" t="s" s="2">
        <v>9295</v>
      </c>
      <c r="R6098" t="s" s="2">
        <f>_xlfn.IFERROR(INDEX('model_byCAP'!$D$2:$D$377,MATCH(Q6098,'model_byCAP'!$A$2:$A$377,0)),0)</f>
        <v>8430</v>
      </c>
    </row>
    <row r="6099" ht="15.35" customHeight="1">
      <c r="A6099" t="s" s="2">
        <v>10586</v>
      </c>
      <c r="B6099" s="4">
        <v>42419</v>
      </c>
      <c r="C6099" s="5">
        <v>10</v>
      </c>
      <c r="D6099" s="5">
        <v>7.1</v>
      </c>
      <c r="E6099" s="5">
        <v>21.4</v>
      </c>
      <c r="F6099" t="s" s="2">
        <v>42</v>
      </c>
      <c r="G6099" t="s" s="2">
        <v>42</v>
      </c>
      <c r="H6099" s="5">
        <v>820</v>
      </c>
      <c r="I6099" t="s" s="2">
        <v>388</v>
      </c>
      <c r="J6099" t="s" s="2">
        <v>9204</v>
      </c>
      <c r="K6099" s="6"/>
      <c r="L6099" s="6"/>
      <c r="M6099" s="5">
        <v>520328.15</v>
      </c>
      <c r="N6099" s="5">
        <v>6309485.42</v>
      </c>
      <c r="O6099" t="s" s="2">
        <v>305</v>
      </c>
      <c r="P6099" s="6"/>
      <c r="Q6099" t="s" s="2">
        <v>43</v>
      </c>
      <c r="R6099" s="5">
        <f>_xlfn.IFERROR(INDEX('model_byCAP'!$D$2:$D$377,MATCH(Q6099,'model_byCAP'!$A$2:$A$377,0)),0)</f>
        <v>0</v>
      </c>
    </row>
    <row r="6100" ht="15.35" customHeight="1">
      <c r="A6100" t="s" s="2">
        <v>10587</v>
      </c>
      <c r="B6100" s="4">
        <v>42423</v>
      </c>
      <c r="C6100" s="5">
        <v>10</v>
      </c>
      <c r="D6100" s="5">
        <v>14</v>
      </c>
      <c r="E6100" s="5">
        <v>18</v>
      </c>
      <c r="F6100" t="s" s="2">
        <v>9209</v>
      </c>
      <c r="G6100" t="s" s="2">
        <v>9293</v>
      </c>
      <c r="H6100" s="5">
        <v>820</v>
      </c>
      <c r="I6100" t="s" s="2">
        <v>388</v>
      </c>
      <c r="J6100" t="s" s="2">
        <v>9204</v>
      </c>
      <c r="K6100" s="6"/>
      <c r="L6100" s="6"/>
      <c r="M6100" s="5">
        <v>520854.78</v>
      </c>
      <c r="N6100" s="5">
        <v>6299669.06</v>
      </c>
      <c r="O6100" t="s" s="2">
        <v>305</v>
      </c>
      <c r="P6100" s="6"/>
      <c r="Q6100" t="s" s="2">
        <v>9295</v>
      </c>
      <c r="R6100" t="s" s="2">
        <f>_xlfn.IFERROR(INDEX('model_byCAP'!$D$2:$D$377,MATCH(Q6100,'model_byCAP'!$A$2:$A$377,0)),0)</f>
        <v>8430</v>
      </c>
    </row>
    <row r="6101" ht="15.35" customHeight="1">
      <c r="A6101" t="s" s="2">
        <v>10588</v>
      </c>
      <c r="B6101" s="4">
        <v>42538</v>
      </c>
      <c r="C6101" s="5">
        <v>10</v>
      </c>
      <c r="D6101" s="5">
        <v>13</v>
      </c>
      <c r="E6101" s="5">
        <v>18.2</v>
      </c>
      <c r="F6101" t="s" s="2">
        <v>9471</v>
      </c>
      <c r="G6101" t="s" s="2">
        <v>9606</v>
      </c>
      <c r="H6101" s="5">
        <v>820</v>
      </c>
      <c r="I6101" t="s" s="2">
        <v>388</v>
      </c>
      <c r="J6101" t="s" s="2">
        <v>9204</v>
      </c>
      <c r="K6101" s="6"/>
      <c r="L6101" s="6"/>
      <c r="M6101" s="6"/>
      <c r="N6101" s="6"/>
      <c r="O6101" t="s" s="2">
        <v>25</v>
      </c>
      <c r="P6101" s="6"/>
      <c r="Q6101" t="s" s="2">
        <v>9607</v>
      </c>
      <c r="R6101" s="5">
        <f>_xlfn.IFERROR(INDEX('model_byCAP'!$D$2:$D$377,MATCH(Q6101,'model_byCAP'!$A$2:$A$377,0)),0)</f>
        <v>0</v>
      </c>
    </row>
    <row r="6102" ht="15.35" customHeight="1">
      <c r="A6102" t="s" s="2">
        <v>10589</v>
      </c>
      <c r="B6102" s="4">
        <v>42625</v>
      </c>
      <c r="C6102" s="5">
        <v>10</v>
      </c>
      <c r="D6102" s="5">
        <v>14</v>
      </c>
      <c r="E6102" s="5">
        <v>18</v>
      </c>
      <c r="F6102" t="s" s="2">
        <v>9209</v>
      </c>
      <c r="G6102" t="s" s="2">
        <v>9293</v>
      </c>
      <c r="H6102" s="5">
        <v>820</v>
      </c>
      <c r="I6102" t="s" s="2">
        <v>388</v>
      </c>
      <c r="J6102" t="s" s="2">
        <v>9204</v>
      </c>
      <c r="K6102" s="6"/>
      <c r="L6102" s="6"/>
      <c r="M6102" s="6"/>
      <c r="N6102" s="6"/>
      <c r="O6102" t="s" s="2">
        <v>25</v>
      </c>
      <c r="P6102" s="6"/>
      <c r="Q6102" t="s" s="2">
        <v>9295</v>
      </c>
      <c r="R6102" t="s" s="2">
        <f>_xlfn.IFERROR(INDEX('model_byCAP'!$D$2:$D$377,MATCH(Q6102,'model_byCAP'!$A$2:$A$377,0)),0)</f>
        <v>8430</v>
      </c>
    </row>
    <row r="6103" ht="15.35" customHeight="1">
      <c r="A6103" t="s" s="2">
        <v>10590</v>
      </c>
      <c r="B6103" s="4">
        <v>42539</v>
      </c>
      <c r="C6103" s="5">
        <v>10</v>
      </c>
      <c r="D6103" s="5">
        <v>14</v>
      </c>
      <c r="E6103" s="5">
        <v>18</v>
      </c>
      <c r="F6103" t="s" s="2">
        <v>9209</v>
      </c>
      <c r="G6103" t="s" s="2">
        <v>9293</v>
      </c>
      <c r="H6103" s="5">
        <v>820</v>
      </c>
      <c r="I6103" t="s" s="2">
        <v>388</v>
      </c>
      <c r="J6103" t="s" s="2">
        <v>9204</v>
      </c>
      <c r="K6103" s="6"/>
      <c r="L6103" s="6"/>
      <c r="M6103" s="6"/>
      <c r="N6103" s="6"/>
      <c r="O6103" t="s" s="2">
        <v>25</v>
      </c>
      <c r="P6103" s="6"/>
      <c r="Q6103" t="s" s="2">
        <v>9295</v>
      </c>
      <c r="R6103" t="s" s="2">
        <f>_xlfn.IFERROR(INDEX('model_byCAP'!$D$2:$D$377,MATCH(Q6103,'model_byCAP'!$A$2:$A$377,0)),0)</f>
        <v>8430</v>
      </c>
    </row>
    <row r="6104" ht="15.35" customHeight="1">
      <c r="A6104" t="s" s="2">
        <v>10591</v>
      </c>
      <c r="B6104" s="4">
        <v>43089</v>
      </c>
      <c r="C6104" s="5">
        <v>10</v>
      </c>
      <c r="D6104" s="5">
        <v>14</v>
      </c>
      <c r="E6104" s="5">
        <v>18</v>
      </c>
      <c r="F6104" t="s" s="2">
        <v>9209</v>
      </c>
      <c r="G6104" t="s" s="2">
        <v>9293</v>
      </c>
      <c r="H6104" s="5">
        <v>820</v>
      </c>
      <c r="I6104" t="s" s="2">
        <v>388</v>
      </c>
      <c r="J6104" t="s" s="2">
        <v>9204</v>
      </c>
      <c r="K6104" s="6"/>
      <c r="L6104" s="6"/>
      <c r="M6104" s="6"/>
      <c r="N6104" s="6"/>
      <c r="O6104" t="s" s="2">
        <v>25</v>
      </c>
      <c r="P6104" s="6"/>
      <c r="Q6104" t="s" s="2">
        <v>9295</v>
      </c>
      <c r="R6104" t="s" s="2">
        <f>_xlfn.IFERROR(INDEX('model_byCAP'!$D$2:$D$377,MATCH(Q6104,'model_byCAP'!$A$2:$A$377,0)),0)</f>
        <v>8430</v>
      </c>
    </row>
    <row r="6105" ht="15.35" customHeight="1">
      <c r="A6105" t="s" s="2">
        <v>10592</v>
      </c>
      <c r="B6105" s="4">
        <v>42290</v>
      </c>
      <c r="C6105" s="5">
        <v>10</v>
      </c>
      <c r="D6105" s="5">
        <v>7.1</v>
      </c>
      <c r="E6105" s="5">
        <v>21</v>
      </c>
      <c r="F6105" t="s" s="2">
        <v>42</v>
      </c>
      <c r="G6105" t="s" s="2">
        <v>42</v>
      </c>
      <c r="H6105" s="5">
        <v>820</v>
      </c>
      <c r="I6105" t="s" s="2">
        <v>388</v>
      </c>
      <c r="J6105" t="s" s="2">
        <v>9204</v>
      </c>
      <c r="K6105" s="6"/>
      <c r="L6105" s="6"/>
      <c r="M6105" s="6"/>
      <c r="N6105" s="6"/>
      <c r="O6105" t="s" s="2">
        <v>25</v>
      </c>
      <c r="P6105" s="6"/>
      <c r="Q6105" t="s" s="2">
        <v>43</v>
      </c>
      <c r="R6105" s="5">
        <f>_xlfn.IFERROR(INDEX('model_byCAP'!$D$2:$D$377,MATCH(Q6105,'model_byCAP'!$A$2:$A$377,0)),0)</f>
        <v>0</v>
      </c>
    </row>
    <row r="6106" ht="15.35" customHeight="1">
      <c r="A6106" t="s" s="2">
        <v>10593</v>
      </c>
      <c r="B6106" s="4">
        <v>42383</v>
      </c>
      <c r="C6106" s="5">
        <v>10</v>
      </c>
      <c r="D6106" s="5">
        <v>14</v>
      </c>
      <c r="E6106" s="5">
        <v>18</v>
      </c>
      <c r="F6106" t="s" s="2">
        <v>9209</v>
      </c>
      <c r="G6106" t="s" s="2">
        <v>9293</v>
      </c>
      <c r="H6106" s="5">
        <v>820</v>
      </c>
      <c r="I6106" t="s" s="2">
        <v>388</v>
      </c>
      <c r="J6106" t="s" s="2">
        <v>9204</v>
      </c>
      <c r="K6106" s="6"/>
      <c r="L6106" s="6"/>
      <c r="M6106" s="6"/>
      <c r="N6106" s="6"/>
      <c r="O6106" t="s" s="2">
        <v>25</v>
      </c>
      <c r="P6106" s="6"/>
      <c r="Q6106" t="s" s="2">
        <v>9295</v>
      </c>
      <c r="R6106" t="s" s="2">
        <f>_xlfn.IFERROR(INDEX('model_byCAP'!$D$2:$D$377,MATCH(Q6106,'model_byCAP'!$A$2:$A$377,0)),0)</f>
        <v>8430</v>
      </c>
    </row>
    <row r="6107" ht="15.35" customHeight="1">
      <c r="A6107" t="s" s="2">
        <v>10594</v>
      </c>
      <c r="B6107" s="4">
        <v>43299</v>
      </c>
      <c r="C6107" s="5">
        <v>10</v>
      </c>
      <c r="D6107" s="5">
        <v>9.300000000000001</v>
      </c>
      <c r="E6107" s="5">
        <v>20.3</v>
      </c>
      <c r="F6107" t="s" s="2">
        <v>9599</v>
      </c>
      <c r="G6107" t="s" s="2">
        <v>9600</v>
      </c>
      <c r="H6107" s="5">
        <v>820</v>
      </c>
      <c r="I6107" t="s" s="2">
        <v>388</v>
      </c>
      <c r="J6107" t="s" s="2">
        <v>9204</v>
      </c>
      <c r="K6107" s="6"/>
      <c r="L6107" s="6"/>
      <c r="M6107" s="6"/>
      <c r="N6107" s="6"/>
      <c r="O6107" t="s" s="2">
        <v>25</v>
      </c>
      <c r="P6107" s="6"/>
      <c r="Q6107" t="s" s="2">
        <v>9601</v>
      </c>
      <c r="R6107" s="5">
        <f>_xlfn.IFERROR(INDEX('model_byCAP'!$D$2:$D$377,MATCH(Q6107,'model_byCAP'!$A$2:$A$377,0)),0)</f>
        <v>0</v>
      </c>
    </row>
    <row r="6108" ht="15.35" customHeight="1">
      <c r="A6108" t="s" s="2">
        <v>10595</v>
      </c>
      <c r="B6108" s="4">
        <v>41786</v>
      </c>
      <c r="C6108" s="5">
        <v>10</v>
      </c>
      <c r="D6108" s="5">
        <v>13</v>
      </c>
      <c r="E6108" s="5">
        <v>18.2</v>
      </c>
      <c r="F6108" t="s" s="2">
        <v>42</v>
      </c>
      <c r="G6108" t="s" s="2">
        <v>42</v>
      </c>
      <c r="H6108" s="5">
        <v>840</v>
      </c>
      <c r="I6108" t="s" s="2">
        <v>973</v>
      </c>
      <c r="J6108" t="s" s="2">
        <v>9204</v>
      </c>
      <c r="K6108" s="6"/>
      <c r="L6108" s="6"/>
      <c r="M6108" s="5">
        <v>565148.26</v>
      </c>
      <c r="N6108" s="5">
        <v>6301586.46</v>
      </c>
      <c r="O6108" t="s" s="2">
        <v>305</v>
      </c>
      <c r="P6108" s="6"/>
      <c r="Q6108" t="s" s="2">
        <v>43</v>
      </c>
      <c r="R6108" s="5">
        <f>_xlfn.IFERROR(INDEX('model_byCAP'!$D$2:$D$377,MATCH(Q6108,'model_byCAP'!$A$2:$A$377,0)),0)</f>
        <v>0</v>
      </c>
    </row>
    <row r="6109" ht="15.35" customHeight="1">
      <c r="A6109" t="s" s="2">
        <v>10596</v>
      </c>
      <c r="B6109" s="4">
        <v>42093</v>
      </c>
      <c r="C6109" s="5">
        <v>10</v>
      </c>
      <c r="D6109" s="5">
        <v>7.1</v>
      </c>
      <c r="E6109" s="5">
        <v>21</v>
      </c>
      <c r="F6109" t="s" s="2">
        <v>42</v>
      </c>
      <c r="G6109" t="s" s="2">
        <v>42</v>
      </c>
      <c r="H6109" s="5">
        <v>840</v>
      </c>
      <c r="I6109" t="s" s="2">
        <v>973</v>
      </c>
      <c r="J6109" t="s" s="2">
        <v>9204</v>
      </c>
      <c r="K6109" s="6"/>
      <c r="L6109" s="6"/>
      <c r="M6109" s="6"/>
      <c r="N6109" s="6"/>
      <c r="O6109" t="s" s="2">
        <v>25</v>
      </c>
      <c r="P6109" s="6"/>
      <c r="Q6109" t="s" s="2">
        <v>43</v>
      </c>
      <c r="R6109" s="5">
        <f>_xlfn.IFERROR(INDEX('model_byCAP'!$D$2:$D$377,MATCH(Q6109,'model_byCAP'!$A$2:$A$377,0)),0)</f>
        <v>0</v>
      </c>
    </row>
    <row r="6110" ht="15.35" customHeight="1">
      <c r="A6110" t="s" s="2">
        <v>10597</v>
      </c>
      <c r="B6110" s="4">
        <v>42181</v>
      </c>
      <c r="C6110" s="5">
        <v>10</v>
      </c>
      <c r="D6110" s="5">
        <v>13</v>
      </c>
      <c r="E6110" s="5">
        <v>18.2</v>
      </c>
      <c r="F6110" t="s" s="2">
        <v>9471</v>
      </c>
      <c r="G6110" t="s" s="2">
        <v>9606</v>
      </c>
      <c r="H6110" s="5">
        <v>840</v>
      </c>
      <c r="I6110" t="s" s="2">
        <v>973</v>
      </c>
      <c r="J6110" t="s" s="2">
        <v>9204</v>
      </c>
      <c r="K6110" s="6"/>
      <c r="L6110" s="6"/>
      <c r="M6110" s="6"/>
      <c r="N6110" s="6"/>
      <c r="O6110" t="s" s="2">
        <v>25</v>
      </c>
      <c r="P6110" s="6"/>
      <c r="Q6110" t="s" s="2">
        <v>9607</v>
      </c>
      <c r="R6110" s="5">
        <f>_xlfn.IFERROR(INDEX('model_byCAP'!$D$2:$D$377,MATCH(Q6110,'model_byCAP'!$A$2:$A$377,0)),0)</f>
        <v>0</v>
      </c>
    </row>
    <row r="6111" ht="15.35" customHeight="1">
      <c r="A6111" t="s" s="2">
        <v>10598</v>
      </c>
      <c r="B6111" s="4">
        <v>42339</v>
      </c>
      <c r="C6111" s="5">
        <v>10</v>
      </c>
      <c r="D6111" s="5">
        <v>7.1</v>
      </c>
      <c r="E6111" s="5">
        <v>21.4</v>
      </c>
      <c r="F6111" t="s" s="2">
        <v>42</v>
      </c>
      <c r="G6111" t="s" s="2">
        <v>42</v>
      </c>
      <c r="H6111" s="5">
        <v>840</v>
      </c>
      <c r="I6111" t="s" s="2">
        <v>973</v>
      </c>
      <c r="J6111" t="s" s="2">
        <v>9204</v>
      </c>
      <c r="K6111" s="6"/>
      <c r="L6111" s="6"/>
      <c r="M6111" s="6"/>
      <c r="N6111" s="6"/>
      <c r="O6111" t="s" s="2">
        <v>25</v>
      </c>
      <c r="P6111" s="6"/>
      <c r="Q6111" t="s" s="2">
        <v>43</v>
      </c>
      <c r="R6111" s="5">
        <f>_xlfn.IFERROR(INDEX('model_byCAP'!$D$2:$D$377,MATCH(Q6111,'model_byCAP'!$A$2:$A$377,0)),0)</f>
        <v>0</v>
      </c>
    </row>
    <row r="6112" ht="15.35" customHeight="1">
      <c r="A6112" t="s" s="2">
        <v>10599</v>
      </c>
      <c r="B6112" s="4">
        <v>42594</v>
      </c>
      <c r="C6112" s="5">
        <v>10</v>
      </c>
      <c r="D6112" s="5">
        <v>14</v>
      </c>
      <c r="E6112" s="5">
        <v>18</v>
      </c>
      <c r="F6112" t="s" s="2">
        <v>9209</v>
      </c>
      <c r="G6112" t="s" s="2">
        <v>9293</v>
      </c>
      <c r="H6112" s="5">
        <v>840</v>
      </c>
      <c r="I6112" t="s" s="2">
        <v>973</v>
      </c>
      <c r="J6112" t="s" s="2">
        <v>9204</v>
      </c>
      <c r="K6112" s="6"/>
      <c r="L6112" s="6"/>
      <c r="M6112" s="6"/>
      <c r="N6112" s="6"/>
      <c r="O6112" t="s" s="2">
        <v>25</v>
      </c>
      <c r="P6112" s="6"/>
      <c r="Q6112" t="s" s="2">
        <v>9295</v>
      </c>
      <c r="R6112" t="s" s="2">
        <f>_xlfn.IFERROR(INDEX('model_byCAP'!$D$2:$D$377,MATCH(Q6112,'model_byCAP'!$A$2:$A$377,0)),0)</f>
        <v>8430</v>
      </c>
    </row>
    <row r="6113" ht="15.35" customHeight="1">
      <c r="A6113" t="s" s="2">
        <v>10600</v>
      </c>
      <c r="B6113" s="4">
        <v>42359</v>
      </c>
      <c r="C6113" s="5">
        <v>10</v>
      </c>
      <c r="D6113" s="5">
        <v>7.1</v>
      </c>
      <c r="E6113" s="5">
        <v>21.4</v>
      </c>
      <c r="F6113" t="s" s="2">
        <v>9471</v>
      </c>
      <c r="G6113" t="s" s="2">
        <v>9606</v>
      </c>
      <c r="H6113" s="5">
        <v>840</v>
      </c>
      <c r="I6113" t="s" s="2">
        <v>973</v>
      </c>
      <c r="J6113" t="s" s="2">
        <v>9204</v>
      </c>
      <c r="K6113" s="6"/>
      <c r="L6113" s="6"/>
      <c r="M6113" s="6"/>
      <c r="N6113" s="6"/>
      <c r="O6113" t="s" s="2">
        <v>25</v>
      </c>
      <c r="P6113" s="6"/>
      <c r="Q6113" t="s" s="2">
        <v>9607</v>
      </c>
      <c r="R6113" s="5">
        <f>_xlfn.IFERROR(INDEX('model_byCAP'!$D$2:$D$377,MATCH(Q6113,'model_byCAP'!$A$2:$A$377,0)),0)</f>
        <v>0</v>
      </c>
    </row>
    <row r="6114" ht="15.35" customHeight="1">
      <c r="A6114" t="s" s="2">
        <v>10601</v>
      </c>
      <c r="B6114" s="4">
        <v>42300</v>
      </c>
      <c r="C6114" s="5">
        <v>10</v>
      </c>
      <c r="D6114" s="5">
        <v>13</v>
      </c>
      <c r="E6114" s="5">
        <v>18.2</v>
      </c>
      <c r="F6114" t="s" s="2">
        <v>9471</v>
      </c>
      <c r="G6114" t="s" s="2">
        <v>9606</v>
      </c>
      <c r="H6114" s="5">
        <v>840</v>
      </c>
      <c r="I6114" t="s" s="2">
        <v>973</v>
      </c>
      <c r="J6114" t="s" s="2">
        <v>9204</v>
      </c>
      <c r="K6114" s="6"/>
      <c r="L6114" s="6"/>
      <c r="M6114" s="5">
        <v>544943.6</v>
      </c>
      <c r="N6114" s="5">
        <v>6291302.69</v>
      </c>
      <c r="O6114" t="s" s="2">
        <v>305</v>
      </c>
      <c r="P6114" s="6"/>
      <c r="Q6114" t="s" s="2">
        <v>9607</v>
      </c>
      <c r="R6114" s="5">
        <f>_xlfn.IFERROR(INDEX('model_byCAP'!$D$2:$D$377,MATCH(Q6114,'model_byCAP'!$A$2:$A$377,0)),0)</f>
        <v>0</v>
      </c>
    </row>
    <row r="6115" ht="15.35" customHeight="1">
      <c r="A6115" t="s" s="2">
        <v>10602</v>
      </c>
      <c r="B6115" s="4">
        <v>42313</v>
      </c>
      <c r="C6115" s="5">
        <v>10</v>
      </c>
      <c r="D6115" s="5">
        <v>13</v>
      </c>
      <c r="E6115" s="5">
        <v>18.2</v>
      </c>
      <c r="F6115" t="s" s="2">
        <v>9471</v>
      </c>
      <c r="G6115" t="s" s="2">
        <v>9606</v>
      </c>
      <c r="H6115" s="5">
        <v>840</v>
      </c>
      <c r="I6115" t="s" s="2">
        <v>973</v>
      </c>
      <c r="J6115" t="s" s="2">
        <v>9204</v>
      </c>
      <c r="K6115" s="6"/>
      <c r="L6115" s="6"/>
      <c r="M6115" s="5">
        <v>540041.6</v>
      </c>
      <c r="N6115" s="5">
        <v>6297980.31</v>
      </c>
      <c r="O6115" t="s" s="2">
        <v>305</v>
      </c>
      <c r="P6115" s="6"/>
      <c r="Q6115" t="s" s="2">
        <v>9607</v>
      </c>
      <c r="R6115" s="5">
        <f>_xlfn.IFERROR(INDEX('model_byCAP'!$D$2:$D$377,MATCH(Q6115,'model_byCAP'!$A$2:$A$377,0)),0)</f>
        <v>0</v>
      </c>
    </row>
    <row r="6116" ht="15.35" customHeight="1">
      <c r="A6116" t="s" s="2">
        <v>10603</v>
      </c>
      <c r="B6116" s="4">
        <v>42397</v>
      </c>
      <c r="C6116" s="5">
        <v>10</v>
      </c>
      <c r="D6116" s="5">
        <v>13</v>
      </c>
      <c r="E6116" s="5">
        <v>18.2</v>
      </c>
      <c r="F6116" t="s" s="2">
        <v>9471</v>
      </c>
      <c r="G6116" t="s" s="2">
        <v>9606</v>
      </c>
      <c r="H6116" s="5">
        <v>840</v>
      </c>
      <c r="I6116" t="s" s="2">
        <v>973</v>
      </c>
      <c r="J6116" t="s" s="2">
        <v>9204</v>
      </c>
      <c r="K6116" s="6"/>
      <c r="L6116" s="6"/>
      <c r="M6116" s="5">
        <v>549675.45</v>
      </c>
      <c r="N6116" s="5">
        <v>6287641.56</v>
      </c>
      <c r="O6116" t="s" s="2">
        <v>305</v>
      </c>
      <c r="P6116" s="6"/>
      <c r="Q6116" t="s" s="2">
        <v>9607</v>
      </c>
      <c r="R6116" s="5">
        <f>_xlfn.IFERROR(INDEX('model_byCAP'!$D$2:$D$377,MATCH(Q6116,'model_byCAP'!$A$2:$A$377,0)),0)</f>
        <v>0</v>
      </c>
    </row>
    <row r="6117" ht="15.35" customHeight="1">
      <c r="A6117" t="s" s="2">
        <v>10604</v>
      </c>
      <c r="B6117" s="4">
        <v>42339</v>
      </c>
      <c r="C6117" s="5">
        <v>10</v>
      </c>
      <c r="D6117" s="5">
        <v>13</v>
      </c>
      <c r="E6117" s="5">
        <v>18</v>
      </c>
      <c r="F6117" t="s" s="2">
        <v>9471</v>
      </c>
      <c r="G6117" t="s" s="2">
        <v>9606</v>
      </c>
      <c r="H6117" s="5">
        <v>840</v>
      </c>
      <c r="I6117" t="s" s="2">
        <v>973</v>
      </c>
      <c r="J6117" t="s" s="2">
        <v>9204</v>
      </c>
      <c r="K6117" s="6"/>
      <c r="L6117" s="6"/>
      <c r="M6117" s="5">
        <v>560362.5699999999</v>
      </c>
      <c r="N6117" s="5">
        <v>6304252.71</v>
      </c>
      <c r="O6117" t="s" s="2">
        <v>305</v>
      </c>
      <c r="P6117" s="6"/>
      <c r="Q6117" t="s" s="2">
        <v>9607</v>
      </c>
      <c r="R6117" s="5">
        <f>_xlfn.IFERROR(INDEX('model_byCAP'!$D$2:$D$377,MATCH(Q6117,'model_byCAP'!$A$2:$A$377,0)),0)</f>
        <v>0</v>
      </c>
    </row>
    <row r="6118" ht="15.35" customHeight="1">
      <c r="A6118" t="s" s="2">
        <v>10605</v>
      </c>
      <c r="B6118" s="4">
        <v>42367</v>
      </c>
      <c r="C6118" s="5">
        <v>10</v>
      </c>
      <c r="D6118" s="5">
        <v>7.1</v>
      </c>
      <c r="E6118" s="5">
        <v>21</v>
      </c>
      <c r="F6118" t="s" s="2">
        <v>42</v>
      </c>
      <c r="G6118" t="s" s="2">
        <v>42</v>
      </c>
      <c r="H6118" s="5">
        <v>840</v>
      </c>
      <c r="I6118" t="s" s="2">
        <v>973</v>
      </c>
      <c r="J6118" t="s" s="2">
        <v>9204</v>
      </c>
      <c r="K6118" s="6"/>
      <c r="L6118" s="6"/>
      <c r="M6118" s="6"/>
      <c r="N6118" s="6"/>
      <c r="O6118" t="s" s="2">
        <v>25</v>
      </c>
      <c r="P6118" s="6"/>
      <c r="Q6118" t="s" s="2">
        <v>43</v>
      </c>
      <c r="R6118" s="5">
        <f>_xlfn.IFERROR(INDEX('model_byCAP'!$D$2:$D$377,MATCH(Q6118,'model_byCAP'!$A$2:$A$377,0)),0)</f>
        <v>0</v>
      </c>
    </row>
    <row r="6119" ht="15.35" customHeight="1">
      <c r="A6119" t="s" s="2">
        <v>10606</v>
      </c>
      <c r="B6119" s="4">
        <v>42367</v>
      </c>
      <c r="C6119" s="5">
        <v>10</v>
      </c>
      <c r="D6119" s="5">
        <v>7.1</v>
      </c>
      <c r="E6119" s="5">
        <v>21.5</v>
      </c>
      <c r="F6119" t="s" s="2">
        <v>42</v>
      </c>
      <c r="G6119" t="s" s="2">
        <v>42</v>
      </c>
      <c r="H6119" s="5">
        <v>840</v>
      </c>
      <c r="I6119" t="s" s="2">
        <v>973</v>
      </c>
      <c r="J6119" t="s" s="2">
        <v>9204</v>
      </c>
      <c r="K6119" s="6"/>
      <c r="L6119" s="6"/>
      <c r="M6119" s="5">
        <v>547592.38</v>
      </c>
      <c r="N6119" s="5">
        <v>6311675.74</v>
      </c>
      <c r="O6119" t="s" s="2">
        <v>305</v>
      </c>
      <c r="P6119" s="6"/>
      <c r="Q6119" t="s" s="2">
        <v>43</v>
      </c>
      <c r="R6119" s="5">
        <f>_xlfn.IFERROR(INDEX('model_byCAP'!$D$2:$D$377,MATCH(Q6119,'model_byCAP'!$A$2:$A$377,0)),0)</f>
        <v>0</v>
      </c>
    </row>
    <row r="6120" ht="15.35" customHeight="1">
      <c r="A6120" t="s" s="2">
        <v>10607</v>
      </c>
      <c r="B6120" s="4">
        <v>42598</v>
      </c>
      <c r="C6120" s="5">
        <v>10</v>
      </c>
      <c r="D6120" s="5">
        <v>7.1</v>
      </c>
      <c r="E6120" s="5">
        <v>21.4</v>
      </c>
      <c r="F6120" t="s" s="2">
        <v>42</v>
      </c>
      <c r="G6120" t="s" s="2">
        <v>42</v>
      </c>
      <c r="H6120" s="5">
        <v>840</v>
      </c>
      <c r="I6120" t="s" s="2">
        <v>973</v>
      </c>
      <c r="J6120" t="s" s="2">
        <v>9204</v>
      </c>
      <c r="K6120" s="6"/>
      <c r="L6120" s="6"/>
      <c r="M6120" s="6"/>
      <c r="N6120" s="6"/>
      <c r="O6120" t="s" s="2">
        <v>25</v>
      </c>
      <c r="P6120" s="6"/>
      <c r="Q6120" t="s" s="2">
        <v>43</v>
      </c>
      <c r="R6120" s="5">
        <f>_xlfn.IFERROR(INDEX('model_byCAP'!$D$2:$D$377,MATCH(Q6120,'model_byCAP'!$A$2:$A$377,0)),0)</f>
        <v>0</v>
      </c>
    </row>
    <row r="6121" ht="15.35" customHeight="1">
      <c r="A6121" t="s" s="2">
        <v>10608</v>
      </c>
      <c r="B6121" s="4">
        <v>42669</v>
      </c>
      <c r="C6121" s="5">
        <v>10</v>
      </c>
      <c r="D6121" s="5">
        <v>14</v>
      </c>
      <c r="E6121" s="5">
        <v>18</v>
      </c>
      <c r="F6121" t="s" s="2">
        <v>9209</v>
      </c>
      <c r="G6121" t="s" s="2">
        <v>9293</v>
      </c>
      <c r="H6121" s="5">
        <v>840</v>
      </c>
      <c r="I6121" t="s" s="2">
        <v>973</v>
      </c>
      <c r="J6121" t="s" s="2">
        <v>9204</v>
      </c>
      <c r="K6121" s="6"/>
      <c r="L6121" s="6"/>
      <c r="M6121" s="6"/>
      <c r="N6121" s="6"/>
      <c r="O6121" t="s" s="2">
        <v>25</v>
      </c>
      <c r="P6121" s="6"/>
      <c r="Q6121" t="s" s="2">
        <v>9295</v>
      </c>
      <c r="R6121" t="s" s="2">
        <f>_xlfn.IFERROR(INDEX('model_byCAP'!$D$2:$D$377,MATCH(Q6121,'model_byCAP'!$A$2:$A$377,0)),0)</f>
        <v>8430</v>
      </c>
    </row>
    <row r="6122" ht="15.35" customHeight="1">
      <c r="A6122" t="s" s="2">
        <v>10609</v>
      </c>
      <c r="B6122" s="4">
        <v>42579</v>
      </c>
      <c r="C6122" s="5">
        <v>10</v>
      </c>
      <c r="D6122" s="5">
        <v>13</v>
      </c>
      <c r="E6122" s="5">
        <v>18</v>
      </c>
      <c r="F6122" t="s" s="2">
        <v>9202</v>
      </c>
      <c r="G6122" t="s" s="2">
        <v>9697</v>
      </c>
      <c r="H6122" s="5">
        <v>840</v>
      </c>
      <c r="I6122" t="s" s="2">
        <v>973</v>
      </c>
      <c r="J6122" t="s" s="2">
        <v>9204</v>
      </c>
      <c r="K6122" s="6"/>
      <c r="L6122" s="6"/>
      <c r="M6122" s="6"/>
      <c r="N6122" s="6"/>
      <c r="O6122" t="s" s="2">
        <v>25</v>
      </c>
      <c r="P6122" s="6"/>
      <c r="Q6122" t="s" s="2">
        <v>9698</v>
      </c>
      <c r="R6122" s="5">
        <f>_xlfn.IFERROR(INDEX('model_byCAP'!$D$2:$D$377,MATCH(Q6122,'model_byCAP'!$A$2:$A$377,0)),0)</f>
        <v>0</v>
      </c>
    </row>
    <row r="6123" ht="15.35" customHeight="1">
      <c r="A6123" t="s" s="2">
        <v>10610</v>
      </c>
      <c r="B6123" s="4">
        <v>41920</v>
      </c>
      <c r="C6123" s="5">
        <v>10</v>
      </c>
      <c r="D6123" s="5">
        <v>13</v>
      </c>
      <c r="E6123" s="5">
        <v>18.2</v>
      </c>
      <c r="F6123" t="s" s="2">
        <v>42</v>
      </c>
      <c r="G6123" t="s" s="2">
        <v>42</v>
      </c>
      <c r="H6123" s="5">
        <v>840</v>
      </c>
      <c r="I6123" t="s" s="2">
        <v>973</v>
      </c>
      <c r="J6123" t="s" s="2">
        <v>9204</v>
      </c>
      <c r="K6123" s="6"/>
      <c r="L6123" s="6"/>
      <c r="M6123" s="5">
        <v>539857.29</v>
      </c>
      <c r="N6123" s="5">
        <v>6283573.74</v>
      </c>
      <c r="O6123" t="s" s="2">
        <v>305</v>
      </c>
      <c r="P6123" s="6"/>
      <c r="Q6123" t="s" s="2">
        <v>43</v>
      </c>
      <c r="R6123" s="5">
        <f>_xlfn.IFERROR(INDEX('model_byCAP'!$D$2:$D$377,MATCH(Q6123,'model_byCAP'!$A$2:$A$377,0)),0)</f>
        <v>0</v>
      </c>
    </row>
    <row r="6124" ht="15.35" customHeight="1">
      <c r="A6124" t="s" s="2">
        <v>10611</v>
      </c>
      <c r="B6124" s="4">
        <v>43036</v>
      </c>
      <c r="C6124" s="5">
        <v>10</v>
      </c>
      <c r="D6124" s="5">
        <v>13</v>
      </c>
      <c r="E6124" s="5">
        <v>18.2</v>
      </c>
      <c r="F6124" t="s" s="2">
        <v>9471</v>
      </c>
      <c r="G6124" t="s" s="2">
        <v>9606</v>
      </c>
      <c r="H6124" s="5">
        <v>840</v>
      </c>
      <c r="I6124" t="s" s="2">
        <v>973</v>
      </c>
      <c r="J6124" t="s" s="2">
        <v>9204</v>
      </c>
      <c r="K6124" s="6"/>
      <c r="L6124" s="6"/>
      <c r="M6124" s="6"/>
      <c r="N6124" s="6"/>
      <c r="O6124" t="s" s="2">
        <v>25</v>
      </c>
      <c r="P6124" s="6"/>
      <c r="Q6124" t="s" s="2">
        <v>9607</v>
      </c>
      <c r="R6124" s="5">
        <f>_xlfn.IFERROR(INDEX('model_byCAP'!$D$2:$D$377,MATCH(Q6124,'model_byCAP'!$A$2:$A$377,0)),0)</f>
        <v>0</v>
      </c>
    </row>
    <row r="6125" ht="15.35" customHeight="1">
      <c r="A6125" t="s" s="2">
        <v>10612</v>
      </c>
      <c r="B6125" s="4">
        <v>42067</v>
      </c>
      <c r="C6125" s="5">
        <v>10</v>
      </c>
      <c r="D6125" s="5">
        <v>13</v>
      </c>
      <c r="E6125" s="5">
        <v>18.2</v>
      </c>
      <c r="F6125" t="s" s="2">
        <v>9471</v>
      </c>
      <c r="G6125" t="s" s="2">
        <v>9606</v>
      </c>
      <c r="H6125" s="5">
        <v>846</v>
      </c>
      <c r="I6125" t="s" s="2">
        <v>429</v>
      </c>
      <c r="J6125" t="s" s="2">
        <v>9204</v>
      </c>
      <c r="K6125" s="6"/>
      <c r="L6125" s="6"/>
      <c r="M6125" s="6"/>
      <c r="N6125" s="6"/>
      <c r="O6125" t="s" s="2">
        <v>25</v>
      </c>
      <c r="P6125" s="6"/>
      <c r="Q6125" t="s" s="2">
        <v>9607</v>
      </c>
      <c r="R6125" s="5">
        <f>_xlfn.IFERROR(INDEX('model_byCAP'!$D$2:$D$377,MATCH(Q6125,'model_byCAP'!$A$2:$A$377,0)),0)</f>
        <v>0</v>
      </c>
    </row>
    <row r="6126" ht="15.35" customHeight="1">
      <c r="A6126" t="s" s="2">
        <v>10613</v>
      </c>
      <c r="B6126" s="4">
        <v>42122</v>
      </c>
      <c r="C6126" s="5">
        <v>10</v>
      </c>
      <c r="D6126" s="5">
        <v>13</v>
      </c>
      <c r="E6126" s="5">
        <v>18</v>
      </c>
      <c r="F6126" t="s" s="2">
        <v>9471</v>
      </c>
      <c r="G6126" t="s" s="2">
        <v>9606</v>
      </c>
      <c r="H6126" s="5">
        <v>846</v>
      </c>
      <c r="I6126" t="s" s="2">
        <v>429</v>
      </c>
      <c r="J6126" t="s" s="2">
        <v>9204</v>
      </c>
      <c r="K6126" s="6"/>
      <c r="L6126" s="6"/>
      <c r="M6126" s="5">
        <v>546930.12</v>
      </c>
      <c r="N6126" s="5">
        <v>6285699</v>
      </c>
      <c r="O6126" t="s" s="2">
        <v>305</v>
      </c>
      <c r="P6126" s="6"/>
      <c r="Q6126" t="s" s="2">
        <v>9607</v>
      </c>
      <c r="R6126" s="5">
        <f>_xlfn.IFERROR(INDEX('model_byCAP'!$D$2:$D$377,MATCH(Q6126,'model_byCAP'!$A$2:$A$377,0)),0)</f>
        <v>0</v>
      </c>
    </row>
    <row r="6127" ht="15.35" customHeight="1">
      <c r="A6127" t="s" s="2">
        <v>10614</v>
      </c>
      <c r="B6127" s="4">
        <v>42249</v>
      </c>
      <c r="C6127" s="5">
        <v>10</v>
      </c>
      <c r="D6127" s="5">
        <v>14</v>
      </c>
      <c r="E6127" s="5">
        <v>18</v>
      </c>
      <c r="F6127" t="s" s="2">
        <v>9209</v>
      </c>
      <c r="G6127" t="s" s="2">
        <v>9293</v>
      </c>
      <c r="H6127" s="5">
        <v>846</v>
      </c>
      <c r="I6127" t="s" s="2">
        <v>429</v>
      </c>
      <c r="J6127" t="s" s="2">
        <v>9204</v>
      </c>
      <c r="K6127" s="6"/>
      <c r="L6127" s="6"/>
      <c r="M6127" s="5">
        <v>542838.76</v>
      </c>
      <c r="N6127" s="5">
        <v>6273885.63</v>
      </c>
      <c r="O6127" t="s" s="2">
        <v>305</v>
      </c>
      <c r="P6127" s="6"/>
      <c r="Q6127" t="s" s="2">
        <v>9295</v>
      </c>
      <c r="R6127" t="s" s="2">
        <f>_xlfn.IFERROR(INDEX('model_byCAP'!$D$2:$D$377,MATCH(Q6127,'model_byCAP'!$A$2:$A$377,0)),0)</f>
        <v>8430</v>
      </c>
    </row>
    <row r="6128" ht="15.35" customHeight="1">
      <c r="A6128" t="s" s="2">
        <v>10615</v>
      </c>
      <c r="B6128" s="4">
        <v>42292</v>
      </c>
      <c r="C6128" s="5">
        <v>10</v>
      </c>
      <c r="D6128" s="5">
        <v>13</v>
      </c>
      <c r="E6128" s="5">
        <v>18</v>
      </c>
      <c r="F6128" t="s" s="2">
        <v>9471</v>
      </c>
      <c r="G6128" t="s" s="2">
        <v>9606</v>
      </c>
      <c r="H6128" s="5">
        <v>846</v>
      </c>
      <c r="I6128" t="s" s="2">
        <v>429</v>
      </c>
      <c r="J6128" t="s" s="2">
        <v>9204</v>
      </c>
      <c r="K6128" s="6"/>
      <c r="L6128" s="6"/>
      <c r="M6128" s="5">
        <v>549231.88</v>
      </c>
      <c r="N6128" s="5">
        <v>6288823.06</v>
      </c>
      <c r="O6128" t="s" s="2">
        <v>305</v>
      </c>
      <c r="P6128" s="6"/>
      <c r="Q6128" t="s" s="2">
        <v>9607</v>
      </c>
      <c r="R6128" s="5">
        <f>_xlfn.IFERROR(INDEX('model_byCAP'!$D$2:$D$377,MATCH(Q6128,'model_byCAP'!$A$2:$A$377,0)),0)</f>
        <v>0</v>
      </c>
    </row>
    <row r="6129" ht="15.35" customHeight="1">
      <c r="A6129" t="s" s="2">
        <v>10616</v>
      </c>
      <c r="B6129" s="4">
        <v>42361</v>
      </c>
      <c r="C6129" s="5">
        <v>10</v>
      </c>
      <c r="D6129" s="5">
        <v>14</v>
      </c>
      <c r="E6129" s="5">
        <v>18</v>
      </c>
      <c r="F6129" t="s" s="2">
        <v>9209</v>
      </c>
      <c r="G6129" t="s" s="2">
        <v>9293</v>
      </c>
      <c r="H6129" s="5">
        <v>846</v>
      </c>
      <c r="I6129" t="s" s="2">
        <v>429</v>
      </c>
      <c r="J6129" t="s" s="2">
        <v>9204</v>
      </c>
      <c r="K6129" s="6"/>
      <c r="L6129" s="6"/>
      <c r="M6129" s="5">
        <v>555104.49</v>
      </c>
      <c r="N6129" s="5">
        <v>6290820.4</v>
      </c>
      <c r="O6129" t="s" s="2">
        <v>305</v>
      </c>
      <c r="P6129" s="6"/>
      <c r="Q6129" t="s" s="2">
        <v>9295</v>
      </c>
      <c r="R6129" t="s" s="2">
        <f>_xlfn.IFERROR(INDEX('model_byCAP'!$D$2:$D$377,MATCH(Q6129,'model_byCAP'!$A$2:$A$377,0)),0)</f>
        <v>8430</v>
      </c>
    </row>
    <row r="6130" ht="15.35" customHeight="1">
      <c r="A6130" t="s" s="2">
        <v>10617</v>
      </c>
      <c r="B6130" s="4">
        <v>42445</v>
      </c>
      <c r="C6130" s="5">
        <v>10</v>
      </c>
      <c r="D6130" s="5">
        <v>14</v>
      </c>
      <c r="E6130" s="5">
        <v>18</v>
      </c>
      <c r="F6130" t="s" s="2">
        <v>9209</v>
      </c>
      <c r="G6130" t="s" s="2">
        <v>9293</v>
      </c>
      <c r="H6130" s="5">
        <v>846</v>
      </c>
      <c r="I6130" t="s" s="2">
        <v>429</v>
      </c>
      <c r="J6130" t="s" s="2">
        <v>9204</v>
      </c>
      <c r="K6130" s="6"/>
      <c r="L6130" s="6"/>
      <c r="M6130" s="5">
        <v>553049.86</v>
      </c>
      <c r="N6130" s="5">
        <v>6276819.37</v>
      </c>
      <c r="O6130" t="s" s="2">
        <v>305</v>
      </c>
      <c r="P6130" s="6"/>
      <c r="Q6130" t="s" s="2">
        <v>9295</v>
      </c>
      <c r="R6130" t="s" s="2">
        <f>_xlfn.IFERROR(INDEX('model_byCAP'!$D$2:$D$377,MATCH(Q6130,'model_byCAP'!$A$2:$A$377,0)),0)</f>
        <v>8430</v>
      </c>
    </row>
    <row r="6131" ht="15.35" customHeight="1">
      <c r="A6131" t="s" s="2">
        <v>10618</v>
      </c>
      <c r="B6131" s="4">
        <v>42487</v>
      </c>
      <c r="C6131" s="5">
        <v>10</v>
      </c>
      <c r="D6131" s="5">
        <v>13</v>
      </c>
      <c r="E6131" s="5">
        <v>18.2</v>
      </c>
      <c r="F6131" t="s" s="2">
        <v>9471</v>
      </c>
      <c r="G6131" t="s" s="2">
        <v>9606</v>
      </c>
      <c r="H6131" s="5">
        <v>846</v>
      </c>
      <c r="I6131" t="s" s="2">
        <v>429</v>
      </c>
      <c r="J6131" t="s" s="2">
        <v>9204</v>
      </c>
      <c r="K6131" s="6"/>
      <c r="L6131" s="6"/>
      <c r="M6131" s="6"/>
      <c r="N6131" s="6"/>
      <c r="O6131" t="s" s="2">
        <v>25</v>
      </c>
      <c r="P6131" s="6"/>
      <c r="Q6131" t="s" s="2">
        <v>9607</v>
      </c>
      <c r="R6131" s="5">
        <f>_xlfn.IFERROR(INDEX('model_byCAP'!$D$2:$D$377,MATCH(Q6131,'model_byCAP'!$A$2:$A$377,0)),0)</f>
        <v>0</v>
      </c>
    </row>
    <row r="6132" ht="15.35" customHeight="1">
      <c r="A6132" t="s" s="2">
        <v>10619</v>
      </c>
      <c r="B6132" s="4">
        <v>42545</v>
      </c>
      <c r="C6132" s="5">
        <v>10</v>
      </c>
      <c r="D6132" s="5">
        <v>13</v>
      </c>
      <c r="E6132" s="5">
        <v>18.3</v>
      </c>
      <c r="F6132" t="s" s="2">
        <v>9471</v>
      </c>
      <c r="G6132" t="s" s="2">
        <v>9606</v>
      </c>
      <c r="H6132" s="5">
        <v>846</v>
      </c>
      <c r="I6132" t="s" s="2">
        <v>429</v>
      </c>
      <c r="J6132" t="s" s="2">
        <v>9204</v>
      </c>
      <c r="K6132" s="6"/>
      <c r="L6132" s="6"/>
      <c r="M6132" s="6"/>
      <c r="N6132" s="6"/>
      <c r="O6132" t="s" s="2">
        <v>25</v>
      </c>
      <c r="P6132" s="6"/>
      <c r="Q6132" t="s" s="2">
        <v>9607</v>
      </c>
      <c r="R6132" s="5">
        <f>_xlfn.IFERROR(INDEX('model_byCAP'!$D$2:$D$377,MATCH(Q6132,'model_byCAP'!$A$2:$A$377,0)),0)</f>
        <v>0</v>
      </c>
    </row>
    <row r="6133" ht="15.35" customHeight="1">
      <c r="A6133" t="s" s="2">
        <v>10620</v>
      </c>
      <c r="B6133" s="4">
        <v>43034</v>
      </c>
      <c r="C6133" s="5">
        <v>10</v>
      </c>
      <c r="D6133" s="5">
        <v>13</v>
      </c>
      <c r="E6133" s="5">
        <v>18.3</v>
      </c>
      <c r="F6133" t="s" s="2">
        <v>9471</v>
      </c>
      <c r="G6133" t="s" s="2">
        <v>9606</v>
      </c>
      <c r="H6133" s="5">
        <v>846</v>
      </c>
      <c r="I6133" t="s" s="2">
        <v>429</v>
      </c>
      <c r="J6133" t="s" s="2">
        <v>9204</v>
      </c>
      <c r="K6133" s="6"/>
      <c r="L6133" s="6"/>
      <c r="M6133" s="6"/>
      <c r="N6133" s="6"/>
      <c r="O6133" t="s" s="2">
        <v>25</v>
      </c>
      <c r="P6133" s="6"/>
      <c r="Q6133" t="s" s="2">
        <v>9607</v>
      </c>
      <c r="R6133" s="5">
        <f>_xlfn.IFERROR(INDEX('model_byCAP'!$D$2:$D$377,MATCH(Q6133,'model_byCAP'!$A$2:$A$377,0)),0)</f>
        <v>0</v>
      </c>
    </row>
    <row r="6134" ht="15.35" customHeight="1">
      <c r="A6134" t="s" s="2">
        <v>10621</v>
      </c>
      <c r="B6134" s="4">
        <v>42091</v>
      </c>
      <c r="C6134" s="5">
        <v>10</v>
      </c>
      <c r="D6134" s="5">
        <v>13</v>
      </c>
      <c r="E6134" s="5">
        <v>18</v>
      </c>
      <c r="F6134" t="s" s="2">
        <v>9471</v>
      </c>
      <c r="G6134" t="s" s="2">
        <v>9606</v>
      </c>
      <c r="H6134" s="5">
        <v>846</v>
      </c>
      <c r="I6134" t="s" s="2">
        <v>429</v>
      </c>
      <c r="J6134" t="s" s="2">
        <v>9204</v>
      </c>
      <c r="K6134" s="6"/>
      <c r="L6134" s="6"/>
      <c r="M6134" s="5">
        <v>553718.17</v>
      </c>
      <c r="N6134" s="5">
        <v>6268570.67</v>
      </c>
      <c r="O6134" t="s" s="2">
        <v>305</v>
      </c>
      <c r="P6134" s="6"/>
      <c r="Q6134" t="s" s="2">
        <v>9607</v>
      </c>
      <c r="R6134" s="5">
        <f>_xlfn.IFERROR(INDEX('model_byCAP'!$D$2:$D$377,MATCH(Q6134,'model_byCAP'!$A$2:$A$377,0)),0)</f>
        <v>0</v>
      </c>
    </row>
    <row r="6135" ht="15.35" customHeight="1">
      <c r="A6135" t="s" s="2">
        <v>10622</v>
      </c>
      <c r="B6135" s="4">
        <v>42291</v>
      </c>
      <c r="C6135" s="5">
        <v>10</v>
      </c>
      <c r="D6135" s="5">
        <v>14</v>
      </c>
      <c r="E6135" s="5">
        <v>18</v>
      </c>
      <c r="F6135" t="s" s="2">
        <v>9209</v>
      </c>
      <c r="G6135" t="s" s="2">
        <v>9293</v>
      </c>
      <c r="H6135" s="5">
        <v>846</v>
      </c>
      <c r="I6135" t="s" s="2">
        <v>429</v>
      </c>
      <c r="J6135" t="s" s="2">
        <v>9204</v>
      </c>
      <c r="K6135" s="6"/>
      <c r="L6135" s="6"/>
      <c r="M6135" s="5">
        <v>556406.03</v>
      </c>
      <c r="N6135" s="5">
        <v>6275028.61</v>
      </c>
      <c r="O6135" t="s" s="2">
        <v>305</v>
      </c>
      <c r="P6135" s="6"/>
      <c r="Q6135" t="s" s="2">
        <v>9295</v>
      </c>
      <c r="R6135" t="s" s="2">
        <f>_xlfn.IFERROR(INDEX('model_byCAP'!$D$2:$D$377,MATCH(Q6135,'model_byCAP'!$A$2:$A$377,0)),0)</f>
        <v>8430</v>
      </c>
    </row>
    <row r="6136" ht="15.35" customHeight="1">
      <c r="A6136" t="s" s="2">
        <v>10623</v>
      </c>
      <c r="B6136" s="4">
        <v>42795</v>
      </c>
      <c r="C6136" s="5">
        <v>10</v>
      </c>
      <c r="D6136" s="5">
        <v>10</v>
      </c>
      <c r="E6136" s="5">
        <v>18</v>
      </c>
      <c r="F6136" t="s" s="2">
        <v>9209</v>
      </c>
      <c r="G6136" t="s" s="2">
        <v>9293</v>
      </c>
      <c r="H6136" s="5">
        <v>846</v>
      </c>
      <c r="I6136" t="s" s="2">
        <v>429</v>
      </c>
      <c r="J6136" t="s" s="2">
        <v>9204</v>
      </c>
      <c r="K6136" s="6"/>
      <c r="L6136" s="6"/>
      <c r="M6136" s="5">
        <v>554207.62</v>
      </c>
      <c r="N6136" s="5">
        <v>6276440</v>
      </c>
      <c r="O6136" t="s" s="2">
        <v>305</v>
      </c>
      <c r="P6136" s="6"/>
      <c r="Q6136" t="s" s="2">
        <v>9295</v>
      </c>
      <c r="R6136" t="s" s="2">
        <f>_xlfn.IFERROR(INDEX('model_byCAP'!$D$2:$D$377,MATCH(Q6136,'model_byCAP'!$A$2:$A$377,0)),0)</f>
        <v>8430</v>
      </c>
    </row>
    <row r="6137" ht="15.35" customHeight="1">
      <c r="A6137" t="s" s="2">
        <v>10624</v>
      </c>
      <c r="B6137" s="4">
        <v>41589</v>
      </c>
      <c r="C6137" s="5">
        <v>10</v>
      </c>
      <c r="D6137" s="5">
        <v>7.1</v>
      </c>
      <c r="E6137" s="5">
        <v>21</v>
      </c>
      <c r="F6137" t="s" s="2">
        <v>42</v>
      </c>
      <c r="G6137" t="s" s="2">
        <v>42</v>
      </c>
      <c r="H6137" s="5">
        <v>849</v>
      </c>
      <c r="I6137" t="s" s="2">
        <v>411</v>
      </c>
      <c r="J6137" t="s" s="2">
        <v>9204</v>
      </c>
      <c r="K6137" s="6"/>
      <c r="L6137" s="6"/>
      <c r="M6137" s="5">
        <v>541294.65</v>
      </c>
      <c r="N6137" s="5">
        <v>6344620.94</v>
      </c>
      <c r="O6137" t="s" s="2">
        <v>305</v>
      </c>
      <c r="P6137" s="6"/>
      <c r="Q6137" t="s" s="2">
        <v>43</v>
      </c>
      <c r="R6137" s="5">
        <f>_xlfn.IFERROR(INDEX('model_byCAP'!$D$2:$D$377,MATCH(Q6137,'model_byCAP'!$A$2:$A$377,0)),0)</f>
        <v>0</v>
      </c>
    </row>
    <row r="6138" ht="15.35" customHeight="1">
      <c r="A6138" t="s" s="2">
        <v>10625</v>
      </c>
      <c r="B6138" s="4">
        <v>42137</v>
      </c>
      <c r="C6138" s="5">
        <v>10</v>
      </c>
      <c r="D6138" s="5">
        <v>7.1</v>
      </c>
      <c r="E6138" s="5">
        <v>21.4</v>
      </c>
      <c r="F6138" t="s" s="2">
        <v>42</v>
      </c>
      <c r="G6138" t="s" s="2">
        <v>42</v>
      </c>
      <c r="H6138" s="5">
        <v>849</v>
      </c>
      <c r="I6138" t="s" s="2">
        <v>411</v>
      </c>
      <c r="J6138" t="s" s="2">
        <v>9204</v>
      </c>
      <c r="K6138" s="6"/>
      <c r="L6138" s="6"/>
      <c r="M6138" s="5">
        <v>508007.49</v>
      </c>
      <c r="N6138" s="5">
        <v>6327513.95</v>
      </c>
      <c r="O6138" t="s" s="2">
        <v>305</v>
      </c>
      <c r="P6138" s="6"/>
      <c r="Q6138" t="s" s="2">
        <v>43</v>
      </c>
      <c r="R6138" s="5">
        <f>_xlfn.IFERROR(INDEX('model_byCAP'!$D$2:$D$377,MATCH(Q6138,'model_byCAP'!$A$2:$A$377,0)),0)</f>
        <v>0</v>
      </c>
    </row>
    <row r="6139" ht="15.35" customHeight="1">
      <c r="A6139" t="s" s="2">
        <v>10626</v>
      </c>
      <c r="B6139" s="4">
        <v>41822</v>
      </c>
      <c r="C6139" s="5">
        <v>10</v>
      </c>
      <c r="D6139" s="5">
        <v>7.1</v>
      </c>
      <c r="E6139" s="5">
        <v>21</v>
      </c>
      <c r="F6139" t="s" s="2">
        <v>42</v>
      </c>
      <c r="G6139" t="s" s="2">
        <v>42</v>
      </c>
      <c r="H6139" s="5">
        <v>849</v>
      </c>
      <c r="I6139" t="s" s="2">
        <v>411</v>
      </c>
      <c r="J6139" t="s" s="2">
        <v>9204</v>
      </c>
      <c r="K6139" s="6"/>
      <c r="L6139" s="6"/>
      <c r="M6139" s="6"/>
      <c r="N6139" s="6"/>
      <c r="O6139" t="s" s="2">
        <v>25</v>
      </c>
      <c r="P6139" s="6"/>
      <c r="Q6139" t="s" s="2">
        <v>43</v>
      </c>
      <c r="R6139" s="5">
        <f>_xlfn.IFERROR(INDEX('model_byCAP'!$D$2:$D$377,MATCH(Q6139,'model_byCAP'!$A$2:$A$377,0)),0)</f>
        <v>0</v>
      </c>
    </row>
    <row r="6140" ht="15.35" customHeight="1">
      <c r="A6140" t="s" s="2">
        <v>10627</v>
      </c>
      <c r="B6140" s="4">
        <v>42187</v>
      </c>
      <c r="C6140" s="5">
        <v>10</v>
      </c>
      <c r="D6140" s="5">
        <v>7.1</v>
      </c>
      <c r="E6140" s="5">
        <v>21</v>
      </c>
      <c r="F6140" t="s" s="2">
        <v>42</v>
      </c>
      <c r="G6140" t="s" s="2">
        <v>42</v>
      </c>
      <c r="H6140" s="5">
        <v>849</v>
      </c>
      <c r="I6140" t="s" s="2">
        <v>411</v>
      </c>
      <c r="J6140" t="s" s="2">
        <v>9204</v>
      </c>
      <c r="K6140" s="6"/>
      <c r="L6140" s="6"/>
      <c r="M6140" s="5">
        <v>538610.4399999999</v>
      </c>
      <c r="N6140" s="5">
        <v>6340759.36</v>
      </c>
      <c r="O6140" t="s" s="2">
        <v>305</v>
      </c>
      <c r="P6140" s="6"/>
      <c r="Q6140" t="s" s="2">
        <v>43</v>
      </c>
      <c r="R6140" s="5">
        <f>_xlfn.IFERROR(INDEX('model_byCAP'!$D$2:$D$377,MATCH(Q6140,'model_byCAP'!$A$2:$A$377,0)),0)</f>
        <v>0</v>
      </c>
    </row>
    <row r="6141" ht="15.35" customHeight="1">
      <c r="A6141" t="s" s="2">
        <v>10628</v>
      </c>
      <c r="B6141" s="4">
        <v>42199</v>
      </c>
      <c r="C6141" s="5">
        <v>10</v>
      </c>
      <c r="D6141" s="5">
        <v>7.1</v>
      </c>
      <c r="E6141" s="5">
        <v>21</v>
      </c>
      <c r="F6141" t="s" s="2">
        <v>42</v>
      </c>
      <c r="G6141" t="s" s="2">
        <v>42</v>
      </c>
      <c r="H6141" s="5">
        <v>849</v>
      </c>
      <c r="I6141" t="s" s="2">
        <v>411</v>
      </c>
      <c r="J6141" t="s" s="2">
        <v>9204</v>
      </c>
      <c r="K6141" s="6"/>
      <c r="L6141" s="6"/>
      <c r="M6141" s="5">
        <v>513556.42</v>
      </c>
      <c r="N6141" s="5">
        <v>6326877</v>
      </c>
      <c r="O6141" t="s" s="2">
        <v>305</v>
      </c>
      <c r="P6141" s="6"/>
      <c r="Q6141" t="s" s="2">
        <v>43</v>
      </c>
      <c r="R6141" s="5">
        <f>_xlfn.IFERROR(INDEX('model_byCAP'!$D$2:$D$377,MATCH(Q6141,'model_byCAP'!$A$2:$A$377,0)),0)</f>
        <v>0</v>
      </c>
    </row>
    <row r="6142" ht="15.35" customHeight="1">
      <c r="A6142" t="s" s="2">
        <v>10629</v>
      </c>
      <c r="B6142" s="4">
        <v>42159</v>
      </c>
      <c r="C6142" s="5">
        <v>10</v>
      </c>
      <c r="D6142" s="5">
        <v>7.1</v>
      </c>
      <c r="E6142" s="5">
        <v>21</v>
      </c>
      <c r="F6142" t="s" s="2">
        <v>42</v>
      </c>
      <c r="G6142" t="s" s="2">
        <v>42</v>
      </c>
      <c r="H6142" s="5">
        <v>849</v>
      </c>
      <c r="I6142" t="s" s="2">
        <v>411</v>
      </c>
      <c r="J6142" t="s" s="2">
        <v>9204</v>
      </c>
      <c r="K6142" s="6"/>
      <c r="L6142" s="6"/>
      <c r="M6142" s="5">
        <v>541949.39</v>
      </c>
      <c r="N6142" s="5">
        <v>6336830.02</v>
      </c>
      <c r="O6142" t="s" s="2">
        <v>305</v>
      </c>
      <c r="P6142" s="6"/>
      <c r="Q6142" t="s" s="2">
        <v>43</v>
      </c>
      <c r="R6142" s="5">
        <f>_xlfn.IFERROR(INDEX('model_byCAP'!$D$2:$D$377,MATCH(Q6142,'model_byCAP'!$A$2:$A$377,0)),0)</f>
        <v>0</v>
      </c>
    </row>
    <row r="6143" ht="15.35" customHeight="1">
      <c r="A6143" t="s" s="2">
        <v>10630</v>
      </c>
      <c r="B6143" s="4">
        <v>42271</v>
      </c>
      <c r="C6143" s="5">
        <v>10</v>
      </c>
      <c r="D6143" s="5">
        <v>7.1</v>
      </c>
      <c r="E6143" s="5">
        <v>21</v>
      </c>
      <c r="F6143" t="s" s="2">
        <v>42</v>
      </c>
      <c r="G6143" t="s" s="2">
        <v>42</v>
      </c>
      <c r="H6143" s="5">
        <v>849</v>
      </c>
      <c r="I6143" t="s" s="2">
        <v>411</v>
      </c>
      <c r="J6143" t="s" s="2">
        <v>9204</v>
      </c>
      <c r="K6143" s="6"/>
      <c r="L6143" s="6"/>
      <c r="M6143" s="5">
        <v>530105.45</v>
      </c>
      <c r="N6143" s="5">
        <v>6332781.85</v>
      </c>
      <c r="O6143" t="s" s="2">
        <v>305</v>
      </c>
      <c r="P6143" s="6"/>
      <c r="Q6143" t="s" s="2">
        <v>43</v>
      </c>
      <c r="R6143" s="5">
        <f>_xlfn.IFERROR(INDEX('model_byCAP'!$D$2:$D$377,MATCH(Q6143,'model_byCAP'!$A$2:$A$377,0)),0)</f>
        <v>0</v>
      </c>
    </row>
    <row r="6144" ht="15.35" customHeight="1">
      <c r="A6144" t="s" s="2">
        <v>10631</v>
      </c>
      <c r="B6144" s="4">
        <v>42083</v>
      </c>
      <c r="C6144" s="5">
        <v>10</v>
      </c>
      <c r="D6144" s="5">
        <v>7.1</v>
      </c>
      <c r="E6144" s="5">
        <v>21</v>
      </c>
      <c r="F6144" t="s" s="2">
        <v>42</v>
      </c>
      <c r="G6144" t="s" s="2">
        <v>42</v>
      </c>
      <c r="H6144" s="5">
        <v>849</v>
      </c>
      <c r="I6144" t="s" s="2">
        <v>411</v>
      </c>
      <c r="J6144" t="s" s="2">
        <v>9204</v>
      </c>
      <c r="K6144" s="6"/>
      <c r="L6144" s="6"/>
      <c r="M6144" s="5">
        <v>542283.6899999999</v>
      </c>
      <c r="N6144" s="5">
        <v>6351243.76</v>
      </c>
      <c r="O6144" t="s" s="2">
        <v>305</v>
      </c>
      <c r="P6144" s="6"/>
      <c r="Q6144" t="s" s="2">
        <v>43</v>
      </c>
      <c r="R6144" s="5">
        <f>_xlfn.IFERROR(INDEX('model_byCAP'!$D$2:$D$377,MATCH(Q6144,'model_byCAP'!$A$2:$A$377,0)),0)</f>
        <v>0</v>
      </c>
    </row>
    <row r="6145" ht="15.35" customHeight="1">
      <c r="A6145" t="s" s="2">
        <v>10632</v>
      </c>
      <c r="B6145" s="4">
        <v>42153</v>
      </c>
      <c r="C6145" s="5">
        <v>10</v>
      </c>
      <c r="D6145" s="5">
        <v>7.1</v>
      </c>
      <c r="E6145" s="5">
        <v>21</v>
      </c>
      <c r="F6145" t="s" s="2">
        <v>42</v>
      </c>
      <c r="G6145" t="s" s="2">
        <v>42</v>
      </c>
      <c r="H6145" s="5">
        <v>849</v>
      </c>
      <c r="I6145" t="s" s="2">
        <v>411</v>
      </c>
      <c r="J6145" t="s" s="2">
        <v>9204</v>
      </c>
      <c r="K6145" s="6"/>
      <c r="L6145" s="6"/>
      <c r="M6145" s="5">
        <v>512532.93</v>
      </c>
      <c r="N6145" s="5">
        <v>6325893.93</v>
      </c>
      <c r="O6145" t="s" s="2">
        <v>305</v>
      </c>
      <c r="P6145" s="6"/>
      <c r="Q6145" t="s" s="2">
        <v>43</v>
      </c>
      <c r="R6145" s="5">
        <f>_xlfn.IFERROR(INDEX('model_byCAP'!$D$2:$D$377,MATCH(Q6145,'model_byCAP'!$A$2:$A$377,0)),0)</f>
        <v>0</v>
      </c>
    </row>
    <row r="6146" ht="15.35" customHeight="1">
      <c r="A6146" t="s" s="2">
        <v>10633</v>
      </c>
      <c r="B6146" s="4">
        <v>42150</v>
      </c>
      <c r="C6146" s="5">
        <v>10</v>
      </c>
      <c r="D6146" s="5">
        <v>7.1</v>
      </c>
      <c r="E6146" s="5">
        <v>21</v>
      </c>
      <c r="F6146" t="s" s="2">
        <v>42</v>
      </c>
      <c r="G6146" t="s" s="2">
        <v>42</v>
      </c>
      <c r="H6146" s="5">
        <v>849</v>
      </c>
      <c r="I6146" t="s" s="2">
        <v>411</v>
      </c>
      <c r="J6146" t="s" s="2">
        <v>9204</v>
      </c>
      <c r="K6146" s="6"/>
      <c r="L6146" s="6"/>
      <c r="M6146" s="5">
        <v>533181.4300000001</v>
      </c>
      <c r="N6146" s="5">
        <v>6333359.6</v>
      </c>
      <c r="O6146" t="s" s="2">
        <v>305</v>
      </c>
      <c r="P6146" s="6"/>
      <c r="Q6146" t="s" s="2">
        <v>43</v>
      </c>
      <c r="R6146" s="5">
        <f>_xlfn.IFERROR(INDEX('model_byCAP'!$D$2:$D$377,MATCH(Q6146,'model_byCAP'!$A$2:$A$377,0)),0)</f>
        <v>0</v>
      </c>
    </row>
    <row r="6147" ht="15.35" customHeight="1">
      <c r="A6147" t="s" s="2">
        <v>10634</v>
      </c>
      <c r="B6147" s="4">
        <v>42130</v>
      </c>
      <c r="C6147" s="5">
        <v>10</v>
      </c>
      <c r="D6147" s="5">
        <v>7.1</v>
      </c>
      <c r="E6147" s="5">
        <v>21.4</v>
      </c>
      <c r="F6147" t="s" s="2">
        <v>42</v>
      </c>
      <c r="G6147" t="s" s="2">
        <v>42</v>
      </c>
      <c r="H6147" s="5">
        <v>849</v>
      </c>
      <c r="I6147" t="s" s="2">
        <v>411</v>
      </c>
      <c r="J6147" t="s" s="2">
        <v>9204</v>
      </c>
      <c r="K6147" s="6"/>
      <c r="L6147" s="6"/>
      <c r="M6147" s="5">
        <v>506971.21</v>
      </c>
      <c r="N6147" s="5">
        <v>6328847.74</v>
      </c>
      <c r="O6147" t="s" s="2">
        <v>305</v>
      </c>
      <c r="P6147" s="6"/>
      <c r="Q6147" t="s" s="2">
        <v>43</v>
      </c>
      <c r="R6147" s="5">
        <f>_xlfn.IFERROR(INDEX('model_byCAP'!$D$2:$D$377,MATCH(Q6147,'model_byCAP'!$A$2:$A$377,0)),0)</f>
        <v>0</v>
      </c>
    </row>
    <row r="6148" ht="15.35" customHeight="1">
      <c r="A6148" t="s" s="2">
        <v>10635</v>
      </c>
      <c r="B6148" s="4">
        <v>42157</v>
      </c>
      <c r="C6148" s="5">
        <v>10</v>
      </c>
      <c r="D6148" s="5">
        <v>7.1</v>
      </c>
      <c r="E6148" s="5">
        <v>21</v>
      </c>
      <c r="F6148" t="s" s="2">
        <v>42</v>
      </c>
      <c r="G6148" t="s" s="2">
        <v>42</v>
      </c>
      <c r="H6148" s="5">
        <v>849</v>
      </c>
      <c r="I6148" t="s" s="2">
        <v>411</v>
      </c>
      <c r="J6148" t="s" s="2">
        <v>9204</v>
      </c>
      <c r="K6148" s="6"/>
      <c r="L6148" s="6"/>
      <c r="M6148" s="5">
        <v>541424.4399999999</v>
      </c>
      <c r="N6148" s="5">
        <v>6331452.53</v>
      </c>
      <c r="O6148" t="s" s="2">
        <v>305</v>
      </c>
      <c r="P6148" s="6"/>
      <c r="Q6148" t="s" s="2">
        <v>43</v>
      </c>
      <c r="R6148" s="5">
        <f>_xlfn.IFERROR(INDEX('model_byCAP'!$D$2:$D$377,MATCH(Q6148,'model_byCAP'!$A$2:$A$377,0)),0)</f>
        <v>0</v>
      </c>
    </row>
    <row r="6149" ht="15.35" customHeight="1">
      <c r="A6149" t="s" s="2">
        <v>10636</v>
      </c>
      <c r="B6149" s="4">
        <v>42088</v>
      </c>
      <c r="C6149" s="5">
        <v>10</v>
      </c>
      <c r="D6149" s="5">
        <v>7.1</v>
      </c>
      <c r="E6149" s="5">
        <v>21</v>
      </c>
      <c r="F6149" t="s" s="2">
        <v>42</v>
      </c>
      <c r="G6149" t="s" s="2">
        <v>42</v>
      </c>
      <c r="H6149" s="5">
        <v>849</v>
      </c>
      <c r="I6149" t="s" s="2">
        <v>411</v>
      </c>
      <c r="J6149" t="s" s="2">
        <v>9204</v>
      </c>
      <c r="K6149" s="6"/>
      <c r="L6149" s="6"/>
      <c r="M6149" s="5">
        <v>541442.09</v>
      </c>
      <c r="N6149" s="5">
        <v>6331444.32</v>
      </c>
      <c r="O6149" t="s" s="2">
        <v>305</v>
      </c>
      <c r="P6149" s="6"/>
      <c r="Q6149" t="s" s="2">
        <v>43</v>
      </c>
      <c r="R6149" s="5">
        <f>_xlfn.IFERROR(INDEX('model_byCAP'!$D$2:$D$377,MATCH(Q6149,'model_byCAP'!$A$2:$A$377,0)),0)</f>
        <v>0</v>
      </c>
    </row>
    <row r="6150" ht="15.35" customHeight="1">
      <c r="A6150" t="s" s="2">
        <v>10637</v>
      </c>
      <c r="B6150" s="4">
        <v>42297</v>
      </c>
      <c r="C6150" s="5">
        <v>10</v>
      </c>
      <c r="D6150" s="5">
        <v>14</v>
      </c>
      <c r="E6150" s="5">
        <v>18</v>
      </c>
      <c r="F6150" t="s" s="2">
        <v>9209</v>
      </c>
      <c r="G6150" t="s" s="2">
        <v>9293</v>
      </c>
      <c r="H6150" s="5">
        <v>849</v>
      </c>
      <c r="I6150" t="s" s="2">
        <v>411</v>
      </c>
      <c r="J6150" t="s" s="2">
        <v>9204</v>
      </c>
      <c r="K6150" s="6"/>
      <c r="L6150" s="6"/>
      <c r="M6150" s="5">
        <v>532499.83</v>
      </c>
      <c r="N6150" s="5">
        <v>6327002.6</v>
      </c>
      <c r="O6150" t="s" s="2">
        <v>305</v>
      </c>
      <c r="P6150" s="6"/>
      <c r="Q6150" t="s" s="2">
        <v>9295</v>
      </c>
      <c r="R6150" t="s" s="2">
        <f>_xlfn.IFERROR(INDEX('model_byCAP'!$D$2:$D$377,MATCH(Q6150,'model_byCAP'!$A$2:$A$377,0)),0)</f>
        <v>8430</v>
      </c>
    </row>
    <row r="6151" ht="15.35" customHeight="1">
      <c r="A6151" t="s" s="2">
        <v>10638</v>
      </c>
      <c r="B6151" s="4">
        <v>42297</v>
      </c>
      <c r="C6151" s="5">
        <v>10</v>
      </c>
      <c r="D6151" s="5">
        <v>7.1</v>
      </c>
      <c r="E6151" s="5">
        <v>21.4</v>
      </c>
      <c r="F6151" t="s" s="2">
        <v>42</v>
      </c>
      <c r="G6151" t="s" s="2">
        <v>42</v>
      </c>
      <c r="H6151" s="5">
        <v>849</v>
      </c>
      <c r="I6151" t="s" s="2">
        <v>411</v>
      </c>
      <c r="J6151" t="s" s="2">
        <v>9204</v>
      </c>
      <c r="K6151" s="6"/>
      <c r="L6151" s="6"/>
      <c r="M6151" s="5">
        <v>539400.89</v>
      </c>
      <c r="N6151" s="5">
        <v>6339909.7</v>
      </c>
      <c r="O6151" t="s" s="2">
        <v>305</v>
      </c>
      <c r="P6151" s="6"/>
      <c r="Q6151" t="s" s="2">
        <v>43</v>
      </c>
      <c r="R6151" s="5">
        <f>_xlfn.IFERROR(INDEX('model_byCAP'!$D$2:$D$377,MATCH(Q6151,'model_byCAP'!$A$2:$A$377,0)),0)</f>
        <v>0</v>
      </c>
    </row>
    <row r="6152" ht="15.35" customHeight="1">
      <c r="A6152" t="s" s="2">
        <v>10639</v>
      </c>
      <c r="B6152" s="4">
        <v>42156</v>
      </c>
      <c r="C6152" s="5">
        <v>10</v>
      </c>
      <c r="D6152" s="5">
        <v>7.1</v>
      </c>
      <c r="E6152" s="5">
        <v>21.4</v>
      </c>
      <c r="F6152" t="s" s="2">
        <v>42</v>
      </c>
      <c r="G6152" t="s" s="2">
        <v>42</v>
      </c>
      <c r="H6152" s="5">
        <v>849</v>
      </c>
      <c r="I6152" t="s" s="2">
        <v>411</v>
      </c>
      <c r="J6152" t="s" s="2">
        <v>9204</v>
      </c>
      <c r="K6152" s="6"/>
      <c r="L6152" s="6"/>
      <c r="M6152" s="6"/>
      <c r="N6152" s="6"/>
      <c r="O6152" t="s" s="2">
        <v>25</v>
      </c>
      <c r="P6152" s="6"/>
      <c r="Q6152" t="s" s="2">
        <v>43</v>
      </c>
      <c r="R6152" s="5">
        <f>_xlfn.IFERROR(INDEX('model_byCAP'!$D$2:$D$377,MATCH(Q6152,'model_byCAP'!$A$2:$A$377,0)),0)</f>
        <v>0</v>
      </c>
    </row>
    <row r="6153" ht="15.35" customHeight="1">
      <c r="A6153" t="s" s="2">
        <v>10640</v>
      </c>
      <c r="B6153" s="4">
        <v>42156</v>
      </c>
      <c r="C6153" s="5">
        <v>10</v>
      </c>
      <c r="D6153" s="5">
        <v>7.1</v>
      </c>
      <c r="E6153" s="5">
        <v>21.4</v>
      </c>
      <c r="F6153" t="s" s="2">
        <v>42</v>
      </c>
      <c r="G6153" t="s" s="2">
        <v>42</v>
      </c>
      <c r="H6153" s="5">
        <v>849</v>
      </c>
      <c r="I6153" t="s" s="2">
        <v>411</v>
      </c>
      <c r="J6153" t="s" s="2">
        <v>9204</v>
      </c>
      <c r="K6153" s="6"/>
      <c r="L6153" s="6"/>
      <c r="M6153" s="6"/>
      <c r="N6153" s="6"/>
      <c r="O6153" t="s" s="2">
        <v>25</v>
      </c>
      <c r="P6153" s="6"/>
      <c r="Q6153" t="s" s="2">
        <v>43</v>
      </c>
      <c r="R6153" s="5">
        <f>_xlfn.IFERROR(INDEX('model_byCAP'!$D$2:$D$377,MATCH(Q6153,'model_byCAP'!$A$2:$A$377,0)),0)</f>
        <v>0</v>
      </c>
    </row>
    <row r="6154" ht="15.35" customHeight="1">
      <c r="A6154" t="s" s="2">
        <v>10641</v>
      </c>
      <c r="B6154" s="4">
        <v>42442</v>
      </c>
      <c r="C6154" s="5">
        <v>10</v>
      </c>
      <c r="D6154" s="5">
        <v>7.1</v>
      </c>
      <c r="E6154" s="5">
        <v>21.4</v>
      </c>
      <c r="F6154" t="s" s="2">
        <v>42</v>
      </c>
      <c r="G6154" t="s" s="2">
        <v>42</v>
      </c>
      <c r="H6154" s="5">
        <v>849</v>
      </c>
      <c r="I6154" t="s" s="2">
        <v>411</v>
      </c>
      <c r="J6154" t="s" s="2">
        <v>9204</v>
      </c>
      <c r="K6154" s="6"/>
      <c r="L6154" s="6"/>
      <c r="M6154" s="5">
        <v>542862.76</v>
      </c>
      <c r="N6154" s="5">
        <v>6351400.07</v>
      </c>
      <c r="O6154" t="s" s="2">
        <v>305</v>
      </c>
      <c r="P6154" s="6"/>
      <c r="Q6154" t="s" s="2">
        <v>43</v>
      </c>
      <c r="R6154" s="5">
        <f>_xlfn.IFERROR(INDEX('model_byCAP'!$D$2:$D$377,MATCH(Q6154,'model_byCAP'!$A$2:$A$377,0)),0)</f>
        <v>0</v>
      </c>
    </row>
    <row r="6155" ht="15.35" customHeight="1">
      <c r="A6155" t="s" s="2">
        <v>10642</v>
      </c>
      <c r="B6155" s="4">
        <v>42242</v>
      </c>
      <c r="C6155" s="5">
        <v>10</v>
      </c>
      <c r="D6155" s="5">
        <v>7.1</v>
      </c>
      <c r="E6155" s="5">
        <v>21</v>
      </c>
      <c r="F6155" t="s" s="2">
        <v>42</v>
      </c>
      <c r="G6155" t="s" s="2">
        <v>42</v>
      </c>
      <c r="H6155" s="5">
        <v>849</v>
      </c>
      <c r="I6155" t="s" s="2">
        <v>411</v>
      </c>
      <c r="J6155" t="s" s="2">
        <v>9204</v>
      </c>
      <c r="K6155" s="6"/>
      <c r="L6155" s="6"/>
      <c r="M6155" s="6"/>
      <c r="N6155" s="6"/>
      <c r="O6155" t="s" s="2">
        <v>25</v>
      </c>
      <c r="P6155" s="6"/>
      <c r="Q6155" t="s" s="2">
        <v>43</v>
      </c>
      <c r="R6155" s="5">
        <f>_xlfn.IFERROR(INDEX('model_byCAP'!$D$2:$D$377,MATCH(Q6155,'model_byCAP'!$A$2:$A$377,0)),0)</f>
        <v>0</v>
      </c>
    </row>
    <row r="6156" ht="15.35" customHeight="1">
      <c r="A6156" t="s" s="2">
        <v>10643</v>
      </c>
      <c r="B6156" s="4">
        <v>42297</v>
      </c>
      <c r="C6156" s="5">
        <v>10</v>
      </c>
      <c r="D6156" s="5">
        <v>14</v>
      </c>
      <c r="E6156" s="5">
        <v>18</v>
      </c>
      <c r="F6156" t="s" s="2">
        <v>9209</v>
      </c>
      <c r="G6156" t="s" s="2">
        <v>9293</v>
      </c>
      <c r="H6156" s="5">
        <v>849</v>
      </c>
      <c r="I6156" t="s" s="2">
        <v>411</v>
      </c>
      <c r="J6156" t="s" s="2">
        <v>9204</v>
      </c>
      <c r="K6156" s="6"/>
      <c r="L6156" s="6"/>
      <c r="M6156" s="5">
        <v>522266.7</v>
      </c>
      <c r="N6156" s="5">
        <v>6323820.32</v>
      </c>
      <c r="O6156" t="s" s="2">
        <v>305</v>
      </c>
      <c r="P6156" s="6"/>
      <c r="Q6156" t="s" s="2">
        <v>9295</v>
      </c>
      <c r="R6156" t="s" s="2">
        <f>_xlfn.IFERROR(INDEX('model_byCAP'!$D$2:$D$377,MATCH(Q6156,'model_byCAP'!$A$2:$A$377,0)),0)</f>
        <v>8430</v>
      </c>
    </row>
    <row r="6157" ht="15.35" customHeight="1">
      <c r="A6157" t="s" s="2">
        <v>10644</v>
      </c>
      <c r="B6157" s="4">
        <v>42235</v>
      </c>
      <c r="C6157" s="5">
        <v>10</v>
      </c>
      <c r="D6157" s="5">
        <v>7</v>
      </c>
      <c r="E6157" s="5">
        <v>21</v>
      </c>
      <c r="F6157" t="s" s="2">
        <v>42</v>
      </c>
      <c r="G6157" t="s" s="2">
        <v>42</v>
      </c>
      <c r="H6157" s="5">
        <v>849</v>
      </c>
      <c r="I6157" t="s" s="2">
        <v>411</v>
      </c>
      <c r="J6157" t="s" s="2">
        <v>9204</v>
      </c>
      <c r="K6157" s="6"/>
      <c r="L6157" s="6"/>
      <c r="M6157" s="5">
        <v>543470.86</v>
      </c>
      <c r="N6157" s="5">
        <v>6344261.73</v>
      </c>
      <c r="O6157" t="s" s="2">
        <v>305</v>
      </c>
      <c r="P6157" s="6"/>
      <c r="Q6157" t="s" s="2">
        <v>43</v>
      </c>
      <c r="R6157" s="5">
        <f>_xlfn.IFERROR(INDEX('model_byCAP'!$D$2:$D$377,MATCH(Q6157,'model_byCAP'!$A$2:$A$377,0)),0)</f>
        <v>0</v>
      </c>
    </row>
    <row r="6158" ht="15.35" customHeight="1">
      <c r="A6158" t="s" s="2">
        <v>10645</v>
      </c>
      <c r="B6158" s="4">
        <v>42235</v>
      </c>
      <c r="C6158" s="5">
        <v>10</v>
      </c>
      <c r="D6158" s="5">
        <v>7</v>
      </c>
      <c r="E6158" s="5">
        <v>21</v>
      </c>
      <c r="F6158" t="s" s="2">
        <v>42</v>
      </c>
      <c r="G6158" t="s" s="2">
        <v>42</v>
      </c>
      <c r="H6158" s="5">
        <v>849</v>
      </c>
      <c r="I6158" t="s" s="2">
        <v>411</v>
      </c>
      <c r="J6158" t="s" s="2">
        <v>9204</v>
      </c>
      <c r="K6158" s="6"/>
      <c r="L6158" s="6"/>
      <c r="M6158" s="5">
        <v>543434.8199999999</v>
      </c>
      <c r="N6158" s="5">
        <v>6344271.4</v>
      </c>
      <c r="O6158" t="s" s="2">
        <v>305</v>
      </c>
      <c r="P6158" s="6"/>
      <c r="Q6158" t="s" s="2">
        <v>43</v>
      </c>
      <c r="R6158" s="5">
        <f>_xlfn.IFERROR(INDEX('model_byCAP'!$D$2:$D$377,MATCH(Q6158,'model_byCAP'!$A$2:$A$377,0)),0)</f>
        <v>0</v>
      </c>
    </row>
    <row r="6159" ht="15.35" customHeight="1">
      <c r="A6159" t="s" s="2">
        <v>10646</v>
      </c>
      <c r="B6159" s="4">
        <v>42241</v>
      </c>
      <c r="C6159" s="5">
        <v>10</v>
      </c>
      <c r="D6159" s="5">
        <v>7.1</v>
      </c>
      <c r="E6159" s="5">
        <v>21</v>
      </c>
      <c r="F6159" t="s" s="2">
        <v>42</v>
      </c>
      <c r="G6159" t="s" s="2">
        <v>42</v>
      </c>
      <c r="H6159" s="5">
        <v>849</v>
      </c>
      <c r="I6159" t="s" s="2">
        <v>411</v>
      </c>
      <c r="J6159" t="s" s="2">
        <v>9204</v>
      </c>
      <c r="K6159" s="6"/>
      <c r="L6159" s="6"/>
      <c r="M6159" s="5">
        <v>508116.6</v>
      </c>
      <c r="N6159" s="5">
        <v>6329614.88</v>
      </c>
      <c r="O6159" t="s" s="2">
        <v>305</v>
      </c>
      <c r="P6159" s="6"/>
      <c r="Q6159" t="s" s="2">
        <v>43</v>
      </c>
      <c r="R6159" s="5">
        <f>_xlfn.IFERROR(INDEX('model_byCAP'!$D$2:$D$377,MATCH(Q6159,'model_byCAP'!$A$2:$A$377,0)),0)</f>
        <v>0</v>
      </c>
    </row>
    <row r="6160" ht="15.35" customHeight="1">
      <c r="A6160" t="s" s="2">
        <v>10647</v>
      </c>
      <c r="B6160" s="4">
        <v>42248</v>
      </c>
      <c r="C6160" s="5">
        <v>10</v>
      </c>
      <c r="D6160" s="5">
        <v>13</v>
      </c>
      <c r="E6160" s="5">
        <v>18.2</v>
      </c>
      <c r="F6160" t="s" s="2">
        <v>9471</v>
      </c>
      <c r="G6160" t="s" s="2">
        <v>9606</v>
      </c>
      <c r="H6160" s="5">
        <v>849</v>
      </c>
      <c r="I6160" t="s" s="2">
        <v>411</v>
      </c>
      <c r="J6160" t="s" s="2">
        <v>9204</v>
      </c>
      <c r="K6160" s="6"/>
      <c r="L6160" s="6"/>
      <c r="M6160" s="5">
        <v>504681.76</v>
      </c>
      <c r="N6160" s="5">
        <v>6330460.8</v>
      </c>
      <c r="O6160" t="s" s="2">
        <v>305</v>
      </c>
      <c r="P6160" s="6"/>
      <c r="Q6160" t="s" s="2">
        <v>9607</v>
      </c>
      <c r="R6160" s="5">
        <f>_xlfn.IFERROR(INDEX('model_byCAP'!$D$2:$D$377,MATCH(Q6160,'model_byCAP'!$A$2:$A$377,0)),0)</f>
        <v>0</v>
      </c>
    </row>
    <row r="6161" ht="15.35" customHeight="1">
      <c r="A6161" t="s" s="2">
        <v>10648</v>
      </c>
      <c r="B6161" s="4">
        <v>42257</v>
      </c>
      <c r="C6161" s="5">
        <v>10</v>
      </c>
      <c r="D6161" s="5">
        <v>7.1</v>
      </c>
      <c r="E6161" s="5">
        <v>21</v>
      </c>
      <c r="F6161" t="s" s="2">
        <v>42</v>
      </c>
      <c r="G6161" t="s" s="2">
        <v>42</v>
      </c>
      <c r="H6161" s="5">
        <v>849</v>
      </c>
      <c r="I6161" t="s" s="2">
        <v>411</v>
      </c>
      <c r="J6161" t="s" s="2">
        <v>9204</v>
      </c>
      <c r="K6161" s="6"/>
      <c r="L6161" s="6"/>
      <c r="M6161" s="5">
        <v>521617.57</v>
      </c>
      <c r="N6161" s="5">
        <v>6324362.48</v>
      </c>
      <c r="O6161" t="s" s="2">
        <v>305</v>
      </c>
      <c r="P6161" s="6"/>
      <c r="Q6161" t="s" s="2">
        <v>43</v>
      </c>
      <c r="R6161" s="5">
        <f>_xlfn.IFERROR(INDEX('model_byCAP'!$D$2:$D$377,MATCH(Q6161,'model_byCAP'!$A$2:$A$377,0)),0)</f>
        <v>0</v>
      </c>
    </row>
    <row r="6162" ht="15.35" customHeight="1">
      <c r="A6162" t="s" s="2">
        <v>10649</v>
      </c>
      <c r="B6162" s="4">
        <v>42277</v>
      </c>
      <c r="C6162" s="5">
        <v>10</v>
      </c>
      <c r="D6162" s="5">
        <v>7.1</v>
      </c>
      <c r="E6162" s="5">
        <v>21</v>
      </c>
      <c r="F6162" t="s" s="2">
        <v>42</v>
      </c>
      <c r="G6162" t="s" s="2">
        <v>42</v>
      </c>
      <c r="H6162" s="5">
        <v>849</v>
      </c>
      <c r="I6162" t="s" s="2">
        <v>411</v>
      </c>
      <c r="J6162" t="s" s="2">
        <v>9204</v>
      </c>
      <c r="K6162" s="6"/>
      <c r="L6162" s="6"/>
      <c r="M6162" s="5">
        <v>540249.3199999999</v>
      </c>
      <c r="N6162" s="5">
        <v>6343367.65</v>
      </c>
      <c r="O6162" t="s" s="2">
        <v>305</v>
      </c>
      <c r="P6162" s="6"/>
      <c r="Q6162" t="s" s="2">
        <v>43</v>
      </c>
      <c r="R6162" s="5">
        <f>_xlfn.IFERROR(INDEX('model_byCAP'!$D$2:$D$377,MATCH(Q6162,'model_byCAP'!$A$2:$A$377,0)),0)</f>
        <v>0</v>
      </c>
    </row>
    <row r="6163" ht="15.35" customHeight="1">
      <c r="A6163" t="s" s="2">
        <v>10650</v>
      </c>
      <c r="B6163" s="4">
        <v>42331</v>
      </c>
      <c r="C6163" s="5">
        <v>10</v>
      </c>
      <c r="D6163" s="5">
        <v>13</v>
      </c>
      <c r="E6163" s="5">
        <v>18.2</v>
      </c>
      <c r="F6163" t="s" s="2">
        <v>9471</v>
      </c>
      <c r="G6163" t="s" s="2">
        <v>9606</v>
      </c>
      <c r="H6163" s="5">
        <v>849</v>
      </c>
      <c r="I6163" t="s" s="2">
        <v>411</v>
      </c>
      <c r="J6163" t="s" s="2">
        <v>9204</v>
      </c>
      <c r="K6163" s="6"/>
      <c r="L6163" s="6"/>
      <c r="M6163" s="6"/>
      <c r="N6163" s="6"/>
      <c r="O6163" t="s" s="2">
        <v>25</v>
      </c>
      <c r="P6163" s="6"/>
      <c r="Q6163" t="s" s="2">
        <v>9607</v>
      </c>
      <c r="R6163" s="5">
        <f>_xlfn.IFERROR(INDEX('model_byCAP'!$D$2:$D$377,MATCH(Q6163,'model_byCAP'!$A$2:$A$377,0)),0)</f>
        <v>0</v>
      </c>
    </row>
    <row r="6164" ht="15.35" customHeight="1">
      <c r="A6164" t="s" s="2">
        <v>10651</v>
      </c>
      <c r="B6164" s="4">
        <v>42319</v>
      </c>
      <c r="C6164" s="5">
        <v>10</v>
      </c>
      <c r="D6164" s="5">
        <v>13</v>
      </c>
      <c r="E6164" s="5">
        <v>18.2</v>
      </c>
      <c r="F6164" t="s" s="2">
        <v>9471</v>
      </c>
      <c r="G6164" t="s" s="2">
        <v>9606</v>
      </c>
      <c r="H6164" s="5">
        <v>849</v>
      </c>
      <c r="I6164" t="s" s="2">
        <v>411</v>
      </c>
      <c r="J6164" t="s" s="2">
        <v>9204</v>
      </c>
      <c r="K6164" s="6"/>
      <c r="L6164" s="6"/>
      <c r="M6164" s="5">
        <v>508075.17</v>
      </c>
      <c r="N6164" s="5">
        <v>6329830.51</v>
      </c>
      <c r="O6164" t="s" s="2">
        <v>305</v>
      </c>
      <c r="P6164" s="6"/>
      <c r="Q6164" t="s" s="2">
        <v>9607</v>
      </c>
      <c r="R6164" s="5">
        <f>_xlfn.IFERROR(INDEX('model_byCAP'!$D$2:$D$377,MATCH(Q6164,'model_byCAP'!$A$2:$A$377,0)),0)</f>
        <v>0</v>
      </c>
    </row>
    <row r="6165" ht="15.35" customHeight="1">
      <c r="A6165" t="s" s="2">
        <v>10652</v>
      </c>
      <c r="B6165" s="4">
        <v>42368</v>
      </c>
      <c r="C6165" s="5">
        <v>10</v>
      </c>
      <c r="D6165" s="5">
        <v>13</v>
      </c>
      <c r="E6165" s="5">
        <v>18.2</v>
      </c>
      <c r="F6165" t="s" s="2">
        <v>9471</v>
      </c>
      <c r="G6165" t="s" s="2">
        <v>9606</v>
      </c>
      <c r="H6165" s="5">
        <v>849</v>
      </c>
      <c r="I6165" t="s" s="2">
        <v>411</v>
      </c>
      <c r="J6165" t="s" s="2">
        <v>9204</v>
      </c>
      <c r="K6165" s="6"/>
      <c r="L6165" s="6"/>
      <c r="M6165" s="5">
        <v>512558.18</v>
      </c>
      <c r="N6165" s="5">
        <v>6328954.14</v>
      </c>
      <c r="O6165" t="s" s="2">
        <v>305</v>
      </c>
      <c r="P6165" s="6"/>
      <c r="Q6165" t="s" s="2">
        <v>9607</v>
      </c>
      <c r="R6165" s="5">
        <f>_xlfn.IFERROR(INDEX('model_byCAP'!$D$2:$D$377,MATCH(Q6165,'model_byCAP'!$A$2:$A$377,0)),0)</f>
        <v>0</v>
      </c>
    </row>
    <row r="6166" ht="15.35" customHeight="1">
      <c r="A6166" t="s" s="2">
        <v>10653</v>
      </c>
      <c r="B6166" s="4">
        <v>42339</v>
      </c>
      <c r="C6166" s="5">
        <v>10</v>
      </c>
      <c r="D6166" s="5">
        <v>13</v>
      </c>
      <c r="E6166" s="5">
        <v>18</v>
      </c>
      <c r="F6166" t="s" s="2">
        <v>9471</v>
      </c>
      <c r="G6166" t="s" s="2">
        <v>9606</v>
      </c>
      <c r="H6166" s="5">
        <v>849</v>
      </c>
      <c r="I6166" t="s" s="2">
        <v>411</v>
      </c>
      <c r="J6166" t="s" s="2">
        <v>9204</v>
      </c>
      <c r="K6166" s="6"/>
      <c r="L6166" s="6"/>
      <c r="M6166" s="5">
        <v>541883.46</v>
      </c>
      <c r="N6166" s="5">
        <v>6335409.39</v>
      </c>
      <c r="O6166" t="s" s="2">
        <v>305</v>
      </c>
      <c r="P6166" s="6"/>
      <c r="Q6166" t="s" s="2">
        <v>9607</v>
      </c>
      <c r="R6166" s="5">
        <f>_xlfn.IFERROR(INDEX('model_byCAP'!$D$2:$D$377,MATCH(Q6166,'model_byCAP'!$A$2:$A$377,0)),0)</f>
        <v>0</v>
      </c>
    </row>
    <row r="6167" ht="15.35" customHeight="1">
      <c r="A6167" t="s" s="2">
        <v>10654</v>
      </c>
      <c r="B6167" s="4">
        <v>42356</v>
      </c>
      <c r="C6167" s="5">
        <v>10</v>
      </c>
      <c r="D6167" s="5">
        <v>7.1</v>
      </c>
      <c r="E6167" s="5">
        <v>21</v>
      </c>
      <c r="F6167" t="s" s="2">
        <v>42</v>
      </c>
      <c r="G6167" t="s" s="2">
        <v>42</v>
      </c>
      <c r="H6167" s="5">
        <v>849</v>
      </c>
      <c r="I6167" t="s" s="2">
        <v>411</v>
      </c>
      <c r="J6167" t="s" s="2">
        <v>9204</v>
      </c>
      <c r="K6167" s="6"/>
      <c r="L6167" s="6"/>
      <c r="M6167" s="5">
        <v>544912.88</v>
      </c>
      <c r="N6167" s="5">
        <v>6350396.41</v>
      </c>
      <c r="O6167" t="s" s="2">
        <v>305</v>
      </c>
      <c r="P6167" s="6"/>
      <c r="Q6167" t="s" s="2">
        <v>43</v>
      </c>
      <c r="R6167" s="5">
        <f>_xlfn.IFERROR(INDEX('model_byCAP'!$D$2:$D$377,MATCH(Q6167,'model_byCAP'!$A$2:$A$377,0)),0)</f>
        <v>0</v>
      </c>
    </row>
    <row r="6168" ht="15.35" customHeight="1">
      <c r="A6168" t="s" s="2">
        <v>10655</v>
      </c>
      <c r="B6168" s="4">
        <v>42397</v>
      </c>
      <c r="C6168" s="5">
        <v>10</v>
      </c>
      <c r="D6168" s="5">
        <v>7</v>
      </c>
      <c r="E6168" s="5">
        <v>21</v>
      </c>
      <c r="F6168" t="s" s="2">
        <v>42</v>
      </c>
      <c r="G6168" t="s" s="2">
        <v>42</v>
      </c>
      <c r="H6168" s="5">
        <v>849</v>
      </c>
      <c r="I6168" t="s" s="2">
        <v>411</v>
      </c>
      <c r="J6168" t="s" s="2">
        <v>9204</v>
      </c>
      <c r="K6168" s="6"/>
      <c r="L6168" s="6"/>
      <c r="M6168" s="5">
        <v>520333.62</v>
      </c>
      <c r="N6168" s="5">
        <v>6320918.82</v>
      </c>
      <c r="O6168" t="s" s="2">
        <v>305</v>
      </c>
      <c r="P6168" s="6"/>
      <c r="Q6168" t="s" s="2">
        <v>43</v>
      </c>
      <c r="R6168" s="5">
        <f>_xlfn.IFERROR(INDEX('model_byCAP'!$D$2:$D$377,MATCH(Q6168,'model_byCAP'!$A$2:$A$377,0)),0)</f>
        <v>0</v>
      </c>
    </row>
    <row r="6169" ht="15.35" customHeight="1">
      <c r="A6169" t="s" s="2">
        <v>10656</v>
      </c>
      <c r="B6169" s="4">
        <v>42467</v>
      </c>
      <c r="C6169" s="5">
        <v>10</v>
      </c>
      <c r="D6169" s="5">
        <v>7</v>
      </c>
      <c r="E6169" s="5">
        <v>21</v>
      </c>
      <c r="F6169" t="s" s="2">
        <v>42</v>
      </c>
      <c r="G6169" t="s" s="2">
        <v>42</v>
      </c>
      <c r="H6169" s="5">
        <v>849</v>
      </c>
      <c r="I6169" t="s" s="2">
        <v>411</v>
      </c>
      <c r="J6169" t="s" s="2">
        <v>9204</v>
      </c>
      <c r="K6169" s="6"/>
      <c r="L6169" s="6"/>
      <c r="M6169" s="5">
        <v>545464.4</v>
      </c>
      <c r="N6169" s="5">
        <v>6338755</v>
      </c>
      <c r="O6169" t="s" s="2">
        <v>305</v>
      </c>
      <c r="P6169" s="6"/>
      <c r="Q6169" t="s" s="2">
        <v>43</v>
      </c>
      <c r="R6169" s="5">
        <f>_xlfn.IFERROR(INDEX('model_byCAP'!$D$2:$D$377,MATCH(Q6169,'model_byCAP'!$A$2:$A$377,0)),0)</f>
        <v>0</v>
      </c>
    </row>
    <row r="6170" ht="15.35" customHeight="1">
      <c r="A6170" t="s" s="2">
        <v>10657</v>
      </c>
      <c r="B6170" s="4">
        <v>42488</v>
      </c>
      <c r="C6170" s="5">
        <v>10</v>
      </c>
      <c r="D6170" s="5">
        <v>14</v>
      </c>
      <c r="E6170" s="5">
        <v>18</v>
      </c>
      <c r="F6170" t="s" s="2">
        <v>9209</v>
      </c>
      <c r="G6170" t="s" s="2">
        <v>9293</v>
      </c>
      <c r="H6170" s="5">
        <v>849</v>
      </c>
      <c r="I6170" t="s" s="2">
        <v>411</v>
      </c>
      <c r="J6170" t="s" s="2">
        <v>9204</v>
      </c>
      <c r="K6170" s="6"/>
      <c r="L6170" s="6"/>
      <c r="M6170" s="5">
        <v>540269.8</v>
      </c>
      <c r="N6170" s="5">
        <v>6332596.7</v>
      </c>
      <c r="O6170" t="s" s="2">
        <v>305</v>
      </c>
      <c r="P6170" s="6"/>
      <c r="Q6170" t="s" s="2">
        <v>9295</v>
      </c>
      <c r="R6170" t="s" s="2">
        <f>_xlfn.IFERROR(INDEX('model_byCAP'!$D$2:$D$377,MATCH(Q6170,'model_byCAP'!$A$2:$A$377,0)),0)</f>
        <v>8430</v>
      </c>
    </row>
    <row r="6171" ht="15.35" customHeight="1">
      <c r="A6171" t="s" s="2">
        <v>10658</v>
      </c>
      <c r="B6171" s="4">
        <v>42465</v>
      </c>
      <c r="C6171" s="5">
        <v>10</v>
      </c>
      <c r="D6171" s="5">
        <v>14</v>
      </c>
      <c r="E6171" s="5">
        <v>18</v>
      </c>
      <c r="F6171" t="s" s="2">
        <v>9209</v>
      </c>
      <c r="G6171" t="s" s="2">
        <v>9293</v>
      </c>
      <c r="H6171" s="5">
        <v>849</v>
      </c>
      <c r="I6171" t="s" s="2">
        <v>411</v>
      </c>
      <c r="J6171" t="s" s="2">
        <v>9204</v>
      </c>
      <c r="K6171" s="6"/>
      <c r="L6171" s="6"/>
      <c r="M6171" s="5">
        <v>542562.13</v>
      </c>
      <c r="N6171" s="5">
        <v>6353641.29</v>
      </c>
      <c r="O6171" t="s" s="2">
        <v>305</v>
      </c>
      <c r="P6171" s="6"/>
      <c r="Q6171" t="s" s="2">
        <v>9295</v>
      </c>
      <c r="R6171" t="s" s="2">
        <f>_xlfn.IFERROR(INDEX('model_byCAP'!$D$2:$D$377,MATCH(Q6171,'model_byCAP'!$A$2:$A$377,0)),0)</f>
        <v>8430</v>
      </c>
    </row>
    <row r="6172" ht="15.35" customHeight="1">
      <c r="A6172" t="s" s="2">
        <v>10659</v>
      </c>
      <c r="B6172" s="4">
        <v>42488</v>
      </c>
      <c r="C6172" s="5">
        <v>10</v>
      </c>
      <c r="D6172" s="5">
        <v>14</v>
      </c>
      <c r="E6172" s="5">
        <v>18</v>
      </c>
      <c r="F6172" t="s" s="2">
        <v>9209</v>
      </c>
      <c r="G6172" t="s" s="2">
        <v>9293</v>
      </c>
      <c r="H6172" s="5">
        <v>849</v>
      </c>
      <c r="I6172" t="s" s="2">
        <v>411</v>
      </c>
      <c r="J6172" t="s" s="2">
        <v>9204</v>
      </c>
      <c r="K6172" s="6"/>
      <c r="L6172" s="6"/>
      <c r="M6172" s="5">
        <v>542792.76</v>
      </c>
      <c r="N6172" s="5">
        <v>6354403.14</v>
      </c>
      <c r="O6172" t="s" s="2">
        <v>305</v>
      </c>
      <c r="P6172" s="6"/>
      <c r="Q6172" t="s" s="2">
        <v>9295</v>
      </c>
      <c r="R6172" t="s" s="2">
        <f>_xlfn.IFERROR(INDEX('model_byCAP'!$D$2:$D$377,MATCH(Q6172,'model_byCAP'!$A$2:$A$377,0)),0)</f>
        <v>8430</v>
      </c>
    </row>
    <row r="6173" ht="15.35" customHeight="1">
      <c r="A6173" t="s" s="2">
        <v>10660</v>
      </c>
      <c r="B6173" s="4">
        <v>42510</v>
      </c>
      <c r="C6173" s="5">
        <v>10</v>
      </c>
      <c r="D6173" s="5">
        <v>13</v>
      </c>
      <c r="E6173" s="5">
        <v>18</v>
      </c>
      <c r="F6173" t="s" s="2">
        <v>9471</v>
      </c>
      <c r="G6173" t="s" s="2">
        <v>9606</v>
      </c>
      <c r="H6173" s="5">
        <v>849</v>
      </c>
      <c r="I6173" t="s" s="2">
        <v>411</v>
      </c>
      <c r="J6173" t="s" s="2">
        <v>9204</v>
      </c>
      <c r="K6173" s="6"/>
      <c r="L6173" s="6"/>
      <c r="M6173" s="6"/>
      <c r="N6173" s="6"/>
      <c r="O6173" t="s" s="2">
        <v>25</v>
      </c>
      <c r="P6173" s="6"/>
      <c r="Q6173" t="s" s="2">
        <v>9607</v>
      </c>
      <c r="R6173" s="5">
        <f>_xlfn.IFERROR(INDEX('model_byCAP'!$D$2:$D$377,MATCH(Q6173,'model_byCAP'!$A$2:$A$377,0)),0)</f>
        <v>0</v>
      </c>
    </row>
    <row r="6174" ht="15.35" customHeight="1">
      <c r="A6174" t="s" s="2">
        <v>10661</v>
      </c>
      <c r="B6174" s="4">
        <v>42513</v>
      </c>
      <c r="C6174" s="5">
        <v>10</v>
      </c>
      <c r="D6174" s="5">
        <v>13</v>
      </c>
      <c r="E6174" s="5">
        <v>18</v>
      </c>
      <c r="F6174" t="s" s="2">
        <v>9471</v>
      </c>
      <c r="G6174" t="s" s="2">
        <v>9606</v>
      </c>
      <c r="H6174" s="5">
        <v>849</v>
      </c>
      <c r="I6174" t="s" s="2">
        <v>411</v>
      </c>
      <c r="J6174" t="s" s="2">
        <v>9204</v>
      </c>
      <c r="K6174" s="6"/>
      <c r="L6174" s="6"/>
      <c r="M6174" s="6"/>
      <c r="N6174" s="6"/>
      <c r="O6174" t="s" s="2">
        <v>25</v>
      </c>
      <c r="P6174" s="6"/>
      <c r="Q6174" t="s" s="2">
        <v>9607</v>
      </c>
      <c r="R6174" s="5">
        <f>_xlfn.IFERROR(INDEX('model_byCAP'!$D$2:$D$377,MATCH(Q6174,'model_byCAP'!$A$2:$A$377,0)),0)</f>
        <v>0</v>
      </c>
    </row>
    <row r="6175" ht="15.35" customHeight="1">
      <c r="A6175" t="s" s="2">
        <v>10662</v>
      </c>
      <c r="B6175" s="4">
        <v>42507</v>
      </c>
      <c r="C6175" s="5">
        <v>10</v>
      </c>
      <c r="D6175" s="5">
        <v>7.1</v>
      </c>
      <c r="E6175" s="5">
        <v>18</v>
      </c>
      <c r="F6175" t="s" s="2">
        <v>42</v>
      </c>
      <c r="G6175" t="s" s="2">
        <v>42</v>
      </c>
      <c r="H6175" s="5">
        <v>849</v>
      </c>
      <c r="I6175" t="s" s="2">
        <v>411</v>
      </c>
      <c r="J6175" t="s" s="2">
        <v>9204</v>
      </c>
      <c r="K6175" s="6"/>
      <c r="L6175" s="6"/>
      <c r="M6175" s="6"/>
      <c r="N6175" s="6"/>
      <c r="O6175" t="s" s="2">
        <v>25</v>
      </c>
      <c r="P6175" s="6"/>
      <c r="Q6175" t="s" s="2">
        <v>43</v>
      </c>
      <c r="R6175" s="5">
        <f>_xlfn.IFERROR(INDEX('model_byCAP'!$D$2:$D$377,MATCH(Q6175,'model_byCAP'!$A$2:$A$377,0)),0)</f>
        <v>0</v>
      </c>
    </row>
    <row r="6176" ht="15.35" customHeight="1">
      <c r="A6176" t="s" s="2">
        <v>10663</v>
      </c>
      <c r="B6176" s="4">
        <v>42618</v>
      </c>
      <c r="C6176" s="5">
        <v>10</v>
      </c>
      <c r="D6176" s="5">
        <v>14</v>
      </c>
      <c r="E6176" s="5">
        <v>18</v>
      </c>
      <c r="F6176" t="s" s="2">
        <v>9209</v>
      </c>
      <c r="G6176" t="s" s="2">
        <v>9293</v>
      </c>
      <c r="H6176" s="5">
        <v>849</v>
      </c>
      <c r="I6176" t="s" s="2">
        <v>411</v>
      </c>
      <c r="J6176" t="s" s="2">
        <v>9204</v>
      </c>
      <c r="K6176" s="6"/>
      <c r="L6176" s="6"/>
      <c r="M6176" s="6"/>
      <c r="N6176" s="6"/>
      <c r="O6176" t="s" s="2">
        <v>25</v>
      </c>
      <c r="P6176" s="6"/>
      <c r="Q6176" t="s" s="2">
        <v>9295</v>
      </c>
      <c r="R6176" t="s" s="2">
        <f>_xlfn.IFERROR(INDEX('model_byCAP'!$D$2:$D$377,MATCH(Q6176,'model_byCAP'!$A$2:$A$377,0)),0)</f>
        <v>8430</v>
      </c>
    </row>
    <row r="6177" ht="15.35" customHeight="1">
      <c r="A6177" t="s" s="2">
        <v>10664</v>
      </c>
      <c r="B6177" s="4">
        <v>42619</v>
      </c>
      <c r="C6177" s="5">
        <v>10</v>
      </c>
      <c r="D6177" s="5">
        <v>14</v>
      </c>
      <c r="E6177" s="5">
        <v>18</v>
      </c>
      <c r="F6177" t="s" s="2">
        <v>9209</v>
      </c>
      <c r="G6177" t="s" s="2">
        <v>9293</v>
      </c>
      <c r="H6177" s="5">
        <v>849</v>
      </c>
      <c r="I6177" t="s" s="2">
        <v>411</v>
      </c>
      <c r="J6177" t="s" s="2">
        <v>9204</v>
      </c>
      <c r="K6177" s="6"/>
      <c r="L6177" s="6"/>
      <c r="M6177" s="6"/>
      <c r="N6177" s="6"/>
      <c r="O6177" t="s" s="2">
        <v>25</v>
      </c>
      <c r="P6177" s="6"/>
      <c r="Q6177" t="s" s="2">
        <v>9295</v>
      </c>
      <c r="R6177" t="s" s="2">
        <f>_xlfn.IFERROR(INDEX('model_byCAP'!$D$2:$D$377,MATCH(Q6177,'model_byCAP'!$A$2:$A$377,0)),0)</f>
        <v>8430</v>
      </c>
    </row>
    <row r="6178" ht="15.35" customHeight="1">
      <c r="A6178" t="s" s="2">
        <v>10665</v>
      </c>
      <c r="B6178" s="4">
        <v>42716</v>
      </c>
      <c r="C6178" s="5">
        <v>10</v>
      </c>
      <c r="D6178" s="5">
        <v>13</v>
      </c>
      <c r="E6178" s="5">
        <v>18.2</v>
      </c>
      <c r="F6178" t="s" s="2">
        <v>9471</v>
      </c>
      <c r="G6178" t="s" s="2">
        <v>9606</v>
      </c>
      <c r="H6178" s="5">
        <v>849</v>
      </c>
      <c r="I6178" t="s" s="2">
        <v>411</v>
      </c>
      <c r="J6178" t="s" s="2">
        <v>9204</v>
      </c>
      <c r="K6178" s="6"/>
      <c r="L6178" s="6"/>
      <c r="M6178" s="6"/>
      <c r="N6178" s="6"/>
      <c r="O6178" t="s" s="2">
        <v>25</v>
      </c>
      <c r="P6178" s="6"/>
      <c r="Q6178" t="s" s="2">
        <v>9607</v>
      </c>
      <c r="R6178" s="5">
        <f>_xlfn.IFERROR(INDEX('model_byCAP'!$D$2:$D$377,MATCH(Q6178,'model_byCAP'!$A$2:$A$377,0)),0)</f>
        <v>0</v>
      </c>
    </row>
    <row r="6179" ht="15.35" customHeight="1">
      <c r="A6179" t="s" s="2">
        <v>10666</v>
      </c>
      <c r="B6179" s="4">
        <v>42972</v>
      </c>
      <c r="C6179" s="5">
        <v>10</v>
      </c>
      <c r="D6179" s="5">
        <v>13</v>
      </c>
      <c r="E6179" s="5">
        <v>18.3</v>
      </c>
      <c r="F6179" t="s" s="2">
        <v>9471</v>
      </c>
      <c r="G6179" t="s" s="2">
        <v>9606</v>
      </c>
      <c r="H6179" s="5">
        <v>849</v>
      </c>
      <c r="I6179" t="s" s="2">
        <v>411</v>
      </c>
      <c r="J6179" t="s" s="2">
        <v>9204</v>
      </c>
      <c r="K6179" s="6"/>
      <c r="L6179" s="6"/>
      <c r="M6179" s="6"/>
      <c r="N6179" s="6"/>
      <c r="O6179" t="s" s="2">
        <v>25</v>
      </c>
      <c r="P6179" s="6"/>
      <c r="Q6179" t="s" s="2">
        <v>9607</v>
      </c>
      <c r="R6179" s="5">
        <f>_xlfn.IFERROR(INDEX('model_byCAP'!$D$2:$D$377,MATCH(Q6179,'model_byCAP'!$A$2:$A$377,0)),0)</f>
        <v>0</v>
      </c>
    </row>
    <row r="6180" ht="15.35" customHeight="1">
      <c r="A6180" t="s" s="2">
        <v>10667</v>
      </c>
      <c r="B6180" s="4">
        <v>43014</v>
      </c>
      <c r="C6180" s="5">
        <v>10</v>
      </c>
      <c r="D6180" s="5">
        <v>13</v>
      </c>
      <c r="E6180" s="5">
        <v>18.3</v>
      </c>
      <c r="F6180" t="s" s="2">
        <v>9471</v>
      </c>
      <c r="G6180" t="s" s="2">
        <v>9606</v>
      </c>
      <c r="H6180" s="5">
        <v>849</v>
      </c>
      <c r="I6180" t="s" s="2">
        <v>411</v>
      </c>
      <c r="J6180" t="s" s="2">
        <v>9204</v>
      </c>
      <c r="K6180" s="6"/>
      <c r="L6180" s="6"/>
      <c r="M6180" s="6"/>
      <c r="N6180" s="6"/>
      <c r="O6180" t="s" s="2">
        <v>25</v>
      </c>
      <c r="P6180" s="6"/>
      <c r="Q6180" t="s" s="2">
        <v>9607</v>
      </c>
      <c r="R6180" s="5">
        <f>_xlfn.IFERROR(INDEX('model_byCAP'!$D$2:$D$377,MATCH(Q6180,'model_byCAP'!$A$2:$A$377,0)),0)</f>
        <v>0</v>
      </c>
    </row>
    <row r="6181" ht="15.35" customHeight="1">
      <c r="A6181" t="s" s="2">
        <v>10668</v>
      </c>
      <c r="B6181" s="4">
        <v>43402</v>
      </c>
      <c r="C6181" s="5">
        <v>10</v>
      </c>
      <c r="D6181" s="5">
        <v>14</v>
      </c>
      <c r="E6181" s="5">
        <v>18</v>
      </c>
      <c r="F6181" t="s" s="2">
        <v>9209</v>
      </c>
      <c r="G6181" t="s" s="2">
        <v>9293</v>
      </c>
      <c r="H6181" s="5">
        <v>849</v>
      </c>
      <c r="I6181" t="s" s="2">
        <v>411</v>
      </c>
      <c r="J6181" t="s" s="2">
        <v>9204</v>
      </c>
      <c r="K6181" s="6"/>
      <c r="L6181" s="6"/>
      <c r="M6181" s="6"/>
      <c r="N6181" s="6"/>
      <c r="O6181" t="s" s="2">
        <v>25</v>
      </c>
      <c r="P6181" s="6"/>
      <c r="Q6181" t="s" s="2">
        <v>9295</v>
      </c>
      <c r="R6181" t="s" s="2">
        <f>_xlfn.IFERROR(INDEX('model_byCAP'!$D$2:$D$377,MATCH(Q6181,'model_byCAP'!$A$2:$A$377,0)),0)</f>
        <v>8430</v>
      </c>
    </row>
    <row r="6182" ht="15.35" customHeight="1">
      <c r="A6182" t="s" s="2">
        <v>10669</v>
      </c>
      <c r="B6182" s="4">
        <v>42045</v>
      </c>
      <c r="C6182" s="5">
        <v>10</v>
      </c>
      <c r="D6182" s="5">
        <v>7</v>
      </c>
      <c r="E6182" s="5">
        <v>21</v>
      </c>
      <c r="F6182" t="s" s="2">
        <v>42</v>
      </c>
      <c r="G6182" t="s" s="2">
        <v>42</v>
      </c>
      <c r="H6182" s="5">
        <v>851</v>
      </c>
      <c r="I6182" t="s" s="2">
        <v>1139</v>
      </c>
      <c r="J6182" t="s" s="2">
        <v>9204</v>
      </c>
      <c r="K6182" s="6"/>
      <c r="L6182" s="6"/>
      <c r="M6182" s="6"/>
      <c r="N6182" s="6"/>
      <c r="O6182" t="s" s="2">
        <v>25</v>
      </c>
      <c r="P6182" s="6"/>
      <c r="Q6182" t="s" s="2">
        <v>43</v>
      </c>
      <c r="R6182" s="5">
        <f>_xlfn.IFERROR(INDEX('model_byCAP'!$D$2:$D$377,MATCH(Q6182,'model_byCAP'!$A$2:$A$377,0)),0)</f>
        <v>0</v>
      </c>
    </row>
    <row r="6183" ht="15.35" customHeight="1">
      <c r="A6183" t="s" s="2">
        <v>10670</v>
      </c>
      <c r="B6183" s="4">
        <v>42093</v>
      </c>
      <c r="C6183" s="5">
        <v>10</v>
      </c>
      <c r="D6183" s="5">
        <v>7</v>
      </c>
      <c r="E6183" s="5">
        <v>21</v>
      </c>
      <c r="F6183" t="s" s="2">
        <v>42</v>
      </c>
      <c r="G6183" t="s" s="2">
        <v>42</v>
      </c>
      <c r="H6183" s="5">
        <v>851</v>
      </c>
      <c r="I6183" t="s" s="2">
        <v>1139</v>
      </c>
      <c r="J6183" t="s" s="2">
        <v>9204</v>
      </c>
      <c r="K6183" s="6"/>
      <c r="L6183" s="6"/>
      <c r="M6183" s="6"/>
      <c r="N6183" s="6"/>
      <c r="O6183" t="s" s="2">
        <v>25</v>
      </c>
      <c r="P6183" s="6"/>
      <c r="Q6183" t="s" s="2">
        <v>43</v>
      </c>
      <c r="R6183" s="5">
        <f>_xlfn.IFERROR(INDEX('model_byCAP'!$D$2:$D$377,MATCH(Q6183,'model_byCAP'!$A$2:$A$377,0)),0)</f>
        <v>0</v>
      </c>
    </row>
    <row r="6184" ht="15.35" customHeight="1">
      <c r="A6184" t="s" s="2">
        <v>10671</v>
      </c>
      <c r="B6184" s="4">
        <v>42627</v>
      </c>
      <c r="C6184" s="5">
        <v>10</v>
      </c>
      <c r="D6184" s="5">
        <v>7.1</v>
      </c>
      <c r="E6184" s="5">
        <v>21</v>
      </c>
      <c r="F6184" t="s" s="2">
        <v>42</v>
      </c>
      <c r="G6184" t="s" s="2">
        <v>42</v>
      </c>
      <c r="H6184" s="5">
        <v>851</v>
      </c>
      <c r="I6184" t="s" s="2">
        <v>1139</v>
      </c>
      <c r="J6184" t="s" s="2">
        <v>9204</v>
      </c>
      <c r="K6184" s="6"/>
      <c r="L6184" s="6"/>
      <c r="M6184" s="6"/>
      <c r="N6184" s="6"/>
      <c r="O6184" t="s" s="2">
        <v>25</v>
      </c>
      <c r="P6184" s="6"/>
      <c r="Q6184" t="s" s="2">
        <v>43</v>
      </c>
      <c r="R6184" s="5">
        <f>_xlfn.IFERROR(INDEX('model_byCAP'!$D$2:$D$377,MATCH(Q6184,'model_byCAP'!$A$2:$A$377,0)),0)</f>
        <v>0</v>
      </c>
    </row>
    <row r="6185" ht="15.35" customHeight="1">
      <c r="A6185" t="s" s="2">
        <v>10672</v>
      </c>
      <c r="B6185" s="4">
        <v>42217</v>
      </c>
      <c r="C6185" s="5">
        <v>10</v>
      </c>
      <c r="D6185" s="5">
        <v>14</v>
      </c>
      <c r="E6185" s="5">
        <v>18</v>
      </c>
      <c r="F6185" t="s" s="2">
        <v>9209</v>
      </c>
      <c r="G6185" t="s" s="2">
        <v>9638</v>
      </c>
      <c r="H6185" s="5">
        <v>851</v>
      </c>
      <c r="I6185" t="s" s="2">
        <v>1139</v>
      </c>
      <c r="J6185" t="s" s="2">
        <v>9204</v>
      </c>
      <c r="K6185" s="6"/>
      <c r="L6185" s="6"/>
      <c r="M6185" s="6"/>
      <c r="N6185" s="6"/>
      <c r="O6185" t="s" s="2">
        <v>25</v>
      </c>
      <c r="P6185" s="6"/>
      <c r="Q6185" t="s" s="2">
        <v>9639</v>
      </c>
      <c r="R6185" s="5">
        <f>_xlfn.IFERROR(INDEX('model_byCAP'!$D$2:$D$377,MATCH(Q6185,'model_byCAP'!$A$2:$A$377,0)),0)</f>
        <v>0</v>
      </c>
    </row>
    <row r="6186" ht="15.35" customHeight="1">
      <c r="A6186" t="s" s="2">
        <v>10673</v>
      </c>
      <c r="B6186" s="4">
        <v>42234</v>
      </c>
      <c r="C6186" s="5">
        <v>10</v>
      </c>
      <c r="D6186" s="5">
        <v>7.1</v>
      </c>
      <c r="E6186" s="5">
        <v>21</v>
      </c>
      <c r="F6186" t="s" s="2">
        <v>42</v>
      </c>
      <c r="G6186" t="s" s="2">
        <v>42</v>
      </c>
      <c r="H6186" s="5">
        <v>851</v>
      </c>
      <c r="I6186" t="s" s="2">
        <v>1139</v>
      </c>
      <c r="J6186" t="s" s="2">
        <v>9204</v>
      </c>
      <c r="K6186" s="6"/>
      <c r="L6186" s="6"/>
      <c r="M6186" s="6"/>
      <c r="N6186" s="6"/>
      <c r="O6186" t="s" s="2">
        <v>25</v>
      </c>
      <c r="P6186" s="6"/>
      <c r="Q6186" t="s" s="2">
        <v>43</v>
      </c>
      <c r="R6186" s="5">
        <f>_xlfn.IFERROR(INDEX('model_byCAP'!$D$2:$D$377,MATCH(Q6186,'model_byCAP'!$A$2:$A$377,0)),0)</f>
        <v>0</v>
      </c>
    </row>
    <row r="6187" ht="15.35" customHeight="1">
      <c r="A6187" t="s" s="2">
        <v>10674</v>
      </c>
      <c r="B6187" s="4">
        <v>42193</v>
      </c>
      <c r="C6187" s="5">
        <v>10</v>
      </c>
      <c r="D6187" s="5">
        <v>14</v>
      </c>
      <c r="E6187" s="5">
        <v>18</v>
      </c>
      <c r="F6187" t="s" s="2">
        <v>9209</v>
      </c>
      <c r="G6187" t="s" s="2">
        <v>9638</v>
      </c>
      <c r="H6187" s="5">
        <v>851</v>
      </c>
      <c r="I6187" t="s" s="2">
        <v>1139</v>
      </c>
      <c r="J6187" t="s" s="2">
        <v>9204</v>
      </c>
      <c r="K6187" s="6"/>
      <c r="L6187" s="6"/>
      <c r="M6187" s="5">
        <v>546351.02</v>
      </c>
      <c r="N6187" s="5">
        <v>6318742.44</v>
      </c>
      <c r="O6187" t="s" s="2">
        <v>305</v>
      </c>
      <c r="P6187" s="6"/>
      <c r="Q6187" t="s" s="2">
        <v>9639</v>
      </c>
      <c r="R6187" s="5">
        <f>_xlfn.IFERROR(INDEX('model_byCAP'!$D$2:$D$377,MATCH(Q6187,'model_byCAP'!$A$2:$A$377,0)),0)</f>
        <v>0</v>
      </c>
    </row>
    <row r="6188" ht="15.35" customHeight="1">
      <c r="A6188" t="s" s="2">
        <v>10675</v>
      </c>
      <c r="B6188" s="4">
        <v>42194</v>
      </c>
      <c r="C6188" s="5">
        <v>10</v>
      </c>
      <c r="D6188" s="5">
        <v>14</v>
      </c>
      <c r="E6188" s="5">
        <v>18</v>
      </c>
      <c r="F6188" t="s" s="2">
        <v>9209</v>
      </c>
      <c r="G6188" t="s" s="2">
        <v>9638</v>
      </c>
      <c r="H6188" s="5">
        <v>851</v>
      </c>
      <c r="I6188" t="s" s="2">
        <v>1139</v>
      </c>
      <c r="J6188" t="s" s="2">
        <v>9204</v>
      </c>
      <c r="K6188" s="6"/>
      <c r="L6188" s="6"/>
      <c r="M6188" s="6"/>
      <c r="N6188" s="6"/>
      <c r="O6188" t="s" s="2">
        <v>25</v>
      </c>
      <c r="P6188" s="6"/>
      <c r="Q6188" t="s" s="2">
        <v>9639</v>
      </c>
      <c r="R6188" s="5">
        <f>_xlfn.IFERROR(INDEX('model_byCAP'!$D$2:$D$377,MATCH(Q6188,'model_byCAP'!$A$2:$A$377,0)),0)</f>
        <v>0</v>
      </c>
    </row>
    <row r="6189" ht="15.35" customHeight="1">
      <c r="A6189" t="s" s="2">
        <v>10676</v>
      </c>
      <c r="B6189" s="4">
        <v>42276</v>
      </c>
      <c r="C6189" s="5">
        <v>10</v>
      </c>
      <c r="D6189" s="5">
        <v>7.1</v>
      </c>
      <c r="E6189" s="5">
        <v>21</v>
      </c>
      <c r="F6189" t="s" s="2">
        <v>42</v>
      </c>
      <c r="G6189" t="s" s="2">
        <v>42</v>
      </c>
      <c r="H6189" s="5">
        <v>851</v>
      </c>
      <c r="I6189" t="s" s="2">
        <v>1139</v>
      </c>
      <c r="J6189" t="s" s="2">
        <v>9204</v>
      </c>
      <c r="K6189" s="6"/>
      <c r="L6189" s="6"/>
      <c r="M6189" s="6"/>
      <c r="N6189" s="6"/>
      <c r="O6189" t="s" s="2">
        <v>25</v>
      </c>
      <c r="P6189" s="6"/>
      <c r="Q6189" t="s" s="2">
        <v>43</v>
      </c>
      <c r="R6189" s="5">
        <f>_xlfn.IFERROR(INDEX('model_byCAP'!$D$2:$D$377,MATCH(Q6189,'model_byCAP'!$A$2:$A$377,0)),0)</f>
        <v>0</v>
      </c>
    </row>
    <row r="6190" ht="15.35" customHeight="1">
      <c r="A6190" t="s" s="2">
        <v>10677</v>
      </c>
      <c r="B6190" s="4">
        <v>42234</v>
      </c>
      <c r="C6190" s="5">
        <v>10</v>
      </c>
      <c r="D6190" s="5">
        <v>14</v>
      </c>
      <c r="E6190" s="5">
        <v>18</v>
      </c>
      <c r="F6190" t="s" s="2">
        <v>9209</v>
      </c>
      <c r="G6190" t="s" s="2">
        <v>9293</v>
      </c>
      <c r="H6190" s="5">
        <v>851</v>
      </c>
      <c r="I6190" t="s" s="2">
        <v>1139</v>
      </c>
      <c r="J6190" t="s" s="2">
        <v>9204</v>
      </c>
      <c r="K6190" s="6"/>
      <c r="L6190" s="6"/>
      <c r="M6190" s="5">
        <v>572743.29</v>
      </c>
      <c r="N6190" s="5">
        <v>6328157.29</v>
      </c>
      <c r="O6190" t="s" s="2">
        <v>305</v>
      </c>
      <c r="P6190" s="6"/>
      <c r="Q6190" t="s" s="2">
        <v>9295</v>
      </c>
      <c r="R6190" t="s" s="2">
        <f>_xlfn.IFERROR(INDEX('model_byCAP'!$D$2:$D$377,MATCH(Q6190,'model_byCAP'!$A$2:$A$377,0)),0)</f>
        <v>8430</v>
      </c>
    </row>
    <row r="6191" ht="15.35" customHeight="1">
      <c r="A6191" t="s" s="2">
        <v>10678</v>
      </c>
      <c r="B6191" s="4">
        <v>42247</v>
      </c>
      <c r="C6191" s="5">
        <v>10</v>
      </c>
      <c r="D6191" s="5">
        <v>14</v>
      </c>
      <c r="E6191" s="5">
        <v>18</v>
      </c>
      <c r="F6191" t="s" s="2">
        <v>9209</v>
      </c>
      <c r="G6191" t="s" s="2">
        <v>9293</v>
      </c>
      <c r="H6191" s="5">
        <v>851</v>
      </c>
      <c r="I6191" t="s" s="2">
        <v>1139</v>
      </c>
      <c r="J6191" t="s" s="2">
        <v>9204</v>
      </c>
      <c r="K6191" s="6"/>
      <c r="L6191" s="6"/>
      <c r="M6191" s="5">
        <v>574600.91</v>
      </c>
      <c r="N6191" s="5">
        <v>6321373.06</v>
      </c>
      <c r="O6191" t="s" s="2">
        <v>305</v>
      </c>
      <c r="P6191" s="6"/>
      <c r="Q6191" t="s" s="2">
        <v>9295</v>
      </c>
      <c r="R6191" t="s" s="2">
        <f>_xlfn.IFERROR(INDEX('model_byCAP'!$D$2:$D$377,MATCH(Q6191,'model_byCAP'!$A$2:$A$377,0)),0)</f>
        <v>8430</v>
      </c>
    </row>
    <row r="6192" ht="15.35" customHeight="1">
      <c r="A6192" t="s" s="2">
        <v>10679</v>
      </c>
      <c r="B6192" s="4">
        <v>42262</v>
      </c>
      <c r="C6192" s="5">
        <v>10</v>
      </c>
      <c r="D6192" s="5">
        <v>7</v>
      </c>
      <c r="E6192" s="5">
        <v>21</v>
      </c>
      <c r="F6192" t="s" s="2">
        <v>42</v>
      </c>
      <c r="G6192" t="s" s="2">
        <v>42</v>
      </c>
      <c r="H6192" s="5">
        <v>851</v>
      </c>
      <c r="I6192" t="s" s="2">
        <v>1139</v>
      </c>
      <c r="J6192" t="s" s="2">
        <v>9204</v>
      </c>
      <c r="K6192" s="6"/>
      <c r="L6192" s="6"/>
      <c r="M6192" s="5">
        <v>555969.48</v>
      </c>
      <c r="N6192" s="5">
        <v>6342312.78</v>
      </c>
      <c r="O6192" t="s" s="2">
        <v>305</v>
      </c>
      <c r="P6192" s="6"/>
      <c r="Q6192" t="s" s="2">
        <v>43</v>
      </c>
      <c r="R6192" s="5">
        <f>_xlfn.IFERROR(INDEX('model_byCAP'!$D$2:$D$377,MATCH(Q6192,'model_byCAP'!$A$2:$A$377,0)),0)</f>
        <v>0</v>
      </c>
    </row>
    <row r="6193" ht="15.35" customHeight="1">
      <c r="A6193" t="s" s="2">
        <v>10680</v>
      </c>
      <c r="B6193" s="4">
        <v>42318</v>
      </c>
      <c r="C6193" s="5">
        <v>10</v>
      </c>
      <c r="D6193" s="5">
        <v>7.1</v>
      </c>
      <c r="E6193" s="5">
        <v>21</v>
      </c>
      <c r="F6193" t="s" s="2">
        <v>42</v>
      </c>
      <c r="G6193" t="s" s="2">
        <v>42</v>
      </c>
      <c r="H6193" s="5">
        <v>851</v>
      </c>
      <c r="I6193" t="s" s="2">
        <v>1139</v>
      </c>
      <c r="J6193" t="s" s="2">
        <v>9204</v>
      </c>
      <c r="K6193" s="6"/>
      <c r="L6193" s="6"/>
      <c r="M6193" s="5">
        <v>562828.86</v>
      </c>
      <c r="N6193" s="5">
        <v>6314705.74</v>
      </c>
      <c r="O6193" t="s" s="2">
        <v>305</v>
      </c>
      <c r="P6193" s="6"/>
      <c r="Q6193" t="s" s="2">
        <v>43</v>
      </c>
      <c r="R6193" s="5">
        <f>_xlfn.IFERROR(INDEX('model_byCAP'!$D$2:$D$377,MATCH(Q6193,'model_byCAP'!$A$2:$A$377,0)),0)</f>
        <v>0</v>
      </c>
    </row>
    <row r="6194" ht="15.35" customHeight="1">
      <c r="A6194" t="s" s="2">
        <v>10681</v>
      </c>
      <c r="B6194" s="4">
        <v>42339</v>
      </c>
      <c r="C6194" s="5">
        <v>10</v>
      </c>
      <c r="D6194" s="5">
        <v>13</v>
      </c>
      <c r="E6194" s="5">
        <v>18</v>
      </c>
      <c r="F6194" t="s" s="2">
        <v>9471</v>
      </c>
      <c r="G6194" t="s" s="2">
        <v>9606</v>
      </c>
      <c r="H6194" s="5">
        <v>851</v>
      </c>
      <c r="I6194" t="s" s="2">
        <v>1139</v>
      </c>
      <c r="J6194" t="s" s="2">
        <v>9204</v>
      </c>
      <c r="K6194" s="6"/>
      <c r="L6194" s="6"/>
      <c r="M6194" s="5">
        <v>551233.7</v>
      </c>
      <c r="N6194" s="5">
        <v>6332364.6</v>
      </c>
      <c r="O6194" t="s" s="2">
        <v>305</v>
      </c>
      <c r="P6194" s="6"/>
      <c r="Q6194" t="s" s="2">
        <v>9607</v>
      </c>
      <c r="R6194" s="5">
        <f>_xlfn.IFERROR(INDEX('model_byCAP'!$D$2:$D$377,MATCH(Q6194,'model_byCAP'!$A$2:$A$377,0)),0)</f>
        <v>0</v>
      </c>
    </row>
    <row r="6195" ht="15.35" customHeight="1">
      <c r="A6195" t="s" s="2">
        <v>10682</v>
      </c>
      <c r="B6195" s="4">
        <v>42292</v>
      </c>
      <c r="C6195" s="5">
        <v>10</v>
      </c>
      <c r="D6195" s="5">
        <v>7</v>
      </c>
      <c r="E6195" s="5">
        <v>21</v>
      </c>
      <c r="F6195" t="s" s="2">
        <v>42</v>
      </c>
      <c r="G6195" t="s" s="2">
        <v>42</v>
      </c>
      <c r="H6195" s="5">
        <v>851</v>
      </c>
      <c r="I6195" t="s" s="2">
        <v>1139</v>
      </c>
      <c r="J6195" t="s" s="2">
        <v>9204</v>
      </c>
      <c r="K6195" s="6"/>
      <c r="L6195" s="6"/>
      <c r="M6195" s="5">
        <v>553953.6899999999</v>
      </c>
      <c r="N6195" s="5">
        <v>6331765.57</v>
      </c>
      <c r="O6195" t="s" s="2">
        <v>305</v>
      </c>
      <c r="P6195" s="6"/>
      <c r="Q6195" t="s" s="2">
        <v>43</v>
      </c>
      <c r="R6195" s="5">
        <f>_xlfn.IFERROR(INDEX('model_byCAP'!$D$2:$D$377,MATCH(Q6195,'model_byCAP'!$A$2:$A$377,0)),0)</f>
        <v>0</v>
      </c>
    </row>
    <row r="6196" ht="15.35" customHeight="1">
      <c r="A6196" t="s" s="2">
        <v>10683</v>
      </c>
      <c r="B6196" s="4">
        <v>42485</v>
      </c>
      <c r="C6196" s="5">
        <v>10</v>
      </c>
      <c r="D6196" s="5">
        <v>14</v>
      </c>
      <c r="E6196" s="5">
        <v>18</v>
      </c>
      <c r="F6196" t="s" s="2">
        <v>9209</v>
      </c>
      <c r="G6196" t="s" s="2">
        <v>9293</v>
      </c>
      <c r="H6196" s="5">
        <v>851</v>
      </c>
      <c r="I6196" t="s" s="2">
        <v>1139</v>
      </c>
      <c r="J6196" t="s" s="2">
        <v>9204</v>
      </c>
      <c r="K6196" s="6"/>
      <c r="L6196" s="6"/>
      <c r="M6196" s="6"/>
      <c r="N6196" s="6"/>
      <c r="O6196" t="s" s="2">
        <v>25</v>
      </c>
      <c r="P6196" s="6"/>
      <c r="Q6196" t="s" s="2">
        <v>9295</v>
      </c>
      <c r="R6196" t="s" s="2">
        <f>_xlfn.IFERROR(INDEX('model_byCAP'!$D$2:$D$377,MATCH(Q6196,'model_byCAP'!$A$2:$A$377,0)),0)</f>
        <v>8430</v>
      </c>
    </row>
    <row r="6197" ht="15.35" customHeight="1">
      <c r="A6197" t="s" s="2">
        <v>10684</v>
      </c>
      <c r="B6197" s="4">
        <v>42509</v>
      </c>
      <c r="C6197" s="5">
        <v>10</v>
      </c>
      <c r="D6197" s="5">
        <v>7</v>
      </c>
      <c r="E6197" s="5">
        <v>21</v>
      </c>
      <c r="F6197" t="s" s="2">
        <v>42</v>
      </c>
      <c r="G6197" t="s" s="2">
        <v>42</v>
      </c>
      <c r="H6197" s="5">
        <v>851</v>
      </c>
      <c r="I6197" t="s" s="2">
        <v>1139</v>
      </c>
      <c r="J6197" t="s" s="2">
        <v>9204</v>
      </c>
      <c r="K6197" s="6"/>
      <c r="L6197" s="6"/>
      <c r="M6197" s="6"/>
      <c r="N6197" s="6"/>
      <c r="O6197" t="s" s="2">
        <v>25</v>
      </c>
      <c r="P6197" s="6"/>
      <c r="Q6197" t="s" s="2">
        <v>43</v>
      </c>
      <c r="R6197" s="5">
        <f>_xlfn.IFERROR(INDEX('model_byCAP'!$D$2:$D$377,MATCH(Q6197,'model_byCAP'!$A$2:$A$377,0)),0)</f>
        <v>0</v>
      </c>
    </row>
    <row r="6198" ht="15.35" customHeight="1">
      <c r="A6198" t="s" s="2">
        <v>10685</v>
      </c>
      <c r="B6198" s="4">
        <v>42625</v>
      </c>
      <c r="C6198" s="5">
        <v>10</v>
      </c>
      <c r="D6198" s="5">
        <v>14</v>
      </c>
      <c r="E6198" s="5">
        <v>18</v>
      </c>
      <c r="F6198" t="s" s="2">
        <v>9209</v>
      </c>
      <c r="G6198" t="s" s="2">
        <v>9293</v>
      </c>
      <c r="H6198" s="5">
        <v>851</v>
      </c>
      <c r="I6198" t="s" s="2">
        <v>1139</v>
      </c>
      <c r="J6198" t="s" s="2">
        <v>9204</v>
      </c>
      <c r="K6198" s="6"/>
      <c r="L6198" s="6"/>
      <c r="M6198" s="6"/>
      <c r="N6198" s="6"/>
      <c r="O6198" t="s" s="2">
        <v>25</v>
      </c>
      <c r="P6198" s="6"/>
      <c r="Q6198" t="s" s="2">
        <v>9295</v>
      </c>
      <c r="R6198" t="s" s="2">
        <f>_xlfn.IFERROR(INDEX('model_byCAP'!$D$2:$D$377,MATCH(Q6198,'model_byCAP'!$A$2:$A$377,0)),0)</f>
        <v>8430</v>
      </c>
    </row>
    <row r="6199" ht="15.35" customHeight="1">
      <c r="A6199" t="s" s="2">
        <v>10686</v>
      </c>
      <c r="B6199" s="4">
        <v>42612</v>
      </c>
      <c r="C6199" s="5">
        <v>10</v>
      </c>
      <c r="D6199" s="5">
        <v>14</v>
      </c>
      <c r="E6199" s="5">
        <v>18</v>
      </c>
      <c r="F6199" t="s" s="2">
        <v>9209</v>
      </c>
      <c r="G6199" t="s" s="2">
        <v>9293</v>
      </c>
      <c r="H6199" s="5">
        <v>851</v>
      </c>
      <c r="I6199" t="s" s="2">
        <v>1139</v>
      </c>
      <c r="J6199" t="s" s="2">
        <v>9204</v>
      </c>
      <c r="K6199" s="6"/>
      <c r="L6199" s="6"/>
      <c r="M6199" s="6"/>
      <c r="N6199" s="6"/>
      <c r="O6199" t="s" s="2">
        <v>25</v>
      </c>
      <c r="P6199" s="6"/>
      <c r="Q6199" t="s" s="2">
        <v>9295</v>
      </c>
      <c r="R6199" t="s" s="2">
        <f>_xlfn.IFERROR(INDEX('model_byCAP'!$D$2:$D$377,MATCH(Q6199,'model_byCAP'!$A$2:$A$377,0)),0)</f>
        <v>8430</v>
      </c>
    </row>
    <row r="6200" ht="15.35" customHeight="1">
      <c r="A6200" t="s" s="2">
        <v>10687</v>
      </c>
      <c r="B6200" s="4">
        <v>42586</v>
      </c>
      <c r="C6200" s="5">
        <v>10</v>
      </c>
      <c r="D6200" s="5">
        <v>14</v>
      </c>
      <c r="E6200" s="5">
        <v>18</v>
      </c>
      <c r="F6200" t="s" s="2">
        <v>9209</v>
      </c>
      <c r="G6200" t="s" s="2">
        <v>9293</v>
      </c>
      <c r="H6200" s="5">
        <v>851</v>
      </c>
      <c r="I6200" t="s" s="2">
        <v>1139</v>
      </c>
      <c r="J6200" t="s" s="2">
        <v>9204</v>
      </c>
      <c r="K6200" s="6"/>
      <c r="L6200" s="6"/>
      <c r="M6200" s="6"/>
      <c r="N6200" s="6"/>
      <c r="O6200" t="s" s="2">
        <v>25</v>
      </c>
      <c r="P6200" s="6"/>
      <c r="Q6200" t="s" s="2">
        <v>9295</v>
      </c>
      <c r="R6200" t="s" s="2">
        <f>_xlfn.IFERROR(INDEX('model_byCAP'!$D$2:$D$377,MATCH(Q6200,'model_byCAP'!$A$2:$A$377,0)),0)</f>
        <v>8430</v>
      </c>
    </row>
    <row r="6201" ht="15.35" customHeight="1">
      <c r="A6201" t="s" s="2">
        <v>10688</v>
      </c>
      <c r="B6201" s="4">
        <v>43115</v>
      </c>
      <c r="C6201" s="5">
        <v>10</v>
      </c>
      <c r="D6201" s="5">
        <v>13</v>
      </c>
      <c r="E6201" s="5">
        <v>18</v>
      </c>
      <c r="F6201" t="s" s="2">
        <v>9471</v>
      </c>
      <c r="G6201" t="s" s="2">
        <v>9606</v>
      </c>
      <c r="H6201" s="5">
        <v>851</v>
      </c>
      <c r="I6201" t="s" s="2">
        <v>1139</v>
      </c>
      <c r="J6201" t="s" s="2">
        <v>9204</v>
      </c>
      <c r="K6201" s="6"/>
      <c r="L6201" s="6"/>
      <c r="M6201" s="6"/>
      <c r="N6201" s="6"/>
      <c r="O6201" t="s" s="2">
        <v>25</v>
      </c>
      <c r="P6201" s="6"/>
      <c r="Q6201" t="s" s="2">
        <v>9607</v>
      </c>
      <c r="R6201" s="5">
        <f>_xlfn.IFERROR(INDEX('model_byCAP'!$D$2:$D$377,MATCH(Q6201,'model_byCAP'!$A$2:$A$377,0)),0)</f>
        <v>0</v>
      </c>
    </row>
    <row r="6202" ht="15.35" customHeight="1">
      <c r="A6202" t="s" s="2">
        <v>10689</v>
      </c>
      <c r="B6202" s="4">
        <v>41893</v>
      </c>
      <c r="C6202" s="5">
        <v>10</v>
      </c>
      <c r="D6202" s="5">
        <v>7.1</v>
      </c>
      <c r="E6202" s="5">
        <v>21.4</v>
      </c>
      <c r="F6202" t="s" s="2">
        <v>42</v>
      </c>
      <c r="G6202" t="s" s="2">
        <v>42</v>
      </c>
      <c r="H6202" s="5">
        <v>851</v>
      </c>
      <c r="I6202" t="s" s="2">
        <v>1139</v>
      </c>
      <c r="J6202" t="s" s="2">
        <v>9204</v>
      </c>
      <c r="K6202" s="6"/>
      <c r="L6202" s="6"/>
      <c r="M6202" s="5">
        <v>548805.27</v>
      </c>
      <c r="N6202" s="5">
        <v>6329296.36</v>
      </c>
      <c r="O6202" t="s" s="2">
        <v>305</v>
      </c>
      <c r="P6202" s="6"/>
      <c r="Q6202" t="s" s="2">
        <v>43</v>
      </c>
      <c r="R6202" s="5">
        <f>_xlfn.IFERROR(INDEX('model_byCAP'!$D$2:$D$377,MATCH(Q6202,'model_byCAP'!$A$2:$A$377,0)),0)</f>
        <v>0</v>
      </c>
    </row>
    <row r="6203" ht="15.35" customHeight="1">
      <c r="A6203" t="s" s="2">
        <v>10690</v>
      </c>
      <c r="B6203" s="4">
        <v>42830</v>
      </c>
      <c r="C6203" s="5">
        <v>10</v>
      </c>
      <c r="D6203" s="5">
        <v>7.1</v>
      </c>
      <c r="E6203" s="5">
        <v>21</v>
      </c>
      <c r="F6203" t="s" s="2">
        <v>42</v>
      </c>
      <c r="G6203" t="s" s="2">
        <v>42</v>
      </c>
      <c r="H6203" s="5">
        <v>851</v>
      </c>
      <c r="I6203" t="s" s="2">
        <v>1139</v>
      </c>
      <c r="J6203" t="s" s="2">
        <v>9204</v>
      </c>
      <c r="K6203" s="6"/>
      <c r="L6203" s="6"/>
      <c r="M6203" s="6"/>
      <c r="N6203" s="6"/>
      <c r="O6203" t="s" s="2">
        <v>25</v>
      </c>
      <c r="P6203" s="6"/>
      <c r="Q6203" t="s" s="2">
        <v>43</v>
      </c>
      <c r="R6203" s="5">
        <f>_xlfn.IFERROR(INDEX('model_byCAP'!$D$2:$D$377,MATCH(Q6203,'model_byCAP'!$A$2:$A$377,0)),0)</f>
        <v>0</v>
      </c>
    </row>
    <row r="6204" ht="15.35" customHeight="1">
      <c r="A6204" t="s" s="2">
        <v>10691</v>
      </c>
      <c r="B6204" s="4">
        <v>43000</v>
      </c>
      <c r="C6204" s="5">
        <v>10</v>
      </c>
      <c r="D6204" s="5">
        <v>13</v>
      </c>
      <c r="E6204" s="5">
        <v>18.3</v>
      </c>
      <c r="F6204" t="s" s="2">
        <v>9471</v>
      </c>
      <c r="G6204" t="s" s="2">
        <v>9606</v>
      </c>
      <c r="H6204" s="5">
        <v>851</v>
      </c>
      <c r="I6204" t="s" s="2">
        <v>1139</v>
      </c>
      <c r="J6204" t="s" s="2">
        <v>9204</v>
      </c>
      <c r="K6204" s="6"/>
      <c r="L6204" s="6"/>
      <c r="M6204" s="6"/>
      <c r="N6204" s="6"/>
      <c r="O6204" t="s" s="2">
        <v>25</v>
      </c>
      <c r="P6204" s="6"/>
      <c r="Q6204" t="s" s="2">
        <v>9607</v>
      </c>
      <c r="R6204" s="5">
        <f>_xlfn.IFERROR(INDEX('model_byCAP'!$D$2:$D$377,MATCH(Q6204,'model_byCAP'!$A$2:$A$377,0)),0)</f>
        <v>0</v>
      </c>
    </row>
    <row r="6205" ht="15.35" customHeight="1">
      <c r="A6205" t="s" s="2">
        <v>10692</v>
      </c>
      <c r="B6205" s="4">
        <v>43244</v>
      </c>
      <c r="C6205" s="5">
        <v>10</v>
      </c>
      <c r="D6205" s="5">
        <v>14</v>
      </c>
      <c r="E6205" s="5">
        <v>18</v>
      </c>
      <c r="F6205" t="s" s="2">
        <v>9209</v>
      </c>
      <c r="G6205" t="s" s="2">
        <v>9293</v>
      </c>
      <c r="H6205" s="5">
        <v>851</v>
      </c>
      <c r="I6205" t="s" s="2">
        <v>1139</v>
      </c>
      <c r="J6205" t="s" s="2">
        <v>9204</v>
      </c>
      <c r="K6205" s="6"/>
      <c r="L6205" s="6"/>
      <c r="M6205" s="6"/>
      <c r="N6205" s="6"/>
      <c r="O6205" t="s" s="2">
        <v>25</v>
      </c>
      <c r="P6205" s="6"/>
      <c r="Q6205" t="s" s="2">
        <v>9295</v>
      </c>
      <c r="R6205" t="s" s="2">
        <f>_xlfn.IFERROR(INDEX('model_byCAP'!$D$2:$D$377,MATCH(Q6205,'model_byCAP'!$A$2:$A$377,0)),0)</f>
        <v>8430</v>
      </c>
    </row>
    <row r="6206" ht="15.35" customHeight="1">
      <c r="A6206" t="s" s="2">
        <v>10693</v>
      </c>
      <c r="B6206" s="4">
        <v>43675</v>
      </c>
      <c r="C6206" s="5">
        <v>10</v>
      </c>
      <c r="D6206" s="5">
        <v>13</v>
      </c>
      <c r="E6206" s="5">
        <v>18.2</v>
      </c>
      <c r="F6206" t="s" s="2">
        <v>9471</v>
      </c>
      <c r="G6206" t="s" s="2">
        <v>10200</v>
      </c>
      <c r="H6206" s="5">
        <v>851</v>
      </c>
      <c r="I6206" t="s" s="2">
        <v>1139</v>
      </c>
      <c r="J6206" t="s" s="2">
        <v>9204</v>
      </c>
      <c r="K6206" s="6"/>
      <c r="L6206" s="6"/>
      <c r="M6206" s="6"/>
      <c r="N6206" s="6"/>
      <c r="O6206" t="s" s="2">
        <v>25</v>
      </c>
      <c r="P6206" s="6"/>
      <c r="Q6206" t="s" s="2">
        <v>10201</v>
      </c>
      <c r="R6206" s="5">
        <f>_xlfn.IFERROR(INDEX('model_byCAP'!$D$2:$D$377,MATCH(Q6206,'model_byCAP'!$A$2:$A$377,0)),0)</f>
        <v>0</v>
      </c>
    </row>
    <row r="6207" ht="15.35" customHeight="1">
      <c r="A6207" t="s" s="2">
        <v>10694</v>
      </c>
      <c r="B6207" s="4">
        <v>41648</v>
      </c>
      <c r="C6207" s="5">
        <v>10</v>
      </c>
      <c r="D6207" s="5">
        <v>7.1</v>
      </c>
      <c r="E6207" s="5">
        <v>21</v>
      </c>
      <c r="F6207" t="s" s="2">
        <v>42</v>
      </c>
      <c r="G6207" t="s" s="2">
        <v>42</v>
      </c>
      <c r="H6207" s="5">
        <v>860</v>
      </c>
      <c r="I6207" t="s" s="2">
        <v>449</v>
      </c>
      <c r="J6207" t="s" s="2">
        <v>9204</v>
      </c>
      <c r="K6207" s="6"/>
      <c r="L6207" s="6"/>
      <c r="M6207" s="5">
        <v>547877.86</v>
      </c>
      <c r="N6207" s="5">
        <v>6360053.82</v>
      </c>
      <c r="O6207" t="s" s="2">
        <v>305</v>
      </c>
      <c r="P6207" s="6"/>
      <c r="Q6207" t="s" s="2">
        <v>43</v>
      </c>
      <c r="R6207" s="5">
        <f>_xlfn.IFERROR(INDEX('model_byCAP'!$D$2:$D$377,MATCH(Q6207,'model_byCAP'!$A$2:$A$377,0)),0)</f>
        <v>0</v>
      </c>
    </row>
    <row r="6208" ht="15.35" customHeight="1">
      <c r="A6208" t="s" s="2">
        <v>10695</v>
      </c>
      <c r="B6208" s="4">
        <v>41759</v>
      </c>
      <c r="C6208" s="5">
        <v>10</v>
      </c>
      <c r="D6208" s="5">
        <v>7.1</v>
      </c>
      <c r="E6208" s="5">
        <v>21</v>
      </c>
      <c r="F6208" t="s" s="2">
        <v>42</v>
      </c>
      <c r="G6208" t="s" s="2">
        <v>42</v>
      </c>
      <c r="H6208" s="5">
        <v>860</v>
      </c>
      <c r="I6208" t="s" s="2">
        <v>449</v>
      </c>
      <c r="J6208" t="s" s="2">
        <v>9204</v>
      </c>
      <c r="K6208" s="6"/>
      <c r="L6208" s="6"/>
      <c r="M6208" s="5">
        <v>548381.7</v>
      </c>
      <c r="N6208" s="5">
        <v>6349145.74</v>
      </c>
      <c r="O6208" t="s" s="2">
        <v>305</v>
      </c>
      <c r="P6208" s="6"/>
      <c r="Q6208" t="s" s="2">
        <v>43</v>
      </c>
      <c r="R6208" s="5">
        <f>_xlfn.IFERROR(INDEX('model_byCAP'!$D$2:$D$377,MATCH(Q6208,'model_byCAP'!$A$2:$A$377,0)),0)</f>
        <v>0</v>
      </c>
    </row>
    <row r="6209" ht="15.35" customHeight="1">
      <c r="A6209" t="s" s="2">
        <v>10696</v>
      </c>
      <c r="B6209" s="4">
        <v>41794</v>
      </c>
      <c r="C6209" s="5">
        <v>10</v>
      </c>
      <c r="D6209" s="5">
        <v>7.1</v>
      </c>
      <c r="E6209" s="5">
        <v>21</v>
      </c>
      <c r="F6209" t="s" s="2">
        <v>42</v>
      </c>
      <c r="G6209" t="s" s="2">
        <v>42</v>
      </c>
      <c r="H6209" s="5">
        <v>860</v>
      </c>
      <c r="I6209" t="s" s="2">
        <v>449</v>
      </c>
      <c r="J6209" t="s" s="2">
        <v>9204</v>
      </c>
      <c r="K6209" s="6"/>
      <c r="L6209" s="6"/>
      <c r="M6209" s="5">
        <v>561484.76</v>
      </c>
      <c r="N6209" s="5">
        <v>6356975.61</v>
      </c>
      <c r="O6209" t="s" s="2">
        <v>305</v>
      </c>
      <c r="P6209" s="6"/>
      <c r="Q6209" t="s" s="2">
        <v>43</v>
      </c>
      <c r="R6209" s="5">
        <f>_xlfn.IFERROR(INDEX('model_byCAP'!$D$2:$D$377,MATCH(Q6209,'model_byCAP'!$A$2:$A$377,0)),0)</f>
        <v>0</v>
      </c>
    </row>
    <row r="6210" ht="15.35" customHeight="1">
      <c r="A6210" t="s" s="2">
        <v>10697</v>
      </c>
      <c r="B6210" s="4">
        <v>41744</v>
      </c>
      <c r="C6210" s="5">
        <v>10</v>
      </c>
      <c r="D6210" s="5">
        <v>7.1</v>
      </c>
      <c r="E6210" s="5">
        <v>21</v>
      </c>
      <c r="F6210" t="s" s="2">
        <v>42</v>
      </c>
      <c r="G6210" t="s" s="2">
        <v>42</v>
      </c>
      <c r="H6210" s="5">
        <v>860</v>
      </c>
      <c r="I6210" t="s" s="2">
        <v>449</v>
      </c>
      <c r="J6210" t="s" s="2">
        <v>9204</v>
      </c>
      <c r="K6210" s="6"/>
      <c r="L6210" s="6"/>
      <c r="M6210" s="6"/>
      <c r="N6210" s="6"/>
      <c r="O6210" t="s" s="2">
        <v>25</v>
      </c>
      <c r="P6210" s="6"/>
      <c r="Q6210" t="s" s="2">
        <v>43</v>
      </c>
      <c r="R6210" s="5">
        <f>_xlfn.IFERROR(INDEX('model_byCAP'!$D$2:$D$377,MATCH(Q6210,'model_byCAP'!$A$2:$A$377,0)),0)</f>
        <v>0</v>
      </c>
    </row>
    <row r="6211" ht="15.35" customHeight="1">
      <c r="A6211" t="s" s="2">
        <v>10698</v>
      </c>
      <c r="B6211" s="4">
        <v>41971</v>
      </c>
      <c r="C6211" s="5">
        <v>10</v>
      </c>
      <c r="D6211" s="5">
        <v>7.1</v>
      </c>
      <c r="E6211" s="5">
        <v>21.4</v>
      </c>
      <c r="F6211" t="s" s="2">
        <v>42</v>
      </c>
      <c r="G6211" t="s" s="2">
        <v>42</v>
      </c>
      <c r="H6211" s="5">
        <v>860</v>
      </c>
      <c r="I6211" t="s" s="2">
        <v>449</v>
      </c>
      <c r="J6211" t="s" s="2">
        <v>9204</v>
      </c>
      <c r="K6211" s="6"/>
      <c r="L6211" s="6"/>
      <c r="M6211" s="5">
        <v>544453.91</v>
      </c>
      <c r="N6211" s="5">
        <v>6356897.63</v>
      </c>
      <c r="O6211" t="s" s="2">
        <v>305</v>
      </c>
      <c r="P6211" s="6"/>
      <c r="Q6211" t="s" s="2">
        <v>43</v>
      </c>
      <c r="R6211" s="5">
        <f>_xlfn.IFERROR(INDEX('model_byCAP'!$D$2:$D$377,MATCH(Q6211,'model_byCAP'!$A$2:$A$377,0)),0)</f>
        <v>0</v>
      </c>
    </row>
    <row r="6212" ht="15.35" customHeight="1">
      <c r="A6212" t="s" s="2">
        <v>10699</v>
      </c>
      <c r="B6212" s="4">
        <v>41990</v>
      </c>
      <c r="C6212" s="5">
        <v>10</v>
      </c>
      <c r="D6212" s="5">
        <v>7.1</v>
      </c>
      <c r="E6212" s="5">
        <v>21</v>
      </c>
      <c r="F6212" t="s" s="2">
        <v>42</v>
      </c>
      <c r="G6212" t="s" s="2">
        <v>42</v>
      </c>
      <c r="H6212" s="5">
        <v>860</v>
      </c>
      <c r="I6212" t="s" s="2">
        <v>449</v>
      </c>
      <c r="J6212" t="s" s="2">
        <v>9204</v>
      </c>
      <c r="K6212" s="6"/>
      <c r="L6212" s="6"/>
      <c r="M6212" s="5">
        <v>549207.41</v>
      </c>
      <c r="N6212" s="5">
        <v>6358261.08</v>
      </c>
      <c r="O6212" t="s" s="2">
        <v>305</v>
      </c>
      <c r="P6212" s="6"/>
      <c r="Q6212" t="s" s="2">
        <v>43</v>
      </c>
      <c r="R6212" s="5">
        <f>_xlfn.IFERROR(INDEX('model_byCAP'!$D$2:$D$377,MATCH(Q6212,'model_byCAP'!$A$2:$A$377,0)),0)</f>
        <v>0</v>
      </c>
    </row>
    <row r="6213" ht="15.35" customHeight="1">
      <c r="A6213" t="s" s="2">
        <v>10700</v>
      </c>
      <c r="B6213" s="4">
        <v>42089</v>
      </c>
      <c r="C6213" s="5">
        <v>10</v>
      </c>
      <c r="D6213" s="5">
        <v>7.1</v>
      </c>
      <c r="E6213" s="5">
        <v>21.4</v>
      </c>
      <c r="F6213" t="s" s="2">
        <v>42</v>
      </c>
      <c r="G6213" t="s" s="2">
        <v>42</v>
      </c>
      <c r="H6213" s="5">
        <v>860</v>
      </c>
      <c r="I6213" t="s" s="2">
        <v>449</v>
      </c>
      <c r="J6213" t="s" s="2">
        <v>9204</v>
      </c>
      <c r="K6213" s="6"/>
      <c r="L6213" s="6"/>
      <c r="M6213" s="6"/>
      <c r="N6213" s="6"/>
      <c r="O6213" t="s" s="2">
        <v>25</v>
      </c>
      <c r="P6213" s="6"/>
      <c r="Q6213" t="s" s="2">
        <v>43</v>
      </c>
      <c r="R6213" s="5">
        <f>_xlfn.IFERROR(INDEX('model_byCAP'!$D$2:$D$377,MATCH(Q6213,'model_byCAP'!$A$2:$A$377,0)),0)</f>
        <v>0</v>
      </c>
    </row>
    <row r="6214" ht="15.35" customHeight="1">
      <c r="A6214" t="s" s="2">
        <v>10701</v>
      </c>
      <c r="B6214" s="4">
        <v>42073</v>
      </c>
      <c r="C6214" s="5">
        <v>10</v>
      </c>
      <c r="D6214" s="5">
        <v>7.1</v>
      </c>
      <c r="E6214" s="5">
        <v>21</v>
      </c>
      <c r="F6214" t="s" s="2">
        <v>42</v>
      </c>
      <c r="G6214" t="s" s="2">
        <v>42</v>
      </c>
      <c r="H6214" s="5">
        <v>860</v>
      </c>
      <c r="I6214" t="s" s="2">
        <v>449</v>
      </c>
      <c r="J6214" t="s" s="2">
        <v>9204</v>
      </c>
      <c r="K6214" s="6"/>
      <c r="L6214" s="6"/>
      <c r="M6214" s="5">
        <v>564945.1800000001</v>
      </c>
      <c r="N6214" s="5">
        <v>6355712.13</v>
      </c>
      <c r="O6214" t="s" s="2">
        <v>305</v>
      </c>
      <c r="P6214" s="6"/>
      <c r="Q6214" t="s" s="2">
        <v>43</v>
      </c>
      <c r="R6214" s="5">
        <f>_xlfn.IFERROR(INDEX('model_byCAP'!$D$2:$D$377,MATCH(Q6214,'model_byCAP'!$A$2:$A$377,0)),0)</f>
        <v>0</v>
      </c>
    </row>
    <row r="6215" ht="15.35" customHeight="1">
      <c r="A6215" t="s" s="2">
        <v>10702</v>
      </c>
      <c r="B6215" s="4">
        <v>42347</v>
      </c>
      <c r="C6215" s="5">
        <v>10</v>
      </c>
      <c r="D6215" s="5">
        <v>16</v>
      </c>
      <c r="E6215" s="5">
        <v>17</v>
      </c>
      <c r="F6215" t="s" s="2">
        <v>9209</v>
      </c>
      <c r="G6215" t="s" s="2">
        <v>9638</v>
      </c>
      <c r="H6215" s="5">
        <v>860</v>
      </c>
      <c r="I6215" t="s" s="2">
        <v>449</v>
      </c>
      <c r="J6215" t="s" s="2">
        <v>9204</v>
      </c>
      <c r="K6215" s="6"/>
      <c r="L6215" s="6"/>
      <c r="M6215" s="5">
        <v>549461.12</v>
      </c>
      <c r="N6215" s="5">
        <v>6357774.92</v>
      </c>
      <c r="O6215" t="s" s="2">
        <v>305</v>
      </c>
      <c r="P6215" s="6"/>
      <c r="Q6215" t="s" s="2">
        <v>9639</v>
      </c>
      <c r="R6215" s="5">
        <f>_xlfn.IFERROR(INDEX('model_byCAP'!$D$2:$D$377,MATCH(Q6215,'model_byCAP'!$A$2:$A$377,0)),0)</f>
        <v>0</v>
      </c>
    </row>
    <row r="6216" ht="15.35" customHeight="1">
      <c r="A6216" t="s" s="2">
        <v>10703</v>
      </c>
      <c r="B6216" s="4">
        <v>42170</v>
      </c>
      <c r="C6216" s="5">
        <v>10</v>
      </c>
      <c r="D6216" s="5">
        <v>7</v>
      </c>
      <c r="E6216" s="5">
        <v>21</v>
      </c>
      <c r="F6216" t="s" s="2">
        <v>42</v>
      </c>
      <c r="G6216" t="s" s="2">
        <v>42</v>
      </c>
      <c r="H6216" s="5">
        <v>860</v>
      </c>
      <c r="I6216" t="s" s="2">
        <v>449</v>
      </c>
      <c r="J6216" t="s" s="2">
        <v>9204</v>
      </c>
      <c r="K6216" s="6"/>
      <c r="L6216" s="6"/>
      <c r="M6216" s="5">
        <v>551832.87</v>
      </c>
      <c r="N6216" s="5">
        <v>6364959.75</v>
      </c>
      <c r="O6216" t="s" s="2">
        <v>305</v>
      </c>
      <c r="P6216" s="6"/>
      <c r="Q6216" t="s" s="2">
        <v>43</v>
      </c>
      <c r="R6216" s="5">
        <f>_xlfn.IFERROR(INDEX('model_byCAP'!$D$2:$D$377,MATCH(Q6216,'model_byCAP'!$A$2:$A$377,0)),0)</f>
        <v>0</v>
      </c>
    </row>
    <row r="6217" ht="15.35" customHeight="1">
      <c r="A6217" t="s" s="2">
        <v>10704</v>
      </c>
      <c r="B6217" s="4">
        <v>42187</v>
      </c>
      <c r="C6217" s="5">
        <v>10</v>
      </c>
      <c r="D6217" s="5">
        <v>7</v>
      </c>
      <c r="E6217" s="5">
        <v>21</v>
      </c>
      <c r="F6217" t="s" s="2">
        <v>42</v>
      </c>
      <c r="G6217" t="s" s="2">
        <v>42</v>
      </c>
      <c r="H6217" s="5">
        <v>860</v>
      </c>
      <c r="I6217" t="s" s="2">
        <v>449</v>
      </c>
      <c r="J6217" t="s" s="2">
        <v>9204</v>
      </c>
      <c r="K6217" s="6"/>
      <c r="L6217" s="6"/>
      <c r="M6217" s="5">
        <v>561336.85</v>
      </c>
      <c r="N6217" s="5">
        <v>6371888.24</v>
      </c>
      <c r="O6217" t="s" s="2">
        <v>305</v>
      </c>
      <c r="P6217" s="6"/>
      <c r="Q6217" t="s" s="2">
        <v>43</v>
      </c>
      <c r="R6217" s="5">
        <f>_xlfn.IFERROR(INDEX('model_byCAP'!$D$2:$D$377,MATCH(Q6217,'model_byCAP'!$A$2:$A$377,0)),0)</f>
        <v>0</v>
      </c>
    </row>
    <row r="6218" ht="15.35" customHeight="1">
      <c r="A6218" t="s" s="2">
        <v>10705</v>
      </c>
      <c r="B6218" s="4">
        <v>42199</v>
      </c>
      <c r="C6218" s="5">
        <v>10</v>
      </c>
      <c r="D6218" s="5">
        <v>10</v>
      </c>
      <c r="E6218" s="5">
        <v>15.5</v>
      </c>
      <c r="F6218" t="s" s="2">
        <v>42</v>
      </c>
      <c r="G6218" t="s" s="2">
        <v>42</v>
      </c>
      <c r="H6218" s="5">
        <v>860</v>
      </c>
      <c r="I6218" t="s" s="2">
        <v>449</v>
      </c>
      <c r="J6218" t="s" s="2">
        <v>9204</v>
      </c>
      <c r="K6218" s="6"/>
      <c r="L6218" s="6"/>
      <c r="M6218" s="6"/>
      <c r="N6218" s="6"/>
      <c r="O6218" t="s" s="2">
        <v>25</v>
      </c>
      <c r="P6218" s="6"/>
      <c r="Q6218" t="s" s="2">
        <v>43</v>
      </c>
      <c r="R6218" s="5">
        <f>_xlfn.IFERROR(INDEX('model_byCAP'!$D$2:$D$377,MATCH(Q6218,'model_byCAP'!$A$2:$A$377,0)),0)</f>
        <v>0</v>
      </c>
    </row>
    <row r="6219" ht="15.35" customHeight="1">
      <c r="A6219" t="s" s="2">
        <v>10706</v>
      </c>
      <c r="B6219" s="4">
        <v>42152</v>
      </c>
      <c r="C6219" s="5">
        <v>10</v>
      </c>
      <c r="D6219" s="5">
        <v>7.1</v>
      </c>
      <c r="E6219" s="5">
        <v>21</v>
      </c>
      <c r="F6219" t="s" s="2">
        <v>42</v>
      </c>
      <c r="G6219" t="s" s="2">
        <v>42</v>
      </c>
      <c r="H6219" s="5">
        <v>860</v>
      </c>
      <c r="I6219" t="s" s="2">
        <v>449</v>
      </c>
      <c r="J6219" t="s" s="2">
        <v>9204</v>
      </c>
      <c r="K6219" s="6"/>
      <c r="L6219" s="6"/>
      <c r="M6219" s="5">
        <v>567439.46</v>
      </c>
      <c r="N6219" s="5">
        <v>6357062.72</v>
      </c>
      <c r="O6219" t="s" s="2">
        <v>305</v>
      </c>
      <c r="P6219" s="6"/>
      <c r="Q6219" t="s" s="2">
        <v>43</v>
      </c>
      <c r="R6219" s="5">
        <f>_xlfn.IFERROR(INDEX('model_byCAP'!$D$2:$D$377,MATCH(Q6219,'model_byCAP'!$A$2:$A$377,0)),0)</f>
        <v>0</v>
      </c>
    </row>
    <row r="6220" ht="15.35" customHeight="1">
      <c r="A6220" t="s" s="9">
        <v>10707</v>
      </c>
      <c r="B6220" s="4">
        <v>42150</v>
      </c>
      <c r="C6220" s="5">
        <v>10</v>
      </c>
      <c r="D6220" s="5">
        <v>7</v>
      </c>
      <c r="E6220" s="5">
        <v>21</v>
      </c>
      <c r="F6220" t="s" s="2">
        <v>42</v>
      </c>
      <c r="G6220" t="s" s="2">
        <v>42</v>
      </c>
      <c r="H6220" s="5">
        <v>860</v>
      </c>
      <c r="I6220" t="s" s="2">
        <v>449</v>
      </c>
      <c r="J6220" t="s" s="2">
        <v>9204</v>
      </c>
      <c r="K6220" s="6"/>
      <c r="L6220" s="6"/>
      <c r="M6220" s="6"/>
      <c r="N6220" s="6"/>
      <c r="O6220" t="s" s="2">
        <v>25</v>
      </c>
      <c r="P6220" s="6"/>
      <c r="Q6220" t="s" s="2">
        <v>43</v>
      </c>
      <c r="R6220" s="5">
        <f>_xlfn.IFERROR(INDEX('model_byCAP'!$D$2:$D$377,MATCH(Q6220,'model_byCAP'!$A$2:$A$377,0)),0)</f>
        <v>0</v>
      </c>
    </row>
    <row r="6221" ht="15.35" customHeight="1">
      <c r="A6221" t="s" s="9">
        <v>10708</v>
      </c>
      <c r="B6221" s="4">
        <v>42110</v>
      </c>
      <c r="C6221" s="5">
        <v>10</v>
      </c>
      <c r="D6221" s="5">
        <v>7.1</v>
      </c>
      <c r="E6221" s="5">
        <v>21</v>
      </c>
      <c r="F6221" t="s" s="2">
        <v>42</v>
      </c>
      <c r="G6221" t="s" s="2">
        <v>42</v>
      </c>
      <c r="H6221" s="5">
        <v>860</v>
      </c>
      <c r="I6221" t="s" s="2">
        <v>449</v>
      </c>
      <c r="J6221" t="s" s="2">
        <v>9204</v>
      </c>
      <c r="K6221" s="6"/>
      <c r="L6221" s="6"/>
      <c r="M6221" s="5">
        <v>559575.48</v>
      </c>
      <c r="N6221" s="5">
        <v>6377130.33</v>
      </c>
      <c r="O6221" t="s" s="2">
        <v>305</v>
      </c>
      <c r="P6221" s="6"/>
      <c r="Q6221" t="s" s="2">
        <v>43</v>
      </c>
      <c r="R6221" s="5">
        <f>_xlfn.IFERROR(INDEX('model_byCAP'!$D$2:$D$377,MATCH(Q6221,'model_byCAP'!$A$2:$A$377,0)),0)</f>
        <v>0</v>
      </c>
    </row>
    <row r="6222" ht="15.35" customHeight="1">
      <c r="A6222" t="s" s="9">
        <v>10709</v>
      </c>
      <c r="B6222" s="4">
        <v>42094</v>
      </c>
      <c r="C6222" s="5">
        <v>10</v>
      </c>
      <c r="D6222" s="5">
        <v>13</v>
      </c>
      <c r="E6222" s="5">
        <v>18</v>
      </c>
      <c r="F6222" t="s" s="2">
        <v>9471</v>
      </c>
      <c r="G6222" t="s" s="2">
        <v>9606</v>
      </c>
      <c r="H6222" s="5">
        <v>860</v>
      </c>
      <c r="I6222" t="s" s="2">
        <v>449</v>
      </c>
      <c r="J6222" t="s" s="2">
        <v>9204</v>
      </c>
      <c r="K6222" s="6"/>
      <c r="L6222" s="6"/>
      <c r="M6222" s="6"/>
      <c r="N6222" s="6"/>
      <c r="O6222" t="s" s="2">
        <v>25</v>
      </c>
      <c r="P6222" s="6"/>
      <c r="Q6222" t="s" s="2">
        <v>9607</v>
      </c>
      <c r="R6222" s="5">
        <f>_xlfn.IFERROR(INDEX('model_byCAP'!$D$2:$D$377,MATCH(Q6222,'model_byCAP'!$A$2:$A$377,0)),0)</f>
        <v>0</v>
      </c>
    </row>
    <row r="6223" ht="15.35" customHeight="1">
      <c r="A6223" t="s" s="9">
        <v>10710</v>
      </c>
      <c r="B6223" s="4">
        <v>42167</v>
      </c>
      <c r="C6223" s="5">
        <v>10</v>
      </c>
      <c r="D6223" s="5">
        <v>7</v>
      </c>
      <c r="E6223" s="5">
        <v>21</v>
      </c>
      <c r="F6223" t="s" s="2">
        <v>42</v>
      </c>
      <c r="G6223" t="s" s="2">
        <v>42</v>
      </c>
      <c r="H6223" s="5">
        <v>860</v>
      </c>
      <c r="I6223" t="s" s="2">
        <v>449</v>
      </c>
      <c r="J6223" t="s" s="2">
        <v>9204</v>
      </c>
      <c r="K6223" s="6"/>
      <c r="L6223" s="6"/>
      <c r="M6223" s="8">
        <v>578180</v>
      </c>
      <c r="N6223" s="8">
        <v>6364093</v>
      </c>
      <c r="O6223" t="s" s="2">
        <v>305</v>
      </c>
      <c r="P6223" s="6"/>
      <c r="Q6223" t="s" s="2">
        <v>43</v>
      </c>
      <c r="R6223" s="5">
        <f>_xlfn.IFERROR(INDEX('model_byCAP'!$D$2:$D$377,MATCH(Q6223,'model_byCAP'!$A$2:$A$377,0)),0)</f>
        <v>0</v>
      </c>
    </row>
    <row r="6224" ht="15.35" customHeight="1">
      <c r="A6224" t="s" s="2">
        <v>10711</v>
      </c>
      <c r="B6224" s="4">
        <v>42125</v>
      </c>
      <c r="C6224" s="5">
        <v>10</v>
      </c>
      <c r="D6224" s="5">
        <v>7</v>
      </c>
      <c r="E6224" s="5">
        <v>21</v>
      </c>
      <c r="F6224" t="s" s="2">
        <v>42</v>
      </c>
      <c r="G6224" t="s" s="2">
        <v>42</v>
      </c>
      <c r="H6224" s="5">
        <v>860</v>
      </c>
      <c r="I6224" t="s" s="2">
        <v>449</v>
      </c>
      <c r="J6224" t="s" s="2">
        <v>9204</v>
      </c>
      <c r="K6224" s="6"/>
      <c r="L6224" s="6"/>
      <c r="M6224" s="6"/>
      <c r="N6224" s="6"/>
      <c r="O6224" t="s" s="2">
        <v>25</v>
      </c>
      <c r="P6224" s="6"/>
      <c r="Q6224" t="s" s="2">
        <v>43</v>
      </c>
      <c r="R6224" s="5">
        <f>_xlfn.IFERROR(INDEX('model_byCAP'!$D$2:$D$377,MATCH(Q6224,'model_byCAP'!$A$2:$A$377,0)),0)</f>
        <v>0</v>
      </c>
    </row>
    <row r="6225" ht="15.35" customHeight="1">
      <c r="A6225" t="s" s="2">
        <v>10712</v>
      </c>
      <c r="B6225" s="4">
        <v>42125</v>
      </c>
      <c r="C6225" s="5">
        <v>10</v>
      </c>
      <c r="D6225" s="5">
        <v>7</v>
      </c>
      <c r="E6225" s="5">
        <v>21</v>
      </c>
      <c r="F6225" t="s" s="2">
        <v>42</v>
      </c>
      <c r="G6225" t="s" s="2">
        <v>42</v>
      </c>
      <c r="H6225" s="5">
        <v>860</v>
      </c>
      <c r="I6225" t="s" s="2">
        <v>449</v>
      </c>
      <c r="J6225" t="s" s="2">
        <v>9204</v>
      </c>
      <c r="K6225" s="6"/>
      <c r="L6225" s="6"/>
      <c r="M6225" s="6"/>
      <c r="N6225" s="6"/>
      <c r="O6225" t="s" s="2">
        <v>25</v>
      </c>
      <c r="P6225" s="6"/>
      <c r="Q6225" t="s" s="2">
        <v>43</v>
      </c>
      <c r="R6225" s="5">
        <f>_xlfn.IFERROR(INDEX('model_byCAP'!$D$2:$D$377,MATCH(Q6225,'model_byCAP'!$A$2:$A$377,0)),0)</f>
        <v>0</v>
      </c>
    </row>
    <row r="6226" ht="15.35" customHeight="1">
      <c r="A6226" t="s" s="2">
        <v>10713</v>
      </c>
      <c r="B6226" s="4">
        <v>42167</v>
      </c>
      <c r="C6226" s="5">
        <v>10</v>
      </c>
      <c r="D6226" s="5">
        <v>7</v>
      </c>
      <c r="E6226" s="5">
        <v>21</v>
      </c>
      <c r="F6226" t="s" s="2">
        <v>42</v>
      </c>
      <c r="G6226" t="s" s="2">
        <v>42</v>
      </c>
      <c r="H6226" s="5">
        <v>860</v>
      </c>
      <c r="I6226" t="s" s="2">
        <v>449</v>
      </c>
      <c r="J6226" t="s" s="2">
        <v>9204</v>
      </c>
      <c r="K6226" s="6"/>
      <c r="L6226" s="6"/>
      <c r="M6226" s="8">
        <v>554676</v>
      </c>
      <c r="N6226" s="8">
        <v>6371214</v>
      </c>
      <c r="O6226" t="s" s="2">
        <v>305</v>
      </c>
      <c r="P6226" s="6"/>
      <c r="Q6226" t="s" s="2">
        <v>43</v>
      </c>
      <c r="R6226" s="5">
        <f>_xlfn.IFERROR(INDEX('model_byCAP'!$D$2:$D$377,MATCH(Q6226,'model_byCAP'!$A$2:$A$377,0)),0)</f>
        <v>0</v>
      </c>
    </row>
    <row r="6227" ht="15.35" customHeight="1">
      <c r="A6227" t="s" s="2">
        <v>10714</v>
      </c>
      <c r="B6227" s="4">
        <v>42179</v>
      </c>
      <c r="C6227" s="5">
        <v>10</v>
      </c>
      <c r="D6227" s="5">
        <v>7</v>
      </c>
      <c r="E6227" s="5">
        <v>21</v>
      </c>
      <c r="F6227" t="s" s="2">
        <v>42</v>
      </c>
      <c r="G6227" t="s" s="2">
        <v>42</v>
      </c>
      <c r="H6227" s="5">
        <v>860</v>
      </c>
      <c r="I6227" t="s" s="2">
        <v>449</v>
      </c>
      <c r="J6227" t="s" s="2">
        <v>9204</v>
      </c>
      <c r="K6227" s="6"/>
      <c r="L6227" s="6"/>
      <c r="M6227" s="8">
        <v>555911</v>
      </c>
      <c r="N6227" s="8">
        <v>6371776</v>
      </c>
      <c r="O6227" t="s" s="2">
        <v>305</v>
      </c>
      <c r="P6227" s="6"/>
      <c r="Q6227" t="s" s="2">
        <v>43</v>
      </c>
      <c r="R6227" s="5">
        <f>_xlfn.IFERROR(INDEX('model_byCAP'!$D$2:$D$377,MATCH(Q6227,'model_byCAP'!$A$2:$A$377,0)),0)</f>
        <v>0</v>
      </c>
    </row>
    <row r="6228" ht="15.35" customHeight="1">
      <c r="A6228" t="s" s="2">
        <v>10715</v>
      </c>
      <c r="B6228" s="4">
        <v>42179</v>
      </c>
      <c r="C6228" s="5">
        <v>10</v>
      </c>
      <c r="D6228" s="5">
        <v>7</v>
      </c>
      <c r="E6228" s="5">
        <v>21</v>
      </c>
      <c r="F6228" t="s" s="2">
        <v>42</v>
      </c>
      <c r="G6228" t="s" s="2">
        <v>42</v>
      </c>
      <c r="H6228" s="5">
        <v>860</v>
      </c>
      <c r="I6228" t="s" s="2">
        <v>449</v>
      </c>
      <c r="J6228" t="s" s="2">
        <v>9204</v>
      </c>
      <c r="K6228" s="6"/>
      <c r="L6228" s="6"/>
      <c r="M6228" s="8">
        <v>556465</v>
      </c>
      <c r="N6228" s="8">
        <v>6375710</v>
      </c>
      <c r="O6228" t="s" s="2">
        <v>305</v>
      </c>
      <c r="P6228" s="6"/>
      <c r="Q6228" t="s" s="2">
        <v>43</v>
      </c>
      <c r="R6228" s="5">
        <f>_xlfn.IFERROR(INDEX('model_byCAP'!$D$2:$D$377,MATCH(Q6228,'model_byCAP'!$A$2:$A$377,0)),0)</f>
        <v>0</v>
      </c>
    </row>
    <row r="6229" ht="15.35" customHeight="1">
      <c r="A6229" t="s" s="2">
        <v>10716</v>
      </c>
      <c r="B6229" s="4">
        <v>42159</v>
      </c>
      <c r="C6229" s="5">
        <v>10</v>
      </c>
      <c r="D6229" s="5">
        <v>7</v>
      </c>
      <c r="E6229" s="5">
        <v>21</v>
      </c>
      <c r="F6229" t="s" s="2">
        <v>42</v>
      </c>
      <c r="G6229" t="s" s="2">
        <v>42</v>
      </c>
      <c r="H6229" s="5">
        <v>860</v>
      </c>
      <c r="I6229" t="s" s="2">
        <v>449</v>
      </c>
      <c r="J6229" t="s" s="2">
        <v>9204</v>
      </c>
      <c r="K6229" s="6"/>
      <c r="L6229" s="6"/>
      <c r="M6229" s="8">
        <v>570235</v>
      </c>
      <c r="N6229" s="8">
        <v>6372382</v>
      </c>
      <c r="O6229" t="s" s="2">
        <v>305</v>
      </c>
      <c r="P6229" s="6"/>
      <c r="Q6229" t="s" s="2">
        <v>43</v>
      </c>
      <c r="R6229" s="5">
        <f>_xlfn.IFERROR(INDEX('model_byCAP'!$D$2:$D$377,MATCH(Q6229,'model_byCAP'!$A$2:$A$377,0)),0)</f>
        <v>0</v>
      </c>
    </row>
    <row r="6230" ht="15.35" customHeight="1">
      <c r="A6230" t="s" s="2">
        <v>10717</v>
      </c>
      <c r="B6230" s="4">
        <v>42144</v>
      </c>
      <c r="C6230" s="5">
        <v>10</v>
      </c>
      <c r="D6230" s="5">
        <v>7</v>
      </c>
      <c r="E6230" s="5">
        <v>21</v>
      </c>
      <c r="F6230" t="s" s="2">
        <v>42</v>
      </c>
      <c r="G6230" t="s" s="2">
        <v>42</v>
      </c>
      <c r="H6230" s="5">
        <v>860</v>
      </c>
      <c r="I6230" t="s" s="2">
        <v>449</v>
      </c>
      <c r="J6230" t="s" s="2">
        <v>9204</v>
      </c>
      <c r="K6230" s="6"/>
      <c r="L6230" s="6"/>
      <c r="M6230" s="6"/>
      <c r="N6230" s="6"/>
      <c r="O6230" t="s" s="2">
        <v>25</v>
      </c>
      <c r="P6230" s="6"/>
      <c r="Q6230" t="s" s="2">
        <v>43</v>
      </c>
      <c r="R6230" s="5">
        <f>_xlfn.IFERROR(INDEX('model_byCAP'!$D$2:$D$377,MATCH(Q6230,'model_byCAP'!$A$2:$A$377,0)),0)</f>
        <v>0</v>
      </c>
    </row>
    <row r="6231" ht="15.35" customHeight="1">
      <c r="A6231" t="s" s="2">
        <v>10718</v>
      </c>
      <c r="B6231" s="4">
        <v>42199</v>
      </c>
      <c r="C6231" s="5">
        <v>10</v>
      </c>
      <c r="D6231" s="5">
        <v>7</v>
      </c>
      <c r="E6231" s="5">
        <v>21</v>
      </c>
      <c r="F6231" t="s" s="2">
        <v>42</v>
      </c>
      <c r="G6231" t="s" s="2">
        <v>42</v>
      </c>
      <c r="H6231" s="5">
        <v>860</v>
      </c>
      <c r="I6231" t="s" s="2">
        <v>449</v>
      </c>
      <c r="J6231" t="s" s="2">
        <v>9204</v>
      </c>
      <c r="K6231" s="6"/>
      <c r="L6231" s="6"/>
      <c r="M6231" s="8">
        <v>555181</v>
      </c>
      <c r="N6231" s="8">
        <v>6371642</v>
      </c>
      <c r="O6231" t="s" s="2">
        <v>305</v>
      </c>
      <c r="P6231" s="6"/>
      <c r="Q6231" t="s" s="2">
        <v>43</v>
      </c>
      <c r="R6231" s="5">
        <f>_xlfn.IFERROR(INDEX('model_byCAP'!$D$2:$D$377,MATCH(Q6231,'model_byCAP'!$A$2:$A$377,0)),0)</f>
        <v>0</v>
      </c>
    </row>
    <row r="6232" ht="15.35" customHeight="1">
      <c r="A6232" t="s" s="2">
        <v>10719</v>
      </c>
      <c r="B6232" s="4">
        <v>42206</v>
      </c>
      <c r="C6232" s="5">
        <v>10</v>
      </c>
      <c r="D6232" s="5">
        <v>7</v>
      </c>
      <c r="E6232" s="5">
        <v>21</v>
      </c>
      <c r="F6232" t="s" s="2">
        <v>42</v>
      </c>
      <c r="G6232" t="s" s="2">
        <v>42</v>
      </c>
      <c r="H6232" s="5">
        <v>860</v>
      </c>
      <c r="I6232" t="s" s="2">
        <v>449</v>
      </c>
      <c r="J6232" t="s" s="2">
        <v>9204</v>
      </c>
      <c r="K6232" s="6"/>
      <c r="L6232" s="6"/>
      <c r="M6232" s="6"/>
      <c r="N6232" s="6"/>
      <c r="O6232" t="s" s="2">
        <v>25</v>
      </c>
      <c r="P6232" s="6"/>
      <c r="Q6232" t="s" s="2">
        <v>43</v>
      </c>
      <c r="R6232" s="5">
        <f>_xlfn.IFERROR(INDEX('model_byCAP'!$D$2:$D$377,MATCH(Q6232,'model_byCAP'!$A$2:$A$377,0)),0)</f>
        <v>0</v>
      </c>
    </row>
    <row r="6233" ht="15.35" customHeight="1">
      <c r="A6233" t="s" s="2">
        <v>10720</v>
      </c>
      <c r="B6233" s="4">
        <v>42284</v>
      </c>
      <c r="C6233" s="5">
        <v>10</v>
      </c>
      <c r="D6233" s="5">
        <v>14</v>
      </c>
      <c r="E6233" s="5">
        <v>18</v>
      </c>
      <c r="F6233" t="s" s="2">
        <v>9209</v>
      </c>
      <c r="G6233" t="s" s="2">
        <v>9293</v>
      </c>
      <c r="H6233" s="5">
        <v>860</v>
      </c>
      <c r="I6233" t="s" s="2">
        <v>449</v>
      </c>
      <c r="J6233" t="s" s="2">
        <v>9204</v>
      </c>
      <c r="K6233" s="6"/>
      <c r="L6233" s="6"/>
      <c r="M6233" s="8">
        <v>558733</v>
      </c>
      <c r="N6233" s="8">
        <v>6355799</v>
      </c>
      <c r="O6233" t="s" s="2">
        <v>305</v>
      </c>
      <c r="P6233" s="6"/>
      <c r="Q6233" t="s" s="2">
        <v>9295</v>
      </c>
      <c r="R6233" t="s" s="2">
        <f>_xlfn.IFERROR(INDEX('model_byCAP'!$D$2:$D$377,MATCH(Q6233,'model_byCAP'!$A$2:$A$377,0)),0)</f>
        <v>8430</v>
      </c>
    </row>
    <row r="6234" ht="15.35" customHeight="1">
      <c r="A6234" t="s" s="2">
        <v>10721</v>
      </c>
      <c r="B6234" s="4">
        <v>42080</v>
      </c>
      <c r="C6234" s="5">
        <v>10</v>
      </c>
      <c r="D6234" s="5">
        <v>7</v>
      </c>
      <c r="E6234" s="5">
        <v>21</v>
      </c>
      <c r="F6234" t="s" s="2">
        <v>42</v>
      </c>
      <c r="G6234" t="s" s="2">
        <v>42</v>
      </c>
      <c r="H6234" s="5">
        <v>860</v>
      </c>
      <c r="I6234" t="s" s="2">
        <v>449</v>
      </c>
      <c r="J6234" t="s" s="2">
        <v>9204</v>
      </c>
      <c r="K6234" s="6"/>
      <c r="L6234" s="6"/>
      <c r="M6234" s="8">
        <v>547337</v>
      </c>
      <c r="N6234" s="8">
        <v>6360840</v>
      </c>
      <c r="O6234" t="s" s="2">
        <v>305</v>
      </c>
      <c r="P6234" s="6"/>
      <c r="Q6234" t="s" s="2">
        <v>43</v>
      </c>
      <c r="R6234" s="5">
        <f>_xlfn.IFERROR(INDEX('model_byCAP'!$D$2:$D$377,MATCH(Q6234,'model_byCAP'!$A$2:$A$377,0)),0)</f>
        <v>0</v>
      </c>
    </row>
    <row r="6235" ht="15.35" customHeight="1">
      <c r="A6235" t="s" s="2">
        <v>10722</v>
      </c>
      <c r="B6235" s="4">
        <v>42164</v>
      </c>
      <c r="C6235" s="5">
        <v>10</v>
      </c>
      <c r="D6235" s="5">
        <v>7</v>
      </c>
      <c r="E6235" s="5">
        <v>21</v>
      </c>
      <c r="F6235" t="s" s="2">
        <v>42</v>
      </c>
      <c r="G6235" t="s" s="2">
        <v>42</v>
      </c>
      <c r="H6235" s="5">
        <v>860</v>
      </c>
      <c r="I6235" t="s" s="2">
        <v>449</v>
      </c>
      <c r="J6235" t="s" s="2">
        <v>9204</v>
      </c>
      <c r="K6235" s="6"/>
      <c r="L6235" s="6"/>
      <c r="M6235" s="8">
        <v>554057</v>
      </c>
      <c r="N6235" s="8">
        <v>6364517</v>
      </c>
      <c r="O6235" t="s" s="2">
        <v>305</v>
      </c>
      <c r="P6235" s="6"/>
      <c r="Q6235" t="s" s="2">
        <v>43</v>
      </c>
      <c r="R6235" s="5">
        <f>_xlfn.IFERROR(INDEX('model_byCAP'!$D$2:$D$377,MATCH(Q6235,'model_byCAP'!$A$2:$A$377,0)),0)</f>
        <v>0</v>
      </c>
    </row>
    <row r="6236" ht="15.35" customHeight="1">
      <c r="A6236" t="s" s="2">
        <v>10723</v>
      </c>
      <c r="B6236" s="4">
        <v>42233</v>
      </c>
      <c r="C6236" s="5">
        <v>10</v>
      </c>
      <c r="D6236" s="5">
        <v>14</v>
      </c>
      <c r="E6236" s="5">
        <v>18</v>
      </c>
      <c r="F6236" t="s" s="2">
        <v>9209</v>
      </c>
      <c r="G6236" t="s" s="2">
        <v>9293</v>
      </c>
      <c r="H6236" s="5">
        <v>860</v>
      </c>
      <c r="I6236" t="s" s="2">
        <v>449</v>
      </c>
      <c r="J6236" t="s" s="2">
        <v>9204</v>
      </c>
      <c r="K6236" s="6"/>
      <c r="L6236" s="6"/>
      <c r="M6236" s="8">
        <v>557473</v>
      </c>
      <c r="N6236" s="8">
        <v>6355379</v>
      </c>
      <c r="O6236" t="s" s="2">
        <v>305</v>
      </c>
      <c r="P6236" s="6"/>
      <c r="Q6236" t="s" s="2">
        <v>9295</v>
      </c>
      <c r="R6236" t="s" s="2">
        <f>_xlfn.IFERROR(INDEX('model_byCAP'!$D$2:$D$377,MATCH(Q6236,'model_byCAP'!$A$2:$A$377,0)),0)</f>
        <v>8430</v>
      </c>
    </row>
    <row r="6237" ht="15.35" customHeight="1">
      <c r="A6237" t="s" s="2">
        <v>10724</v>
      </c>
      <c r="B6237" s="4">
        <v>42340</v>
      </c>
      <c r="C6237" s="5">
        <v>10</v>
      </c>
      <c r="D6237" s="5">
        <v>7</v>
      </c>
      <c r="E6237" s="5">
        <v>21</v>
      </c>
      <c r="F6237" t="s" s="2">
        <v>42</v>
      </c>
      <c r="G6237" t="s" s="2">
        <v>42</v>
      </c>
      <c r="H6237" s="5">
        <v>860</v>
      </c>
      <c r="I6237" t="s" s="2">
        <v>449</v>
      </c>
      <c r="J6237" t="s" s="2">
        <v>9204</v>
      </c>
      <c r="K6237" s="6"/>
      <c r="L6237" s="6"/>
      <c r="M6237" s="8">
        <v>566531</v>
      </c>
      <c r="N6237" s="8">
        <v>6354538</v>
      </c>
      <c r="O6237" t="s" s="2">
        <v>305</v>
      </c>
      <c r="P6237" s="6"/>
      <c r="Q6237" t="s" s="2">
        <v>43</v>
      </c>
      <c r="R6237" s="5">
        <f>_xlfn.IFERROR(INDEX('model_byCAP'!$D$2:$D$377,MATCH(Q6237,'model_byCAP'!$A$2:$A$377,0)),0)</f>
        <v>0</v>
      </c>
    </row>
    <row r="6238" ht="15.35" customHeight="1">
      <c r="A6238" t="s" s="2">
        <v>10725</v>
      </c>
      <c r="B6238" s="4">
        <v>42186</v>
      </c>
      <c r="C6238" s="5">
        <v>10</v>
      </c>
      <c r="D6238" s="5">
        <v>7</v>
      </c>
      <c r="E6238" s="5">
        <v>21</v>
      </c>
      <c r="F6238" t="s" s="2">
        <v>42</v>
      </c>
      <c r="G6238" t="s" s="2">
        <v>42</v>
      </c>
      <c r="H6238" s="5">
        <v>860</v>
      </c>
      <c r="I6238" t="s" s="2">
        <v>449</v>
      </c>
      <c r="J6238" t="s" s="2">
        <v>9204</v>
      </c>
      <c r="K6238" s="6"/>
      <c r="L6238" s="6"/>
      <c r="M6238" s="8">
        <v>561184</v>
      </c>
      <c r="N6238" s="8">
        <v>6364693</v>
      </c>
      <c r="O6238" t="s" s="2">
        <v>305</v>
      </c>
      <c r="P6238" s="6"/>
      <c r="Q6238" t="s" s="2">
        <v>43</v>
      </c>
      <c r="R6238" s="5">
        <f>_xlfn.IFERROR(INDEX('model_byCAP'!$D$2:$D$377,MATCH(Q6238,'model_byCAP'!$A$2:$A$377,0)),0)</f>
        <v>0</v>
      </c>
    </row>
    <row r="6239" ht="15.35" customHeight="1">
      <c r="A6239" t="s" s="2">
        <v>10726</v>
      </c>
      <c r="B6239" s="4">
        <v>42222</v>
      </c>
      <c r="C6239" s="5">
        <v>10</v>
      </c>
      <c r="D6239" s="5">
        <v>13</v>
      </c>
      <c r="E6239" s="5">
        <v>18</v>
      </c>
      <c r="F6239" t="s" s="2">
        <v>9471</v>
      </c>
      <c r="G6239" t="s" s="2">
        <v>9606</v>
      </c>
      <c r="H6239" s="5">
        <v>860</v>
      </c>
      <c r="I6239" t="s" s="2">
        <v>449</v>
      </c>
      <c r="J6239" t="s" s="2">
        <v>9204</v>
      </c>
      <c r="K6239" s="6"/>
      <c r="L6239" s="6"/>
      <c r="M6239" s="8">
        <v>576869</v>
      </c>
      <c r="N6239" s="8">
        <v>6382550</v>
      </c>
      <c r="O6239" t="s" s="2">
        <v>305</v>
      </c>
      <c r="P6239" s="6"/>
      <c r="Q6239" t="s" s="2">
        <v>9607</v>
      </c>
      <c r="R6239" s="5">
        <f>_xlfn.IFERROR(INDEX('model_byCAP'!$D$2:$D$377,MATCH(Q6239,'model_byCAP'!$A$2:$A$377,0)),0)</f>
        <v>0</v>
      </c>
    </row>
    <row r="6240" ht="15.35" customHeight="1">
      <c r="A6240" t="s" s="2">
        <v>10727</v>
      </c>
      <c r="B6240" s="4">
        <v>42264</v>
      </c>
      <c r="C6240" s="5">
        <v>10</v>
      </c>
      <c r="D6240" s="5">
        <v>7</v>
      </c>
      <c r="E6240" s="5">
        <v>18</v>
      </c>
      <c r="F6240" t="s" s="2">
        <v>42</v>
      </c>
      <c r="G6240" t="s" s="2">
        <v>42</v>
      </c>
      <c r="H6240" s="5">
        <v>860</v>
      </c>
      <c r="I6240" t="s" s="2">
        <v>449</v>
      </c>
      <c r="J6240" t="s" s="2">
        <v>9204</v>
      </c>
      <c r="K6240" s="6"/>
      <c r="L6240" s="6"/>
      <c r="M6240" s="8">
        <v>544837</v>
      </c>
      <c r="N6240" s="8">
        <v>6360121</v>
      </c>
      <c r="O6240" t="s" s="2">
        <v>305</v>
      </c>
      <c r="P6240" s="6"/>
      <c r="Q6240" t="s" s="2">
        <v>43</v>
      </c>
      <c r="R6240" s="5">
        <f>_xlfn.IFERROR(INDEX('model_byCAP'!$D$2:$D$377,MATCH(Q6240,'model_byCAP'!$A$2:$A$377,0)),0)</f>
        <v>0</v>
      </c>
    </row>
    <row r="6241" ht="15.35" customHeight="1">
      <c r="A6241" t="s" s="2">
        <v>10728</v>
      </c>
      <c r="B6241" s="4">
        <v>42250</v>
      </c>
      <c r="C6241" s="5">
        <v>10</v>
      </c>
      <c r="D6241" s="5">
        <v>14</v>
      </c>
      <c r="E6241" s="5">
        <v>18</v>
      </c>
      <c r="F6241" t="s" s="2">
        <v>9209</v>
      </c>
      <c r="G6241" t="s" s="2">
        <v>9293</v>
      </c>
      <c r="H6241" s="5">
        <v>860</v>
      </c>
      <c r="I6241" t="s" s="2">
        <v>449</v>
      </c>
      <c r="J6241" t="s" s="2">
        <v>9204</v>
      </c>
      <c r="K6241" s="6"/>
      <c r="L6241" s="6"/>
      <c r="M6241" s="8">
        <v>573564</v>
      </c>
      <c r="N6241" s="8">
        <v>6381507</v>
      </c>
      <c r="O6241" t="s" s="2">
        <v>305</v>
      </c>
      <c r="P6241" s="6"/>
      <c r="Q6241" t="s" s="2">
        <v>9295</v>
      </c>
      <c r="R6241" t="s" s="2">
        <f>_xlfn.IFERROR(INDEX('model_byCAP'!$D$2:$D$377,MATCH(Q6241,'model_byCAP'!$A$2:$A$377,0)),0)</f>
        <v>8430</v>
      </c>
    </row>
    <row r="6242" ht="15.35" customHeight="1">
      <c r="A6242" t="s" s="2">
        <v>10729</v>
      </c>
      <c r="B6242" s="4">
        <v>42265</v>
      </c>
      <c r="C6242" s="5">
        <v>10</v>
      </c>
      <c r="D6242" s="5">
        <v>7</v>
      </c>
      <c r="E6242" s="5">
        <v>21</v>
      </c>
      <c r="F6242" t="s" s="2">
        <v>42</v>
      </c>
      <c r="G6242" t="s" s="2">
        <v>42</v>
      </c>
      <c r="H6242" s="5">
        <v>860</v>
      </c>
      <c r="I6242" t="s" s="2">
        <v>449</v>
      </c>
      <c r="J6242" t="s" s="2">
        <v>9204</v>
      </c>
      <c r="K6242" s="6"/>
      <c r="L6242" s="6"/>
      <c r="M6242" s="8">
        <v>573091</v>
      </c>
      <c r="N6242" s="8">
        <v>6361793</v>
      </c>
      <c r="O6242" t="s" s="2">
        <v>305</v>
      </c>
      <c r="P6242" s="6"/>
      <c r="Q6242" t="s" s="2">
        <v>43</v>
      </c>
      <c r="R6242" s="5">
        <f>_xlfn.IFERROR(INDEX('model_byCAP'!$D$2:$D$377,MATCH(Q6242,'model_byCAP'!$A$2:$A$377,0)),0)</f>
        <v>0</v>
      </c>
    </row>
    <row r="6243" ht="15.35" customHeight="1">
      <c r="A6243" t="s" s="2">
        <v>10730</v>
      </c>
      <c r="B6243" s="4">
        <v>42270</v>
      </c>
      <c r="C6243" s="5">
        <v>10</v>
      </c>
      <c r="D6243" s="5">
        <v>13</v>
      </c>
      <c r="E6243" s="5">
        <v>18</v>
      </c>
      <c r="F6243" t="s" s="2">
        <v>9471</v>
      </c>
      <c r="G6243" t="s" s="2">
        <v>9606</v>
      </c>
      <c r="H6243" s="5">
        <v>860</v>
      </c>
      <c r="I6243" t="s" s="2">
        <v>449</v>
      </c>
      <c r="J6243" t="s" s="2">
        <v>9204</v>
      </c>
      <c r="K6243" s="6"/>
      <c r="L6243" s="6"/>
      <c r="M6243" s="8">
        <v>575242</v>
      </c>
      <c r="N6243" s="8">
        <v>6366985</v>
      </c>
      <c r="O6243" t="s" s="2">
        <v>305</v>
      </c>
      <c r="P6243" s="6"/>
      <c r="Q6243" t="s" s="2">
        <v>9607</v>
      </c>
      <c r="R6243" s="5">
        <f>_xlfn.IFERROR(INDEX('model_byCAP'!$D$2:$D$377,MATCH(Q6243,'model_byCAP'!$A$2:$A$377,0)),0)</f>
        <v>0</v>
      </c>
    </row>
    <row r="6244" ht="15.35" customHeight="1">
      <c r="A6244" t="s" s="2">
        <v>10731</v>
      </c>
      <c r="B6244" s="4">
        <v>42269</v>
      </c>
      <c r="C6244" s="5">
        <v>10</v>
      </c>
      <c r="D6244" s="5">
        <v>7</v>
      </c>
      <c r="E6244" s="5">
        <v>21</v>
      </c>
      <c r="F6244" t="s" s="2">
        <v>42</v>
      </c>
      <c r="G6244" t="s" s="2">
        <v>42</v>
      </c>
      <c r="H6244" s="5">
        <v>860</v>
      </c>
      <c r="I6244" t="s" s="2">
        <v>449</v>
      </c>
      <c r="J6244" t="s" s="2">
        <v>9204</v>
      </c>
      <c r="K6244" s="6"/>
      <c r="L6244" s="6"/>
      <c r="M6244" s="8">
        <v>565385</v>
      </c>
      <c r="N6244" s="8">
        <v>6359102</v>
      </c>
      <c r="O6244" t="s" s="2">
        <v>305</v>
      </c>
      <c r="P6244" s="6"/>
      <c r="Q6244" t="s" s="2">
        <v>43</v>
      </c>
      <c r="R6244" s="5">
        <f>_xlfn.IFERROR(INDEX('model_byCAP'!$D$2:$D$377,MATCH(Q6244,'model_byCAP'!$A$2:$A$377,0)),0)</f>
        <v>0</v>
      </c>
    </row>
    <row r="6245" ht="15.35" customHeight="1">
      <c r="A6245" t="s" s="2">
        <v>10732</v>
      </c>
      <c r="B6245" s="4">
        <v>42292</v>
      </c>
      <c r="C6245" s="5">
        <v>10</v>
      </c>
      <c r="D6245" s="5">
        <v>7</v>
      </c>
      <c r="E6245" s="5">
        <v>21</v>
      </c>
      <c r="F6245" t="s" s="2">
        <v>42</v>
      </c>
      <c r="G6245" t="s" s="2">
        <v>42</v>
      </c>
      <c r="H6245" s="5">
        <v>860</v>
      </c>
      <c r="I6245" t="s" s="2">
        <v>449</v>
      </c>
      <c r="J6245" t="s" s="2">
        <v>9204</v>
      </c>
      <c r="K6245" s="6"/>
      <c r="L6245" s="6"/>
      <c r="M6245" s="8">
        <v>573494</v>
      </c>
      <c r="N6245" s="8">
        <v>6382305</v>
      </c>
      <c r="O6245" t="s" s="2">
        <v>305</v>
      </c>
      <c r="P6245" s="6"/>
      <c r="Q6245" t="s" s="2">
        <v>43</v>
      </c>
      <c r="R6245" s="5">
        <f>_xlfn.IFERROR(INDEX('model_byCAP'!$D$2:$D$377,MATCH(Q6245,'model_byCAP'!$A$2:$A$377,0)),0)</f>
        <v>0</v>
      </c>
    </row>
    <row r="6246" ht="15.35" customHeight="1">
      <c r="A6246" t="s" s="2">
        <v>10733</v>
      </c>
      <c r="B6246" s="4">
        <v>42262</v>
      </c>
      <c r="C6246" s="5">
        <v>10</v>
      </c>
      <c r="D6246" s="5">
        <v>7</v>
      </c>
      <c r="E6246" s="5">
        <v>21</v>
      </c>
      <c r="F6246" t="s" s="2">
        <v>42</v>
      </c>
      <c r="G6246" t="s" s="2">
        <v>42</v>
      </c>
      <c r="H6246" s="5">
        <v>860</v>
      </c>
      <c r="I6246" t="s" s="2">
        <v>449</v>
      </c>
      <c r="J6246" t="s" s="2">
        <v>9204</v>
      </c>
      <c r="K6246" s="6"/>
      <c r="L6246" s="6"/>
      <c r="M6246" s="8">
        <v>552366</v>
      </c>
      <c r="N6246" s="8">
        <v>6359670</v>
      </c>
      <c r="O6246" t="s" s="2">
        <v>305</v>
      </c>
      <c r="P6246" s="6"/>
      <c r="Q6246" t="s" s="2">
        <v>43</v>
      </c>
      <c r="R6246" s="5">
        <f>_xlfn.IFERROR(INDEX('model_byCAP'!$D$2:$D$377,MATCH(Q6246,'model_byCAP'!$A$2:$A$377,0)),0)</f>
        <v>0</v>
      </c>
    </row>
    <row r="6247" ht="15.35" customHeight="1">
      <c r="A6247" t="s" s="2">
        <v>10734</v>
      </c>
      <c r="B6247" s="4">
        <v>42290</v>
      </c>
      <c r="C6247" s="5">
        <v>10</v>
      </c>
      <c r="D6247" s="5">
        <v>7</v>
      </c>
      <c r="E6247" s="5">
        <v>21</v>
      </c>
      <c r="F6247" t="s" s="2">
        <v>42</v>
      </c>
      <c r="G6247" t="s" s="2">
        <v>42</v>
      </c>
      <c r="H6247" s="5">
        <v>860</v>
      </c>
      <c r="I6247" t="s" s="2">
        <v>449</v>
      </c>
      <c r="J6247" t="s" s="2">
        <v>9204</v>
      </c>
      <c r="K6247" s="6"/>
      <c r="L6247" s="6"/>
      <c r="M6247" s="8">
        <v>561164</v>
      </c>
      <c r="N6247" s="8">
        <v>6359167</v>
      </c>
      <c r="O6247" t="s" s="2">
        <v>305</v>
      </c>
      <c r="P6247" s="6"/>
      <c r="Q6247" t="s" s="2">
        <v>43</v>
      </c>
      <c r="R6247" s="5">
        <f>_xlfn.IFERROR(INDEX('model_byCAP'!$D$2:$D$377,MATCH(Q6247,'model_byCAP'!$A$2:$A$377,0)),0)</f>
        <v>0</v>
      </c>
    </row>
    <row r="6248" ht="15.35" customHeight="1">
      <c r="A6248" t="s" s="2">
        <v>10735</v>
      </c>
      <c r="B6248" s="4">
        <v>42229</v>
      </c>
      <c r="C6248" s="5">
        <v>10</v>
      </c>
      <c r="D6248" s="5">
        <v>7</v>
      </c>
      <c r="E6248" s="5">
        <v>21</v>
      </c>
      <c r="F6248" t="s" s="2">
        <v>42</v>
      </c>
      <c r="G6248" t="s" s="2">
        <v>42</v>
      </c>
      <c r="H6248" s="5">
        <v>860</v>
      </c>
      <c r="I6248" t="s" s="2">
        <v>449</v>
      </c>
      <c r="J6248" t="s" s="2">
        <v>9204</v>
      </c>
      <c r="K6248" s="6"/>
      <c r="L6248" s="6"/>
      <c r="M6248" s="8">
        <v>557690</v>
      </c>
      <c r="N6248" s="8">
        <v>6380097</v>
      </c>
      <c r="O6248" t="s" s="2">
        <v>305</v>
      </c>
      <c r="P6248" s="6"/>
      <c r="Q6248" t="s" s="2">
        <v>43</v>
      </c>
      <c r="R6248" s="5">
        <f>_xlfn.IFERROR(INDEX('model_byCAP'!$D$2:$D$377,MATCH(Q6248,'model_byCAP'!$A$2:$A$377,0)),0)</f>
        <v>0</v>
      </c>
    </row>
    <row r="6249" ht="15.35" customHeight="1">
      <c r="A6249" t="s" s="2">
        <v>10736</v>
      </c>
      <c r="B6249" s="4">
        <v>42310</v>
      </c>
      <c r="C6249" s="5">
        <v>10</v>
      </c>
      <c r="D6249" s="5">
        <v>7</v>
      </c>
      <c r="E6249" s="5">
        <v>21</v>
      </c>
      <c r="F6249" t="s" s="2">
        <v>42</v>
      </c>
      <c r="G6249" t="s" s="2">
        <v>42</v>
      </c>
      <c r="H6249" s="5">
        <v>860</v>
      </c>
      <c r="I6249" t="s" s="2">
        <v>449</v>
      </c>
      <c r="J6249" t="s" s="2">
        <v>9204</v>
      </c>
      <c r="K6249" s="6"/>
      <c r="L6249" s="6"/>
      <c r="M6249" s="8">
        <v>563626</v>
      </c>
      <c r="N6249" s="8">
        <v>6362761</v>
      </c>
      <c r="O6249" t="s" s="2">
        <v>305</v>
      </c>
      <c r="P6249" s="6"/>
      <c r="Q6249" t="s" s="2">
        <v>43</v>
      </c>
      <c r="R6249" s="5">
        <f>_xlfn.IFERROR(INDEX('model_byCAP'!$D$2:$D$377,MATCH(Q6249,'model_byCAP'!$A$2:$A$377,0)),0)</f>
        <v>0</v>
      </c>
    </row>
    <row r="6250" ht="15.35" customHeight="1">
      <c r="A6250" t="s" s="2">
        <v>10737</v>
      </c>
      <c r="B6250" s="4">
        <v>42311</v>
      </c>
      <c r="C6250" s="5">
        <v>10</v>
      </c>
      <c r="D6250" s="5">
        <v>7</v>
      </c>
      <c r="E6250" s="5">
        <v>21</v>
      </c>
      <c r="F6250" t="s" s="2">
        <v>42</v>
      </c>
      <c r="G6250" t="s" s="2">
        <v>42</v>
      </c>
      <c r="H6250" s="5">
        <v>860</v>
      </c>
      <c r="I6250" t="s" s="2">
        <v>449</v>
      </c>
      <c r="J6250" t="s" s="2">
        <v>9204</v>
      </c>
      <c r="K6250" s="6"/>
      <c r="L6250" s="6"/>
      <c r="M6250" s="8">
        <v>560493</v>
      </c>
      <c r="N6250" s="8">
        <v>6381004</v>
      </c>
      <c r="O6250" t="s" s="2">
        <v>305</v>
      </c>
      <c r="P6250" s="6"/>
      <c r="Q6250" t="s" s="2">
        <v>43</v>
      </c>
      <c r="R6250" s="5">
        <f>_xlfn.IFERROR(INDEX('model_byCAP'!$D$2:$D$377,MATCH(Q6250,'model_byCAP'!$A$2:$A$377,0)),0)</f>
        <v>0</v>
      </c>
    </row>
    <row r="6251" ht="15.35" customHeight="1">
      <c r="A6251" t="s" s="2">
        <v>10738</v>
      </c>
      <c r="B6251" s="4">
        <v>42320</v>
      </c>
      <c r="C6251" s="5">
        <v>10</v>
      </c>
      <c r="D6251" s="5">
        <v>14</v>
      </c>
      <c r="E6251" s="5">
        <v>18</v>
      </c>
      <c r="F6251" t="s" s="2">
        <v>9209</v>
      </c>
      <c r="G6251" t="s" s="2">
        <v>9293</v>
      </c>
      <c r="H6251" s="5">
        <v>860</v>
      </c>
      <c r="I6251" t="s" s="2">
        <v>449</v>
      </c>
      <c r="J6251" t="s" s="2">
        <v>9204</v>
      </c>
      <c r="K6251" s="6"/>
      <c r="L6251" s="6"/>
      <c r="M6251" s="8">
        <v>553571</v>
      </c>
      <c r="N6251" s="8">
        <v>6366731</v>
      </c>
      <c r="O6251" t="s" s="2">
        <v>305</v>
      </c>
      <c r="P6251" s="6"/>
      <c r="Q6251" t="s" s="2">
        <v>9295</v>
      </c>
      <c r="R6251" t="s" s="2">
        <f>_xlfn.IFERROR(INDEX('model_byCAP'!$D$2:$D$377,MATCH(Q6251,'model_byCAP'!$A$2:$A$377,0)),0)</f>
        <v>8430</v>
      </c>
    </row>
    <row r="6252" ht="15.35" customHeight="1">
      <c r="A6252" t="s" s="2">
        <v>10739</v>
      </c>
      <c r="B6252" s="4">
        <v>42318</v>
      </c>
      <c r="C6252" s="5">
        <v>10</v>
      </c>
      <c r="D6252" s="5">
        <v>14</v>
      </c>
      <c r="E6252" s="5">
        <v>18</v>
      </c>
      <c r="F6252" t="s" s="2">
        <v>9209</v>
      </c>
      <c r="G6252" t="s" s="2">
        <v>9293</v>
      </c>
      <c r="H6252" s="5">
        <v>860</v>
      </c>
      <c r="I6252" t="s" s="2">
        <v>449</v>
      </c>
      <c r="J6252" t="s" s="2">
        <v>9204</v>
      </c>
      <c r="K6252" s="6"/>
      <c r="L6252" s="6"/>
      <c r="M6252" s="8">
        <v>566147</v>
      </c>
      <c r="N6252" s="8">
        <v>6379200</v>
      </c>
      <c r="O6252" t="s" s="2">
        <v>305</v>
      </c>
      <c r="P6252" s="6"/>
      <c r="Q6252" t="s" s="2">
        <v>9295</v>
      </c>
      <c r="R6252" t="s" s="2">
        <f>_xlfn.IFERROR(INDEX('model_byCAP'!$D$2:$D$377,MATCH(Q6252,'model_byCAP'!$A$2:$A$377,0)),0)</f>
        <v>8430</v>
      </c>
    </row>
    <row r="6253" ht="15.35" customHeight="1">
      <c r="A6253" t="s" s="2">
        <v>10740</v>
      </c>
      <c r="B6253" s="4">
        <v>42320</v>
      </c>
      <c r="C6253" s="5">
        <v>10</v>
      </c>
      <c r="D6253" s="5">
        <v>14</v>
      </c>
      <c r="E6253" s="5">
        <v>18</v>
      </c>
      <c r="F6253" t="s" s="2">
        <v>9209</v>
      </c>
      <c r="G6253" t="s" s="2">
        <v>9293</v>
      </c>
      <c r="H6253" s="5">
        <v>860</v>
      </c>
      <c r="I6253" t="s" s="2">
        <v>449</v>
      </c>
      <c r="J6253" t="s" s="2">
        <v>9204</v>
      </c>
      <c r="K6253" s="6"/>
      <c r="L6253" s="6"/>
      <c r="M6253" s="8">
        <v>572671</v>
      </c>
      <c r="N6253" s="8">
        <v>6358385</v>
      </c>
      <c r="O6253" t="s" s="2">
        <v>305</v>
      </c>
      <c r="P6253" s="6"/>
      <c r="Q6253" t="s" s="2">
        <v>9295</v>
      </c>
      <c r="R6253" t="s" s="2">
        <f>_xlfn.IFERROR(INDEX('model_byCAP'!$D$2:$D$377,MATCH(Q6253,'model_byCAP'!$A$2:$A$377,0)),0)</f>
        <v>8430</v>
      </c>
    </row>
    <row r="6254" ht="15.35" customHeight="1">
      <c r="A6254" t="s" s="2">
        <v>10741</v>
      </c>
      <c r="B6254" s="4">
        <v>42612</v>
      </c>
      <c r="C6254" s="5">
        <v>10</v>
      </c>
      <c r="D6254" s="5">
        <v>14</v>
      </c>
      <c r="E6254" s="5">
        <v>18</v>
      </c>
      <c r="F6254" t="s" s="2">
        <v>9209</v>
      </c>
      <c r="G6254" t="s" s="2">
        <v>9293</v>
      </c>
      <c r="H6254" s="5">
        <v>860</v>
      </c>
      <c r="I6254" t="s" s="2">
        <v>449</v>
      </c>
      <c r="J6254" t="s" s="2">
        <v>9204</v>
      </c>
      <c r="K6254" s="6"/>
      <c r="L6254" s="6"/>
      <c r="M6254" s="6"/>
      <c r="N6254" s="6"/>
      <c r="O6254" t="s" s="2">
        <v>25</v>
      </c>
      <c r="P6254" s="6"/>
      <c r="Q6254" t="s" s="2">
        <v>9295</v>
      </c>
      <c r="R6254" t="s" s="2">
        <f>_xlfn.IFERROR(INDEX('model_byCAP'!$D$2:$D$377,MATCH(Q6254,'model_byCAP'!$A$2:$A$377,0)),0)</f>
        <v>8430</v>
      </c>
    </row>
    <row r="6255" ht="15.35" customHeight="1">
      <c r="A6255" t="s" s="2">
        <v>10742</v>
      </c>
      <c r="B6255" s="4">
        <v>42612</v>
      </c>
      <c r="C6255" s="5">
        <v>10</v>
      </c>
      <c r="D6255" s="5">
        <v>14</v>
      </c>
      <c r="E6255" s="5">
        <v>18</v>
      </c>
      <c r="F6255" t="s" s="2">
        <v>9209</v>
      </c>
      <c r="G6255" t="s" s="2">
        <v>9293</v>
      </c>
      <c r="H6255" s="5">
        <v>860</v>
      </c>
      <c r="I6255" t="s" s="2">
        <v>449</v>
      </c>
      <c r="J6255" t="s" s="2">
        <v>9204</v>
      </c>
      <c r="K6255" s="6"/>
      <c r="L6255" s="6"/>
      <c r="M6255" s="6"/>
      <c r="N6255" s="6"/>
      <c r="O6255" t="s" s="2">
        <v>25</v>
      </c>
      <c r="P6255" s="6"/>
      <c r="Q6255" t="s" s="2">
        <v>9295</v>
      </c>
      <c r="R6255" t="s" s="2">
        <f>_xlfn.IFERROR(INDEX('model_byCAP'!$D$2:$D$377,MATCH(Q6255,'model_byCAP'!$A$2:$A$377,0)),0)</f>
        <v>8430</v>
      </c>
    </row>
    <row r="6256" ht="15.35" customHeight="1">
      <c r="A6256" t="s" s="2">
        <v>10743</v>
      </c>
      <c r="B6256" s="4">
        <v>42314</v>
      </c>
      <c r="C6256" s="5">
        <v>10</v>
      </c>
      <c r="D6256" s="5">
        <v>13</v>
      </c>
      <c r="E6256" s="5">
        <v>18</v>
      </c>
      <c r="F6256" t="s" s="2">
        <v>9471</v>
      </c>
      <c r="G6256" t="s" s="2">
        <v>9606</v>
      </c>
      <c r="H6256" s="5">
        <v>860</v>
      </c>
      <c r="I6256" t="s" s="2">
        <v>449</v>
      </c>
      <c r="J6256" t="s" s="2">
        <v>9204</v>
      </c>
      <c r="K6256" s="6"/>
      <c r="L6256" s="6"/>
      <c r="M6256" s="8">
        <v>574772</v>
      </c>
      <c r="N6256" s="8">
        <v>6376260</v>
      </c>
      <c r="O6256" t="s" s="2">
        <v>305</v>
      </c>
      <c r="P6256" s="6"/>
      <c r="Q6256" t="s" s="2">
        <v>9607</v>
      </c>
      <c r="R6256" s="5">
        <f>_xlfn.IFERROR(INDEX('model_byCAP'!$D$2:$D$377,MATCH(Q6256,'model_byCAP'!$A$2:$A$377,0)),0)</f>
        <v>0</v>
      </c>
    </row>
    <row r="6257" ht="15.35" customHeight="1">
      <c r="A6257" t="s" s="2">
        <v>10744</v>
      </c>
      <c r="B6257" s="4">
        <v>42328</v>
      </c>
      <c r="C6257" s="5">
        <v>10</v>
      </c>
      <c r="D6257" s="5">
        <v>7</v>
      </c>
      <c r="E6257" s="5">
        <v>21</v>
      </c>
      <c r="F6257" t="s" s="2">
        <v>42</v>
      </c>
      <c r="G6257" t="s" s="2">
        <v>42</v>
      </c>
      <c r="H6257" s="5">
        <v>860</v>
      </c>
      <c r="I6257" t="s" s="2">
        <v>449</v>
      </c>
      <c r="J6257" t="s" s="2">
        <v>9204</v>
      </c>
      <c r="K6257" s="6"/>
      <c r="L6257" s="6"/>
      <c r="M6257" s="8">
        <v>555460</v>
      </c>
      <c r="N6257" s="8">
        <v>6371385</v>
      </c>
      <c r="O6257" t="s" s="2">
        <v>305</v>
      </c>
      <c r="P6257" s="6"/>
      <c r="Q6257" t="s" s="2">
        <v>43</v>
      </c>
      <c r="R6257" s="5">
        <f>_xlfn.IFERROR(INDEX('model_byCAP'!$D$2:$D$377,MATCH(Q6257,'model_byCAP'!$A$2:$A$377,0)),0)</f>
        <v>0</v>
      </c>
    </row>
    <row r="6258" ht="15.35" customHeight="1">
      <c r="A6258" t="s" s="2">
        <v>10745</v>
      </c>
      <c r="B6258" s="4">
        <v>42338</v>
      </c>
      <c r="C6258" s="5">
        <v>10</v>
      </c>
      <c r="D6258" s="5">
        <v>14</v>
      </c>
      <c r="E6258" s="5">
        <v>18</v>
      </c>
      <c r="F6258" t="s" s="2">
        <v>9209</v>
      </c>
      <c r="G6258" t="s" s="2">
        <v>9293</v>
      </c>
      <c r="H6258" s="5">
        <v>860</v>
      </c>
      <c r="I6258" t="s" s="2">
        <v>449</v>
      </c>
      <c r="J6258" t="s" s="2">
        <v>9204</v>
      </c>
      <c r="K6258" s="6"/>
      <c r="L6258" s="6"/>
      <c r="M6258" s="8">
        <v>559052</v>
      </c>
      <c r="N6258" s="8">
        <v>6364989</v>
      </c>
      <c r="O6258" t="s" s="2">
        <v>305</v>
      </c>
      <c r="P6258" s="6"/>
      <c r="Q6258" t="s" s="2">
        <v>9295</v>
      </c>
      <c r="R6258" t="s" s="2">
        <f>_xlfn.IFERROR(INDEX('model_byCAP'!$D$2:$D$377,MATCH(Q6258,'model_byCAP'!$A$2:$A$377,0)),0)</f>
        <v>8430</v>
      </c>
    </row>
    <row r="6259" ht="15.35" customHeight="1">
      <c r="A6259" t="s" s="2">
        <v>10746</v>
      </c>
      <c r="B6259" s="4">
        <v>42283</v>
      </c>
      <c r="C6259" s="5">
        <v>10</v>
      </c>
      <c r="D6259" s="5">
        <v>13</v>
      </c>
      <c r="E6259" s="5">
        <v>18</v>
      </c>
      <c r="F6259" t="s" s="2">
        <v>9471</v>
      </c>
      <c r="G6259" t="s" s="2">
        <v>9606</v>
      </c>
      <c r="H6259" s="5">
        <v>860</v>
      </c>
      <c r="I6259" t="s" s="2">
        <v>449</v>
      </c>
      <c r="J6259" t="s" s="2">
        <v>9204</v>
      </c>
      <c r="K6259" s="6"/>
      <c r="L6259" s="6"/>
      <c r="M6259" s="8">
        <v>548768</v>
      </c>
      <c r="N6259" s="8">
        <v>6364527</v>
      </c>
      <c r="O6259" t="s" s="2">
        <v>305</v>
      </c>
      <c r="P6259" s="6"/>
      <c r="Q6259" t="s" s="2">
        <v>9607</v>
      </c>
      <c r="R6259" s="5">
        <f>_xlfn.IFERROR(INDEX('model_byCAP'!$D$2:$D$377,MATCH(Q6259,'model_byCAP'!$A$2:$A$377,0)),0)</f>
        <v>0</v>
      </c>
    </row>
    <row r="6260" ht="15.35" customHeight="1">
      <c r="A6260" t="s" s="2">
        <v>10747</v>
      </c>
      <c r="B6260" s="4">
        <v>42339</v>
      </c>
      <c r="C6260" s="5">
        <v>10</v>
      </c>
      <c r="D6260" s="5">
        <v>7</v>
      </c>
      <c r="E6260" s="5">
        <v>21</v>
      </c>
      <c r="F6260" t="s" s="2">
        <v>42</v>
      </c>
      <c r="G6260" t="s" s="2">
        <v>42</v>
      </c>
      <c r="H6260" s="5">
        <v>860</v>
      </c>
      <c r="I6260" t="s" s="2">
        <v>449</v>
      </c>
      <c r="J6260" t="s" s="2">
        <v>9204</v>
      </c>
      <c r="K6260" s="6"/>
      <c r="L6260" s="6"/>
      <c r="M6260" s="8">
        <v>571170</v>
      </c>
      <c r="N6260" s="8">
        <v>6373391</v>
      </c>
      <c r="O6260" t="s" s="2">
        <v>305</v>
      </c>
      <c r="P6260" s="6"/>
      <c r="Q6260" t="s" s="2">
        <v>43</v>
      </c>
      <c r="R6260" s="5">
        <f>_xlfn.IFERROR(INDEX('model_byCAP'!$D$2:$D$377,MATCH(Q6260,'model_byCAP'!$A$2:$A$377,0)),0)</f>
        <v>0</v>
      </c>
    </row>
    <row r="6261" ht="15.35" customHeight="1">
      <c r="A6261" t="s" s="2">
        <v>10748</v>
      </c>
      <c r="B6261" s="4">
        <v>42335</v>
      </c>
      <c r="C6261" s="5">
        <v>10</v>
      </c>
      <c r="D6261" s="5">
        <v>13</v>
      </c>
      <c r="E6261" s="5">
        <v>18</v>
      </c>
      <c r="F6261" t="s" s="2">
        <v>9471</v>
      </c>
      <c r="G6261" t="s" s="2">
        <v>9606</v>
      </c>
      <c r="H6261" s="5">
        <v>860</v>
      </c>
      <c r="I6261" t="s" s="2">
        <v>449</v>
      </c>
      <c r="J6261" t="s" s="2">
        <v>9204</v>
      </c>
      <c r="K6261" s="6"/>
      <c r="L6261" s="6"/>
      <c r="M6261" s="8">
        <v>550991</v>
      </c>
      <c r="N6261" s="8">
        <v>6368016</v>
      </c>
      <c r="O6261" t="s" s="2">
        <v>305</v>
      </c>
      <c r="P6261" s="6"/>
      <c r="Q6261" t="s" s="2">
        <v>9607</v>
      </c>
      <c r="R6261" s="5">
        <f>_xlfn.IFERROR(INDEX('model_byCAP'!$D$2:$D$377,MATCH(Q6261,'model_byCAP'!$A$2:$A$377,0)),0)</f>
        <v>0</v>
      </c>
    </row>
    <row r="6262" ht="15.35" customHeight="1">
      <c r="A6262" t="s" s="2">
        <v>10749</v>
      </c>
      <c r="B6262" s="4">
        <v>42345</v>
      </c>
      <c r="C6262" s="5">
        <v>10</v>
      </c>
      <c r="D6262" s="5">
        <v>14</v>
      </c>
      <c r="E6262" s="5">
        <v>18</v>
      </c>
      <c r="F6262" t="s" s="2">
        <v>9209</v>
      </c>
      <c r="G6262" t="s" s="2">
        <v>9210</v>
      </c>
      <c r="H6262" s="5">
        <v>860</v>
      </c>
      <c r="I6262" t="s" s="2">
        <v>449</v>
      </c>
      <c r="J6262" t="s" s="2">
        <v>9204</v>
      </c>
      <c r="K6262" s="6"/>
      <c r="L6262" s="6"/>
      <c r="M6262" s="8">
        <v>566290</v>
      </c>
      <c r="N6262" s="8">
        <v>6364640</v>
      </c>
      <c r="O6262" t="s" s="2">
        <v>305</v>
      </c>
      <c r="P6262" s="6"/>
      <c r="Q6262" t="s" s="2">
        <v>9211</v>
      </c>
      <c r="R6262" t="s" s="2">
        <f>_xlfn.IFERROR(INDEX('model_byCAP'!$D$2:$D$377,MATCH(Q6262,'model_byCAP'!$A$2:$A$377,0)),0)</f>
        <v>8430</v>
      </c>
    </row>
    <row r="6263" ht="15.35" customHeight="1">
      <c r="A6263" t="s" s="2">
        <v>10750</v>
      </c>
      <c r="B6263" s="4">
        <v>42340</v>
      </c>
      <c r="C6263" s="5">
        <v>10</v>
      </c>
      <c r="D6263" s="5">
        <v>7</v>
      </c>
      <c r="E6263" s="5">
        <v>21</v>
      </c>
      <c r="F6263" t="s" s="2">
        <v>42</v>
      </c>
      <c r="G6263" t="s" s="2">
        <v>42</v>
      </c>
      <c r="H6263" s="5">
        <v>860</v>
      </c>
      <c r="I6263" t="s" s="2">
        <v>449</v>
      </c>
      <c r="J6263" t="s" s="2">
        <v>9204</v>
      </c>
      <c r="K6263" s="6"/>
      <c r="L6263" s="6"/>
      <c r="M6263" s="8">
        <v>550776</v>
      </c>
      <c r="N6263" s="8">
        <v>6370115</v>
      </c>
      <c r="O6263" t="s" s="2">
        <v>305</v>
      </c>
      <c r="P6263" s="6"/>
      <c r="Q6263" t="s" s="2">
        <v>43</v>
      </c>
      <c r="R6263" s="5">
        <f>_xlfn.IFERROR(INDEX('model_byCAP'!$D$2:$D$377,MATCH(Q6263,'model_byCAP'!$A$2:$A$377,0)),0)</f>
        <v>0</v>
      </c>
    </row>
    <row r="6264" ht="15.35" customHeight="1">
      <c r="A6264" t="s" s="2">
        <v>10751</v>
      </c>
      <c r="B6264" s="4">
        <v>42338</v>
      </c>
      <c r="C6264" s="5">
        <v>10</v>
      </c>
      <c r="D6264" s="5">
        <v>13</v>
      </c>
      <c r="E6264" s="5">
        <v>18</v>
      </c>
      <c r="F6264" t="s" s="2">
        <v>9471</v>
      </c>
      <c r="G6264" t="s" s="2">
        <v>9606</v>
      </c>
      <c r="H6264" s="5">
        <v>860</v>
      </c>
      <c r="I6264" t="s" s="2">
        <v>449</v>
      </c>
      <c r="J6264" t="s" s="2">
        <v>9204</v>
      </c>
      <c r="K6264" s="6"/>
      <c r="L6264" s="6"/>
      <c r="M6264" s="8">
        <v>555011</v>
      </c>
      <c r="N6264" s="8">
        <v>6373467</v>
      </c>
      <c r="O6264" t="s" s="2">
        <v>305</v>
      </c>
      <c r="P6264" s="6"/>
      <c r="Q6264" t="s" s="2">
        <v>9607</v>
      </c>
      <c r="R6264" s="5">
        <f>_xlfn.IFERROR(INDEX('model_byCAP'!$D$2:$D$377,MATCH(Q6264,'model_byCAP'!$A$2:$A$377,0)),0)</f>
        <v>0</v>
      </c>
    </row>
    <row r="6265" ht="15.35" customHeight="1">
      <c r="A6265" t="s" s="2">
        <v>10752</v>
      </c>
      <c r="B6265" s="4">
        <v>42332</v>
      </c>
      <c r="C6265" s="5">
        <v>10</v>
      </c>
      <c r="D6265" s="5">
        <v>7</v>
      </c>
      <c r="E6265" s="5">
        <v>21</v>
      </c>
      <c r="F6265" t="s" s="2">
        <v>9599</v>
      </c>
      <c r="G6265" t="s" s="2">
        <v>10753</v>
      </c>
      <c r="H6265" s="5">
        <v>860</v>
      </c>
      <c r="I6265" t="s" s="2">
        <v>449</v>
      </c>
      <c r="J6265" t="s" s="2">
        <v>9204</v>
      </c>
      <c r="K6265" s="6"/>
      <c r="L6265" s="6"/>
      <c r="M6265" s="8">
        <v>579356</v>
      </c>
      <c r="N6265" s="8">
        <v>6361561</v>
      </c>
      <c r="O6265" t="s" s="2">
        <v>305</v>
      </c>
      <c r="P6265" s="6"/>
      <c r="Q6265" t="s" s="2">
        <v>10754</v>
      </c>
      <c r="R6265" s="5">
        <f>_xlfn.IFERROR(INDEX('model_byCAP'!$D$2:$D$377,MATCH(Q6265,'model_byCAP'!$A$2:$A$377,0)),0)</f>
        <v>0</v>
      </c>
    </row>
    <row r="6266" ht="15.35" customHeight="1">
      <c r="A6266" t="s" s="2">
        <v>10755</v>
      </c>
      <c r="B6266" s="4">
        <v>42341</v>
      </c>
      <c r="C6266" s="5">
        <v>10</v>
      </c>
      <c r="D6266" s="5">
        <v>7</v>
      </c>
      <c r="E6266" s="5">
        <v>22</v>
      </c>
      <c r="F6266" t="s" s="2">
        <v>42</v>
      </c>
      <c r="G6266" t="s" s="2">
        <v>42</v>
      </c>
      <c r="H6266" s="5">
        <v>860</v>
      </c>
      <c r="I6266" t="s" s="2">
        <v>449</v>
      </c>
      <c r="J6266" t="s" s="2">
        <v>9204</v>
      </c>
      <c r="K6266" s="6"/>
      <c r="L6266" s="6"/>
      <c r="M6266" s="8">
        <v>574380</v>
      </c>
      <c r="N6266" s="8">
        <v>6360394</v>
      </c>
      <c r="O6266" t="s" s="2">
        <v>305</v>
      </c>
      <c r="P6266" s="6"/>
      <c r="Q6266" t="s" s="2">
        <v>43</v>
      </c>
      <c r="R6266" s="5">
        <f>_xlfn.IFERROR(INDEX('model_byCAP'!$D$2:$D$377,MATCH(Q6266,'model_byCAP'!$A$2:$A$377,0)),0)</f>
        <v>0</v>
      </c>
    </row>
    <row r="6267" ht="15.35" customHeight="1">
      <c r="A6267" t="s" s="2">
        <v>10756</v>
      </c>
      <c r="B6267" s="4">
        <v>42318</v>
      </c>
      <c r="C6267" s="5">
        <v>10</v>
      </c>
      <c r="D6267" s="5">
        <v>14</v>
      </c>
      <c r="E6267" s="5">
        <v>18</v>
      </c>
      <c r="F6267" t="s" s="2">
        <v>9209</v>
      </c>
      <c r="G6267" t="s" s="2">
        <v>9293</v>
      </c>
      <c r="H6267" s="5">
        <v>860</v>
      </c>
      <c r="I6267" t="s" s="2">
        <v>449</v>
      </c>
      <c r="J6267" t="s" s="2">
        <v>9204</v>
      </c>
      <c r="K6267" s="6"/>
      <c r="L6267" s="6"/>
      <c r="M6267" s="8">
        <v>552513</v>
      </c>
      <c r="N6267" s="8">
        <v>6361999</v>
      </c>
      <c r="O6267" t="s" s="2">
        <v>305</v>
      </c>
      <c r="P6267" s="6"/>
      <c r="Q6267" t="s" s="2">
        <v>9295</v>
      </c>
      <c r="R6267" t="s" s="2">
        <f>_xlfn.IFERROR(INDEX('model_byCAP'!$D$2:$D$377,MATCH(Q6267,'model_byCAP'!$A$2:$A$377,0)),0)</f>
        <v>8430</v>
      </c>
    </row>
    <row r="6268" ht="15.35" customHeight="1">
      <c r="A6268" t="s" s="2">
        <v>10757</v>
      </c>
      <c r="B6268" s="4">
        <v>42278</v>
      </c>
      <c r="C6268" s="5">
        <v>10</v>
      </c>
      <c r="D6268" s="5">
        <v>7</v>
      </c>
      <c r="E6268" s="5">
        <v>21</v>
      </c>
      <c r="F6268" t="s" s="2">
        <v>42</v>
      </c>
      <c r="G6268" t="s" s="2">
        <v>42</v>
      </c>
      <c r="H6268" s="5">
        <v>860</v>
      </c>
      <c r="I6268" t="s" s="2">
        <v>449</v>
      </c>
      <c r="J6268" t="s" s="2">
        <v>9204</v>
      </c>
      <c r="K6268" s="6"/>
      <c r="L6268" s="6"/>
      <c r="M6268" s="8">
        <v>559810</v>
      </c>
      <c r="N6268" s="8">
        <v>6361283</v>
      </c>
      <c r="O6268" t="s" s="2">
        <v>305</v>
      </c>
      <c r="P6268" s="6"/>
      <c r="Q6268" t="s" s="2">
        <v>43</v>
      </c>
      <c r="R6268" s="5">
        <f>_xlfn.IFERROR(INDEX('model_byCAP'!$D$2:$D$377,MATCH(Q6268,'model_byCAP'!$A$2:$A$377,0)),0)</f>
        <v>0</v>
      </c>
    </row>
    <row r="6269" ht="15.35" customHeight="1">
      <c r="A6269" t="s" s="2">
        <v>10758</v>
      </c>
      <c r="B6269" s="4">
        <v>42353</v>
      </c>
      <c r="C6269" s="5">
        <v>10</v>
      </c>
      <c r="D6269" s="5">
        <v>8</v>
      </c>
      <c r="E6269" s="5">
        <v>16</v>
      </c>
      <c r="F6269" t="s" s="2">
        <v>9673</v>
      </c>
      <c r="G6269" t="s" s="2">
        <v>9674</v>
      </c>
      <c r="H6269" s="5">
        <v>860</v>
      </c>
      <c r="I6269" t="s" s="2">
        <v>449</v>
      </c>
      <c r="J6269" t="s" s="2">
        <v>9204</v>
      </c>
      <c r="K6269" s="6"/>
      <c r="L6269" s="6"/>
      <c r="M6269" s="6"/>
      <c r="N6269" s="6"/>
      <c r="O6269" t="s" s="2">
        <v>25</v>
      </c>
      <c r="P6269" s="6"/>
      <c r="Q6269" t="s" s="2">
        <v>9675</v>
      </c>
      <c r="R6269" s="5">
        <f>_xlfn.IFERROR(INDEX('model_byCAP'!$D$2:$D$377,MATCH(Q6269,'model_byCAP'!$A$2:$A$377,0)),0)</f>
        <v>0</v>
      </c>
    </row>
    <row r="6270" ht="15.35" customHeight="1">
      <c r="A6270" t="s" s="2">
        <v>10759</v>
      </c>
      <c r="B6270" s="4">
        <v>42353</v>
      </c>
      <c r="C6270" s="5">
        <v>10</v>
      </c>
      <c r="D6270" s="5">
        <v>10</v>
      </c>
      <c r="E6270" s="5">
        <v>16</v>
      </c>
      <c r="F6270" t="s" s="2">
        <v>9673</v>
      </c>
      <c r="G6270" t="s" s="2">
        <v>9674</v>
      </c>
      <c r="H6270" s="5">
        <v>860</v>
      </c>
      <c r="I6270" t="s" s="2">
        <v>449</v>
      </c>
      <c r="J6270" t="s" s="2">
        <v>9204</v>
      </c>
      <c r="K6270" s="6"/>
      <c r="L6270" s="6"/>
      <c r="M6270" s="8">
        <v>564926</v>
      </c>
      <c r="N6270" s="8">
        <v>6362945</v>
      </c>
      <c r="O6270" t="s" s="2">
        <v>305</v>
      </c>
      <c r="P6270" s="6"/>
      <c r="Q6270" t="s" s="2">
        <v>9675</v>
      </c>
      <c r="R6270" s="5">
        <f>_xlfn.IFERROR(INDEX('model_byCAP'!$D$2:$D$377,MATCH(Q6270,'model_byCAP'!$A$2:$A$377,0)),0)</f>
        <v>0</v>
      </c>
    </row>
    <row r="6271" ht="15.35" customHeight="1">
      <c r="A6271" t="s" s="2">
        <v>10760</v>
      </c>
      <c r="B6271" s="4">
        <v>42355</v>
      </c>
      <c r="C6271" s="5">
        <v>10</v>
      </c>
      <c r="D6271" s="5">
        <v>13</v>
      </c>
      <c r="E6271" s="5">
        <v>18</v>
      </c>
      <c r="F6271" t="s" s="2">
        <v>9471</v>
      </c>
      <c r="G6271" t="s" s="2">
        <v>9606</v>
      </c>
      <c r="H6271" s="5">
        <v>860</v>
      </c>
      <c r="I6271" t="s" s="2">
        <v>449</v>
      </c>
      <c r="J6271" t="s" s="2">
        <v>9204</v>
      </c>
      <c r="K6271" s="6"/>
      <c r="L6271" s="6"/>
      <c r="M6271" s="8">
        <v>546125</v>
      </c>
      <c r="N6271" s="8">
        <v>6361661</v>
      </c>
      <c r="O6271" t="s" s="2">
        <v>305</v>
      </c>
      <c r="P6271" s="6"/>
      <c r="Q6271" t="s" s="2">
        <v>9607</v>
      </c>
      <c r="R6271" s="5">
        <f>_xlfn.IFERROR(INDEX('model_byCAP'!$D$2:$D$377,MATCH(Q6271,'model_byCAP'!$A$2:$A$377,0)),0)</f>
        <v>0</v>
      </c>
    </row>
    <row r="6272" ht="15.35" customHeight="1">
      <c r="A6272" t="s" s="2">
        <v>10761</v>
      </c>
      <c r="B6272" s="4">
        <v>42355</v>
      </c>
      <c r="C6272" s="5">
        <v>10</v>
      </c>
      <c r="D6272" s="5">
        <v>13</v>
      </c>
      <c r="E6272" s="5">
        <v>18</v>
      </c>
      <c r="F6272" t="s" s="2">
        <v>9471</v>
      </c>
      <c r="G6272" t="s" s="2">
        <v>9606</v>
      </c>
      <c r="H6272" s="5">
        <v>860</v>
      </c>
      <c r="I6272" t="s" s="2">
        <v>449</v>
      </c>
      <c r="J6272" t="s" s="2">
        <v>9204</v>
      </c>
      <c r="K6272" s="6"/>
      <c r="L6272" s="6"/>
      <c r="M6272" s="8">
        <v>545840</v>
      </c>
      <c r="N6272" s="8">
        <v>6361982</v>
      </c>
      <c r="O6272" t="s" s="2">
        <v>305</v>
      </c>
      <c r="P6272" s="6"/>
      <c r="Q6272" t="s" s="2">
        <v>9607</v>
      </c>
      <c r="R6272" s="5">
        <f>_xlfn.IFERROR(INDEX('model_byCAP'!$D$2:$D$377,MATCH(Q6272,'model_byCAP'!$A$2:$A$377,0)),0)</f>
        <v>0</v>
      </c>
    </row>
    <row r="6273" ht="15.35" customHeight="1">
      <c r="A6273" t="s" s="2">
        <v>10762</v>
      </c>
      <c r="B6273" s="4">
        <v>42359</v>
      </c>
      <c r="C6273" s="5">
        <v>10</v>
      </c>
      <c r="D6273" s="5">
        <v>10</v>
      </c>
      <c r="E6273" s="5">
        <v>16</v>
      </c>
      <c r="F6273" t="s" s="2">
        <v>9673</v>
      </c>
      <c r="G6273" t="s" s="2">
        <v>9674</v>
      </c>
      <c r="H6273" s="5">
        <v>860</v>
      </c>
      <c r="I6273" t="s" s="2">
        <v>449</v>
      </c>
      <c r="J6273" t="s" s="2">
        <v>9204</v>
      </c>
      <c r="K6273" s="6"/>
      <c r="L6273" s="6"/>
      <c r="M6273" s="8">
        <v>562368</v>
      </c>
      <c r="N6273" s="8">
        <v>6368534</v>
      </c>
      <c r="O6273" t="s" s="2">
        <v>305</v>
      </c>
      <c r="P6273" s="6"/>
      <c r="Q6273" t="s" s="2">
        <v>9675</v>
      </c>
      <c r="R6273" s="5">
        <f>_xlfn.IFERROR(INDEX('model_byCAP'!$D$2:$D$377,MATCH(Q6273,'model_byCAP'!$A$2:$A$377,0)),0)</f>
        <v>0</v>
      </c>
    </row>
    <row r="6274" ht="15.35" customHeight="1">
      <c r="A6274" t="s" s="2">
        <v>10763</v>
      </c>
      <c r="B6274" s="4">
        <v>42396</v>
      </c>
      <c r="C6274" s="5">
        <v>10</v>
      </c>
      <c r="D6274" s="5">
        <v>14</v>
      </c>
      <c r="E6274" s="5">
        <v>18</v>
      </c>
      <c r="F6274" t="s" s="2">
        <v>9209</v>
      </c>
      <c r="G6274" t="s" s="2">
        <v>9293</v>
      </c>
      <c r="H6274" s="5">
        <v>860</v>
      </c>
      <c r="I6274" t="s" s="2">
        <v>449</v>
      </c>
      <c r="J6274" t="s" s="2">
        <v>9204</v>
      </c>
      <c r="K6274" s="6"/>
      <c r="L6274" s="6"/>
      <c r="M6274" s="8">
        <v>562509</v>
      </c>
      <c r="N6274" s="8">
        <v>6379047</v>
      </c>
      <c r="O6274" t="s" s="2">
        <v>305</v>
      </c>
      <c r="P6274" s="6"/>
      <c r="Q6274" t="s" s="2">
        <v>9295</v>
      </c>
      <c r="R6274" t="s" s="2">
        <f>_xlfn.IFERROR(INDEX('model_byCAP'!$D$2:$D$377,MATCH(Q6274,'model_byCAP'!$A$2:$A$377,0)),0)</f>
        <v>8430</v>
      </c>
    </row>
    <row r="6275" ht="15.35" customHeight="1">
      <c r="A6275" t="s" s="2">
        <v>10764</v>
      </c>
      <c r="B6275" s="4">
        <v>42473</v>
      </c>
      <c r="C6275" s="5">
        <v>10</v>
      </c>
      <c r="D6275" s="5">
        <v>14</v>
      </c>
      <c r="E6275" s="5">
        <v>18</v>
      </c>
      <c r="F6275" t="s" s="2">
        <v>9209</v>
      </c>
      <c r="G6275" t="s" s="2">
        <v>9293</v>
      </c>
      <c r="H6275" s="5">
        <v>860</v>
      </c>
      <c r="I6275" t="s" s="2">
        <v>449</v>
      </c>
      <c r="J6275" t="s" s="2">
        <v>9204</v>
      </c>
      <c r="K6275" s="6"/>
      <c r="L6275" s="6"/>
      <c r="M6275" s="6"/>
      <c r="N6275" s="6"/>
      <c r="O6275" t="s" s="2">
        <v>25</v>
      </c>
      <c r="P6275" s="6"/>
      <c r="Q6275" t="s" s="2">
        <v>9295</v>
      </c>
      <c r="R6275" t="s" s="2">
        <f>_xlfn.IFERROR(INDEX('model_byCAP'!$D$2:$D$377,MATCH(Q6275,'model_byCAP'!$A$2:$A$377,0)),0)</f>
        <v>8430</v>
      </c>
    </row>
    <row r="6276" ht="15.35" customHeight="1">
      <c r="A6276" t="s" s="2">
        <v>10765</v>
      </c>
      <c r="B6276" s="4">
        <v>42473</v>
      </c>
      <c r="C6276" s="5">
        <v>10</v>
      </c>
      <c r="D6276" s="5">
        <v>14</v>
      </c>
      <c r="E6276" s="5">
        <v>18</v>
      </c>
      <c r="F6276" t="s" s="2">
        <v>9209</v>
      </c>
      <c r="G6276" t="s" s="2">
        <v>9293</v>
      </c>
      <c r="H6276" s="5">
        <v>860</v>
      </c>
      <c r="I6276" t="s" s="2">
        <v>449</v>
      </c>
      <c r="J6276" t="s" s="2">
        <v>9204</v>
      </c>
      <c r="K6276" s="6"/>
      <c r="L6276" s="6"/>
      <c r="M6276" s="6"/>
      <c r="N6276" s="6"/>
      <c r="O6276" t="s" s="2">
        <v>25</v>
      </c>
      <c r="P6276" s="6"/>
      <c r="Q6276" t="s" s="2">
        <v>9295</v>
      </c>
      <c r="R6276" t="s" s="2">
        <f>_xlfn.IFERROR(INDEX('model_byCAP'!$D$2:$D$377,MATCH(Q6276,'model_byCAP'!$A$2:$A$377,0)),0)</f>
        <v>8430</v>
      </c>
    </row>
    <row r="6277" ht="15.35" customHeight="1">
      <c r="A6277" t="s" s="2">
        <v>10766</v>
      </c>
      <c r="B6277" s="4">
        <v>42449</v>
      </c>
      <c r="C6277" s="5">
        <v>10</v>
      </c>
      <c r="D6277" s="5">
        <v>13</v>
      </c>
      <c r="E6277" s="5">
        <v>18</v>
      </c>
      <c r="F6277" t="s" s="2">
        <v>9471</v>
      </c>
      <c r="G6277" t="s" s="2">
        <v>9606</v>
      </c>
      <c r="H6277" s="5">
        <v>860</v>
      </c>
      <c r="I6277" t="s" s="2">
        <v>449</v>
      </c>
      <c r="J6277" t="s" s="2">
        <v>9204</v>
      </c>
      <c r="K6277" s="6"/>
      <c r="L6277" s="6"/>
      <c r="M6277" s="8">
        <v>545287</v>
      </c>
      <c r="N6277" s="8">
        <v>6361645</v>
      </c>
      <c r="O6277" t="s" s="2">
        <v>305</v>
      </c>
      <c r="P6277" s="6"/>
      <c r="Q6277" t="s" s="2">
        <v>9607</v>
      </c>
      <c r="R6277" s="5">
        <f>_xlfn.IFERROR(INDEX('model_byCAP'!$D$2:$D$377,MATCH(Q6277,'model_byCAP'!$A$2:$A$377,0)),0)</f>
        <v>0</v>
      </c>
    </row>
    <row r="6278" ht="15.35" customHeight="1">
      <c r="A6278" t="s" s="2">
        <v>10767</v>
      </c>
      <c r="B6278" s="4">
        <v>42501</v>
      </c>
      <c r="C6278" s="5">
        <v>10</v>
      </c>
      <c r="D6278" s="5">
        <v>14</v>
      </c>
      <c r="E6278" s="5">
        <v>18</v>
      </c>
      <c r="F6278" t="s" s="2">
        <v>9209</v>
      </c>
      <c r="G6278" t="s" s="2">
        <v>9293</v>
      </c>
      <c r="H6278" s="5">
        <v>860</v>
      </c>
      <c r="I6278" t="s" s="2">
        <v>449</v>
      </c>
      <c r="J6278" t="s" s="2">
        <v>9204</v>
      </c>
      <c r="K6278" s="6"/>
      <c r="L6278" s="6"/>
      <c r="M6278" s="6"/>
      <c r="N6278" s="6"/>
      <c r="O6278" t="s" s="2">
        <v>25</v>
      </c>
      <c r="P6278" s="6"/>
      <c r="Q6278" t="s" s="2">
        <v>9295</v>
      </c>
      <c r="R6278" t="s" s="2">
        <f>_xlfn.IFERROR(INDEX('model_byCAP'!$D$2:$D$377,MATCH(Q6278,'model_byCAP'!$A$2:$A$377,0)),0)</f>
        <v>8430</v>
      </c>
    </row>
    <row r="6279" ht="15.35" customHeight="1">
      <c r="A6279" t="s" s="2">
        <v>10768</v>
      </c>
      <c r="B6279" s="4">
        <v>42507</v>
      </c>
      <c r="C6279" s="5">
        <v>10</v>
      </c>
      <c r="D6279" s="5">
        <v>14</v>
      </c>
      <c r="E6279" s="5">
        <v>18</v>
      </c>
      <c r="F6279" t="s" s="2">
        <v>9209</v>
      </c>
      <c r="G6279" t="s" s="2">
        <v>9293</v>
      </c>
      <c r="H6279" s="5">
        <v>860</v>
      </c>
      <c r="I6279" t="s" s="2">
        <v>449</v>
      </c>
      <c r="J6279" t="s" s="2">
        <v>9204</v>
      </c>
      <c r="K6279" s="6"/>
      <c r="L6279" s="6"/>
      <c r="M6279" s="6"/>
      <c r="N6279" s="6"/>
      <c r="O6279" t="s" s="2">
        <v>25</v>
      </c>
      <c r="P6279" s="6"/>
      <c r="Q6279" t="s" s="2">
        <v>9295</v>
      </c>
      <c r="R6279" t="s" s="2">
        <f>_xlfn.IFERROR(INDEX('model_byCAP'!$D$2:$D$377,MATCH(Q6279,'model_byCAP'!$A$2:$A$377,0)),0)</f>
        <v>8430</v>
      </c>
    </row>
    <row r="6280" ht="15.35" customHeight="1">
      <c r="A6280" t="s" s="2">
        <v>10769</v>
      </c>
      <c r="B6280" s="4">
        <v>42503</v>
      </c>
      <c r="C6280" s="5">
        <v>10</v>
      </c>
      <c r="D6280" s="5">
        <v>13</v>
      </c>
      <c r="E6280" s="5">
        <v>18</v>
      </c>
      <c r="F6280" t="s" s="2">
        <v>9471</v>
      </c>
      <c r="G6280" t="s" s="2">
        <v>9606</v>
      </c>
      <c r="H6280" s="5">
        <v>860</v>
      </c>
      <c r="I6280" t="s" s="2">
        <v>449</v>
      </c>
      <c r="J6280" t="s" s="2">
        <v>9204</v>
      </c>
      <c r="K6280" s="6"/>
      <c r="L6280" s="6"/>
      <c r="M6280" s="6"/>
      <c r="N6280" s="6"/>
      <c r="O6280" t="s" s="2">
        <v>25</v>
      </c>
      <c r="P6280" s="6"/>
      <c r="Q6280" t="s" s="2">
        <v>9607</v>
      </c>
      <c r="R6280" s="5">
        <f>_xlfn.IFERROR(INDEX('model_byCAP'!$D$2:$D$377,MATCH(Q6280,'model_byCAP'!$A$2:$A$377,0)),0)</f>
        <v>0</v>
      </c>
    </row>
    <row r="6281" ht="15.35" customHeight="1">
      <c r="A6281" t="s" s="2">
        <v>10770</v>
      </c>
      <c r="B6281" s="4">
        <v>42482</v>
      </c>
      <c r="C6281" s="5">
        <v>10</v>
      </c>
      <c r="D6281" s="5">
        <v>7</v>
      </c>
      <c r="E6281" s="5">
        <v>21</v>
      </c>
      <c r="F6281" t="s" s="2">
        <v>42</v>
      </c>
      <c r="G6281" t="s" s="2">
        <v>42</v>
      </c>
      <c r="H6281" s="5">
        <v>860</v>
      </c>
      <c r="I6281" t="s" s="2">
        <v>449</v>
      </c>
      <c r="J6281" t="s" s="2">
        <v>9204</v>
      </c>
      <c r="K6281" s="6"/>
      <c r="L6281" s="6"/>
      <c r="M6281" s="6"/>
      <c r="N6281" s="6"/>
      <c r="O6281" t="s" s="2">
        <v>25</v>
      </c>
      <c r="P6281" s="6"/>
      <c r="Q6281" t="s" s="2">
        <v>43</v>
      </c>
      <c r="R6281" s="5">
        <f>_xlfn.IFERROR(INDEX('model_byCAP'!$D$2:$D$377,MATCH(Q6281,'model_byCAP'!$A$2:$A$377,0)),0)</f>
        <v>0</v>
      </c>
    </row>
    <row r="6282" ht="15.35" customHeight="1">
      <c r="A6282" t="s" s="2">
        <v>10771</v>
      </c>
      <c r="B6282" s="4">
        <v>42618</v>
      </c>
      <c r="C6282" s="5">
        <v>10</v>
      </c>
      <c r="D6282" s="5">
        <v>14</v>
      </c>
      <c r="E6282" s="5">
        <v>18</v>
      </c>
      <c r="F6282" t="s" s="2">
        <v>9209</v>
      </c>
      <c r="G6282" t="s" s="2">
        <v>9293</v>
      </c>
      <c r="H6282" s="5">
        <v>860</v>
      </c>
      <c r="I6282" t="s" s="2">
        <v>449</v>
      </c>
      <c r="J6282" t="s" s="2">
        <v>9204</v>
      </c>
      <c r="K6282" s="6"/>
      <c r="L6282" s="6"/>
      <c r="M6282" s="6"/>
      <c r="N6282" s="6"/>
      <c r="O6282" t="s" s="2">
        <v>25</v>
      </c>
      <c r="P6282" s="6"/>
      <c r="Q6282" t="s" s="2">
        <v>9295</v>
      </c>
      <c r="R6282" t="s" s="2">
        <f>_xlfn.IFERROR(INDEX('model_byCAP'!$D$2:$D$377,MATCH(Q6282,'model_byCAP'!$A$2:$A$377,0)),0)</f>
        <v>8430</v>
      </c>
    </row>
    <row r="6283" ht="15.35" customHeight="1">
      <c r="A6283" t="s" s="2">
        <v>10772</v>
      </c>
      <c r="B6283" s="4">
        <v>42670</v>
      </c>
      <c r="C6283" s="5">
        <v>10</v>
      </c>
      <c r="D6283" s="5">
        <v>14</v>
      </c>
      <c r="E6283" s="5">
        <v>18</v>
      </c>
      <c r="F6283" t="s" s="2">
        <v>9209</v>
      </c>
      <c r="G6283" t="s" s="2">
        <v>9293</v>
      </c>
      <c r="H6283" s="5">
        <v>860</v>
      </c>
      <c r="I6283" t="s" s="2">
        <v>449</v>
      </c>
      <c r="J6283" t="s" s="2">
        <v>9204</v>
      </c>
      <c r="K6283" s="6"/>
      <c r="L6283" s="6"/>
      <c r="M6283" s="6"/>
      <c r="N6283" s="6"/>
      <c r="O6283" t="s" s="2">
        <v>25</v>
      </c>
      <c r="P6283" s="6"/>
      <c r="Q6283" t="s" s="2">
        <v>9295</v>
      </c>
      <c r="R6283" t="s" s="2">
        <f>_xlfn.IFERROR(INDEX('model_byCAP'!$D$2:$D$377,MATCH(Q6283,'model_byCAP'!$A$2:$A$377,0)),0)</f>
        <v>8430</v>
      </c>
    </row>
    <row r="6284" ht="15.35" customHeight="1">
      <c r="A6284" t="s" s="2">
        <v>10773</v>
      </c>
      <c r="B6284" s="4">
        <v>42765</v>
      </c>
      <c r="C6284" s="5">
        <v>10</v>
      </c>
      <c r="D6284" s="5">
        <v>14</v>
      </c>
      <c r="E6284" s="5">
        <v>18</v>
      </c>
      <c r="F6284" t="s" s="2">
        <v>9209</v>
      </c>
      <c r="G6284" t="s" s="2">
        <v>9293</v>
      </c>
      <c r="H6284" s="5">
        <v>860</v>
      </c>
      <c r="I6284" t="s" s="2">
        <v>449</v>
      </c>
      <c r="J6284" t="s" s="2">
        <v>9204</v>
      </c>
      <c r="K6284" s="6"/>
      <c r="L6284" s="6"/>
      <c r="M6284" s="6"/>
      <c r="N6284" s="6"/>
      <c r="O6284" t="s" s="2">
        <v>25</v>
      </c>
      <c r="P6284" s="6"/>
      <c r="Q6284" t="s" s="2">
        <v>9295</v>
      </c>
      <c r="R6284" t="s" s="2">
        <f>_xlfn.IFERROR(INDEX('model_byCAP'!$D$2:$D$377,MATCH(Q6284,'model_byCAP'!$A$2:$A$377,0)),0)</f>
        <v>8430</v>
      </c>
    </row>
    <row r="6285" ht="15.35" customHeight="1">
      <c r="A6285" t="s" s="2">
        <v>10774</v>
      </c>
      <c r="B6285" s="4">
        <v>42795</v>
      </c>
      <c r="C6285" s="5">
        <v>10</v>
      </c>
      <c r="D6285" s="5">
        <v>14</v>
      </c>
      <c r="E6285" s="5">
        <v>18</v>
      </c>
      <c r="F6285" t="s" s="2">
        <v>9209</v>
      </c>
      <c r="G6285" t="s" s="2">
        <v>9293</v>
      </c>
      <c r="H6285" s="5">
        <v>860</v>
      </c>
      <c r="I6285" t="s" s="2">
        <v>449</v>
      </c>
      <c r="J6285" t="s" s="2">
        <v>9204</v>
      </c>
      <c r="K6285" s="6"/>
      <c r="L6285" s="6"/>
      <c r="M6285" s="6"/>
      <c r="N6285" s="6"/>
      <c r="O6285" t="s" s="2">
        <v>25</v>
      </c>
      <c r="P6285" s="6"/>
      <c r="Q6285" t="s" s="2">
        <v>9295</v>
      </c>
      <c r="R6285" t="s" s="2">
        <f>_xlfn.IFERROR(INDEX('model_byCAP'!$D$2:$D$377,MATCH(Q6285,'model_byCAP'!$A$2:$A$377,0)),0)</f>
        <v>8430</v>
      </c>
    </row>
    <row r="6286" ht="15.35" customHeight="1">
      <c r="A6286" t="s" s="2">
        <v>10775</v>
      </c>
      <c r="B6286" s="4">
        <v>42758</v>
      </c>
      <c r="C6286" s="5">
        <v>10</v>
      </c>
      <c r="D6286" s="5">
        <v>14</v>
      </c>
      <c r="E6286" s="5">
        <v>18</v>
      </c>
      <c r="F6286" t="s" s="2">
        <v>9209</v>
      </c>
      <c r="G6286" t="s" s="2">
        <v>9293</v>
      </c>
      <c r="H6286" s="5">
        <v>860</v>
      </c>
      <c r="I6286" t="s" s="2">
        <v>449</v>
      </c>
      <c r="J6286" t="s" s="2">
        <v>9204</v>
      </c>
      <c r="K6286" s="6"/>
      <c r="L6286" s="6"/>
      <c r="M6286" s="6"/>
      <c r="N6286" s="6"/>
      <c r="O6286" t="s" s="2">
        <v>25</v>
      </c>
      <c r="P6286" s="6"/>
      <c r="Q6286" t="s" s="2">
        <v>9295</v>
      </c>
      <c r="R6286" t="s" s="2">
        <f>_xlfn.IFERROR(INDEX('model_byCAP'!$D$2:$D$377,MATCH(Q6286,'model_byCAP'!$A$2:$A$377,0)),0)</f>
        <v>8430</v>
      </c>
    </row>
    <row r="6287" ht="15.35" customHeight="1">
      <c r="A6287" t="s" s="2">
        <v>10776</v>
      </c>
      <c r="B6287" s="4">
        <v>42886</v>
      </c>
      <c r="C6287" s="5">
        <v>10</v>
      </c>
      <c r="D6287" s="5">
        <v>13</v>
      </c>
      <c r="E6287" s="5">
        <v>18</v>
      </c>
      <c r="F6287" t="s" s="2">
        <v>9471</v>
      </c>
      <c r="G6287" t="s" s="2">
        <v>9606</v>
      </c>
      <c r="H6287" s="5">
        <v>860</v>
      </c>
      <c r="I6287" t="s" s="2">
        <v>449</v>
      </c>
      <c r="J6287" t="s" s="2">
        <v>9204</v>
      </c>
      <c r="K6287" s="6"/>
      <c r="L6287" s="6"/>
      <c r="M6287" s="6"/>
      <c r="N6287" s="6"/>
      <c r="O6287" t="s" s="2">
        <v>25</v>
      </c>
      <c r="P6287" s="6"/>
      <c r="Q6287" t="s" s="2">
        <v>9607</v>
      </c>
      <c r="R6287" s="5">
        <f>_xlfn.IFERROR(INDEX('model_byCAP'!$D$2:$D$377,MATCH(Q6287,'model_byCAP'!$A$2:$A$377,0)),0)</f>
        <v>0</v>
      </c>
    </row>
    <row r="6288" ht="15.35" customHeight="1">
      <c r="A6288" t="s" s="2">
        <v>10777</v>
      </c>
      <c r="B6288" s="4">
        <v>43028</v>
      </c>
      <c r="C6288" s="5">
        <v>10</v>
      </c>
      <c r="D6288" s="5">
        <v>14</v>
      </c>
      <c r="E6288" s="5">
        <v>18</v>
      </c>
      <c r="F6288" t="s" s="2">
        <v>9209</v>
      </c>
      <c r="G6288" t="s" s="2">
        <v>9293</v>
      </c>
      <c r="H6288" s="5">
        <v>860</v>
      </c>
      <c r="I6288" t="s" s="2">
        <v>449</v>
      </c>
      <c r="J6288" t="s" s="2">
        <v>9204</v>
      </c>
      <c r="K6288" s="6"/>
      <c r="L6288" s="6"/>
      <c r="M6288" s="6"/>
      <c r="N6288" s="6"/>
      <c r="O6288" t="s" s="2">
        <v>25</v>
      </c>
      <c r="P6288" s="6"/>
      <c r="Q6288" t="s" s="2">
        <v>9295</v>
      </c>
      <c r="R6288" t="s" s="2">
        <f>_xlfn.IFERROR(INDEX('model_byCAP'!$D$2:$D$377,MATCH(Q6288,'model_byCAP'!$A$2:$A$377,0)),0)</f>
        <v>8430</v>
      </c>
    </row>
    <row r="6289" ht="15.35" customHeight="1">
      <c r="A6289" t="s" s="2">
        <v>10778</v>
      </c>
      <c r="B6289" s="4">
        <v>43049</v>
      </c>
      <c r="C6289" s="5">
        <v>10</v>
      </c>
      <c r="D6289" s="5">
        <v>7.1</v>
      </c>
      <c r="E6289" s="5">
        <v>21.4</v>
      </c>
      <c r="F6289" t="s" s="2">
        <v>42</v>
      </c>
      <c r="G6289" t="s" s="2">
        <v>42</v>
      </c>
      <c r="H6289" s="5">
        <v>860</v>
      </c>
      <c r="I6289" t="s" s="2">
        <v>449</v>
      </c>
      <c r="J6289" t="s" s="2">
        <v>9204</v>
      </c>
      <c r="K6289" s="6"/>
      <c r="L6289" s="6"/>
      <c r="M6289" s="6"/>
      <c r="N6289" s="6"/>
      <c r="O6289" t="s" s="2">
        <v>25</v>
      </c>
      <c r="P6289" s="6"/>
      <c r="Q6289" t="s" s="2">
        <v>43</v>
      </c>
      <c r="R6289" s="5">
        <f>_xlfn.IFERROR(INDEX('model_byCAP'!$D$2:$D$377,MATCH(Q6289,'model_byCAP'!$A$2:$A$377,0)),0)</f>
        <v>0</v>
      </c>
    </row>
    <row r="6290" ht="15.35" customHeight="1">
      <c r="A6290" t="s" s="2">
        <v>10779</v>
      </c>
      <c r="B6290" s="4">
        <v>43088</v>
      </c>
      <c r="C6290" s="5">
        <v>10</v>
      </c>
      <c r="D6290" s="5">
        <v>14</v>
      </c>
      <c r="E6290" s="5">
        <v>18</v>
      </c>
      <c r="F6290" t="s" s="2">
        <v>9209</v>
      </c>
      <c r="G6290" t="s" s="2">
        <v>9293</v>
      </c>
      <c r="H6290" s="5">
        <v>860</v>
      </c>
      <c r="I6290" t="s" s="2">
        <v>449</v>
      </c>
      <c r="J6290" t="s" s="2">
        <v>9204</v>
      </c>
      <c r="K6290" s="6"/>
      <c r="L6290" s="6"/>
      <c r="M6290" s="6"/>
      <c r="N6290" s="6"/>
      <c r="O6290" t="s" s="2">
        <v>25</v>
      </c>
      <c r="P6290" s="6"/>
      <c r="Q6290" t="s" s="2">
        <v>9295</v>
      </c>
      <c r="R6290" t="s" s="2">
        <f>_xlfn.IFERROR(INDEX('model_byCAP'!$D$2:$D$377,MATCH(Q6290,'model_byCAP'!$A$2:$A$377,0)),0)</f>
        <v>8430</v>
      </c>
    </row>
    <row r="6291" ht="15.35" customHeight="1">
      <c r="A6291" t="s" s="2">
        <v>10780</v>
      </c>
      <c r="B6291" s="4">
        <v>42681</v>
      </c>
      <c r="C6291" s="5">
        <v>10</v>
      </c>
      <c r="D6291" s="5">
        <v>7.1</v>
      </c>
      <c r="E6291" s="5">
        <v>21.4</v>
      </c>
      <c r="F6291" t="s" s="2">
        <v>42</v>
      </c>
      <c r="G6291" t="s" s="2">
        <v>42</v>
      </c>
      <c r="H6291" s="5">
        <v>860</v>
      </c>
      <c r="I6291" t="s" s="2">
        <v>449</v>
      </c>
      <c r="J6291" t="s" s="2">
        <v>9204</v>
      </c>
      <c r="K6291" s="6"/>
      <c r="L6291" s="6"/>
      <c r="M6291" s="6"/>
      <c r="N6291" s="6"/>
      <c r="O6291" t="s" s="2">
        <v>25</v>
      </c>
      <c r="P6291" s="6"/>
      <c r="Q6291" t="s" s="2">
        <v>43</v>
      </c>
      <c r="R6291" s="5">
        <f>_xlfn.IFERROR(INDEX('model_byCAP'!$D$2:$D$377,MATCH(Q6291,'model_byCAP'!$A$2:$A$377,0)),0)</f>
        <v>0</v>
      </c>
    </row>
    <row r="6292" ht="15.35" customHeight="1">
      <c r="A6292" t="s" s="2">
        <v>10781</v>
      </c>
      <c r="B6292" s="4">
        <v>42823</v>
      </c>
      <c r="C6292" s="5">
        <v>10</v>
      </c>
      <c r="D6292" s="5">
        <v>14</v>
      </c>
      <c r="E6292" s="5">
        <v>18</v>
      </c>
      <c r="F6292" t="s" s="2">
        <v>9209</v>
      </c>
      <c r="G6292" t="s" s="2">
        <v>9293</v>
      </c>
      <c r="H6292" s="5">
        <v>860</v>
      </c>
      <c r="I6292" t="s" s="2">
        <v>449</v>
      </c>
      <c r="J6292" t="s" s="2">
        <v>9204</v>
      </c>
      <c r="K6292" s="6"/>
      <c r="L6292" s="6"/>
      <c r="M6292" s="6"/>
      <c r="N6292" s="6"/>
      <c r="O6292" t="s" s="2">
        <v>25</v>
      </c>
      <c r="P6292" s="6"/>
      <c r="Q6292" t="s" s="2">
        <v>9295</v>
      </c>
      <c r="R6292" t="s" s="2">
        <f>_xlfn.IFERROR(INDEX('model_byCAP'!$D$2:$D$377,MATCH(Q6292,'model_byCAP'!$A$2:$A$377,0)),0)</f>
        <v>8430</v>
      </c>
    </row>
    <row r="6293" ht="15.35" customHeight="1">
      <c r="A6293" t="s" s="2">
        <v>10782</v>
      </c>
      <c r="B6293" s="4">
        <v>43332</v>
      </c>
      <c r="C6293" s="5">
        <v>10</v>
      </c>
      <c r="D6293" s="5">
        <v>14</v>
      </c>
      <c r="E6293" s="5">
        <v>18</v>
      </c>
      <c r="F6293" t="s" s="2">
        <v>9209</v>
      </c>
      <c r="G6293" t="s" s="2">
        <v>9293</v>
      </c>
      <c r="H6293" s="5">
        <v>860</v>
      </c>
      <c r="I6293" t="s" s="2">
        <v>449</v>
      </c>
      <c r="J6293" t="s" s="2">
        <v>9204</v>
      </c>
      <c r="K6293" s="6"/>
      <c r="L6293" s="6"/>
      <c r="M6293" s="6"/>
      <c r="N6293" s="6"/>
      <c r="O6293" t="s" s="2">
        <v>25</v>
      </c>
      <c r="P6293" s="6"/>
      <c r="Q6293" t="s" s="2">
        <v>9295</v>
      </c>
      <c r="R6293" t="s" s="2">
        <f>_xlfn.IFERROR(INDEX('model_byCAP'!$D$2:$D$377,MATCH(Q6293,'model_byCAP'!$A$2:$A$377,0)),0)</f>
        <v>8430</v>
      </c>
    </row>
    <row r="6294" ht="15.35" customHeight="1">
      <c r="A6294" t="s" s="2">
        <v>10783</v>
      </c>
      <c r="B6294" s="4">
        <v>41813</v>
      </c>
      <c r="C6294" s="5">
        <v>10</v>
      </c>
      <c r="D6294" s="5">
        <v>7.1</v>
      </c>
      <c r="E6294" s="5">
        <v>21</v>
      </c>
      <c r="F6294" t="s" s="2">
        <v>42</v>
      </c>
      <c r="G6294" t="s" s="2">
        <v>42</v>
      </c>
      <c r="H6294" s="5">
        <v>860</v>
      </c>
      <c r="I6294" t="s" s="2">
        <v>449</v>
      </c>
      <c r="J6294" t="s" s="2">
        <v>9204</v>
      </c>
      <c r="K6294" s="6"/>
      <c r="L6294" s="6"/>
      <c r="M6294" s="5">
        <v>562715.03</v>
      </c>
      <c r="N6294" s="5">
        <v>6375774.35</v>
      </c>
      <c r="O6294" t="s" s="2">
        <v>305</v>
      </c>
      <c r="P6294" s="6"/>
      <c r="Q6294" t="s" s="2">
        <v>43</v>
      </c>
      <c r="R6294" s="5">
        <f>_xlfn.IFERROR(INDEX('model_byCAP'!$D$2:$D$377,MATCH(Q6294,'model_byCAP'!$A$2:$A$377,0)),0)</f>
        <v>0</v>
      </c>
    </row>
    <row r="6295" ht="15.35" customHeight="1">
      <c r="A6295" t="s" s="2">
        <v>10784</v>
      </c>
      <c r="B6295" s="4">
        <v>41884</v>
      </c>
      <c r="C6295" s="5">
        <v>10</v>
      </c>
      <c r="D6295" s="5">
        <v>7.1</v>
      </c>
      <c r="E6295" s="5">
        <v>15.5</v>
      </c>
      <c r="F6295" t="s" s="2">
        <v>42</v>
      </c>
      <c r="G6295" t="s" s="2">
        <v>42</v>
      </c>
      <c r="H6295" s="5">
        <v>860</v>
      </c>
      <c r="I6295" t="s" s="2">
        <v>449</v>
      </c>
      <c r="J6295" t="s" s="2">
        <v>9204</v>
      </c>
      <c r="K6295" s="6"/>
      <c r="L6295" s="6"/>
      <c r="M6295" s="5">
        <v>553174.75</v>
      </c>
      <c r="N6295" s="5">
        <v>6367860.53</v>
      </c>
      <c r="O6295" t="s" s="2">
        <v>305</v>
      </c>
      <c r="P6295" s="6"/>
      <c r="Q6295" t="s" s="2">
        <v>43</v>
      </c>
      <c r="R6295" s="5">
        <f>_xlfn.IFERROR(INDEX('model_byCAP'!$D$2:$D$377,MATCH(Q6295,'model_byCAP'!$A$2:$A$377,0)),0)</f>
        <v>0</v>
      </c>
    </row>
    <row r="6296" ht="15.35" customHeight="1">
      <c r="A6296" t="s" s="2">
        <v>10785</v>
      </c>
      <c r="B6296" s="4">
        <v>41949</v>
      </c>
      <c r="C6296" s="5">
        <v>10</v>
      </c>
      <c r="D6296" s="5">
        <v>7</v>
      </c>
      <c r="E6296" s="5">
        <v>21</v>
      </c>
      <c r="F6296" t="s" s="2">
        <v>42</v>
      </c>
      <c r="G6296" t="s" s="2">
        <v>42</v>
      </c>
      <c r="H6296" s="5">
        <v>860</v>
      </c>
      <c r="I6296" t="s" s="2">
        <v>449</v>
      </c>
      <c r="J6296" t="s" s="2">
        <v>9204</v>
      </c>
      <c r="K6296" s="6"/>
      <c r="L6296" s="6"/>
      <c r="M6296" s="5">
        <v>550458.62</v>
      </c>
      <c r="N6296" s="5">
        <v>6367969.5</v>
      </c>
      <c r="O6296" t="s" s="2">
        <v>305</v>
      </c>
      <c r="P6296" s="6"/>
      <c r="Q6296" t="s" s="2">
        <v>43</v>
      </c>
      <c r="R6296" s="5">
        <f>_xlfn.IFERROR(INDEX('model_byCAP'!$D$2:$D$377,MATCH(Q6296,'model_byCAP'!$A$2:$A$377,0)),0)</f>
        <v>0</v>
      </c>
    </row>
    <row r="6297" ht="15.35" customHeight="1">
      <c r="A6297" t="s" s="10">
        <v>10786</v>
      </c>
      <c r="B6297" s="4">
        <v>41976</v>
      </c>
      <c r="C6297" s="5">
        <v>10</v>
      </c>
      <c r="D6297" s="5">
        <v>7</v>
      </c>
      <c r="E6297" s="5">
        <v>21</v>
      </c>
      <c r="F6297" t="s" s="2">
        <v>42</v>
      </c>
      <c r="G6297" t="s" s="2">
        <v>42</v>
      </c>
      <c r="H6297" s="5">
        <v>860</v>
      </c>
      <c r="I6297" t="s" s="2">
        <v>449</v>
      </c>
      <c r="J6297" t="s" s="2">
        <v>9204</v>
      </c>
      <c r="K6297" s="6"/>
      <c r="L6297" s="6"/>
      <c r="M6297" s="6"/>
      <c r="N6297" s="6"/>
      <c r="O6297" t="s" s="2">
        <v>25</v>
      </c>
      <c r="P6297" s="6"/>
      <c r="Q6297" t="s" s="2">
        <v>43</v>
      </c>
      <c r="R6297" s="5">
        <f>_xlfn.IFERROR(INDEX('model_byCAP'!$D$2:$D$377,MATCH(Q6297,'model_byCAP'!$A$2:$A$377,0)),0)</f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77"/>
  <sheetViews>
    <sheetView workbookViewId="0" showGridLines="0" defaultGridColor="1"/>
  </sheetViews>
  <sheetFormatPr defaultColWidth="10.8333" defaultRowHeight="16" customHeight="1" outlineLevelRow="0" outlineLevelCol="0"/>
  <cols>
    <col min="1" max="1" width="35.8516" style="11" customWidth="1"/>
    <col min="2" max="3" width="10.8516" style="11" customWidth="1"/>
    <col min="4" max="4" width="18.5" style="11" customWidth="1"/>
    <col min="5" max="5" width="10.8516" style="11" customWidth="1"/>
    <col min="6" max="16384" width="10.8516" style="11" customWidth="1"/>
  </cols>
  <sheetData>
    <row r="1" ht="15.35" customHeight="1">
      <c r="A1" t="s" s="2">
        <v>16</v>
      </c>
      <c r="B1" t="s" s="2">
        <v>10787</v>
      </c>
      <c r="C1" t="s" s="2">
        <v>10788</v>
      </c>
      <c r="D1" t="s" s="2">
        <v>10789</v>
      </c>
      <c r="E1" t="s" s="2">
        <v>10790</v>
      </c>
    </row>
    <row r="2" ht="15.35" customHeight="1">
      <c r="A2" t="s" s="2">
        <v>51</v>
      </c>
      <c r="B2" s="5">
        <v>611400</v>
      </c>
      <c r="C2" s="5">
        <v>8.690504813287401</v>
      </c>
      <c r="D2" t="s" s="2">
        <v>52</v>
      </c>
      <c r="E2" s="6"/>
    </row>
    <row r="3" ht="15.35" customHeight="1">
      <c r="A3" t="s" s="2">
        <v>1772</v>
      </c>
      <c r="B3" s="5">
        <v>609500</v>
      </c>
      <c r="C3" s="5">
        <v>8.66349801062916</v>
      </c>
      <c r="D3" t="s" s="2">
        <v>1773</v>
      </c>
      <c r="E3" s="6"/>
    </row>
    <row r="4" ht="15.35" customHeight="1">
      <c r="A4" t="s" s="2">
        <v>39</v>
      </c>
      <c r="B4" s="5">
        <v>433000</v>
      </c>
      <c r="C4" s="5">
        <v>6.15470818474557</v>
      </c>
      <c r="D4" t="s" s="2">
        <v>40</v>
      </c>
      <c r="E4" s="6"/>
    </row>
    <row r="5" ht="15.35" customHeight="1">
      <c r="A5" t="s" s="2">
        <v>620</v>
      </c>
      <c r="B5" s="5">
        <v>421200</v>
      </c>
      <c r="C5" s="5">
        <v>5.98698172613126</v>
      </c>
      <c r="D5" t="s" s="2">
        <v>621</v>
      </c>
      <c r="E5" s="6"/>
    </row>
    <row r="6" ht="15.35" customHeight="1">
      <c r="A6" t="s" s="2">
        <v>43</v>
      </c>
      <c r="B6" s="5">
        <v>240944.5</v>
      </c>
      <c r="C6" s="5">
        <v>3.42481082267766</v>
      </c>
      <c r="D6" s="6"/>
      <c r="E6" s="6"/>
    </row>
    <row r="7" ht="15.35" customHeight="1">
      <c r="A7" t="s" s="2">
        <v>466</v>
      </c>
      <c r="B7" s="5">
        <v>234000</v>
      </c>
      <c r="C7" s="5">
        <v>3.32610095896181</v>
      </c>
      <c r="D7" t="s" s="12">
        <v>10791</v>
      </c>
      <c r="E7" t="s" s="2">
        <v>10792</v>
      </c>
    </row>
    <row r="8" ht="15.35" customHeight="1">
      <c r="A8" t="s" s="2">
        <v>512</v>
      </c>
      <c r="B8" s="5">
        <v>234000</v>
      </c>
      <c r="C8" s="5">
        <v>3.32610095896181</v>
      </c>
      <c r="D8" t="s" s="12">
        <v>433</v>
      </c>
      <c r="E8" t="s" s="2">
        <v>10792</v>
      </c>
    </row>
    <row r="9" ht="15.35" customHeight="1">
      <c r="A9" t="s" s="2">
        <v>5272</v>
      </c>
      <c r="B9" s="5">
        <v>211800</v>
      </c>
      <c r="C9" s="5">
        <v>3.0105477910603</v>
      </c>
      <c r="D9" t="s" s="2">
        <v>4861</v>
      </c>
      <c r="E9" s="6"/>
    </row>
    <row r="10" ht="15.35" customHeight="1">
      <c r="A10" t="s" s="2">
        <v>4046</v>
      </c>
      <c r="B10" s="5">
        <v>208350</v>
      </c>
      <c r="C10" s="5">
        <v>2.96150912307561</v>
      </c>
      <c r="D10" t="s" s="2">
        <v>4047</v>
      </c>
      <c r="E10" t="s" s="2">
        <v>10792</v>
      </c>
    </row>
    <row r="11" ht="15.35" customHeight="1">
      <c r="A11" t="s" s="2">
        <v>1994</v>
      </c>
      <c r="B11" s="5">
        <v>202400</v>
      </c>
      <c r="C11" s="5">
        <v>2.87693518843534</v>
      </c>
      <c r="D11" t="s" s="2">
        <v>1995</v>
      </c>
      <c r="E11" s="6"/>
    </row>
    <row r="12" ht="15.35" customHeight="1">
      <c r="A12" t="s" s="2">
        <v>1505</v>
      </c>
      <c r="B12" s="5">
        <v>183000</v>
      </c>
      <c r="C12" s="5">
        <v>2.60118151918808</v>
      </c>
      <c r="D12" t="s" s="2">
        <v>1494</v>
      </c>
      <c r="E12" s="6"/>
    </row>
    <row r="13" ht="15.35" customHeight="1">
      <c r="A13" t="s" s="2">
        <v>1096</v>
      </c>
      <c r="B13" s="5">
        <v>178725</v>
      </c>
      <c r="C13" s="5">
        <v>2.54041621320705</v>
      </c>
      <c r="D13" t="s" s="2">
        <v>1097</v>
      </c>
      <c r="E13" s="6"/>
    </row>
    <row r="14" ht="15.35" customHeight="1">
      <c r="A14" t="s" s="2">
        <v>1066</v>
      </c>
      <c r="B14" s="5">
        <v>170550</v>
      </c>
      <c r="C14" s="5">
        <v>2.42421589124332</v>
      </c>
      <c r="D14" t="s" s="2">
        <v>1067</v>
      </c>
      <c r="E14" s="6"/>
    </row>
    <row r="15" ht="15.35" customHeight="1">
      <c r="A15" t="s" s="2">
        <v>2527</v>
      </c>
      <c r="B15" s="5">
        <v>164000</v>
      </c>
      <c r="C15" s="5">
        <v>2.33111349260571</v>
      </c>
      <c r="D15" t="s" s="2">
        <v>2490</v>
      </c>
      <c r="E15" s="6"/>
    </row>
    <row r="16" ht="15.35" customHeight="1">
      <c r="A16" t="s" s="2">
        <v>1292</v>
      </c>
      <c r="B16" s="5">
        <v>162200</v>
      </c>
      <c r="C16" s="5">
        <v>2.3055281006137</v>
      </c>
      <c r="D16" t="s" s="2">
        <v>1293</v>
      </c>
      <c r="E16" s="6"/>
    </row>
    <row r="17" ht="15.35" customHeight="1">
      <c r="A17" t="s" s="2">
        <v>1141</v>
      </c>
      <c r="B17" s="5">
        <v>145600</v>
      </c>
      <c r="C17" s="5">
        <v>2.06957393002068</v>
      </c>
      <c r="D17" t="s" s="12">
        <v>1293</v>
      </c>
      <c r="E17" t="s" s="2">
        <v>10792</v>
      </c>
    </row>
    <row r="18" ht="15.35" customHeight="1">
      <c r="A18" t="s" s="2">
        <v>1009</v>
      </c>
      <c r="B18" s="5">
        <v>134550</v>
      </c>
      <c r="C18" s="5">
        <v>1.91250805140304</v>
      </c>
      <c r="D18" t="s" s="12">
        <v>10791</v>
      </c>
      <c r="E18" t="s" s="2">
        <v>10792</v>
      </c>
    </row>
    <row r="19" ht="15.35" customHeight="1">
      <c r="A19" t="s" s="2">
        <v>5701</v>
      </c>
      <c r="B19" s="5">
        <v>129720</v>
      </c>
      <c r="C19" s="5">
        <v>1.84385391622447</v>
      </c>
      <c r="D19" t="s" s="2">
        <v>5702</v>
      </c>
      <c r="E19" s="6"/>
    </row>
    <row r="20" ht="15.35" customHeight="1">
      <c r="A20" t="s" s="2">
        <v>4154</v>
      </c>
      <c r="B20" s="5">
        <v>110250</v>
      </c>
      <c r="C20" s="5">
        <v>1.56710525951085</v>
      </c>
      <c r="D20" t="s" s="2">
        <v>4047</v>
      </c>
      <c r="E20" s="6"/>
    </row>
    <row r="21" ht="15.35" customHeight="1">
      <c r="A21" t="s" s="2">
        <v>3177</v>
      </c>
      <c r="B21" s="5">
        <v>108000</v>
      </c>
      <c r="C21" s="5">
        <v>1.53512351952083</v>
      </c>
      <c r="D21" t="s" s="12">
        <v>3271</v>
      </c>
      <c r="E21" t="s" s="2">
        <v>10792</v>
      </c>
    </row>
    <row r="22" ht="15.35" customHeight="1">
      <c r="A22" t="s" s="2">
        <v>3446</v>
      </c>
      <c r="B22" s="5">
        <v>89100</v>
      </c>
      <c r="C22" s="5">
        <v>1.26647690360469</v>
      </c>
      <c r="D22" t="s" s="2">
        <v>3447</v>
      </c>
      <c r="E22" t="s" s="2">
        <v>10792</v>
      </c>
    </row>
    <row r="23" ht="15.35" customHeight="1">
      <c r="A23" t="s" s="2">
        <v>391</v>
      </c>
      <c r="B23" s="5">
        <v>77400</v>
      </c>
      <c r="C23" s="5">
        <v>1.10017185565659</v>
      </c>
      <c r="D23" t="s" s="2">
        <v>392</v>
      </c>
      <c r="E23" s="6"/>
    </row>
    <row r="24" ht="15.35" customHeight="1">
      <c r="A24" t="s" s="2">
        <v>3790</v>
      </c>
      <c r="B24" s="5">
        <v>68000</v>
      </c>
      <c r="C24" s="5">
        <v>0.966559253031638</v>
      </c>
      <c r="D24" t="s" s="2">
        <v>3738</v>
      </c>
      <c r="E24" s="6"/>
    </row>
    <row r="25" ht="15.35" customHeight="1">
      <c r="A25" t="s" s="2">
        <v>606</v>
      </c>
      <c r="B25" s="5">
        <v>57000</v>
      </c>
      <c r="C25" s="5">
        <v>0.810204079747108</v>
      </c>
      <c r="D25" t="s" s="12">
        <v>433</v>
      </c>
      <c r="E25" t="s" s="2">
        <v>10792</v>
      </c>
    </row>
    <row r="26" ht="15.35" customHeight="1">
      <c r="A26" t="s" s="2">
        <v>3023</v>
      </c>
      <c r="B26" s="5">
        <v>54600</v>
      </c>
      <c r="C26" s="5">
        <v>0.776090223757756</v>
      </c>
      <c r="D26" t="s" s="2">
        <v>3024</v>
      </c>
      <c r="E26" s="6"/>
    </row>
    <row r="27" ht="15.35" customHeight="1">
      <c r="A27" t="s" s="2">
        <v>2766</v>
      </c>
      <c r="B27" s="5">
        <v>54000</v>
      </c>
      <c r="C27" s="5">
        <v>0.767561759760418</v>
      </c>
      <c r="D27" t="s" s="12">
        <v>1995</v>
      </c>
      <c r="E27" t="s" s="2">
        <v>10792</v>
      </c>
    </row>
    <row r="28" ht="15.35" customHeight="1">
      <c r="A28" t="s" s="2">
        <v>2401</v>
      </c>
      <c r="B28" s="5">
        <v>52200</v>
      </c>
      <c r="C28" s="5">
        <v>0.741976367768404</v>
      </c>
      <c r="D28" t="s" s="2">
        <v>2402</v>
      </c>
      <c r="E28" s="6"/>
    </row>
    <row r="29" ht="15.35" customHeight="1">
      <c r="A29" t="s" s="2">
        <v>1493</v>
      </c>
      <c r="B29" s="5">
        <v>51000</v>
      </c>
      <c r="C29" s="5">
        <v>0.724919439773728</v>
      </c>
      <c r="D29" t="s" s="2">
        <v>1494</v>
      </c>
      <c r="E29" s="6"/>
    </row>
    <row r="30" ht="15.35" customHeight="1">
      <c r="A30" t="s" s="2">
        <v>2489</v>
      </c>
      <c r="B30" s="5">
        <v>46000</v>
      </c>
      <c r="C30" s="5">
        <v>0.653848906462578</v>
      </c>
      <c r="D30" t="s" s="2">
        <v>2490</v>
      </c>
      <c r="E30" s="6"/>
    </row>
    <row r="31" ht="15.35" customHeight="1">
      <c r="A31" t="s" s="2">
        <v>4053</v>
      </c>
      <c r="B31" s="5">
        <v>45000</v>
      </c>
      <c r="C31" s="5">
        <v>0.639634799800348</v>
      </c>
      <c r="D31" t="s" s="12">
        <v>4076</v>
      </c>
      <c r="E31" t="s" s="2">
        <v>10792</v>
      </c>
    </row>
    <row r="32" ht="15.35" customHeight="1">
      <c r="A32" t="s" s="2">
        <v>1277</v>
      </c>
      <c r="B32" s="5">
        <v>41600</v>
      </c>
      <c r="C32" s="5">
        <v>0.591306837148766</v>
      </c>
      <c r="D32" t="s" s="12">
        <v>1293</v>
      </c>
      <c r="E32" t="s" s="2">
        <v>10792</v>
      </c>
    </row>
    <row r="33" ht="15.35" customHeight="1">
      <c r="A33" t="s" s="2">
        <v>4860</v>
      </c>
      <c r="B33" s="5">
        <v>40950</v>
      </c>
      <c r="C33" s="5">
        <v>0.582067667818317</v>
      </c>
      <c r="D33" t="s" s="2">
        <v>4861</v>
      </c>
      <c r="E33" s="6"/>
    </row>
    <row r="34" ht="15.35" customHeight="1">
      <c r="A34" t="s" s="2">
        <v>3938</v>
      </c>
      <c r="B34" s="5">
        <v>40000</v>
      </c>
      <c r="C34" s="5">
        <v>0.568564266489198</v>
      </c>
      <c r="D34" t="s" s="2">
        <v>3939</v>
      </c>
      <c r="E34" s="6"/>
    </row>
    <row r="35" ht="15.35" customHeight="1">
      <c r="A35" t="s" s="2">
        <v>2502</v>
      </c>
      <c r="B35" s="5">
        <v>40000</v>
      </c>
      <c r="C35" s="5">
        <v>0.568564266489198</v>
      </c>
      <c r="D35" t="s" s="2">
        <v>2490</v>
      </c>
      <c r="E35" s="6"/>
    </row>
    <row r="36" ht="15.35" customHeight="1">
      <c r="A36" t="s" s="2">
        <v>2740</v>
      </c>
      <c r="B36" s="5">
        <v>40000</v>
      </c>
      <c r="C36" s="5">
        <v>0.568564266489198</v>
      </c>
      <c r="D36" t="s" s="2">
        <v>2741</v>
      </c>
      <c r="E36" s="6"/>
    </row>
    <row r="37" ht="15.35" customHeight="1">
      <c r="A37" t="s" s="2">
        <v>2863</v>
      </c>
      <c r="B37" s="5">
        <v>38500</v>
      </c>
      <c r="C37" s="5">
        <v>0.5472431064958529</v>
      </c>
      <c r="D37" t="s" s="2">
        <v>2864</v>
      </c>
      <c r="E37" s="6"/>
    </row>
    <row r="38" ht="15.35" customHeight="1">
      <c r="A38" t="s" s="2">
        <v>432</v>
      </c>
      <c r="B38" s="5">
        <v>37800</v>
      </c>
      <c r="C38" s="5">
        <v>0.5372932318322921</v>
      </c>
      <c r="D38" t="s" s="2">
        <v>433</v>
      </c>
      <c r="E38" s="6"/>
    </row>
    <row r="39" ht="15.35" customHeight="1">
      <c r="A39" t="s" s="2">
        <v>2940</v>
      </c>
      <c r="B39" s="5">
        <v>36000</v>
      </c>
      <c r="C39" s="5">
        <v>0.511707839840279</v>
      </c>
      <c r="D39" t="s" s="2">
        <v>2941</v>
      </c>
      <c r="E39" s="6"/>
    </row>
    <row r="40" ht="15.35" customHeight="1">
      <c r="A40" t="s" s="2">
        <v>334</v>
      </c>
      <c r="B40" s="5">
        <v>36000</v>
      </c>
      <c r="C40" s="5">
        <v>0.511707839840279</v>
      </c>
      <c r="D40" t="s" s="12">
        <v>10793</v>
      </c>
      <c r="E40" t="s" s="2">
        <v>10792</v>
      </c>
    </row>
    <row r="41" ht="15.35" customHeight="1">
      <c r="A41" t="s" s="2">
        <v>7471</v>
      </c>
      <c r="B41" s="5">
        <v>31500</v>
      </c>
      <c r="C41" s="5">
        <v>0.447744359860244</v>
      </c>
      <c r="D41" t="s" s="2">
        <v>7472</v>
      </c>
      <c r="E41" s="6"/>
    </row>
    <row r="42" ht="15.35" customHeight="1">
      <c r="A42" t="s" s="2">
        <v>6030</v>
      </c>
      <c r="B42" s="5">
        <v>30000</v>
      </c>
      <c r="C42" s="5">
        <v>0.426423199866899</v>
      </c>
      <c r="D42" t="s" s="12">
        <v>10794</v>
      </c>
      <c r="E42" t="s" s="2">
        <v>10792</v>
      </c>
    </row>
    <row r="43" ht="15.35" customHeight="1">
      <c r="A43" t="s" s="2">
        <v>2516</v>
      </c>
      <c r="B43" s="5">
        <v>30000</v>
      </c>
      <c r="C43" s="5">
        <v>0.426423199866899</v>
      </c>
      <c r="D43" t="s" s="2">
        <v>2490</v>
      </c>
      <c r="E43" s="6"/>
    </row>
    <row r="44" ht="15.35" customHeight="1">
      <c r="A44" t="s" s="2">
        <v>590</v>
      </c>
      <c r="B44" s="5">
        <v>28800</v>
      </c>
      <c r="C44" s="5">
        <v>0.409366271872223</v>
      </c>
      <c r="D44" t="s" s="2">
        <v>566</v>
      </c>
      <c r="E44" s="6"/>
    </row>
    <row r="45" ht="15.35" customHeight="1">
      <c r="A45" t="s" s="2">
        <v>318</v>
      </c>
      <c r="B45" s="5">
        <v>28000</v>
      </c>
      <c r="C45" s="5">
        <v>0.397994986542439</v>
      </c>
      <c r="D45" t="s" s="2">
        <v>319</v>
      </c>
      <c r="E45" s="6"/>
    </row>
    <row r="46" ht="15.35" customHeight="1">
      <c r="A46" t="s" s="2">
        <v>4137</v>
      </c>
      <c r="B46" s="5">
        <v>27000</v>
      </c>
      <c r="C46" s="5">
        <v>0.383780879880209</v>
      </c>
      <c r="D46" t="s" s="12">
        <v>4047</v>
      </c>
      <c r="E46" t="s" s="2">
        <v>10792</v>
      </c>
    </row>
    <row r="47" ht="15.35" customHeight="1">
      <c r="A47" t="s" s="2">
        <v>6288</v>
      </c>
      <c r="B47" s="5">
        <v>26400</v>
      </c>
      <c r="C47" s="5">
        <v>0.375252415882871</v>
      </c>
      <c r="D47" t="s" s="12">
        <v>4076</v>
      </c>
      <c r="E47" t="s" s="2">
        <v>10792</v>
      </c>
    </row>
    <row r="48" ht="15.35" customHeight="1">
      <c r="A48" t="s" s="2">
        <v>3046</v>
      </c>
      <c r="B48" s="5">
        <v>24700</v>
      </c>
      <c r="C48" s="5">
        <v>0.35108843455708</v>
      </c>
      <c r="D48" t="s" s="2">
        <v>3047</v>
      </c>
      <c r="E48" s="6"/>
    </row>
    <row r="49" ht="15.35" customHeight="1">
      <c r="A49" t="s" s="2">
        <v>5964</v>
      </c>
      <c r="B49" s="5">
        <v>24000</v>
      </c>
      <c r="C49" s="5">
        <v>0.341138559893519</v>
      </c>
      <c r="D49" t="s" s="2">
        <v>5955</v>
      </c>
      <c r="E49" s="6"/>
    </row>
    <row r="50" ht="15.35" customHeight="1">
      <c r="A50" t="s" s="2">
        <v>6087</v>
      </c>
      <c r="B50" s="5">
        <v>24000</v>
      </c>
      <c r="C50" s="5">
        <v>0.341138559893519</v>
      </c>
      <c r="D50" t="s" s="2">
        <v>5955</v>
      </c>
      <c r="E50" s="6"/>
    </row>
    <row r="51" ht="15.35" customHeight="1">
      <c r="A51" t="s" s="2">
        <v>1156</v>
      </c>
      <c r="B51" s="5">
        <v>23100</v>
      </c>
      <c r="C51" s="5">
        <v>0.328345863897512</v>
      </c>
      <c r="D51" t="s" s="12">
        <v>10791</v>
      </c>
      <c r="E51" t="s" s="2">
        <v>10792</v>
      </c>
    </row>
    <row r="52" ht="15.35" customHeight="1">
      <c r="A52" t="s" s="2">
        <v>4171</v>
      </c>
      <c r="B52" s="5">
        <v>22500</v>
      </c>
      <c r="C52" s="5">
        <v>0.319817399900174</v>
      </c>
      <c r="D52" t="s" s="12">
        <v>4047</v>
      </c>
      <c r="E52" t="s" s="2">
        <v>10792</v>
      </c>
    </row>
    <row r="53" ht="15.35" customHeight="1">
      <c r="A53" t="s" s="2">
        <v>1111</v>
      </c>
      <c r="B53" s="5">
        <v>20550</v>
      </c>
      <c r="C53" s="5">
        <v>0.292099891908825</v>
      </c>
      <c r="D53" t="s" s="12">
        <v>1067</v>
      </c>
      <c r="E53" t="s" s="2">
        <v>10792</v>
      </c>
    </row>
    <row r="54" ht="15.35" customHeight="1">
      <c r="A54" t="s" s="2">
        <v>6102</v>
      </c>
      <c r="B54" s="5">
        <v>20400</v>
      </c>
      <c r="C54" s="5">
        <v>0.289967775909491</v>
      </c>
      <c r="D54" t="s" s="2">
        <v>6103</v>
      </c>
      <c r="E54" s="6"/>
    </row>
    <row r="55" ht="15.35" customHeight="1">
      <c r="A55" t="s" s="2">
        <v>1189</v>
      </c>
      <c r="B55" s="5">
        <v>19800</v>
      </c>
      <c r="C55" s="5">
        <v>0.281439311912153</v>
      </c>
      <c r="D55" t="s" s="2">
        <v>1067</v>
      </c>
      <c r="E55" s="6"/>
    </row>
    <row r="56" ht="15.35" customHeight="1">
      <c r="A56" t="s" s="2">
        <v>4304</v>
      </c>
      <c r="B56" s="5">
        <v>19350</v>
      </c>
      <c r="C56" s="5">
        <v>0.275042963914149</v>
      </c>
      <c r="D56" t="s" s="12">
        <v>4076</v>
      </c>
      <c r="E56" t="s" s="2">
        <v>10792</v>
      </c>
    </row>
    <row r="57" ht="15.35" customHeight="1">
      <c r="A57" t="s" s="2">
        <v>26</v>
      </c>
      <c r="B57" s="5">
        <v>18300</v>
      </c>
      <c r="C57" s="5">
        <v>0.260118151918808</v>
      </c>
      <c r="D57" t="s" s="12">
        <v>1293</v>
      </c>
      <c r="E57" t="s" s="2">
        <v>10792</v>
      </c>
    </row>
    <row r="58" ht="15.35" customHeight="1">
      <c r="A58" t="s" s="2">
        <v>2915</v>
      </c>
      <c r="B58" s="5">
        <v>18150</v>
      </c>
      <c r="C58" s="5">
        <v>0.257986035919474</v>
      </c>
      <c r="D58" t="s" s="2">
        <v>2905</v>
      </c>
      <c r="E58" s="6"/>
    </row>
    <row r="59" ht="15.35" customHeight="1">
      <c r="A59" t="s" s="2">
        <v>3535</v>
      </c>
      <c r="B59" s="5">
        <v>18000</v>
      </c>
      <c r="C59" s="5">
        <v>0.255853919920139</v>
      </c>
      <c r="D59" t="s" s="2">
        <v>3447</v>
      </c>
      <c r="E59" t="s" s="2">
        <v>10792</v>
      </c>
    </row>
    <row r="60" ht="15.35" customHeight="1">
      <c r="A60" t="s" s="2">
        <v>2443</v>
      </c>
      <c r="B60" s="5">
        <v>17600</v>
      </c>
      <c r="C60" s="5">
        <v>0.250168277255247</v>
      </c>
      <c r="D60" t="s" s="12">
        <v>2402</v>
      </c>
      <c r="E60" t="s" s="2">
        <v>10792</v>
      </c>
    </row>
    <row r="61" ht="15.35" customHeight="1">
      <c r="A61" t="s" s="2">
        <v>8081</v>
      </c>
      <c r="B61" s="5">
        <v>17400</v>
      </c>
      <c r="C61" s="5">
        <v>0.247325455922801</v>
      </c>
      <c r="D61" t="s" s="2">
        <v>8082</v>
      </c>
      <c r="E61" s="6"/>
    </row>
    <row r="62" ht="15.35" customHeight="1">
      <c r="A62" t="s" s="2">
        <v>306</v>
      </c>
      <c r="B62" s="5">
        <v>16000</v>
      </c>
      <c r="C62" s="5">
        <v>0.227425706595679</v>
      </c>
      <c r="D62" t="s" s="2">
        <v>307</v>
      </c>
      <c r="E62" s="6"/>
    </row>
    <row r="63" ht="15.35" customHeight="1">
      <c r="A63" t="s" s="2">
        <v>1511</v>
      </c>
      <c r="B63" s="5">
        <v>15000</v>
      </c>
      <c r="C63" s="5">
        <v>0.213211599933449</v>
      </c>
      <c r="D63" t="s" s="2">
        <v>1293</v>
      </c>
      <c r="E63" s="6"/>
    </row>
    <row r="64" ht="15.35" customHeight="1">
      <c r="A64" t="s" s="2">
        <v>7023</v>
      </c>
      <c r="B64" s="5">
        <v>15000</v>
      </c>
      <c r="C64" s="5">
        <v>0.213211599933449</v>
      </c>
      <c r="D64" t="s" s="2">
        <v>6270</v>
      </c>
      <c r="E64" s="6"/>
    </row>
    <row r="65" ht="15.35" customHeight="1">
      <c r="A65" t="s" s="2">
        <v>2954</v>
      </c>
      <c r="B65" s="5">
        <v>13500</v>
      </c>
      <c r="C65" s="5">
        <v>0.191890439940104</v>
      </c>
      <c r="D65" t="s" s="12">
        <v>4076</v>
      </c>
      <c r="E65" t="s" s="2">
        <v>10792</v>
      </c>
    </row>
    <row r="66" ht="15.35" customHeight="1">
      <c r="A66" t="s" s="2">
        <v>6435</v>
      </c>
      <c r="B66" s="5">
        <v>13200</v>
      </c>
      <c r="C66" s="5">
        <v>0.187626207941435</v>
      </c>
      <c r="D66" t="s" s="2">
        <v>6352</v>
      </c>
      <c r="E66" s="6"/>
    </row>
    <row r="67" ht="15.35" customHeight="1">
      <c r="A67" t="s" s="2">
        <v>8073</v>
      </c>
      <c r="B67" s="5">
        <v>12625</v>
      </c>
      <c r="C67" s="5">
        <v>0.179453096610653</v>
      </c>
      <c r="D67" t="s" s="2">
        <v>8074</v>
      </c>
      <c r="E67" s="6"/>
    </row>
    <row r="68" ht="15.35" customHeight="1">
      <c r="A68" t="s" s="2">
        <v>6062</v>
      </c>
      <c r="B68" s="5">
        <v>12000</v>
      </c>
      <c r="C68" s="5">
        <v>0.170569279946759</v>
      </c>
      <c r="D68" t="s" s="12">
        <v>4076</v>
      </c>
      <c r="E68" t="s" s="2">
        <v>10792</v>
      </c>
    </row>
    <row r="69" ht="15.35" customHeight="1">
      <c r="A69" t="s" s="2">
        <v>3230</v>
      </c>
      <c r="B69" s="5">
        <v>12000</v>
      </c>
      <c r="C69" s="5">
        <v>0.170569279946759</v>
      </c>
      <c r="D69" t="s" s="2">
        <v>3231</v>
      </c>
      <c r="E69" s="6"/>
    </row>
    <row r="70" ht="15.35" customHeight="1">
      <c r="A70" t="s" s="2">
        <v>2467</v>
      </c>
      <c r="B70" s="5">
        <v>12000</v>
      </c>
      <c r="C70" s="5">
        <v>0.170569279946759</v>
      </c>
      <c r="D70" t="s" s="12">
        <v>2941</v>
      </c>
      <c r="E70" t="s" s="2">
        <v>10792</v>
      </c>
    </row>
    <row r="71" ht="15.35" customHeight="1">
      <c r="A71" t="s" s="2">
        <v>7478</v>
      </c>
      <c r="B71" s="5">
        <v>12000</v>
      </c>
      <c r="C71" s="5">
        <v>0.170569279946759</v>
      </c>
      <c r="D71" t="s" s="2">
        <v>7472</v>
      </c>
      <c r="E71" s="6"/>
    </row>
    <row r="72" ht="15.35" customHeight="1">
      <c r="A72" t="s" s="2">
        <v>6025</v>
      </c>
      <c r="B72" s="5">
        <v>11400</v>
      </c>
      <c r="C72" s="5">
        <v>0.162040815949421</v>
      </c>
      <c r="D72" t="s" s="12">
        <v>4076</v>
      </c>
      <c r="E72" t="s" s="2">
        <v>10792</v>
      </c>
    </row>
    <row r="73" ht="15.35" customHeight="1">
      <c r="A73" t="s" s="2">
        <v>3270</v>
      </c>
      <c r="B73" s="5">
        <v>11000</v>
      </c>
      <c r="C73" s="5">
        <v>0.156355173284529</v>
      </c>
      <c r="D73" t="s" s="2">
        <v>3271</v>
      </c>
      <c r="E73" s="6"/>
    </row>
    <row r="74" ht="15.35" customHeight="1">
      <c r="A74" t="s" s="2">
        <v>3342</v>
      </c>
      <c r="B74" s="5">
        <v>11000</v>
      </c>
      <c r="C74" s="5">
        <v>0.156355173284529</v>
      </c>
      <c r="D74" t="s" s="2">
        <v>3271</v>
      </c>
      <c r="E74" s="6"/>
    </row>
    <row r="75" ht="15.35" customHeight="1">
      <c r="A75" t="s" s="2">
        <v>1750</v>
      </c>
      <c r="B75" s="5">
        <v>11000</v>
      </c>
      <c r="C75" s="5">
        <v>0.156355173284529</v>
      </c>
      <c r="D75" t="s" s="2">
        <v>1751</v>
      </c>
      <c r="E75" s="6"/>
    </row>
    <row r="76" ht="15.35" customHeight="1">
      <c r="A76" t="s" s="2">
        <v>565</v>
      </c>
      <c r="B76" s="5">
        <v>10800</v>
      </c>
      <c r="C76" s="5">
        <v>0.153512351952083</v>
      </c>
      <c r="D76" t="s" s="2">
        <v>566</v>
      </c>
      <c r="E76" s="6"/>
    </row>
    <row r="77" ht="15.35" customHeight="1">
      <c r="A77" t="s" s="2">
        <v>33</v>
      </c>
      <c r="B77" s="5">
        <v>10000</v>
      </c>
      <c r="C77" s="5">
        <v>0.142141066622299</v>
      </c>
      <c r="D77" t="s" s="2">
        <v>34</v>
      </c>
      <c r="E77" s="6"/>
    </row>
    <row r="78" ht="15.35" customHeight="1">
      <c r="A78" t="s" s="2">
        <v>1389</v>
      </c>
      <c r="B78" s="5">
        <v>9225</v>
      </c>
      <c r="C78" s="5">
        <v>0.131125133959071</v>
      </c>
      <c r="D78" t="s" s="2">
        <v>1097</v>
      </c>
      <c r="E78" s="6"/>
    </row>
    <row r="79" ht="15.35" customHeight="1">
      <c r="A79" t="s" s="2">
        <v>7762</v>
      </c>
      <c r="B79" s="5">
        <v>9200</v>
      </c>
      <c r="C79" s="5">
        <v>0.130769781292515</v>
      </c>
      <c r="D79" t="s" s="12">
        <v>4047</v>
      </c>
      <c r="E79" t="s" s="2">
        <v>10792</v>
      </c>
    </row>
    <row r="80" ht="15.35" customHeight="1">
      <c r="A80" t="s" s="2">
        <v>3487</v>
      </c>
      <c r="B80" s="5">
        <v>9000</v>
      </c>
      <c r="C80" s="5">
        <v>0.127926959960069</v>
      </c>
      <c r="D80" t="s" s="2">
        <v>3447</v>
      </c>
      <c r="E80" t="s" s="2">
        <v>10792</v>
      </c>
    </row>
    <row r="81" ht="15.35" customHeight="1">
      <c r="A81" t="s" s="2">
        <v>1558</v>
      </c>
      <c r="B81" s="5">
        <v>9000</v>
      </c>
      <c r="C81" s="5">
        <v>0.127926959960069</v>
      </c>
      <c r="D81" t="s" s="2">
        <v>1097</v>
      </c>
      <c r="E81" s="6"/>
    </row>
    <row r="82" ht="15.35" customHeight="1">
      <c r="A82" t="s" s="2">
        <v>3005</v>
      </c>
      <c r="B82" s="5">
        <v>9000</v>
      </c>
      <c r="C82" s="5">
        <v>0.127926959960069</v>
      </c>
      <c r="D82" t="s" s="12">
        <v>2905</v>
      </c>
      <c r="E82" t="s" s="2">
        <v>10792</v>
      </c>
    </row>
    <row r="83" ht="15.35" customHeight="1">
      <c r="A83" t="s" s="2">
        <v>4543</v>
      </c>
      <c r="B83" s="5">
        <v>8250</v>
      </c>
      <c r="C83" s="5">
        <v>0.117266379963397</v>
      </c>
      <c r="D83" t="s" s="12">
        <v>4076</v>
      </c>
      <c r="E83" t="s" s="2">
        <v>10792</v>
      </c>
    </row>
    <row r="84" ht="15.35" customHeight="1">
      <c r="A84" t="s" s="2">
        <v>2904</v>
      </c>
      <c r="B84" s="5">
        <v>8250</v>
      </c>
      <c r="C84" s="5">
        <v>0.117266379963397</v>
      </c>
      <c r="D84" t="s" s="2">
        <v>2905</v>
      </c>
      <c r="E84" s="6"/>
    </row>
    <row r="85" ht="15.35" customHeight="1">
      <c r="A85" t="s" s="2">
        <v>312</v>
      </c>
      <c r="B85" s="5">
        <v>8000</v>
      </c>
      <c r="C85" s="5">
        <v>0.113712853297839</v>
      </c>
      <c r="D85" t="s" s="2">
        <v>313</v>
      </c>
      <c r="E85" s="6"/>
    </row>
    <row r="86" ht="15.35" customHeight="1">
      <c r="A86" t="s" s="2">
        <v>4075</v>
      </c>
      <c r="B86" s="5">
        <v>7500</v>
      </c>
      <c r="C86" s="5">
        <v>0.106605799966724</v>
      </c>
      <c r="D86" t="s" s="2">
        <v>4076</v>
      </c>
      <c r="E86" s="6"/>
    </row>
    <row r="87" ht="15.35" customHeight="1">
      <c r="A87" t="s" s="2">
        <v>4780</v>
      </c>
      <c r="B87" s="5">
        <v>7500</v>
      </c>
      <c r="C87" s="5">
        <v>0.106605799966724</v>
      </c>
      <c r="D87" t="s" s="12">
        <v>4047</v>
      </c>
      <c r="E87" t="s" s="2">
        <v>10792</v>
      </c>
    </row>
    <row r="88" ht="15.35" customHeight="1">
      <c r="A88" t="s" s="2">
        <v>4942</v>
      </c>
      <c r="B88" s="5">
        <v>7500</v>
      </c>
      <c r="C88" s="5">
        <v>0.106605799966724</v>
      </c>
      <c r="D88" t="s" s="12">
        <v>4047</v>
      </c>
      <c r="E88" t="s" s="2">
        <v>10792</v>
      </c>
    </row>
    <row r="89" ht="15.35" customHeight="1">
      <c r="A89" t="s" s="2">
        <v>4548</v>
      </c>
      <c r="B89" s="5">
        <v>7500</v>
      </c>
      <c r="C89" s="5">
        <v>0.106605799966724</v>
      </c>
      <c r="D89" t="s" s="12">
        <v>4076</v>
      </c>
      <c r="E89" t="s" s="2">
        <v>10792</v>
      </c>
    </row>
    <row r="90" ht="15.35" customHeight="1">
      <c r="A90" t="s" s="2">
        <v>7687</v>
      </c>
      <c r="B90" s="5">
        <v>7350</v>
      </c>
      <c r="C90" s="5">
        <v>0.10447368396739</v>
      </c>
      <c r="D90" t="s" s="2">
        <v>6174</v>
      </c>
      <c r="E90" s="6"/>
    </row>
    <row r="91" ht="15.35" customHeight="1">
      <c r="A91" t="s" s="2">
        <v>6037</v>
      </c>
      <c r="B91" s="5">
        <v>7200</v>
      </c>
      <c r="C91" s="5">
        <v>0.102341567968055</v>
      </c>
      <c r="D91" t="s" s="2">
        <v>5955</v>
      </c>
      <c r="E91" s="6"/>
    </row>
    <row r="92" ht="15.35" customHeight="1">
      <c r="A92" t="s" s="2">
        <v>3696</v>
      </c>
      <c r="B92" s="5">
        <v>7200</v>
      </c>
      <c r="C92" s="5">
        <v>0.102341567968055</v>
      </c>
      <c r="D92" t="s" s="2">
        <v>3447</v>
      </c>
      <c r="E92" t="s" s="2">
        <v>10792</v>
      </c>
    </row>
    <row r="93" ht="15.35" customHeight="1">
      <c r="A93" t="s" s="2">
        <v>5960</v>
      </c>
      <c r="B93" s="5">
        <v>7200</v>
      </c>
      <c r="C93" s="5">
        <v>0.102341567968055</v>
      </c>
      <c r="D93" t="s" s="2">
        <v>5702</v>
      </c>
      <c r="E93" s="6"/>
    </row>
    <row r="94" ht="15.35" customHeight="1">
      <c r="A94" t="s" s="2">
        <v>2853</v>
      </c>
      <c r="B94" s="5">
        <v>7200</v>
      </c>
      <c r="C94" s="5">
        <v>0.102341567968055</v>
      </c>
      <c r="D94" t="s" s="2">
        <v>2854</v>
      </c>
      <c r="E94" s="6"/>
    </row>
    <row r="95" ht="15.35" customHeight="1">
      <c r="A95" t="s" s="2">
        <v>6525</v>
      </c>
      <c r="B95" s="5">
        <v>7200</v>
      </c>
      <c r="C95" s="5">
        <v>0.102341567968055</v>
      </c>
      <c r="D95" t="s" s="2">
        <v>6270</v>
      </c>
      <c r="E95" s="6"/>
    </row>
    <row r="96" ht="15.35" customHeight="1">
      <c r="A96" t="s" s="2">
        <v>7449</v>
      </c>
      <c r="B96" s="5">
        <v>6550</v>
      </c>
      <c r="C96" s="5">
        <v>0.0931023986376063</v>
      </c>
      <c r="D96" t="s" s="2">
        <v>7443</v>
      </c>
      <c r="E96" s="6"/>
    </row>
    <row r="97" ht="15.35" customHeight="1">
      <c r="A97" t="s" s="2">
        <v>2461</v>
      </c>
      <c r="B97" s="5">
        <v>6100</v>
      </c>
      <c r="C97" s="5">
        <v>0.08670605063960279</v>
      </c>
      <c r="D97" t="s" s="12">
        <v>10795</v>
      </c>
      <c r="E97" t="s" s="2">
        <v>10792</v>
      </c>
    </row>
    <row r="98" ht="15.35" customHeight="1">
      <c r="A98" t="s" s="2">
        <v>7739</v>
      </c>
      <c r="B98" s="5">
        <v>6000</v>
      </c>
      <c r="C98" s="5">
        <v>0.0852846399733798</v>
      </c>
      <c r="D98" t="s" s="12">
        <v>4047</v>
      </c>
      <c r="E98" t="s" s="2">
        <v>10792</v>
      </c>
    </row>
    <row r="99" ht="15.35" customHeight="1">
      <c r="A99" t="s" s="2">
        <v>5220</v>
      </c>
      <c r="B99" s="5">
        <v>6000</v>
      </c>
      <c r="C99" s="5">
        <v>0.0852846399733798</v>
      </c>
      <c r="D99" t="s" s="12">
        <v>4047</v>
      </c>
      <c r="E99" t="s" s="2">
        <v>10792</v>
      </c>
    </row>
    <row r="100" ht="15.35" customHeight="1">
      <c r="A100" t="s" s="2">
        <v>6668</v>
      </c>
      <c r="B100" s="5">
        <v>6000</v>
      </c>
      <c r="C100" s="5">
        <v>0.0852846399733798</v>
      </c>
      <c r="D100" t="s" s="12">
        <v>4047</v>
      </c>
      <c r="E100" t="s" s="2">
        <v>10792</v>
      </c>
    </row>
    <row r="101" ht="15.35" customHeight="1">
      <c r="A101" t="s" s="2">
        <v>4591</v>
      </c>
      <c r="B101" s="5">
        <v>6000</v>
      </c>
      <c r="C101" s="5">
        <v>0.0852846399733798</v>
      </c>
      <c r="D101" t="s" s="12">
        <v>4047</v>
      </c>
      <c r="E101" t="s" s="2">
        <v>10792</v>
      </c>
    </row>
    <row r="102" ht="15.35" customHeight="1">
      <c r="A102" t="s" s="2">
        <v>7164</v>
      </c>
      <c r="B102" s="5">
        <v>6000</v>
      </c>
      <c r="C102" s="5">
        <v>0.0852846399733798</v>
      </c>
      <c r="D102" t="s" s="2">
        <v>6611</v>
      </c>
      <c r="E102" s="6"/>
    </row>
    <row r="103" ht="15.35" customHeight="1">
      <c r="A103" t="s" s="2">
        <v>357</v>
      </c>
      <c r="B103" s="5">
        <v>5600</v>
      </c>
      <c r="C103" s="5">
        <v>0.0795989973084878</v>
      </c>
      <c r="D103" t="s" s="2">
        <v>358</v>
      </c>
      <c r="E103" s="6"/>
    </row>
    <row r="104" ht="15.35" customHeight="1">
      <c r="A104" t="s" s="2">
        <v>361</v>
      </c>
      <c r="B104" s="5">
        <v>5600</v>
      </c>
      <c r="C104" s="5">
        <v>0.0795989973084878</v>
      </c>
      <c r="D104" t="s" s="12">
        <v>358</v>
      </c>
      <c r="E104" t="s" s="2">
        <v>10792</v>
      </c>
    </row>
    <row r="105" ht="15.35" customHeight="1">
      <c r="A105" t="s" s="2">
        <v>369</v>
      </c>
      <c r="B105" s="5">
        <v>5500</v>
      </c>
      <c r="C105" s="5">
        <v>0.0781775866422648</v>
      </c>
      <c r="D105" t="s" s="12">
        <v>10796</v>
      </c>
      <c r="E105" t="s" s="2">
        <v>10797</v>
      </c>
    </row>
    <row r="106" ht="15.35" customHeight="1">
      <c r="A106" t="s" s="2">
        <v>6416</v>
      </c>
      <c r="B106" s="5">
        <v>5400</v>
      </c>
      <c r="C106" s="5">
        <v>0.0767561759760418</v>
      </c>
      <c r="D106" t="s" s="12">
        <v>6611</v>
      </c>
      <c r="E106" t="s" s="2">
        <v>10797</v>
      </c>
    </row>
    <row r="107" ht="15.35" customHeight="1">
      <c r="A107" t="s" s="2">
        <v>1251</v>
      </c>
      <c r="B107" s="5">
        <v>5300</v>
      </c>
      <c r="C107" s="5">
        <v>0.07533476530981879</v>
      </c>
      <c r="D107" t="s" s="12">
        <v>1067</v>
      </c>
      <c r="E107" t="s" s="2">
        <v>10792</v>
      </c>
    </row>
    <row r="108" ht="15.35" customHeight="1">
      <c r="A108" t="s" s="2">
        <v>4227</v>
      </c>
      <c r="B108" s="5">
        <v>5250</v>
      </c>
      <c r="C108" s="5">
        <v>0.0746240599767073</v>
      </c>
      <c r="D108" t="s" s="2">
        <v>4047</v>
      </c>
      <c r="E108" s="6"/>
    </row>
    <row r="109" ht="15.35" customHeight="1">
      <c r="A109" t="s" s="2">
        <v>3079</v>
      </c>
      <c r="B109" s="5">
        <v>5200</v>
      </c>
      <c r="C109" s="5">
        <v>0.0739133546435958</v>
      </c>
      <c r="D109" t="s" s="2">
        <v>3047</v>
      </c>
      <c r="E109" s="6"/>
    </row>
    <row r="110" ht="15.35" customHeight="1">
      <c r="A110" t="s" s="2">
        <v>375</v>
      </c>
      <c r="B110" s="5">
        <v>5000</v>
      </c>
      <c r="C110" s="5">
        <v>0.07107053331114981</v>
      </c>
      <c r="D110" t="s" s="2">
        <v>376</v>
      </c>
      <c r="E110" s="6"/>
    </row>
    <row r="111" ht="15.35" customHeight="1">
      <c r="A111" t="s" s="2">
        <v>5989</v>
      </c>
      <c r="B111" s="5">
        <v>4800</v>
      </c>
      <c r="C111" s="5">
        <v>0.0682277119787038</v>
      </c>
      <c r="D111" t="s" s="12">
        <v>4076</v>
      </c>
      <c r="E111" t="s" s="2">
        <v>10792</v>
      </c>
    </row>
    <row r="112" ht="15.35" customHeight="1">
      <c r="A112" t="s" s="2">
        <v>3608</v>
      </c>
      <c r="B112" s="5">
        <v>4500</v>
      </c>
      <c r="C112" s="5">
        <v>0.06396347998003479</v>
      </c>
      <c r="D112" t="s" s="2">
        <v>3447</v>
      </c>
      <c r="E112" s="6"/>
    </row>
    <row r="113" ht="15.35" customHeight="1">
      <c r="A113" t="s" s="2">
        <v>3769</v>
      </c>
      <c r="B113" s="5">
        <v>4500</v>
      </c>
      <c r="C113" s="5">
        <v>0.06396347998003479</v>
      </c>
      <c r="D113" t="s" s="2">
        <v>3447</v>
      </c>
      <c r="E113" s="6"/>
    </row>
    <row r="114" ht="15.35" customHeight="1">
      <c r="A114" t="s" s="2">
        <v>3473</v>
      </c>
      <c r="B114" s="5">
        <v>4500</v>
      </c>
      <c r="C114" s="5">
        <v>0.06396347998003479</v>
      </c>
      <c r="D114" t="s" s="2">
        <v>3447</v>
      </c>
      <c r="E114" t="s" s="2">
        <v>10792</v>
      </c>
    </row>
    <row r="115" ht="15.35" customHeight="1">
      <c r="A115" t="s" s="2">
        <v>2947</v>
      </c>
      <c r="B115" s="5">
        <v>4500</v>
      </c>
      <c r="C115" s="5">
        <v>0.06396347998003479</v>
      </c>
      <c r="D115" t="s" s="2">
        <v>2941</v>
      </c>
      <c r="E115" s="6"/>
    </row>
    <row r="116" ht="15.35" customHeight="1">
      <c r="A116" t="s" s="2">
        <v>5954</v>
      </c>
      <c r="B116" s="5">
        <v>4200</v>
      </c>
      <c r="C116" s="5">
        <v>0.0596992479813658</v>
      </c>
      <c r="D116" t="s" s="2">
        <v>5955</v>
      </c>
      <c r="E116" s="6"/>
    </row>
    <row r="117" ht="15.35" customHeight="1">
      <c r="A117" t="s" s="2">
        <v>3107</v>
      </c>
      <c r="B117" s="5">
        <v>4200</v>
      </c>
      <c r="C117" s="5">
        <v>0.0596992479813658</v>
      </c>
      <c r="D117" t="s" s="2">
        <v>3047</v>
      </c>
      <c r="E117" s="6"/>
    </row>
    <row r="118" ht="15.35" customHeight="1">
      <c r="A118" t="s" s="2">
        <v>6461</v>
      </c>
      <c r="B118" s="5">
        <v>4200</v>
      </c>
      <c r="C118" s="5">
        <v>0.0596992479813658</v>
      </c>
      <c r="D118" t="s" s="2">
        <v>6103</v>
      </c>
      <c r="E118" s="6"/>
    </row>
    <row r="119" ht="15.35" customHeight="1">
      <c r="A119" t="s" s="2">
        <v>459</v>
      </c>
      <c r="B119" s="5">
        <v>4100</v>
      </c>
      <c r="C119" s="5">
        <v>0.0582778373151428</v>
      </c>
      <c r="D119" t="s" s="2">
        <v>460</v>
      </c>
      <c r="E119" s="6"/>
    </row>
    <row r="120" ht="15.35" customHeight="1">
      <c r="A120" t="s" s="2">
        <v>4114</v>
      </c>
      <c r="B120" s="5">
        <v>4050</v>
      </c>
      <c r="C120" s="5">
        <v>0.0575671319820313</v>
      </c>
      <c r="D120" t="s" s="12">
        <v>10794</v>
      </c>
      <c r="E120" t="s" s="2">
        <v>10792</v>
      </c>
    </row>
    <row r="121" ht="15.35" customHeight="1">
      <c r="A121" t="s" s="2">
        <v>3303</v>
      </c>
      <c r="B121" s="5">
        <v>4000</v>
      </c>
      <c r="C121" s="5">
        <v>0.0568564266489198</v>
      </c>
      <c r="D121" t="s" s="2">
        <v>3231</v>
      </c>
      <c r="E121" t="s" s="2">
        <v>10792</v>
      </c>
    </row>
    <row r="122" ht="15.35" customHeight="1">
      <c r="A122" t="s" s="2">
        <v>3114</v>
      </c>
      <c r="B122" s="5">
        <v>3900</v>
      </c>
      <c r="C122" s="5">
        <v>0.0554350159826968</v>
      </c>
      <c r="D122" t="s" s="2">
        <v>3047</v>
      </c>
      <c r="E122" s="6"/>
    </row>
    <row r="123" ht="15.35" customHeight="1">
      <c r="A123" t="s" s="2">
        <v>9295</v>
      </c>
      <c r="B123" s="5">
        <v>3875</v>
      </c>
      <c r="C123" s="5">
        <v>0.0550796633161411</v>
      </c>
      <c r="D123" t="s" s="12">
        <v>6174</v>
      </c>
      <c r="E123" t="s" s="2">
        <v>10797</v>
      </c>
    </row>
    <row r="124" ht="15.35" customHeight="1">
      <c r="A124" t="s" s="2">
        <v>6054</v>
      </c>
      <c r="B124" s="5">
        <v>3750</v>
      </c>
      <c r="C124" s="5">
        <v>0.0533028999833623</v>
      </c>
      <c r="D124" t="s" s="12">
        <v>3271</v>
      </c>
      <c r="E124" t="s" s="2">
        <v>10792</v>
      </c>
    </row>
    <row r="125" ht="15.35" customHeight="1">
      <c r="A125" t="s" s="2">
        <v>4688</v>
      </c>
      <c r="B125" s="5">
        <v>3750</v>
      </c>
      <c r="C125" s="5">
        <v>0.0533028999833623</v>
      </c>
      <c r="D125" t="s" s="12">
        <v>4076</v>
      </c>
      <c r="E125" t="s" s="2">
        <v>10792</v>
      </c>
    </row>
    <row r="126" ht="15.35" customHeight="1">
      <c r="A126" t="s" s="2">
        <v>4670</v>
      </c>
      <c r="B126" s="5">
        <v>3750</v>
      </c>
      <c r="C126" s="5">
        <v>0.0533028999833623</v>
      </c>
      <c r="D126" t="s" s="12">
        <v>4047</v>
      </c>
      <c r="E126" t="s" s="2">
        <v>10792</v>
      </c>
    </row>
    <row r="127" ht="15.35" customHeight="1">
      <c r="A127" t="s" s="2">
        <v>4719</v>
      </c>
      <c r="B127" s="5">
        <v>3750</v>
      </c>
      <c r="C127" s="5">
        <v>0.0533028999833623</v>
      </c>
      <c r="D127" t="s" s="12">
        <v>7443</v>
      </c>
      <c r="E127" t="s" s="2">
        <v>10792</v>
      </c>
    </row>
    <row r="128" ht="15.35" customHeight="1">
      <c r="A128" t="s" s="2">
        <v>6918</v>
      </c>
      <c r="B128" s="5">
        <v>3600</v>
      </c>
      <c r="C128" s="5">
        <v>0.0511707839840278</v>
      </c>
      <c r="D128" t="s" s="12">
        <v>4076</v>
      </c>
      <c r="E128" t="s" s="2">
        <v>10792</v>
      </c>
    </row>
    <row r="129" ht="15.35" customHeight="1">
      <c r="A129" t="s" s="2">
        <v>7799</v>
      </c>
      <c r="B129" s="5">
        <v>3600</v>
      </c>
      <c r="C129" s="5">
        <v>0.0511707839840278</v>
      </c>
      <c r="D129" t="s" s="12">
        <v>4047</v>
      </c>
      <c r="E129" t="s" s="2">
        <v>10792</v>
      </c>
    </row>
    <row r="130" ht="15.35" customHeight="1">
      <c r="A130" t="s" s="2">
        <v>6938</v>
      </c>
      <c r="B130" s="5">
        <v>3600</v>
      </c>
      <c r="C130" s="5">
        <v>0.0511707839840278</v>
      </c>
      <c r="D130" t="s" s="12">
        <v>4047</v>
      </c>
      <c r="E130" t="s" s="2">
        <v>10792</v>
      </c>
    </row>
    <row r="131" ht="15.35" customHeight="1">
      <c r="A131" t="s" s="2">
        <v>3756</v>
      </c>
      <c r="B131" s="5">
        <v>3600</v>
      </c>
      <c r="C131" s="5">
        <v>0.0511707839840278</v>
      </c>
      <c r="D131" t="s" s="12">
        <v>3738</v>
      </c>
      <c r="E131" t="s" s="2">
        <v>10792</v>
      </c>
    </row>
    <row r="132" ht="15.35" customHeight="1">
      <c r="A132" t="s" s="2">
        <v>3800</v>
      </c>
      <c r="B132" s="5">
        <v>3400</v>
      </c>
      <c r="C132" s="5">
        <v>0.0483279626515818</v>
      </c>
      <c r="D132" t="s" s="2">
        <v>3738</v>
      </c>
      <c r="E132" s="6"/>
    </row>
    <row r="133" ht="15.35" customHeight="1">
      <c r="A133" t="s" s="2">
        <v>7386</v>
      </c>
      <c r="B133" s="5">
        <v>3300</v>
      </c>
      <c r="C133" s="5">
        <v>0.0469065519853589</v>
      </c>
      <c r="D133" t="s" s="12">
        <v>10798</v>
      </c>
      <c r="E133" t="s" s="2">
        <v>10792</v>
      </c>
    </row>
    <row r="134" ht="15.35" customHeight="1">
      <c r="A134" t="s" s="2">
        <v>6173</v>
      </c>
      <c r="B134" s="5">
        <v>3150</v>
      </c>
      <c r="C134" s="5">
        <v>0.0447744359860244</v>
      </c>
      <c r="D134" t="s" s="2">
        <v>6174</v>
      </c>
      <c r="E134" s="6"/>
    </row>
    <row r="135" ht="15.35" customHeight="1">
      <c r="A135" t="s" s="2">
        <v>7890</v>
      </c>
      <c r="B135" s="5">
        <v>3000</v>
      </c>
      <c r="C135" s="5">
        <v>0.0426423199866899</v>
      </c>
      <c r="D135" t="s" s="2">
        <v>7869</v>
      </c>
      <c r="E135" s="6"/>
    </row>
    <row r="136" ht="15.35" customHeight="1">
      <c r="A136" t="s" s="2">
        <v>6050</v>
      </c>
      <c r="B136" s="5">
        <v>3000</v>
      </c>
      <c r="C136" s="5">
        <v>0.0426423199866899</v>
      </c>
      <c r="D136" t="s" s="12">
        <v>4076</v>
      </c>
      <c r="E136" t="s" s="2">
        <v>10792</v>
      </c>
    </row>
    <row r="137" ht="15.35" customHeight="1">
      <c r="A137" t="s" s="2">
        <v>5249</v>
      </c>
      <c r="B137" s="5">
        <v>3000</v>
      </c>
      <c r="C137" s="5">
        <v>0.0426423199866899</v>
      </c>
      <c r="D137" t="s" s="12">
        <v>4047</v>
      </c>
      <c r="E137" t="s" s="2">
        <v>10792</v>
      </c>
    </row>
    <row r="138" ht="15.35" customHeight="1">
      <c r="A138" t="s" s="2">
        <v>4967</v>
      </c>
      <c r="B138" s="5">
        <v>3000</v>
      </c>
      <c r="C138" s="5">
        <v>0.0426423199866899</v>
      </c>
      <c r="D138" t="s" s="12">
        <v>4047</v>
      </c>
      <c r="E138" t="s" s="2">
        <v>10792</v>
      </c>
    </row>
    <row r="139" ht="15.35" customHeight="1">
      <c r="A139" t="s" s="2">
        <v>4244</v>
      </c>
      <c r="B139" s="5">
        <v>3000</v>
      </c>
      <c r="C139" s="5">
        <v>0.0426423199866899</v>
      </c>
      <c r="D139" t="s" s="12">
        <v>4047</v>
      </c>
      <c r="E139" t="s" s="2">
        <v>10792</v>
      </c>
    </row>
    <row r="140" ht="15.35" customHeight="1">
      <c r="A140" t="s" s="2">
        <v>7841</v>
      </c>
      <c r="B140" s="5">
        <v>2800</v>
      </c>
      <c r="C140" s="5">
        <v>0.0397994986542439</v>
      </c>
      <c r="D140" t="s" s="12">
        <v>4047</v>
      </c>
      <c r="E140" t="s" s="2">
        <v>10792</v>
      </c>
    </row>
    <row r="141" ht="15.35" customHeight="1">
      <c r="A141" t="s" s="2">
        <v>8362</v>
      </c>
      <c r="B141" s="5">
        <v>2800</v>
      </c>
      <c r="C141" s="5">
        <v>0.0397994986542439</v>
      </c>
      <c r="D141" t="s" s="12">
        <v>10794</v>
      </c>
      <c r="E141" t="s" s="2">
        <v>10792</v>
      </c>
    </row>
    <row r="142" ht="15.35" customHeight="1">
      <c r="A142" t="s" s="2">
        <v>1761</v>
      </c>
      <c r="B142" s="5">
        <v>2750</v>
      </c>
      <c r="C142" s="5">
        <v>0.0390887933211324</v>
      </c>
      <c r="D142" t="s" s="2">
        <v>1751</v>
      </c>
      <c r="E142" s="6"/>
    </row>
    <row r="143" ht="15.35" customHeight="1">
      <c r="A143" t="s" s="2">
        <v>3524</v>
      </c>
      <c r="B143" s="5">
        <v>2700</v>
      </c>
      <c r="C143" s="5">
        <v>0.0383780879880209</v>
      </c>
      <c r="D143" t="s" s="2">
        <v>3447</v>
      </c>
      <c r="E143" t="s" s="2">
        <v>10792</v>
      </c>
    </row>
    <row r="144" ht="15.35" customHeight="1">
      <c r="A144" t="s" s="2">
        <v>8087</v>
      </c>
      <c r="B144" s="5">
        <v>2700</v>
      </c>
      <c r="C144" s="5">
        <v>0.0383780879880209</v>
      </c>
      <c r="D144" t="s" s="2">
        <v>8082</v>
      </c>
      <c r="E144" s="6"/>
    </row>
    <row r="145" ht="15.35" customHeight="1">
      <c r="A145" t="s" s="2">
        <v>1766</v>
      </c>
      <c r="B145" s="5">
        <v>2500</v>
      </c>
      <c r="C145" s="5">
        <v>0.0355352666555749</v>
      </c>
      <c r="D145" t="s" s="2">
        <v>1751</v>
      </c>
      <c r="E145" s="6"/>
    </row>
    <row r="146" ht="15.35" customHeight="1">
      <c r="A146" t="s" s="2">
        <v>7878</v>
      </c>
      <c r="B146" s="5">
        <v>2400</v>
      </c>
      <c r="C146" s="5">
        <v>0.0341138559893519</v>
      </c>
      <c r="D146" t="s" s="2">
        <v>7869</v>
      </c>
      <c r="E146" s="6"/>
    </row>
    <row r="147" ht="15.35" customHeight="1">
      <c r="A147" t="s" s="2">
        <v>6073</v>
      </c>
      <c r="B147" s="5">
        <v>2400</v>
      </c>
      <c r="C147" s="5">
        <v>0.0341138559893519</v>
      </c>
      <c r="D147" t="s" s="12">
        <v>4047</v>
      </c>
      <c r="E147" t="s" s="2">
        <v>10792</v>
      </c>
    </row>
    <row r="148" ht="15.35" customHeight="1">
      <c r="A148" t="s" s="2">
        <v>8687</v>
      </c>
      <c r="B148" s="5">
        <v>2400</v>
      </c>
      <c r="C148" s="5">
        <v>0.0341138559893519</v>
      </c>
      <c r="D148" t="s" s="12">
        <v>6270</v>
      </c>
      <c r="E148" t="s" s="2">
        <v>10792</v>
      </c>
    </row>
    <row r="149" ht="15.35" customHeight="1">
      <c r="A149" t="s" s="2">
        <v>9607</v>
      </c>
      <c r="B149" s="5">
        <v>2350</v>
      </c>
      <c r="C149" s="5">
        <v>0.0334031506562404</v>
      </c>
      <c r="D149" s="6"/>
      <c r="E149" s="6"/>
    </row>
    <row r="150" ht="15.35" customHeight="1">
      <c r="A150" t="s" s="2">
        <v>2320</v>
      </c>
      <c r="B150" s="5">
        <v>2300</v>
      </c>
      <c r="C150" s="5">
        <v>0.0326924453231289</v>
      </c>
      <c r="D150" t="s" s="12">
        <v>1995</v>
      </c>
      <c r="E150" t="s" s="2">
        <v>10792</v>
      </c>
    </row>
    <row r="151" ht="15.35" customHeight="1">
      <c r="A151" t="s" s="2">
        <v>2330</v>
      </c>
      <c r="B151" s="5">
        <v>2300</v>
      </c>
      <c r="C151" s="5">
        <v>0.0326924453231289</v>
      </c>
      <c r="D151" t="s" s="2">
        <v>2331</v>
      </c>
      <c r="E151" s="6"/>
    </row>
    <row r="152" ht="15.35" customHeight="1">
      <c r="A152" t="s" s="2">
        <v>7726</v>
      </c>
      <c r="B152" s="5">
        <v>2250</v>
      </c>
      <c r="C152" s="5">
        <v>0.0319817399900174</v>
      </c>
      <c r="D152" t="s" s="2">
        <v>7712</v>
      </c>
      <c r="E152" s="6"/>
    </row>
    <row r="153" ht="15.35" customHeight="1">
      <c r="A153" t="s" s="2">
        <v>4526</v>
      </c>
      <c r="B153" s="5">
        <v>2250</v>
      </c>
      <c r="C153" s="5">
        <v>0.0319817399900174</v>
      </c>
      <c r="D153" t="s" s="2">
        <v>4076</v>
      </c>
      <c r="E153" s="6"/>
    </row>
    <row r="154" ht="15.35" customHeight="1">
      <c r="A154" t="s" s="2">
        <v>4127</v>
      </c>
      <c r="B154" s="5">
        <v>2250</v>
      </c>
      <c r="C154" s="5">
        <v>0.0319817399900174</v>
      </c>
      <c r="D154" t="s" s="12">
        <v>4047</v>
      </c>
      <c r="E154" t="s" s="2">
        <v>10792</v>
      </c>
    </row>
    <row r="155" ht="15.35" customHeight="1">
      <c r="A155" t="s" s="2">
        <v>4731</v>
      </c>
      <c r="B155" s="5">
        <v>2250</v>
      </c>
      <c r="C155" s="5">
        <v>0.0319817399900174</v>
      </c>
      <c r="D155" t="s" s="2">
        <v>1751</v>
      </c>
      <c r="E155" s="6"/>
    </row>
    <row r="156" ht="15.35" customHeight="1">
      <c r="A156" t="s" s="2">
        <v>7457</v>
      </c>
      <c r="B156" s="5">
        <v>2200</v>
      </c>
      <c r="C156" s="5">
        <v>0.0312710346569059</v>
      </c>
      <c r="D156" t="s" s="12">
        <v>10798</v>
      </c>
      <c r="E156" t="s" s="2">
        <v>10792</v>
      </c>
    </row>
    <row r="157" ht="15.35" customHeight="1">
      <c r="A157" t="s" s="2">
        <v>8448</v>
      </c>
      <c r="B157" s="5">
        <v>2200</v>
      </c>
      <c r="C157" s="5">
        <v>0.0312710346569059</v>
      </c>
      <c r="D157" t="s" s="12">
        <v>8082</v>
      </c>
      <c r="E157" t="s" s="2">
        <v>10792</v>
      </c>
    </row>
    <row r="158" ht="15.35" customHeight="1">
      <c r="A158" t="s" s="2">
        <v>2457</v>
      </c>
      <c r="B158" s="5">
        <v>2200</v>
      </c>
      <c r="C158" s="5">
        <v>0.0312710346569059</v>
      </c>
      <c r="D158" t="s" s="12">
        <v>2402</v>
      </c>
      <c r="E158" t="s" s="2">
        <v>10792</v>
      </c>
    </row>
    <row r="159" ht="15.35" customHeight="1">
      <c r="A159" t="s" s="2">
        <v>8429</v>
      </c>
      <c r="B159" s="5">
        <v>2200</v>
      </c>
      <c r="C159" s="5">
        <v>0.0312710346569059</v>
      </c>
      <c r="D159" t="s" s="12">
        <v>6174</v>
      </c>
      <c r="E159" t="s" s="2">
        <v>10797</v>
      </c>
    </row>
    <row r="160" ht="15.35" customHeight="1">
      <c r="A160" t="s" s="2">
        <v>9211</v>
      </c>
      <c r="B160" s="5">
        <v>2185</v>
      </c>
      <c r="C160" s="5">
        <v>0.0310578230569724</v>
      </c>
      <c r="D160" t="s" s="12">
        <v>6174</v>
      </c>
      <c r="E160" t="s" s="2">
        <v>10797</v>
      </c>
    </row>
    <row r="161" ht="15.35" customHeight="1">
      <c r="A161" t="s" s="2">
        <v>7442</v>
      </c>
      <c r="B161" s="5">
        <v>2150</v>
      </c>
      <c r="C161" s="5">
        <v>0.0305603293237944</v>
      </c>
      <c r="D161" t="s" s="2">
        <v>7443</v>
      </c>
      <c r="E161" t="s" s="2">
        <v>10792</v>
      </c>
    </row>
    <row r="162" ht="15.35" customHeight="1">
      <c r="A162" t="s" s="2">
        <v>7868</v>
      </c>
      <c r="B162" s="5">
        <v>2100</v>
      </c>
      <c r="C162" s="5">
        <v>0.0298496239906829</v>
      </c>
      <c r="D162" t="s" s="2">
        <v>7869</v>
      </c>
      <c r="E162" s="6"/>
    </row>
    <row r="163" ht="15.35" customHeight="1">
      <c r="A163" t="s" s="2">
        <v>2691</v>
      </c>
      <c r="B163" s="5">
        <v>2000</v>
      </c>
      <c r="C163" s="5">
        <v>0.0284282133244599</v>
      </c>
      <c r="D163" t="s" s="12">
        <v>2941</v>
      </c>
      <c r="E163" t="s" s="2">
        <v>10792</v>
      </c>
    </row>
    <row r="164" ht="15.35" customHeight="1">
      <c r="A164" t="s" s="2">
        <v>8048</v>
      </c>
      <c r="B164" s="5">
        <v>2000</v>
      </c>
      <c r="C164" s="5">
        <v>0.0284282133244599</v>
      </c>
      <c r="D164" t="s" s="12">
        <v>6270</v>
      </c>
      <c r="E164" t="s" s="2">
        <v>10792</v>
      </c>
    </row>
    <row r="165" ht="15.35" customHeight="1">
      <c r="A165" t="s" s="2">
        <v>7719</v>
      </c>
      <c r="B165" s="5">
        <v>1800</v>
      </c>
      <c r="C165" s="5">
        <v>0.0255853919920139</v>
      </c>
      <c r="D165" t="s" s="2">
        <v>7712</v>
      </c>
      <c r="E165" s="6"/>
    </row>
    <row r="166" ht="15.35" customHeight="1">
      <c r="A166" t="s" s="2">
        <v>5978</v>
      </c>
      <c r="B166" s="5">
        <v>1800</v>
      </c>
      <c r="C166" s="5">
        <v>0.0255853919920139</v>
      </c>
      <c r="D166" t="s" s="2">
        <v>5955</v>
      </c>
      <c r="E166" s="6"/>
    </row>
    <row r="167" ht="15.35" customHeight="1">
      <c r="A167" t="s" s="2">
        <v>7930</v>
      </c>
      <c r="B167" s="5">
        <v>1800</v>
      </c>
      <c r="C167" s="5">
        <v>0.0255853919920139</v>
      </c>
      <c r="D167" t="s" s="12">
        <v>5955</v>
      </c>
      <c r="E167" t="s" s="2">
        <v>10792</v>
      </c>
    </row>
    <row r="168" ht="15.35" customHeight="1">
      <c r="A168" t="s" s="2">
        <v>6046</v>
      </c>
      <c r="B168" s="5">
        <v>1800</v>
      </c>
      <c r="C168" s="5">
        <v>0.0255853919920139</v>
      </c>
      <c r="D168" t="s" s="12">
        <v>3271</v>
      </c>
      <c r="E168" t="s" s="2">
        <v>10792</v>
      </c>
    </row>
    <row r="169" ht="15.35" customHeight="1">
      <c r="A169" t="s" s="2">
        <v>3508</v>
      </c>
      <c r="B169" s="5">
        <v>1800</v>
      </c>
      <c r="C169" s="5">
        <v>0.0255853919920139</v>
      </c>
      <c r="D169" t="s" s="12">
        <v>10799</v>
      </c>
      <c r="E169" t="s" s="2">
        <v>10792</v>
      </c>
    </row>
    <row r="170" ht="15.35" customHeight="1">
      <c r="A170" t="s" s="2">
        <v>6877</v>
      </c>
      <c r="B170" s="5">
        <v>1800</v>
      </c>
      <c r="C170" s="5">
        <v>0.0255853919920139</v>
      </c>
      <c r="D170" t="s" s="12">
        <v>4047</v>
      </c>
      <c r="E170" t="s" s="2">
        <v>10792</v>
      </c>
    </row>
    <row r="171" ht="15.35" customHeight="1">
      <c r="A171" t="s" s="2">
        <v>6019</v>
      </c>
      <c r="B171" s="5">
        <v>1800</v>
      </c>
      <c r="C171" s="5">
        <v>0.0255853919920139</v>
      </c>
      <c r="D171" t="s" s="12">
        <v>4076</v>
      </c>
      <c r="E171" t="s" s="2">
        <v>10792</v>
      </c>
    </row>
    <row r="172" ht="15.35" customHeight="1">
      <c r="A172" t="s" s="2">
        <v>3632</v>
      </c>
      <c r="B172" s="5">
        <v>1800</v>
      </c>
      <c r="C172" s="5">
        <v>0.0255853919920139</v>
      </c>
      <c r="D172" t="s" s="2">
        <v>3447</v>
      </c>
      <c r="E172" t="s" s="2">
        <v>10792</v>
      </c>
    </row>
    <row r="173" ht="15.35" customHeight="1">
      <c r="A173" t="s" s="2">
        <v>6651</v>
      </c>
      <c r="B173" s="5">
        <v>1800</v>
      </c>
      <c r="C173" s="5">
        <v>0.0255853919920139</v>
      </c>
      <c r="D173" t="s" s="12">
        <v>4047</v>
      </c>
      <c r="E173" t="s" s="2">
        <v>10792</v>
      </c>
    </row>
    <row r="174" ht="15.35" customHeight="1">
      <c r="A174" t="s" s="2">
        <v>3752</v>
      </c>
      <c r="B174" s="5">
        <v>1800</v>
      </c>
      <c r="C174" s="5">
        <v>0.0255853919920139</v>
      </c>
      <c r="D174" t="s" s="12">
        <v>3231</v>
      </c>
      <c r="E174" t="s" s="2">
        <v>10792</v>
      </c>
    </row>
    <row r="175" ht="15.35" customHeight="1">
      <c r="A175" t="s" s="2">
        <v>6351</v>
      </c>
      <c r="B175" s="5">
        <v>1800</v>
      </c>
      <c r="C175" s="5">
        <v>0.0255853919920139</v>
      </c>
      <c r="D175" t="s" s="2">
        <v>6352</v>
      </c>
      <c r="E175" s="6"/>
    </row>
    <row r="176" ht="15.35" customHeight="1">
      <c r="A176" t="s" s="2">
        <v>8414</v>
      </c>
      <c r="B176" s="5">
        <v>1800</v>
      </c>
      <c r="C176" s="5">
        <v>0.0255853919920139</v>
      </c>
      <c r="D176" t="s" s="12">
        <v>10800</v>
      </c>
      <c r="E176" t="s" s="2">
        <v>10797</v>
      </c>
    </row>
    <row r="177" ht="15.35" customHeight="1">
      <c r="A177" t="s" s="2">
        <v>7392</v>
      </c>
      <c r="B177" s="5">
        <v>1650</v>
      </c>
      <c r="C177" s="5">
        <v>0.0234532759926794</v>
      </c>
      <c r="D177" t="s" s="12">
        <v>10798</v>
      </c>
      <c r="E177" t="s" s="2">
        <v>10792</v>
      </c>
    </row>
    <row r="178" ht="15.35" customHeight="1">
      <c r="A178" t="s" s="2">
        <v>7368</v>
      </c>
      <c r="B178" s="5">
        <v>1650</v>
      </c>
      <c r="C178" s="5">
        <v>0.0234532759926794</v>
      </c>
      <c r="D178" t="s" s="12">
        <v>10798</v>
      </c>
      <c r="E178" t="s" s="2">
        <v>10792</v>
      </c>
    </row>
    <row r="179" ht="15.35" customHeight="1">
      <c r="A179" t="s" s="2">
        <v>7705</v>
      </c>
      <c r="B179" s="5">
        <v>1500</v>
      </c>
      <c r="C179" s="5">
        <v>0.0213211599933449</v>
      </c>
      <c r="D179" t="s" s="12">
        <v>3271</v>
      </c>
      <c r="E179" t="s" s="2">
        <v>10792</v>
      </c>
    </row>
    <row r="180" ht="15.35" customHeight="1">
      <c r="A180" t="s" s="2">
        <v>7659</v>
      </c>
      <c r="B180" s="5">
        <v>1500</v>
      </c>
      <c r="C180" s="5">
        <v>0.0213211599933449</v>
      </c>
      <c r="D180" t="s" s="12">
        <v>10798</v>
      </c>
      <c r="E180" t="s" s="2">
        <v>10792</v>
      </c>
    </row>
    <row r="181" ht="15.35" customHeight="1">
      <c r="A181" t="s" s="2">
        <v>3014</v>
      </c>
      <c r="B181" s="5">
        <v>1500</v>
      </c>
      <c r="C181" s="5">
        <v>0.0213211599933449</v>
      </c>
      <c r="D181" t="s" s="12">
        <v>2905</v>
      </c>
      <c r="E181" t="s" s="2">
        <v>10792</v>
      </c>
    </row>
    <row r="182" ht="15.35" customHeight="1">
      <c r="A182" t="s" s="2">
        <v>8112</v>
      </c>
      <c r="B182" s="5">
        <v>1350</v>
      </c>
      <c r="C182" s="5">
        <v>0.0191890439940104</v>
      </c>
      <c r="D182" t="s" s="12">
        <v>8082</v>
      </c>
      <c r="E182" t="s" s="2">
        <v>10792</v>
      </c>
    </row>
    <row r="183" ht="15.35" customHeight="1">
      <c r="A183" t="s" s="2">
        <v>5330</v>
      </c>
      <c r="B183" s="5">
        <v>1320</v>
      </c>
      <c r="C183" s="5">
        <v>0.0187626207941435</v>
      </c>
      <c r="D183" t="s" s="12">
        <v>4861</v>
      </c>
      <c r="E183" t="s" s="2">
        <v>10792</v>
      </c>
    </row>
    <row r="184" ht="15.35" customHeight="1">
      <c r="A184" t="s" s="2">
        <v>3129</v>
      </c>
      <c r="B184" s="5">
        <v>1300</v>
      </c>
      <c r="C184" s="5">
        <v>0.0184783386608989</v>
      </c>
      <c r="D184" t="s" s="2">
        <v>3047</v>
      </c>
      <c r="E184" s="6"/>
    </row>
    <row r="185" ht="15.35" customHeight="1">
      <c r="A185" t="s" s="2">
        <v>3094</v>
      </c>
      <c r="B185" s="5">
        <v>1300</v>
      </c>
      <c r="C185" s="5">
        <v>0.0184783386608989</v>
      </c>
      <c r="D185" t="s" s="2">
        <v>3024</v>
      </c>
      <c r="E185" s="6"/>
    </row>
    <row r="186" ht="15.35" customHeight="1">
      <c r="A186" t="s" s="2">
        <v>9205</v>
      </c>
      <c r="B186" s="5">
        <v>1225</v>
      </c>
      <c r="C186" s="5">
        <v>0.0174122806612317</v>
      </c>
      <c r="D186" t="s" s="12">
        <v>6174</v>
      </c>
      <c r="E186" t="s" s="2">
        <v>10797</v>
      </c>
    </row>
    <row r="187" ht="15.35" customHeight="1">
      <c r="A187" t="s" s="2">
        <v>6083</v>
      </c>
      <c r="B187" s="5">
        <v>1200</v>
      </c>
      <c r="C187" s="5">
        <v>0.0170569279946759</v>
      </c>
      <c r="D187" t="s" s="2">
        <v>5955</v>
      </c>
      <c r="E187" s="6"/>
    </row>
    <row r="188" ht="15.35" customHeight="1">
      <c r="A188" t="s" s="2">
        <v>6187</v>
      </c>
      <c r="B188" s="5">
        <v>1200</v>
      </c>
      <c r="C188" s="5">
        <v>0.0170569279946759</v>
      </c>
      <c r="D188" t="s" s="12">
        <v>5955</v>
      </c>
      <c r="E188" t="s" s="2">
        <v>10792</v>
      </c>
    </row>
    <row r="189" ht="15.35" customHeight="1">
      <c r="A189" t="s" s="2">
        <v>6192</v>
      </c>
      <c r="B189" s="5">
        <v>1200</v>
      </c>
      <c r="C189" s="5">
        <v>0.0170569279946759</v>
      </c>
      <c r="D189" t="s" s="12">
        <v>10794</v>
      </c>
      <c r="E189" t="s" s="2">
        <v>10792</v>
      </c>
    </row>
    <row r="190" ht="15.35" customHeight="1">
      <c r="A190" t="s" s="2">
        <v>8369</v>
      </c>
      <c r="B190" s="5">
        <v>1200</v>
      </c>
      <c r="C190" s="5">
        <v>0.0170569279946759</v>
      </c>
      <c r="D190" t="s" s="12">
        <v>10794</v>
      </c>
      <c r="E190" t="s" s="2">
        <v>10792</v>
      </c>
    </row>
    <row r="191" ht="15.35" customHeight="1">
      <c r="A191" t="s" s="2">
        <v>7278</v>
      </c>
      <c r="B191" s="5">
        <v>1200</v>
      </c>
      <c r="C191" s="5">
        <v>0.0170569279946759</v>
      </c>
      <c r="D191" t="s" s="12">
        <v>10794</v>
      </c>
      <c r="E191" t="s" s="2">
        <v>10792</v>
      </c>
    </row>
    <row r="192" ht="15.35" customHeight="1">
      <c r="A192" t="s" s="2">
        <v>6405</v>
      </c>
      <c r="B192" s="5">
        <v>1200</v>
      </c>
      <c r="C192" s="5">
        <v>0.0170569279946759</v>
      </c>
      <c r="D192" t="s" s="12">
        <v>4047</v>
      </c>
      <c r="E192" s="6"/>
    </row>
    <row r="193" ht="15.35" customHeight="1">
      <c r="A193" t="s" s="2">
        <v>6328</v>
      </c>
      <c r="B193" s="5">
        <v>1200</v>
      </c>
      <c r="C193" s="5">
        <v>0.0170569279946759</v>
      </c>
      <c r="D193" t="s" s="12">
        <v>4047</v>
      </c>
      <c r="E193" t="s" s="2">
        <v>10792</v>
      </c>
    </row>
    <row r="194" ht="15.35" customHeight="1">
      <c r="A194" t="s" s="2">
        <v>6439</v>
      </c>
      <c r="B194" s="5">
        <v>1200</v>
      </c>
      <c r="C194" s="5">
        <v>0.0170569279946759</v>
      </c>
      <c r="D194" t="s" s="2">
        <v>6352</v>
      </c>
      <c r="E194" s="6"/>
    </row>
    <row r="195" ht="15.35" customHeight="1">
      <c r="A195" t="s" s="2">
        <v>6358</v>
      </c>
      <c r="B195" s="5">
        <v>1200</v>
      </c>
      <c r="C195" s="5">
        <v>0.0170569279946759</v>
      </c>
      <c r="D195" t="s" s="2">
        <v>6352</v>
      </c>
      <c r="E195" s="6"/>
    </row>
    <row r="196" ht="15.35" customHeight="1">
      <c r="A196" t="s" s="2">
        <v>6610</v>
      </c>
      <c r="B196" s="5">
        <v>1200</v>
      </c>
      <c r="C196" s="5">
        <v>0.0170569279946759</v>
      </c>
      <c r="D196" t="s" s="2">
        <v>6611</v>
      </c>
      <c r="E196" s="6"/>
    </row>
    <row r="197" ht="15.35" customHeight="1">
      <c r="A197" t="s" s="2">
        <v>6014</v>
      </c>
      <c r="B197" s="5">
        <v>1200</v>
      </c>
      <c r="C197" s="5">
        <v>0.0170569279946759</v>
      </c>
      <c r="D197" t="s" s="12">
        <v>7443</v>
      </c>
      <c r="E197" t="s" s="2">
        <v>10792</v>
      </c>
    </row>
    <row r="198" ht="15.35" customHeight="1">
      <c r="A198" t="s" s="2">
        <v>6280</v>
      </c>
      <c r="B198" s="5">
        <v>1100</v>
      </c>
      <c r="C198" s="5">
        <v>0.0156355173284529</v>
      </c>
      <c r="D198" t="s" s="2">
        <v>6103</v>
      </c>
      <c r="E198" s="6"/>
    </row>
    <row r="199" ht="15.35" customHeight="1">
      <c r="A199" t="s" s="2">
        <v>8647</v>
      </c>
      <c r="B199" s="5">
        <v>1050</v>
      </c>
      <c r="C199" s="5">
        <v>0.0149248119953414</v>
      </c>
      <c r="D199" t="s" s="2">
        <v>6174</v>
      </c>
      <c r="E199" s="6"/>
    </row>
    <row r="200" ht="15.35" customHeight="1">
      <c r="A200" t="s" s="2">
        <v>7510</v>
      </c>
      <c r="B200" s="5">
        <v>1000</v>
      </c>
      <c r="C200" s="5">
        <v>0.0142141066622299</v>
      </c>
      <c r="D200" t="s" s="2">
        <v>7511</v>
      </c>
      <c r="E200" s="6"/>
    </row>
    <row r="201" ht="15.35" customHeight="1">
      <c r="A201" t="s" s="2">
        <v>7567</v>
      </c>
      <c r="B201" s="5">
        <v>1000</v>
      </c>
      <c r="C201" s="5">
        <v>0.0142141066622299</v>
      </c>
      <c r="D201" t="s" s="2">
        <v>7511</v>
      </c>
      <c r="E201" s="6"/>
    </row>
    <row r="202" ht="15.35" customHeight="1">
      <c r="A202" t="s" s="2">
        <v>7580</v>
      </c>
      <c r="B202" s="5">
        <v>1000</v>
      </c>
      <c r="C202" s="5">
        <v>0.0142141066622299</v>
      </c>
      <c r="D202" t="s" s="12">
        <v>3271</v>
      </c>
      <c r="E202" t="s" s="2">
        <v>10792</v>
      </c>
    </row>
    <row r="203" ht="15.35" customHeight="1">
      <c r="A203" t="s" s="2">
        <v>3247</v>
      </c>
      <c r="B203" s="5">
        <v>1000</v>
      </c>
      <c r="C203" s="5">
        <v>0.0142141066622299</v>
      </c>
      <c r="D203" t="s" s="12">
        <v>3271</v>
      </c>
      <c r="E203" t="s" s="2">
        <v>10792</v>
      </c>
    </row>
    <row r="204" ht="15.35" customHeight="1">
      <c r="A204" t="s" s="2">
        <v>3209</v>
      </c>
      <c r="B204" s="5">
        <v>1000</v>
      </c>
      <c r="C204" s="5">
        <v>0.0142141066622299</v>
      </c>
      <c r="D204" t="s" s="12">
        <v>3271</v>
      </c>
      <c r="E204" t="s" s="2">
        <v>10792</v>
      </c>
    </row>
    <row r="205" ht="15.35" customHeight="1">
      <c r="A205" t="s" s="2">
        <v>7980</v>
      </c>
      <c r="B205" s="5">
        <v>1000</v>
      </c>
      <c r="C205" s="5">
        <v>0.0142141066622299</v>
      </c>
      <c r="D205" t="s" s="12">
        <v>10800</v>
      </c>
      <c r="E205" t="s" s="2">
        <v>10797</v>
      </c>
    </row>
    <row r="206" ht="15.35" customHeight="1">
      <c r="A206" t="s" s="2">
        <v>3252</v>
      </c>
      <c r="B206" s="5">
        <v>1000</v>
      </c>
      <c r="C206" s="5">
        <v>0.0142141066622299</v>
      </c>
      <c r="D206" t="s" s="2">
        <v>3231</v>
      </c>
      <c r="E206" s="6"/>
    </row>
    <row r="207" ht="15.35" customHeight="1">
      <c r="A207" t="s" s="2">
        <v>8020</v>
      </c>
      <c r="B207" s="5">
        <v>1000</v>
      </c>
      <c r="C207" s="5">
        <v>0.0142141066622299</v>
      </c>
      <c r="D207" t="s" s="12">
        <v>10794</v>
      </c>
      <c r="E207" t="s" s="2">
        <v>10792</v>
      </c>
    </row>
    <row r="208" ht="15.35" customHeight="1">
      <c r="A208" t="s" s="2">
        <v>7988</v>
      </c>
      <c r="B208" s="5">
        <v>1000</v>
      </c>
      <c r="C208" s="5">
        <v>0.0142141066622299</v>
      </c>
      <c r="D208" t="s" s="12">
        <v>10794</v>
      </c>
      <c r="E208" t="s" s="2">
        <v>10792</v>
      </c>
    </row>
    <row r="209" ht="15.35" customHeight="1">
      <c r="A209" t="s" s="2">
        <v>7500</v>
      </c>
      <c r="B209" s="5">
        <v>1000</v>
      </c>
      <c r="C209" s="5">
        <v>0.0142141066622299</v>
      </c>
      <c r="D209" t="s" s="2">
        <v>7443</v>
      </c>
      <c r="E209" s="6"/>
    </row>
    <row r="210" ht="15.35" customHeight="1">
      <c r="A210" t="s" s="2">
        <v>3616</v>
      </c>
      <c r="B210" s="5">
        <v>900</v>
      </c>
      <c r="C210" s="5">
        <v>0.0127926959960069</v>
      </c>
      <c r="D210" t="s" s="2">
        <v>3447</v>
      </c>
      <c r="E210" t="s" s="2">
        <v>10792</v>
      </c>
    </row>
    <row r="211" ht="15.35" customHeight="1">
      <c r="A211" t="s" s="2">
        <v>3601</v>
      </c>
      <c r="B211" s="5">
        <v>900</v>
      </c>
      <c r="C211" s="5">
        <v>0.0127926959960069</v>
      </c>
      <c r="D211" t="s" s="2">
        <v>3447</v>
      </c>
      <c r="E211" t="s" s="2">
        <v>10792</v>
      </c>
    </row>
    <row r="212" ht="15.35" customHeight="1">
      <c r="A212" t="s" s="2">
        <v>3518</v>
      </c>
      <c r="B212" s="5">
        <v>900</v>
      </c>
      <c r="C212" s="5">
        <v>0.0127926959960069</v>
      </c>
      <c r="D212" t="s" s="12">
        <v>3231</v>
      </c>
      <c r="E212" t="s" s="2">
        <v>10792</v>
      </c>
    </row>
    <row r="213" ht="15.35" customHeight="1">
      <c r="A213" t="s" s="2">
        <v>8151</v>
      </c>
      <c r="B213" s="5">
        <v>900</v>
      </c>
      <c r="C213" s="5">
        <v>0.0127926959960069</v>
      </c>
      <c r="D213" t="s" s="2">
        <v>8082</v>
      </c>
      <c r="E213" s="6"/>
    </row>
    <row r="214" ht="15.35" customHeight="1">
      <c r="A214" t="s" s="2">
        <v>3737</v>
      </c>
      <c r="B214" s="5">
        <v>900</v>
      </c>
      <c r="C214" s="5">
        <v>0.0127926959960069</v>
      </c>
      <c r="D214" t="s" s="2">
        <v>3738</v>
      </c>
      <c r="E214" s="6"/>
    </row>
    <row r="215" ht="15.35" customHeight="1">
      <c r="A215" t="s" s="2">
        <v>8631</v>
      </c>
      <c r="B215" s="5">
        <v>900</v>
      </c>
      <c r="C215" s="5">
        <v>0.0127926959960069</v>
      </c>
      <c r="D215" t="s" s="12">
        <v>6270</v>
      </c>
      <c r="E215" t="s" s="2">
        <v>10792</v>
      </c>
    </row>
    <row r="216" ht="15.35" customHeight="1">
      <c r="A216" t="s" s="2">
        <v>3897</v>
      </c>
      <c r="B216" s="5">
        <v>850</v>
      </c>
      <c r="C216" s="5">
        <v>0.0120819906628954</v>
      </c>
      <c r="D216" t="s" s="2">
        <v>3738</v>
      </c>
      <c r="E216" s="6"/>
    </row>
    <row r="217" ht="15.35" customHeight="1">
      <c r="A217" t="s" s="2">
        <v>3975</v>
      </c>
      <c r="B217" s="5">
        <v>800</v>
      </c>
      <c r="C217" s="5">
        <v>0.0113712853297839</v>
      </c>
      <c r="D217" t="s" s="2">
        <v>3939</v>
      </c>
      <c r="E217" s="6"/>
    </row>
    <row r="218" ht="15.35" customHeight="1">
      <c r="A218" t="s" s="2">
        <v>4016</v>
      </c>
      <c r="B218" s="5">
        <v>800</v>
      </c>
      <c r="C218" s="5">
        <v>0.0113712853297839</v>
      </c>
      <c r="D218" t="s" s="2">
        <v>3939</v>
      </c>
      <c r="E218" s="6"/>
    </row>
    <row r="219" ht="15.35" customHeight="1">
      <c r="A219" t="s" s="2">
        <v>4041</v>
      </c>
      <c r="B219" s="5">
        <v>755</v>
      </c>
      <c r="C219" s="5">
        <v>0.0107316505299836</v>
      </c>
      <c r="D219" t="s" s="12">
        <v>4047</v>
      </c>
      <c r="E219" t="s" s="2">
        <v>10797</v>
      </c>
    </row>
    <row r="220" ht="15.35" customHeight="1">
      <c r="A220" t="s" s="2">
        <v>4937</v>
      </c>
      <c r="B220" s="5">
        <v>750</v>
      </c>
      <c r="C220" s="5">
        <v>0.0106605799966724</v>
      </c>
      <c r="D220" t="s" s="12">
        <v>4047</v>
      </c>
      <c r="E220" t="s" s="2">
        <v>10792</v>
      </c>
    </row>
    <row r="221" ht="15.35" customHeight="1">
      <c r="A221" t="s" s="2">
        <v>4476</v>
      </c>
      <c r="B221" s="5">
        <v>750</v>
      </c>
      <c r="C221" s="5">
        <v>0.0106605799966724</v>
      </c>
      <c r="D221" t="s" s="12">
        <v>4047</v>
      </c>
      <c r="E221" t="s" s="2">
        <v>10792</v>
      </c>
    </row>
    <row r="222" ht="15.35" customHeight="1">
      <c r="A222" t="s" s="2">
        <v>4832</v>
      </c>
      <c r="B222" s="5">
        <v>750</v>
      </c>
      <c r="C222" s="5">
        <v>0.0106605799966724</v>
      </c>
      <c r="D222" t="s" s="12">
        <v>4047</v>
      </c>
      <c r="E222" t="s" s="2">
        <v>10792</v>
      </c>
    </row>
    <row r="223" ht="15.35" customHeight="1">
      <c r="A223" t="s" s="2">
        <v>5060</v>
      </c>
      <c r="B223" s="5">
        <v>750</v>
      </c>
      <c r="C223" s="5">
        <v>0.0106605799966724</v>
      </c>
      <c r="D223" t="s" s="12">
        <v>4047</v>
      </c>
      <c r="E223" t="s" s="2">
        <v>10792</v>
      </c>
    </row>
    <row r="224" ht="15.35" customHeight="1">
      <c r="A224" t="s" s="2">
        <v>4888</v>
      </c>
      <c r="B224" s="5">
        <v>750</v>
      </c>
      <c r="C224" s="5">
        <v>0.0106605799966724</v>
      </c>
      <c r="D224" t="s" s="12">
        <v>4047</v>
      </c>
      <c r="E224" t="s" s="2">
        <v>10792</v>
      </c>
    </row>
    <row r="225" ht="15.35" customHeight="1">
      <c r="A225" t="s" s="2">
        <v>4594</v>
      </c>
      <c r="B225" s="5">
        <v>750</v>
      </c>
      <c r="C225" s="5">
        <v>0.0106605799966724</v>
      </c>
      <c r="D225" t="s" s="12">
        <v>4047</v>
      </c>
      <c r="E225" t="s" s="2">
        <v>10792</v>
      </c>
    </row>
    <row r="226" ht="15.35" customHeight="1">
      <c r="A226" t="s" s="2">
        <v>4825</v>
      </c>
      <c r="B226" s="5">
        <v>750</v>
      </c>
      <c r="C226" s="5">
        <v>0.0106605799966724</v>
      </c>
      <c r="D226" t="s" s="12">
        <v>4047</v>
      </c>
      <c r="E226" t="s" s="2">
        <v>10792</v>
      </c>
    </row>
    <row r="227" ht="15.35" customHeight="1">
      <c r="A227" t="s" s="2">
        <v>5046</v>
      </c>
      <c r="B227" s="5">
        <v>750</v>
      </c>
      <c r="C227" s="5">
        <v>0.0106605799966724</v>
      </c>
      <c r="D227" t="s" s="12">
        <v>4047</v>
      </c>
      <c r="E227" t="s" s="2">
        <v>10792</v>
      </c>
    </row>
    <row r="228" ht="15.35" customHeight="1">
      <c r="A228" t="s" s="2">
        <v>4916</v>
      </c>
      <c r="B228" s="5">
        <v>750</v>
      </c>
      <c r="C228" s="5">
        <v>0.0106605799966724</v>
      </c>
      <c r="D228" t="s" s="12">
        <v>7443</v>
      </c>
      <c r="E228" t="s" s="2">
        <v>10792</v>
      </c>
    </row>
    <row r="229" ht="15.35" customHeight="1">
      <c r="A229" t="s" s="2">
        <v>4932</v>
      </c>
      <c r="B229" s="5">
        <v>750</v>
      </c>
      <c r="C229" s="5">
        <v>0.0106605799966724</v>
      </c>
      <c r="D229" t="s" s="12">
        <v>7443</v>
      </c>
      <c r="E229" t="s" s="2">
        <v>10792</v>
      </c>
    </row>
    <row r="230" ht="15.35" customHeight="1">
      <c r="A230" t="s" s="2">
        <v>8555</v>
      </c>
      <c r="B230" s="5">
        <v>720</v>
      </c>
      <c r="C230" s="5">
        <v>0.0102341567968055</v>
      </c>
      <c r="D230" t="s" s="12">
        <v>6270</v>
      </c>
      <c r="E230" t="s" s="2">
        <v>10792</v>
      </c>
    </row>
    <row r="231" ht="15.35" customHeight="1">
      <c r="A231" t="s" s="2">
        <v>5554</v>
      </c>
      <c r="B231" s="5">
        <v>660</v>
      </c>
      <c r="C231" s="5">
        <v>0.00938131039707178</v>
      </c>
      <c r="D231" t="s" s="2">
        <v>4861</v>
      </c>
      <c r="E231" s="6"/>
    </row>
    <row r="232" ht="15.35" customHeight="1">
      <c r="A232" t="s" s="2">
        <v>5595</v>
      </c>
      <c r="B232" s="5">
        <v>660</v>
      </c>
      <c r="C232" s="5">
        <v>0.00938131039707178</v>
      </c>
      <c r="D232" t="s" s="12">
        <v>4861</v>
      </c>
      <c r="E232" t="s" s="2">
        <v>10792</v>
      </c>
    </row>
    <row r="233" ht="15.35" customHeight="1">
      <c r="A233" t="s" s="2">
        <v>5692</v>
      </c>
      <c r="B233" s="5">
        <v>660</v>
      </c>
      <c r="C233" s="5">
        <v>0.00938131039707178</v>
      </c>
      <c r="D233" t="s" s="12">
        <v>1067</v>
      </c>
      <c r="E233" t="s" s="2">
        <v>10792</v>
      </c>
    </row>
    <row r="234" ht="15.35" customHeight="1">
      <c r="A234" t="s" s="2">
        <v>7972</v>
      </c>
      <c r="B234" s="5">
        <v>650</v>
      </c>
      <c r="C234" s="5">
        <v>0.00923916933044948</v>
      </c>
      <c r="D234" t="s" s="12">
        <v>10794</v>
      </c>
      <c r="E234" t="s" s="2">
        <v>10792</v>
      </c>
    </row>
    <row r="235" ht="15.35" customHeight="1">
      <c r="A235" t="s" s="2">
        <v>8102</v>
      </c>
      <c r="B235" s="5">
        <v>650</v>
      </c>
      <c r="C235" s="5">
        <v>0.00923916933044948</v>
      </c>
      <c r="D235" t="s" s="2">
        <v>8074</v>
      </c>
      <c r="E235" s="6"/>
    </row>
    <row r="236" ht="15.35" customHeight="1">
      <c r="A236" t="s" s="2">
        <v>6703</v>
      </c>
      <c r="B236" s="5">
        <v>600</v>
      </c>
      <c r="C236" s="5">
        <v>0.00852846399733798</v>
      </c>
      <c r="D236" t="s" s="2">
        <v>5955</v>
      </c>
      <c r="E236" s="6"/>
    </row>
    <row r="237" ht="15.35" customHeight="1">
      <c r="A237" t="s" s="2">
        <v>8669</v>
      </c>
      <c r="B237" s="5">
        <v>600</v>
      </c>
      <c r="C237" s="5">
        <v>0.00852846399733798</v>
      </c>
      <c r="D237" t="s" s="2">
        <v>6174</v>
      </c>
      <c r="E237" s="6"/>
    </row>
    <row r="238" ht="15.35" customHeight="1">
      <c r="A238" t="s" s="2">
        <v>8678</v>
      </c>
      <c r="B238" s="5">
        <v>600</v>
      </c>
      <c r="C238" s="5">
        <v>0.00852846399733798</v>
      </c>
      <c r="D238" t="s" s="2">
        <v>6174</v>
      </c>
      <c r="E238" s="6"/>
    </row>
    <row r="239" ht="15.35" customHeight="1">
      <c r="A239" t="s" s="2">
        <v>7917</v>
      </c>
      <c r="B239" s="5">
        <v>600</v>
      </c>
      <c r="C239" s="5">
        <v>0.00852846399733798</v>
      </c>
      <c r="D239" t="s" s="2">
        <v>7869</v>
      </c>
      <c r="E239" s="6"/>
    </row>
    <row r="240" ht="15.35" customHeight="1">
      <c r="A240" t="s" s="2">
        <v>6090</v>
      </c>
      <c r="B240" s="5">
        <v>600</v>
      </c>
      <c r="C240" s="5">
        <v>0.00852846399733798</v>
      </c>
      <c r="D240" t="s" s="2">
        <v>5955</v>
      </c>
      <c r="E240" s="6"/>
    </row>
    <row r="241" ht="15.35" customHeight="1">
      <c r="A241" t="s" s="2">
        <v>6233</v>
      </c>
      <c r="B241" s="5">
        <v>600</v>
      </c>
      <c r="C241" s="5">
        <v>0.00852846399733798</v>
      </c>
      <c r="D241" t="s" s="2">
        <v>5955</v>
      </c>
      <c r="E241" s="6"/>
    </row>
    <row r="242" ht="15.35" customHeight="1">
      <c r="A242" t="s" s="2">
        <v>6673</v>
      </c>
      <c r="B242" s="5">
        <v>600</v>
      </c>
      <c r="C242" s="5">
        <v>0.00852846399733798</v>
      </c>
      <c r="D242" t="s" s="2">
        <v>5955</v>
      </c>
      <c r="E242" s="6"/>
    </row>
    <row r="243" ht="15.35" customHeight="1">
      <c r="A243" t="s" s="2">
        <v>8385</v>
      </c>
      <c r="B243" s="5">
        <v>600</v>
      </c>
      <c r="C243" s="5">
        <v>0.00852846399733798</v>
      </c>
      <c r="D243" t="s" s="12">
        <v>10794</v>
      </c>
      <c r="E243" t="s" s="2">
        <v>10792</v>
      </c>
    </row>
    <row r="244" ht="15.35" customHeight="1">
      <c r="A244" t="s" s="2">
        <v>6913</v>
      </c>
      <c r="B244" s="5">
        <v>600</v>
      </c>
      <c r="C244" s="5">
        <v>0.00852846399733798</v>
      </c>
      <c r="D244" t="s" s="12">
        <v>10794</v>
      </c>
      <c r="E244" t="s" s="2">
        <v>10792</v>
      </c>
    </row>
    <row r="245" ht="15.35" customHeight="1">
      <c r="A245" t="s" s="2">
        <v>6838</v>
      </c>
      <c r="B245" s="5">
        <v>600</v>
      </c>
      <c r="C245" s="5">
        <v>0.00852846399733798</v>
      </c>
      <c r="D245" t="s" s="12">
        <v>10794</v>
      </c>
      <c r="E245" t="s" s="2">
        <v>10792</v>
      </c>
    </row>
    <row r="246" ht="15.35" customHeight="1">
      <c r="A246" t="s" s="2">
        <v>6468</v>
      </c>
      <c r="B246" s="5">
        <v>600</v>
      </c>
      <c r="C246" s="5">
        <v>0.00852846399733798</v>
      </c>
      <c r="D246" t="s" s="12">
        <v>4047</v>
      </c>
      <c r="E246" t="s" s="2">
        <v>10792</v>
      </c>
    </row>
    <row r="247" ht="15.35" customHeight="1">
      <c r="A247" t="s" s="2">
        <v>6924</v>
      </c>
      <c r="B247" s="5">
        <v>600</v>
      </c>
      <c r="C247" s="5">
        <v>0.00852846399733798</v>
      </c>
      <c r="D247" t="s" s="12">
        <v>4047</v>
      </c>
      <c r="E247" t="s" s="2">
        <v>10792</v>
      </c>
    </row>
    <row r="248" ht="15.35" customHeight="1">
      <c r="A248" t="s" s="2">
        <v>8752</v>
      </c>
      <c r="B248" s="5">
        <v>600</v>
      </c>
      <c r="C248" s="5">
        <v>0.00852846399733798</v>
      </c>
      <c r="D248" t="s" s="2">
        <v>7996</v>
      </c>
      <c r="E248" s="6"/>
    </row>
    <row r="249" ht="15.35" customHeight="1">
      <c r="A249" t="s" s="2">
        <v>9035</v>
      </c>
      <c r="B249" s="5">
        <v>600</v>
      </c>
      <c r="C249" s="5">
        <v>0.00852846399733798</v>
      </c>
      <c r="D249" t="s" s="12">
        <v>8082</v>
      </c>
      <c r="E249" t="s" s="2">
        <v>10792</v>
      </c>
    </row>
    <row r="250" ht="15.35" customHeight="1">
      <c r="A250" t="s" s="2">
        <v>8464</v>
      </c>
      <c r="B250" s="5">
        <v>600</v>
      </c>
      <c r="C250" s="5">
        <v>0.00852846399733798</v>
      </c>
      <c r="D250" s="6"/>
      <c r="E250" s="6"/>
    </row>
    <row r="251" ht="15.35" customHeight="1">
      <c r="A251" t="s" s="2">
        <v>8809</v>
      </c>
      <c r="B251" s="5">
        <v>600</v>
      </c>
      <c r="C251" s="5">
        <v>0.00852846399733798</v>
      </c>
      <c r="D251" t="s" s="12">
        <v>6270</v>
      </c>
      <c r="E251" t="s" s="2">
        <v>10792</v>
      </c>
    </row>
    <row r="252" ht="15.35" customHeight="1">
      <c r="A252" t="s" s="2">
        <v>6269</v>
      </c>
      <c r="B252" s="5">
        <v>600</v>
      </c>
      <c r="C252" s="5">
        <v>0.00852846399733798</v>
      </c>
      <c r="D252" t="s" s="2">
        <v>6270</v>
      </c>
      <c r="E252" t="s" s="2">
        <v>10792</v>
      </c>
    </row>
    <row r="253" ht="15.35" customHeight="1">
      <c r="A253" t="s" s="2">
        <v>6284</v>
      </c>
      <c r="B253" s="5">
        <v>600</v>
      </c>
      <c r="C253" s="5">
        <v>0.00852846399733798</v>
      </c>
      <c r="D253" t="s" s="2">
        <v>6270</v>
      </c>
      <c r="E253" s="6"/>
    </row>
    <row r="254" ht="15.35" customHeight="1">
      <c r="A254" t="s" s="2">
        <v>8815</v>
      </c>
      <c r="B254" s="5">
        <v>600</v>
      </c>
      <c r="C254" s="5">
        <v>0.00852846399733798</v>
      </c>
      <c r="D254" t="s" s="12">
        <v>6270</v>
      </c>
      <c r="E254" t="s" s="2">
        <v>10792</v>
      </c>
    </row>
    <row r="255" ht="15.35" customHeight="1">
      <c r="A255" t="s" s="2">
        <v>7360</v>
      </c>
      <c r="B255" s="5">
        <v>599</v>
      </c>
      <c r="C255" s="5">
        <v>0.00851424989067575</v>
      </c>
      <c r="D255" s="6"/>
      <c r="E255" s="6"/>
    </row>
    <row r="256" ht="15.35" customHeight="1">
      <c r="A256" t="s" s="2">
        <v>7363</v>
      </c>
      <c r="B256" s="5">
        <v>599</v>
      </c>
      <c r="C256" s="5">
        <v>0.00851424989067575</v>
      </c>
      <c r="D256" s="6"/>
      <c r="E256" s="6"/>
    </row>
    <row r="257" ht="15.35" customHeight="1">
      <c r="A257" t="s" s="2">
        <v>7356</v>
      </c>
      <c r="B257" s="5">
        <v>599</v>
      </c>
      <c r="C257" s="5">
        <v>0.00851424989067575</v>
      </c>
      <c r="D257" s="6"/>
      <c r="E257" s="6"/>
    </row>
    <row r="258" ht="15.35" customHeight="1">
      <c r="A258" t="s" s="2">
        <v>8010</v>
      </c>
      <c r="B258" s="5">
        <v>550</v>
      </c>
      <c r="C258" s="5">
        <v>0.00781775866422648</v>
      </c>
      <c r="D258" t="s" s="2">
        <v>7996</v>
      </c>
      <c r="E258" s="6"/>
    </row>
    <row r="259" ht="15.35" customHeight="1">
      <c r="A259" t="s" s="2">
        <v>8034</v>
      </c>
      <c r="B259" s="5">
        <v>500</v>
      </c>
      <c r="C259" s="5">
        <v>0.00710705333111498</v>
      </c>
      <c r="D259" t="s" s="12">
        <v>10794</v>
      </c>
      <c r="E259" t="s" s="2">
        <v>10792</v>
      </c>
    </row>
    <row r="260" ht="15.35" customHeight="1">
      <c r="A260" t="s" s="2">
        <v>7639</v>
      </c>
      <c r="B260" s="5">
        <v>500</v>
      </c>
      <c r="C260" s="5">
        <v>0.00710705333111498</v>
      </c>
      <c r="D260" t="s" s="12">
        <v>10798</v>
      </c>
      <c r="E260" t="s" s="2">
        <v>10792</v>
      </c>
    </row>
    <row r="261" ht="15.35" customHeight="1">
      <c r="A261" t="s" s="2">
        <v>7711</v>
      </c>
      <c r="B261" s="5">
        <v>450</v>
      </c>
      <c r="C261" s="5">
        <v>0.00639634799800348</v>
      </c>
      <c r="D261" t="s" s="2">
        <v>7712</v>
      </c>
      <c r="E261" s="6"/>
    </row>
    <row r="262" ht="15.35" customHeight="1">
      <c r="A262" t="s" s="2">
        <v>8142</v>
      </c>
      <c r="B262" s="5">
        <v>450</v>
      </c>
      <c r="C262" s="5">
        <v>0.00639634799800348</v>
      </c>
      <c r="D262" t="s" s="2">
        <v>7996</v>
      </c>
      <c r="E262" s="6"/>
    </row>
    <row r="263" ht="15.35" customHeight="1">
      <c r="A263" t="s" s="2">
        <v>9120</v>
      </c>
      <c r="B263" s="5">
        <v>404</v>
      </c>
      <c r="C263" s="5">
        <v>0.0057424990915409</v>
      </c>
      <c r="D263" t="s" s="12">
        <v>8082</v>
      </c>
      <c r="E263" t="s" s="2">
        <v>10792</v>
      </c>
    </row>
    <row r="264" ht="15.35" customHeight="1">
      <c r="A264" t="s" s="2">
        <v>7757</v>
      </c>
      <c r="B264" s="5">
        <v>400</v>
      </c>
      <c r="C264" s="5">
        <v>0.00568564266489198</v>
      </c>
      <c r="D264" t="s" s="12">
        <v>4047</v>
      </c>
      <c r="E264" t="s" s="2">
        <v>10792</v>
      </c>
    </row>
    <row r="265" ht="15.35" customHeight="1">
      <c r="A265" t="s" s="2">
        <v>7995</v>
      </c>
      <c r="B265" s="5">
        <v>400</v>
      </c>
      <c r="C265" s="5">
        <v>0.00568564266489198</v>
      </c>
      <c r="D265" t="s" s="2">
        <v>7996</v>
      </c>
      <c r="E265" s="6"/>
    </row>
    <row r="266" ht="15.35" customHeight="1">
      <c r="A266" t="s" s="2">
        <v>8454</v>
      </c>
      <c r="B266" s="5">
        <v>400</v>
      </c>
      <c r="C266" s="5">
        <v>0.00568564266489198</v>
      </c>
      <c r="D266" s="6"/>
      <c r="E266" s="6"/>
    </row>
    <row r="267" ht="15.35" customHeight="1">
      <c r="A267" t="s" s="2">
        <v>9027</v>
      </c>
      <c r="B267" s="5">
        <v>370</v>
      </c>
      <c r="C267" s="5">
        <v>0.00525921946502508</v>
      </c>
      <c r="D267" t="s" s="12">
        <v>8074</v>
      </c>
      <c r="E267" t="s" s="2">
        <v>10792</v>
      </c>
    </row>
    <row r="268" ht="15.35" customHeight="1">
      <c r="A268" t="s" s="2">
        <v>8550</v>
      </c>
      <c r="B268" s="5">
        <v>360</v>
      </c>
      <c r="C268" s="5">
        <v>0.00511707839840278</v>
      </c>
      <c r="D268" s="6"/>
      <c r="E268" s="6"/>
    </row>
    <row r="269" ht="15.35" customHeight="1">
      <c r="A269" t="s" s="2">
        <v>8425</v>
      </c>
      <c r="B269" s="5">
        <v>360</v>
      </c>
      <c r="C269" s="5">
        <v>0.00511707839840278</v>
      </c>
      <c r="D269" t="s" s="12">
        <v>6270</v>
      </c>
      <c r="E269" t="s" s="2">
        <v>10792</v>
      </c>
    </row>
    <row r="270" ht="15.35" customHeight="1">
      <c r="A270" t="s" s="2">
        <v>8588</v>
      </c>
      <c r="B270" s="5">
        <v>350</v>
      </c>
      <c r="C270" s="5">
        <v>0.00497493733178048</v>
      </c>
      <c r="D270" s="6"/>
      <c r="E270" s="6"/>
    </row>
    <row r="271" ht="15.35" customHeight="1">
      <c r="A271" t="s" s="2">
        <v>8606</v>
      </c>
      <c r="B271" s="5">
        <v>310</v>
      </c>
      <c r="C271" s="5">
        <v>0.00440637306529129</v>
      </c>
      <c r="D271" t="s" s="12">
        <v>6270</v>
      </c>
      <c r="E271" t="s" s="2">
        <v>10792</v>
      </c>
    </row>
    <row r="272" ht="15.35" customHeight="1">
      <c r="A272" t="s" s="2">
        <v>8788</v>
      </c>
      <c r="B272" s="5">
        <v>300</v>
      </c>
      <c r="C272" s="5">
        <v>0.00426423199866899</v>
      </c>
      <c r="D272" t="s" s="2">
        <v>6174</v>
      </c>
      <c r="E272" s="6"/>
    </row>
    <row r="273" ht="15.35" customHeight="1">
      <c r="A273" t="s" s="2">
        <v>8838</v>
      </c>
      <c r="B273" s="5">
        <v>300</v>
      </c>
      <c r="C273" s="5">
        <v>0.00426423199866899</v>
      </c>
      <c r="D273" t="s" s="2">
        <v>6174</v>
      </c>
      <c r="E273" s="6"/>
    </row>
    <row r="274" ht="15.35" customHeight="1">
      <c r="A274" t="s" s="2">
        <v>8906</v>
      </c>
      <c r="B274" s="5">
        <v>300</v>
      </c>
      <c r="C274" s="5">
        <v>0.00426423199866899</v>
      </c>
      <c r="D274" t="s" s="2">
        <v>6174</v>
      </c>
      <c r="E274" s="6"/>
    </row>
    <row r="275" ht="15.35" customHeight="1">
      <c r="A275" t="s" s="2">
        <v>8643</v>
      </c>
      <c r="B275" s="5">
        <v>300</v>
      </c>
      <c r="C275" s="5">
        <v>0.00426423199866899</v>
      </c>
      <c r="D275" t="s" s="12">
        <v>6270</v>
      </c>
      <c r="E275" t="s" s="2">
        <v>10792</v>
      </c>
    </row>
    <row r="276" ht="15.35" customHeight="1">
      <c r="A276" t="s" s="2">
        <v>8873</v>
      </c>
      <c r="B276" s="5">
        <v>300</v>
      </c>
      <c r="C276" s="5">
        <v>0.00426423199866899</v>
      </c>
      <c r="D276" t="s" s="12">
        <v>6270</v>
      </c>
      <c r="E276" t="s" s="2">
        <v>10792</v>
      </c>
    </row>
    <row r="277" ht="15.35" customHeight="1">
      <c r="A277" t="s" s="2">
        <v>9639</v>
      </c>
      <c r="B277" s="5">
        <v>280</v>
      </c>
      <c r="C277" s="5">
        <v>0.00397994986542439</v>
      </c>
      <c r="D277" s="6"/>
      <c r="E277" s="6"/>
    </row>
    <row r="278" ht="15.35" customHeight="1">
      <c r="A278" t="s" s="2">
        <v>8957</v>
      </c>
      <c r="B278" s="5">
        <v>260</v>
      </c>
      <c r="C278" s="5">
        <v>0.00369566773217979</v>
      </c>
      <c r="D278" s="6"/>
      <c r="E278" s="6"/>
    </row>
    <row r="279" ht="15.35" customHeight="1">
      <c r="A279" t="s" s="2">
        <v>8014</v>
      </c>
      <c r="B279" s="5">
        <v>250</v>
      </c>
      <c r="C279" s="5">
        <v>0.00355352666555749</v>
      </c>
      <c r="D279" t="s" s="12">
        <v>7869</v>
      </c>
      <c r="E279" t="s" s="2">
        <v>10792</v>
      </c>
    </row>
    <row r="280" ht="15.35" customHeight="1">
      <c r="A280" t="s" s="2">
        <v>7976</v>
      </c>
      <c r="B280" s="5">
        <v>250</v>
      </c>
      <c r="C280" s="5">
        <v>0.00355352666555749</v>
      </c>
      <c r="D280" t="s" s="12">
        <v>10794</v>
      </c>
      <c r="E280" t="s" s="2">
        <v>10792</v>
      </c>
    </row>
    <row r="281" ht="15.35" customHeight="1">
      <c r="A281" t="s" s="2">
        <v>7992</v>
      </c>
      <c r="B281" s="5">
        <v>250</v>
      </c>
      <c r="C281" s="5">
        <v>0.00355352666555749</v>
      </c>
      <c r="D281" t="s" s="12">
        <v>4047</v>
      </c>
      <c r="E281" t="s" s="2">
        <v>10792</v>
      </c>
    </row>
    <row r="282" ht="15.35" customHeight="1">
      <c r="A282" t="s" s="2">
        <v>8028</v>
      </c>
      <c r="B282" s="5">
        <v>250</v>
      </c>
      <c r="C282" s="5">
        <v>0.00355352666555749</v>
      </c>
      <c r="D282" t="s" s="12">
        <v>8082</v>
      </c>
      <c r="E282" t="s" s="2">
        <v>10792</v>
      </c>
    </row>
    <row r="283" ht="15.35" customHeight="1">
      <c r="A283" t="s" s="2">
        <v>8007</v>
      </c>
      <c r="B283" s="5">
        <v>250</v>
      </c>
      <c r="C283" s="5">
        <v>0.00355352666555749</v>
      </c>
      <c r="D283" s="6"/>
      <c r="E283" s="6"/>
    </row>
    <row r="284" ht="15.35" customHeight="1">
      <c r="A284" t="s" s="2">
        <v>9040</v>
      </c>
      <c r="B284" s="5">
        <v>240</v>
      </c>
      <c r="C284" s="5">
        <v>0.00341138559893519</v>
      </c>
      <c r="D284" t="s" s="12">
        <v>8074</v>
      </c>
      <c r="E284" t="s" s="2">
        <v>10792</v>
      </c>
    </row>
    <row r="285" ht="15.35" customHeight="1">
      <c r="A285" t="s" s="2">
        <v>8357</v>
      </c>
      <c r="B285" s="5">
        <v>225</v>
      </c>
      <c r="C285" s="5">
        <v>0.00319817399900174</v>
      </c>
      <c r="D285" s="6"/>
      <c r="E285" s="6"/>
    </row>
    <row r="286" ht="15.35" customHeight="1">
      <c r="A286" t="s" s="2">
        <v>8390</v>
      </c>
      <c r="B286" s="5">
        <v>225</v>
      </c>
      <c r="C286" s="5">
        <v>0.00319817399900174</v>
      </c>
      <c r="D286" t="s" s="12">
        <v>8082</v>
      </c>
      <c r="E286" t="s" s="2">
        <v>10792</v>
      </c>
    </row>
    <row r="287" ht="15.35" customHeight="1">
      <c r="A287" t="s" s="2">
        <v>8469</v>
      </c>
      <c r="B287" s="5">
        <v>200</v>
      </c>
      <c r="C287" s="5">
        <v>0.00284282133244599</v>
      </c>
      <c r="D287" t="s" s="2">
        <v>6174</v>
      </c>
      <c r="E287" s="6"/>
    </row>
    <row r="288" ht="15.35" customHeight="1">
      <c r="A288" t="s" s="2">
        <v>8419</v>
      </c>
      <c r="B288" s="5">
        <v>200</v>
      </c>
      <c r="C288" s="5">
        <v>0.00284282133244599</v>
      </c>
      <c r="D288" s="6"/>
      <c r="E288" s="6"/>
    </row>
    <row r="289" ht="15.35" customHeight="1">
      <c r="A289" t="s" s="2">
        <v>8524</v>
      </c>
      <c r="B289" s="5">
        <v>200</v>
      </c>
      <c r="C289" s="5">
        <v>0.00284282133244599</v>
      </c>
      <c r="D289" s="6"/>
      <c r="E289" s="6"/>
    </row>
    <row r="290" ht="15.35" customHeight="1">
      <c r="A290" t="s" s="2">
        <v>8994</v>
      </c>
      <c r="B290" s="5">
        <v>190</v>
      </c>
      <c r="C290" s="5">
        <v>0.00270068026582369</v>
      </c>
      <c r="D290" t="s" s="12">
        <v>6174</v>
      </c>
      <c r="E290" t="s" s="2">
        <v>10792</v>
      </c>
    </row>
    <row r="291" ht="15.35" customHeight="1">
      <c r="A291" t="s" s="2">
        <v>9130</v>
      </c>
      <c r="B291" s="5">
        <v>187</v>
      </c>
      <c r="C291" s="5">
        <v>0.002658037945837</v>
      </c>
      <c r="D291" t="s" s="12">
        <v>8074</v>
      </c>
      <c r="E291" t="s" s="2">
        <v>10792</v>
      </c>
    </row>
    <row r="292" ht="15.35" customHeight="1">
      <c r="A292" t="s" s="2">
        <v>8542</v>
      </c>
      <c r="B292" s="5">
        <v>180</v>
      </c>
      <c r="C292" s="5">
        <v>0.00255853919920139</v>
      </c>
      <c r="D292" s="6"/>
      <c r="E292" s="6"/>
    </row>
    <row r="293" ht="15.35" customHeight="1">
      <c r="A293" t="s" s="2">
        <v>8546</v>
      </c>
      <c r="B293" s="5">
        <v>180</v>
      </c>
      <c r="C293" s="5">
        <v>0.00255853919920139</v>
      </c>
      <c r="D293" s="6"/>
      <c r="E293" s="6"/>
    </row>
    <row r="294" ht="15.35" customHeight="1">
      <c r="A294" t="s" s="2">
        <v>8561</v>
      </c>
      <c r="B294" s="5">
        <v>180</v>
      </c>
      <c r="C294" s="5">
        <v>0.00255853919920139</v>
      </c>
      <c r="D294" s="6"/>
      <c r="E294" s="6"/>
    </row>
    <row r="295" ht="15.35" customHeight="1">
      <c r="A295" t="s" s="2">
        <v>8583</v>
      </c>
      <c r="B295" s="5">
        <v>175</v>
      </c>
      <c r="C295" s="5">
        <v>0.00248746866589024</v>
      </c>
      <c r="D295" s="6"/>
      <c r="E295" s="6"/>
    </row>
    <row r="296" ht="15.35" customHeight="1">
      <c r="A296" t="s" s="2">
        <v>8598</v>
      </c>
      <c r="B296" s="5">
        <v>160</v>
      </c>
      <c r="C296" s="5">
        <v>0.00227425706595679</v>
      </c>
      <c r="D296" s="6"/>
      <c r="E296" s="6"/>
    </row>
    <row r="297" ht="15.35" customHeight="1">
      <c r="A297" t="s" s="2">
        <v>8596</v>
      </c>
      <c r="B297" s="5">
        <v>160</v>
      </c>
      <c r="C297" s="5">
        <v>0.00227425706595679</v>
      </c>
      <c r="D297" t="s" s="12">
        <v>6270</v>
      </c>
      <c r="E297" t="s" s="2">
        <v>10792</v>
      </c>
    </row>
    <row r="298" ht="15.35" customHeight="1">
      <c r="A298" t="s" s="2">
        <v>8661</v>
      </c>
      <c r="B298" s="5">
        <v>150</v>
      </c>
      <c r="C298" s="5">
        <v>0.00213211599933449</v>
      </c>
      <c r="D298" t="s" s="2">
        <v>6174</v>
      </c>
      <c r="E298" s="6"/>
    </row>
    <row r="299" ht="15.35" customHeight="1">
      <c r="A299" t="s" s="2">
        <v>8702</v>
      </c>
      <c r="B299" s="5">
        <v>150</v>
      </c>
      <c r="C299" s="5">
        <v>0.00213211599933449</v>
      </c>
      <c r="D299" s="6"/>
      <c r="E299" s="6"/>
    </row>
    <row r="300" ht="15.35" customHeight="1">
      <c r="A300" t="s" s="2">
        <v>8682</v>
      </c>
      <c r="B300" s="5">
        <v>150</v>
      </c>
      <c r="C300" s="5">
        <v>0.00213211599933449</v>
      </c>
      <c r="D300" s="6"/>
      <c r="E300" s="6"/>
    </row>
    <row r="301" ht="15.35" customHeight="1">
      <c r="A301" t="s" s="2">
        <v>8885</v>
      </c>
      <c r="B301" s="5">
        <v>150</v>
      </c>
      <c r="C301" s="5">
        <v>0.00213211599933449</v>
      </c>
      <c r="D301" t="s" s="12">
        <v>10794</v>
      </c>
      <c r="E301" t="s" s="2">
        <v>10792</v>
      </c>
    </row>
    <row r="302" ht="15.35" customHeight="1">
      <c r="A302" t="s" s="2">
        <v>8716</v>
      </c>
      <c r="B302" s="5">
        <v>150</v>
      </c>
      <c r="C302" s="5">
        <v>0.00213211599933449</v>
      </c>
      <c r="D302" t="s" s="12">
        <v>10794</v>
      </c>
      <c r="E302" t="s" s="2">
        <v>10792</v>
      </c>
    </row>
    <row r="303" ht="15.35" customHeight="1">
      <c r="A303" t="s" s="2">
        <v>8622</v>
      </c>
      <c r="B303" s="5">
        <v>150</v>
      </c>
      <c r="C303" s="5">
        <v>0.00213211599933449</v>
      </c>
      <c r="D303" t="s" s="12">
        <v>10794</v>
      </c>
      <c r="E303" t="s" s="2">
        <v>10792</v>
      </c>
    </row>
    <row r="304" ht="15.35" customHeight="1">
      <c r="A304" t="s" s="2">
        <v>8616</v>
      </c>
      <c r="B304" s="5">
        <v>150</v>
      </c>
      <c r="C304" s="5">
        <v>0.00213211599933449</v>
      </c>
      <c r="D304" t="s" s="12">
        <v>10798</v>
      </c>
      <c r="E304" t="s" s="2">
        <v>10792</v>
      </c>
    </row>
    <row r="305" ht="15.35" customHeight="1">
      <c r="A305" t="s" s="2">
        <v>8771</v>
      </c>
      <c r="B305" s="5">
        <v>150</v>
      </c>
      <c r="C305" s="5">
        <v>0.00213211599933449</v>
      </c>
      <c r="D305" t="s" s="2">
        <v>7996</v>
      </c>
      <c r="E305" s="6"/>
    </row>
    <row r="306" ht="15.35" customHeight="1">
      <c r="A306" t="s" s="2">
        <v>8625</v>
      </c>
      <c r="B306" s="5">
        <v>150</v>
      </c>
      <c r="C306" s="5">
        <v>0.00213211599933449</v>
      </c>
      <c r="D306" s="6"/>
      <c r="E306" s="6"/>
    </row>
    <row r="307" ht="15.35" customHeight="1">
      <c r="A307" t="s" s="2">
        <v>9032</v>
      </c>
      <c r="B307" s="5">
        <v>150</v>
      </c>
      <c r="C307" s="5">
        <v>0.00213211599933449</v>
      </c>
      <c r="D307" t="s" s="12">
        <v>8082</v>
      </c>
      <c r="E307" t="s" s="2">
        <v>10792</v>
      </c>
    </row>
    <row r="308" ht="15.35" customHeight="1">
      <c r="A308" t="s" s="2">
        <v>8934</v>
      </c>
      <c r="B308" s="5">
        <v>150</v>
      </c>
      <c r="C308" s="5">
        <v>0.00213211599933449</v>
      </c>
      <c r="D308" s="6"/>
      <c r="E308" s="6"/>
    </row>
    <row r="309" ht="15.35" customHeight="1">
      <c r="A309" t="s" s="2">
        <v>8657</v>
      </c>
      <c r="B309" s="5">
        <v>150</v>
      </c>
      <c r="C309" s="5">
        <v>0.00213211599933449</v>
      </c>
      <c r="D309" s="6"/>
      <c r="E309" s="6"/>
    </row>
    <row r="310" ht="15.35" customHeight="1">
      <c r="A310" t="s" s="2">
        <v>8812</v>
      </c>
      <c r="B310" s="5">
        <v>150</v>
      </c>
      <c r="C310" s="5">
        <v>0.00213211599933449</v>
      </c>
      <c r="D310" s="6"/>
      <c r="E310" s="6"/>
    </row>
    <row r="311" ht="15.35" customHeight="1">
      <c r="A311" t="s" s="2">
        <v>8651</v>
      </c>
      <c r="B311" s="5">
        <v>150</v>
      </c>
      <c r="C311" s="5">
        <v>0.00213211599933449</v>
      </c>
      <c r="D311" t="s" s="12">
        <v>6270</v>
      </c>
      <c r="E311" t="s" s="2">
        <v>10792</v>
      </c>
    </row>
    <row r="312" ht="15.35" customHeight="1">
      <c r="A312" t="s" s="2">
        <v>8870</v>
      </c>
      <c r="B312" s="5">
        <v>150</v>
      </c>
      <c r="C312" s="5">
        <v>0.00213211599933449</v>
      </c>
      <c r="D312" t="s" s="12">
        <v>6270</v>
      </c>
      <c r="E312" t="s" s="2">
        <v>10792</v>
      </c>
    </row>
    <row r="313" ht="15.35" customHeight="1">
      <c r="A313" t="s" s="2">
        <v>8730</v>
      </c>
      <c r="B313" s="5">
        <v>150</v>
      </c>
      <c r="C313" s="5">
        <v>0.00213211599933449</v>
      </c>
      <c r="D313" t="s" s="12">
        <v>6270</v>
      </c>
      <c r="E313" t="s" s="2">
        <v>10792</v>
      </c>
    </row>
    <row r="314" ht="15.35" customHeight="1">
      <c r="A314" t="s" s="2">
        <v>9059</v>
      </c>
      <c r="B314" s="5">
        <v>150</v>
      </c>
      <c r="C314" s="5">
        <v>0.00213211599933449</v>
      </c>
      <c r="D314" s="6"/>
      <c r="E314" s="6"/>
    </row>
    <row r="315" ht="15.35" customHeight="1">
      <c r="A315" t="s" s="2">
        <v>9053</v>
      </c>
      <c r="B315" s="5">
        <v>150</v>
      </c>
      <c r="C315" s="5">
        <v>0.00213211599933449</v>
      </c>
      <c r="D315" s="6"/>
      <c r="E315" s="6"/>
    </row>
    <row r="316" ht="15.35" customHeight="1">
      <c r="A316" t="s" s="2">
        <v>9136</v>
      </c>
      <c r="B316" s="5">
        <v>135</v>
      </c>
      <c r="C316" s="5">
        <v>0.00191890439940104</v>
      </c>
      <c r="D316" t="s" s="12">
        <v>8082</v>
      </c>
      <c r="E316" t="s" s="2">
        <v>10792</v>
      </c>
    </row>
    <row r="317" ht="15.35" customHeight="1">
      <c r="A317" t="s" s="2">
        <v>8967</v>
      </c>
      <c r="B317" s="5">
        <v>120</v>
      </c>
      <c r="C317" s="5">
        <v>0.00170569279946759</v>
      </c>
      <c r="D317" t="s" s="12">
        <v>6270</v>
      </c>
      <c r="E317" t="s" s="2">
        <v>10792</v>
      </c>
    </row>
    <row r="318" ht="15.35" customHeight="1">
      <c r="A318" t="s" s="2">
        <v>9098</v>
      </c>
      <c r="B318" s="5">
        <v>100</v>
      </c>
      <c r="C318" s="5">
        <v>0.00142141066622299</v>
      </c>
      <c r="D318" t="s" s="12">
        <v>10798</v>
      </c>
      <c r="E318" t="s" s="2">
        <v>10792</v>
      </c>
    </row>
    <row r="319" ht="15.35" customHeight="1">
      <c r="A319" t="s" s="2">
        <v>8971</v>
      </c>
      <c r="B319" s="5">
        <v>100</v>
      </c>
      <c r="C319" s="5">
        <v>0.00142141066622299</v>
      </c>
      <c r="D319" t="s" s="12">
        <v>8082</v>
      </c>
      <c r="E319" t="s" s="2">
        <v>10792</v>
      </c>
    </row>
    <row r="320" ht="15.35" customHeight="1">
      <c r="A320" t="s" s="2">
        <v>8975</v>
      </c>
      <c r="B320" s="5">
        <v>100</v>
      </c>
      <c r="C320" s="5">
        <v>0.00142141066622299</v>
      </c>
      <c r="D320" t="s" s="12">
        <v>6270</v>
      </c>
      <c r="E320" t="s" s="2">
        <v>10792</v>
      </c>
    </row>
    <row r="321" ht="15.35" customHeight="1">
      <c r="A321" t="s" s="2">
        <v>8983</v>
      </c>
      <c r="B321" s="5">
        <v>99</v>
      </c>
      <c r="C321" s="5">
        <v>0.00140719655956076</v>
      </c>
      <c r="D321" s="6"/>
      <c r="E321" s="6"/>
    </row>
    <row r="322" ht="15.35" customHeight="1">
      <c r="A322" t="s" s="2">
        <v>8979</v>
      </c>
      <c r="B322" s="5">
        <v>99</v>
      </c>
      <c r="C322" s="5">
        <v>0.00140719655956076</v>
      </c>
      <c r="D322" s="6"/>
      <c r="E322" s="6"/>
    </row>
    <row r="323" ht="15.35" customHeight="1">
      <c r="A323" t="s" s="2">
        <v>8989</v>
      </c>
      <c r="B323" s="5">
        <v>95</v>
      </c>
      <c r="C323" s="5">
        <v>0.00135034013291184</v>
      </c>
      <c r="D323" s="6"/>
      <c r="E323" s="6"/>
    </row>
    <row r="324" ht="15.35" customHeight="1">
      <c r="A324" t="s" s="2">
        <v>9005</v>
      </c>
      <c r="B324" s="5">
        <v>95</v>
      </c>
      <c r="C324" s="5">
        <v>0.00135034013291184</v>
      </c>
      <c r="D324" s="6"/>
      <c r="E324" s="6"/>
    </row>
    <row r="325" ht="15.35" customHeight="1">
      <c r="A325" t="s" s="2">
        <v>9601</v>
      </c>
      <c r="B325" s="5">
        <v>90</v>
      </c>
      <c r="C325" s="5">
        <v>0.00127926959960069</v>
      </c>
      <c r="D325" s="6"/>
      <c r="E325" s="6"/>
    </row>
    <row r="326" ht="15.35" customHeight="1">
      <c r="A326" t="s" s="2">
        <v>9009</v>
      </c>
      <c r="B326" s="5">
        <v>90</v>
      </c>
      <c r="C326" s="5">
        <v>0.00127926959960069</v>
      </c>
      <c r="D326" t="s" s="12">
        <v>8082</v>
      </c>
      <c r="E326" t="s" s="2">
        <v>10792</v>
      </c>
    </row>
    <row r="327" ht="15.35" customHeight="1">
      <c r="A327" t="s" s="2">
        <v>9675</v>
      </c>
      <c r="B327" s="5">
        <v>80</v>
      </c>
      <c r="C327" s="5">
        <v>0.00113712853297839</v>
      </c>
      <c r="D327" s="6"/>
      <c r="E327" s="6"/>
    </row>
    <row r="328" ht="15.35" customHeight="1">
      <c r="A328" t="s" s="2">
        <v>9019</v>
      </c>
      <c r="B328" s="5">
        <v>80</v>
      </c>
      <c r="C328" s="5">
        <v>0.00113712853297839</v>
      </c>
      <c r="D328" s="6"/>
      <c r="E328" s="6"/>
    </row>
    <row r="329" ht="15.35" customHeight="1">
      <c r="A329" t="s" s="2">
        <v>9023</v>
      </c>
      <c r="B329" s="5">
        <v>76</v>
      </c>
      <c r="C329" s="5">
        <v>0.00108027210632947</v>
      </c>
      <c r="D329" s="6"/>
      <c r="E329" s="6"/>
    </row>
    <row r="330" ht="15.35" customHeight="1">
      <c r="A330" t="s" s="2">
        <v>10801</v>
      </c>
      <c r="B330" s="5">
        <v>75</v>
      </c>
      <c r="C330" s="5">
        <v>0.00106605799966724</v>
      </c>
      <c r="D330" s="6"/>
      <c r="E330" s="6"/>
    </row>
    <row r="331" ht="15.35" customHeight="1">
      <c r="A331" t="s" s="2">
        <v>9068</v>
      </c>
      <c r="B331" s="5">
        <v>75</v>
      </c>
      <c r="C331" s="5">
        <v>0.00106605799966724</v>
      </c>
      <c r="D331" t="s" s="12">
        <v>7996</v>
      </c>
      <c r="E331" t="s" s="2">
        <v>10792</v>
      </c>
    </row>
    <row r="332" ht="15.35" customHeight="1">
      <c r="A332" t="s" s="2">
        <v>9047</v>
      </c>
      <c r="B332" s="5">
        <v>75</v>
      </c>
      <c r="C332" s="5">
        <v>0.00106605799966724</v>
      </c>
      <c r="D332" t="s" s="12">
        <v>8082</v>
      </c>
      <c r="E332" t="s" s="2">
        <v>10792</v>
      </c>
    </row>
    <row r="333" ht="15.35" customHeight="1">
      <c r="A333" t="s" s="2">
        <v>9086</v>
      </c>
      <c r="B333" s="5">
        <v>75</v>
      </c>
      <c r="C333" s="5">
        <v>0.00106605799966724</v>
      </c>
      <c r="D333" t="s" s="12">
        <v>8082</v>
      </c>
      <c r="E333" t="s" s="2">
        <v>10792</v>
      </c>
    </row>
    <row r="334" ht="15.35" customHeight="1">
      <c r="A334" t="s" s="2">
        <v>9143</v>
      </c>
      <c r="B334" s="5">
        <v>66</v>
      </c>
      <c r="C334" s="5">
        <v>0.000938131039707178</v>
      </c>
      <c r="D334" s="6"/>
      <c r="E334" s="6"/>
    </row>
    <row r="335" ht="15.35" customHeight="1">
      <c r="A335" t="s" s="2">
        <v>9788</v>
      </c>
      <c r="B335" s="5">
        <v>60</v>
      </c>
      <c r="C335" s="5">
        <v>0.000852846399733798</v>
      </c>
      <c r="D335" s="6"/>
      <c r="E335" s="6"/>
    </row>
    <row r="336" ht="15.35" customHeight="1">
      <c r="A336" t="s" s="2">
        <v>9157</v>
      </c>
      <c r="B336" s="5">
        <v>55</v>
      </c>
      <c r="C336" s="5">
        <v>0.000781775866422648</v>
      </c>
      <c r="D336" t="s" s="12">
        <v>7996</v>
      </c>
      <c r="E336" t="s" s="2">
        <v>10792</v>
      </c>
    </row>
    <row r="337" ht="15.35" customHeight="1">
      <c r="A337" t="s" s="2">
        <v>9189</v>
      </c>
      <c r="B337" s="5">
        <v>55</v>
      </c>
      <c r="C337" s="5">
        <v>0.000781775866422648</v>
      </c>
      <c r="D337" t="s" s="12">
        <v>8082</v>
      </c>
      <c r="E337" t="s" s="2">
        <v>10792</v>
      </c>
    </row>
    <row r="338" ht="15.35" customHeight="1">
      <c r="A338" t="s" s="2">
        <v>9114</v>
      </c>
      <c r="B338" s="5">
        <v>55</v>
      </c>
      <c r="C338" s="5">
        <v>0.000781775866422648</v>
      </c>
      <c r="D338" t="s" s="12">
        <v>8082</v>
      </c>
      <c r="E338" t="s" s="2">
        <v>10792</v>
      </c>
    </row>
    <row r="339" ht="15.35" customHeight="1">
      <c r="A339" t="s" s="2">
        <v>9126</v>
      </c>
      <c r="B339" s="5">
        <v>55</v>
      </c>
      <c r="C339" s="5">
        <v>0.000781775866422648</v>
      </c>
      <c r="D339" t="s" s="12">
        <v>8082</v>
      </c>
      <c r="E339" t="s" s="2">
        <v>10792</v>
      </c>
    </row>
    <row r="340" ht="15.35" customHeight="1">
      <c r="A340" t="s" s="2">
        <v>9149</v>
      </c>
      <c r="B340" s="5">
        <v>55</v>
      </c>
      <c r="C340" s="5">
        <v>0.000781775866422648</v>
      </c>
      <c r="D340" t="s" s="12">
        <v>8074</v>
      </c>
      <c r="E340" t="s" s="2">
        <v>10792</v>
      </c>
    </row>
    <row r="341" ht="15.35" customHeight="1">
      <c r="A341" t="s" s="2">
        <v>9094</v>
      </c>
      <c r="B341" s="5">
        <v>55</v>
      </c>
      <c r="C341" s="5">
        <v>0.000781775866422648</v>
      </c>
      <c r="D341" s="6"/>
      <c r="E341" s="6"/>
    </row>
    <row r="342" ht="15.35" customHeight="1">
      <c r="A342" t="s" s="2">
        <v>9153</v>
      </c>
      <c r="B342" s="5">
        <v>55</v>
      </c>
      <c r="C342" s="5">
        <v>0.000781775866422648</v>
      </c>
      <c r="D342" s="6"/>
      <c r="E342" s="6"/>
    </row>
    <row r="343" ht="15.35" customHeight="1">
      <c r="A343" t="s" s="2">
        <v>9393</v>
      </c>
      <c r="B343" s="5">
        <v>44</v>
      </c>
      <c r="C343" s="5">
        <v>0.000625420693138118</v>
      </c>
      <c r="D343" t="s" s="12">
        <v>7996</v>
      </c>
      <c r="E343" t="s" s="2">
        <v>10792</v>
      </c>
    </row>
    <row r="344" ht="15.35" customHeight="1">
      <c r="A344" t="s" s="2">
        <v>9528</v>
      </c>
      <c r="B344" s="5">
        <v>33</v>
      </c>
      <c r="C344" s="5">
        <v>0.000469065519853589</v>
      </c>
      <c r="D344" s="6"/>
      <c r="E344" s="6"/>
    </row>
    <row r="345" ht="15.35" customHeight="1">
      <c r="A345" t="s" s="2">
        <v>10201</v>
      </c>
      <c r="B345" s="5">
        <v>30</v>
      </c>
      <c r="C345" s="5">
        <v>0.000426423199866899</v>
      </c>
      <c r="D345" s="6"/>
      <c r="E345" s="6"/>
    </row>
    <row r="346" ht="15.35" customHeight="1">
      <c r="A346" t="s" s="2">
        <v>9698</v>
      </c>
      <c r="B346" s="5">
        <v>30</v>
      </c>
      <c r="C346" s="5">
        <v>0.000426423199866899</v>
      </c>
      <c r="D346" s="6"/>
      <c r="E346" s="6"/>
    </row>
    <row r="347" ht="15.35" customHeight="1">
      <c r="A347" t="s" s="2">
        <v>9198</v>
      </c>
      <c r="B347" s="5">
        <v>30</v>
      </c>
      <c r="C347" s="5">
        <v>0.000426423199866899</v>
      </c>
      <c r="D347" t="s" s="12">
        <v>8082</v>
      </c>
      <c r="E347" t="s" s="2">
        <v>10792</v>
      </c>
    </row>
    <row r="348" ht="15.35" customHeight="1">
      <c r="A348" t="s" s="2">
        <v>9194</v>
      </c>
      <c r="B348" s="5">
        <v>30</v>
      </c>
      <c r="C348" s="5">
        <v>0.000426423199866899</v>
      </c>
      <c r="D348" t="s" s="12">
        <v>8074</v>
      </c>
      <c r="E348" t="s" s="2">
        <v>10792</v>
      </c>
    </row>
    <row r="349" ht="15.35" customHeight="1">
      <c r="A349" t="s" s="2">
        <v>9306</v>
      </c>
      <c r="B349" s="5">
        <v>25</v>
      </c>
      <c r="C349" s="5">
        <v>0.000355352666555749</v>
      </c>
      <c r="D349" s="6"/>
      <c r="E349" s="6"/>
    </row>
    <row r="350" ht="15.35" customHeight="1">
      <c r="A350" t="s" s="2">
        <v>9253</v>
      </c>
      <c r="B350" s="5">
        <v>25</v>
      </c>
      <c r="C350" s="5">
        <v>0.000355352666555749</v>
      </c>
      <c r="D350" t="s" s="12">
        <v>8082</v>
      </c>
      <c r="E350" t="s" s="2">
        <v>10792</v>
      </c>
    </row>
    <row r="351" ht="15.35" customHeight="1">
      <c r="A351" t="s" s="2">
        <v>9334</v>
      </c>
      <c r="B351" s="5">
        <v>25</v>
      </c>
      <c r="C351" s="5">
        <v>0.000355352666555749</v>
      </c>
      <c r="D351" t="s" s="12">
        <v>8082</v>
      </c>
      <c r="E351" t="s" s="2">
        <v>10792</v>
      </c>
    </row>
    <row r="352" ht="15.35" customHeight="1">
      <c r="A352" t="s" s="2">
        <v>9269</v>
      </c>
      <c r="B352" s="5">
        <v>25</v>
      </c>
      <c r="C352" s="5">
        <v>0.000355352666555749</v>
      </c>
      <c r="D352" s="6"/>
      <c r="E352" s="6"/>
    </row>
    <row r="353" ht="15.35" customHeight="1">
      <c r="A353" t="s" s="2">
        <v>9401</v>
      </c>
      <c r="B353" s="5">
        <v>22</v>
      </c>
      <c r="C353" s="5">
        <v>0.000312710346569059</v>
      </c>
      <c r="D353" s="6"/>
      <c r="E353" s="6"/>
    </row>
    <row r="354" ht="15.35" customHeight="1">
      <c r="A354" t="s" s="2">
        <v>9405</v>
      </c>
      <c r="B354" s="5">
        <v>22</v>
      </c>
      <c r="C354" s="5">
        <v>0.000312710346569059</v>
      </c>
      <c r="D354" t="s" s="12">
        <v>7996</v>
      </c>
      <c r="E354" t="s" s="2">
        <v>10792</v>
      </c>
    </row>
    <row r="355" ht="15.35" customHeight="1">
      <c r="A355" t="s" s="2">
        <v>9408</v>
      </c>
      <c r="B355" s="5">
        <v>22</v>
      </c>
      <c r="C355" s="5">
        <v>0.000312710346569059</v>
      </c>
      <c r="D355" t="s" s="12">
        <v>8082</v>
      </c>
      <c r="E355" t="s" s="2">
        <v>10792</v>
      </c>
    </row>
    <row r="356" ht="15.35" customHeight="1">
      <c r="A356" t="s" s="2">
        <v>9473</v>
      </c>
      <c r="B356" s="5">
        <v>21</v>
      </c>
      <c r="C356" s="5">
        <v>0.000298496239906829</v>
      </c>
      <c r="D356" s="6"/>
      <c r="E356" s="6"/>
    </row>
    <row r="357" ht="15.35" customHeight="1">
      <c r="A357" t="s" s="2">
        <v>9419</v>
      </c>
      <c r="B357" s="5">
        <v>20</v>
      </c>
      <c r="C357" s="5">
        <v>0.000284282133244599</v>
      </c>
      <c r="D357" s="6"/>
      <c r="E357" s="6"/>
    </row>
    <row r="358" ht="15.35" customHeight="1">
      <c r="A358" t="s" s="2">
        <v>9422</v>
      </c>
      <c r="B358" s="5">
        <v>19</v>
      </c>
      <c r="C358" s="5">
        <v>0.000270068026582369</v>
      </c>
      <c r="D358" s="6"/>
      <c r="E358" s="6"/>
    </row>
    <row r="359" ht="15.35" customHeight="1">
      <c r="A359" t="s" s="2">
        <v>9438</v>
      </c>
      <c r="B359" s="5">
        <v>18</v>
      </c>
      <c r="C359" s="5">
        <v>0.000255853919920139</v>
      </c>
      <c r="D359" s="6"/>
      <c r="E359" s="6"/>
    </row>
    <row r="360" ht="15.35" customHeight="1">
      <c r="A360" t="s" s="2">
        <v>9432</v>
      </c>
      <c r="B360" s="5">
        <v>18</v>
      </c>
      <c r="C360" s="5">
        <v>0.000255853919920139</v>
      </c>
      <c r="D360" s="6"/>
      <c r="E360" s="6"/>
    </row>
    <row r="361" ht="15.35" customHeight="1">
      <c r="A361" t="s" s="2">
        <v>9456</v>
      </c>
      <c r="B361" s="5">
        <v>15</v>
      </c>
      <c r="C361" s="5">
        <v>0.000213211599933449</v>
      </c>
      <c r="D361" s="6"/>
      <c r="E361" s="6"/>
    </row>
    <row r="362" ht="15.35" customHeight="1">
      <c r="A362" t="s" s="2">
        <v>9451</v>
      </c>
      <c r="B362" s="5">
        <v>15</v>
      </c>
      <c r="C362" s="5">
        <v>0.000213211599933449</v>
      </c>
      <c r="D362" s="6"/>
      <c r="E362" s="6"/>
    </row>
    <row r="363" ht="15.35" customHeight="1">
      <c r="A363" t="s" s="2">
        <v>9445</v>
      </c>
      <c r="B363" s="5">
        <v>15</v>
      </c>
      <c r="C363" s="5">
        <v>0.000213211599933449</v>
      </c>
      <c r="D363" s="6"/>
      <c r="E363" s="6"/>
    </row>
    <row r="364" ht="15.35" customHeight="1">
      <c r="A364" t="s" s="2">
        <v>9464</v>
      </c>
      <c r="B364" s="5">
        <v>12</v>
      </c>
      <c r="C364" s="5">
        <v>0.000170569279946759</v>
      </c>
      <c r="D364" s="6"/>
      <c r="E364" s="6"/>
    </row>
    <row r="365" ht="15.35" customHeight="1">
      <c r="A365" t="s" s="2">
        <v>9537</v>
      </c>
      <c r="B365" s="5">
        <v>11</v>
      </c>
      <c r="C365" s="5">
        <v>0.000156355173284529</v>
      </c>
      <c r="D365" s="6"/>
      <c r="E365" s="6"/>
    </row>
    <row r="366" ht="15.35" customHeight="1">
      <c r="A366" t="s" s="2">
        <v>9540</v>
      </c>
      <c r="B366" s="5">
        <v>11</v>
      </c>
      <c r="C366" s="5">
        <v>0.000156355173284529</v>
      </c>
      <c r="D366" s="6"/>
      <c r="E366" s="6"/>
    </row>
    <row r="367" ht="15.35" customHeight="1">
      <c r="A367" t="s" s="2">
        <v>9506</v>
      </c>
      <c r="B367" s="5">
        <v>11</v>
      </c>
      <c r="C367" s="5">
        <v>0.000156355173284529</v>
      </c>
      <c r="D367" s="6"/>
      <c r="E367" s="6"/>
    </row>
    <row r="368" ht="15.35" customHeight="1">
      <c r="A368" t="s" s="2">
        <v>9500</v>
      </c>
      <c r="B368" s="5">
        <v>11</v>
      </c>
      <c r="C368" s="5">
        <v>0.000156355173284529</v>
      </c>
      <c r="D368" s="6"/>
      <c r="E368" s="6"/>
    </row>
    <row r="369" ht="15.35" customHeight="1">
      <c r="A369" t="s" s="2">
        <v>9588</v>
      </c>
      <c r="B369" s="5">
        <v>11</v>
      </c>
      <c r="C369" s="5">
        <v>0.000156355173284529</v>
      </c>
      <c r="D369" s="6"/>
      <c r="E369" s="6"/>
    </row>
    <row r="370" ht="15.35" customHeight="1">
      <c r="A370" t="s" s="2">
        <v>9581</v>
      </c>
      <c r="B370" s="5">
        <v>11</v>
      </c>
      <c r="C370" s="5">
        <v>0.000156355173284529</v>
      </c>
      <c r="D370" s="6"/>
      <c r="E370" s="6"/>
    </row>
    <row r="371" ht="15.35" customHeight="1">
      <c r="A371" t="s" s="2">
        <v>9735</v>
      </c>
      <c r="B371" s="5">
        <v>10</v>
      </c>
      <c r="C371" s="5">
        <v>0.000142141066622299</v>
      </c>
      <c r="D371" s="6"/>
      <c r="E371" s="6"/>
    </row>
    <row r="372" ht="15.35" customHeight="1">
      <c r="A372" t="s" s="2">
        <v>10540</v>
      </c>
      <c r="B372" s="5">
        <v>10</v>
      </c>
      <c r="C372" s="5">
        <v>0.000142141066622299</v>
      </c>
      <c r="D372" s="6"/>
      <c r="E372" s="6"/>
    </row>
    <row r="373" ht="15.35" customHeight="1">
      <c r="A373" t="s" s="2">
        <v>9919</v>
      </c>
      <c r="B373" s="5">
        <v>10</v>
      </c>
      <c r="C373" s="5">
        <v>0.000142141066622299</v>
      </c>
      <c r="D373" s="6"/>
      <c r="E373" s="6"/>
    </row>
    <row r="374" ht="15.35" customHeight="1">
      <c r="A374" t="s" s="2">
        <v>10754</v>
      </c>
      <c r="B374" s="5">
        <v>10</v>
      </c>
      <c r="C374" s="5">
        <v>0.000142141066622299</v>
      </c>
      <c r="D374" s="6"/>
      <c r="E374" s="6"/>
    </row>
    <row r="375" ht="15.35" customHeight="1">
      <c r="A375" t="s" s="2">
        <v>10802</v>
      </c>
      <c r="B375" s="5">
        <v>10</v>
      </c>
      <c r="C375" s="5">
        <v>0.000142141066622299</v>
      </c>
      <c r="D375" s="6"/>
      <c r="E375" s="6"/>
    </row>
    <row r="376" ht="15.35" customHeight="1">
      <c r="A376" t="s" s="2">
        <v>10492</v>
      </c>
      <c r="B376" s="5">
        <v>10</v>
      </c>
      <c r="C376" s="5">
        <v>0.000142141066622299</v>
      </c>
      <c r="D376" s="6"/>
      <c r="E376" s="6"/>
    </row>
    <row r="377" ht="15.35" customHeight="1">
      <c r="A377" t="s" s="2">
        <v>9878</v>
      </c>
      <c r="B377" s="5">
        <v>10</v>
      </c>
      <c r="C377" s="5">
        <v>0.000142141066622299</v>
      </c>
      <c r="D377" s="6"/>
      <c r="E377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